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4355" windowHeight="4680"/>
  </bookViews>
  <sheets>
    <sheet name="Print Sheet" sheetId="10" r:id="rId1"/>
    <sheet name="Worksheet" sheetId="1" r:id="rId2"/>
    <sheet name="New House 1314 Bills" sheetId="4" r:id="rId3"/>
    <sheet name="2014 Gasoline" sheetId="8" r:id="rId4"/>
    <sheet name="Jordan Pay" sheetId="7" r:id="rId5"/>
    <sheet name="Eating Out" sheetId="6" r:id="rId6"/>
    <sheet name="2012 Avg Bills" sheetId="2" r:id="rId7"/>
    <sheet name="2012 Gasoline" sheetId="3" r:id="rId8"/>
    <sheet name="House Hunting Expenses" sheetId="5" r:id="rId9"/>
  </sheets>
  <calcPr calcId="145621"/>
  <fileRecoveryPr repairLoad="1"/>
</workbook>
</file>

<file path=xl/calcChain.xml><?xml version="1.0" encoding="utf-8"?>
<calcChain xmlns="http://schemas.openxmlformats.org/spreadsheetml/2006/main">
  <c r="N33" i="1" l="1"/>
  <c r="P33" i="1"/>
  <c r="F1" i="1"/>
  <c r="C32" i="1"/>
  <c r="D32" i="1"/>
  <c r="E32" i="1"/>
  <c r="F32" i="1"/>
  <c r="G32" i="1"/>
  <c r="H32" i="1"/>
  <c r="I32" i="1"/>
  <c r="J32" i="1"/>
  <c r="K32" i="1"/>
  <c r="L32" i="1"/>
  <c r="M32" i="1"/>
  <c r="B32" i="1"/>
  <c r="B30" i="1"/>
  <c r="N15" i="1"/>
  <c r="N28" i="1"/>
  <c r="D30" i="1"/>
  <c r="E30" i="1"/>
  <c r="F30" i="1"/>
  <c r="G30" i="1"/>
  <c r="H30" i="1"/>
  <c r="I30" i="1"/>
  <c r="J30" i="1"/>
  <c r="K30" i="1"/>
  <c r="L30" i="1"/>
  <c r="M30" i="1"/>
  <c r="C30" i="1"/>
  <c r="F6" i="1"/>
  <c r="G6" i="1"/>
  <c r="H6" i="1"/>
  <c r="I6" i="1"/>
  <c r="J6" i="1"/>
  <c r="K6" i="1"/>
  <c r="L6" i="1"/>
  <c r="M6" i="1"/>
  <c r="E6" i="1"/>
  <c r="C6" i="1"/>
  <c r="D6" i="1"/>
  <c r="B6" i="1"/>
  <c r="I13" i="8"/>
  <c r="J13" i="8"/>
  <c r="K13" i="8"/>
  <c r="L13" i="8"/>
  <c r="H13" i="8"/>
  <c r="G13" i="8"/>
  <c r="F13" i="8"/>
  <c r="E13" i="8"/>
  <c r="D13" i="8"/>
  <c r="C13" i="8"/>
  <c r="B13" i="8"/>
  <c r="A13" i="8"/>
  <c r="C7" i="1"/>
  <c r="D7" i="1"/>
  <c r="E7" i="1"/>
  <c r="F7" i="1"/>
  <c r="G7" i="1"/>
  <c r="H7" i="1"/>
  <c r="I7" i="1"/>
  <c r="J7" i="1"/>
  <c r="K7" i="1"/>
  <c r="L7" i="1"/>
  <c r="M7" i="1"/>
  <c r="B7" i="1"/>
  <c r="C1" i="1"/>
  <c r="J21" i="4"/>
  <c r="J23" i="4"/>
  <c r="E9" i="7"/>
  <c r="D9" i="7"/>
  <c r="B10" i="7"/>
  <c r="A10" i="7"/>
  <c r="D7" i="4"/>
  <c r="D8" i="4"/>
  <c r="D6" i="4"/>
  <c r="D5" i="4"/>
  <c r="F5" i="4"/>
  <c r="F21" i="4" s="1"/>
  <c r="D4" i="4"/>
  <c r="M23" i="4"/>
  <c r="M21" i="4"/>
  <c r="D3" i="4"/>
  <c r="D2" i="4"/>
  <c r="C23" i="4"/>
  <c r="E23" i="4"/>
  <c r="F23" i="4"/>
  <c r="G23" i="4"/>
  <c r="H23" i="4"/>
  <c r="I23" i="4"/>
  <c r="K23" i="4"/>
  <c r="L23" i="4"/>
  <c r="B23" i="4"/>
  <c r="C21" i="4"/>
  <c r="E21" i="4"/>
  <c r="G21" i="4"/>
  <c r="H21" i="4"/>
  <c r="I21" i="4"/>
  <c r="K21" i="4"/>
  <c r="L21" i="4"/>
  <c r="B21" i="4"/>
  <c r="A15" i="8" l="1"/>
  <c r="D21" i="4"/>
  <c r="D23" i="4"/>
  <c r="C20" i="2"/>
  <c r="D9" i="5" l="1"/>
  <c r="C9" i="5" l="1"/>
  <c r="E9" i="5"/>
  <c r="B9" i="5"/>
  <c r="B11" i="5" l="1"/>
  <c r="B13" i="5" s="1"/>
  <c r="P3" i="4" l="1"/>
  <c r="P4" i="4"/>
  <c r="P2" i="4"/>
  <c r="N21" i="1"/>
  <c r="N11" i="1" l="1"/>
  <c r="N18" i="1"/>
  <c r="N19" i="1"/>
  <c r="N20" i="1"/>
  <c r="N25" i="1"/>
  <c r="N26" i="1"/>
  <c r="N27" i="1"/>
  <c r="N7" i="1"/>
  <c r="N8" i="1"/>
  <c r="N9" i="1"/>
  <c r="N10" i="1"/>
  <c r="N12" i="1"/>
  <c r="N13" i="1"/>
  <c r="N14" i="1"/>
  <c r="N5" i="1"/>
  <c r="A12" i="3"/>
  <c r="H10" i="3"/>
  <c r="E10" i="3"/>
  <c r="F10" i="3"/>
  <c r="G10" i="3"/>
  <c r="B10" i="3"/>
  <c r="C10" i="3"/>
  <c r="D10" i="3"/>
  <c r="A10" i="3"/>
  <c r="G15" i="2"/>
  <c r="A17" i="2"/>
  <c r="B17" i="2"/>
  <c r="D17" i="2"/>
  <c r="E17" i="2"/>
  <c r="F17" i="2"/>
  <c r="C17" i="2"/>
  <c r="N6" i="1"/>
  <c r="F15" i="2"/>
  <c r="C15" i="2"/>
  <c r="D15" i="2"/>
  <c r="E15" i="2"/>
  <c r="A15" i="2"/>
  <c r="B15" i="2"/>
  <c r="N30" i="1" l="1"/>
  <c r="G33" i="1" l="1"/>
  <c r="G35" i="1" s="1"/>
  <c r="H33" i="1"/>
  <c r="H35" i="1" s="1"/>
  <c r="K33" i="1"/>
  <c r="K35" i="1" s="1"/>
  <c r="J33" i="1"/>
  <c r="J35" i="1" s="1"/>
  <c r="M33" i="1"/>
  <c r="M35" i="1" s="1"/>
  <c r="I33" i="1"/>
  <c r="I35" i="1" s="1"/>
  <c r="L33" i="1"/>
  <c r="L35" i="1" s="1"/>
  <c r="F33" i="1"/>
  <c r="F35" i="1" s="1"/>
  <c r="E33" i="1"/>
  <c r="E35" i="1" s="1"/>
  <c r="D33" i="1"/>
  <c r="D35" i="1" s="1"/>
  <c r="B33" i="1"/>
  <c r="B35" i="1" s="1"/>
  <c r="C33" i="1" l="1"/>
  <c r="C35" i="1" s="1"/>
  <c r="N35" i="1" s="1"/>
  <c r="P32" i="1"/>
  <c r="N32" i="1"/>
</calcChain>
</file>

<file path=xl/sharedStrings.xml><?xml version="1.0" encoding="utf-8"?>
<sst xmlns="http://schemas.openxmlformats.org/spreadsheetml/2006/main" count="147" uniqueCount="84">
  <si>
    <t>Bills</t>
  </si>
  <si>
    <t>Atmos</t>
  </si>
  <si>
    <t>TXU</t>
  </si>
  <si>
    <t>Mortgage</t>
  </si>
  <si>
    <t>Credit Card</t>
  </si>
  <si>
    <t>Giving</t>
  </si>
  <si>
    <t>Kim/Brett</t>
  </si>
  <si>
    <t>Kelli/Teddy</t>
  </si>
  <si>
    <t>Monthly Income After Tax</t>
  </si>
  <si>
    <t>Groceries</t>
  </si>
  <si>
    <t>Eating Out</t>
  </si>
  <si>
    <t>Other</t>
  </si>
  <si>
    <t>Saving</t>
  </si>
  <si>
    <t>Netflix</t>
  </si>
  <si>
    <t>Miscellaneous</t>
  </si>
  <si>
    <t>Oil Change</t>
  </si>
  <si>
    <t>Sum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</si>
  <si>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</si>
  <si>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</si>
  <si>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</si>
  <si>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</si>
  <si>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</si>
  <si>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</si>
  <si>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</si>
  <si>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</si>
  <si>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</si>
  <si>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</si>
  <si>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</si>
  <si>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</si>
  <si>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ATT</t>
  </si>
  <si>
    <t>Mastercard</t>
  </si>
  <si>
    <t>City of Midland</t>
  </si>
  <si>
    <t>Car Insurance</t>
  </si>
  <si>
    <t>Average:</t>
  </si>
  <si>
    <t>Sum:</t>
  </si>
  <si>
    <t>Edda</t>
  </si>
  <si>
    <t>Gasoline</t>
  </si>
  <si>
    <t>nov</t>
  </si>
  <si>
    <t>oct</t>
  </si>
  <si>
    <t>sept</t>
  </si>
  <si>
    <t>aug</t>
  </si>
  <si>
    <t>july</t>
  </si>
  <si>
    <t>june</t>
  </si>
  <si>
    <t>may</t>
  </si>
  <si>
    <t>april</t>
  </si>
  <si>
    <t>Total Monthly Savings</t>
  </si>
  <si>
    <t>Misc</t>
  </si>
  <si>
    <t>Texas Tech</t>
  </si>
  <si>
    <t>Jordan Flight</t>
  </si>
  <si>
    <t>Food</t>
  </si>
  <si>
    <t>Hotel</t>
  </si>
  <si>
    <t>Gas</t>
  </si>
  <si>
    <t>Shopping</t>
  </si>
  <si>
    <t>3-28 to 3-31</t>
  </si>
  <si>
    <t>Amount Left</t>
  </si>
  <si>
    <t>Total</t>
  </si>
  <si>
    <t>4-20 to 4-23</t>
  </si>
  <si>
    <t>Matt Flight</t>
  </si>
  <si>
    <t>Rental Car</t>
  </si>
  <si>
    <t>ATT Cell</t>
  </si>
  <si>
    <t>Reliant</t>
  </si>
  <si>
    <t>Centerpoint</t>
  </si>
  <si>
    <t>Xfinity/Comcast</t>
  </si>
  <si>
    <t>Visa/Mastercard</t>
  </si>
  <si>
    <t>Month</t>
  </si>
  <si>
    <t>Cinco SW MUD3</t>
  </si>
  <si>
    <t>Bulwark</t>
  </si>
  <si>
    <t>HOA</t>
  </si>
  <si>
    <t>Prop Tax</t>
  </si>
  <si>
    <t>Car</t>
  </si>
  <si>
    <t>Pay Check</t>
  </si>
  <si>
    <t>Xfinity-Cable/ATT Phone</t>
  </si>
  <si>
    <t>Cinco MUD Water/Sewer</t>
  </si>
  <si>
    <t>jan</t>
  </si>
  <si>
    <t>feb</t>
  </si>
  <si>
    <t>mar</t>
  </si>
  <si>
    <t>dec</t>
  </si>
  <si>
    <t>Truck+Car+Insurance</t>
  </si>
  <si>
    <t>Collin and Merideth</t>
  </si>
  <si>
    <t>Yearly Savings</t>
  </si>
  <si>
    <t>Crossfit</t>
  </si>
  <si>
    <t>Yearly Income after Tax</t>
  </si>
  <si>
    <t>Eating out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</si>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</sst>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6" fontId="0" fillId="0" borderId="0" xfId="0" applyNumberFormat="1"/>
    <xf numFmtId="3" fontId="0" fillId="0" borderId="0" xfId="0" applyNumberFormat="1"/>
    <xf numFmtId="8" fontId="0" fillId="0" borderId="0" xfId="0" applyNumberFormat="1"/>
    <xf numFmtId="0" fontId="1" fillId="0" borderId="0" xfId="0" applyFont="1"/>
    <xf numFmtId="1" fontId="2" fillId="0" borderId="0" xfId="0" applyNumberFormat="1" applyFont="1"/>
    <xf numFmtId="164" fontId="2" fillId="0" borderId="0" xfId="0" applyNumberFormat="1" applyFont="1"/>
    <xf numFmtId="10" fontId="0" fillId="0" borderId="0" xfId="0" applyNumberFormat="1"/>
    <xf numFmtId="0" fontId="3" fillId="0" borderId="0" xfId="0" applyFont="1"/>
    <xf numFmtId="164" fontId="0" fillId="0" borderId="0" xfId="0" applyNumberFormat="1"/>
    <xf numFmtId="0" fontId="2" fillId="0" borderId="1" xfId="0" applyFont="1" applyBorder="1"/>
    <xf numFmtId="0" fontId="0" fillId="0" borderId="2" xfId="0" applyBorder="1"/>
    <xf numFmtId="16" fontId="2" fillId="0" borderId="2" xfId="0" applyNumberFormat="1" applyFont="1" applyBorder="1"/>
    <xf numFmtId="0" fontId="2" fillId="0" borderId="2" xfId="0" applyFont="1" applyBorder="1"/>
    <xf numFmtId="0" fontId="2" fillId="0" borderId="4" xfId="0" applyFont="1" applyBorder="1"/>
    <xf numFmtId="6" fontId="0" fillId="0" borderId="5" xfId="0" applyNumberFormat="1" applyBorder="1"/>
    <xf numFmtId="6" fontId="0" fillId="0" borderId="6" xfId="0" applyNumberFormat="1" applyBorder="1"/>
    <xf numFmtId="6" fontId="0" fillId="0" borderId="4" xfId="0" applyNumberFormat="1" applyBorder="1"/>
    <xf numFmtId="6" fontId="0" fillId="0" borderId="3" xfId="0" applyNumberFormat="1" applyBorder="1"/>
    <xf numFmtId="10" fontId="0" fillId="0" borderId="6" xfId="0" applyNumberFormat="1" applyBorder="1"/>
    <xf numFmtId="10" fontId="0" fillId="0" borderId="3" xfId="0" applyNumberFormat="1" applyBorder="1"/>
    <xf numFmtId="8" fontId="0" fillId="0" borderId="4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"/>
  <sheetViews>
    <sheetView tabSelected="1" workbookViewId="0">
      <selection activeCell="G3" sqref="G3"/>
    </sheetView>
  </sheetViews>
  <sheetFormatPr defaultRowHeight="15" x14ac:dyDescent="0.25"/>
  <cols>
    <col min="2" max="2" width="9.42578125" bestFit="1" customWidth="1"/>
    <col min="3" max="3" width="9.85546875" bestFit="1" customWidth="1"/>
    <col min="4" max="4" width="8.7109375" bestFit="1" customWidth="1"/>
    <col min="5" max="5" width="9.28515625" bestFit="1" customWidth="1"/>
    <col min="6" max="6" width="10.5703125" bestFit="1" customWidth="1"/>
    <col min="7" max="7" width="13.85546875" bestFit="1" customWidth="1"/>
  </cols>
  <sheetData>
    <row r="1" spans="2:10" x14ac:dyDescent="0.25">
      <c r="B1" s="1" t="s">
        <v>9</v>
      </c>
      <c r="C1" s="1" t="s">
        <v>82</v>
      </c>
      <c r="D1" s="1" t="s">
        <v>36</v>
      </c>
      <c r="E1" s="1" t="s">
        <v>52</v>
      </c>
      <c r="F1" s="1" t="s">
        <v>15</v>
      </c>
      <c r="G1" s="1" t="s">
        <v>14</v>
      </c>
      <c r="I1" t="s">
        <v>9</v>
      </c>
      <c r="J1">
        <v>200</v>
      </c>
    </row>
    <row r="2" spans="2:10" x14ac:dyDescent="0.25">
      <c r="G2">
        <v>22</v>
      </c>
      <c r="I2" t="s">
        <v>10</v>
      </c>
      <c r="J2">
        <v>200</v>
      </c>
    </row>
    <row r="3" spans="2:10" x14ac:dyDescent="0.25">
      <c r="I3" t="s">
        <v>36</v>
      </c>
      <c r="J3">
        <v>400</v>
      </c>
    </row>
    <row r="4" spans="2:10" x14ac:dyDescent="0.25">
      <c r="I4" t="s">
        <v>52</v>
      </c>
      <c r="J4">
        <v>300</v>
      </c>
    </row>
    <row r="5" spans="2:10" x14ac:dyDescent="0.25">
      <c r="I5" t="s">
        <v>46</v>
      </c>
      <c r="J5">
        <v>300</v>
      </c>
    </row>
    <row r="6" spans="2:10" x14ac:dyDescent="0.25">
      <c r="I6" t="s">
        <v>83</v>
      </c>
      <c r="J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opLeftCell="A6" zoomScale="85" zoomScaleNormal="85" workbookViewId="0">
      <selection activeCell="N35" sqref="N35"/>
    </sheetView>
  </sheetViews>
  <sheetFormatPr defaultRowHeight="15" x14ac:dyDescent="0.25"/>
  <cols>
    <col min="1" max="1" width="24.42578125" bestFit="1" customWidth="1"/>
    <col min="2" max="2" width="10.5703125" bestFit="1" customWidth="1"/>
    <col min="3" max="3" width="9.5703125" bestFit="1" customWidth="1"/>
    <col min="4" max="9" width="10.42578125" bestFit="1" customWidth="1"/>
    <col min="10" max="10" width="10.85546875" bestFit="1" customWidth="1"/>
    <col min="11" max="13" width="10.42578125" bestFit="1" customWidth="1"/>
    <col min="15" max="15" width="10.5703125" bestFit="1" customWidth="1"/>
    <col min="16" max="16" width="13.7109375" bestFit="1" customWidth="1"/>
  </cols>
  <sheetData>
    <row r="1" spans="1:14" x14ac:dyDescent="0.25">
      <c r="A1" s="1" t="s">
        <v>8</v>
      </c>
      <c r="C1" s="3">
        <f>7000+1200</f>
        <v>8200</v>
      </c>
      <c r="E1" t="s">
        <v>81</v>
      </c>
      <c r="F1">
        <f>C1*12</f>
        <v>98400</v>
      </c>
    </row>
    <row r="3" spans="1:14" ht="15.75" thickBot="1" x14ac:dyDescent="0.3"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</row>
    <row r="4" spans="1:14" x14ac:dyDescent="0.25">
      <c r="A4" s="1" t="s">
        <v>0</v>
      </c>
      <c r="N4" s="15" t="s">
        <v>16</v>
      </c>
    </row>
    <row r="5" spans="1:14" x14ac:dyDescent="0.25">
      <c r="A5" t="s">
        <v>3</v>
      </c>
      <c r="B5" s="2">
        <v>1280</v>
      </c>
      <c r="C5" s="2">
        <v>1280</v>
      </c>
      <c r="D5" s="2">
        <v>1280</v>
      </c>
      <c r="E5" s="2">
        <v>1280</v>
      </c>
      <c r="F5" s="2">
        <v>1900</v>
      </c>
      <c r="G5" s="2">
        <v>1900</v>
      </c>
      <c r="H5" s="2">
        <v>1900</v>
      </c>
      <c r="I5" s="2">
        <v>1900</v>
      </c>
      <c r="J5" s="2">
        <v>1900</v>
      </c>
      <c r="K5" s="2">
        <v>1900</v>
      </c>
      <c r="L5" s="2">
        <v>1900</v>
      </c>
      <c r="M5" s="2">
        <v>1900</v>
      </c>
      <c r="N5" s="16">
        <f>SUM(B5:M5)</f>
        <v>20320</v>
      </c>
    </row>
    <row r="6" spans="1:14" x14ac:dyDescent="0.25">
      <c r="A6" t="s">
        <v>77</v>
      </c>
      <c r="B6" s="4">
        <f>700+265</f>
        <v>965</v>
      </c>
      <c r="C6" s="4">
        <f>700+265</f>
        <v>965</v>
      </c>
      <c r="D6" s="4">
        <f>700+265</f>
        <v>965</v>
      </c>
      <c r="E6" s="4">
        <f>350+265</f>
        <v>615</v>
      </c>
      <c r="F6" s="4">
        <f t="shared" ref="F6:M6" si="0">350+265</f>
        <v>615</v>
      </c>
      <c r="G6" s="4">
        <f t="shared" si="0"/>
        <v>615</v>
      </c>
      <c r="H6" s="4">
        <f t="shared" si="0"/>
        <v>615</v>
      </c>
      <c r="I6" s="4">
        <f t="shared" si="0"/>
        <v>615</v>
      </c>
      <c r="J6" s="4">
        <f t="shared" si="0"/>
        <v>615</v>
      </c>
      <c r="K6" s="4">
        <f t="shared" si="0"/>
        <v>615</v>
      </c>
      <c r="L6" s="4">
        <f t="shared" si="0"/>
        <v>615</v>
      </c>
      <c r="M6" s="4">
        <f t="shared" si="0"/>
        <v>615</v>
      </c>
      <c r="N6" s="16">
        <f t="shared" ref="N6:N32" si="1">SUM(B6:M6)</f>
        <v>8430</v>
      </c>
    </row>
    <row r="7" spans="1:14" x14ac:dyDescent="0.25">
      <c r="A7" t="s">
        <v>71</v>
      </c>
      <c r="B7">
        <f>160+106</f>
        <v>266</v>
      </c>
      <c r="C7">
        <f t="shared" ref="C7:M7" si="2">160+106</f>
        <v>266</v>
      </c>
      <c r="D7">
        <f t="shared" si="2"/>
        <v>266</v>
      </c>
      <c r="E7">
        <f t="shared" si="2"/>
        <v>266</v>
      </c>
      <c r="F7">
        <f t="shared" si="2"/>
        <v>266</v>
      </c>
      <c r="G7">
        <f t="shared" si="2"/>
        <v>266</v>
      </c>
      <c r="H7">
        <f t="shared" si="2"/>
        <v>266</v>
      </c>
      <c r="I7">
        <f t="shared" si="2"/>
        <v>266</v>
      </c>
      <c r="J7">
        <f t="shared" si="2"/>
        <v>266</v>
      </c>
      <c r="K7">
        <f t="shared" si="2"/>
        <v>266</v>
      </c>
      <c r="L7">
        <f t="shared" si="2"/>
        <v>266</v>
      </c>
      <c r="M7">
        <f t="shared" si="2"/>
        <v>266</v>
      </c>
      <c r="N7" s="16">
        <f t="shared" si="1"/>
        <v>3192</v>
      </c>
    </row>
    <row r="8" spans="1:14" x14ac:dyDescent="0.25">
      <c r="A8" t="s">
        <v>60</v>
      </c>
      <c r="B8">
        <v>147</v>
      </c>
      <c r="C8">
        <v>147</v>
      </c>
      <c r="D8">
        <v>147</v>
      </c>
      <c r="E8">
        <v>147</v>
      </c>
      <c r="F8">
        <v>147</v>
      </c>
      <c r="G8">
        <v>147</v>
      </c>
      <c r="H8">
        <v>147</v>
      </c>
      <c r="I8">
        <v>147</v>
      </c>
      <c r="J8">
        <v>147</v>
      </c>
      <c r="K8">
        <v>147</v>
      </c>
      <c r="L8">
        <v>147</v>
      </c>
      <c r="M8">
        <v>147</v>
      </c>
      <c r="N8" s="16">
        <f t="shared" si="1"/>
        <v>1764</v>
      </c>
    </row>
    <row r="9" spans="1:14" x14ac:dyDescent="0.25">
      <c r="A9" t="s">
        <v>61</v>
      </c>
      <c r="B9">
        <v>15</v>
      </c>
      <c r="C9">
        <v>15</v>
      </c>
      <c r="D9">
        <v>15</v>
      </c>
      <c r="E9">
        <v>15</v>
      </c>
      <c r="F9">
        <v>15</v>
      </c>
      <c r="G9">
        <v>15</v>
      </c>
      <c r="H9">
        <v>15</v>
      </c>
      <c r="I9">
        <v>15</v>
      </c>
      <c r="J9">
        <v>15</v>
      </c>
      <c r="K9">
        <v>15</v>
      </c>
      <c r="L9">
        <v>15</v>
      </c>
      <c r="M9">
        <v>15</v>
      </c>
      <c r="N9" s="16">
        <f t="shared" si="1"/>
        <v>180</v>
      </c>
    </row>
    <row r="10" spans="1:14" x14ac:dyDescent="0.25">
      <c r="A10" t="s">
        <v>72</v>
      </c>
      <c r="B10">
        <v>173</v>
      </c>
      <c r="C10">
        <v>173</v>
      </c>
      <c r="D10">
        <v>173</v>
      </c>
      <c r="E10">
        <v>173</v>
      </c>
      <c r="F10">
        <v>173</v>
      </c>
      <c r="G10">
        <v>173</v>
      </c>
      <c r="H10">
        <v>173</v>
      </c>
      <c r="I10">
        <v>173</v>
      </c>
      <c r="J10">
        <v>173</v>
      </c>
      <c r="K10">
        <v>173</v>
      </c>
      <c r="L10">
        <v>173</v>
      </c>
      <c r="M10">
        <v>173</v>
      </c>
      <c r="N10" s="16">
        <f t="shared" si="1"/>
        <v>2076</v>
      </c>
    </row>
    <row r="11" spans="1:14" x14ac:dyDescent="0.25">
      <c r="A11" s="5" t="s">
        <v>4</v>
      </c>
      <c r="B11">
        <v>7473</v>
      </c>
      <c r="C11">
        <v>750</v>
      </c>
      <c r="D11">
        <v>4468</v>
      </c>
      <c r="E11">
        <v>4600</v>
      </c>
      <c r="F11">
        <v>3100</v>
      </c>
      <c r="G11">
        <v>4600</v>
      </c>
      <c r="H11">
        <v>4600</v>
      </c>
      <c r="I11">
        <v>4600</v>
      </c>
      <c r="J11">
        <v>4600</v>
      </c>
      <c r="K11">
        <v>4600</v>
      </c>
      <c r="L11">
        <v>4600</v>
      </c>
      <c r="M11">
        <v>4600</v>
      </c>
      <c r="N11" s="16">
        <f t="shared" si="1"/>
        <v>52591</v>
      </c>
    </row>
    <row r="12" spans="1:14" x14ac:dyDescent="0.25">
      <c r="A12" s="9" t="s">
        <v>36</v>
      </c>
      <c r="B12">
        <v>200</v>
      </c>
      <c r="C12">
        <v>200</v>
      </c>
      <c r="D12">
        <v>400</v>
      </c>
      <c r="E12">
        <v>400</v>
      </c>
      <c r="F12">
        <v>400</v>
      </c>
      <c r="G12">
        <v>400</v>
      </c>
      <c r="H12">
        <v>400</v>
      </c>
      <c r="I12">
        <v>400</v>
      </c>
      <c r="J12">
        <v>400</v>
      </c>
      <c r="K12">
        <v>400</v>
      </c>
      <c r="L12">
        <v>400</v>
      </c>
      <c r="M12">
        <v>400</v>
      </c>
      <c r="N12" s="16">
        <f t="shared" si="1"/>
        <v>4400</v>
      </c>
    </row>
    <row r="13" spans="1:14" x14ac:dyDescent="0.25">
      <c r="A13" t="s">
        <v>9</v>
      </c>
      <c r="B13">
        <v>400</v>
      </c>
      <c r="C13">
        <v>400</v>
      </c>
      <c r="D13">
        <v>400</v>
      </c>
      <c r="E13">
        <v>400</v>
      </c>
      <c r="F13">
        <v>400</v>
      </c>
      <c r="G13">
        <v>400</v>
      </c>
      <c r="H13">
        <v>400</v>
      </c>
      <c r="I13">
        <v>400</v>
      </c>
      <c r="J13">
        <v>400</v>
      </c>
      <c r="K13">
        <v>400</v>
      </c>
      <c r="L13">
        <v>400</v>
      </c>
      <c r="M13">
        <v>400</v>
      </c>
      <c r="N13" s="16">
        <f t="shared" si="1"/>
        <v>4800</v>
      </c>
    </row>
    <row r="14" spans="1:14" ht="15.75" thickBot="1" x14ac:dyDescent="0.3">
      <c r="A14" t="s">
        <v>13</v>
      </c>
      <c r="B14">
        <v>19.46</v>
      </c>
      <c r="C14">
        <v>19.46</v>
      </c>
      <c r="D14">
        <v>19.46</v>
      </c>
      <c r="E14">
        <v>19.46</v>
      </c>
      <c r="F14">
        <v>19.46</v>
      </c>
      <c r="G14">
        <v>19.46</v>
      </c>
      <c r="H14">
        <v>19.46</v>
      </c>
      <c r="I14">
        <v>19.46</v>
      </c>
      <c r="J14">
        <v>19.46</v>
      </c>
      <c r="K14">
        <v>19.46</v>
      </c>
      <c r="L14">
        <v>19.46</v>
      </c>
      <c r="M14">
        <v>19.46</v>
      </c>
      <c r="N14" s="17">
        <f t="shared" si="1"/>
        <v>233.52000000000007</v>
      </c>
    </row>
    <row r="15" spans="1:14" ht="15.75" thickBot="1" x14ac:dyDescent="0.3">
      <c r="A15" t="s">
        <v>80</v>
      </c>
      <c r="B15">
        <v>265</v>
      </c>
      <c r="C15">
        <v>265</v>
      </c>
      <c r="D15">
        <v>265</v>
      </c>
      <c r="E15">
        <v>265</v>
      </c>
      <c r="F15">
        <v>265</v>
      </c>
      <c r="G15">
        <v>265</v>
      </c>
      <c r="H15">
        <v>265</v>
      </c>
      <c r="I15">
        <v>265</v>
      </c>
      <c r="J15">
        <v>265</v>
      </c>
      <c r="K15">
        <v>265</v>
      </c>
      <c r="L15">
        <v>265</v>
      </c>
      <c r="M15">
        <v>265</v>
      </c>
      <c r="N15" s="17">
        <f t="shared" si="1"/>
        <v>3180</v>
      </c>
    </row>
    <row r="16" spans="1:14" x14ac:dyDescent="0.25">
      <c r="N16" s="2"/>
    </row>
    <row r="17" spans="1:16" ht="15.75" thickBot="1" x14ac:dyDescent="0.3">
      <c r="A17" s="1" t="s">
        <v>5</v>
      </c>
      <c r="N17" s="2"/>
    </row>
    <row r="18" spans="1:16" x14ac:dyDescent="0.25">
      <c r="A18" t="s">
        <v>6</v>
      </c>
      <c r="B18" s="2">
        <v>100</v>
      </c>
      <c r="C18" s="2">
        <v>100</v>
      </c>
      <c r="D18" s="2">
        <v>100</v>
      </c>
      <c r="E18" s="2">
        <v>100</v>
      </c>
      <c r="F18" s="2">
        <v>100</v>
      </c>
      <c r="G18" s="2">
        <v>100</v>
      </c>
      <c r="H18" s="2">
        <v>100</v>
      </c>
      <c r="I18" s="2">
        <v>100</v>
      </c>
      <c r="J18" s="2">
        <v>100</v>
      </c>
      <c r="K18" s="2">
        <v>100</v>
      </c>
      <c r="L18" s="2">
        <v>100</v>
      </c>
      <c r="M18" s="2">
        <v>100</v>
      </c>
      <c r="N18" s="18">
        <f t="shared" si="1"/>
        <v>1200</v>
      </c>
    </row>
    <row r="19" spans="1:16" x14ac:dyDescent="0.25">
      <c r="A19" t="s">
        <v>7</v>
      </c>
      <c r="B19" s="2">
        <v>100</v>
      </c>
      <c r="C19" s="2">
        <v>100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16">
        <f t="shared" si="1"/>
        <v>200</v>
      </c>
    </row>
    <row r="20" spans="1:16" x14ac:dyDescent="0.25">
      <c r="A20" t="s">
        <v>35</v>
      </c>
      <c r="B20" s="2">
        <v>40</v>
      </c>
      <c r="C20" s="2">
        <v>40</v>
      </c>
      <c r="D20" s="2">
        <v>40</v>
      </c>
      <c r="E20" s="2">
        <v>40</v>
      </c>
      <c r="F20" s="2">
        <v>40</v>
      </c>
      <c r="G20" s="2">
        <v>40</v>
      </c>
      <c r="H20" s="2">
        <v>40</v>
      </c>
      <c r="I20" s="2">
        <v>40</v>
      </c>
      <c r="J20" s="2">
        <v>40</v>
      </c>
      <c r="K20" s="2">
        <v>40</v>
      </c>
      <c r="L20" s="2">
        <v>40</v>
      </c>
      <c r="M20" s="2">
        <v>40</v>
      </c>
      <c r="N20" s="16">
        <f t="shared" si="1"/>
        <v>480</v>
      </c>
    </row>
    <row r="21" spans="1:16" x14ac:dyDescent="0.25">
      <c r="A21" t="s">
        <v>47</v>
      </c>
      <c r="B21" s="2"/>
      <c r="C21" s="2">
        <v>100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16">
        <f t="shared" si="1"/>
        <v>100</v>
      </c>
    </row>
    <row r="22" spans="1:16" ht="15.75" thickBot="1" x14ac:dyDescent="0.3">
      <c r="A22" t="s">
        <v>78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7"/>
    </row>
    <row r="23" spans="1:16" x14ac:dyDescent="0.25">
      <c r="N23" s="2"/>
    </row>
    <row r="24" spans="1:16" ht="15.75" thickBot="1" x14ac:dyDescent="0.3">
      <c r="A24" s="1" t="s">
        <v>14</v>
      </c>
      <c r="N24" s="2"/>
    </row>
    <row r="25" spans="1:16" x14ac:dyDescent="0.25">
      <c r="A25" s="5" t="s">
        <v>10</v>
      </c>
      <c r="B25">
        <v>200</v>
      </c>
      <c r="C25">
        <v>200</v>
      </c>
      <c r="D25">
        <v>200</v>
      </c>
      <c r="E25">
        <v>200</v>
      </c>
      <c r="F25">
        <v>200</v>
      </c>
      <c r="G25">
        <v>200</v>
      </c>
      <c r="H25">
        <v>200</v>
      </c>
      <c r="I25">
        <v>200</v>
      </c>
      <c r="J25">
        <v>200</v>
      </c>
      <c r="K25">
        <v>200</v>
      </c>
      <c r="L25">
        <v>200</v>
      </c>
      <c r="M25">
        <v>200</v>
      </c>
      <c r="N25" s="18">
        <f t="shared" si="1"/>
        <v>2400</v>
      </c>
    </row>
    <row r="26" spans="1:16" x14ac:dyDescent="0.25">
      <c r="A26" t="s">
        <v>15</v>
      </c>
      <c r="B26">
        <v>40</v>
      </c>
      <c r="C26">
        <v>40</v>
      </c>
      <c r="D26">
        <v>40</v>
      </c>
      <c r="E26">
        <v>40</v>
      </c>
      <c r="F26">
        <v>40</v>
      </c>
      <c r="G26">
        <v>40</v>
      </c>
      <c r="H26">
        <v>40</v>
      </c>
      <c r="I26">
        <v>40</v>
      </c>
      <c r="J26">
        <v>40</v>
      </c>
      <c r="K26">
        <v>40</v>
      </c>
      <c r="L26">
        <v>40</v>
      </c>
      <c r="M26">
        <v>40</v>
      </c>
      <c r="N26" s="16">
        <f t="shared" si="1"/>
        <v>480</v>
      </c>
    </row>
    <row r="27" spans="1:16" x14ac:dyDescent="0.25">
      <c r="A27" s="5" t="s">
        <v>11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 s="16">
        <f t="shared" si="1"/>
        <v>1200</v>
      </c>
    </row>
    <row r="28" spans="1:16" ht="15.75" thickBot="1" x14ac:dyDescent="0.3">
      <c r="A28" s="5" t="s">
        <v>52</v>
      </c>
      <c r="B28">
        <v>300</v>
      </c>
      <c r="C28">
        <v>300</v>
      </c>
      <c r="D28">
        <v>300</v>
      </c>
      <c r="E28">
        <v>300</v>
      </c>
      <c r="F28">
        <v>300</v>
      </c>
      <c r="G28">
        <v>300</v>
      </c>
      <c r="H28">
        <v>300</v>
      </c>
      <c r="I28">
        <v>300</v>
      </c>
      <c r="J28">
        <v>300</v>
      </c>
      <c r="K28">
        <v>300</v>
      </c>
      <c r="L28">
        <v>300</v>
      </c>
      <c r="M28">
        <v>300</v>
      </c>
      <c r="N28" s="17">
        <f t="shared" si="1"/>
        <v>3600</v>
      </c>
    </row>
    <row r="29" spans="1:16" ht="15.75" thickBot="1" x14ac:dyDescent="0.3">
      <c r="A29" s="1"/>
      <c r="N29" s="2"/>
    </row>
    <row r="30" spans="1:16" ht="15.75" thickBot="1" x14ac:dyDescent="0.3">
      <c r="A30" s="1" t="s">
        <v>16</v>
      </c>
      <c r="B30" s="2">
        <f>SUM(B5:B28)</f>
        <v>12083.46</v>
      </c>
      <c r="C30" s="2">
        <f>SUM(C5:C28)</f>
        <v>5460.46</v>
      </c>
      <c r="D30" s="2">
        <f t="shared" ref="D30:N30" si="3">SUM(D5:D28)</f>
        <v>9178.4599999999991</v>
      </c>
      <c r="E30" s="2">
        <f t="shared" si="3"/>
        <v>8960.4599999999991</v>
      </c>
      <c r="F30" s="2">
        <f t="shared" si="3"/>
        <v>8080.46</v>
      </c>
      <c r="G30" s="2">
        <f t="shared" si="3"/>
        <v>9580.4599999999991</v>
      </c>
      <c r="H30" s="2">
        <f t="shared" si="3"/>
        <v>9580.4599999999991</v>
      </c>
      <c r="I30" s="2">
        <f t="shared" si="3"/>
        <v>9580.4599999999991</v>
      </c>
      <c r="J30" s="2">
        <f t="shared" si="3"/>
        <v>9580.4599999999991</v>
      </c>
      <c r="K30" s="2">
        <f t="shared" si="3"/>
        <v>9580.4599999999991</v>
      </c>
      <c r="L30" s="2">
        <f t="shared" si="3"/>
        <v>9580.4599999999991</v>
      </c>
      <c r="M30" s="2">
        <f t="shared" si="3"/>
        <v>9580.4599999999991</v>
      </c>
      <c r="N30" s="19">
        <f t="shared" si="3"/>
        <v>110826.52</v>
      </c>
    </row>
    <row r="31" spans="1:16" ht="15.75" thickBot="1" x14ac:dyDescent="0.3">
      <c r="N31" s="2"/>
      <c r="P31" s="1" t="s">
        <v>79</v>
      </c>
    </row>
    <row r="32" spans="1:16" x14ac:dyDescent="0.25">
      <c r="A32" s="1" t="s">
        <v>12</v>
      </c>
      <c r="B32" s="4">
        <f>($C$1-B30)</f>
        <v>-3883.4599999999991</v>
      </c>
      <c r="C32" s="4">
        <f t="shared" ref="C32:M32" si="4">($C$1-C30)</f>
        <v>2739.54</v>
      </c>
      <c r="D32" s="4">
        <f t="shared" si="4"/>
        <v>-978.45999999999913</v>
      </c>
      <c r="E32" s="4">
        <f t="shared" si="4"/>
        <v>-760.45999999999913</v>
      </c>
      <c r="F32" s="4">
        <f t="shared" si="4"/>
        <v>119.53999999999996</v>
      </c>
      <c r="G32" s="4">
        <f t="shared" si="4"/>
        <v>-1380.4599999999991</v>
      </c>
      <c r="H32" s="4">
        <f t="shared" si="4"/>
        <v>-1380.4599999999991</v>
      </c>
      <c r="I32" s="4">
        <f t="shared" si="4"/>
        <v>-1380.4599999999991</v>
      </c>
      <c r="J32" s="4">
        <f t="shared" si="4"/>
        <v>-1380.4599999999991</v>
      </c>
      <c r="K32" s="4">
        <f t="shared" si="4"/>
        <v>-1380.4599999999991</v>
      </c>
      <c r="L32" s="4">
        <f t="shared" si="4"/>
        <v>-1380.4599999999991</v>
      </c>
      <c r="M32" s="4">
        <f t="shared" si="4"/>
        <v>-1380.4599999999991</v>
      </c>
      <c r="N32" s="18">
        <f t="shared" si="1"/>
        <v>-12426.519999999991</v>
      </c>
      <c r="O32" s="4"/>
      <c r="P32" s="22">
        <f>SUM(B32:M32)</f>
        <v>-12426.519999999991</v>
      </c>
    </row>
    <row r="33" spans="1:16" ht="15.75" thickBot="1" x14ac:dyDescent="0.3">
      <c r="B33" s="8">
        <f>B32/($C$1+$D$1)</f>
        <v>-0.47359268292682916</v>
      </c>
      <c r="C33" s="8">
        <f t="shared" ref="C33:M33" si="5">C32/($C$1+$D$1)</f>
        <v>0.33409024390243902</v>
      </c>
      <c r="D33" s="8">
        <f t="shared" si="5"/>
        <v>-0.11932439024390233</v>
      </c>
      <c r="E33" s="8">
        <f t="shared" si="5"/>
        <v>-9.2739024390243799E-2</v>
      </c>
      <c r="F33" s="8">
        <f t="shared" si="5"/>
        <v>1.4578048780487801E-2</v>
      </c>
      <c r="G33" s="8">
        <f t="shared" si="5"/>
        <v>-0.16834878048780477</v>
      </c>
      <c r="H33" s="8">
        <f t="shared" si="5"/>
        <v>-0.16834878048780477</v>
      </c>
      <c r="I33" s="8">
        <f t="shared" si="5"/>
        <v>-0.16834878048780477</v>
      </c>
      <c r="J33" s="8">
        <f t="shared" si="5"/>
        <v>-0.16834878048780477</v>
      </c>
      <c r="K33" s="8">
        <f t="shared" si="5"/>
        <v>-0.16834878048780477</v>
      </c>
      <c r="L33" s="8">
        <f t="shared" si="5"/>
        <v>-0.16834878048780477</v>
      </c>
      <c r="M33" s="8">
        <f t="shared" si="5"/>
        <v>-0.16834878048780477</v>
      </c>
      <c r="N33" s="20">
        <f>N32/($F$1+$D$1)</f>
        <v>-0.12628577235772348</v>
      </c>
      <c r="O33" s="8"/>
      <c r="P33" s="23">
        <f>P32/($F$1)</f>
        <v>-0.12628577235772348</v>
      </c>
    </row>
    <row r="34" spans="1:16" ht="15.75" thickBot="1" x14ac:dyDescent="0.3"/>
    <row r="35" spans="1:16" ht="15.75" thickBot="1" x14ac:dyDescent="0.3">
      <c r="A35" t="s">
        <v>45</v>
      </c>
      <c r="B35" s="8">
        <f>($D$1/$C$1)+B33</f>
        <v>-0.47359268292682916</v>
      </c>
      <c r="C35" s="8">
        <f t="shared" ref="C35:M35" si="6">($D$1/$C$1)+C33</f>
        <v>0.33409024390243902</v>
      </c>
      <c r="D35" s="8">
        <f t="shared" si="6"/>
        <v>-0.11932439024390233</v>
      </c>
      <c r="E35" s="8">
        <f t="shared" si="6"/>
        <v>-9.2739024390243799E-2</v>
      </c>
      <c r="F35" s="8">
        <f t="shared" si="6"/>
        <v>1.4578048780487801E-2</v>
      </c>
      <c r="G35" s="8">
        <f t="shared" si="6"/>
        <v>-0.16834878048780477</v>
      </c>
      <c r="H35" s="8">
        <f t="shared" si="6"/>
        <v>-0.16834878048780477</v>
      </c>
      <c r="I35" s="8">
        <f t="shared" si="6"/>
        <v>-0.16834878048780477</v>
      </c>
      <c r="J35" s="8">
        <f t="shared" si="6"/>
        <v>-0.16834878048780477</v>
      </c>
      <c r="K35" s="8">
        <f t="shared" si="6"/>
        <v>-0.16834878048780477</v>
      </c>
      <c r="L35" s="8">
        <f t="shared" si="6"/>
        <v>-0.16834878048780477</v>
      </c>
      <c r="M35" s="8">
        <f t="shared" si="6"/>
        <v>-0.16834878048780477</v>
      </c>
      <c r="N35" s="21">
        <f>AVERAGE(B35:M35)</f>
        <v>-0.12628577235772348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zoomScaleNormal="100" workbookViewId="0">
      <selection activeCell="H7" sqref="H7"/>
    </sheetView>
  </sheetViews>
  <sheetFormatPr defaultRowHeight="15" x14ac:dyDescent="0.25"/>
  <cols>
    <col min="1" max="1" width="10.85546875" bestFit="1" customWidth="1"/>
    <col min="3" max="3" width="15.28515625" bestFit="1" customWidth="1"/>
    <col min="4" max="4" width="15.7109375" bestFit="1" customWidth="1"/>
    <col min="5" max="5" width="11.7109375" bestFit="1" customWidth="1"/>
    <col min="6" max="6" width="15.42578125" bestFit="1" customWidth="1"/>
    <col min="7" max="7" width="12.5703125" bestFit="1" customWidth="1"/>
    <col min="8" max="8" width="10.5703125" bestFit="1" customWidth="1"/>
  </cols>
  <sheetData>
    <row r="1" spans="1:16" x14ac:dyDescent="0.25">
      <c r="A1" s="1" t="s">
        <v>64</v>
      </c>
      <c r="B1" s="1" t="s">
        <v>60</v>
      </c>
      <c r="C1" s="1" t="s">
        <v>62</v>
      </c>
      <c r="D1" s="1" t="s">
        <v>63</v>
      </c>
      <c r="E1" s="1" t="s">
        <v>61</v>
      </c>
      <c r="F1" s="1" t="s">
        <v>65</v>
      </c>
      <c r="G1" s="1" t="s">
        <v>32</v>
      </c>
      <c r="H1" s="1" t="s">
        <v>15</v>
      </c>
      <c r="I1" s="1" t="s">
        <v>46</v>
      </c>
      <c r="J1" s="1" t="s">
        <v>69</v>
      </c>
      <c r="K1" s="1" t="s">
        <v>59</v>
      </c>
      <c r="L1" s="1" t="s">
        <v>66</v>
      </c>
      <c r="M1" s="1" t="s">
        <v>3</v>
      </c>
      <c r="N1" s="1" t="s">
        <v>68</v>
      </c>
      <c r="O1" s="1" t="s">
        <v>67</v>
      </c>
      <c r="P1" s="1" t="s">
        <v>16</v>
      </c>
    </row>
    <row r="2" spans="1:16" x14ac:dyDescent="0.25">
      <c r="A2" t="s">
        <v>24</v>
      </c>
      <c r="B2">
        <v>69</v>
      </c>
      <c r="D2">
        <f>100</f>
        <v>100</v>
      </c>
      <c r="E2">
        <v>15</v>
      </c>
      <c r="J2">
        <v>350</v>
      </c>
      <c r="M2">
        <v>1282</v>
      </c>
      <c r="P2">
        <f>SUM(B2:C2,E2:F2)</f>
        <v>84</v>
      </c>
    </row>
    <row r="3" spans="1:16" x14ac:dyDescent="0.25">
      <c r="A3" t="s">
        <v>25</v>
      </c>
      <c r="B3">
        <v>185</v>
      </c>
      <c r="C3">
        <v>268</v>
      </c>
      <c r="D3">
        <f>296+5061</f>
        <v>5357</v>
      </c>
      <c r="E3">
        <v>15</v>
      </c>
      <c r="F3">
        <v>192</v>
      </c>
      <c r="G3">
        <v>1004</v>
      </c>
      <c r="J3">
        <v>350</v>
      </c>
      <c r="L3">
        <v>75</v>
      </c>
      <c r="M3">
        <v>1282</v>
      </c>
      <c r="P3">
        <f>SUM(B3:C3,E3:F3)</f>
        <v>660</v>
      </c>
    </row>
    <row r="4" spans="1:16" x14ac:dyDescent="0.25">
      <c r="A4" t="s">
        <v>26</v>
      </c>
      <c r="B4">
        <v>158</v>
      </c>
      <c r="C4">
        <v>159</v>
      </c>
      <c r="D4">
        <f>3225+142</f>
        <v>3367</v>
      </c>
      <c r="E4">
        <v>15</v>
      </c>
      <c r="F4">
        <v>476</v>
      </c>
      <c r="I4" s="3">
        <v>30</v>
      </c>
      <c r="J4" s="3">
        <v>350</v>
      </c>
      <c r="K4" s="3"/>
      <c r="L4" s="3"/>
      <c r="M4">
        <v>1282</v>
      </c>
      <c r="P4">
        <f>SUM(B4:C4,E4:F4)</f>
        <v>808</v>
      </c>
    </row>
    <row r="5" spans="1:16" x14ac:dyDescent="0.25">
      <c r="A5" t="s">
        <v>27</v>
      </c>
      <c r="B5">
        <v>137</v>
      </c>
      <c r="C5">
        <v>159</v>
      </c>
      <c r="D5">
        <f>9479</f>
        <v>9479</v>
      </c>
      <c r="E5">
        <v>15</v>
      </c>
      <c r="F5">
        <f>628-476</f>
        <v>152</v>
      </c>
      <c r="I5" s="3">
        <v>30</v>
      </c>
      <c r="J5" s="3">
        <v>350</v>
      </c>
      <c r="M5">
        <v>1282</v>
      </c>
    </row>
    <row r="6" spans="1:16" x14ac:dyDescent="0.25">
      <c r="A6" t="s">
        <v>28</v>
      </c>
      <c r="B6">
        <v>131</v>
      </c>
      <c r="C6">
        <v>159</v>
      </c>
      <c r="D6">
        <f>160+5997</f>
        <v>6157</v>
      </c>
      <c r="E6">
        <v>15</v>
      </c>
      <c r="F6">
        <v>116</v>
      </c>
      <c r="G6">
        <v>218</v>
      </c>
      <c r="I6" s="3">
        <v>30</v>
      </c>
      <c r="J6" s="3">
        <v>350</v>
      </c>
      <c r="L6">
        <v>75</v>
      </c>
      <c r="M6">
        <v>1282</v>
      </c>
    </row>
    <row r="7" spans="1:16" x14ac:dyDescent="0.25">
      <c r="A7" t="s">
        <v>17</v>
      </c>
      <c r="B7">
        <v>189</v>
      </c>
      <c r="C7">
        <v>159</v>
      </c>
      <c r="D7">
        <f>7373+100</f>
        <v>7473</v>
      </c>
      <c r="E7">
        <v>17</v>
      </c>
      <c r="F7">
        <v>60</v>
      </c>
      <c r="H7">
        <v>120</v>
      </c>
      <c r="I7" s="3">
        <v>30</v>
      </c>
      <c r="J7" s="3">
        <v>700</v>
      </c>
      <c r="K7">
        <v>106</v>
      </c>
      <c r="M7">
        <v>1282</v>
      </c>
      <c r="N7">
        <v>768</v>
      </c>
      <c r="O7">
        <v>985</v>
      </c>
    </row>
    <row r="8" spans="1:16" x14ac:dyDescent="0.25">
      <c r="A8" t="s">
        <v>18</v>
      </c>
      <c r="B8">
        <v>159</v>
      </c>
      <c r="C8">
        <v>159</v>
      </c>
      <c r="D8">
        <f>100+642</f>
        <v>742</v>
      </c>
      <c r="E8">
        <v>16</v>
      </c>
      <c r="F8">
        <v>42</v>
      </c>
      <c r="G8">
        <v>1620</v>
      </c>
      <c r="I8" s="3">
        <v>30</v>
      </c>
      <c r="J8" s="3">
        <v>700</v>
      </c>
      <c r="K8">
        <v>106</v>
      </c>
      <c r="M8">
        <v>1282</v>
      </c>
    </row>
    <row r="9" spans="1:16" x14ac:dyDescent="0.25">
      <c r="A9" t="s">
        <v>19</v>
      </c>
      <c r="C9">
        <v>169</v>
      </c>
      <c r="D9">
        <v>4468</v>
      </c>
      <c r="F9">
        <v>128</v>
      </c>
      <c r="G9">
        <v>1620</v>
      </c>
      <c r="I9" s="3">
        <v>30</v>
      </c>
      <c r="J9" s="3">
        <v>700</v>
      </c>
      <c r="K9">
        <v>106</v>
      </c>
      <c r="L9">
        <v>75</v>
      </c>
      <c r="M9">
        <v>1282</v>
      </c>
    </row>
    <row r="10" spans="1:16" x14ac:dyDescent="0.25">
      <c r="A10" t="s">
        <v>20</v>
      </c>
      <c r="H10">
        <v>120</v>
      </c>
      <c r="I10" s="3">
        <v>30</v>
      </c>
      <c r="J10" s="3">
        <v>700</v>
      </c>
      <c r="K10">
        <v>106</v>
      </c>
      <c r="M10">
        <v>1282</v>
      </c>
    </row>
    <row r="11" spans="1:16" x14ac:dyDescent="0.25">
      <c r="A11" t="s">
        <v>21</v>
      </c>
      <c r="I11" s="3">
        <v>30</v>
      </c>
      <c r="J11" s="3">
        <v>350</v>
      </c>
      <c r="K11">
        <v>106</v>
      </c>
    </row>
    <row r="12" spans="1:16" x14ac:dyDescent="0.25">
      <c r="A12" t="s">
        <v>22</v>
      </c>
      <c r="I12" s="3">
        <v>30</v>
      </c>
      <c r="J12" s="3">
        <v>350</v>
      </c>
      <c r="K12">
        <v>106</v>
      </c>
      <c r="L12">
        <v>75</v>
      </c>
    </row>
    <row r="13" spans="1:16" x14ac:dyDescent="0.25">
      <c r="A13" t="s">
        <v>23</v>
      </c>
      <c r="H13">
        <v>120</v>
      </c>
      <c r="I13" s="3">
        <v>30</v>
      </c>
      <c r="J13" s="3">
        <v>350</v>
      </c>
      <c r="K13">
        <v>106</v>
      </c>
    </row>
    <row r="14" spans="1:16" x14ac:dyDescent="0.25">
      <c r="A14" t="s">
        <v>24</v>
      </c>
      <c r="I14" s="3">
        <v>30</v>
      </c>
      <c r="J14" s="3">
        <v>350</v>
      </c>
      <c r="K14">
        <v>106</v>
      </c>
    </row>
    <row r="15" spans="1:16" x14ac:dyDescent="0.25">
      <c r="A15" t="s">
        <v>25</v>
      </c>
      <c r="I15" s="3">
        <v>30</v>
      </c>
      <c r="J15" s="3">
        <v>350</v>
      </c>
      <c r="K15">
        <v>106</v>
      </c>
      <c r="L15">
        <v>75</v>
      </c>
    </row>
    <row r="16" spans="1:16" x14ac:dyDescent="0.25">
      <c r="A16" t="s">
        <v>26</v>
      </c>
      <c r="H16">
        <v>120</v>
      </c>
      <c r="I16" s="3">
        <v>30</v>
      </c>
      <c r="J16" s="3">
        <v>350</v>
      </c>
      <c r="K16">
        <v>106</v>
      </c>
    </row>
    <row r="17" spans="1:16" x14ac:dyDescent="0.25">
      <c r="A17" t="s">
        <v>27</v>
      </c>
      <c r="I17" s="3">
        <v>30</v>
      </c>
      <c r="J17" s="3">
        <v>350</v>
      </c>
      <c r="K17">
        <v>106</v>
      </c>
    </row>
    <row r="18" spans="1:16" x14ac:dyDescent="0.25">
      <c r="A18" t="s">
        <v>28</v>
      </c>
      <c r="I18" s="3">
        <v>30</v>
      </c>
      <c r="J18" s="3">
        <v>350</v>
      </c>
      <c r="K18">
        <v>106</v>
      </c>
      <c r="L18">
        <v>75</v>
      </c>
    </row>
    <row r="20" spans="1:16" x14ac:dyDescent="0.25">
      <c r="B20" s="1" t="s">
        <v>33</v>
      </c>
    </row>
    <row r="21" spans="1:16" x14ac:dyDescent="0.25">
      <c r="B21" s="7">
        <f>AVERAGE(B2:B18)</f>
        <v>146.85714285714286</v>
      </c>
      <c r="C21" s="7">
        <f t="shared" ref="C21:M21" si="0">AVERAGE(C2:C18)</f>
        <v>176</v>
      </c>
      <c r="D21" s="7">
        <f t="shared" si="0"/>
        <v>4642.875</v>
      </c>
      <c r="E21" s="7">
        <f t="shared" si="0"/>
        <v>15.428571428571429</v>
      </c>
      <c r="F21" s="7">
        <f t="shared" si="0"/>
        <v>166.57142857142858</v>
      </c>
      <c r="G21" s="7">
        <f t="shared" si="0"/>
        <v>1115.5</v>
      </c>
      <c r="H21" s="7">
        <f t="shared" si="0"/>
        <v>120</v>
      </c>
      <c r="I21" s="7">
        <f t="shared" si="0"/>
        <v>30</v>
      </c>
      <c r="J21" s="7">
        <f t="shared" si="0"/>
        <v>432.35294117647061</v>
      </c>
      <c r="K21" s="7">
        <f t="shared" si="0"/>
        <v>106</v>
      </c>
      <c r="L21" s="7">
        <f t="shared" si="0"/>
        <v>75</v>
      </c>
      <c r="M21" s="7">
        <f t="shared" si="0"/>
        <v>1282</v>
      </c>
      <c r="N21" s="7"/>
      <c r="O21" s="7"/>
      <c r="P21" s="7"/>
    </row>
    <row r="22" spans="1:16" x14ac:dyDescent="0.25">
      <c r="B22" s="6" t="s">
        <v>34</v>
      </c>
      <c r="C22" s="6"/>
      <c r="D22" s="6"/>
      <c r="E22" s="6"/>
      <c r="F22" s="6"/>
      <c r="G22" s="6"/>
    </row>
    <row r="23" spans="1:16" x14ac:dyDescent="0.25">
      <c r="B23" s="7">
        <f>SUM(B2:B18)</f>
        <v>1028</v>
      </c>
      <c r="C23" s="7">
        <f t="shared" ref="C23:M23" si="1">SUM(C2:C18)</f>
        <v>1232</v>
      </c>
      <c r="D23" s="7">
        <f t="shared" si="1"/>
        <v>37143</v>
      </c>
      <c r="E23" s="7">
        <f t="shared" si="1"/>
        <v>108</v>
      </c>
      <c r="F23" s="7">
        <f t="shared" si="1"/>
        <v>1166</v>
      </c>
      <c r="G23" s="7">
        <f t="shared" si="1"/>
        <v>4462</v>
      </c>
      <c r="H23" s="7">
        <f t="shared" si="1"/>
        <v>480</v>
      </c>
      <c r="I23" s="7">
        <f t="shared" si="1"/>
        <v>450</v>
      </c>
      <c r="J23" s="7">
        <f t="shared" si="1"/>
        <v>7350</v>
      </c>
      <c r="K23" s="7">
        <f t="shared" si="1"/>
        <v>1272</v>
      </c>
      <c r="L23" s="7">
        <f t="shared" si="1"/>
        <v>450</v>
      </c>
      <c r="M23" s="7">
        <f t="shared" si="1"/>
        <v>11538</v>
      </c>
      <c r="N23" s="7"/>
      <c r="O23" s="7"/>
      <c r="P23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A15" sqref="A15"/>
    </sheetView>
  </sheetViews>
  <sheetFormatPr defaultRowHeight="15" x14ac:dyDescent="0.25"/>
  <sheetData>
    <row r="1" spans="1:12" x14ac:dyDescent="0.25">
      <c r="A1" t="s">
        <v>73</v>
      </c>
      <c r="B1" t="s">
        <v>74</v>
      </c>
      <c r="C1" t="s">
        <v>75</v>
      </c>
      <c r="D1" t="s">
        <v>44</v>
      </c>
      <c r="E1" t="s">
        <v>43</v>
      </c>
      <c r="F1" t="s">
        <v>42</v>
      </c>
      <c r="G1" t="s">
        <v>41</v>
      </c>
      <c r="H1" t="s">
        <v>40</v>
      </c>
      <c r="I1" t="s">
        <v>39</v>
      </c>
      <c r="J1" t="s">
        <v>38</v>
      </c>
      <c r="K1" t="s">
        <v>37</v>
      </c>
      <c r="L1" t="s">
        <v>76</v>
      </c>
    </row>
    <row r="2" spans="1:12" x14ac:dyDescent="0.25">
      <c r="A2">
        <v>41</v>
      </c>
      <c r="B2">
        <v>44</v>
      </c>
      <c r="C2">
        <v>41</v>
      </c>
    </row>
    <row r="3" spans="1:12" x14ac:dyDescent="0.25">
      <c r="A3">
        <v>40</v>
      </c>
      <c r="B3">
        <v>52</v>
      </c>
      <c r="C3">
        <v>53</v>
      </c>
    </row>
    <row r="4" spans="1:12" x14ac:dyDescent="0.25">
      <c r="A4">
        <v>44</v>
      </c>
      <c r="B4">
        <v>44</v>
      </c>
      <c r="C4">
        <v>90</v>
      </c>
    </row>
    <row r="5" spans="1:12" x14ac:dyDescent="0.25">
      <c r="A5">
        <v>51</v>
      </c>
      <c r="B5">
        <v>51</v>
      </c>
    </row>
    <row r="6" spans="1:12" x14ac:dyDescent="0.25">
      <c r="A6">
        <v>51</v>
      </c>
      <c r="B6">
        <v>90</v>
      </c>
    </row>
    <row r="7" spans="1:12" x14ac:dyDescent="0.25">
      <c r="A7">
        <v>47</v>
      </c>
    </row>
    <row r="12" spans="1:12" x14ac:dyDescent="0.25">
      <c r="A12" s="1" t="s">
        <v>34</v>
      </c>
    </row>
    <row r="13" spans="1:12" x14ac:dyDescent="0.25">
      <c r="A13" s="10">
        <f>SUM(A2:A11)</f>
        <v>274</v>
      </c>
      <c r="B13" s="10">
        <f t="shared" ref="B13:L13" si="0">SUM(B2:B11)</f>
        <v>281</v>
      </c>
      <c r="C13" s="10">
        <f t="shared" si="0"/>
        <v>184</v>
      </c>
      <c r="D13" s="10">
        <f t="shared" si="0"/>
        <v>0</v>
      </c>
      <c r="E13" s="10">
        <f t="shared" si="0"/>
        <v>0</v>
      </c>
      <c r="F13" s="10">
        <f t="shared" si="0"/>
        <v>0</v>
      </c>
      <c r="G13" s="10">
        <f t="shared" si="0"/>
        <v>0</v>
      </c>
      <c r="H13" s="10">
        <f t="shared" si="0"/>
        <v>0</v>
      </c>
      <c r="I13" s="10">
        <f t="shared" si="0"/>
        <v>0</v>
      </c>
      <c r="J13" s="10">
        <f t="shared" si="0"/>
        <v>0</v>
      </c>
      <c r="K13" s="10">
        <f t="shared" si="0"/>
        <v>0</v>
      </c>
      <c r="L13" s="10">
        <f t="shared" si="0"/>
        <v>0</v>
      </c>
    </row>
    <row r="14" spans="1:12" x14ac:dyDescent="0.25">
      <c r="A14" s="1" t="s">
        <v>33</v>
      </c>
    </row>
    <row r="15" spans="1:12" x14ac:dyDescent="0.25">
      <c r="A15" s="10">
        <f>AVERAGE(A13:D13)</f>
        <v>184.75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workbookViewId="0">
      <selection activeCell="E10" sqref="E10"/>
    </sheetView>
  </sheetViews>
  <sheetFormatPr defaultRowHeight="15" x14ac:dyDescent="0.25"/>
  <sheetData>
    <row r="2" spans="1:5" x14ac:dyDescent="0.25">
      <c r="A2">
        <v>1147</v>
      </c>
    </row>
    <row r="3" spans="1:5" x14ac:dyDescent="0.25">
      <c r="A3">
        <v>484</v>
      </c>
    </row>
    <row r="4" spans="1:5" x14ac:dyDescent="0.25">
      <c r="A4">
        <v>685</v>
      </c>
    </row>
    <row r="5" spans="1:5" x14ac:dyDescent="0.25">
      <c r="A5">
        <v>412</v>
      </c>
    </row>
    <row r="6" spans="1:5" x14ac:dyDescent="0.25">
      <c r="A6">
        <v>522</v>
      </c>
    </row>
    <row r="7" spans="1:5" x14ac:dyDescent="0.25">
      <c r="A7">
        <v>502</v>
      </c>
    </row>
    <row r="8" spans="1:5" x14ac:dyDescent="0.25">
      <c r="A8">
        <v>837</v>
      </c>
      <c r="D8" t="s">
        <v>70</v>
      </c>
      <c r="E8" t="s">
        <v>64</v>
      </c>
    </row>
    <row r="9" spans="1:5" x14ac:dyDescent="0.25">
      <c r="D9">
        <f>11*28*2</f>
        <v>616</v>
      </c>
      <c r="E9">
        <f>D9*2</f>
        <v>1232</v>
      </c>
    </row>
    <row r="10" spans="1:5" x14ac:dyDescent="0.25">
      <c r="A10">
        <f>SUM(A2:A8)</f>
        <v>4589</v>
      </c>
      <c r="B10">
        <f>AVERAGE(A2:A8)</f>
        <v>655.57142857142856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D2" sqref="D2"/>
    </sheetView>
  </sheetViews>
  <sheetFormatPr defaultRowHeight="15" x14ac:dyDescent="0.25"/>
  <cols>
    <col min="1" max="1" width="7.7109375" bestFit="1" customWidth="1"/>
    <col min="2" max="2" width="8.85546875" bestFit="1" customWidth="1"/>
    <col min="3" max="3" width="6.5703125" bestFit="1" customWidth="1"/>
    <col min="4" max="4" width="5.28515625" bestFit="1" customWidth="1"/>
    <col min="5" max="5" width="4.85546875" bestFit="1" customWidth="1"/>
    <col min="6" max="6" width="5.140625" bestFit="1" customWidth="1"/>
    <col min="7" max="7" width="4.42578125" bestFit="1" customWidth="1"/>
    <col min="8" max="8" width="7.140625" bestFit="1" customWidth="1"/>
    <col min="9" max="9" width="10.85546875" bestFit="1" customWidth="1"/>
    <col min="10" max="10" width="8.140625" bestFit="1" customWidth="1"/>
    <col min="11" max="11" width="10.42578125" bestFit="1" customWidth="1"/>
    <col min="12" max="12" width="10.140625" bestFit="1" customWidth="1"/>
  </cols>
  <sheetData>
    <row r="1" spans="1:12" s="1" customFormat="1" x14ac:dyDescent="0.2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1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Normal="100" workbookViewId="0">
      <selection activeCell="K14" sqref="K14"/>
    </sheetView>
  </sheetViews>
  <sheetFormatPr defaultRowHeight="15" x14ac:dyDescent="0.25"/>
  <cols>
    <col min="3" max="3" width="10.85546875" bestFit="1" customWidth="1"/>
    <col min="5" max="5" width="14.5703125" bestFit="1" customWidth="1"/>
    <col min="6" max="6" width="12.5703125" bestFit="1" customWidth="1"/>
    <col min="7" max="7" width="10.5703125" bestFit="1" customWidth="1"/>
  </cols>
  <sheetData>
    <row r="1" spans="1:7" x14ac:dyDescent="0.25">
      <c r="A1" s="1" t="s">
        <v>2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15</v>
      </c>
    </row>
    <row r="2" spans="1:7" x14ac:dyDescent="0.25">
      <c r="A2">
        <v>76</v>
      </c>
      <c r="B2">
        <v>108</v>
      </c>
      <c r="C2">
        <v>3325</v>
      </c>
      <c r="D2">
        <v>113</v>
      </c>
      <c r="E2">
        <v>53</v>
      </c>
      <c r="F2">
        <v>1200</v>
      </c>
    </row>
    <row r="3" spans="1:7" x14ac:dyDescent="0.25">
      <c r="A3">
        <v>83</v>
      </c>
      <c r="B3">
        <v>107</v>
      </c>
      <c r="C3">
        <v>3021</v>
      </c>
      <c r="D3">
        <v>87</v>
      </c>
      <c r="E3">
        <v>56</v>
      </c>
      <c r="F3">
        <v>1200</v>
      </c>
    </row>
    <row r="4" spans="1:7" x14ac:dyDescent="0.25">
      <c r="A4">
        <v>72</v>
      </c>
      <c r="B4">
        <v>107</v>
      </c>
      <c r="C4">
        <v>2147</v>
      </c>
      <c r="D4">
        <v>84</v>
      </c>
      <c r="E4">
        <v>59</v>
      </c>
      <c r="G4">
        <v>120</v>
      </c>
    </row>
    <row r="5" spans="1:7" x14ac:dyDescent="0.25">
      <c r="A5">
        <v>88</v>
      </c>
      <c r="B5">
        <v>143</v>
      </c>
      <c r="C5">
        <v>4247</v>
      </c>
      <c r="D5">
        <v>29</v>
      </c>
      <c r="E5">
        <v>63</v>
      </c>
    </row>
    <row r="6" spans="1:7" x14ac:dyDescent="0.25">
      <c r="A6">
        <v>133</v>
      </c>
      <c r="B6">
        <v>156</v>
      </c>
      <c r="C6">
        <v>2423</v>
      </c>
      <c r="D6">
        <v>17</v>
      </c>
      <c r="E6">
        <v>76</v>
      </c>
    </row>
    <row r="7" spans="1:7" x14ac:dyDescent="0.25">
      <c r="A7">
        <v>224</v>
      </c>
      <c r="B7">
        <v>156</v>
      </c>
      <c r="C7">
        <v>2161</v>
      </c>
      <c r="D7">
        <v>16</v>
      </c>
      <c r="E7">
        <v>59</v>
      </c>
      <c r="G7">
        <v>120</v>
      </c>
    </row>
    <row r="8" spans="1:7" x14ac:dyDescent="0.25">
      <c r="A8">
        <v>233</v>
      </c>
      <c r="B8">
        <v>80</v>
      </c>
      <c r="C8">
        <v>4957</v>
      </c>
      <c r="D8">
        <v>14</v>
      </c>
      <c r="E8">
        <v>63</v>
      </c>
    </row>
    <row r="9" spans="1:7" x14ac:dyDescent="0.25">
      <c r="A9">
        <v>224</v>
      </c>
      <c r="B9">
        <v>105</v>
      </c>
      <c r="C9">
        <v>828</v>
      </c>
      <c r="D9">
        <v>16</v>
      </c>
      <c r="E9">
        <v>76</v>
      </c>
    </row>
    <row r="10" spans="1:7" x14ac:dyDescent="0.25">
      <c r="A10">
        <v>106</v>
      </c>
      <c r="B10">
        <v>110</v>
      </c>
      <c r="C10">
        <v>3860</v>
      </c>
      <c r="D10">
        <v>14</v>
      </c>
      <c r="E10">
        <v>59</v>
      </c>
      <c r="G10">
        <v>120</v>
      </c>
    </row>
    <row r="11" spans="1:7" x14ac:dyDescent="0.25">
      <c r="A11">
        <v>87</v>
      </c>
      <c r="B11">
        <v>107</v>
      </c>
      <c r="C11">
        <v>2837</v>
      </c>
      <c r="D11">
        <v>20</v>
      </c>
      <c r="E11">
        <v>63</v>
      </c>
    </row>
    <row r="12" spans="1:7" x14ac:dyDescent="0.25">
      <c r="A12">
        <v>72</v>
      </c>
      <c r="B12">
        <v>128</v>
      </c>
      <c r="C12">
        <v>1914</v>
      </c>
      <c r="D12">
        <v>25</v>
      </c>
      <c r="E12">
        <v>59</v>
      </c>
    </row>
    <row r="13" spans="1:7" x14ac:dyDescent="0.25">
      <c r="B13">
        <v>139</v>
      </c>
      <c r="C13">
        <v>2118</v>
      </c>
      <c r="D13">
        <v>38</v>
      </c>
      <c r="E13">
        <v>65</v>
      </c>
      <c r="G13">
        <v>120</v>
      </c>
    </row>
    <row r="14" spans="1:7" x14ac:dyDescent="0.25">
      <c r="A14" s="1" t="s">
        <v>33</v>
      </c>
    </row>
    <row r="15" spans="1:7" x14ac:dyDescent="0.25">
      <c r="A15" s="7">
        <f>AVERAGE(A2:A13)</f>
        <v>127.09090909090909</v>
      </c>
      <c r="B15" s="7">
        <f>AVERAGE(B2:B13)</f>
        <v>120.5</v>
      </c>
      <c r="C15" s="7">
        <f>AVERAGE(C2:C13)</f>
        <v>2819.8333333333335</v>
      </c>
      <c r="D15" s="7">
        <f>AVERAGE(D2:D13)</f>
        <v>39.416666666666664</v>
      </c>
      <c r="E15" s="7">
        <f>AVERAGE(E2:E13)</f>
        <v>62.583333333333336</v>
      </c>
      <c r="F15" s="7">
        <f>(F2+F3)/12</f>
        <v>200</v>
      </c>
      <c r="G15" s="7">
        <f>(SUM(G2:G13)/12)</f>
        <v>40</v>
      </c>
    </row>
    <row r="16" spans="1:7" x14ac:dyDescent="0.25">
      <c r="A16" s="6" t="s">
        <v>34</v>
      </c>
      <c r="B16" s="6"/>
      <c r="C16" s="6"/>
      <c r="D16" s="6"/>
      <c r="E16" s="6"/>
      <c r="F16" s="6"/>
    </row>
    <row r="17" spans="1:6" x14ac:dyDescent="0.25">
      <c r="A17" s="7">
        <f t="shared" ref="A17:F17" si="0">SUM(A2:A13)</f>
        <v>1398</v>
      </c>
      <c r="B17" s="7">
        <f t="shared" si="0"/>
        <v>1446</v>
      </c>
      <c r="C17" s="7">
        <f t="shared" si="0"/>
        <v>33838</v>
      </c>
      <c r="D17" s="7">
        <f t="shared" si="0"/>
        <v>473</v>
      </c>
      <c r="E17" s="7">
        <f t="shared" si="0"/>
        <v>751</v>
      </c>
      <c r="F17" s="7">
        <f t="shared" si="0"/>
        <v>2400</v>
      </c>
    </row>
    <row r="20" spans="1:6" x14ac:dyDescent="0.25">
      <c r="C20">
        <f>AVERAGE(A6:A10)</f>
        <v>184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A12" sqref="A12"/>
    </sheetView>
  </sheetViews>
  <sheetFormatPr defaultRowHeight="15" x14ac:dyDescent="0.25"/>
  <sheetData>
    <row r="1" spans="1: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25">
      <c r="A2">
        <v>100</v>
      </c>
      <c r="B2">
        <v>100</v>
      </c>
      <c r="C2">
        <v>79</v>
      </c>
      <c r="D2">
        <v>100</v>
      </c>
      <c r="E2">
        <v>100</v>
      </c>
      <c r="F2">
        <v>100</v>
      </c>
      <c r="G2">
        <v>100</v>
      </c>
      <c r="H2">
        <v>121</v>
      </c>
    </row>
    <row r="3" spans="1:8" x14ac:dyDescent="0.25">
      <c r="A3">
        <v>92</v>
      </c>
      <c r="B3">
        <v>88</v>
      </c>
      <c r="C3">
        <v>100</v>
      </c>
      <c r="D3">
        <v>85</v>
      </c>
      <c r="G3">
        <v>50</v>
      </c>
      <c r="H3">
        <v>100</v>
      </c>
    </row>
    <row r="4" spans="1:8" x14ac:dyDescent="0.25">
      <c r="A4">
        <v>57</v>
      </c>
      <c r="C4">
        <v>100</v>
      </c>
      <c r="D4">
        <v>100</v>
      </c>
      <c r="G4">
        <v>72</v>
      </c>
    </row>
    <row r="5" spans="1:8" x14ac:dyDescent="0.25">
      <c r="A5">
        <v>95</v>
      </c>
      <c r="C5">
        <v>70</v>
      </c>
      <c r="D5">
        <v>87</v>
      </c>
      <c r="G5">
        <v>100</v>
      </c>
    </row>
    <row r="6" spans="1:8" x14ac:dyDescent="0.25">
      <c r="A6">
        <v>99</v>
      </c>
      <c r="C6">
        <v>100</v>
      </c>
      <c r="G6">
        <v>78</v>
      </c>
    </row>
    <row r="7" spans="1:8" x14ac:dyDescent="0.25">
      <c r="A7">
        <v>98</v>
      </c>
      <c r="G7">
        <v>100</v>
      </c>
    </row>
    <row r="8" spans="1:8" x14ac:dyDescent="0.25">
      <c r="A8">
        <v>70</v>
      </c>
    </row>
    <row r="9" spans="1:8" x14ac:dyDescent="0.25">
      <c r="A9" s="1" t="s">
        <v>34</v>
      </c>
    </row>
    <row r="10" spans="1:8" x14ac:dyDescent="0.25">
      <c r="A10" s="10">
        <f>SUM(A2:A8)</f>
        <v>611</v>
      </c>
      <c r="B10" s="10">
        <f t="shared" ref="B10:H10" si="0">SUM(B2:B8)</f>
        <v>188</v>
      </c>
      <c r="C10" s="10">
        <f t="shared" si="0"/>
        <v>449</v>
      </c>
      <c r="D10" s="10">
        <f t="shared" si="0"/>
        <v>372</v>
      </c>
      <c r="E10" s="10">
        <f t="shared" si="0"/>
        <v>100</v>
      </c>
      <c r="F10" s="10">
        <f t="shared" si="0"/>
        <v>100</v>
      </c>
      <c r="G10" s="10">
        <f t="shared" si="0"/>
        <v>500</v>
      </c>
      <c r="H10" s="10">
        <f t="shared" si="0"/>
        <v>221</v>
      </c>
    </row>
    <row r="11" spans="1:8" x14ac:dyDescent="0.25">
      <c r="A11" s="1" t="s">
        <v>33</v>
      </c>
    </row>
    <row r="12" spans="1:8" x14ac:dyDescent="0.25">
      <c r="A12" s="10">
        <f>AVERAGE(A10:H10)</f>
        <v>317.625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G9" sqref="G9"/>
    </sheetView>
  </sheetViews>
  <sheetFormatPr defaultRowHeight="15" x14ac:dyDescent="0.25"/>
  <cols>
    <col min="1" max="1" width="12.28515625" bestFit="1" customWidth="1"/>
    <col min="3" max="4" width="11.140625" bestFit="1" customWidth="1"/>
  </cols>
  <sheetData>
    <row r="1" spans="1:5" x14ac:dyDescent="0.25">
      <c r="A1" s="12"/>
      <c r="B1" s="13">
        <v>41330</v>
      </c>
      <c r="C1" s="14" t="s">
        <v>53</v>
      </c>
      <c r="D1" s="14" t="s">
        <v>56</v>
      </c>
      <c r="E1" s="12"/>
    </row>
    <row r="2" spans="1:5" x14ac:dyDescent="0.25">
      <c r="A2" s="14" t="s">
        <v>48</v>
      </c>
      <c r="B2" s="12">
        <v>200</v>
      </c>
      <c r="C2" s="12"/>
      <c r="D2" s="12">
        <v>322</v>
      </c>
      <c r="E2" s="12"/>
    </row>
    <row r="3" spans="1:5" x14ac:dyDescent="0.25">
      <c r="A3" s="14" t="s">
        <v>57</v>
      </c>
      <c r="B3" s="12"/>
      <c r="C3" s="12"/>
      <c r="D3" s="12">
        <v>100</v>
      </c>
      <c r="E3" s="12"/>
    </row>
    <row r="4" spans="1:5" x14ac:dyDescent="0.25">
      <c r="A4" s="14" t="s">
        <v>49</v>
      </c>
      <c r="B4" s="12">
        <v>95</v>
      </c>
      <c r="C4" s="12">
        <v>87</v>
      </c>
      <c r="D4" s="12">
        <v>280</v>
      </c>
      <c r="E4" s="12"/>
    </row>
    <row r="5" spans="1:5" x14ac:dyDescent="0.25">
      <c r="A5" s="14" t="s">
        <v>50</v>
      </c>
      <c r="B5" s="12">
        <v>150</v>
      </c>
      <c r="C5" s="12">
        <v>402.47</v>
      </c>
      <c r="D5" s="12">
        <v>800</v>
      </c>
      <c r="E5" s="12"/>
    </row>
    <row r="6" spans="1:5" x14ac:dyDescent="0.25">
      <c r="A6" s="14" t="s">
        <v>51</v>
      </c>
      <c r="B6" s="12"/>
      <c r="C6" s="12">
        <v>163</v>
      </c>
      <c r="D6" s="12">
        <v>51</v>
      </c>
      <c r="E6" s="12"/>
    </row>
    <row r="7" spans="1:5" x14ac:dyDescent="0.25">
      <c r="A7" s="14" t="s">
        <v>58</v>
      </c>
      <c r="B7" s="12"/>
      <c r="C7" s="12"/>
      <c r="D7" s="12">
        <v>160</v>
      </c>
      <c r="E7" s="12"/>
    </row>
    <row r="8" spans="1:5" x14ac:dyDescent="0.25">
      <c r="A8" s="12"/>
      <c r="B8" s="12"/>
      <c r="C8" s="12"/>
      <c r="D8" s="12"/>
      <c r="E8" s="12"/>
    </row>
    <row r="9" spans="1:5" x14ac:dyDescent="0.25">
      <c r="A9" s="14" t="s">
        <v>16</v>
      </c>
      <c r="B9" s="14">
        <f>SUM(B2:B7)</f>
        <v>445</v>
      </c>
      <c r="C9" s="14">
        <f>SUM(C2:C7)</f>
        <v>652.47</v>
      </c>
      <c r="D9" s="14">
        <f>SUM(D2:D7)</f>
        <v>1713</v>
      </c>
      <c r="E9" s="14">
        <f>SUM(E2:E7)</f>
        <v>0</v>
      </c>
    </row>
    <row r="11" spans="1:5" x14ac:dyDescent="0.25">
      <c r="A11" s="14" t="s">
        <v>55</v>
      </c>
      <c r="B11" s="14">
        <f>SUM(B9:E9)</f>
        <v>2810.4700000000003</v>
      </c>
    </row>
    <row r="13" spans="1:5" x14ac:dyDescent="0.25">
      <c r="A13" s="14" t="s">
        <v>54</v>
      </c>
      <c r="B13" s="14">
        <f>8000-B11</f>
        <v>5189.53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Print Sheet</vt:lpstr>
      <vt:lpstr>Worksheet</vt:lpstr>
      <vt:lpstr>New House 1314 Bills</vt:lpstr>
      <vt:lpstr>2014 Gasoline</vt:lpstr>
      <vt:lpstr>Jordan Pay</vt:lpstr>
      <vt:lpstr>Eating Out</vt:lpstr>
      <vt:lpstr>2012 Avg Bills</vt:lpstr>
      <vt:lpstr>2012 Gasoline</vt:lpstr>
      <vt:lpstr>House Hunting Expenses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2012-01-29T16:13:38Z</dcterms:created>
  <dcterms:modified xsi:type="dcterms:W3CDTF">2014-03-09T20:53:49Z</dcterms:modified>
</cp:coreProperties>
</file>