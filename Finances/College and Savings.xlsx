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D5A1C8DFBDE7D1D/Desktop/Finances/"/>
    </mc:Choice>
  </mc:AlternateContent>
  <xr:revisionPtr revIDLastSave="104" documentId="13_ncr:1_{441B4854-E99B-432C-BAA6-F8BF1B50180D}" xr6:coauthVersionLast="47" xr6:coauthVersionMax="47" xr10:uidLastSave="{96C9D0D4-E019-4943-BF4E-188A71F9781C}"/>
  <bookViews>
    <workbookView xWindow="-108" yWindow="-108" windowWidth="23256" windowHeight="12456" tabRatio="680" firstSheet="4" activeTab="6" xr2:uid="{00000000-000D-0000-FFFF-FFFF00000000}"/>
  </bookViews>
  <sheets>
    <sheet name="Katy (Old) House Pay Off" sheetId="11" r:id="rId1"/>
    <sheet name="Jordan IRA Projection" sheetId="5" r:id="rId2"/>
    <sheet name="Matt IRA Projection" sheetId="6" r:id="rId3"/>
    <sheet name="Matt 401K Projection" sheetId="7" r:id="rId4"/>
    <sheet name="Combined Accounts Estimate" sheetId="8" r:id="rId5"/>
    <sheet name="Net Worth" sheetId="12" r:id="rId6"/>
    <sheet name="Projection College Cost by year" sheetId="13" r:id="rId7"/>
    <sheet name="Projection College Cost Per Kid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12" l="1"/>
  <c r="V20" i="12"/>
  <c r="U20" i="12"/>
  <c r="T20" i="12"/>
  <c r="S20" i="12"/>
  <c r="P20" i="12"/>
  <c r="T10" i="12"/>
  <c r="T19" i="12"/>
  <c r="V9" i="12"/>
  <c r="T9" i="12"/>
  <c r="T12" i="12"/>
  <c r="T11" i="12"/>
  <c r="T18" i="12"/>
  <c r="V19" i="12"/>
  <c r="U19" i="12"/>
  <c r="S19" i="12"/>
  <c r="P19" i="12"/>
  <c r="W19" i="12" s="1"/>
  <c r="V18" i="12"/>
  <c r="S18" i="12"/>
  <c r="U18" i="12"/>
  <c r="P18" i="12"/>
  <c r="T17" i="12"/>
  <c r="V17" i="12"/>
  <c r="T14" i="12"/>
  <c r="T16" i="12"/>
  <c r="U17" i="12"/>
  <c r="O18" i="8"/>
  <c r="N18" i="8"/>
  <c r="J18" i="7"/>
  <c r="J15" i="5"/>
  <c r="J16" i="5"/>
  <c r="J16" i="6"/>
  <c r="J17" i="6"/>
  <c r="N28" i="4"/>
  <c r="P17" i="12"/>
  <c r="W17" i="12" s="1"/>
  <c r="S17" i="12"/>
  <c r="S16" i="12"/>
  <c r="P16" i="12"/>
  <c r="W16" i="12" s="1"/>
  <c r="D3" i="12"/>
  <c r="V16" i="12"/>
  <c r="U16" i="12"/>
  <c r="V15" i="12"/>
  <c r="H17" i="8"/>
  <c r="O17" i="8"/>
  <c r="T13" i="12"/>
  <c r="U14" i="12"/>
  <c r="T15" i="12"/>
  <c r="U15" i="12"/>
  <c r="P15" i="12"/>
  <c r="W15" i="12" s="1"/>
  <c r="V14" i="12"/>
  <c r="W15" i="13"/>
  <c r="Y15" i="13"/>
  <c r="I16" i="6"/>
  <c r="N17" i="8"/>
  <c r="O16" i="8"/>
  <c r="V13" i="12"/>
  <c r="U13" i="12"/>
  <c r="M12" i="12"/>
  <c r="V12" i="12" s="1"/>
  <c r="AD5" i="13"/>
  <c r="AC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14" i="13"/>
  <c r="W33" i="13"/>
  <c r="W34" i="13"/>
  <c r="W35" i="13"/>
  <c r="W36" i="13"/>
  <c r="W14" i="13"/>
  <c r="Q35" i="13"/>
  <c r="Q16" i="13"/>
  <c r="Q15" i="13"/>
  <c r="K16" i="13"/>
  <c r="K15" i="13"/>
  <c r="E11" i="13"/>
  <c r="E10" i="13"/>
  <c r="C10" i="4"/>
  <c r="F9" i="4"/>
  <c r="G9" i="4" s="1"/>
  <c r="M16" i="8"/>
  <c r="I14" i="4"/>
  <c r="O13" i="4"/>
  <c r="B11" i="12"/>
  <c r="B12" i="12"/>
  <c r="B13" i="12"/>
  <c r="B10" i="12"/>
  <c r="P12" i="12"/>
  <c r="U12" i="12"/>
  <c r="M11" i="12"/>
  <c r="V11" i="12" s="1"/>
  <c r="P13" i="12"/>
  <c r="W13" i="12" s="1"/>
  <c r="P14" i="12"/>
  <c r="W14" i="12" s="1"/>
  <c r="E16" i="7"/>
  <c r="H12" i="11"/>
  <c r="G12" i="11"/>
  <c r="L13" i="11"/>
  <c r="J25" i="11"/>
  <c r="U10" i="12"/>
  <c r="U11" i="12"/>
  <c r="U9" i="12"/>
  <c r="P10" i="12"/>
  <c r="P11" i="12"/>
  <c r="P9" i="12"/>
  <c r="W9" i="12" s="1"/>
  <c r="M10" i="12"/>
  <c r="V10" i="12" s="1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14" i="13"/>
  <c r="F9" i="13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9" i="4"/>
  <c r="S9" i="4" s="1"/>
  <c r="O10" i="4" s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12" i="4"/>
  <c r="D9" i="4"/>
  <c r="K26" i="4"/>
  <c r="E27" i="4"/>
  <c r="M28" i="13"/>
  <c r="M29" i="13"/>
  <c r="S31" i="13"/>
  <c r="Q26" i="4"/>
  <c r="X15" i="13"/>
  <c r="X16" i="13"/>
  <c r="X17" i="13"/>
  <c r="X18" i="13"/>
  <c r="X19" i="13"/>
  <c r="X20" i="13"/>
  <c r="X21" i="13"/>
  <c r="X22" i="13"/>
  <c r="X23" i="13"/>
  <c r="X24" i="13"/>
  <c r="X25" i="13"/>
  <c r="X26" i="13"/>
  <c r="X36" i="13"/>
  <c r="X14" i="13"/>
  <c r="C16" i="13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G31" i="13"/>
  <c r="F31" i="13"/>
  <c r="S35" i="13"/>
  <c r="X35" i="13" s="1"/>
  <c r="M32" i="13"/>
  <c r="G30" i="13"/>
  <c r="F30" i="13"/>
  <c r="S34" i="13"/>
  <c r="X34" i="13" s="1"/>
  <c r="M31" i="13"/>
  <c r="G29" i="13"/>
  <c r="X29" i="13" s="1"/>
  <c r="F29" i="13"/>
  <c r="S33" i="13"/>
  <c r="X33" i="13" s="1"/>
  <c r="M30" i="13"/>
  <c r="G28" i="13"/>
  <c r="X28" i="13" s="1"/>
  <c r="F28" i="13"/>
  <c r="S32" i="13"/>
  <c r="G27" i="13"/>
  <c r="X27" i="13" s="1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N14" i="13"/>
  <c r="F12" i="13"/>
  <c r="F11" i="13"/>
  <c r="F10" i="13"/>
  <c r="D10" i="13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T14" i="13"/>
  <c r="U14" i="13" s="1"/>
  <c r="H9" i="13"/>
  <c r="R9" i="4"/>
  <c r="L12" i="4"/>
  <c r="Q30" i="4"/>
  <c r="Q29" i="4"/>
  <c r="Q28" i="4"/>
  <c r="Q27" i="4"/>
  <c r="M12" i="4"/>
  <c r="I13" i="4" s="1"/>
  <c r="K30" i="4"/>
  <c r="K29" i="4"/>
  <c r="K28" i="4"/>
  <c r="K27" i="4"/>
  <c r="E15" i="6"/>
  <c r="E16" i="6"/>
  <c r="E17" i="6"/>
  <c r="E18" i="6"/>
  <c r="E20" i="6"/>
  <c r="E19" i="6"/>
  <c r="E21" i="6"/>
  <c r="E22" i="6"/>
  <c r="E23" i="6"/>
  <c r="E24" i="6"/>
  <c r="E25" i="6"/>
  <c r="E26" i="6"/>
  <c r="E27" i="6"/>
  <c r="E28" i="6"/>
  <c r="D5" i="12"/>
  <c r="D2" i="12"/>
  <c r="A16" i="12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B119" i="12" s="1"/>
  <c r="G10" i="8"/>
  <c r="C13" i="1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58" i="11" s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  <c r="C283" i="11" s="1"/>
  <c r="C284" i="11" s="1"/>
  <c r="C285" i="11" s="1"/>
  <c r="C286" i="11" s="1"/>
  <c r="C287" i="11" s="1"/>
  <c r="C288" i="11" s="1"/>
  <c r="C289" i="11" s="1"/>
  <c r="C290" i="11" s="1"/>
  <c r="C291" i="11" s="1"/>
  <c r="C292" i="11" s="1"/>
  <c r="C293" i="11" s="1"/>
  <c r="C294" i="11" s="1"/>
  <c r="C295" i="11" s="1"/>
  <c r="C296" i="11" s="1"/>
  <c r="C297" i="11" s="1"/>
  <c r="C298" i="11" s="1"/>
  <c r="C299" i="11" s="1"/>
  <c r="C300" i="11" s="1"/>
  <c r="C301" i="11" s="1"/>
  <c r="C302" i="11" s="1"/>
  <c r="C303" i="11" s="1"/>
  <c r="C304" i="11" s="1"/>
  <c r="C305" i="11" s="1"/>
  <c r="C306" i="11" s="1"/>
  <c r="C307" i="11" s="1"/>
  <c r="C308" i="11" s="1"/>
  <c r="C309" i="11" s="1"/>
  <c r="C310" i="11" s="1"/>
  <c r="C311" i="11" s="1"/>
  <c r="C312" i="11" s="1"/>
  <c r="C313" i="11" s="1"/>
  <c r="C314" i="11" s="1"/>
  <c r="C315" i="11" s="1"/>
  <c r="C316" i="11" s="1"/>
  <c r="C317" i="11" s="1"/>
  <c r="C318" i="11" s="1"/>
  <c r="C319" i="11" s="1"/>
  <c r="C320" i="11" s="1"/>
  <c r="C321" i="11" s="1"/>
  <c r="C322" i="11" s="1"/>
  <c r="C323" i="11" s="1"/>
  <c r="C324" i="11" s="1"/>
  <c r="C325" i="11" s="1"/>
  <c r="C326" i="11" s="1"/>
  <c r="C327" i="11" s="1"/>
  <c r="C328" i="11" s="1"/>
  <c r="C329" i="11" s="1"/>
  <c r="C330" i="11" s="1"/>
  <c r="C331" i="11" s="1"/>
  <c r="C332" i="11" s="1"/>
  <c r="C333" i="11" s="1"/>
  <c r="C334" i="11" s="1"/>
  <c r="C335" i="11" s="1"/>
  <c r="C336" i="11" s="1"/>
  <c r="C337" i="11" s="1"/>
  <c r="C338" i="11" s="1"/>
  <c r="C339" i="11" s="1"/>
  <c r="C340" i="11" s="1"/>
  <c r="C341" i="11" s="1"/>
  <c r="C342" i="11" s="1"/>
  <c r="C343" i="11" s="1"/>
  <c r="C344" i="11" s="1"/>
  <c r="C345" i="11" s="1"/>
  <c r="C346" i="11" s="1"/>
  <c r="C347" i="11" s="1"/>
  <c r="C348" i="11" s="1"/>
  <c r="C349" i="11" s="1"/>
  <c r="C350" i="11" s="1"/>
  <c r="C351" i="11" s="1"/>
  <c r="C352" i="11" s="1"/>
  <c r="C353" i="11" s="1"/>
  <c r="C354" i="11" s="1"/>
  <c r="C355" i="11" s="1"/>
  <c r="C356" i="11" s="1"/>
  <c r="C357" i="11" s="1"/>
  <c r="C358" i="11" s="1"/>
  <c r="C359" i="11" s="1"/>
  <c r="C360" i="11" s="1"/>
  <c r="C361" i="11" s="1"/>
  <c r="C362" i="11" s="1"/>
  <c r="C363" i="11" s="1"/>
  <c r="C364" i="11" s="1"/>
  <c r="C365" i="11" s="1"/>
  <c r="C366" i="11" s="1"/>
  <c r="C367" i="11" s="1"/>
  <c r="C368" i="11" s="1"/>
  <c r="C369" i="11" s="1"/>
  <c r="C370" i="11" s="1"/>
  <c r="C371" i="11" s="1"/>
  <c r="C372" i="11" s="1"/>
  <c r="C373" i="11" s="1"/>
  <c r="C374" i="11" s="1"/>
  <c r="C375" i="11" s="1"/>
  <c r="C376" i="11" s="1"/>
  <c r="C377" i="11" s="1"/>
  <c r="C378" i="11" s="1"/>
  <c r="C379" i="11" s="1"/>
  <c r="C380" i="11" s="1"/>
  <c r="C381" i="11" s="1"/>
  <c r="C382" i="11" s="1"/>
  <c r="C383" i="11" s="1"/>
  <c r="C384" i="11" s="1"/>
  <c r="C385" i="11" s="1"/>
  <c r="C386" i="11" s="1"/>
  <c r="C387" i="11" s="1"/>
  <c r="C388" i="11" s="1"/>
  <c r="C389" i="11" s="1"/>
  <c r="C390" i="11" s="1"/>
  <c r="C391" i="11" s="1"/>
  <c r="C392" i="11" s="1"/>
  <c r="C393" i="11" s="1"/>
  <c r="C394" i="11" s="1"/>
  <c r="C395" i="11" s="1"/>
  <c r="C396" i="11" s="1"/>
  <c r="B13" i="1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305" i="11" s="1"/>
  <c r="B306" i="11" s="1"/>
  <c r="B307" i="11" s="1"/>
  <c r="B308" i="11" s="1"/>
  <c r="B309" i="11" s="1"/>
  <c r="B310" i="11" s="1"/>
  <c r="B311" i="11" s="1"/>
  <c r="B312" i="11" s="1"/>
  <c r="B313" i="11" s="1"/>
  <c r="B314" i="11" s="1"/>
  <c r="B315" i="11" s="1"/>
  <c r="B316" i="11" s="1"/>
  <c r="B317" i="11" s="1"/>
  <c r="B318" i="11" s="1"/>
  <c r="B319" i="11" s="1"/>
  <c r="B320" i="11" s="1"/>
  <c r="B321" i="11" s="1"/>
  <c r="B322" i="11" s="1"/>
  <c r="B323" i="11" s="1"/>
  <c r="B324" i="11" s="1"/>
  <c r="B325" i="11" s="1"/>
  <c r="B326" i="11" s="1"/>
  <c r="B327" i="11" s="1"/>
  <c r="B328" i="11" s="1"/>
  <c r="B329" i="11" s="1"/>
  <c r="B330" i="11" s="1"/>
  <c r="B331" i="11" s="1"/>
  <c r="B332" i="11" s="1"/>
  <c r="B333" i="11" s="1"/>
  <c r="B334" i="11" s="1"/>
  <c r="B335" i="11" s="1"/>
  <c r="B336" i="11" s="1"/>
  <c r="B337" i="11" s="1"/>
  <c r="B338" i="11" s="1"/>
  <c r="B339" i="11" s="1"/>
  <c r="B340" i="11" s="1"/>
  <c r="B341" i="11" s="1"/>
  <c r="B342" i="11" s="1"/>
  <c r="B343" i="11" s="1"/>
  <c r="B344" i="11" s="1"/>
  <c r="B345" i="11" s="1"/>
  <c r="B346" i="11" s="1"/>
  <c r="B347" i="11" s="1"/>
  <c r="B348" i="11" s="1"/>
  <c r="B349" i="11" s="1"/>
  <c r="B350" i="11" s="1"/>
  <c r="B351" i="11" s="1"/>
  <c r="B352" i="11" s="1"/>
  <c r="B353" i="11" s="1"/>
  <c r="B354" i="11" s="1"/>
  <c r="B355" i="11" s="1"/>
  <c r="B356" i="11" s="1"/>
  <c r="B357" i="11" s="1"/>
  <c r="B358" i="11" s="1"/>
  <c r="B359" i="11" s="1"/>
  <c r="B360" i="11" s="1"/>
  <c r="B361" i="11" s="1"/>
  <c r="B362" i="11" s="1"/>
  <c r="B363" i="11" s="1"/>
  <c r="B364" i="11" s="1"/>
  <c r="B365" i="11" s="1"/>
  <c r="B366" i="11" s="1"/>
  <c r="B367" i="11" s="1"/>
  <c r="B368" i="11" s="1"/>
  <c r="B369" i="11" s="1"/>
  <c r="B370" i="11" s="1"/>
  <c r="B371" i="11" s="1"/>
  <c r="B372" i="11" s="1"/>
  <c r="B373" i="11" s="1"/>
  <c r="B374" i="11" s="1"/>
  <c r="B375" i="11" s="1"/>
  <c r="B376" i="11" s="1"/>
  <c r="B377" i="11" s="1"/>
  <c r="B378" i="11" s="1"/>
  <c r="B379" i="11" s="1"/>
  <c r="B380" i="11" s="1"/>
  <c r="B381" i="11" s="1"/>
  <c r="B382" i="11" s="1"/>
  <c r="B383" i="11" s="1"/>
  <c r="B384" i="11" s="1"/>
  <c r="B385" i="11" s="1"/>
  <c r="B386" i="11" s="1"/>
  <c r="B387" i="11" s="1"/>
  <c r="B388" i="11" s="1"/>
  <c r="B389" i="11" s="1"/>
  <c r="B390" i="11" s="1"/>
  <c r="B391" i="11" s="1"/>
  <c r="B392" i="11" s="1"/>
  <c r="B393" i="11" s="1"/>
  <c r="B394" i="11" s="1"/>
  <c r="B395" i="11" s="1"/>
  <c r="B396" i="11" s="1"/>
  <c r="L12" i="11"/>
  <c r="J11" i="1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J103" i="11" s="1"/>
  <c r="J104" i="11" s="1"/>
  <c r="J105" i="11" s="1"/>
  <c r="J106" i="11" s="1"/>
  <c r="J107" i="11" s="1"/>
  <c r="J108" i="11" s="1"/>
  <c r="J109" i="11" s="1"/>
  <c r="J110" i="11" s="1"/>
  <c r="J111" i="11" s="1"/>
  <c r="J112" i="11" s="1"/>
  <c r="J113" i="11" s="1"/>
  <c r="J114" i="11" s="1"/>
  <c r="J115" i="11" s="1"/>
  <c r="J116" i="11" s="1"/>
  <c r="J117" i="11" s="1"/>
  <c r="J118" i="11" s="1"/>
  <c r="J119" i="11" s="1"/>
  <c r="J120" i="11" s="1"/>
  <c r="J121" i="11" s="1"/>
  <c r="J122" i="11" s="1"/>
  <c r="J123" i="11" s="1"/>
  <c r="J124" i="11" s="1"/>
  <c r="J125" i="11" s="1"/>
  <c r="J126" i="11" s="1"/>
  <c r="J127" i="11" s="1"/>
  <c r="J128" i="11" s="1"/>
  <c r="J129" i="11" s="1"/>
  <c r="J130" i="11" s="1"/>
  <c r="J131" i="11" s="1"/>
  <c r="J132" i="11" s="1"/>
  <c r="J133" i="11" s="1"/>
  <c r="J134" i="11" s="1"/>
  <c r="J135" i="11" s="1"/>
  <c r="J136" i="11" s="1"/>
  <c r="J137" i="11" s="1"/>
  <c r="J138" i="11" s="1"/>
  <c r="J139" i="11" s="1"/>
  <c r="J140" i="11" s="1"/>
  <c r="J141" i="11" s="1"/>
  <c r="J142" i="11" s="1"/>
  <c r="J143" i="11" s="1"/>
  <c r="J144" i="11" s="1"/>
  <c r="J145" i="11" s="1"/>
  <c r="J146" i="11" s="1"/>
  <c r="J147" i="11" s="1"/>
  <c r="J148" i="11" s="1"/>
  <c r="J149" i="11" s="1"/>
  <c r="J150" i="11" s="1"/>
  <c r="J151" i="11" s="1"/>
  <c r="J152" i="11" s="1"/>
  <c r="J153" i="11" s="1"/>
  <c r="J154" i="11" s="1"/>
  <c r="J155" i="11" s="1"/>
  <c r="J156" i="11" s="1"/>
  <c r="J157" i="11" s="1"/>
  <c r="J158" i="11" s="1"/>
  <c r="J159" i="11" s="1"/>
  <c r="J160" i="11" s="1"/>
  <c r="J161" i="11" s="1"/>
  <c r="J162" i="11" s="1"/>
  <c r="J163" i="11" s="1"/>
  <c r="J164" i="11" s="1"/>
  <c r="J165" i="11" s="1"/>
  <c r="J166" i="11" s="1"/>
  <c r="J167" i="11" s="1"/>
  <c r="J168" i="11" s="1"/>
  <c r="J169" i="11" s="1"/>
  <c r="J170" i="11" s="1"/>
  <c r="J171" i="11" s="1"/>
  <c r="J172" i="11" s="1"/>
  <c r="J173" i="11" s="1"/>
  <c r="J174" i="11" s="1"/>
  <c r="J175" i="11" s="1"/>
  <c r="J176" i="11" s="1"/>
  <c r="J177" i="11" s="1"/>
  <c r="J178" i="11" s="1"/>
  <c r="J179" i="11" s="1"/>
  <c r="J180" i="11" s="1"/>
  <c r="J181" i="11" s="1"/>
  <c r="J182" i="11" s="1"/>
  <c r="J183" i="11" s="1"/>
  <c r="J184" i="11" s="1"/>
  <c r="J185" i="11" s="1"/>
  <c r="J186" i="11" s="1"/>
  <c r="J187" i="11" s="1"/>
  <c r="J188" i="11" s="1"/>
  <c r="J189" i="11" s="1"/>
  <c r="J190" i="11" s="1"/>
  <c r="J191" i="11" s="1"/>
  <c r="J192" i="11" s="1"/>
  <c r="J193" i="11" s="1"/>
  <c r="J194" i="11" s="1"/>
  <c r="J195" i="11" s="1"/>
  <c r="J196" i="11" s="1"/>
  <c r="J197" i="11" s="1"/>
  <c r="J198" i="11" s="1"/>
  <c r="J199" i="11" s="1"/>
  <c r="J200" i="11" s="1"/>
  <c r="J201" i="11" s="1"/>
  <c r="J202" i="11" s="1"/>
  <c r="J203" i="11" s="1"/>
  <c r="J204" i="11" s="1"/>
  <c r="J205" i="11" s="1"/>
  <c r="J206" i="11" s="1"/>
  <c r="J207" i="11" s="1"/>
  <c r="J208" i="11" s="1"/>
  <c r="J209" i="11" s="1"/>
  <c r="J210" i="11" s="1"/>
  <c r="J211" i="11" s="1"/>
  <c r="J212" i="11" s="1"/>
  <c r="J213" i="11" s="1"/>
  <c r="J214" i="11" s="1"/>
  <c r="J215" i="11" s="1"/>
  <c r="J216" i="11" s="1"/>
  <c r="J217" i="11" s="1"/>
  <c r="J218" i="11" s="1"/>
  <c r="J219" i="11" s="1"/>
  <c r="J220" i="11" s="1"/>
  <c r="J221" i="11" s="1"/>
  <c r="J222" i="11" s="1"/>
  <c r="J223" i="11" s="1"/>
  <c r="J224" i="11" s="1"/>
  <c r="J225" i="11" s="1"/>
  <c r="J226" i="11" s="1"/>
  <c r="J227" i="11" s="1"/>
  <c r="J228" i="11" s="1"/>
  <c r="J229" i="11" s="1"/>
  <c r="J230" i="11" s="1"/>
  <c r="J231" i="11" s="1"/>
  <c r="J232" i="11" s="1"/>
  <c r="J233" i="11" s="1"/>
  <c r="J234" i="11" s="1"/>
  <c r="J235" i="11" s="1"/>
  <c r="J236" i="11" s="1"/>
  <c r="J237" i="11" s="1"/>
  <c r="J238" i="11" s="1"/>
  <c r="J239" i="11" s="1"/>
  <c r="J240" i="11" s="1"/>
  <c r="J241" i="11" s="1"/>
  <c r="J242" i="11" s="1"/>
  <c r="J243" i="11" s="1"/>
  <c r="J244" i="11" s="1"/>
  <c r="J245" i="11" s="1"/>
  <c r="J246" i="11" s="1"/>
  <c r="J247" i="11" s="1"/>
  <c r="J248" i="11" s="1"/>
  <c r="J249" i="11" s="1"/>
  <c r="J250" i="11" s="1"/>
  <c r="J251" i="11" s="1"/>
  <c r="J252" i="11" s="1"/>
  <c r="J253" i="11" s="1"/>
  <c r="J254" i="11" s="1"/>
  <c r="J255" i="11" s="1"/>
  <c r="J256" i="11" s="1"/>
  <c r="J257" i="11" s="1"/>
  <c r="J258" i="11" s="1"/>
  <c r="J259" i="11" s="1"/>
  <c r="J260" i="11" s="1"/>
  <c r="J261" i="11" s="1"/>
  <c r="J262" i="11" s="1"/>
  <c r="J263" i="11" s="1"/>
  <c r="J264" i="11" s="1"/>
  <c r="J265" i="11" s="1"/>
  <c r="J266" i="11" s="1"/>
  <c r="J267" i="11" s="1"/>
  <c r="J268" i="11" s="1"/>
  <c r="J269" i="11" s="1"/>
  <c r="J270" i="11" s="1"/>
  <c r="J271" i="11" s="1"/>
  <c r="J272" i="11" s="1"/>
  <c r="J273" i="11" s="1"/>
  <c r="J274" i="11" s="1"/>
  <c r="J275" i="11" s="1"/>
  <c r="J276" i="11" s="1"/>
  <c r="J277" i="11" s="1"/>
  <c r="J278" i="11" s="1"/>
  <c r="J279" i="11" s="1"/>
  <c r="J280" i="11" s="1"/>
  <c r="J281" i="11" s="1"/>
  <c r="J282" i="11" s="1"/>
  <c r="J283" i="11" s="1"/>
  <c r="J284" i="11" s="1"/>
  <c r="J285" i="11" s="1"/>
  <c r="J286" i="11" s="1"/>
  <c r="J287" i="11" s="1"/>
  <c r="J288" i="11" s="1"/>
  <c r="J289" i="11" s="1"/>
  <c r="J290" i="11" s="1"/>
  <c r="J291" i="11" s="1"/>
  <c r="J292" i="11" s="1"/>
  <c r="J293" i="11" s="1"/>
  <c r="J294" i="11" s="1"/>
  <c r="J295" i="11" s="1"/>
  <c r="J296" i="11" s="1"/>
  <c r="J297" i="11" s="1"/>
  <c r="J298" i="11" s="1"/>
  <c r="J299" i="11" s="1"/>
  <c r="J300" i="11" s="1"/>
  <c r="J301" i="11" s="1"/>
  <c r="J302" i="11" s="1"/>
  <c r="J303" i="11" s="1"/>
  <c r="J304" i="11" s="1"/>
  <c r="J305" i="11" s="1"/>
  <c r="J306" i="11" s="1"/>
  <c r="J307" i="11" s="1"/>
  <c r="J308" i="11" s="1"/>
  <c r="J309" i="11" s="1"/>
  <c r="J310" i="11" s="1"/>
  <c r="J311" i="11" s="1"/>
  <c r="J312" i="11" s="1"/>
  <c r="J313" i="11" s="1"/>
  <c r="J314" i="11" s="1"/>
  <c r="J315" i="11" s="1"/>
  <c r="J316" i="11" s="1"/>
  <c r="J317" i="11" s="1"/>
  <c r="J318" i="11" s="1"/>
  <c r="J319" i="11" s="1"/>
  <c r="J320" i="11" s="1"/>
  <c r="J321" i="11" s="1"/>
  <c r="J322" i="11" s="1"/>
  <c r="J323" i="11" s="1"/>
  <c r="J324" i="11" s="1"/>
  <c r="J325" i="11" s="1"/>
  <c r="J326" i="11" s="1"/>
  <c r="J327" i="11" s="1"/>
  <c r="J328" i="11" s="1"/>
  <c r="J329" i="11" s="1"/>
  <c r="J330" i="11" s="1"/>
  <c r="J331" i="11" s="1"/>
  <c r="J332" i="11" s="1"/>
  <c r="J333" i="11" s="1"/>
  <c r="J334" i="11" s="1"/>
  <c r="J335" i="11" s="1"/>
  <c r="J336" i="11" s="1"/>
  <c r="J337" i="11" s="1"/>
  <c r="J338" i="11" s="1"/>
  <c r="J339" i="11" s="1"/>
  <c r="J340" i="11" s="1"/>
  <c r="J341" i="11" s="1"/>
  <c r="J342" i="11" s="1"/>
  <c r="J343" i="11" s="1"/>
  <c r="J344" i="11" s="1"/>
  <c r="J345" i="11" s="1"/>
  <c r="J346" i="11" s="1"/>
  <c r="J347" i="11" s="1"/>
  <c r="J348" i="11" s="1"/>
  <c r="J349" i="11" s="1"/>
  <c r="J350" i="11" s="1"/>
  <c r="J351" i="11" s="1"/>
  <c r="J352" i="11" s="1"/>
  <c r="J353" i="11" s="1"/>
  <c r="J354" i="11" s="1"/>
  <c r="J355" i="11" s="1"/>
  <c r="J356" i="11" s="1"/>
  <c r="J357" i="11" s="1"/>
  <c r="J358" i="11" s="1"/>
  <c r="J359" i="11" s="1"/>
  <c r="J360" i="11" s="1"/>
  <c r="J361" i="11" s="1"/>
  <c r="J362" i="11" s="1"/>
  <c r="J363" i="11" s="1"/>
  <c r="J364" i="11" s="1"/>
  <c r="J365" i="11" s="1"/>
  <c r="J366" i="11" s="1"/>
  <c r="J367" i="11" s="1"/>
  <c r="J368" i="11" s="1"/>
  <c r="J369" i="11" s="1"/>
  <c r="J370" i="11" s="1"/>
  <c r="J371" i="11" s="1"/>
  <c r="J372" i="11" s="1"/>
  <c r="J373" i="11" s="1"/>
  <c r="J374" i="11" s="1"/>
  <c r="J375" i="11" s="1"/>
  <c r="J376" i="11" s="1"/>
  <c r="J377" i="11" s="1"/>
  <c r="J378" i="11" s="1"/>
  <c r="J379" i="11" s="1"/>
  <c r="J380" i="11" s="1"/>
  <c r="J381" i="11" s="1"/>
  <c r="J382" i="11" s="1"/>
  <c r="J383" i="11" s="1"/>
  <c r="J384" i="11" s="1"/>
  <c r="J385" i="11" s="1"/>
  <c r="J386" i="11" s="1"/>
  <c r="J387" i="11" s="1"/>
  <c r="J388" i="11" s="1"/>
  <c r="J389" i="11" s="1"/>
  <c r="J390" i="11" s="1"/>
  <c r="J391" i="11" s="1"/>
  <c r="J392" i="11" s="1"/>
  <c r="J393" i="11" s="1"/>
  <c r="J394" i="11" s="1"/>
  <c r="J395" i="11" s="1"/>
  <c r="J396" i="11" s="1"/>
  <c r="F11" i="11"/>
  <c r="L11" i="11" s="1"/>
  <c r="M11" i="11" s="1"/>
  <c r="W18" i="12" l="1"/>
  <c r="W11" i="12"/>
  <c r="W12" i="12"/>
  <c r="W10" i="12"/>
  <c r="B112" i="12"/>
  <c r="B104" i="12"/>
  <c r="B96" i="12"/>
  <c r="B88" i="12"/>
  <c r="B80" i="12"/>
  <c r="B72" i="12"/>
  <c r="B64" i="12"/>
  <c r="B56" i="12"/>
  <c r="B48" i="12"/>
  <c r="B40" i="12"/>
  <c r="B32" i="12"/>
  <c r="B24" i="12"/>
  <c r="B16" i="12"/>
  <c r="B111" i="12"/>
  <c r="B103" i="12"/>
  <c r="B95" i="12"/>
  <c r="B87" i="12"/>
  <c r="B79" i="12"/>
  <c r="B71" i="12"/>
  <c r="B63" i="12"/>
  <c r="B55" i="12"/>
  <c r="B47" i="12"/>
  <c r="B39" i="12"/>
  <c r="B31" i="12"/>
  <c r="B23" i="12"/>
  <c r="B15" i="12"/>
  <c r="B118" i="12"/>
  <c r="B110" i="12"/>
  <c r="B102" i="12"/>
  <c r="B94" i="12"/>
  <c r="B86" i="12"/>
  <c r="B78" i="12"/>
  <c r="B70" i="12"/>
  <c r="B62" i="12"/>
  <c r="B54" i="12"/>
  <c r="B46" i="12"/>
  <c r="B38" i="12"/>
  <c r="B30" i="12"/>
  <c r="B22" i="12"/>
  <c r="B14" i="12"/>
  <c r="B117" i="12"/>
  <c r="B109" i="12"/>
  <c r="B101" i="12"/>
  <c r="B93" i="12"/>
  <c r="B85" i="12"/>
  <c r="B77" i="12"/>
  <c r="B69" i="12"/>
  <c r="B61" i="12"/>
  <c r="B53" i="12"/>
  <c r="B45" i="12"/>
  <c r="B37" i="12"/>
  <c r="B29" i="12"/>
  <c r="B21" i="12"/>
  <c r="B116" i="12"/>
  <c r="B108" i="12"/>
  <c r="B100" i="12"/>
  <c r="B92" i="12"/>
  <c r="B84" i="12"/>
  <c r="B76" i="12"/>
  <c r="B68" i="12"/>
  <c r="B60" i="12"/>
  <c r="B52" i="12"/>
  <c r="B44" i="12"/>
  <c r="B36" i="12"/>
  <c r="B28" i="12"/>
  <c r="B20" i="12"/>
  <c r="B115" i="12"/>
  <c r="B107" i="12"/>
  <c r="B99" i="12"/>
  <c r="B91" i="12"/>
  <c r="B83" i="12"/>
  <c r="B75" i="12"/>
  <c r="B67" i="12"/>
  <c r="B59" i="12"/>
  <c r="B51" i="12"/>
  <c r="B43" i="12"/>
  <c r="B35" i="12"/>
  <c r="B27" i="12"/>
  <c r="B19" i="12"/>
  <c r="B114" i="12"/>
  <c r="B106" i="12"/>
  <c r="B98" i="12"/>
  <c r="B90" i="12"/>
  <c r="B82" i="12"/>
  <c r="B74" i="12"/>
  <c r="B66" i="12"/>
  <c r="B58" i="12"/>
  <c r="B50" i="12"/>
  <c r="B42" i="12"/>
  <c r="B34" i="12"/>
  <c r="B26" i="12"/>
  <c r="B18" i="12"/>
  <c r="B113" i="12"/>
  <c r="B105" i="12"/>
  <c r="B97" i="12"/>
  <c r="B89" i="12"/>
  <c r="B81" i="12"/>
  <c r="B73" i="12"/>
  <c r="B65" i="12"/>
  <c r="B57" i="12"/>
  <c r="B49" i="12"/>
  <c r="B41" i="12"/>
  <c r="B33" i="12"/>
  <c r="B25" i="12"/>
  <c r="B17" i="12"/>
  <c r="O14" i="13"/>
  <c r="N15" i="13" s="1"/>
  <c r="O15" i="13" s="1"/>
  <c r="N16" i="13" s="1"/>
  <c r="O16" i="13" s="1"/>
  <c r="R10" i="4"/>
  <c r="S10" i="4" s="1"/>
  <c r="O11" i="4" s="1"/>
  <c r="R11" i="4" s="1"/>
  <c r="S11" i="4" s="1"/>
  <c r="O12" i="4" s="1"/>
  <c r="L13" i="4"/>
  <c r="M13" i="4" s="1"/>
  <c r="X31" i="13"/>
  <c r="X32" i="13"/>
  <c r="X30" i="13"/>
  <c r="I9" i="13"/>
  <c r="H10" i="13" s="1"/>
  <c r="I10" i="13" s="1"/>
  <c r="H11" i="13" s="1"/>
  <c r="I11" i="13" s="1"/>
  <c r="T15" i="13"/>
  <c r="U15" i="13" s="1"/>
  <c r="F13" i="11"/>
  <c r="M12" i="11"/>
  <c r="K17" i="13" l="1"/>
  <c r="N17" i="13" s="1"/>
  <c r="E12" i="13"/>
  <c r="H12" i="13" s="1"/>
  <c r="I12" i="13" s="1"/>
  <c r="R12" i="4"/>
  <c r="S12" i="4"/>
  <c r="R13" i="4" s="1"/>
  <c r="S13" i="4" s="1"/>
  <c r="O14" i="4" s="1"/>
  <c r="L14" i="4"/>
  <c r="M14" i="4" s="1"/>
  <c r="T16" i="13"/>
  <c r="U16" i="13" s="1"/>
  <c r="Q17" i="13" s="1"/>
  <c r="H13" i="11"/>
  <c r="G13" i="11" s="1"/>
  <c r="I15" i="4" l="1"/>
  <c r="L15" i="4" s="1"/>
  <c r="M15" i="4" s="1"/>
  <c r="I16" i="4" s="1"/>
  <c r="O17" i="13"/>
  <c r="K18" i="13" s="1"/>
  <c r="N18" i="13" s="1"/>
  <c r="O18" i="13" s="1"/>
  <c r="K19" i="13" s="1"/>
  <c r="N19" i="13" s="1"/>
  <c r="O19" i="13" s="1"/>
  <c r="K20" i="13" s="1"/>
  <c r="E13" i="13"/>
  <c r="H13" i="13" s="1"/>
  <c r="I13" i="13" s="1"/>
  <c r="E14" i="13" s="1"/>
  <c r="H14" i="13" s="1"/>
  <c r="I14" i="13" s="1"/>
  <c r="E15" i="13" s="1"/>
  <c r="H15" i="13" s="1"/>
  <c r="T17" i="13"/>
  <c r="U17" i="13" s="1"/>
  <c r="Q18" i="13" s="1"/>
  <c r="R14" i="4"/>
  <c r="S14" i="4" s="1"/>
  <c r="O15" i="4" s="1"/>
  <c r="I15" i="13" l="1"/>
  <c r="E16" i="13" s="1"/>
  <c r="N20" i="13"/>
  <c r="O20" i="13" s="1"/>
  <c r="K21" i="13" s="1"/>
  <c r="T18" i="13"/>
  <c r="U18" i="13" s="1"/>
  <c r="Q19" i="13" s="1"/>
  <c r="R15" i="4"/>
  <c r="S15" i="4" s="1"/>
  <c r="O16" i="4" s="1"/>
  <c r="L16" i="4"/>
  <c r="F14" i="11"/>
  <c r="M13" i="11"/>
  <c r="H16" i="13" l="1"/>
  <c r="I16" i="13" s="1"/>
  <c r="T19" i="13"/>
  <c r="U19" i="13" s="1"/>
  <c r="Q20" i="13" s="1"/>
  <c r="N21" i="13"/>
  <c r="O21" i="13" s="1"/>
  <c r="K22" i="13" s="1"/>
  <c r="R16" i="4"/>
  <c r="S16" i="4" s="1"/>
  <c r="O17" i="4" s="1"/>
  <c r="M16" i="4"/>
  <c r="I17" i="4" s="1"/>
  <c r="H14" i="11"/>
  <c r="G14" i="11" s="1"/>
  <c r="E17" i="13" l="1"/>
  <c r="H17" i="13" s="1"/>
  <c r="I17" i="13" s="1"/>
  <c r="W16" i="13"/>
  <c r="N22" i="13"/>
  <c r="O22" i="13" s="1"/>
  <c r="K23" i="13" s="1"/>
  <c r="T20" i="13"/>
  <c r="U20" i="13" s="1"/>
  <c r="Q21" i="13" s="1"/>
  <c r="R17" i="4"/>
  <c r="S17" i="4" s="1"/>
  <c r="O18" i="4" s="1"/>
  <c r="L17" i="4"/>
  <c r="L14" i="11"/>
  <c r="E18" i="13" l="1"/>
  <c r="H18" i="13" s="1"/>
  <c r="I18" i="13" s="1"/>
  <c r="W17" i="13"/>
  <c r="T21" i="13"/>
  <c r="U21" i="13" s="1"/>
  <c r="Q22" i="13" s="1"/>
  <c r="N23" i="13"/>
  <c r="O23" i="13" s="1"/>
  <c r="K24" i="13" s="1"/>
  <c r="R18" i="4"/>
  <c r="S18" i="4" s="1"/>
  <c r="O19" i="4" s="1"/>
  <c r="M17" i="4"/>
  <c r="I18" i="4" s="1"/>
  <c r="F15" i="11"/>
  <c r="M14" i="11"/>
  <c r="E19" i="13" l="1"/>
  <c r="W18" i="13"/>
  <c r="H19" i="13"/>
  <c r="I19" i="13" s="1"/>
  <c r="N24" i="13"/>
  <c r="O24" i="13" s="1"/>
  <c r="K25" i="13" s="1"/>
  <c r="T22" i="13"/>
  <c r="U22" i="13" s="1"/>
  <c r="Q23" i="13" s="1"/>
  <c r="R19" i="4"/>
  <c r="S19" i="4" s="1"/>
  <c r="O20" i="4" s="1"/>
  <c r="L18" i="4"/>
  <c r="H15" i="11"/>
  <c r="G15" i="11" s="1"/>
  <c r="E20" i="13" l="1"/>
  <c r="H20" i="13" s="1"/>
  <c r="I20" i="13" s="1"/>
  <c r="W19" i="13"/>
  <c r="T23" i="13"/>
  <c r="U23" i="13" s="1"/>
  <c r="Q24" i="13" s="1"/>
  <c r="N25" i="13"/>
  <c r="O25" i="13" s="1"/>
  <c r="K26" i="13" s="1"/>
  <c r="R20" i="4"/>
  <c r="S20" i="4" s="1"/>
  <c r="O21" i="4" s="1"/>
  <c r="M18" i="4"/>
  <c r="I19" i="4" s="1"/>
  <c r="L15" i="11"/>
  <c r="E21" i="13" l="1"/>
  <c r="H21" i="13" s="1"/>
  <c r="I21" i="13" s="1"/>
  <c r="W20" i="13"/>
  <c r="N26" i="13"/>
  <c r="O26" i="13" s="1"/>
  <c r="K27" i="13" s="1"/>
  <c r="T24" i="13"/>
  <c r="U24" i="13" s="1"/>
  <c r="Q25" i="13" s="1"/>
  <c r="R21" i="4"/>
  <c r="S21" i="4" s="1"/>
  <c r="O22" i="4" s="1"/>
  <c r="L19" i="4"/>
  <c r="M19" i="4" s="1"/>
  <c r="I20" i="4" s="1"/>
  <c r="F16" i="11"/>
  <c r="M15" i="11"/>
  <c r="E22" i="13" l="1"/>
  <c r="H22" i="13" s="1"/>
  <c r="I22" i="13" s="1"/>
  <c r="W21" i="13"/>
  <c r="N27" i="13"/>
  <c r="O27" i="13" s="1"/>
  <c r="K28" i="13" s="1"/>
  <c r="T25" i="13"/>
  <c r="U25" i="13" s="1"/>
  <c r="Q26" i="13" s="1"/>
  <c r="R22" i="4"/>
  <c r="S22" i="4" s="1"/>
  <c r="O23" i="4" s="1"/>
  <c r="L20" i="4"/>
  <c r="M20" i="4" s="1"/>
  <c r="I21" i="4" s="1"/>
  <c r="H16" i="11"/>
  <c r="G16" i="11" s="1"/>
  <c r="E23" i="13" l="1"/>
  <c r="H23" i="13" s="1"/>
  <c r="I23" i="13" s="1"/>
  <c r="W22" i="13"/>
  <c r="N28" i="13"/>
  <c r="O28" i="13" s="1"/>
  <c r="K29" i="13" s="1"/>
  <c r="T26" i="13"/>
  <c r="U26" i="13" s="1"/>
  <c r="Q27" i="13" s="1"/>
  <c r="R23" i="4"/>
  <c r="S23" i="4" s="1"/>
  <c r="O24" i="4" s="1"/>
  <c r="L16" i="11"/>
  <c r="F17" i="11" s="1"/>
  <c r="E24" i="13" l="1"/>
  <c r="H24" i="13" s="1"/>
  <c r="I24" i="13" s="1"/>
  <c r="W23" i="13"/>
  <c r="T27" i="13"/>
  <c r="U27" i="13" s="1"/>
  <c r="Q28" i="13" s="1"/>
  <c r="N29" i="13"/>
  <c r="O29" i="13" s="1"/>
  <c r="K30" i="13" s="1"/>
  <c r="R24" i="4"/>
  <c r="S24" i="4" s="1"/>
  <c r="O25" i="4" s="1"/>
  <c r="L21" i="4"/>
  <c r="M21" i="4" s="1"/>
  <c r="I22" i="4" s="1"/>
  <c r="M16" i="11"/>
  <c r="H17" i="11"/>
  <c r="G17" i="11" s="1"/>
  <c r="E25" i="13" l="1"/>
  <c r="H25" i="13" s="1"/>
  <c r="I25" i="13" s="1"/>
  <c r="W24" i="13"/>
  <c r="N30" i="13"/>
  <c r="O30" i="13" s="1"/>
  <c r="K31" i="13" s="1"/>
  <c r="T28" i="13"/>
  <c r="U28" i="13" s="1"/>
  <c r="Q29" i="13" s="1"/>
  <c r="R25" i="4"/>
  <c r="S25" i="4" s="1"/>
  <c r="O26" i="4" s="1"/>
  <c r="L22" i="4"/>
  <c r="M22" i="4" s="1"/>
  <c r="I23" i="4" s="1"/>
  <c r="L17" i="11"/>
  <c r="F18" i="11" s="1"/>
  <c r="E26" i="13" l="1"/>
  <c r="H26" i="13" s="1"/>
  <c r="I26" i="13" s="1"/>
  <c r="W25" i="13"/>
  <c r="T29" i="13"/>
  <c r="U29" i="13" s="1"/>
  <c r="Q30" i="13" s="1"/>
  <c r="N31" i="13"/>
  <c r="O31" i="13" s="1"/>
  <c r="K32" i="13" s="1"/>
  <c r="R26" i="4"/>
  <c r="S26" i="4" s="1"/>
  <c r="O27" i="4" s="1"/>
  <c r="M17" i="11"/>
  <c r="H18" i="11"/>
  <c r="G18" i="11" s="1"/>
  <c r="E27" i="13" l="1"/>
  <c r="H27" i="13" s="1"/>
  <c r="I27" i="13" s="1"/>
  <c r="W26" i="13"/>
  <c r="T30" i="13"/>
  <c r="U30" i="13" s="1"/>
  <c r="Q31" i="13" s="1"/>
  <c r="N32" i="13"/>
  <c r="O32" i="13" s="1"/>
  <c r="K33" i="13" s="1"/>
  <c r="R27" i="4"/>
  <c r="S27" i="4" s="1"/>
  <c r="O28" i="4" s="1"/>
  <c r="L23" i="4"/>
  <c r="M23" i="4" s="1"/>
  <c r="I24" i="4" s="1"/>
  <c r="L18" i="11"/>
  <c r="E28" i="13" l="1"/>
  <c r="H28" i="13" s="1"/>
  <c r="I28" i="13" s="1"/>
  <c r="W27" i="13"/>
  <c r="T31" i="13"/>
  <c r="U31" i="13" s="1"/>
  <c r="Q32" i="13" s="1"/>
  <c r="N33" i="13"/>
  <c r="O33" i="13" s="1"/>
  <c r="R28" i="4"/>
  <c r="S28" i="4" s="1"/>
  <c r="O29" i="4" s="1"/>
  <c r="F19" i="11"/>
  <c r="M18" i="11"/>
  <c r="E29" i="13" l="1"/>
  <c r="H29" i="13" s="1"/>
  <c r="I29" i="13" s="1"/>
  <c r="W28" i="13"/>
  <c r="T32" i="13"/>
  <c r="U32" i="13" s="1"/>
  <c r="Q33" i="13" s="1"/>
  <c r="R29" i="4"/>
  <c r="S29" i="4" s="1"/>
  <c r="O30" i="4" s="1"/>
  <c r="L24" i="4"/>
  <c r="H19" i="11"/>
  <c r="G19" i="11" s="1"/>
  <c r="E30" i="13" l="1"/>
  <c r="H30" i="13" s="1"/>
  <c r="I30" i="13" s="1"/>
  <c r="W29" i="13"/>
  <c r="T33" i="13"/>
  <c r="U33" i="13" s="1"/>
  <c r="Q34" i="13" s="1"/>
  <c r="R30" i="4"/>
  <c r="S30" i="4" s="1"/>
  <c r="O31" i="4" s="1"/>
  <c r="M24" i="4"/>
  <c r="I25" i="4" s="1"/>
  <c r="L19" i="11"/>
  <c r="F20" i="11"/>
  <c r="M19" i="11"/>
  <c r="E31" i="13" l="1"/>
  <c r="W30" i="13"/>
  <c r="H31" i="13"/>
  <c r="I31" i="13" s="1"/>
  <c r="W31" i="13" s="1"/>
  <c r="T34" i="13"/>
  <c r="U34" i="13" s="1"/>
  <c r="R31" i="4"/>
  <c r="S31" i="4" s="1"/>
  <c r="O32" i="4" s="1"/>
  <c r="L25" i="4"/>
  <c r="M25" i="4" s="1"/>
  <c r="I26" i="4" s="1"/>
  <c r="H20" i="11"/>
  <c r="G20" i="11" s="1"/>
  <c r="E32" i="13" l="1"/>
  <c r="H32" i="13" s="1"/>
  <c r="I32" i="13" s="1"/>
  <c r="W32" i="13" s="1"/>
  <c r="T35" i="13"/>
  <c r="U35" i="13" s="1"/>
  <c r="Q36" i="13" s="1"/>
  <c r="R32" i="4"/>
  <c r="S32" i="4" s="1"/>
  <c r="O33" i="4" s="1"/>
  <c r="L26" i="4"/>
  <c r="L20" i="11"/>
  <c r="F21" i="11" s="1"/>
  <c r="T36" i="13" l="1"/>
  <c r="R33" i="4"/>
  <c r="S33" i="4" s="1"/>
  <c r="O34" i="4" s="1"/>
  <c r="M26" i="4"/>
  <c r="I27" i="4" s="1"/>
  <c r="M20" i="11"/>
  <c r="H21" i="11"/>
  <c r="G21" i="11" s="1"/>
  <c r="U36" i="13" l="1"/>
  <c r="R34" i="4"/>
  <c r="S34" i="4" s="1"/>
  <c r="L27" i="4"/>
  <c r="L21" i="11"/>
  <c r="F22" i="11"/>
  <c r="M21" i="11"/>
  <c r="M27" i="4" l="1"/>
  <c r="I28" i="4" s="1"/>
  <c r="H22" i="11"/>
  <c r="G22" i="11" s="1"/>
  <c r="L28" i="4" l="1"/>
  <c r="M28" i="4" s="1"/>
  <c r="L22" i="11"/>
  <c r="F23" i="11" l="1"/>
  <c r="M22" i="11"/>
  <c r="H23" i="11" l="1"/>
  <c r="G23" i="11" s="1"/>
  <c r="L23" i="11" l="1"/>
  <c r="F24" i="11"/>
  <c r="M23" i="11"/>
  <c r="H24" i="11" l="1"/>
  <c r="G24" i="11" s="1"/>
  <c r="L24" i="11" l="1"/>
  <c r="F25" i="11"/>
  <c r="M24" i="11"/>
  <c r="H25" i="11" l="1"/>
  <c r="G25" i="11" s="1"/>
  <c r="L25" i="11" l="1"/>
  <c r="F26" i="11" l="1"/>
  <c r="M25" i="11"/>
  <c r="H26" i="11" l="1"/>
  <c r="G26" i="11" s="1"/>
  <c r="L26" i="11" l="1"/>
  <c r="F27" i="11"/>
  <c r="M26" i="11"/>
  <c r="H27" i="11" l="1"/>
  <c r="G27" i="11" s="1"/>
  <c r="L27" i="11" l="1"/>
  <c r="F28" i="11" s="1"/>
  <c r="M27" i="11" l="1"/>
  <c r="H28" i="11"/>
  <c r="G28" i="11" s="1"/>
  <c r="L28" i="11" l="1"/>
  <c r="F29" i="11" s="1"/>
  <c r="M28" i="11" l="1"/>
  <c r="H29" i="11"/>
  <c r="G29" i="11" s="1"/>
  <c r="L29" i="11" l="1"/>
  <c r="F30" i="11" l="1"/>
  <c r="M29" i="11"/>
  <c r="H30" i="11" l="1"/>
  <c r="G30" i="11" s="1"/>
  <c r="L30" i="11" l="1"/>
  <c r="M30" i="11" s="1"/>
  <c r="F31" i="11" l="1"/>
  <c r="H31" i="11" l="1"/>
  <c r="G31" i="11" s="1"/>
  <c r="L31" i="11" l="1"/>
  <c r="F32" i="11" l="1"/>
  <c r="M31" i="11"/>
  <c r="H32" i="11" l="1"/>
  <c r="G32" i="11" s="1"/>
  <c r="L32" i="11"/>
  <c r="F33" i="11" l="1"/>
  <c r="M32" i="11"/>
  <c r="H33" i="11" l="1"/>
  <c r="G33" i="11" s="1"/>
  <c r="L33" i="11" l="1"/>
  <c r="F34" i="11" l="1"/>
  <c r="M33" i="11"/>
  <c r="H34" i="11" l="1"/>
  <c r="G34" i="11" s="1"/>
  <c r="L34" i="11" l="1"/>
  <c r="F35" i="11" l="1"/>
  <c r="M34" i="11"/>
  <c r="H35" i="11" l="1"/>
  <c r="G35" i="11" s="1"/>
  <c r="L35" i="11"/>
  <c r="F36" i="11" l="1"/>
  <c r="H36" i="11" s="1"/>
  <c r="G36" i="11" s="1"/>
  <c r="M35" i="11"/>
  <c r="L36" i="11" l="1"/>
  <c r="F37" i="11"/>
  <c r="M36" i="11"/>
  <c r="H37" i="11" l="1"/>
  <c r="G37" i="11" s="1"/>
  <c r="L37" i="11" l="1"/>
  <c r="F38" i="11" l="1"/>
  <c r="M37" i="11"/>
  <c r="H38" i="11" l="1"/>
  <c r="G38" i="11" s="1"/>
  <c r="L38" i="11" l="1"/>
  <c r="F39" i="11" l="1"/>
  <c r="M38" i="11"/>
  <c r="H39" i="11" l="1"/>
  <c r="G39" i="11" s="1"/>
  <c r="L39" i="11" l="1"/>
  <c r="F40" i="11" l="1"/>
  <c r="M39" i="11"/>
  <c r="H40" i="11" l="1"/>
  <c r="G40" i="11" s="1"/>
  <c r="L40" i="11" l="1"/>
  <c r="F41" i="11" l="1"/>
  <c r="M40" i="11"/>
  <c r="H41" i="11" l="1"/>
  <c r="G41" i="11" s="1"/>
  <c r="L41" i="11" l="1"/>
  <c r="F42" i="11" l="1"/>
  <c r="M41" i="11"/>
  <c r="H42" i="11" l="1"/>
  <c r="G42" i="11" s="1"/>
  <c r="L42" i="11" l="1"/>
  <c r="F43" i="11" l="1"/>
  <c r="M42" i="11"/>
  <c r="H43" i="11" l="1"/>
  <c r="G43" i="11" s="1"/>
  <c r="L43" i="11" l="1"/>
  <c r="F44" i="11" l="1"/>
  <c r="M43" i="11"/>
  <c r="H44" i="11" l="1"/>
  <c r="G44" i="11" s="1"/>
  <c r="L44" i="11" l="1"/>
  <c r="F45" i="11" l="1"/>
  <c r="M44" i="11"/>
  <c r="H45" i="11" l="1"/>
  <c r="G45" i="11" s="1"/>
  <c r="L45" i="11" l="1"/>
  <c r="F46" i="11" l="1"/>
  <c r="M45" i="11"/>
  <c r="H46" i="11" l="1"/>
  <c r="G46" i="11" s="1"/>
  <c r="L46" i="11" l="1"/>
  <c r="F47" i="11" l="1"/>
  <c r="M46" i="11"/>
  <c r="H47" i="11" l="1"/>
  <c r="G47" i="11" s="1"/>
  <c r="L47" i="11" l="1"/>
  <c r="F48" i="11" l="1"/>
  <c r="M47" i="11"/>
  <c r="H48" i="11" l="1"/>
  <c r="G48" i="11" s="1"/>
  <c r="L48" i="11" l="1"/>
  <c r="F49" i="11" l="1"/>
  <c r="M48" i="11"/>
  <c r="H49" i="11" l="1"/>
  <c r="G49" i="11" s="1"/>
  <c r="L49" i="11" l="1"/>
  <c r="F50" i="11" l="1"/>
  <c r="M49" i="11"/>
  <c r="H50" i="11" l="1"/>
  <c r="G50" i="11" s="1"/>
  <c r="L50" i="11" l="1"/>
  <c r="F51" i="11" l="1"/>
  <c r="M50" i="11"/>
  <c r="H51" i="11" l="1"/>
  <c r="G51" i="11" s="1"/>
  <c r="L51" i="11" l="1"/>
  <c r="F52" i="11" l="1"/>
  <c r="M51" i="11"/>
  <c r="H52" i="11" l="1"/>
  <c r="G52" i="11" s="1"/>
  <c r="L52" i="11" l="1"/>
  <c r="F53" i="11" l="1"/>
  <c r="M52" i="11"/>
  <c r="H53" i="11" l="1"/>
  <c r="G53" i="11" s="1"/>
  <c r="L53" i="11" l="1"/>
  <c r="F54" i="11" l="1"/>
  <c r="M53" i="11"/>
  <c r="H54" i="11" l="1"/>
  <c r="G54" i="11" s="1"/>
  <c r="L54" i="11" l="1"/>
  <c r="F55" i="11" l="1"/>
  <c r="M54" i="11"/>
  <c r="H55" i="11" l="1"/>
  <c r="G55" i="11" s="1"/>
  <c r="L55" i="11" l="1"/>
  <c r="F56" i="11" l="1"/>
  <c r="M55" i="11"/>
  <c r="H56" i="11" l="1"/>
  <c r="G56" i="11" s="1"/>
  <c r="L56" i="11" l="1"/>
  <c r="F57" i="11" l="1"/>
  <c r="M56" i="11"/>
  <c r="H57" i="11" l="1"/>
  <c r="G57" i="11" s="1"/>
  <c r="L57" i="11" l="1"/>
  <c r="F58" i="11" l="1"/>
  <c r="M57" i="11"/>
  <c r="H58" i="11" l="1"/>
  <c r="G58" i="11" s="1"/>
  <c r="L58" i="11" l="1"/>
  <c r="F59" i="11" l="1"/>
  <c r="M58" i="11"/>
  <c r="H59" i="11" l="1"/>
  <c r="G59" i="11" s="1"/>
  <c r="L59" i="11" l="1"/>
  <c r="F60" i="11" l="1"/>
  <c r="M59" i="11"/>
  <c r="H60" i="11" l="1"/>
  <c r="G60" i="11" s="1"/>
  <c r="L60" i="11" l="1"/>
  <c r="F61" i="11" l="1"/>
  <c r="M60" i="11"/>
  <c r="H61" i="11" l="1"/>
  <c r="G61" i="11" s="1"/>
  <c r="L61" i="11" l="1"/>
  <c r="F62" i="11" l="1"/>
  <c r="M61" i="11"/>
  <c r="H62" i="11" l="1"/>
  <c r="G62" i="11" s="1"/>
  <c r="L62" i="11" l="1"/>
  <c r="F63" i="11" l="1"/>
  <c r="M62" i="11"/>
  <c r="H63" i="11" l="1"/>
  <c r="G63" i="11" s="1"/>
  <c r="L63" i="11" l="1"/>
  <c r="F64" i="11" l="1"/>
  <c r="M63" i="11"/>
  <c r="H64" i="11" l="1"/>
  <c r="G64" i="11" s="1"/>
  <c r="L64" i="11" l="1"/>
  <c r="F65" i="11" l="1"/>
  <c r="M64" i="11"/>
  <c r="H65" i="11" l="1"/>
  <c r="G65" i="11" s="1"/>
  <c r="L65" i="11" l="1"/>
  <c r="F66" i="11" l="1"/>
  <c r="M65" i="11"/>
  <c r="H66" i="11" l="1"/>
  <c r="G66" i="11" s="1"/>
  <c r="L66" i="11" l="1"/>
  <c r="F67" i="11"/>
  <c r="M66" i="11"/>
  <c r="H67" i="11" l="1"/>
  <c r="G67" i="11" s="1"/>
  <c r="L67" i="11" l="1"/>
  <c r="F68" i="11" l="1"/>
  <c r="M67" i="11"/>
  <c r="H68" i="11" l="1"/>
  <c r="G68" i="11" s="1"/>
  <c r="L68" i="11" l="1"/>
  <c r="F69" i="11" s="1"/>
  <c r="M68" i="11"/>
  <c r="H69" i="11" l="1"/>
  <c r="G69" i="11" s="1"/>
  <c r="L69" i="11" l="1"/>
  <c r="F70" i="11" l="1"/>
  <c r="M69" i="11"/>
  <c r="H70" i="11" l="1"/>
  <c r="G70" i="11" s="1"/>
  <c r="L70" i="11" l="1"/>
  <c r="F71" i="11" l="1"/>
  <c r="M70" i="11"/>
  <c r="H71" i="11" l="1"/>
  <c r="G71" i="11" s="1"/>
  <c r="L71" i="11" l="1"/>
  <c r="F72" i="11" l="1"/>
  <c r="M71" i="11"/>
  <c r="H72" i="11" l="1"/>
  <c r="G72" i="11" s="1"/>
  <c r="L72" i="11" l="1"/>
  <c r="F73" i="11" l="1"/>
  <c r="M72" i="11"/>
  <c r="H73" i="11" l="1"/>
  <c r="G73" i="11" s="1"/>
  <c r="L73" i="11" l="1"/>
  <c r="F74" i="11" l="1"/>
  <c r="M73" i="11"/>
  <c r="H74" i="11" l="1"/>
  <c r="G74" i="11" s="1"/>
  <c r="L74" i="11" l="1"/>
  <c r="F75" i="11"/>
  <c r="M74" i="11"/>
  <c r="H75" i="11" l="1"/>
  <c r="G75" i="11" s="1"/>
  <c r="L75" i="11" l="1"/>
  <c r="F76" i="11" l="1"/>
  <c r="M75" i="11"/>
  <c r="H76" i="11" l="1"/>
  <c r="G76" i="11" s="1"/>
  <c r="L76" i="11" l="1"/>
  <c r="M76" i="11" l="1"/>
  <c r="F77" i="11"/>
  <c r="H77" i="11" l="1"/>
  <c r="G77" i="11" s="1"/>
  <c r="L77" i="11" l="1"/>
  <c r="M77" i="11" l="1"/>
  <c r="F78" i="11"/>
  <c r="H78" i="11" l="1"/>
  <c r="G78" i="11" s="1"/>
  <c r="L78" i="11" l="1"/>
  <c r="M78" i="11" l="1"/>
  <c r="F79" i="11"/>
  <c r="H79" i="11" l="1"/>
  <c r="G79" i="11" s="1"/>
  <c r="L79" i="11" l="1"/>
  <c r="M79" i="11" l="1"/>
  <c r="F80" i="11"/>
  <c r="H80" i="11" l="1"/>
  <c r="G80" i="11" s="1"/>
  <c r="L80" i="11" l="1"/>
  <c r="M80" i="11" l="1"/>
  <c r="F81" i="11"/>
  <c r="H81" i="11" l="1"/>
  <c r="G81" i="11" s="1"/>
  <c r="L81" i="11" l="1"/>
  <c r="M81" i="11" l="1"/>
  <c r="F82" i="11"/>
  <c r="H82" i="11" l="1"/>
  <c r="G82" i="11" s="1"/>
  <c r="L82" i="11" l="1"/>
  <c r="M82" i="11" l="1"/>
  <c r="F83" i="11"/>
  <c r="H83" i="11" l="1"/>
  <c r="G83" i="11" s="1"/>
  <c r="L83" i="11" l="1"/>
  <c r="M83" i="11" l="1"/>
  <c r="F84" i="11"/>
  <c r="H84" i="11" l="1"/>
  <c r="G84" i="11" s="1"/>
  <c r="L84" i="11" l="1"/>
  <c r="M84" i="11" l="1"/>
  <c r="F85" i="11"/>
  <c r="H85" i="11" l="1"/>
  <c r="G85" i="11" s="1"/>
  <c r="L85" i="11" l="1"/>
  <c r="M85" i="11" l="1"/>
  <c r="F86" i="11"/>
  <c r="H86" i="11" l="1"/>
  <c r="G86" i="11" s="1"/>
  <c r="L86" i="11" l="1"/>
  <c r="M86" i="11" l="1"/>
  <c r="F87" i="11"/>
  <c r="H87" i="11" l="1"/>
  <c r="G87" i="11" s="1"/>
  <c r="L87" i="11" l="1"/>
  <c r="M87" i="11" l="1"/>
  <c r="F88" i="11"/>
  <c r="H88" i="11" l="1"/>
  <c r="G88" i="11" s="1"/>
  <c r="L88" i="11" l="1"/>
  <c r="M88" i="11" l="1"/>
  <c r="F89" i="11"/>
  <c r="H89" i="11" l="1"/>
  <c r="G89" i="11" s="1"/>
  <c r="L89" i="11" l="1"/>
  <c r="M89" i="11" l="1"/>
  <c r="F90" i="11"/>
  <c r="H90" i="11" l="1"/>
  <c r="G90" i="11" s="1"/>
  <c r="L90" i="11" l="1"/>
  <c r="M90" i="11" l="1"/>
  <c r="F91" i="11"/>
  <c r="H91" i="11" l="1"/>
  <c r="G91" i="11" s="1"/>
  <c r="L91" i="11" l="1"/>
  <c r="M91" i="11" l="1"/>
  <c r="F92" i="11"/>
  <c r="H92" i="11" l="1"/>
  <c r="G92" i="11" s="1"/>
  <c r="L92" i="11" l="1"/>
  <c r="M92" i="11" l="1"/>
  <c r="F93" i="11"/>
  <c r="H93" i="11" l="1"/>
  <c r="G93" i="11" s="1"/>
  <c r="L93" i="11" l="1"/>
  <c r="M93" i="11" l="1"/>
  <c r="F94" i="11"/>
  <c r="H94" i="11" l="1"/>
  <c r="G94" i="11" s="1"/>
  <c r="L94" i="11" l="1"/>
  <c r="M94" i="11" l="1"/>
  <c r="F95" i="11"/>
  <c r="H95" i="11" l="1"/>
  <c r="G95" i="11" s="1"/>
  <c r="L95" i="11" l="1"/>
  <c r="M95" i="11" l="1"/>
  <c r="F96" i="11"/>
  <c r="H96" i="11" l="1"/>
  <c r="G96" i="11" s="1"/>
  <c r="L96" i="11" l="1"/>
  <c r="M96" i="11" l="1"/>
  <c r="F97" i="11"/>
  <c r="H97" i="11" l="1"/>
  <c r="G97" i="11" s="1"/>
  <c r="L97" i="11" l="1"/>
  <c r="M97" i="11" l="1"/>
  <c r="F98" i="11"/>
  <c r="H98" i="11" l="1"/>
  <c r="G98" i="11" s="1"/>
  <c r="L98" i="11" l="1"/>
  <c r="M98" i="11" l="1"/>
  <c r="F99" i="11"/>
  <c r="H99" i="11" l="1"/>
  <c r="G99" i="11" s="1"/>
  <c r="L99" i="11" l="1"/>
  <c r="M99" i="11" l="1"/>
  <c r="F100" i="11"/>
  <c r="H100" i="11" l="1"/>
  <c r="G100" i="11" s="1"/>
  <c r="L100" i="11" l="1"/>
  <c r="M100" i="11" l="1"/>
  <c r="F101" i="11"/>
  <c r="H101" i="11" l="1"/>
  <c r="G101" i="11" s="1"/>
  <c r="L101" i="11" l="1"/>
  <c r="M101" i="11" l="1"/>
  <c r="F102" i="11"/>
  <c r="H102" i="11" l="1"/>
  <c r="G102" i="11" s="1"/>
  <c r="L102" i="11" l="1"/>
  <c r="M102" i="11" l="1"/>
  <c r="F103" i="11"/>
  <c r="H103" i="11" l="1"/>
  <c r="G103" i="11" s="1"/>
  <c r="L103" i="11" l="1"/>
  <c r="M103" i="11" l="1"/>
  <c r="F104" i="11"/>
  <c r="H104" i="11" l="1"/>
  <c r="G104" i="11" s="1"/>
  <c r="L104" i="11" l="1"/>
  <c r="M104" i="11" l="1"/>
  <c r="F105" i="11"/>
  <c r="H105" i="11" l="1"/>
  <c r="G105" i="11" s="1"/>
  <c r="L105" i="11" l="1"/>
  <c r="M105" i="11" l="1"/>
  <c r="F106" i="11"/>
  <c r="H106" i="11" l="1"/>
  <c r="G106" i="11" s="1"/>
  <c r="L106" i="11" l="1"/>
  <c r="M106" i="11" l="1"/>
  <c r="F107" i="11"/>
  <c r="H107" i="11" l="1"/>
  <c r="G107" i="11" s="1"/>
  <c r="L107" i="11" l="1"/>
  <c r="M107" i="11" l="1"/>
  <c r="F108" i="11"/>
  <c r="H108" i="11" l="1"/>
  <c r="G108" i="11" s="1"/>
  <c r="L108" i="11" l="1"/>
  <c r="M108" i="11" l="1"/>
  <c r="F109" i="11"/>
  <c r="H109" i="11" l="1"/>
  <c r="G109" i="11" s="1"/>
  <c r="L109" i="11" l="1"/>
  <c r="M109" i="11" l="1"/>
  <c r="F110" i="11"/>
  <c r="H110" i="11" l="1"/>
  <c r="G110" i="11" s="1"/>
  <c r="L110" i="11" l="1"/>
  <c r="M110" i="11" l="1"/>
  <c r="F111" i="11"/>
  <c r="H111" i="11" l="1"/>
  <c r="G111" i="11" s="1"/>
  <c r="L111" i="11" l="1"/>
  <c r="M111" i="11" l="1"/>
  <c r="F112" i="11"/>
  <c r="H112" i="11" l="1"/>
  <c r="G112" i="11" s="1"/>
  <c r="L112" i="11" l="1"/>
  <c r="M112" i="11" l="1"/>
  <c r="F113" i="11"/>
  <c r="H113" i="11" l="1"/>
  <c r="G113" i="11" s="1"/>
  <c r="L113" i="11" l="1"/>
  <c r="M113" i="11" l="1"/>
  <c r="F114" i="11"/>
  <c r="H114" i="11" l="1"/>
  <c r="G114" i="11" s="1"/>
  <c r="L114" i="11" l="1"/>
  <c r="M114" i="11" l="1"/>
  <c r="F115" i="11"/>
  <c r="H115" i="11" l="1"/>
  <c r="G115" i="11" s="1"/>
  <c r="L115" i="11" l="1"/>
  <c r="M115" i="11" l="1"/>
  <c r="F116" i="11"/>
  <c r="H116" i="11" l="1"/>
  <c r="G116" i="11" s="1"/>
  <c r="L116" i="11" l="1"/>
  <c r="M116" i="11" l="1"/>
  <c r="F117" i="11"/>
  <c r="H117" i="11" l="1"/>
  <c r="G117" i="11" s="1"/>
  <c r="L117" i="11" l="1"/>
  <c r="M117" i="11" l="1"/>
  <c r="F118" i="11"/>
  <c r="H118" i="11" l="1"/>
  <c r="G118" i="11" s="1"/>
  <c r="L118" i="11" l="1"/>
  <c r="M118" i="11" l="1"/>
  <c r="F119" i="11"/>
  <c r="H119" i="11" l="1"/>
  <c r="G119" i="11" s="1"/>
  <c r="L119" i="11" l="1"/>
  <c r="M119" i="11" l="1"/>
  <c r="F120" i="11"/>
  <c r="H120" i="11" l="1"/>
  <c r="G120" i="11" s="1"/>
  <c r="L120" i="11" l="1"/>
  <c r="M120" i="11" l="1"/>
  <c r="F121" i="11"/>
  <c r="H121" i="11" l="1"/>
  <c r="G121" i="11" s="1"/>
  <c r="L121" i="11" l="1"/>
  <c r="M121" i="11" l="1"/>
  <c r="F122" i="11"/>
  <c r="H122" i="11" l="1"/>
  <c r="G122" i="11" s="1"/>
  <c r="L122" i="11" l="1"/>
  <c r="M122" i="11" l="1"/>
  <c r="F123" i="11"/>
  <c r="H123" i="11" l="1"/>
  <c r="G123" i="11" s="1"/>
  <c r="L123" i="11" l="1"/>
  <c r="M123" i="11" l="1"/>
  <c r="F124" i="11"/>
  <c r="H124" i="11" l="1"/>
  <c r="G124" i="11" s="1"/>
  <c r="L124" i="11" l="1"/>
  <c r="M124" i="11" l="1"/>
  <c r="F125" i="11"/>
  <c r="H125" i="11" l="1"/>
  <c r="G125" i="11" s="1"/>
  <c r="L125" i="11" l="1"/>
  <c r="M125" i="11" l="1"/>
  <c r="F126" i="11"/>
  <c r="H126" i="11" l="1"/>
  <c r="G126" i="11" s="1"/>
  <c r="L126" i="11" l="1"/>
  <c r="M126" i="11" l="1"/>
  <c r="F127" i="11"/>
  <c r="H127" i="11" l="1"/>
  <c r="G127" i="11" s="1"/>
  <c r="L127" i="11" l="1"/>
  <c r="M127" i="11" l="1"/>
  <c r="F128" i="11"/>
  <c r="H128" i="11" l="1"/>
  <c r="G128" i="11" s="1"/>
  <c r="L128" i="11" l="1"/>
  <c r="M128" i="11" l="1"/>
  <c r="F129" i="11"/>
  <c r="H129" i="11" l="1"/>
  <c r="G129" i="11" s="1"/>
  <c r="L129" i="11" l="1"/>
  <c r="M129" i="11" l="1"/>
  <c r="F130" i="11"/>
  <c r="H130" i="11" l="1"/>
  <c r="G130" i="11" s="1"/>
  <c r="L130" i="11" l="1"/>
  <c r="M130" i="11" l="1"/>
  <c r="F131" i="11"/>
  <c r="H131" i="11" l="1"/>
  <c r="G131" i="11" s="1"/>
  <c r="L131" i="11" l="1"/>
  <c r="M131" i="11" l="1"/>
  <c r="F132" i="11"/>
  <c r="H132" i="11" l="1"/>
  <c r="G132" i="11" s="1"/>
  <c r="L132" i="11" l="1"/>
  <c r="M132" i="11" l="1"/>
  <c r="F133" i="11"/>
  <c r="H133" i="11" l="1"/>
  <c r="G133" i="11" s="1"/>
  <c r="L133" i="11" l="1"/>
  <c r="M133" i="11" l="1"/>
  <c r="F134" i="11"/>
  <c r="H134" i="11" l="1"/>
  <c r="G134" i="11" s="1"/>
  <c r="L134" i="11" l="1"/>
  <c r="M134" i="11" l="1"/>
  <c r="F135" i="11"/>
  <c r="H135" i="11" l="1"/>
  <c r="G135" i="11" s="1"/>
  <c r="L135" i="11" l="1"/>
  <c r="M135" i="11" l="1"/>
  <c r="F136" i="11"/>
  <c r="H136" i="11" l="1"/>
  <c r="G136" i="11" s="1"/>
  <c r="L136" i="11" l="1"/>
  <c r="M136" i="11" l="1"/>
  <c r="F137" i="11"/>
  <c r="H137" i="11" l="1"/>
  <c r="G137" i="11" s="1"/>
  <c r="L137" i="11" l="1"/>
  <c r="M137" i="11" l="1"/>
  <c r="F138" i="11"/>
  <c r="H138" i="11" l="1"/>
  <c r="G138" i="11" s="1"/>
  <c r="L138" i="11" l="1"/>
  <c r="M138" i="11"/>
  <c r="F139" i="11"/>
  <c r="H139" i="11" l="1"/>
  <c r="G139" i="11" s="1"/>
  <c r="L139" i="11" l="1"/>
  <c r="M139" i="11" l="1"/>
  <c r="F140" i="11"/>
  <c r="H140" i="11" l="1"/>
  <c r="G140" i="11" s="1"/>
  <c r="L140" i="11" l="1"/>
  <c r="M140" i="11"/>
  <c r="F141" i="11"/>
  <c r="H141" i="11" l="1"/>
  <c r="G141" i="11" s="1"/>
  <c r="L141" i="11" l="1"/>
  <c r="M141" i="11" l="1"/>
  <c r="F142" i="11"/>
  <c r="H142" i="11" l="1"/>
  <c r="G142" i="11" s="1"/>
  <c r="L142" i="11" l="1"/>
  <c r="M142" i="11"/>
  <c r="F143" i="11"/>
  <c r="H143" i="11" l="1"/>
  <c r="G143" i="11" s="1"/>
  <c r="L143" i="11" l="1"/>
  <c r="M143" i="11" l="1"/>
  <c r="F144" i="11"/>
  <c r="H144" i="11" l="1"/>
  <c r="G144" i="11" s="1"/>
  <c r="L144" i="11" l="1"/>
  <c r="M144" i="11" l="1"/>
  <c r="F145" i="11"/>
  <c r="H145" i="11" l="1"/>
  <c r="G145" i="11" s="1"/>
  <c r="L145" i="11" l="1"/>
  <c r="M145" i="11"/>
  <c r="F146" i="11"/>
  <c r="H146" i="11" l="1"/>
  <c r="G146" i="11" s="1"/>
  <c r="L146" i="11" l="1"/>
  <c r="M146" i="11" l="1"/>
  <c r="F147" i="11"/>
  <c r="H147" i="11" l="1"/>
  <c r="G147" i="11" s="1"/>
  <c r="L147" i="11" l="1"/>
  <c r="M147" i="11" l="1"/>
  <c r="F148" i="11"/>
  <c r="H148" i="11" l="1"/>
  <c r="G148" i="11" s="1"/>
  <c r="L148" i="11" l="1"/>
  <c r="M148" i="11" l="1"/>
  <c r="F149" i="11"/>
  <c r="H149" i="11" l="1"/>
  <c r="G149" i="11" s="1"/>
  <c r="L149" i="11" l="1"/>
  <c r="M149" i="11" l="1"/>
  <c r="F150" i="11"/>
  <c r="H150" i="11" l="1"/>
  <c r="G150" i="11" s="1"/>
  <c r="L150" i="11"/>
  <c r="M150" i="11" l="1"/>
  <c r="F151" i="11"/>
  <c r="H151" i="11" l="1"/>
  <c r="G151" i="11" s="1"/>
  <c r="L151" i="11"/>
  <c r="F152" i="11" l="1"/>
  <c r="M151" i="11"/>
  <c r="H152" i="11" l="1"/>
  <c r="G152" i="11" s="1"/>
  <c r="L152" i="11" l="1"/>
  <c r="M152" i="11" l="1"/>
  <c r="F153" i="11"/>
  <c r="H153" i="11" l="1"/>
  <c r="G153" i="11" s="1"/>
  <c r="L153" i="11" l="1"/>
  <c r="F154" i="11" l="1"/>
  <c r="M153" i="11"/>
  <c r="H154" i="11" l="1"/>
  <c r="G154" i="11" s="1"/>
  <c r="L154" i="11" l="1"/>
  <c r="M154" i="11"/>
  <c r="F155" i="11"/>
  <c r="H155" i="11" l="1"/>
  <c r="G155" i="11" s="1"/>
  <c r="L155" i="11" l="1"/>
  <c r="F156" i="11" l="1"/>
  <c r="M155" i="11"/>
  <c r="H156" i="11" l="1"/>
  <c r="G156" i="11" s="1"/>
  <c r="L156" i="11"/>
  <c r="M156" i="11" l="1"/>
  <c r="F157" i="11"/>
  <c r="H157" i="11" l="1"/>
  <c r="G157" i="11" s="1"/>
  <c r="L157" i="11"/>
  <c r="F158" i="11" l="1"/>
  <c r="M157" i="11"/>
  <c r="H158" i="11" l="1"/>
  <c r="G158" i="11" s="1"/>
  <c r="L158" i="11" l="1"/>
  <c r="M158" i="11"/>
  <c r="F159" i="11"/>
  <c r="H159" i="11" l="1"/>
  <c r="G159" i="11" s="1"/>
  <c r="L159" i="11" l="1"/>
  <c r="F160" i="11"/>
  <c r="M159" i="11"/>
  <c r="H160" i="11" l="1"/>
  <c r="G160" i="11" s="1"/>
  <c r="L160" i="11" l="1"/>
  <c r="M160" i="11" s="1"/>
  <c r="F161" i="11" l="1"/>
  <c r="H161" i="11"/>
  <c r="G161" i="11" s="1"/>
  <c r="L161" i="11" l="1"/>
  <c r="F162" i="11"/>
  <c r="M161" i="11"/>
  <c r="H162" i="11" l="1"/>
  <c r="G162" i="11" s="1"/>
  <c r="L162" i="11" l="1"/>
  <c r="M162" i="11" l="1"/>
  <c r="F163" i="11"/>
  <c r="H163" i="11" l="1"/>
  <c r="G163" i="11" s="1"/>
  <c r="L163" i="11"/>
  <c r="F164" i="11" l="1"/>
  <c r="M163" i="11"/>
  <c r="H164" i="11" l="1"/>
  <c r="G164" i="11" s="1"/>
  <c r="L164" i="11" l="1"/>
  <c r="M164" i="11" l="1"/>
  <c r="F165" i="11"/>
  <c r="H165" i="11" l="1"/>
  <c r="G165" i="11" s="1"/>
  <c r="L165" i="11"/>
  <c r="M165" i="11" l="1"/>
  <c r="F166" i="11"/>
  <c r="H166" i="11" l="1"/>
  <c r="G166" i="11" s="1"/>
  <c r="L166" i="11" l="1"/>
  <c r="M166" i="11" l="1"/>
  <c r="F167" i="11"/>
  <c r="H167" i="11" l="1"/>
  <c r="G167" i="11" s="1"/>
  <c r="L167" i="11" l="1"/>
  <c r="M167" i="11" l="1"/>
  <c r="F168" i="11"/>
  <c r="H168" i="11" l="1"/>
  <c r="G168" i="11" s="1"/>
  <c r="L168" i="11"/>
  <c r="M168" i="11" l="1"/>
  <c r="F169" i="11"/>
  <c r="H169" i="11" l="1"/>
  <c r="G169" i="11" s="1"/>
  <c r="L169" i="11"/>
  <c r="M169" i="11" l="1"/>
  <c r="F170" i="11"/>
  <c r="H170" i="11" l="1"/>
  <c r="G170" i="11" s="1"/>
  <c r="L170" i="11" l="1"/>
  <c r="M170" i="11" l="1"/>
  <c r="F171" i="11"/>
  <c r="H171" i="11" l="1"/>
  <c r="G171" i="11" s="1"/>
  <c r="L171" i="11"/>
  <c r="M171" i="11" l="1"/>
  <c r="F172" i="11"/>
  <c r="H172" i="11" l="1"/>
  <c r="G172" i="11" s="1"/>
  <c r="L172" i="11"/>
  <c r="M172" i="11" l="1"/>
  <c r="F173" i="11"/>
  <c r="H173" i="11" l="1"/>
  <c r="G173" i="11" s="1"/>
  <c r="L173" i="11" l="1"/>
  <c r="M173" i="11"/>
  <c r="F174" i="11"/>
  <c r="H174" i="11" l="1"/>
  <c r="G174" i="11" s="1"/>
  <c r="L174" i="11"/>
  <c r="M174" i="11" l="1"/>
  <c r="F175" i="11"/>
  <c r="H175" i="11" l="1"/>
  <c r="G175" i="11" s="1"/>
  <c r="L175" i="11" l="1"/>
  <c r="M175" i="11" s="1"/>
  <c r="F176" i="11" l="1"/>
  <c r="H176" i="11"/>
  <c r="G176" i="11" s="1"/>
  <c r="L176" i="11"/>
  <c r="M176" i="11" l="1"/>
  <c r="F177" i="11"/>
  <c r="H177" i="11" l="1"/>
  <c r="G177" i="11" s="1"/>
  <c r="L177" i="11" l="1"/>
  <c r="M177" i="11" l="1"/>
  <c r="F178" i="11"/>
  <c r="H178" i="11" l="1"/>
  <c r="G178" i="11" s="1"/>
  <c r="L178" i="11" l="1"/>
  <c r="M178" i="11" l="1"/>
  <c r="F179" i="11"/>
  <c r="H179" i="11" l="1"/>
  <c r="G179" i="11" s="1"/>
  <c r="L179" i="11" l="1"/>
  <c r="M179" i="11" l="1"/>
  <c r="F180" i="11"/>
  <c r="H180" i="11" l="1"/>
  <c r="G180" i="11" s="1"/>
  <c r="L180" i="11"/>
  <c r="M180" i="11" l="1"/>
  <c r="F181" i="11"/>
  <c r="H181" i="11" l="1"/>
  <c r="G181" i="11" s="1"/>
  <c r="L181" i="11" l="1"/>
  <c r="M181" i="11" l="1"/>
  <c r="F182" i="11"/>
  <c r="H182" i="11" l="1"/>
  <c r="G182" i="11" s="1"/>
  <c r="L182" i="11" l="1"/>
  <c r="M182" i="11" l="1"/>
  <c r="F183" i="11"/>
  <c r="H183" i="11" l="1"/>
  <c r="G183" i="11" s="1"/>
  <c r="L183" i="11" l="1"/>
  <c r="M183" i="11" s="1"/>
  <c r="F184" i="11" l="1"/>
  <c r="H184" i="11" s="1"/>
  <c r="G184" i="11" s="1"/>
  <c r="L184" i="11" l="1"/>
  <c r="M184" i="11" l="1"/>
  <c r="F185" i="11"/>
  <c r="H185" i="11" l="1"/>
  <c r="G185" i="11" s="1"/>
  <c r="L185" i="11" l="1"/>
  <c r="M185" i="11" l="1"/>
  <c r="F186" i="11"/>
  <c r="H186" i="11" l="1"/>
  <c r="G186" i="11" s="1"/>
  <c r="L186" i="11" l="1"/>
  <c r="M186" i="11" l="1"/>
  <c r="F187" i="11"/>
  <c r="H187" i="11" l="1"/>
  <c r="G187" i="11" s="1"/>
  <c r="L187" i="11" l="1"/>
  <c r="M187" i="11" s="1"/>
  <c r="F188" i="11" l="1"/>
  <c r="H188" i="11" s="1"/>
  <c r="G188" i="11" s="1"/>
  <c r="L188" i="11" l="1"/>
  <c r="M188" i="11" s="1"/>
  <c r="F189" i="11" l="1"/>
  <c r="H189" i="11" s="1"/>
  <c r="G189" i="11" s="1"/>
  <c r="L189" i="11" l="1"/>
  <c r="M189" i="11" s="1"/>
  <c r="F190" i="11" l="1"/>
  <c r="H190" i="11" s="1"/>
  <c r="G190" i="11" s="1"/>
  <c r="L190" i="11" l="1"/>
  <c r="M190" i="11" s="1"/>
  <c r="F191" i="11" l="1"/>
  <c r="H191" i="11" s="1"/>
  <c r="G191" i="11" s="1"/>
  <c r="L191" i="11" l="1"/>
  <c r="M191" i="11" l="1"/>
  <c r="F192" i="11"/>
  <c r="H192" i="11" l="1"/>
  <c r="G192" i="11" s="1"/>
  <c r="L192" i="11" l="1"/>
  <c r="M192" i="11" l="1"/>
  <c r="F193" i="11"/>
  <c r="H193" i="11" l="1"/>
  <c r="G193" i="11" s="1"/>
  <c r="L193" i="11" l="1"/>
  <c r="M193" i="11" s="1"/>
  <c r="F194" i="11" l="1"/>
  <c r="H194" i="11" s="1"/>
  <c r="G194" i="11" s="1"/>
  <c r="L194" i="11" l="1"/>
  <c r="M194" i="11" s="1"/>
  <c r="F195" i="11" l="1"/>
  <c r="H195" i="11" s="1"/>
  <c r="G195" i="11" l="1"/>
  <c r="L195" i="11"/>
  <c r="M195" i="11" s="1"/>
  <c r="F196" i="11"/>
  <c r="H196" i="11" l="1"/>
  <c r="G196" i="11" s="1"/>
  <c r="L196" i="11"/>
  <c r="M196" i="11" l="1"/>
  <c r="F197" i="11"/>
  <c r="H197" i="11" l="1"/>
  <c r="G197" i="11" s="1"/>
  <c r="L197" i="11"/>
  <c r="M197" i="11" l="1"/>
  <c r="F198" i="11"/>
  <c r="H198" i="11" l="1"/>
  <c r="G198" i="11" s="1"/>
  <c r="L198" i="11" l="1"/>
  <c r="M198" i="11" l="1"/>
  <c r="F199" i="11"/>
  <c r="H199" i="11" l="1"/>
  <c r="G199" i="11" s="1"/>
  <c r="L199" i="11"/>
  <c r="M199" i="11" l="1"/>
  <c r="F200" i="11"/>
  <c r="H200" i="11" l="1"/>
  <c r="G200" i="11" s="1"/>
  <c r="L200" i="11" l="1"/>
  <c r="M200" i="11" l="1"/>
  <c r="F201" i="11"/>
  <c r="H201" i="11" l="1"/>
  <c r="G201" i="11" s="1"/>
  <c r="L201" i="11"/>
  <c r="M201" i="11" l="1"/>
  <c r="F202" i="11"/>
  <c r="H202" i="11" l="1"/>
  <c r="G202" i="11" s="1"/>
  <c r="L202" i="11"/>
  <c r="M202" i="11" l="1"/>
  <c r="F203" i="11"/>
  <c r="H203" i="11" l="1"/>
  <c r="G203" i="11" s="1"/>
  <c r="L203" i="11"/>
  <c r="M203" i="11" l="1"/>
  <c r="F204" i="11"/>
  <c r="H204" i="11" l="1"/>
  <c r="G204" i="11" s="1"/>
  <c r="L204" i="11"/>
  <c r="M204" i="11" l="1"/>
  <c r="F205" i="11"/>
  <c r="H205" i="11" l="1"/>
  <c r="G205" i="11" s="1"/>
  <c r="L205" i="11" l="1"/>
  <c r="M205" i="11" l="1"/>
  <c r="F206" i="11"/>
  <c r="H206" i="11" l="1"/>
  <c r="G206" i="11" s="1"/>
  <c r="L206" i="11" l="1"/>
  <c r="M206" i="11" l="1"/>
  <c r="F207" i="11"/>
  <c r="H207" i="11" l="1"/>
  <c r="G207" i="11" s="1"/>
  <c r="L207" i="11" l="1"/>
  <c r="M207" i="11" s="1"/>
  <c r="F208" i="11" l="1"/>
  <c r="H208" i="11"/>
  <c r="G208" i="11" s="1"/>
  <c r="L208" i="11" l="1"/>
  <c r="M208" i="11" s="1"/>
  <c r="F209" i="11"/>
  <c r="H209" i="11" l="1"/>
  <c r="G209" i="11" s="1"/>
  <c r="L209" i="11" l="1"/>
  <c r="M209" i="11" l="1"/>
  <c r="F210" i="11"/>
  <c r="H210" i="11" l="1"/>
  <c r="G210" i="11" s="1"/>
  <c r="L210" i="11"/>
  <c r="M210" i="11" l="1"/>
  <c r="F211" i="11"/>
  <c r="H211" i="11" l="1"/>
  <c r="G211" i="11" s="1"/>
  <c r="L211" i="11"/>
  <c r="M211" i="11" l="1"/>
  <c r="F212" i="11"/>
  <c r="H212" i="11" l="1"/>
  <c r="G212" i="11" s="1"/>
  <c r="L212" i="11"/>
  <c r="M212" i="11" l="1"/>
  <c r="F213" i="11"/>
  <c r="H213" i="11" l="1"/>
  <c r="G213" i="11" s="1"/>
  <c r="L213" i="11" l="1"/>
  <c r="M213" i="11" l="1"/>
  <c r="F214" i="11"/>
  <c r="H214" i="11" l="1"/>
  <c r="G214" i="11" s="1"/>
  <c r="L214" i="11"/>
  <c r="M214" i="11" l="1"/>
  <c r="F215" i="11"/>
  <c r="H215" i="11" l="1"/>
  <c r="G215" i="11" s="1"/>
  <c r="L215" i="11" l="1"/>
  <c r="M215" i="11" l="1"/>
  <c r="F216" i="11"/>
  <c r="H216" i="11" l="1"/>
  <c r="G216" i="11" s="1"/>
  <c r="L216" i="11"/>
  <c r="M216" i="11" l="1"/>
  <c r="F217" i="11"/>
  <c r="H217" i="11" l="1"/>
  <c r="G217" i="11" s="1"/>
  <c r="L217" i="11" l="1"/>
  <c r="M217" i="11" l="1"/>
  <c r="F218" i="11"/>
  <c r="H218" i="11" l="1"/>
  <c r="G218" i="11" s="1"/>
  <c r="L218" i="11" l="1"/>
  <c r="M218" i="11" l="1"/>
  <c r="F219" i="11"/>
  <c r="H219" i="11" l="1"/>
  <c r="G219" i="11" s="1"/>
  <c r="L219" i="11" l="1"/>
  <c r="M219" i="11" l="1"/>
  <c r="F220" i="11"/>
  <c r="H220" i="11" l="1"/>
  <c r="G220" i="11" s="1"/>
  <c r="L220" i="11"/>
  <c r="M220" i="11" l="1"/>
  <c r="F221" i="11"/>
  <c r="H221" i="11" l="1"/>
  <c r="G221" i="11" s="1"/>
  <c r="L221" i="11"/>
  <c r="M221" i="11" l="1"/>
  <c r="F222" i="11"/>
  <c r="H222" i="11" l="1"/>
  <c r="G222" i="11" s="1"/>
  <c r="L222" i="11"/>
  <c r="M222" i="11" l="1"/>
  <c r="F223" i="11"/>
  <c r="H223" i="11" l="1"/>
  <c r="G223" i="11" s="1"/>
  <c r="L223" i="11"/>
  <c r="M223" i="11" l="1"/>
  <c r="F224" i="11"/>
  <c r="H224" i="11" l="1"/>
  <c r="G224" i="11" s="1"/>
  <c r="L224" i="11"/>
  <c r="M224" i="11" l="1"/>
  <c r="F225" i="11"/>
  <c r="H225" i="11" l="1"/>
  <c r="G225" i="11" s="1"/>
  <c r="L225" i="11"/>
  <c r="M225" i="11" l="1"/>
  <c r="F226" i="11"/>
  <c r="H226" i="11" l="1"/>
  <c r="G226" i="11" s="1"/>
  <c r="L226" i="11"/>
  <c r="M226" i="11" l="1"/>
  <c r="F227" i="11"/>
  <c r="H227" i="11" l="1"/>
  <c r="G227" i="11" s="1"/>
  <c r="L227" i="11" l="1"/>
  <c r="M227" i="11" l="1"/>
  <c r="F228" i="11"/>
  <c r="H228" i="11" l="1"/>
  <c r="G228" i="11" s="1"/>
  <c r="L228" i="11" l="1"/>
  <c r="M228" i="11" l="1"/>
  <c r="F229" i="11"/>
  <c r="H229" i="11" l="1"/>
  <c r="G229" i="11" s="1"/>
  <c r="L229" i="11"/>
  <c r="M229" i="11" l="1"/>
  <c r="F230" i="11"/>
  <c r="H230" i="11" l="1"/>
  <c r="G230" i="11" s="1"/>
  <c r="L230" i="11"/>
  <c r="M230" i="11" l="1"/>
  <c r="F231" i="11"/>
  <c r="H231" i="11" l="1"/>
  <c r="G231" i="11" s="1"/>
  <c r="L231" i="11" l="1"/>
  <c r="M231" i="11" l="1"/>
  <c r="F232" i="11"/>
  <c r="H232" i="11" l="1"/>
  <c r="G232" i="11" s="1"/>
  <c r="L232" i="11"/>
  <c r="M232" i="11" l="1"/>
  <c r="F233" i="11"/>
  <c r="H233" i="11" l="1"/>
  <c r="G233" i="11" s="1"/>
  <c r="L233" i="11" l="1"/>
  <c r="M233" i="11" l="1"/>
  <c r="F234" i="11"/>
  <c r="H234" i="11" l="1"/>
  <c r="G234" i="11" s="1"/>
  <c r="L234" i="11" l="1"/>
  <c r="M234" i="11" l="1"/>
  <c r="F235" i="11"/>
  <c r="H235" i="11" l="1"/>
  <c r="G235" i="11" s="1"/>
  <c r="L235" i="11" l="1"/>
  <c r="M235" i="11" l="1"/>
  <c r="F236" i="11"/>
  <c r="H236" i="11" l="1"/>
  <c r="G236" i="11" s="1"/>
  <c r="L236" i="11" l="1"/>
  <c r="M236" i="11"/>
  <c r="F237" i="11"/>
  <c r="H237" i="11" l="1"/>
  <c r="G237" i="11" s="1"/>
  <c r="L237" i="11" l="1"/>
  <c r="M237" i="11" l="1"/>
  <c r="F238" i="11"/>
  <c r="H238" i="11" l="1"/>
  <c r="G238" i="11" s="1"/>
  <c r="L238" i="11" l="1"/>
  <c r="M238" i="11"/>
  <c r="F239" i="11"/>
  <c r="H239" i="11" l="1"/>
  <c r="G239" i="11" s="1"/>
  <c r="L239" i="11" l="1"/>
  <c r="M239" i="11"/>
  <c r="F240" i="11"/>
  <c r="H240" i="11" l="1"/>
  <c r="G240" i="11" s="1"/>
  <c r="L240" i="11" l="1"/>
  <c r="M240" i="11" l="1"/>
  <c r="F241" i="11"/>
  <c r="H241" i="11" l="1"/>
  <c r="G241" i="11" s="1"/>
  <c r="L241" i="11" l="1"/>
  <c r="M241" i="11" l="1"/>
  <c r="F242" i="11"/>
  <c r="H242" i="11" l="1"/>
  <c r="G242" i="11" s="1"/>
  <c r="L242" i="11" l="1"/>
  <c r="M242" i="11" l="1"/>
  <c r="F243" i="11"/>
  <c r="H243" i="11" l="1"/>
  <c r="G243" i="11" s="1"/>
  <c r="L243" i="11" l="1"/>
  <c r="M243" i="11"/>
  <c r="F244" i="11"/>
  <c r="H244" i="11" l="1"/>
  <c r="G244" i="11" s="1"/>
  <c r="L244" i="11" l="1"/>
  <c r="M244" i="11" l="1"/>
  <c r="F245" i="11"/>
  <c r="H245" i="11" l="1"/>
  <c r="G245" i="11" s="1"/>
  <c r="L245" i="11" l="1"/>
  <c r="M245" i="11"/>
  <c r="F246" i="11"/>
  <c r="H246" i="11" l="1"/>
  <c r="G246" i="11" s="1"/>
  <c r="L246" i="11" l="1"/>
  <c r="M246" i="11" l="1"/>
  <c r="F247" i="11"/>
  <c r="H247" i="11" l="1"/>
  <c r="G247" i="11" s="1"/>
  <c r="L247" i="11" l="1"/>
  <c r="M247" i="11" l="1"/>
  <c r="F248" i="11"/>
  <c r="H248" i="11" l="1"/>
  <c r="G248" i="11" s="1"/>
  <c r="L248" i="11" l="1"/>
  <c r="M248" i="11"/>
  <c r="F249" i="11"/>
  <c r="H249" i="11" l="1"/>
  <c r="G249" i="11" s="1"/>
  <c r="L249" i="11" l="1"/>
  <c r="M249" i="11" l="1"/>
  <c r="F250" i="11"/>
  <c r="H250" i="11" l="1"/>
  <c r="G250" i="11" s="1"/>
  <c r="L250" i="11" l="1"/>
  <c r="M250" i="11" l="1"/>
  <c r="F251" i="11"/>
  <c r="H251" i="11" l="1"/>
  <c r="G251" i="11" s="1"/>
  <c r="L251" i="11" l="1"/>
  <c r="M251" i="11" l="1"/>
  <c r="F252" i="11"/>
  <c r="H252" i="11" l="1"/>
  <c r="G252" i="11" s="1"/>
  <c r="L252" i="11" l="1"/>
  <c r="M252" i="11" l="1"/>
  <c r="F253" i="11"/>
  <c r="H253" i="11" l="1"/>
  <c r="G253" i="11" s="1"/>
  <c r="L253" i="11" l="1"/>
  <c r="M253" i="11" l="1"/>
  <c r="F254" i="11"/>
  <c r="H254" i="11" l="1"/>
  <c r="G254" i="11" s="1"/>
  <c r="L254" i="11" l="1"/>
  <c r="M254" i="11" l="1"/>
  <c r="F255" i="11"/>
  <c r="H255" i="11" l="1"/>
  <c r="G255" i="11" s="1"/>
  <c r="L255" i="11" l="1"/>
  <c r="M255" i="11" l="1"/>
  <c r="F256" i="11"/>
  <c r="H256" i="11" l="1"/>
  <c r="G256" i="11" s="1"/>
  <c r="L256" i="11" l="1"/>
  <c r="M256" i="11" l="1"/>
  <c r="F257" i="11"/>
  <c r="H257" i="11" l="1"/>
  <c r="G257" i="11" s="1"/>
  <c r="L257" i="11" l="1"/>
  <c r="M257" i="11" l="1"/>
  <c r="F258" i="11"/>
  <c r="H258" i="11" l="1"/>
  <c r="G258" i="11" s="1"/>
  <c r="L258" i="11" l="1"/>
  <c r="M258" i="11" l="1"/>
  <c r="F259" i="11"/>
  <c r="H259" i="11" l="1"/>
  <c r="G259" i="11" s="1"/>
  <c r="L259" i="11" l="1"/>
  <c r="M259" i="11" l="1"/>
  <c r="F260" i="11"/>
  <c r="H260" i="11" l="1"/>
  <c r="G260" i="11" s="1"/>
  <c r="L260" i="11" l="1"/>
  <c r="M260" i="11" l="1"/>
  <c r="F261" i="11"/>
  <c r="H261" i="11" l="1"/>
  <c r="G261" i="11" s="1"/>
  <c r="L261" i="11" l="1"/>
  <c r="M261" i="11" l="1"/>
  <c r="F262" i="11"/>
  <c r="H262" i="11" l="1"/>
  <c r="G262" i="11" s="1"/>
  <c r="L262" i="11" l="1"/>
  <c r="M262" i="11" l="1"/>
  <c r="F263" i="11"/>
  <c r="H263" i="11" l="1"/>
  <c r="G263" i="11" s="1"/>
  <c r="L263" i="11" l="1"/>
  <c r="M263" i="11"/>
  <c r="F264" i="11"/>
  <c r="H264" i="11" l="1"/>
  <c r="G264" i="11" s="1"/>
  <c r="L264" i="11" l="1"/>
  <c r="M264" i="11"/>
  <c r="F265" i="11"/>
  <c r="H265" i="11" l="1"/>
  <c r="G265" i="11" s="1"/>
  <c r="L265" i="11" l="1"/>
  <c r="M265" i="11" l="1"/>
  <c r="F266" i="11"/>
  <c r="H266" i="11" l="1"/>
  <c r="G266" i="11" s="1"/>
  <c r="L266" i="11" l="1"/>
  <c r="M266" i="11" l="1"/>
  <c r="F267" i="11"/>
  <c r="H267" i="11" l="1"/>
  <c r="G267" i="11" s="1"/>
  <c r="L267" i="11" l="1"/>
  <c r="M267" i="11" l="1"/>
  <c r="F268" i="11"/>
  <c r="H268" i="11" l="1"/>
  <c r="G268" i="11" s="1"/>
  <c r="L268" i="11" l="1"/>
  <c r="M268" i="11" l="1"/>
  <c r="F269" i="11"/>
  <c r="H269" i="11" l="1"/>
  <c r="G269" i="11" s="1"/>
  <c r="L269" i="11" l="1"/>
  <c r="M269" i="11" l="1"/>
  <c r="F270" i="11"/>
  <c r="H270" i="11" l="1"/>
  <c r="G270" i="11" s="1"/>
  <c r="L270" i="11" l="1"/>
  <c r="M270" i="11" l="1"/>
  <c r="F271" i="11"/>
  <c r="H271" i="11" l="1"/>
  <c r="G271" i="11" s="1"/>
  <c r="L271" i="11" l="1"/>
  <c r="M271" i="11" l="1"/>
  <c r="F272" i="11"/>
  <c r="H272" i="11" l="1"/>
  <c r="G272" i="11" s="1"/>
  <c r="L272" i="11" l="1"/>
  <c r="M272" i="11" l="1"/>
  <c r="F273" i="11"/>
  <c r="H273" i="11" l="1"/>
  <c r="G273" i="11" s="1"/>
  <c r="L273" i="11" l="1"/>
  <c r="M273" i="11" l="1"/>
  <c r="F274" i="11"/>
  <c r="H274" i="11" l="1"/>
  <c r="G274" i="11" s="1"/>
  <c r="L274" i="11" l="1"/>
  <c r="M274" i="11"/>
  <c r="F275" i="11"/>
  <c r="H275" i="11" l="1"/>
  <c r="G275" i="11" s="1"/>
  <c r="L275" i="11" l="1"/>
  <c r="M275" i="11"/>
  <c r="F276" i="11"/>
  <c r="H276" i="11" l="1"/>
  <c r="G276" i="11" s="1"/>
  <c r="L276" i="11" l="1"/>
  <c r="M276" i="11" l="1"/>
  <c r="F277" i="11"/>
  <c r="H277" i="11" l="1"/>
  <c r="G277" i="11" s="1"/>
  <c r="L277" i="11" l="1"/>
  <c r="M277" i="11" l="1"/>
  <c r="F278" i="11"/>
  <c r="H278" i="11" l="1"/>
  <c r="G278" i="11" s="1"/>
  <c r="L278" i="11" l="1"/>
  <c r="M278" i="11" l="1"/>
  <c r="F279" i="11"/>
  <c r="H279" i="11" l="1"/>
  <c r="G279" i="11" s="1"/>
  <c r="L279" i="11" l="1"/>
  <c r="M279" i="11" l="1"/>
  <c r="F280" i="11"/>
  <c r="H280" i="11" l="1"/>
  <c r="G280" i="11" s="1"/>
  <c r="L280" i="11" l="1"/>
  <c r="M280" i="11" l="1"/>
  <c r="F281" i="11"/>
  <c r="H281" i="11" l="1"/>
  <c r="G281" i="11" s="1"/>
  <c r="L281" i="11" l="1"/>
  <c r="M281" i="11" l="1"/>
  <c r="F282" i="11"/>
  <c r="H282" i="11" l="1"/>
  <c r="G282" i="11" s="1"/>
  <c r="L282" i="11"/>
  <c r="M282" i="11" l="1"/>
  <c r="F283" i="11"/>
  <c r="H283" i="11" l="1"/>
  <c r="G283" i="11" s="1"/>
  <c r="L283" i="11" l="1"/>
  <c r="M283" i="11"/>
  <c r="F284" i="11"/>
  <c r="H284" i="11" l="1"/>
  <c r="G284" i="11" s="1"/>
  <c r="L284" i="11" l="1"/>
  <c r="M284" i="11"/>
  <c r="F285" i="11"/>
  <c r="H285" i="11" l="1"/>
  <c r="G285" i="11" s="1"/>
  <c r="L285" i="11" l="1"/>
  <c r="M285" i="11"/>
  <c r="F286" i="11"/>
  <c r="H286" i="11" l="1"/>
  <c r="G286" i="11" s="1"/>
  <c r="L286" i="11" l="1"/>
  <c r="M286" i="11" l="1"/>
  <c r="F287" i="11"/>
  <c r="H287" i="11" l="1"/>
  <c r="G287" i="11" s="1"/>
  <c r="L287" i="11" l="1"/>
  <c r="M287" i="11" l="1"/>
  <c r="F288" i="11"/>
  <c r="H288" i="11" l="1"/>
  <c r="G288" i="11" s="1"/>
  <c r="L288" i="11" l="1"/>
  <c r="M288" i="11" l="1"/>
  <c r="F289" i="11"/>
  <c r="H289" i="11" l="1"/>
  <c r="G289" i="11" s="1"/>
  <c r="L289" i="11" l="1"/>
  <c r="M289" i="11" l="1"/>
  <c r="F290" i="11"/>
  <c r="H290" i="11" l="1"/>
  <c r="G290" i="11" s="1"/>
  <c r="L290" i="11" l="1"/>
  <c r="M290" i="11" l="1"/>
  <c r="F291" i="11"/>
  <c r="H291" i="11" l="1"/>
  <c r="G291" i="11" s="1"/>
  <c r="L291" i="11" l="1"/>
  <c r="M291" i="11" l="1"/>
  <c r="F292" i="11"/>
  <c r="H292" i="11" l="1"/>
  <c r="G292" i="11" s="1"/>
  <c r="L292" i="11" l="1"/>
  <c r="M292" i="11" l="1"/>
  <c r="F293" i="11"/>
  <c r="H293" i="11" l="1"/>
  <c r="G293" i="11" s="1"/>
  <c r="L293" i="11" l="1"/>
  <c r="M293" i="11" l="1"/>
  <c r="F294" i="11"/>
  <c r="H294" i="11" l="1"/>
  <c r="G294" i="11" s="1"/>
  <c r="L294" i="11" l="1"/>
  <c r="M294" i="11" l="1"/>
  <c r="F295" i="11"/>
  <c r="H295" i="11" l="1"/>
  <c r="G295" i="11" s="1"/>
  <c r="L295" i="11" l="1"/>
  <c r="M295" i="11" l="1"/>
  <c r="F296" i="11"/>
  <c r="H296" i="11" l="1"/>
  <c r="G296" i="11" s="1"/>
  <c r="L296" i="11" l="1"/>
  <c r="M296" i="11" l="1"/>
  <c r="F297" i="11"/>
  <c r="H297" i="11" l="1"/>
  <c r="G297" i="11" s="1"/>
  <c r="L297" i="11" l="1"/>
  <c r="M297" i="11" l="1"/>
  <c r="F298" i="11"/>
  <c r="H298" i="11" l="1"/>
  <c r="G298" i="11" s="1"/>
  <c r="L298" i="11" l="1"/>
  <c r="M298" i="11" l="1"/>
  <c r="F299" i="11"/>
  <c r="H299" i="11" l="1"/>
  <c r="G299" i="11" s="1"/>
  <c r="L299" i="11" l="1"/>
  <c r="M299" i="11" l="1"/>
  <c r="F300" i="11"/>
  <c r="H300" i="11" l="1"/>
  <c r="G300" i="11" s="1"/>
  <c r="L300" i="11" l="1"/>
  <c r="M300" i="11" l="1"/>
  <c r="F301" i="11"/>
  <c r="H301" i="11" l="1"/>
  <c r="G301" i="11" s="1"/>
  <c r="L301" i="11" l="1"/>
  <c r="M301" i="11" l="1"/>
  <c r="F302" i="11"/>
  <c r="H302" i="11" l="1"/>
  <c r="G302" i="11" s="1"/>
  <c r="L302" i="11" l="1"/>
  <c r="M302" i="11" l="1"/>
  <c r="F303" i="11"/>
  <c r="H303" i="11" l="1"/>
  <c r="G303" i="11" s="1"/>
  <c r="L303" i="11" l="1"/>
  <c r="M303" i="11" l="1"/>
  <c r="F304" i="11"/>
  <c r="H304" i="11" l="1"/>
  <c r="G304" i="11" s="1"/>
  <c r="L304" i="11" l="1"/>
  <c r="M304" i="11" l="1"/>
  <c r="F305" i="11"/>
  <c r="H305" i="11" l="1"/>
  <c r="G305" i="11" s="1"/>
  <c r="L305" i="11" l="1"/>
  <c r="M305" i="11" l="1"/>
  <c r="F306" i="11"/>
  <c r="H306" i="11" l="1"/>
  <c r="G306" i="11" s="1"/>
  <c r="L306" i="11" l="1"/>
  <c r="M306" i="11"/>
  <c r="F307" i="11"/>
  <c r="H307" i="11" l="1"/>
  <c r="G307" i="11" s="1"/>
  <c r="L307" i="11" l="1"/>
  <c r="M307" i="11" l="1"/>
  <c r="F308" i="11"/>
  <c r="H308" i="11" l="1"/>
  <c r="G308" i="11" s="1"/>
  <c r="L308" i="11" l="1"/>
  <c r="M308" i="11" l="1"/>
  <c r="F309" i="11"/>
  <c r="H309" i="11" l="1"/>
  <c r="G309" i="11" s="1"/>
  <c r="L309" i="11" l="1"/>
  <c r="M309" i="11" l="1"/>
  <c r="F310" i="11"/>
  <c r="H310" i="11" l="1"/>
  <c r="G310" i="11" s="1"/>
  <c r="L310" i="11" l="1"/>
  <c r="M310" i="11" l="1"/>
  <c r="F311" i="11"/>
  <c r="H311" i="11" l="1"/>
  <c r="G311" i="11" s="1"/>
  <c r="L311" i="11" l="1"/>
  <c r="M311" i="11" l="1"/>
  <c r="F312" i="11"/>
  <c r="H312" i="11" l="1"/>
  <c r="G312" i="11" s="1"/>
  <c r="L312" i="11" l="1"/>
  <c r="M312" i="11" l="1"/>
  <c r="F313" i="11"/>
  <c r="H313" i="11" l="1"/>
  <c r="G313" i="11" s="1"/>
  <c r="L313" i="11" l="1"/>
  <c r="M313" i="11" l="1"/>
  <c r="F314" i="11"/>
  <c r="H314" i="11" l="1"/>
  <c r="G314" i="11" s="1"/>
  <c r="L314" i="11" l="1"/>
  <c r="M314" i="11" l="1"/>
  <c r="F315" i="11"/>
  <c r="H315" i="11" l="1"/>
  <c r="G315" i="11" s="1"/>
  <c r="L315" i="11"/>
  <c r="M315" i="11" l="1"/>
  <c r="F316" i="11"/>
  <c r="H316" i="11" l="1"/>
  <c r="G316" i="11" s="1"/>
  <c r="L316" i="11" l="1"/>
  <c r="F317" i="11" l="1"/>
  <c r="M316" i="11"/>
  <c r="H317" i="11" l="1"/>
  <c r="G317" i="11" s="1"/>
  <c r="L317" i="11"/>
  <c r="M317" i="11" l="1"/>
  <c r="F318" i="11"/>
  <c r="H318" i="11" l="1"/>
  <c r="G318" i="11" s="1"/>
  <c r="L318" i="11"/>
  <c r="F319" i="11" l="1"/>
  <c r="M318" i="11"/>
  <c r="H319" i="11" l="1"/>
  <c r="G319" i="11" s="1"/>
  <c r="L319" i="11" l="1"/>
  <c r="M319" i="11" l="1"/>
  <c r="F320" i="11"/>
  <c r="H320" i="11" l="1"/>
  <c r="G320" i="11" s="1"/>
  <c r="L320" i="11" l="1"/>
  <c r="F321" i="11" l="1"/>
  <c r="M320" i="11"/>
  <c r="H321" i="11" l="1"/>
  <c r="G321" i="11" s="1"/>
  <c r="L321" i="11"/>
  <c r="M321" i="11" l="1"/>
  <c r="F322" i="11"/>
  <c r="H322" i="11" l="1"/>
  <c r="G322" i="11" s="1"/>
  <c r="L322" i="11"/>
  <c r="F323" i="11" l="1"/>
  <c r="M322" i="11"/>
  <c r="H323" i="11" l="1"/>
  <c r="G323" i="11" s="1"/>
  <c r="L323" i="11"/>
  <c r="M323" i="11" l="1"/>
  <c r="F324" i="11"/>
  <c r="H324" i="11" l="1"/>
  <c r="G324" i="11" s="1"/>
  <c r="L324" i="11"/>
  <c r="M324" i="11" l="1"/>
  <c r="F325" i="11"/>
  <c r="H325" i="11" l="1"/>
  <c r="G325" i="11" s="1"/>
  <c r="L325" i="11"/>
  <c r="M325" i="11" l="1"/>
  <c r="F326" i="11"/>
  <c r="H326" i="11" l="1"/>
  <c r="G326" i="11" s="1"/>
  <c r="L326" i="11" l="1"/>
  <c r="M326" i="11" l="1"/>
  <c r="F327" i="11"/>
  <c r="H327" i="11" l="1"/>
  <c r="G327" i="11" s="1"/>
  <c r="L327" i="11" l="1"/>
  <c r="M327" i="11" l="1"/>
  <c r="F328" i="11"/>
  <c r="H328" i="11" l="1"/>
  <c r="G328" i="11" s="1"/>
  <c r="L328" i="11"/>
  <c r="M328" i="11" l="1"/>
  <c r="F329" i="11"/>
  <c r="H329" i="11" l="1"/>
  <c r="G329" i="11" s="1"/>
  <c r="L329" i="11"/>
  <c r="M329" i="11" l="1"/>
  <c r="F330" i="11"/>
  <c r="H330" i="11" l="1"/>
  <c r="G330" i="11" s="1"/>
  <c r="L330" i="11"/>
  <c r="M330" i="11" l="1"/>
  <c r="F331" i="11"/>
  <c r="H331" i="11" l="1"/>
  <c r="G331" i="11" s="1"/>
  <c r="L331" i="11" l="1"/>
  <c r="M331" i="11" l="1"/>
  <c r="F332" i="11"/>
  <c r="H332" i="11" l="1"/>
  <c r="G332" i="11" s="1"/>
  <c r="L332" i="11" l="1"/>
  <c r="M332" i="11" l="1"/>
  <c r="F333" i="11"/>
  <c r="H333" i="11" l="1"/>
  <c r="G333" i="11" s="1"/>
  <c r="L333" i="11" l="1"/>
  <c r="M333" i="11" l="1"/>
  <c r="F334" i="11"/>
  <c r="H334" i="11" l="1"/>
  <c r="G334" i="11" s="1"/>
  <c r="L334" i="11" l="1"/>
  <c r="M334" i="11" l="1"/>
  <c r="F335" i="11"/>
  <c r="H335" i="11" l="1"/>
  <c r="G335" i="11" s="1"/>
  <c r="L335" i="11"/>
  <c r="M335" i="11" l="1"/>
  <c r="F336" i="11"/>
  <c r="H336" i="11" l="1"/>
  <c r="G336" i="11" s="1"/>
  <c r="L336" i="11"/>
  <c r="M336" i="11" l="1"/>
  <c r="F337" i="11"/>
  <c r="H337" i="11" l="1"/>
  <c r="G337" i="11" s="1"/>
  <c r="L337" i="11" l="1"/>
  <c r="M337" i="11" l="1"/>
  <c r="F338" i="11"/>
  <c r="H338" i="11" l="1"/>
  <c r="G338" i="11" s="1"/>
  <c r="L338" i="11" l="1"/>
  <c r="M338" i="11" l="1"/>
  <c r="F339" i="11"/>
  <c r="H339" i="11" l="1"/>
  <c r="G339" i="11" s="1"/>
  <c r="L339" i="11" l="1"/>
  <c r="M339" i="11" l="1"/>
  <c r="F340" i="11"/>
  <c r="H340" i="11" l="1"/>
  <c r="G340" i="11" s="1"/>
  <c r="L340" i="11" l="1"/>
  <c r="M340" i="11" l="1"/>
  <c r="F341" i="11"/>
  <c r="H341" i="11" l="1"/>
  <c r="G341" i="11" s="1"/>
  <c r="L341" i="11"/>
  <c r="M341" i="11" l="1"/>
  <c r="F342" i="11"/>
  <c r="H342" i="11" l="1"/>
  <c r="G342" i="11" s="1"/>
  <c r="L342" i="11"/>
  <c r="M342" i="11" l="1"/>
  <c r="F343" i="11"/>
  <c r="H343" i="11" l="1"/>
  <c r="G343" i="11" s="1"/>
  <c r="L343" i="11" l="1"/>
  <c r="M343" i="11" l="1"/>
  <c r="F344" i="11"/>
  <c r="H344" i="11" l="1"/>
  <c r="G344" i="11" s="1"/>
  <c r="L344" i="11"/>
  <c r="M344" i="11" l="1"/>
  <c r="F345" i="11"/>
  <c r="H345" i="11" l="1"/>
  <c r="G345" i="11" s="1"/>
  <c r="L345" i="11" l="1"/>
  <c r="M345" i="11" l="1"/>
  <c r="F346" i="11"/>
  <c r="H346" i="11" l="1"/>
  <c r="G346" i="11" s="1"/>
  <c r="L346" i="11"/>
  <c r="M346" i="11" l="1"/>
  <c r="F347" i="11"/>
  <c r="H347" i="11" l="1"/>
  <c r="G347" i="11" s="1"/>
  <c r="L347" i="11"/>
  <c r="M347" i="11" l="1"/>
  <c r="F348" i="11"/>
  <c r="H348" i="11" l="1"/>
  <c r="G348" i="11" s="1"/>
  <c r="L348" i="11"/>
  <c r="M348" i="11" l="1"/>
  <c r="F349" i="11"/>
  <c r="H349" i="11" l="1"/>
  <c r="G349" i="11" s="1"/>
  <c r="L349" i="11" l="1"/>
  <c r="M349" i="11" l="1"/>
  <c r="F350" i="11"/>
  <c r="H350" i="11" l="1"/>
  <c r="G350" i="11" s="1"/>
  <c r="L350" i="11"/>
  <c r="M350" i="11" l="1"/>
  <c r="F351" i="11"/>
  <c r="H351" i="11" l="1"/>
  <c r="G351" i="11" s="1"/>
  <c r="L351" i="11" l="1"/>
  <c r="M351" i="11" l="1"/>
  <c r="F352" i="11"/>
  <c r="H352" i="11" l="1"/>
  <c r="G352" i="11" s="1"/>
  <c r="L352" i="11"/>
  <c r="M352" i="11" l="1"/>
  <c r="F353" i="11"/>
  <c r="H353" i="11" l="1"/>
  <c r="G353" i="11" s="1"/>
  <c r="L353" i="11" l="1"/>
  <c r="M353" i="11" l="1"/>
  <c r="F354" i="11"/>
  <c r="H354" i="11" l="1"/>
  <c r="G354" i="11" s="1"/>
  <c r="L354" i="11" l="1"/>
  <c r="M354" i="11" l="1"/>
  <c r="F355" i="11"/>
  <c r="H355" i="11" l="1"/>
  <c r="G355" i="11" s="1"/>
  <c r="L355" i="11" l="1"/>
  <c r="M355" i="11" l="1"/>
  <c r="F356" i="11"/>
  <c r="H356" i="11" l="1"/>
  <c r="G356" i="11" s="1"/>
  <c r="L356" i="11" l="1"/>
  <c r="M356" i="11" l="1"/>
  <c r="F357" i="11"/>
  <c r="H357" i="11" l="1"/>
  <c r="G357" i="11" s="1"/>
  <c r="L357" i="11" l="1"/>
  <c r="M357" i="11" l="1"/>
  <c r="F358" i="11"/>
  <c r="H358" i="11" l="1"/>
  <c r="G358" i="11" s="1"/>
  <c r="L358" i="11" l="1"/>
  <c r="M358" i="11" l="1"/>
  <c r="F359" i="11"/>
  <c r="H359" i="11" l="1"/>
  <c r="G359" i="11" s="1"/>
  <c r="L359" i="11" l="1"/>
  <c r="M359" i="11" l="1"/>
  <c r="F360" i="11"/>
  <c r="H360" i="11" l="1"/>
  <c r="G360" i="11" s="1"/>
  <c r="L360" i="11" l="1"/>
  <c r="M360" i="11" l="1"/>
  <c r="F361" i="11"/>
  <c r="H361" i="11" l="1"/>
  <c r="G361" i="11" s="1"/>
  <c r="L361" i="11" l="1"/>
  <c r="M361" i="11" l="1"/>
  <c r="F362" i="11"/>
  <c r="H362" i="11" l="1"/>
  <c r="G362" i="11" s="1"/>
  <c r="L362" i="11" l="1"/>
  <c r="M362" i="11" l="1"/>
  <c r="F363" i="11"/>
  <c r="H363" i="11" l="1"/>
  <c r="G363" i="11" s="1"/>
  <c r="L363" i="11" l="1"/>
  <c r="M363" i="11" l="1"/>
  <c r="F364" i="11"/>
  <c r="H364" i="11" l="1"/>
  <c r="G364" i="11" s="1"/>
  <c r="L364" i="11" l="1"/>
  <c r="M364" i="11" l="1"/>
  <c r="F365" i="11"/>
  <c r="H365" i="11" l="1"/>
  <c r="G365" i="11" s="1"/>
  <c r="L365" i="11" l="1"/>
  <c r="M365" i="11" l="1"/>
  <c r="F366" i="11"/>
  <c r="H366" i="11" l="1"/>
  <c r="G366" i="11" s="1"/>
  <c r="L366" i="11" l="1"/>
  <c r="M366" i="11" l="1"/>
  <c r="F367" i="11"/>
  <c r="H367" i="11" l="1"/>
  <c r="G367" i="11" s="1"/>
  <c r="L367" i="11" l="1"/>
  <c r="M367" i="11" l="1"/>
  <c r="F368" i="11"/>
  <c r="H368" i="11" l="1"/>
  <c r="G368" i="11" s="1"/>
  <c r="L368" i="11" l="1"/>
  <c r="M368" i="11" l="1"/>
  <c r="F369" i="11"/>
  <c r="H369" i="11" l="1"/>
  <c r="G369" i="11" s="1"/>
  <c r="L369" i="11" l="1"/>
  <c r="M369" i="11" l="1"/>
  <c r="F370" i="11"/>
  <c r="H370" i="11" l="1"/>
  <c r="G370" i="11" s="1"/>
  <c r="L370" i="11" l="1"/>
  <c r="M370" i="11" l="1"/>
  <c r="F371" i="11"/>
  <c r="H371" i="11" l="1"/>
  <c r="G371" i="11" s="1"/>
  <c r="L371" i="11" l="1"/>
  <c r="M371" i="11" l="1"/>
  <c r="F372" i="11"/>
  <c r="H372" i="11" l="1"/>
  <c r="G372" i="11" s="1"/>
  <c r="L372" i="11" l="1"/>
  <c r="M372" i="11" l="1"/>
  <c r="F373" i="11"/>
  <c r="H373" i="11" l="1"/>
  <c r="G373" i="11" s="1"/>
  <c r="L373" i="11" l="1"/>
  <c r="M373" i="11" l="1"/>
  <c r="F374" i="11"/>
  <c r="H374" i="11" l="1"/>
  <c r="G374" i="11" s="1"/>
  <c r="L374" i="11" l="1"/>
  <c r="M374" i="11" l="1"/>
  <c r="F375" i="11"/>
  <c r="H375" i="11" l="1"/>
  <c r="G375" i="11" s="1"/>
  <c r="L375" i="11" l="1"/>
  <c r="M375" i="11" l="1"/>
  <c r="F376" i="11"/>
  <c r="H376" i="11" l="1"/>
  <c r="G376" i="11" s="1"/>
  <c r="L376" i="11" l="1"/>
  <c r="M376" i="11" l="1"/>
  <c r="F377" i="11"/>
  <c r="H377" i="11" l="1"/>
  <c r="G377" i="11" s="1"/>
  <c r="L377" i="11" l="1"/>
  <c r="M377" i="11" l="1"/>
  <c r="F378" i="11"/>
  <c r="H378" i="11" l="1"/>
  <c r="G378" i="11" s="1"/>
  <c r="L378" i="11" l="1"/>
  <c r="M378" i="11" l="1"/>
  <c r="F379" i="11"/>
  <c r="H379" i="11" l="1"/>
  <c r="G379" i="11" s="1"/>
  <c r="L379" i="11" l="1"/>
  <c r="M379" i="11" l="1"/>
  <c r="F380" i="11"/>
  <c r="H380" i="11" l="1"/>
  <c r="G380" i="11" s="1"/>
  <c r="L380" i="11" l="1"/>
  <c r="M380" i="11" l="1"/>
  <c r="F381" i="11"/>
  <c r="H381" i="11" l="1"/>
  <c r="G381" i="11" s="1"/>
  <c r="L381" i="11" l="1"/>
  <c r="M381" i="11" l="1"/>
  <c r="F382" i="11"/>
  <c r="H382" i="11" l="1"/>
  <c r="G382" i="11" s="1"/>
  <c r="L382" i="11" l="1"/>
  <c r="M382" i="11" l="1"/>
  <c r="F383" i="11"/>
  <c r="H383" i="11" l="1"/>
  <c r="G383" i="11" s="1"/>
  <c r="L383" i="11" l="1"/>
  <c r="M383" i="11"/>
  <c r="F384" i="11"/>
  <c r="H384" i="11" l="1"/>
  <c r="G384" i="11" s="1"/>
  <c r="L384" i="11" l="1"/>
  <c r="M384" i="11"/>
  <c r="F385" i="11"/>
  <c r="H385" i="11" l="1"/>
  <c r="G385" i="11" s="1"/>
  <c r="L385" i="11" l="1"/>
  <c r="M385" i="11" l="1"/>
  <c r="F386" i="11"/>
  <c r="H386" i="11" l="1"/>
  <c r="G386" i="11" s="1"/>
  <c r="L386" i="11" l="1"/>
  <c r="M386" i="11" l="1"/>
  <c r="F387" i="11"/>
  <c r="H387" i="11" l="1"/>
  <c r="G387" i="11" s="1"/>
  <c r="L387" i="11" l="1"/>
  <c r="M387" i="11" l="1"/>
  <c r="F388" i="11"/>
  <c r="H388" i="11" l="1"/>
  <c r="G388" i="11" s="1"/>
  <c r="L388" i="11" l="1"/>
  <c r="M388" i="11" l="1"/>
  <c r="F389" i="11"/>
  <c r="H389" i="11" l="1"/>
  <c r="G389" i="11" s="1"/>
  <c r="L389" i="11" l="1"/>
  <c r="M389" i="11"/>
  <c r="F390" i="11"/>
  <c r="H390" i="11" l="1"/>
  <c r="G390" i="11" s="1"/>
  <c r="L390" i="11" l="1"/>
  <c r="M390" i="11" l="1"/>
  <c r="F391" i="11"/>
  <c r="H391" i="11" l="1"/>
  <c r="G391" i="11" s="1"/>
  <c r="L391" i="11" l="1"/>
  <c r="M391" i="11" l="1"/>
  <c r="F392" i="11"/>
  <c r="L392" i="11" l="1"/>
  <c r="H392" i="11"/>
  <c r="G392" i="11" s="1"/>
  <c r="M392" i="11" l="1"/>
  <c r="F393" i="11"/>
  <c r="H393" i="11" l="1"/>
  <c r="G393" i="11" s="1"/>
  <c r="L393" i="11" l="1"/>
  <c r="F394" i="11" s="1"/>
  <c r="M393" i="11" l="1"/>
  <c r="H394" i="11"/>
  <c r="G394" i="11" s="1"/>
  <c r="L394" i="11" l="1"/>
  <c r="M394" i="11" l="1"/>
  <c r="F395" i="11"/>
  <c r="H395" i="11" l="1"/>
  <c r="G395" i="11" s="1"/>
  <c r="L395" i="11" l="1"/>
  <c r="M395" i="11" l="1"/>
  <c r="F396" i="11"/>
  <c r="H396" i="11" l="1"/>
  <c r="G396" i="11" s="1"/>
  <c r="L396" i="11" l="1"/>
  <c r="M396" i="11" s="1"/>
  <c r="E28" i="4" l="1"/>
  <c r="E29" i="4"/>
  <c r="E30" i="4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C11" i="8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D4" i="8"/>
  <c r="H10" i="8" s="1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D4" i="7"/>
  <c r="E46" i="7" s="1"/>
  <c r="C11" i="7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B11" i="7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G10" i="7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C10" i="6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B10" i="6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G9" i="6"/>
  <c r="E39" i="5"/>
  <c r="E40" i="5"/>
  <c r="E41" i="5"/>
  <c r="E42" i="5"/>
  <c r="E43" i="5"/>
  <c r="E31" i="5"/>
  <c r="E32" i="5"/>
  <c r="E33" i="5"/>
  <c r="E34" i="5"/>
  <c r="E35" i="5"/>
  <c r="E36" i="5"/>
  <c r="E37" i="5"/>
  <c r="E38" i="5"/>
  <c r="C10" i="5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G9" i="5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10" i="4"/>
  <c r="D11" i="4"/>
  <c r="D12" i="4"/>
  <c r="D13" i="4"/>
  <c r="D14" i="4"/>
  <c r="D15" i="4"/>
  <c r="D16" i="4"/>
  <c r="B10" i="4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E45" i="5" l="1"/>
  <c r="E45" i="6"/>
  <c r="E46" i="8"/>
  <c r="D11" i="8"/>
  <c r="G11" i="8" s="1"/>
  <c r="H11" i="8" s="1"/>
  <c r="D12" i="8" s="1"/>
  <c r="G12" i="8" s="1"/>
  <c r="H12" i="8" s="1"/>
  <c r="D13" i="8" s="1"/>
  <c r="G13" i="8" s="1"/>
  <c r="H13" i="8" s="1"/>
  <c r="D14" i="8" s="1"/>
  <c r="G14" i="8" s="1"/>
  <c r="H14" i="8" s="1"/>
  <c r="D15" i="8" s="1"/>
  <c r="G15" i="8" s="1"/>
  <c r="H15" i="8" s="1"/>
  <c r="D16" i="8" s="1"/>
  <c r="G16" i="8" s="1"/>
  <c r="H16" i="8" s="1"/>
  <c r="D17" i="8" s="1"/>
  <c r="G17" i="8" s="1"/>
  <c r="D18" i="8" s="1"/>
  <c r="G18" i="8" s="1"/>
  <c r="H18" i="8" s="1"/>
  <c r="D19" i="8" s="1"/>
  <c r="G19" i="8" s="1"/>
  <c r="H19" i="8" s="1"/>
  <c r="D20" i="8" s="1"/>
  <c r="G20" i="8" s="1"/>
  <c r="H20" i="8" s="1"/>
  <c r="D21" i="8" s="1"/>
  <c r="G21" i="8" s="1"/>
  <c r="H21" i="8" s="1"/>
  <c r="D22" i="8" s="1"/>
  <c r="G22" i="8" s="1"/>
  <c r="H22" i="8" s="1"/>
  <c r="D23" i="8" s="1"/>
  <c r="G23" i="8" s="1"/>
  <c r="H23" i="8" s="1"/>
  <c r="D24" i="8" s="1"/>
  <c r="G24" i="8" s="1"/>
  <c r="H24" i="8" s="1"/>
  <c r="D25" i="8" s="1"/>
  <c r="G25" i="8" s="1"/>
  <c r="H25" i="8" s="1"/>
  <c r="D26" i="8" s="1"/>
  <c r="G26" i="8" s="1"/>
  <c r="H26" i="8" s="1"/>
  <c r="D27" i="8" s="1"/>
  <c r="G27" i="8" s="1"/>
  <c r="H27" i="8" s="1"/>
  <c r="D28" i="8" s="1"/>
  <c r="G28" i="8" s="1"/>
  <c r="H28" i="8" s="1"/>
  <c r="D29" i="8" s="1"/>
  <c r="G29" i="8" s="1"/>
  <c r="H29" i="8" s="1"/>
  <c r="D30" i="8" s="1"/>
  <c r="G30" i="8" s="1"/>
  <c r="H30" i="8" s="1"/>
  <c r="D31" i="8" s="1"/>
  <c r="G31" i="8" s="1"/>
  <c r="H31" i="8" s="1"/>
  <c r="D32" i="8" s="1"/>
  <c r="G32" i="8" s="1"/>
  <c r="H32" i="8" s="1"/>
  <c r="D33" i="8" s="1"/>
  <c r="G33" i="8" s="1"/>
  <c r="H33" i="8" s="1"/>
  <c r="D34" i="8" s="1"/>
  <c r="G34" i="8" s="1"/>
  <c r="H34" i="8" s="1"/>
  <c r="D35" i="8" s="1"/>
  <c r="G35" i="8" s="1"/>
  <c r="H35" i="8" s="1"/>
  <c r="D36" i="8" s="1"/>
  <c r="G36" i="8" s="1"/>
  <c r="H36" i="8" s="1"/>
  <c r="D37" i="8" s="1"/>
  <c r="G37" i="8" s="1"/>
  <c r="H37" i="8" s="1"/>
  <c r="D38" i="8" s="1"/>
  <c r="G38" i="8" s="1"/>
  <c r="H38" i="8" s="1"/>
  <c r="D39" i="8" s="1"/>
  <c r="G39" i="8" s="1"/>
  <c r="H39" i="8" s="1"/>
  <c r="D40" i="8" s="1"/>
  <c r="G40" i="8" s="1"/>
  <c r="H40" i="8" s="1"/>
  <c r="D41" i="8" s="1"/>
  <c r="G41" i="8" s="1"/>
  <c r="H41" i="8" s="1"/>
  <c r="D42" i="8" s="1"/>
  <c r="G42" i="8" s="1"/>
  <c r="H42" i="8" s="1"/>
  <c r="D43" i="8" s="1"/>
  <c r="G43" i="8" s="1"/>
  <c r="H43" i="8" s="1"/>
  <c r="D44" i="8" s="1"/>
  <c r="G44" i="8" s="1"/>
  <c r="H44" i="8" s="1"/>
  <c r="H9" i="6"/>
  <c r="H10" i="7"/>
  <c r="D11" i="7" s="1"/>
  <c r="G11" i="7" s="1"/>
  <c r="H11" i="7" s="1"/>
  <c r="D12" i="7" s="1"/>
  <c r="G12" i="7" s="1"/>
  <c r="H9" i="5"/>
  <c r="H12" i="7" l="1"/>
  <c r="D13" i="7" s="1"/>
  <c r="G13" i="7" s="1"/>
  <c r="H13" i="7" s="1"/>
  <c r="D14" i="7" s="1"/>
  <c r="G14" i="7" s="1"/>
  <c r="H14" i="7" s="1"/>
  <c r="D15" i="7" s="1"/>
  <c r="G15" i="7" s="1"/>
  <c r="H15" i="7" s="1"/>
  <c r="D16" i="7" s="1"/>
  <c r="G16" i="7" s="1"/>
  <c r="H16" i="7" s="1"/>
  <c r="D17" i="7" s="1"/>
  <c r="G17" i="7" s="1"/>
  <c r="H17" i="7" s="1"/>
  <c r="D18" i="7" s="1"/>
  <c r="G18" i="7" s="1"/>
  <c r="H18" i="7" s="1"/>
  <c r="D19" i="7" s="1"/>
  <c r="G19" i="7" s="1"/>
  <c r="H19" i="7" s="1"/>
  <c r="D20" i="7" s="1"/>
  <c r="G20" i="7" s="1"/>
  <c r="H20" i="7" s="1"/>
  <c r="D21" i="7" s="1"/>
  <c r="G21" i="7" s="1"/>
  <c r="H21" i="7" s="1"/>
  <c r="D22" i="7" s="1"/>
  <c r="G22" i="7" s="1"/>
  <c r="H22" i="7" s="1"/>
  <c r="D23" i="7" s="1"/>
  <c r="G23" i="7" s="1"/>
  <c r="H23" i="7" s="1"/>
  <c r="D24" i="7" s="1"/>
  <c r="G24" i="7" s="1"/>
  <c r="H24" i="7" s="1"/>
  <c r="D25" i="7" s="1"/>
  <c r="G25" i="7" s="1"/>
  <c r="H25" i="7" s="1"/>
  <c r="D26" i="7" s="1"/>
  <c r="G26" i="7" s="1"/>
  <c r="H26" i="7" s="1"/>
  <c r="D27" i="7" s="1"/>
  <c r="G27" i="7" s="1"/>
  <c r="H27" i="7" s="1"/>
  <c r="D28" i="7" s="1"/>
  <c r="G28" i="7" s="1"/>
  <c r="H28" i="7" s="1"/>
  <c r="D29" i="7" s="1"/>
  <c r="G29" i="7" s="1"/>
  <c r="H29" i="7" s="1"/>
  <c r="D30" i="7" s="1"/>
  <c r="G30" i="7" s="1"/>
  <c r="H30" i="7" s="1"/>
  <c r="D31" i="7" s="1"/>
  <c r="G31" i="7" s="1"/>
  <c r="H31" i="7" s="1"/>
  <c r="D32" i="7" s="1"/>
  <c r="G32" i="7" s="1"/>
  <c r="H32" i="7" s="1"/>
  <c r="D33" i="7" s="1"/>
  <c r="G33" i="7" s="1"/>
  <c r="H33" i="7" s="1"/>
  <c r="D34" i="7" s="1"/>
  <c r="G34" i="7" s="1"/>
  <c r="H34" i="7" s="1"/>
  <c r="D35" i="7" s="1"/>
  <c r="G35" i="7" s="1"/>
  <c r="H35" i="7" s="1"/>
  <c r="D36" i="7" s="1"/>
  <c r="G36" i="7" s="1"/>
  <c r="H36" i="7" s="1"/>
  <c r="D37" i="7" s="1"/>
  <c r="G37" i="7" s="1"/>
  <c r="H37" i="7" s="1"/>
  <c r="D38" i="7" s="1"/>
  <c r="G38" i="7" s="1"/>
  <c r="H38" i="7" s="1"/>
  <c r="D39" i="7" s="1"/>
  <c r="G39" i="7" s="1"/>
  <c r="H39" i="7" s="1"/>
  <c r="D40" i="7" s="1"/>
  <c r="G40" i="7" s="1"/>
  <c r="H40" i="7" s="1"/>
  <c r="D41" i="7" s="1"/>
  <c r="G41" i="7" s="1"/>
  <c r="H41" i="7" s="1"/>
  <c r="D42" i="7" s="1"/>
  <c r="G42" i="7" s="1"/>
  <c r="H42" i="7" s="1"/>
  <c r="D43" i="7" s="1"/>
  <c r="G43" i="7" s="1"/>
  <c r="H43" i="7" s="1"/>
  <c r="D44" i="7" s="1"/>
  <c r="G44" i="7" s="1"/>
  <c r="H44" i="7" s="1"/>
  <c r="G46" i="8"/>
  <c r="D10" i="5"/>
  <c r="G10" i="5" s="1"/>
  <c r="I10" i="8"/>
  <c r="D10" i="6"/>
  <c r="G10" i="6" s="1"/>
  <c r="J10" i="8"/>
  <c r="F10" i="4"/>
  <c r="G46" i="7" l="1"/>
  <c r="G10" i="4"/>
  <c r="C11" i="4" s="1"/>
  <c r="H10" i="6"/>
  <c r="K10" i="8"/>
  <c r="H10" i="5"/>
  <c r="D11" i="5" s="1"/>
  <c r="G11" i="5" s="1"/>
  <c r="D11" i="6"/>
  <c r="G11" i="6" s="1"/>
  <c r="H11" i="6" s="1"/>
  <c r="J11" i="8"/>
  <c r="F11" i="4" l="1"/>
  <c r="G11" i="4" s="1"/>
  <c r="I11" i="8"/>
  <c r="K11" i="8" s="1"/>
  <c r="H11" i="5"/>
  <c r="D12" i="5" s="1"/>
  <c r="G12" i="5" s="1"/>
  <c r="D12" i="6"/>
  <c r="G12" i="6" s="1"/>
  <c r="H12" i="6" s="1"/>
  <c r="J12" i="8"/>
  <c r="C12" i="4" l="1"/>
  <c r="F12" i="4" s="1"/>
  <c r="G12" i="4" s="1"/>
  <c r="C13" i="4" s="1"/>
  <c r="F13" i="4" s="1"/>
  <c r="G13" i="4" s="1"/>
  <c r="C14" i="4" s="1"/>
  <c r="F14" i="4" s="1"/>
  <c r="G14" i="4" s="1"/>
  <c r="C15" i="4" s="1"/>
  <c r="H12" i="5"/>
  <c r="I12" i="8"/>
  <c r="K12" i="8" s="1"/>
  <c r="D13" i="5"/>
  <c r="G13" i="5" s="1"/>
  <c r="H13" i="5" s="1"/>
  <c r="I13" i="8"/>
  <c r="D13" i="6"/>
  <c r="G13" i="6" s="1"/>
  <c r="H13" i="6" s="1"/>
  <c r="J13" i="8"/>
  <c r="D14" i="5" l="1"/>
  <c r="G14" i="5" s="1"/>
  <c r="H14" i="5" s="1"/>
  <c r="I14" i="8"/>
  <c r="K13" i="8"/>
  <c r="D14" i="6"/>
  <c r="G14" i="6" s="1"/>
  <c r="H14" i="6" s="1"/>
  <c r="J14" i="8"/>
  <c r="F15" i="4"/>
  <c r="G15" i="4" s="1"/>
  <c r="C16" i="4" s="1"/>
  <c r="K14" i="8" l="1"/>
  <c r="D15" i="5"/>
  <c r="G15" i="5" s="1"/>
  <c r="H15" i="5" s="1"/>
  <c r="I15" i="8"/>
  <c r="D15" i="6"/>
  <c r="G15" i="6" s="1"/>
  <c r="H15" i="6" s="1"/>
  <c r="J15" i="8"/>
  <c r="F16" i="4"/>
  <c r="G16" i="4" s="1"/>
  <c r="C17" i="4" s="1"/>
  <c r="D16" i="5" l="1"/>
  <c r="G16" i="5" s="1"/>
  <c r="H16" i="5" s="1"/>
  <c r="I16" i="8"/>
  <c r="K15" i="8"/>
  <c r="D16" i="6"/>
  <c r="G16" i="6" s="1"/>
  <c r="H16" i="6" s="1"/>
  <c r="J16" i="8"/>
  <c r="F17" i="4"/>
  <c r="G17" i="4" s="1"/>
  <c r="C18" i="4" s="1"/>
  <c r="K16" i="8" l="1"/>
  <c r="N16" i="8" s="1"/>
  <c r="D17" i="5"/>
  <c r="G17" i="5" s="1"/>
  <c r="H17" i="5" s="1"/>
  <c r="I17" i="8"/>
  <c r="D17" i="6"/>
  <c r="G17" i="6" s="1"/>
  <c r="H17" i="6" s="1"/>
  <c r="J17" i="8"/>
  <c r="F18" i="4"/>
  <c r="G18" i="4" s="1"/>
  <c r="C19" i="4" s="1"/>
  <c r="D18" i="5" l="1"/>
  <c r="G18" i="5" s="1"/>
  <c r="H18" i="5" s="1"/>
  <c r="I18" i="8"/>
  <c r="K17" i="8"/>
  <c r="D18" i="6"/>
  <c r="G18" i="6" s="1"/>
  <c r="H18" i="6" s="1"/>
  <c r="J18" i="8"/>
  <c r="F19" i="4"/>
  <c r="G19" i="4" s="1"/>
  <c r="C20" i="4" s="1"/>
  <c r="K18" i="8" l="1"/>
  <c r="D19" i="5"/>
  <c r="G19" i="5" s="1"/>
  <c r="H19" i="5" s="1"/>
  <c r="I19" i="8"/>
  <c r="D19" i="6"/>
  <c r="G19" i="6" s="1"/>
  <c r="H19" i="6" s="1"/>
  <c r="J19" i="8"/>
  <c r="F20" i="4"/>
  <c r="G20" i="4" s="1"/>
  <c r="C21" i="4" s="1"/>
  <c r="D20" i="5" l="1"/>
  <c r="G20" i="5" s="1"/>
  <c r="H20" i="5" s="1"/>
  <c r="I20" i="8"/>
  <c r="K19" i="8"/>
  <c r="D20" i="6"/>
  <c r="G20" i="6" s="1"/>
  <c r="H20" i="6" s="1"/>
  <c r="J20" i="8"/>
  <c r="F21" i="4"/>
  <c r="G21" i="4" s="1"/>
  <c r="C22" i="4" s="1"/>
  <c r="K20" i="8" l="1"/>
  <c r="D21" i="5"/>
  <c r="G21" i="5" s="1"/>
  <c r="H21" i="5" s="1"/>
  <c r="I21" i="8"/>
  <c r="D21" i="6"/>
  <c r="G21" i="6" s="1"/>
  <c r="H21" i="6" s="1"/>
  <c r="J21" i="8"/>
  <c r="F22" i="4"/>
  <c r="G22" i="4" s="1"/>
  <c r="C23" i="4" s="1"/>
  <c r="D22" i="5" l="1"/>
  <c r="G22" i="5" s="1"/>
  <c r="H22" i="5" s="1"/>
  <c r="I22" i="8"/>
  <c r="K21" i="8"/>
  <c r="D22" i="6"/>
  <c r="G22" i="6" s="1"/>
  <c r="H22" i="6" s="1"/>
  <c r="J22" i="8"/>
  <c r="F23" i="4"/>
  <c r="G23" i="4" s="1"/>
  <c r="C24" i="4" s="1"/>
  <c r="K22" i="8" l="1"/>
  <c r="D23" i="5"/>
  <c r="G23" i="5" s="1"/>
  <c r="H23" i="5" s="1"/>
  <c r="I23" i="8"/>
  <c r="D23" i="6"/>
  <c r="G23" i="6" s="1"/>
  <c r="H23" i="6" s="1"/>
  <c r="J23" i="8"/>
  <c r="F24" i="4"/>
  <c r="G24" i="4" s="1"/>
  <c r="C25" i="4" s="1"/>
  <c r="D24" i="5" l="1"/>
  <c r="G24" i="5" s="1"/>
  <c r="H24" i="5" s="1"/>
  <c r="I24" i="8"/>
  <c r="K23" i="8"/>
  <c r="D24" i="6"/>
  <c r="G24" i="6" s="1"/>
  <c r="H24" i="6" s="1"/>
  <c r="J24" i="8"/>
  <c r="K24" i="8" s="1"/>
  <c r="F25" i="4"/>
  <c r="G25" i="4" s="1"/>
  <c r="C26" i="4" s="1"/>
  <c r="D25" i="5" l="1"/>
  <c r="G25" i="5" s="1"/>
  <c r="H25" i="5" s="1"/>
  <c r="I25" i="8"/>
  <c r="D25" i="6"/>
  <c r="G25" i="6" s="1"/>
  <c r="H25" i="6" s="1"/>
  <c r="J25" i="8"/>
  <c r="D26" i="5" l="1"/>
  <c r="G26" i="5" s="1"/>
  <c r="H26" i="5" s="1"/>
  <c r="I26" i="8"/>
  <c r="K25" i="8"/>
  <c r="D26" i="6"/>
  <c r="G26" i="6" s="1"/>
  <c r="H26" i="6" s="1"/>
  <c r="J26" i="8"/>
  <c r="F26" i="4"/>
  <c r="G26" i="4" l="1"/>
  <c r="K26" i="8"/>
  <c r="D27" i="5"/>
  <c r="G27" i="5" s="1"/>
  <c r="H27" i="5" s="1"/>
  <c r="I27" i="8"/>
  <c r="D27" i="6"/>
  <c r="G27" i="6" s="1"/>
  <c r="H27" i="6" s="1"/>
  <c r="J27" i="8"/>
  <c r="C27" i="4" l="1"/>
  <c r="F27" i="4" s="1"/>
  <c r="G27" i="4" s="1"/>
  <c r="D28" i="5"/>
  <c r="G28" i="5" s="1"/>
  <c r="H28" i="5" s="1"/>
  <c r="I28" i="8"/>
  <c r="K27" i="8"/>
  <c r="D28" i="6"/>
  <c r="G28" i="6" s="1"/>
  <c r="H28" i="6" s="1"/>
  <c r="J28" i="8"/>
  <c r="C28" i="4" l="1"/>
  <c r="F28" i="4" s="1"/>
  <c r="G28" i="4" s="1"/>
  <c r="K28" i="8"/>
  <c r="D29" i="5"/>
  <c r="G29" i="5" s="1"/>
  <c r="H29" i="5" s="1"/>
  <c r="I29" i="8"/>
  <c r="D29" i="6"/>
  <c r="G29" i="6" s="1"/>
  <c r="H29" i="6" s="1"/>
  <c r="J29" i="8"/>
  <c r="C29" i="4" l="1"/>
  <c r="F29" i="4" s="1"/>
  <c r="G29" i="4" s="1"/>
  <c r="C30" i="4" s="1"/>
  <c r="F30" i="4" s="1"/>
  <c r="G30" i="4" s="1"/>
  <c r="I29" i="4" s="1"/>
  <c r="K29" i="8"/>
  <c r="D30" i="5"/>
  <c r="G30" i="5" s="1"/>
  <c r="H30" i="5" s="1"/>
  <c r="I30" i="8"/>
  <c r="D30" i="6"/>
  <c r="G30" i="6" s="1"/>
  <c r="H30" i="6" s="1"/>
  <c r="J30" i="8"/>
  <c r="L29" i="4" l="1"/>
  <c r="M29" i="4"/>
  <c r="I30" i="4" s="1"/>
  <c r="C31" i="4"/>
  <c r="K30" i="8"/>
  <c r="D31" i="5"/>
  <c r="G31" i="5" s="1"/>
  <c r="H31" i="5" s="1"/>
  <c r="I31" i="8"/>
  <c r="D31" i="6"/>
  <c r="G31" i="6" s="1"/>
  <c r="H31" i="6" s="1"/>
  <c r="J31" i="8"/>
  <c r="L30" i="4" l="1"/>
  <c r="M30" i="4"/>
  <c r="I31" i="4" s="1"/>
  <c r="C32" i="4"/>
  <c r="K31" i="8"/>
  <c r="D32" i="5"/>
  <c r="G32" i="5" s="1"/>
  <c r="H32" i="5" s="1"/>
  <c r="I32" i="8"/>
  <c r="D32" i="6"/>
  <c r="G32" i="6" s="1"/>
  <c r="H32" i="6" s="1"/>
  <c r="J32" i="8"/>
  <c r="L31" i="4" l="1"/>
  <c r="M31" i="4"/>
  <c r="I32" i="4" s="1"/>
  <c r="C33" i="4"/>
  <c r="D33" i="5"/>
  <c r="G33" i="5" s="1"/>
  <c r="H33" i="5" s="1"/>
  <c r="I33" i="8"/>
  <c r="K32" i="8"/>
  <c r="D33" i="6"/>
  <c r="G33" i="6" s="1"/>
  <c r="H33" i="6" s="1"/>
  <c r="J33" i="8"/>
  <c r="L32" i="4" l="1"/>
  <c r="M32" i="4"/>
  <c r="I33" i="4" s="1"/>
  <c r="C34" i="4"/>
  <c r="K33" i="8"/>
  <c r="D34" i="5"/>
  <c r="G34" i="5" s="1"/>
  <c r="H34" i="5" s="1"/>
  <c r="I34" i="8"/>
  <c r="D34" i="6"/>
  <c r="G34" i="6" s="1"/>
  <c r="H34" i="6" s="1"/>
  <c r="J34" i="8"/>
  <c r="L33" i="4" l="1"/>
  <c r="M33" i="4"/>
  <c r="I34" i="4" s="1"/>
  <c r="L34" i="4" s="1"/>
  <c r="M34" i="4" s="1"/>
  <c r="D35" i="5"/>
  <c r="G35" i="5" s="1"/>
  <c r="H35" i="5" s="1"/>
  <c r="I35" i="8"/>
  <c r="K34" i="8"/>
  <c r="D35" i="6"/>
  <c r="G35" i="6" s="1"/>
  <c r="H35" i="6" s="1"/>
  <c r="J35" i="8"/>
  <c r="K35" i="8" s="1"/>
  <c r="D36" i="5" l="1"/>
  <c r="G36" i="5" s="1"/>
  <c r="H36" i="5" s="1"/>
  <c r="I36" i="8"/>
  <c r="D36" i="6"/>
  <c r="G36" i="6" s="1"/>
  <c r="H36" i="6" s="1"/>
  <c r="J36" i="8"/>
  <c r="K36" i="8" l="1"/>
  <c r="D37" i="5"/>
  <c r="G37" i="5" s="1"/>
  <c r="H37" i="5" s="1"/>
  <c r="I37" i="8"/>
  <c r="D37" i="6"/>
  <c r="G37" i="6" s="1"/>
  <c r="H37" i="6" s="1"/>
  <c r="J37" i="8"/>
  <c r="K37" i="8" l="1"/>
  <c r="D38" i="5"/>
  <c r="G38" i="5" s="1"/>
  <c r="H38" i="5" s="1"/>
  <c r="I38" i="8"/>
  <c r="D38" i="6"/>
  <c r="G38" i="6" s="1"/>
  <c r="H38" i="6" s="1"/>
  <c r="J38" i="8"/>
  <c r="K38" i="8" l="1"/>
  <c r="D39" i="5"/>
  <c r="G39" i="5" s="1"/>
  <c r="H39" i="5" s="1"/>
  <c r="I39" i="8"/>
  <c r="D39" i="6"/>
  <c r="G39" i="6" s="1"/>
  <c r="H39" i="6" s="1"/>
  <c r="J39" i="8"/>
  <c r="K39" i="8" l="1"/>
  <c r="D40" i="5"/>
  <c r="G40" i="5" s="1"/>
  <c r="H40" i="5" s="1"/>
  <c r="I40" i="8"/>
  <c r="D40" i="6"/>
  <c r="G40" i="6" s="1"/>
  <c r="H40" i="6" s="1"/>
  <c r="J40" i="8"/>
  <c r="K40" i="8" l="1"/>
  <c r="D41" i="5"/>
  <c r="G41" i="5" s="1"/>
  <c r="H41" i="5" s="1"/>
  <c r="I41" i="8"/>
  <c r="D41" i="6"/>
  <c r="G41" i="6" s="1"/>
  <c r="H41" i="6" s="1"/>
  <c r="J41" i="8"/>
  <c r="K41" i="8" s="1"/>
  <c r="D42" i="5" l="1"/>
  <c r="G42" i="5" s="1"/>
  <c r="H42" i="5" s="1"/>
  <c r="I42" i="8"/>
  <c r="D42" i="6"/>
  <c r="G42" i="6" s="1"/>
  <c r="H42" i="6" s="1"/>
  <c r="J42" i="8"/>
  <c r="K42" i="8" l="1"/>
  <c r="D43" i="5"/>
  <c r="G43" i="5" s="1"/>
  <c r="I43" i="8"/>
  <c r="D43" i="6"/>
  <c r="G43" i="6" s="1"/>
  <c r="J43" i="8"/>
  <c r="H43" i="6" l="1"/>
  <c r="J44" i="8" s="1"/>
  <c r="G45" i="6"/>
  <c r="K43" i="8"/>
  <c r="H43" i="5"/>
  <c r="I44" i="8" s="1"/>
  <c r="G45" i="5"/>
  <c r="K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I15" authorId="0" shapeId="0" xr:uid="{E511F4A0-F166-4923-A839-96F7539827F5}">
      <text>
        <r>
          <rPr>
            <b/>
            <sz val="9"/>
            <color indexed="81"/>
            <rFont val="Tahoma"/>
            <family val="2"/>
          </rPr>
          <t>Matt Smith:</t>
        </r>
        <r>
          <rPr>
            <sz val="9"/>
            <color indexed="81"/>
            <rFont val="Tahoma"/>
            <family val="2"/>
          </rPr>
          <t xml:space="preserve">
1/3/24</t>
        </r>
      </text>
    </comment>
    <comment ref="I16" authorId="0" shapeId="0" xr:uid="{67657180-1CB9-49B2-9945-D5CEDAC12EF9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1/2/25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I16" authorId="0" shapeId="0" xr:uid="{A5A7FC79-0585-4275-8ACB-27EF1FF59670}">
      <text>
        <r>
          <rPr>
            <b/>
            <sz val="9"/>
            <color indexed="81"/>
            <rFont val="Tahoma"/>
            <family val="2"/>
          </rPr>
          <t>Matt Smith:</t>
        </r>
        <r>
          <rPr>
            <sz val="9"/>
            <color indexed="81"/>
            <rFont val="Tahoma"/>
            <family val="2"/>
          </rPr>
          <t xml:space="preserve">
Roth+Trad
1-3-24</t>
        </r>
      </text>
    </comment>
    <comment ref="I17" authorId="0" shapeId="0" xr:uid="{7F9A2E68-91E4-45D6-BE60-081E6E1BE3E5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1/2/25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I17" authorId="0" shapeId="0" xr:uid="{AF8BFD2B-7828-4F79-84B2-5C219D7F8A96}">
      <text>
        <r>
          <rPr>
            <b/>
            <sz val="9"/>
            <color indexed="81"/>
            <rFont val="Tahoma"/>
            <family val="2"/>
          </rPr>
          <t>Matt Smith:</t>
        </r>
        <r>
          <rPr>
            <sz val="9"/>
            <color indexed="81"/>
            <rFont val="Tahoma"/>
            <family val="2"/>
          </rPr>
          <t xml:space="preserve">
1-3-2024</t>
        </r>
      </text>
    </comment>
    <comment ref="I18" authorId="0" shapeId="0" xr:uid="{6EDA42D6-EA6E-4358-A1BA-BD38204748F8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1/2/2025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E9" authorId="0" shapeId="0" xr:uid="{D313C83B-85B2-4990-8617-483D16357214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minus 529</t>
        </r>
      </text>
    </comment>
    <comment ref="M10" authorId="0" shapeId="0" xr:uid="{FA7C9135-3A64-4FF0-952F-81D281CE61DB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Exp - $35,863
250 - $78,704 (loan 35000)
Camper - $27,000 (guess)</t>
        </r>
      </text>
    </comment>
    <comment ref="M11" authorId="0" shapeId="0" xr:uid="{C06992AF-EFBC-43E6-B70B-189E41F69326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Exp - $35,863
Truck - 75000
Camper - 27,000</t>
        </r>
      </text>
    </comment>
    <comment ref="M12" authorId="0" shapeId="0" xr:uid="{CDC011C1-7A90-4206-BA10-F8493A76305D}">
      <text>
        <r>
          <rPr>
            <b/>
            <sz val="9"/>
            <color indexed="81"/>
            <rFont val="Tahoma"/>
            <family val="2"/>
          </rPr>
          <t>Matt Smith:</t>
        </r>
        <r>
          <rPr>
            <sz val="9"/>
            <color indexed="81"/>
            <rFont val="Tahoma"/>
            <family val="2"/>
          </rPr>
          <t xml:space="preserve">
Exp - $35,863
250 - $50000, (loan 23k)
Camper - $27,000 (guess)</t>
        </r>
      </text>
    </comment>
    <comment ref="H14" authorId="0" shapeId="0" xr:uid="{E475FFE8-17E8-42FD-966F-B79EC3F6CABD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Sold vested stock</t>
        </r>
      </text>
    </comment>
    <comment ref="I14" authorId="0" shapeId="0" xr:uid="{7B2D2569-321F-439A-AF76-E8339E0A0549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paid car insurance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J15" authorId="0" shapeId="0" xr:uid="{21010922-9983-4DCB-AD80-A5CC32273947}">
      <text>
        <r>
          <rPr>
            <b/>
            <sz val="9"/>
            <color indexed="81"/>
            <rFont val="Tahoma"/>
            <family val="2"/>
          </rPr>
          <t>Matt Smith:</t>
        </r>
        <r>
          <rPr>
            <sz val="9"/>
            <color indexed="81"/>
            <rFont val="Tahoma"/>
            <family val="2"/>
          </rPr>
          <t xml:space="preserve">
1/3/24</t>
        </r>
      </text>
    </comment>
    <comment ref="J16" authorId="0" shapeId="0" xr:uid="{4222374A-267C-491D-855A-7227528E29D6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1/2/2025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H15" authorId="0" shapeId="0" xr:uid="{D6F1D9CC-6A77-46D8-8B1C-B16394198C08}">
      <text>
        <r>
          <rPr>
            <b/>
            <sz val="9"/>
            <color indexed="81"/>
            <rFont val="Tahoma"/>
            <family val="2"/>
          </rPr>
          <t>Matt Smith:</t>
        </r>
        <r>
          <rPr>
            <sz val="9"/>
            <color indexed="81"/>
            <rFont val="Tahoma"/>
            <family val="2"/>
          </rPr>
          <t xml:space="preserve">
1/3/24</t>
        </r>
      </text>
    </comment>
    <comment ref="H16" authorId="0" shapeId="0" xr:uid="{3D0BF3F2-F7B0-4E2C-8E0C-D8E3815FDB39}">
      <text>
        <r>
          <rPr>
            <b/>
            <sz val="9"/>
            <color indexed="81"/>
            <rFont val="Tahoma"/>
            <charset val="1"/>
          </rPr>
          <t>Matt Smith:</t>
        </r>
        <r>
          <rPr>
            <sz val="9"/>
            <color indexed="81"/>
            <rFont val="Tahoma"/>
            <charset val="1"/>
          </rPr>
          <t xml:space="preserve">
1/2/2025</t>
        </r>
      </text>
    </comment>
  </commentList>
</comments>
</file>

<file path=xl/sharedStrings.xml><?xml version="1.0" encoding="utf-8"?>
<sst xmlns="http://schemas.openxmlformats.org/spreadsheetml/2006/main" count="182" uniqueCount="98">
  <si>
    <t>Average cost per year</t>
  </si>
  <si>
    <t>Year</t>
  </si>
  <si>
    <t>Start</t>
  </si>
  <si>
    <t>Contributions</t>
  </si>
  <si>
    <t>Payment</t>
  </si>
  <si>
    <t>Earnings</t>
  </si>
  <si>
    <t>Monthly Contribution</t>
  </si>
  <si>
    <t>Interest Rate</t>
  </si>
  <si>
    <t>End=Present*(1+(interest rate/number compoundings per year))^(compoundings per year * years)</t>
  </si>
  <si>
    <t>Compounding Quarterly</t>
  </si>
  <si>
    <t>Years til College</t>
  </si>
  <si>
    <t>Age</t>
  </si>
  <si>
    <t>Yearly Max Contribution</t>
  </si>
  <si>
    <t>Actual</t>
  </si>
  <si>
    <t>Jordan IRA End</t>
  </si>
  <si>
    <t>Matt IRA End</t>
  </si>
  <si>
    <t>Matt 401K End</t>
  </si>
  <si>
    <t>Combined</t>
  </si>
  <si>
    <t>Purchase Price</t>
  </si>
  <si>
    <t>Initial Loan Amt</t>
  </si>
  <si>
    <t>Add. Payment</t>
  </si>
  <si>
    <t>Principal Balance Before Payment</t>
  </si>
  <si>
    <t>Principal Applied</t>
  </si>
  <si>
    <t>Interest Accrued</t>
  </si>
  <si>
    <t>Escrow</t>
  </si>
  <si>
    <t>Escrow Balance</t>
  </si>
  <si>
    <t>PMI</t>
  </si>
  <si>
    <t>Loan Balance</t>
  </si>
  <si>
    <t>% Loan Owed</t>
  </si>
  <si>
    <t>Property Taxes</t>
  </si>
  <si>
    <t>Home Owners Insurance</t>
  </si>
  <si>
    <t>Months</t>
  </si>
  <si>
    <t>Years</t>
  </si>
  <si>
    <t>Actual (Fidelity+Vanguard-College)</t>
  </si>
  <si>
    <t>Difference</t>
  </si>
  <si>
    <t>Home Equity</t>
  </si>
  <si>
    <t>Loan Amount</t>
  </si>
  <si>
    <t>Equity</t>
  </si>
  <si>
    <t>COP Pension</t>
  </si>
  <si>
    <t>BHI Pension</t>
  </si>
  <si>
    <t>Remaining Balance</t>
  </si>
  <si>
    <t>Jordan Expedition Value</t>
  </si>
  <si>
    <t>Matt Truck</t>
  </si>
  <si>
    <t>COP Pension Actual</t>
  </si>
  <si>
    <t>Actual + COP Pension</t>
  </si>
  <si>
    <t>Fidelity 401k Total</t>
  </si>
  <si>
    <t>HSA Total</t>
  </si>
  <si>
    <t>Remaining Home Loan</t>
  </si>
  <si>
    <t>Vanguard 529 Hudson</t>
  </si>
  <si>
    <t>Vanguard Total</t>
  </si>
  <si>
    <t>Vehicle Equity (KBB)</t>
  </si>
  <si>
    <t>Capital One Savings All</t>
  </si>
  <si>
    <t>Hudson Actual</t>
  </si>
  <si>
    <t>Hudson Projected College Balance</t>
  </si>
  <si>
    <t>Hudson Earnings</t>
  </si>
  <si>
    <t>Riley Actual</t>
  </si>
  <si>
    <t>Child Age</t>
  </si>
  <si>
    <t>Riley Contributions</t>
  </si>
  <si>
    <t>Riley Earnings</t>
  </si>
  <si>
    <t>Riley Projected College Balance</t>
  </si>
  <si>
    <t>Sunny Contributions</t>
  </si>
  <si>
    <t>Riley Starting Balance</t>
  </si>
  <si>
    <t>College Payment</t>
  </si>
  <si>
    <t>Sunny Starting Balance</t>
  </si>
  <si>
    <t>Sunny Earnings</t>
  </si>
  <si>
    <t>Sunny Projected College Balance</t>
  </si>
  <si>
    <t>Sunny Actual</t>
  </si>
  <si>
    <t>Total Projected College Fund All 3</t>
  </si>
  <si>
    <t>Total Payment, All 3</t>
  </si>
  <si>
    <t>Hudson 18</t>
  </si>
  <si>
    <t>Hudson 22</t>
  </si>
  <si>
    <t>Riley 18</t>
  </si>
  <si>
    <t>Sunny 18</t>
  </si>
  <si>
    <t>Sunny 22</t>
  </si>
  <si>
    <t>Riley 22</t>
  </si>
  <si>
    <t>Actual Funds, All 3</t>
  </si>
  <si>
    <t>Kid Age</t>
  </si>
  <si>
    <t>Target</t>
  </si>
  <si>
    <t>All Kids Done</t>
  </si>
  <si>
    <t>KBB Value</t>
  </si>
  <si>
    <t>Remaining Truck Loan</t>
  </si>
  <si>
    <t>Total Short Term Cash
(Checking/ Emergency)</t>
  </si>
  <si>
    <t>Wells Fargo Checking/ Savings</t>
  </si>
  <si>
    <t>Net Worth Including Home Equity</t>
  </si>
  <si>
    <t>Total Net Worth (No Home Equity)</t>
  </si>
  <si>
    <t>Contributions into BackDoor Roth, up to 62,000</t>
  </si>
  <si>
    <t>Home Equity (initial)</t>
  </si>
  <si>
    <t>Date Updated</t>
  </si>
  <si>
    <t>Date (updated Dec 31 each year)</t>
  </si>
  <si>
    <t>COP Stock</t>
  </si>
  <si>
    <t>Crypto</t>
  </si>
  <si>
    <t>2881 Cordell Remaining Loan</t>
  </si>
  <si>
    <t>2881 Cordell Home Equity</t>
  </si>
  <si>
    <t>2881 Cordell Savings</t>
  </si>
  <si>
    <t>Camper</t>
  </si>
  <si>
    <t>Guess</t>
  </si>
  <si>
    <t>2881 Cordell (initial)</t>
  </si>
  <si>
    <t>Total Investments (Excluding 529)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</si>
</sst>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_(&quot;$&quot;* #,##0_);_(&quot;$&quot;* \(#,##0\);_(&quot;$&quot;* &quot;-&quot;??_);_(@_)"/>
    <numFmt numFmtId="167" formatCode="0.0"/>
    <numFmt numFmtId="168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33CC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9" fontId="0" fillId="0" borderId="0" xfId="0" applyNumberFormat="1"/>
    <xf numFmtId="164" fontId="0" fillId="0" borderId="0" xfId="0" applyNumberFormat="1"/>
    <xf numFmtId="3" fontId="0" fillId="0" borderId="0" xfId="0" applyNumberFormat="1"/>
    <xf numFmtId="164" fontId="0" fillId="2" borderId="0" xfId="0" applyNumberFormat="1" applyFill="1"/>
    <xf numFmtId="165" fontId="0" fillId="0" borderId="0" xfId="0" applyNumberFormat="1"/>
    <xf numFmtId="165" fontId="0" fillId="3" borderId="0" xfId="0" applyNumberFormat="1" applyFill="1"/>
    <xf numFmtId="10" fontId="0" fillId="3" borderId="0" xfId="0" applyNumberFormat="1" applyFill="1"/>
    <xf numFmtId="14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166" fontId="0" fillId="0" borderId="0" xfId="1" applyNumberFormat="1" applyFont="1"/>
    <xf numFmtId="166" fontId="0" fillId="0" borderId="0" xfId="0" applyNumberFormat="1"/>
    <xf numFmtId="166" fontId="0" fillId="0" borderId="1" xfId="0" applyNumberForma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6" fontId="0" fillId="0" borderId="5" xfId="1" applyNumberFormat="1" applyFont="1" applyBorder="1"/>
    <xf numFmtId="166" fontId="0" fillId="0" borderId="6" xfId="1" applyNumberFormat="1" applyFont="1" applyBorder="1"/>
    <xf numFmtId="166" fontId="0" fillId="0" borderId="7" xfId="1" applyNumberFormat="1" applyFont="1" applyBorder="1"/>
    <xf numFmtId="166" fontId="0" fillId="0" borderId="8" xfId="0" applyNumberFormat="1" applyBorder="1"/>
    <xf numFmtId="166" fontId="0" fillId="4" borderId="9" xfId="1" applyNumberFormat="1" applyFont="1" applyFill="1" applyBorder="1"/>
    <xf numFmtId="0" fontId="0" fillId="0" borderId="13" xfId="0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0" fillId="0" borderId="0" xfId="0" applyAlignment="1">
      <alignment horizontal="center"/>
    </xf>
    <xf numFmtId="0" fontId="2" fillId="0" borderId="0" xfId="0" applyFont="1"/>
    <xf numFmtId="166" fontId="0" fillId="0" borderId="0" xfId="1" applyNumberFormat="1" applyFont="1" applyBorder="1"/>
    <xf numFmtId="166" fontId="0" fillId="0" borderId="0" xfId="1" applyNumberFormat="1" applyFont="1" applyFill="1"/>
    <xf numFmtId="166" fontId="0" fillId="0" borderId="19" xfId="1" applyNumberFormat="1" applyFont="1" applyBorder="1"/>
    <xf numFmtId="166" fontId="0" fillId="0" borderId="21" xfId="1" applyNumberFormat="1" applyFont="1" applyBorder="1"/>
    <xf numFmtId="0" fontId="0" fillId="0" borderId="23" xfId="0" applyBorder="1"/>
    <xf numFmtId="0" fontId="0" fillId="0" borderId="25" xfId="0" applyBorder="1"/>
    <xf numFmtId="0" fontId="0" fillId="0" borderId="25" xfId="0" applyBorder="1" applyAlignment="1">
      <alignment wrapText="1"/>
    </xf>
    <xf numFmtId="0" fontId="0" fillId="0" borderId="25" xfId="0" applyBorder="1" applyAlignment="1">
      <alignment horizontal="center" wrapText="1"/>
    </xf>
    <xf numFmtId="0" fontId="0" fillId="0" borderId="24" xfId="0" applyBorder="1"/>
    <xf numFmtId="14" fontId="0" fillId="0" borderId="18" xfId="0" applyNumberFormat="1" applyBorder="1"/>
    <xf numFmtId="14" fontId="0" fillId="0" borderId="19" xfId="0" applyNumberFormat="1" applyBorder="1"/>
    <xf numFmtId="0" fontId="0" fillId="0" borderId="20" xfId="0" applyBorder="1"/>
    <xf numFmtId="14" fontId="0" fillId="0" borderId="21" xfId="0" applyNumberFormat="1" applyBorder="1"/>
    <xf numFmtId="0" fontId="0" fillId="0" borderId="22" xfId="0" applyBorder="1"/>
    <xf numFmtId="0" fontId="0" fillId="0" borderId="27" xfId="0" applyBorder="1"/>
    <xf numFmtId="166" fontId="0" fillId="0" borderId="0" xfId="1" applyNumberFormat="1" applyFont="1" applyFill="1" applyBorder="1"/>
    <xf numFmtId="164" fontId="0" fillId="0" borderId="19" xfId="0" applyNumberFormat="1" applyBorder="1"/>
    <xf numFmtId="166" fontId="0" fillId="0" borderId="20" xfId="1" applyNumberFormat="1" applyFont="1" applyBorder="1"/>
    <xf numFmtId="164" fontId="0" fillId="0" borderId="21" xfId="0" applyNumberFormat="1" applyBorder="1"/>
    <xf numFmtId="164" fontId="0" fillId="0" borderId="29" xfId="0" applyNumberFormat="1" applyBorder="1"/>
    <xf numFmtId="166" fontId="0" fillId="0" borderId="22" xfId="1" applyNumberFormat="1" applyFont="1" applyBorder="1"/>
    <xf numFmtId="164" fontId="0" fillId="0" borderId="20" xfId="0" applyNumberFormat="1" applyBorder="1"/>
    <xf numFmtId="166" fontId="0" fillId="0" borderId="29" xfId="0" applyNumberFormat="1" applyBorder="1"/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9" xfId="0" applyBorder="1"/>
    <xf numFmtId="164" fontId="0" fillId="0" borderId="27" xfId="0" applyNumberFormat="1" applyBorder="1"/>
    <xf numFmtId="164" fontId="0" fillId="0" borderId="28" xfId="0" applyNumberFormat="1" applyBorder="1"/>
    <xf numFmtId="15" fontId="0" fillId="0" borderId="0" xfId="0" applyNumberFormat="1"/>
    <xf numFmtId="0" fontId="2" fillId="0" borderId="23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17" xfId="0" applyFont="1" applyBorder="1" applyAlignment="1">
      <alignment wrapText="1"/>
    </xf>
    <xf numFmtId="167" fontId="0" fillId="0" borderId="27" xfId="0" applyNumberFormat="1" applyBorder="1"/>
    <xf numFmtId="167" fontId="0" fillId="0" borderId="0" xfId="0" applyNumberFormat="1"/>
    <xf numFmtId="44" fontId="0" fillId="0" borderId="0" xfId="1" applyFont="1" applyBorder="1"/>
    <xf numFmtId="166" fontId="0" fillId="4" borderId="26" xfId="1" applyNumberFormat="1" applyFont="1" applyFill="1" applyBorder="1"/>
    <xf numFmtId="166" fontId="0" fillId="4" borderId="27" xfId="1" applyNumberFormat="1" applyFont="1" applyFill="1" applyBorder="1"/>
    <xf numFmtId="166" fontId="0" fillId="4" borderId="28" xfId="1" applyNumberFormat="1" applyFont="1" applyFill="1" applyBorder="1"/>
    <xf numFmtId="0" fontId="0" fillId="0" borderId="17" xfId="0" applyBorder="1" applyAlignment="1">
      <alignment horizontal="center" wrapText="1"/>
    </xf>
    <xf numFmtId="166" fontId="0" fillId="0" borderId="27" xfId="1" applyNumberFormat="1" applyFont="1" applyBorder="1"/>
    <xf numFmtId="166" fontId="0" fillId="0" borderId="28" xfId="1" applyNumberFormat="1" applyFont="1" applyBorder="1"/>
    <xf numFmtId="166" fontId="0" fillId="0" borderId="26" xfId="0" applyNumberFormat="1" applyBorder="1"/>
    <xf numFmtId="166" fontId="0" fillId="0" borderId="27" xfId="0" applyNumberFormat="1" applyBorder="1"/>
    <xf numFmtId="166" fontId="0" fillId="0" borderId="28" xfId="0" applyNumberFormat="1" applyBorder="1"/>
    <xf numFmtId="44" fontId="0" fillId="0" borderId="0" xfId="1" applyFont="1"/>
    <xf numFmtId="0" fontId="2" fillId="0" borderId="30" xfId="0" applyFont="1" applyBorder="1"/>
    <xf numFmtId="166" fontId="0" fillId="0" borderId="31" xfId="1" applyNumberFormat="1" applyFont="1" applyBorder="1"/>
    <xf numFmtId="166" fontId="0" fillId="0" borderId="32" xfId="1" applyNumberFormat="1" applyFont="1" applyBorder="1"/>
    <xf numFmtId="166" fontId="0" fillId="0" borderId="9" xfId="1" applyNumberFormat="1" applyFont="1" applyFill="1" applyBorder="1"/>
    <xf numFmtId="166" fontId="0" fillId="0" borderId="10" xfId="0" applyNumberFormat="1" applyBorder="1"/>
    <xf numFmtId="166" fontId="0" fillId="0" borderId="11" xfId="0" applyNumberFormat="1" applyBorder="1"/>
    <xf numFmtId="166" fontId="0" fillId="4" borderId="12" xfId="1" applyNumberFormat="1" applyFont="1" applyFill="1" applyBorder="1"/>
    <xf numFmtId="168" fontId="0" fillId="0" borderId="0" xfId="2" applyNumberFormat="1" applyFont="1"/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FFCC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'Jordan IRA Projection'!$H$8</c:f>
              <c:strCache>
                <c:ptCount val="1"/>
                <c:pt idx="0">
                  <c:v>Jordan IRA End</c:v>
                </c:pt>
              </c:strCache>
            </c:strRef>
          </c:tx>
          <c:marker>
            <c:symbol val="none"/>
          </c:marker>
          <c:cat>
            <c:numRef>
              <c:f>'Jordan IRA Projection'!$C$9:$C$43</c:f>
              <c:numCache>
                <c:formatCode>General</c:formatCode>
                <c:ptCount val="35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  <c:pt idx="15">
                  <c:v>41</c:v>
                </c:pt>
                <c:pt idx="16">
                  <c:v>42</c:v>
                </c:pt>
                <c:pt idx="17">
                  <c:v>43</c:v>
                </c:pt>
                <c:pt idx="18">
                  <c:v>44</c:v>
                </c:pt>
                <c:pt idx="19">
                  <c:v>45</c:v>
                </c:pt>
                <c:pt idx="20">
                  <c:v>46</c:v>
                </c:pt>
                <c:pt idx="21">
                  <c:v>47</c:v>
                </c:pt>
                <c:pt idx="22">
                  <c:v>48</c:v>
                </c:pt>
                <c:pt idx="23">
                  <c:v>49</c:v>
                </c:pt>
                <c:pt idx="24">
                  <c:v>50</c:v>
                </c:pt>
                <c:pt idx="25">
                  <c:v>51</c:v>
                </c:pt>
                <c:pt idx="26">
                  <c:v>52</c:v>
                </c:pt>
                <c:pt idx="27">
                  <c:v>53</c:v>
                </c:pt>
                <c:pt idx="28">
                  <c:v>54</c:v>
                </c:pt>
                <c:pt idx="29">
                  <c:v>55</c:v>
                </c:pt>
                <c:pt idx="30">
                  <c:v>56</c:v>
                </c:pt>
                <c:pt idx="31">
                  <c:v>57</c:v>
                </c:pt>
                <c:pt idx="32">
                  <c:v>58</c:v>
                </c:pt>
                <c:pt idx="33">
                  <c:v>59</c:v>
                </c:pt>
                <c:pt idx="34">
                  <c:v>60</c:v>
                </c:pt>
              </c:numCache>
            </c:numRef>
          </c:cat>
          <c:val>
            <c:numRef>
              <c:f>'Jordan IRA Projection'!$H$9:$H$43</c:f>
              <c:numCache>
                <c:formatCode>"$"#,##0</c:formatCode>
                <c:ptCount val="35"/>
                <c:pt idx="0">
                  <c:v>18702.262860480001</c:v>
                </c:pt>
                <c:pt idx="1">
                  <c:v>25743.930784957145</c:v>
                </c:pt>
                <c:pt idx="2">
                  <c:v>33366.058606451654</c:v>
                </c:pt>
                <c:pt idx="3">
                  <c:v>41616.494888068053</c:v>
                </c:pt>
                <c:pt idx="4">
                  <c:v>45047.032453320462</c:v>
                </c:pt>
                <c:pt idx="5">
                  <c:v>48760.356640037768</c:v>
                </c:pt>
                <c:pt idx="6">
                  <c:v>52779.778160246424</c:v>
                </c:pt>
                <c:pt idx="7">
                  <c:v>57130.52927831636</c:v>
                </c:pt>
                <c:pt idx="8">
                  <c:v>61839.922208671218</c:v>
                </c:pt>
                <c:pt idx="9">
                  <c:v>66937.520570563953</c:v>
                </c:pt>
                <c:pt idx="10">
                  <c:v>72455.324976239965</c:v>
                </c:pt>
                <c:pt idx="11">
                  <c:v>78427.973917533367</c:v>
                </c:pt>
                <c:pt idx="12">
                  <c:v>84892.961211979302</c:v>
                </c:pt>
                <c:pt idx="13">
                  <c:v>91890.871373478978</c:v>
                </c:pt>
                <c:pt idx="14">
                  <c:v>99465.634385077021</c:v>
                </c:pt>
                <c:pt idx="15">
                  <c:v>107664.80147320918</c:v>
                </c:pt>
                <c:pt idx="16">
                  <c:v>116539.843614617</c:v>
                </c:pt>
                <c:pt idx="17">
                  <c:v>126146.47464983209</c:v>
                </c:pt>
                <c:pt idx="18">
                  <c:v>136545.00103160299</c:v>
                </c:pt>
                <c:pt idx="19">
                  <c:v>147800.70040384025</c:v>
                </c:pt>
                <c:pt idx="20">
                  <c:v>159984.23138764166</c:v>
                </c:pt>
                <c:pt idx="21">
                  <c:v>173172.07714686476</c:v>
                </c:pt>
                <c:pt idx="22">
                  <c:v>187447.02551776744</c:v>
                </c:pt>
                <c:pt idx="23">
                  <c:v>202898.68871677213</c:v>
                </c:pt>
                <c:pt idx="24">
                  <c:v>219624.06588886329</c:v>
                </c:pt>
                <c:pt idx="25">
                  <c:v>237728.15202806459</c:v>
                </c:pt>
                <c:pt idx="26">
                  <c:v>257324.59709254632</c:v>
                </c:pt>
                <c:pt idx="27">
                  <c:v>278536.41945201461</c:v>
                </c:pt>
                <c:pt idx="28">
                  <c:v>301496.77814611018</c:v>
                </c:pt>
                <c:pt idx="29">
                  <c:v>326349.80880173482</c:v>
                </c:pt>
                <c:pt idx="30">
                  <c:v>353251.52845684881</c:v>
                </c:pt>
                <c:pt idx="31">
                  <c:v>382370.81497084833</c:v>
                </c:pt>
                <c:pt idx="32">
                  <c:v>413890.46716985566</c:v>
                </c:pt>
                <c:pt idx="33">
                  <c:v>448008.35238207591</c:v>
                </c:pt>
                <c:pt idx="34">
                  <c:v>484938.64856697159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B-4334-A717-56D588CD1F1F}"/>
            </c:ext>
          </c:extLst>
        </c:ser>
        <c:ser>
          <c:idx val="0"/>
          <c:order val="1"/>
          <c:tx>
            <c:strRef>
              <c:f>'Jordan IRA Projection'!$I$8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noFill/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val>
            <c:numRef>
              <c:f>'Jordan IRA Projection'!$I$9:$I$43</c:f>
              <c:numCache>
                <c:formatCode>_("$"* #,##0_);_("$"* \(#,##0\);_("$"* "-"??_);_(@_)</c:formatCode>
                <c:ptCount val="35"/>
                <c:pt idx="5">
                  <c:v>48372</c:v>
                </c:pt>
                <c:pt idx="6">
                  <c:v>56495</c:v>
                </c:pt>
                <c:pt idx="7">
                  <c:v>65709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AB-4334-A717-56D588CD1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68544"/>
        <c:axId val="161070080"/>
      </c:lineChart>
      <c:catAx>
        <c:axId val="16106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070080"/>
        <c:crosses val="autoZero"/>
        <c:auto val="1"/>
        <c:lblAlgn val="ctr"/>
        <c:lblOffset val="100"/>
        <c:noMultiLvlLbl val="0"/>
      </c:catAx>
      <c:valAx>
        <c:axId val="161070080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161068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'Matt IRA Projection'!$H$8</c:f>
              <c:strCache>
                <c:ptCount val="1"/>
                <c:pt idx="0">
                  <c:v>Matt IRA End</c:v>
                </c:pt>
              </c:strCache>
            </c:strRef>
          </c:tx>
          <c:marker>
            <c:symbol val="none"/>
          </c:marker>
          <c:cat>
            <c:numRef>
              <c:f>'Matt IRA Projection'!$C$9:$C$43</c:f>
              <c:numCache>
                <c:formatCode>General</c:formatCode>
                <c:ptCount val="3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</c:numCache>
            </c:numRef>
          </c:cat>
          <c:val>
            <c:numRef>
              <c:f>'Matt IRA Projection'!$H$9:$H$43</c:f>
              <c:numCache>
                <c:formatCode>"$"#,##0</c:formatCode>
                <c:ptCount val="35"/>
                <c:pt idx="0">
                  <c:v>34147.289625599995</c:v>
                </c:pt>
                <c:pt idx="1">
                  <c:v>42462.124467583795</c:v>
                </c:pt>
                <c:pt idx="2">
                  <c:v>51462.369105635575</c:v>
                </c:pt>
                <c:pt idx="3">
                  <c:v>61204.523349730385</c:v>
                </c:pt>
                <c:pt idx="4">
                  <c:v>71749.744411219101</c:v>
                </c:pt>
                <c:pt idx="5">
                  <c:v>77664.23082248382</c:v>
                </c:pt>
                <c:pt idx="6">
                  <c:v>84066.261123919729</c:v>
                </c:pt>
                <c:pt idx="7">
                  <c:v>90996.02461148845</c:v>
                </c:pt>
                <c:pt idx="8">
                  <c:v>98497.023471626599</c:v>
                </c:pt>
                <c:pt idx="9">
                  <c:v>106616.34586996348</c:v>
                </c:pt>
                <c:pt idx="10">
                  <c:v>115404.96155133164</c:v>
                </c:pt>
                <c:pt idx="11">
                  <c:v>124918.04180672485</c:v>
                </c:pt>
                <c:pt idx="12">
                  <c:v>135215.30581582349</c:v>
                </c:pt>
                <c:pt idx="13">
                  <c:v>146361.39553928238</c:v>
                </c:pt>
                <c:pt idx="14">
                  <c:v>158426.2815141998</c:v>
                </c:pt>
                <c:pt idx="15">
                  <c:v>171485.70210018335</c:v>
                </c:pt>
                <c:pt idx="16">
                  <c:v>185621.638933418</c:v>
                </c:pt>
                <c:pt idx="17">
                  <c:v>200922.83157343973</c:v>
                </c:pt>
                <c:pt idx="18">
                  <c:v>217485.33457335457</c:v>
                </c:pt>
                <c:pt idx="19">
                  <c:v>235413.12047055888</c:v>
                </c:pt>
                <c:pt idx="20">
                  <c:v>254818.73248328725</c:v>
                </c:pt>
                <c:pt idx="21">
                  <c:v>275823.9910103468</c:v>
                </c:pt>
                <c:pt idx="22">
                  <c:v>298560.75836915028</c:v>
                </c:pt>
                <c:pt idx="23">
                  <c:v>323171.76657275739</c:v>
                </c:pt>
                <c:pt idx="24">
                  <c:v>349811.51334236556</c:v>
                </c:pt>
                <c:pt idx="25">
                  <c:v>378647.23198004556</c:v>
                </c:pt>
                <c:pt idx="26">
                  <c:v>409859.94119018177</c:v>
                </c:pt>
                <c:pt idx="27">
                  <c:v>443645.58143996139</c:v>
                </c:pt>
                <c:pt idx="28">
                  <c:v>480216.24499251333</c:v>
                </c:pt>
                <c:pt idx="29">
                  <c:v>519801.50733433536</c:v>
                </c:pt>
                <c:pt idx="30">
                  <c:v>562649.86835516046</c:v>
                </c:pt>
                <c:pt idx="31">
                  <c:v>609030.31232739193</c:v>
                </c:pt>
                <c:pt idx="32">
                  <c:v>659233.99647801346</c:v>
                </c:pt>
                <c:pt idx="33">
                  <c:v>713576.07875312853</c:v>
                </c:pt>
                <c:pt idx="34">
                  <c:v>772397.69624907896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9-4A34-9D3B-9B814FEFA790}"/>
            </c:ext>
          </c:extLst>
        </c:ser>
        <c:ser>
          <c:idx val="0"/>
          <c:order val="1"/>
          <c:tx>
            <c:strRef>
              <c:f>'Matt IRA Projection'!$I$8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noFill/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val>
            <c:numRef>
              <c:f>'Matt IRA Projection'!$I$9:$I$43</c:f>
              <c:numCache>
                <c:formatCode>_("$"* #,##0_);_("$"* \(#,##0\);_("$"* "-"??_);_(@_)</c:formatCode>
                <c:ptCount val="35"/>
                <c:pt idx="6">
                  <c:v>97400</c:v>
                </c:pt>
                <c:pt idx="7">
                  <c:v>113498</c:v>
                </c:pt>
                <c:pt idx="8">
                  <c:v>133469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B9-4A34-9D3B-9B814FEFA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30976"/>
        <c:axId val="181236864"/>
      </c:lineChart>
      <c:catAx>
        <c:axId val="18123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236864"/>
        <c:crosses val="autoZero"/>
        <c:auto val="1"/>
        <c:lblAlgn val="ctr"/>
        <c:lblOffset val="100"/>
        <c:noMultiLvlLbl val="0"/>
      </c:catAx>
      <c:valAx>
        <c:axId val="181236864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18123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'Matt 401K Projection'!$H$9</c:f>
              <c:strCache>
                <c:ptCount val="1"/>
                <c:pt idx="0">
                  <c:v>Matt 401K End</c:v>
                </c:pt>
              </c:strCache>
            </c:strRef>
          </c:tx>
          <c:marker>
            <c:symbol val="none"/>
          </c:marker>
          <c:cat>
            <c:numRef>
              <c:f>'Matt 401K Projection'!$C$10:$C$44</c:f>
              <c:numCache>
                <c:formatCode>General</c:formatCode>
                <c:ptCount val="3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</c:numCache>
            </c:numRef>
          </c:cat>
          <c:val>
            <c:numRef>
              <c:f>'Matt 401K Projection'!$H$10:$H$44</c:f>
              <c:numCache>
                <c:formatCode>"$"#,##0</c:formatCode>
                <c:ptCount val="35"/>
                <c:pt idx="0">
                  <c:v>199109.22317759998</c:v>
                </c:pt>
                <c:pt idx="1">
                  <c:v>233522.2265200516</c:v>
                </c:pt>
                <c:pt idx="2">
                  <c:v>270771.96806010872</c:v>
                </c:pt>
                <c:pt idx="3">
                  <c:v>311092.28625475446</c:v>
                </c:pt>
                <c:pt idx="4">
                  <c:v>354736.29537007218</c:v>
                </c:pt>
                <c:pt idx="5">
                  <c:v>401977.97442782525</c:v>
                </c:pt>
                <c:pt idx="6">
                  <c:v>477113.88713233563</c:v>
                </c:pt>
                <c:pt idx="7">
                  <c:v>558443.41541465023</c:v>
                </c:pt>
                <c:pt idx="8">
                  <c:v>646477.11238505715</c:v>
                </c:pt>
                <c:pt idx="9">
                  <c:v>741767.6171495202</c:v>
                </c:pt>
                <c:pt idx="10">
                  <c:v>844913.12404920813</c:v>
                </c:pt>
                <c:pt idx="11">
                  <c:v>956561.13787693228</c:v>
                </c:pt>
                <c:pt idx="12">
                  <c:v>1077412.5386441858</c:v>
                </c:pt>
                <c:pt idx="13">
                  <c:v>1208225.9814157095</c:v>
                </c:pt>
                <c:pt idx="14">
                  <c:v>1349822.6588319263</c:v>
                </c:pt>
                <c:pt idx="15">
                  <c:v>1503091.4562163851</c:v>
                </c:pt>
                <c:pt idx="16">
                  <c:v>1668994.5316298471</c:v>
                </c:pt>
                <c:pt idx="17">
                  <c:v>1848573.3559002837</c:v>
                </c:pt>
                <c:pt idx="18">
                  <c:v>2042955.2505455927</c:v>
                </c:pt>
                <c:pt idx="19">
                  <c:v>2253360.4646314071</c:v>
                </c:pt>
                <c:pt idx="20">
                  <c:v>2481109.8349895775</c:v>
                </c:pt>
                <c:pt idx="21">
                  <c:v>2727633.0778850121</c:v>
                </c:pt>
                <c:pt idx="22">
                  <c:v>2994477.764182522</c:v>
                </c:pt>
                <c:pt idx="23">
                  <c:v>3283319.0343560576</c:v>
                </c:pt>
                <c:pt idx="24">
                  <c:v>3595970.1143271415</c:v>
                </c:pt>
                <c:pt idx="25">
                  <c:v>3934393.6981465747</c:v>
                </c:pt>
                <c:pt idx="26">
                  <c:v>4300714.2689751843</c:v>
                </c:pt>
                <c:pt idx="27">
                  <c:v>4697231.4357096292</c:v>
                </c:pt>
                <c:pt idx="28">
                  <c:v>5126434.368975075</c:v>
                </c:pt>
                <c:pt idx="29">
                  <c:v>5591017.4271079274</c:v>
                </c:pt>
                <c:pt idx="30">
                  <c:v>6093897.070222076</c:v>
                </c:pt>
                <c:pt idx="31">
                  <c:v>6638230.1685381532</c:v>
                </c:pt>
                <c:pt idx="32">
                  <c:v>7227433.8199079167</c:v>
                </c:pt>
                <c:pt idx="33">
                  <c:v>7865206.8009399772</c:v>
                </c:pt>
                <c:pt idx="34">
                  <c:v>8555552.7863881495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B7-4D4F-A61B-B9C0FB8BC63B}"/>
            </c:ext>
          </c:extLst>
        </c:ser>
        <c:ser>
          <c:idx val="0"/>
          <c:order val="1"/>
          <c:tx>
            <c:strRef>
              <c:f>'Matt 401K Projection'!$I$9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noFill/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val>
            <c:numRef>
              <c:f>'Matt 401K Projection'!$I$10:$I$44</c:f>
              <c:numCache>
                <c:formatCode>_("$"* #,##0_);_("$"* \(#,##0\);_("$"* "-"??_);_(@_)</c:formatCode>
                <c:ptCount val="35"/>
                <c:pt idx="6">
                  <c:v>499000</c:v>
                </c:pt>
                <c:pt idx="7">
                  <c:v>662644</c:v>
                </c:pt>
                <c:pt idx="8">
                  <c:v>827448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B7-4D4F-A61B-B9C0FB8BC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57024"/>
        <c:axId val="181058560"/>
      </c:lineChart>
      <c:catAx>
        <c:axId val="18105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058560"/>
        <c:crosses val="autoZero"/>
        <c:auto val="1"/>
        <c:lblAlgn val="ctr"/>
        <c:lblOffset val="100"/>
        <c:noMultiLvlLbl val="0"/>
      </c:catAx>
      <c:valAx>
        <c:axId val="181058560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181057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'Combined Accounts Estimate'!$H$9</c:f>
              <c:strCache>
                <c:ptCount val="1"/>
                <c:pt idx="0">
                  <c:v>Matt 401K End</c:v>
                </c:pt>
              </c:strCache>
            </c:strRef>
          </c:tx>
          <c:marker>
            <c:symbol val="none"/>
          </c:marker>
          <c:xVal>
            <c:numRef>
              <c:f>'Combined Accounts Estimate'!$C$10:$C$44</c:f>
              <c:numCache>
                <c:formatCode>General</c:formatCode>
                <c:ptCount val="3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</c:numCache>
            </c:numRef>
          </c:xVal>
          <c:yVal>
            <c:numRef>
              <c:f>'Combined Accounts Estimate'!$H$10:$H$44</c:f>
              <c:numCache>
                <c:formatCode>"$"#,##0</c:formatCode>
                <c:ptCount val="35"/>
                <c:pt idx="0">
                  <c:v>199109.22317759998</c:v>
                </c:pt>
                <c:pt idx="1">
                  <c:v>233522.2265200516</c:v>
                </c:pt>
                <c:pt idx="2">
                  <c:v>270771.96806010872</c:v>
                </c:pt>
                <c:pt idx="3">
                  <c:v>311092.28625475446</c:v>
                </c:pt>
                <c:pt idx="4">
                  <c:v>354736.29537007218</c:v>
                </c:pt>
                <c:pt idx="5">
                  <c:v>401977.97442782525</c:v>
                </c:pt>
                <c:pt idx="6">
                  <c:v>477113.88713233563</c:v>
                </c:pt>
                <c:pt idx="7">
                  <c:v>558443.41541465023</c:v>
                </c:pt>
                <c:pt idx="8">
                  <c:v>646477.11238505715</c:v>
                </c:pt>
                <c:pt idx="9">
                  <c:v>741767.6171495202</c:v>
                </c:pt>
                <c:pt idx="10">
                  <c:v>844913.12404920813</c:v>
                </c:pt>
                <c:pt idx="11">
                  <c:v>956561.13787693228</c:v>
                </c:pt>
                <c:pt idx="12">
                  <c:v>1077412.5386441858</c:v>
                </c:pt>
                <c:pt idx="13">
                  <c:v>1208225.9814157095</c:v>
                </c:pt>
                <c:pt idx="14">
                  <c:v>1349822.6588319263</c:v>
                </c:pt>
                <c:pt idx="15">
                  <c:v>1503091.4562163851</c:v>
                </c:pt>
                <c:pt idx="16">
                  <c:v>1668994.5316298471</c:v>
                </c:pt>
                <c:pt idx="17">
                  <c:v>1848573.3559002837</c:v>
                </c:pt>
                <c:pt idx="18">
                  <c:v>2042955.2505455927</c:v>
                </c:pt>
                <c:pt idx="19">
                  <c:v>2253360.4646314071</c:v>
                </c:pt>
                <c:pt idx="20">
                  <c:v>2481109.8349895775</c:v>
                </c:pt>
                <c:pt idx="21">
                  <c:v>2727633.0778850121</c:v>
                </c:pt>
                <c:pt idx="22">
                  <c:v>2994477.764182522</c:v>
                </c:pt>
                <c:pt idx="23">
                  <c:v>3283319.0343560576</c:v>
                </c:pt>
                <c:pt idx="24">
                  <c:v>3595970.1143271415</c:v>
                </c:pt>
                <c:pt idx="25">
                  <c:v>3934393.6981465747</c:v>
                </c:pt>
                <c:pt idx="26">
                  <c:v>4300714.2689751843</c:v>
                </c:pt>
                <c:pt idx="27">
                  <c:v>4697231.4357096292</c:v>
                </c:pt>
                <c:pt idx="28">
                  <c:v>5126434.368975075</c:v>
                </c:pt>
                <c:pt idx="29">
                  <c:v>5591017.4271079274</c:v>
                </c:pt>
                <c:pt idx="30">
                  <c:v>6093897.070222076</c:v>
                </c:pt>
                <c:pt idx="31">
                  <c:v>6638230.1685381532</c:v>
                </c:pt>
                <c:pt idx="32">
                  <c:v>7227433.8199079167</c:v>
                </c:pt>
                <c:pt idx="33">
                  <c:v>7865206.8009399772</c:v>
                </c:pt>
                <c:pt idx="34">
                  <c:v>8555552.7863881495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CE-4635-A16A-E4E004770181}"/>
            </c:ext>
          </c:extLst>
        </c:ser>
        <c:ser>
          <c:idx val="0"/>
          <c:order val="1"/>
          <c:tx>
            <c:strRef>
              <c:f>'Combined Accounts Estimate'!$I$9</c:f>
              <c:strCache>
                <c:ptCount val="1"/>
                <c:pt idx="0">
                  <c:v>Jordan IRA End</c:v>
                </c:pt>
              </c:strCache>
            </c:strRef>
          </c:tx>
          <c:marker>
            <c:symbol val="none"/>
          </c:marker>
          <c:xVal>
            <c:numRef>
              <c:f>'Combined Accounts Estimate'!$C$10:$C$44</c:f>
              <c:numCache>
                <c:formatCode>General</c:formatCode>
                <c:ptCount val="3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</c:numCache>
            </c:numRef>
          </c:xVal>
          <c:yVal>
            <c:numRef>
              <c:f>'Combined Accounts Estimate'!$I$10:$I$44</c:f>
              <c:numCache>
                <c:formatCode>"$"#,##0</c:formatCode>
                <c:ptCount val="35"/>
                <c:pt idx="0">
                  <c:v>18702.262860480001</c:v>
                </c:pt>
                <c:pt idx="1">
                  <c:v>25743.930784957145</c:v>
                </c:pt>
                <c:pt idx="2">
                  <c:v>33366.058606451654</c:v>
                </c:pt>
                <c:pt idx="3">
                  <c:v>41616.494888068053</c:v>
                </c:pt>
                <c:pt idx="4">
                  <c:v>45047.032453320462</c:v>
                </c:pt>
                <c:pt idx="5">
                  <c:v>48760.356640037768</c:v>
                </c:pt>
                <c:pt idx="6">
                  <c:v>52779.778160246424</c:v>
                </c:pt>
                <c:pt idx="7">
                  <c:v>57130.52927831636</c:v>
                </c:pt>
                <c:pt idx="8">
                  <c:v>61839.922208671218</c:v>
                </c:pt>
                <c:pt idx="9">
                  <c:v>66937.520570563953</c:v>
                </c:pt>
                <c:pt idx="10">
                  <c:v>72455.324976239965</c:v>
                </c:pt>
                <c:pt idx="11">
                  <c:v>78427.973917533367</c:v>
                </c:pt>
                <c:pt idx="12">
                  <c:v>84892.961211979302</c:v>
                </c:pt>
                <c:pt idx="13">
                  <c:v>91890.871373478978</c:v>
                </c:pt>
                <c:pt idx="14">
                  <c:v>99465.634385077021</c:v>
                </c:pt>
                <c:pt idx="15">
                  <c:v>107664.80147320918</c:v>
                </c:pt>
                <c:pt idx="16">
                  <c:v>116539.843614617</c:v>
                </c:pt>
                <c:pt idx="17">
                  <c:v>126146.47464983209</c:v>
                </c:pt>
                <c:pt idx="18">
                  <c:v>136545.00103160299</c:v>
                </c:pt>
                <c:pt idx="19">
                  <c:v>147800.70040384025</c:v>
                </c:pt>
                <c:pt idx="20">
                  <c:v>159984.23138764166</c:v>
                </c:pt>
                <c:pt idx="21">
                  <c:v>173172.07714686476</c:v>
                </c:pt>
                <c:pt idx="22">
                  <c:v>187447.02551776744</c:v>
                </c:pt>
                <c:pt idx="23">
                  <c:v>202898.68871677213</c:v>
                </c:pt>
                <c:pt idx="24">
                  <c:v>219624.06588886329</c:v>
                </c:pt>
                <c:pt idx="25">
                  <c:v>237728.15202806459</c:v>
                </c:pt>
                <c:pt idx="26">
                  <c:v>257324.59709254632</c:v>
                </c:pt>
                <c:pt idx="27">
                  <c:v>278536.41945201461</c:v>
                </c:pt>
                <c:pt idx="28">
                  <c:v>301496.77814611018</c:v>
                </c:pt>
                <c:pt idx="29">
                  <c:v>326349.80880173482</c:v>
                </c:pt>
                <c:pt idx="30">
                  <c:v>353251.52845684881</c:v>
                </c:pt>
                <c:pt idx="31">
                  <c:v>382370.81497084833</c:v>
                </c:pt>
                <c:pt idx="32">
                  <c:v>413890.46716985566</c:v>
                </c:pt>
                <c:pt idx="33">
                  <c:v>448008.35238207591</c:v>
                </c:pt>
                <c:pt idx="34">
                  <c:v>484938.64856697159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CE-4635-A16A-E4E004770181}"/>
            </c:ext>
          </c:extLst>
        </c:ser>
        <c:ser>
          <c:idx val="2"/>
          <c:order val="2"/>
          <c:tx>
            <c:strRef>
              <c:f>'Combined Accounts Estimate'!$J$9</c:f>
              <c:strCache>
                <c:ptCount val="1"/>
                <c:pt idx="0">
                  <c:v>Matt IRA End</c:v>
                </c:pt>
              </c:strCache>
            </c:strRef>
          </c:tx>
          <c:marker>
            <c:symbol val="none"/>
          </c:marker>
          <c:xVal>
            <c:numRef>
              <c:f>'Combined Accounts Estimate'!$C$10:$C$44</c:f>
              <c:numCache>
                <c:formatCode>General</c:formatCode>
                <c:ptCount val="3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</c:numCache>
            </c:numRef>
          </c:xVal>
          <c:yVal>
            <c:numRef>
              <c:f>'Combined Accounts Estimate'!$J$10:$J$44</c:f>
              <c:numCache>
                <c:formatCode>"$"#,##0</c:formatCode>
                <c:ptCount val="35"/>
                <c:pt idx="0">
                  <c:v>34147.289625599995</c:v>
                </c:pt>
                <c:pt idx="1">
                  <c:v>42462.124467583795</c:v>
                </c:pt>
                <c:pt idx="2">
                  <c:v>51462.369105635575</c:v>
                </c:pt>
                <c:pt idx="3">
                  <c:v>61204.523349730385</c:v>
                </c:pt>
                <c:pt idx="4">
                  <c:v>71749.744411219101</c:v>
                </c:pt>
                <c:pt idx="5">
                  <c:v>77664.23082248382</c:v>
                </c:pt>
                <c:pt idx="6">
                  <c:v>84066.261123919729</c:v>
                </c:pt>
                <c:pt idx="7">
                  <c:v>90996.02461148845</c:v>
                </c:pt>
                <c:pt idx="8">
                  <c:v>98497.023471626599</c:v>
                </c:pt>
                <c:pt idx="9">
                  <c:v>106616.34586996348</c:v>
                </c:pt>
                <c:pt idx="10">
                  <c:v>115404.96155133164</c:v>
                </c:pt>
                <c:pt idx="11">
                  <c:v>124918.04180672485</c:v>
                </c:pt>
                <c:pt idx="12">
                  <c:v>135215.30581582349</c:v>
                </c:pt>
                <c:pt idx="13">
                  <c:v>146361.39553928238</c:v>
                </c:pt>
                <c:pt idx="14">
                  <c:v>158426.2815141998</c:v>
                </c:pt>
                <c:pt idx="15">
                  <c:v>171485.70210018335</c:v>
                </c:pt>
                <c:pt idx="16">
                  <c:v>185621.638933418</c:v>
                </c:pt>
                <c:pt idx="17">
                  <c:v>200922.83157343973</c:v>
                </c:pt>
                <c:pt idx="18">
                  <c:v>217485.33457335457</c:v>
                </c:pt>
                <c:pt idx="19">
                  <c:v>235413.12047055888</c:v>
                </c:pt>
                <c:pt idx="20">
                  <c:v>254818.73248328725</c:v>
                </c:pt>
                <c:pt idx="21">
                  <c:v>275823.9910103468</c:v>
                </c:pt>
                <c:pt idx="22">
                  <c:v>298560.75836915028</c:v>
                </c:pt>
                <c:pt idx="23">
                  <c:v>323171.76657275739</c:v>
                </c:pt>
                <c:pt idx="24">
                  <c:v>349811.51334236556</c:v>
                </c:pt>
                <c:pt idx="25">
                  <c:v>378647.23198004556</c:v>
                </c:pt>
                <c:pt idx="26">
                  <c:v>409859.94119018177</c:v>
                </c:pt>
                <c:pt idx="27">
                  <c:v>443645.58143996139</c:v>
                </c:pt>
                <c:pt idx="28">
                  <c:v>480216.24499251333</c:v>
                </c:pt>
                <c:pt idx="29">
                  <c:v>519801.50733433536</c:v>
                </c:pt>
                <c:pt idx="30">
                  <c:v>562649.86835516046</c:v>
                </c:pt>
                <c:pt idx="31">
                  <c:v>609030.31232739193</c:v>
                </c:pt>
                <c:pt idx="32">
                  <c:v>659233.99647801346</c:v>
                </c:pt>
                <c:pt idx="33">
                  <c:v>713576.07875312853</c:v>
                </c:pt>
                <c:pt idx="34">
                  <c:v>772397.69624907896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CE-4635-A16A-E4E004770181}"/>
            </c:ext>
          </c:extLst>
        </c:ser>
        <c:ser>
          <c:idx val="3"/>
          <c:order val="3"/>
          <c:tx>
            <c:strRef>
              <c:f>'Combined Accounts Estimate'!$K$9</c:f>
              <c:strCache>
                <c:ptCount val="1"/>
                <c:pt idx="0">
                  <c:v>Combined</c:v>
                </c:pt>
              </c:strCache>
            </c:strRef>
          </c:tx>
          <c:marker>
            <c:symbol val="none"/>
          </c:marker>
          <c:xVal>
            <c:numRef>
              <c:f>'Combined Accounts Estimate'!$C$10:$C$44</c:f>
              <c:numCache>
                <c:formatCode>General</c:formatCode>
                <c:ptCount val="3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</c:numCache>
            </c:numRef>
          </c:xVal>
          <c:yVal>
            <c:numRef>
              <c:f>'Combined Accounts Estimate'!$K$10:$K$44</c:f>
              <c:numCache>
                <c:formatCode>"$"#,##0</c:formatCode>
                <c:ptCount val="35"/>
                <c:pt idx="0">
                  <c:v>251958.77566367999</c:v>
                </c:pt>
                <c:pt idx="1">
                  <c:v>301728.28177259251</c:v>
                </c:pt>
                <c:pt idx="2">
                  <c:v>355600.39577219595</c:v>
                </c:pt>
                <c:pt idx="3">
                  <c:v>413913.30449255288</c:v>
                </c:pt>
                <c:pt idx="4">
                  <c:v>471533.07223461173</c:v>
                </c:pt>
                <c:pt idx="5">
                  <c:v>528402.56189034681</c:v>
                </c:pt>
                <c:pt idx="6">
                  <c:v>613959.92641650175</c:v>
                </c:pt>
                <c:pt idx="7">
                  <c:v>706569.96930445498</c:v>
                </c:pt>
                <c:pt idx="8">
                  <c:v>806814.05806535494</c:v>
                </c:pt>
                <c:pt idx="9">
                  <c:v>915321.48359004769</c:v>
                </c:pt>
                <c:pt idx="10">
                  <c:v>1032773.4105767797</c:v>
                </c:pt>
                <c:pt idx="11">
                  <c:v>1159907.1536011905</c:v>
                </c:pt>
                <c:pt idx="12">
                  <c:v>1297520.8056719885</c:v>
                </c:pt>
                <c:pt idx="13">
                  <c:v>1446478.2483284709</c:v>
                </c:pt>
                <c:pt idx="14">
                  <c:v>1607714.5747312033</c:v>
                </c:pt>
                <c:pt idx="15">
                  <c:v>1782241.9597897776</c:v>
                </c:pt>
                <c:pt idx="16">
                  <c:v>1971156.0141778821</c:v>
                </c:pt>
                <c:pt idx="17">
                  <c:v>2175642.6621235553</c:v>
                </c:pt>
                <c:pt idx="18">
                  <c:v>2396985.5861505503</c:v>
                </c:pt>
                <c:pt idx="19">
                  <c:v>2636574.2855058061</c:v>
                </c:pt>
                <c:pt idx="20">
                  <c:v>2895912.7988605066</c:v>
                </c:pt>
                <c:pt idx="21">
                  <c:v>3176629.146042224</c:v>
                </c:pt>
                <c:pt idx="22">
                  <c:v>3480485.5480694394</c:v>
                </c:pt>
                <c:pt idx="23">
                  <c:v>3809389.4896455873</c:v>
                </c:pt>
                <c:pt idx="24">
                  <c:v>4165405.6935583707</c:v>
                </c:pt>
                <c:pt idx="25">
                  <c:v>4550769.0821546847</c:v>
                </c:pt>
                <c:pt idx="26">
                  <c:v>4967898.8072579131</c:v>
                </c:pt>
                <c:pt idx="27">
                  <c:v>5419413.4366016053</c:v>
                </c:pt>
                <c:pt idx="28">
                  <c:v>5908147.3921136986</c:v>
                </c:pt>
                <c:pt idx="29">
                  <c:v>6437168.7432439979</c:v>
                </c:pt>
                <c:pt idx="30">
                  <c:v>7009798.4670340857</c:v>
                </c:pt>
                <c:pt idx="31">
                  <c:v>7629631.2958363928</c:v>
                </c:pt>
                <c:pt idx="32">
                  <c:v>8300558.2835557861</c:v>
                </c:pt>
                <c:pt idx="33">
                  <c:v>9026791.2320751809</c:v>
                </c:pt>
                <c:pt idx="34">
                  <c:v>9812889.1312042009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CE-4635-A16A-E4E004770181}"/>
            </c:ext>
          </c:extLst>
        </c:ser>
        <c:ser>
          <c:idx val="4"/>
          <c:order val="4"/>
          <c:tx>
            <c:strRef>
              <c:f>'Combined Accounts Estimate'!$O$9</c:f>
              <c:strCache>
                <c:ptCount val="1"/>
                <c:pt idx="0">
                  <c:v>Actual + COP Pension</c:v>
                </c:pt>
              </c:strCache>
            </c:strRef>
          </c:tx>
          <c:marker>
            <c:symbol val="square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'Combined Accounts Estimate'!$C$10:$C$44</c:f>
              <c:numCache>
                <c:formatCode>General</c:formatCode>
                <c:ptCount val="3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</c:numCache>
            </c:numRef>
          </c:xVal>
          <c:yVal>
            <c:numRef>
              <c:f>'Combined Accounts Estimate'!$O$10:$O$44</c:f>
              <c:numCache>
                <c:formatCode>General</c:formatCode>
                <c:ptCount val="35"/>
                <c:pt idx="6" formatCode="_(&quot;$&quot;* #,##0_);_(&quot;$&quot;* \(#,##0\);_(&quot;$&quot;* &quot;-&quot;??_);_(@_)">
                  <c:v>872000</c:v>
                </c:pt>
                <c:pt idx="7" formatCode="_(&quot;$&quot;* #,##0_);_(&quot;$&quot;* \(#,##0\);_(&quot;$&quot;* &quot;-&quot;??_);_(@_)">
                  <c:v>1115258</c:v>
                </c:pt>
                <c:pt idx="8" formatCode="_(&quot;$&quot;* #,##0_);_(&quot;$&quot;* \(#,##0\);_(&quot;$&quot;* &quot;-&quot;??_);_(@_)">
                  <c:v>1313170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CE-4635-A16A-E4E004770181}"/>
            </c:ext>
          </c:extLst>
        </c:ser>
        <c:ser>
          <c:idx val="5"/>
          <c:order val="5"/>
          <c:tx>
            <c:strRef>
              <c:f>'Combined Accounts Estimate'!$Q$2</c:f>
              <c:strCache>
                <c:ptCount val="1"/>
                <c:pt idx="0">
                  <c:v>Target</c:v>
                </c:pt>
              </c:strCache>
            </c:strRef>
          </c:tx>
          <c:marker>
            <c:symbol val="none"/>
          </c:marker>
          <c:xVal>
            <c:numRef>
              <c:f>'Combined Accounts Estimate'!$R$2:$R$3</c:f>
              <c:numCache>
                <c:formatCode>General</c:formatCode>
                <c:ptCount val="2"/>
                <c:pt idx="0">
                  <c:v>54</c:v>
                </c:pt>
                <c:pt idx="1">
                  <c:v>54</c:v>
                </c:pt>
              </c:numCache>
            </c:numRef>
          </c:xVal>
          <c:yVal>
            <c:numRef>
              <c:f>'Combined Accounts Estimate'!$S$2:$S$3</c:f>
              <c:numCache>
                <c:formatCode>General</c:formatCode>
                <c:ptCount val="2"/>
                <c:pt idx="0">
                  <c:v>0</c:v>
                </c:pt>
                <c:pt idx="1">
                  <c:v>6000000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C0-4845-A833-84E03EEB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2896"/>
        <c:axId val="181318784"/>
      </c:scatterChart>
      <c:valAx>
        <c:axId val="181312896"/>
        <c:scaling>
          <c:orientation val="minMax"/>
          <c:min val="30"/>
        </c:scaling>
        <c:delete val="0"/>
        <c:axPos val="b"/>
        <c:numFmt formatCode="General" sourceLinked="1"/>
        <c:majorTickMark val="out"/>
        <c:minorTickMark val="none"/>
        <c:tickLblPos val="nextTo"/>
        <c:crossAx val="181318784"/>
        <c:crosses val="autoZero"/>
        <c:crossBetween val="midCat"/>
      </c:valAx>
      <c:valAx>
        <c:axId val="181318784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1813128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24504040315993"/>
          <c:y val="0.12878472222222223"/>
          <c:w val="0.78641901773348455"/>
          <c:h val="0.717037128171478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'Net Worth'!$T$8</c:f>
              <c:strCache>
                <c:ptCount val="1"/>
                <c:pt idx="0">
                  <c:v>Total Investments (Excluding 529)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'Net Worth'!$B$9:$B$33</c:f>
              <c:numCache>
                <c:formatCode>0.0</c:formatCode>
                <c:ptCount val="25"/>
                <c:pt idx="0">
                  <c:v>36</c:v>
                </c:pt>
                <c:pt idx="1">
                  <c:v>36.049315068493151</c:v>
                </c:pt>
                <c:pt idx="2">
                  <c:v>36.479452054794521</c:v>
                </c:pt>
                <c:pt idx="3">
                  <c:v>36.871232876712327</c:v>
                </c:pt>
                <c:pt idx="4">
                  <c:v>37.054794520547944</c:v>
                </c:pt>
                <c:pt idx="5">
                  <c:v>37.213698630136989</c:v>
                </c:pt>
                <c:pt idx="6">
                  <c:v>37.515068493150686</c:v>
                </c:pt>
                <c:pt idx="7">
                  <c:v>37.764383561643832</c:v>
                </c:pt>
                <c:pt idx="8">
                  <c:v>38.054794520547944</c:v>
                </c:pt>
                <c:pt idx="9">
                  <c:v>38.372602739726027</c:v>
                </c:pt>
                <c:pt idx="10">
                  <c:v>38.482191780821921</c:v>
                </c:pt>
                <c:pt idx="11">
                  <c:v>38.753424657534246</c:v>
                </c:pt>
                <c:pt idx="12">
                  <c:v>39.0027397260274</c:v>
                </c:pt>
                <c:pt idx="13">
                  <c:v>39.252054794520546</c:v>
                </c:pt>
                <c:pt idx="14">
                  <c:v>39.5013698630137</c:v>
                </c:pt>
                <c:pt idx="15">
                  <c:v>39.750684931506846</c:v>
                </c:pt>
                <c:pt idx="16">
                  <c:v>40</c:v>
                </c:pt>
                <c:pt idx="17">
                  <c:v>40.249315068493154</c:v>
                </c:pt>
                <c:pt idx="18">
                  <c:v>40.4986301369863</c:v>
                </c:pt>
                <c:pt idx="19">
                  <c:v>40.747945205479454</c:v>
                </c:pt>
                <c:pt idx="20">
                  <c:v>40.9972602739726</c:v>
                </c:pt>
                <c:pt idx="21">
                  <c:v>41.246575342465754</c:v>
                </c:pt>
                <c:pt idx="22">
                  <c:v>41.495890410958907</c:v>
                </c:pt>
                <c:pt idx="23">
                  <c:v>41.745205479452054</c:v>
                </c:pt>
                <c:pt idx="24">
                  <c:v>41.994520547945207</c:v>
                </c:pt>
              </c:numCache>
            </c:numRef>
          </c:xVal>
          <c:yVal>
            <c:numRef>
              <c:f>'Net Worth'!$T$9:$T$21</c:f>
              <c:numCache>
                <c:formatCode>_("$"* #,##0_);_("$"* \(#,##0\);_("$"* "-"??_);_(@_)</c:formatCode>
                <c:ptCount val="13"/>
                <c:pt idx="0">
                  <c:v>879000</c:v>
                </c:pt>
                <c:pt idx="1">
                  <c:v>921656</c:v>
                </c:pt>
                <c:pt idx="2">
                  <c:v>1041153</c:v>
                </c:pt>
                <c:pt idx="3">
                  <c:v>991229</c:v>
                </c:pt>
                <c:pt idx="4">
                  <c:v>1226412</c:v>
                </c:pt>
                <c:pt idx="5">
                  <c:v>1287594</c:v>
                </c:pt>
                <c:pt idx="6">
                  <c:v>1376336</c:v>
                </c:pt>
                <c:pt idx="7">
                  <c:v>1418872</c:v>
                </c:pt>
                <c:pt idx="8">
                  <c:v>1439667</c:v>
                </c:pt>
                <c:pt idx="9">
                  <c:v>1455551</c:v>
                </c:pt>
                <c:pt idx="10">
                  <c:v>1548504</c:v>
                </c:pt>
                <c:pt idx="11">
                  <c:v>1599245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BC-471F-BD3B-2BCC2683F359}"/>
            </c:ext>
          </c:extLst>
        </c:ser>
        <c:ser>
          <c:idx val="1"/>
          <c:order val="1"/>
          <c:tx>
            <c:strRef>
              <c:f>'Net Worth'!$V$8</c:f>
              <c:strCache>
                <c:ptCount val="1"/>
                <c:pt idx="0">
                  <c:v>Total Net Worth (No Home Equity)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'Net Worth'!$B$9:$B$33</c:f>
              <c:numCache>
                <c:formatCode>0.0</c:formatCode>
                <c:ptCount val="25"/>
                <c:pt idx="0">
                  <c:v>36</c:v>
                </c:pt>
                <c:pt idx="1">
                  <c:v>36.049315068493151</c:v>
                </c:pt>
                <c:pt idx="2">
                  <c:v>36.479452054794521</c:v>
                </c:pt>
                <c:pt idx="3">
                  <c:v>36.871232876712327</c:v>
                </c:pt>
                <c:pt idx="4">
                  <c:v>37.054794520547944</c:v>
                </c:pt>
                <c:pt idx="5">
                  <c:v>37.213698630136989</c:v>
                </c:pt>
                <c:pt idx="6">
                  <c:v>37.515068493150686</c:v>
                </c:pt>
                <c:pt idx="7">
                  <c:v>37.764383561643832</c:v>
                </c:pt>
                <c:pt idx="8">
                  <c:v>38.054794520547944</c:v>
                </c:pt>
                <c:pt idx="9">
                  <c:v>38.372602739726027</c:v>
                </c:pt>
                <c:pt idx="10">
                  <c:v>38.482191780821921</c:v>
                </c:pt>
                <c:pt idx="11">
                  <c:v>38.753424657534246</c:v>
                </c:pt>
                <c:pt idx="12">
                  <c:v>39.0027397260274</c:v>
                </c:pt>
                <c:pt idx="13">
                  <c:v>39.252054794520546</c:v>
                </c:pt>
                <c:pt idx="14">
                  <c:v>39.5013698630137</c:v>
                </c:pt>
                <c:pt idx="15">
                  <c:v>39.750684931506846</c:v>
                </c:pt>
                <c:pt idx="16">
                  <c:v>40</c:v>
                </c:pt>
                <c:pt idx="17">
                  <c:v>40.249315068493154</c:v>
                </c:pt>
                <c:pt idx="18">
                  <c:v>40.4986301369863</c:v>
                </c:pt>
                <c:pt idx="19">
                  <c:v>40.747945205479454</c:v>
                </c:pt>
                <c:pt idx="20">
                  <c:v>40.9972602739726</c:v>
                </c:pt>
                <c:pt idx="21">
                  <c:v>41.246575342465754</c:v>
                </c:pt>
                <c:pt idx="22">
                  <c:v>41.495890410958907</c:v>
                </c:pt>
                <c:pt idx="23">
                  <c:v>41.745205479452054</c:v>
                </c:pt>
                <c:pt idx="24">
                  <c:v>41.994520547945207</c:v>
                </c:pt>
              </c:numCache>
            </c:numRef>
          </c:xVal>
          <c:yVal>
            <c:numRef>
              <c:f>'Net Worth'!$V$9:$V$33</c:f>
              <c:numCache>
                <c:formatCode>_("$"* #,##0_);_("$"* \(#,##0\);_("$"* "-"??_);_(@_)</c:formatCode>
                <c:ptCount val="25"/>
                <c:pt idx="0">
                  <c:v>587597</c:v>
                </c:pt>
                <c:pt idx="1">
                  <c:v>724677</c:v>
                </c:pt>
                <c:pt idx="2">
                  <c:v>890788</c:v>
                </c:pt>
                <c:pt idx="3">
                  <c:v>807689</c:v>
                </c:pt>
                <c:pt idx="4">
                  <c:v>1038159</c:v>
                </c:pt>
                <c:pt idx="5">
                  <c:v>1168382</c:v>
                </c:pt>
                <c:pt idx="6">
                  <c:v>1226500</c:v>
                </c:pt>
                <c:pt idx="7">
                  <c:v>1105600</c:v>
                </c:pt>
                <c:pt idx="8">
                  <c:v>1144989</c:v>
                </c:pt>
                <c:pt idx="9">
                  <c:v>1202380</c:v>
                </c:pt>
                <c:pt idx="10">
                  <c:v>1287719</c:v>
                </c:pt>
                <c:pt idx="11">
                  <c:v>1394477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FF-41FD-B860-CA3F80F3AC7D}"/>
            </c:ext>
          </c:extLst>
        </c:ser>
        <c:ser>
          <c:idx val="2"/>
          <c:order val="2"/>
          <c:tx>
            <c:strRef>
              <c:f>'Net Worth'!$U$8</c:f>
              <c:strCache>
                <c:ptCount val="1"/>
                <c:pt idx="0">
                  <c:v>Total Short Term Cash
(Checking/ Emergency)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'Net Worth'!$B$9:$B$119</c:f>
              <c:numCache>
                <c:formatCode>0.0</c:formatCode>
                <c:ptCount val="111"/>
                <c:pt idx="0">
                  <c:v>36</c:v>
                </c:pt>
                <c:pt idx="1">
                  <c:v>36.049315068493151</c:v>
                </c:pt>
                <c:pt idx="2">
                  <c:v>36.479452054794521</c:v>
                </c:pt>
                <c:pt idx="3">
                  <c:v>36.871232876712327</c:v>
                </c:pt>
                <c:pt idx="4">
                  <c:v>37.054794520547944</c:v>
                </c:pt>
                <c:pt idx="5">
                  <c:v>37.213698630136989</c:v>
                </c:pt>
                <c:pt idx="6">
                  <c:v>37.515068493150686</c:v>
                </c:pt>
                <c:pt idx="7">
                  <c:v>37.764383561643832</c:v>
                </c:pt>
                <c:pt idx="8">
                  <c:v>38.054794520547944</c:v>
                </c:pt>
                <c:pt idx="9">
                  <c:v>38.372602739726027</c:v>
                </c:pt>
                <c:pt idx="10">
                  <c:v>38.482191780821921</c:v>
                </c:pt>
                <c:pt idx="11">
                  <c:v>38.753424657534246</c:v>
                </c:pt>
                <c:pt idx="12">
                  <c:v>39.0027397260274</c:v>
                </c:pt>
                <c:pt idx="13">
                  <c:v>39.252054794520546</c:v>
                </c:pt>
                <c:pt idx="14">
                  <c:v>39.5013698630137</c:v>
                </c:pt>
                <c:pt idx="15">
                  <c:v>39.750684931506846</c:v>
                </c:pt>
                <c:pt idx="16">
                  <c:v>40</c:v>
                </c:pt>
                <c:pt idx="17">
                  <c:v>40.249315068493154</c:v>
                </c:pt>
                <c:pt idx="18">
                  <c:v>40.4986301369863</c:v>
                </c:pt>
                <c:pt idx="19">
                  <c:v>40.747945205479454</c:v>
                </c:pt>
                <c:pt idx="20">
                  <c:v>40.9972602739726</c:v>
                </c:pt>
                <c:pt idx="21">
                  <c:v>41.246575342465754</c:v>
                </c:pt>
                <c:pt idx="22">
                  <c:v>41.495890410958907</c:v>
                </c:pt>
                <c:pt idx="23">
                  <c:v>41.745205479452054</c:v>
                </c:pt>
                <c:pt idx="24">
                  <c:v>41.994520547945207</c:v>
                </c:pt>
                <c:pt idx="25">
                  <c:v>42.243835616438353</c:v>
                </c:pt>
                <c:pt idx="26">
                  <c:v>42.493150684931507</c:v>
                </c:pt>
                <c:pt idx="27">
                  <c:v>42.742465753424661</c:v>
                </c:pt>
                <c:pt idx="28">
                  <c:v>42.991780821917807</c:v>
                </c:pt>
                <c:pt idx="29">
                  <c:v>43.241095890410961</c:v>
                </c:pt>
                <c:pt idx="30">
                  <c:v>43.490410958904107</c:v>
                </c:pt>
                <c:pt idx="31">
                  <c:v>43.739726027397261</c:v>
                </c:pt>
                <c:pt idx="32">
                  <c:v>43.989041095890414</c:v>
                </c:pt>
                <c:pt idx="33">
                  <c:v>44.238356164383561</c:v>
                </c:pt>
                <c:pt idx="34">
                  <c:v>44.487671232876714</c:v>
                </c:pt>
                <c:pt idx="35">
                  <c:v>44.736986301369861</c:v>
                </c:pt>
                <c:pt idx="36">
                  <c:v>44.986301369863014</c:v>
                </c:pt>
                <c:pt idx="37">
                  <c:v>45.235616438356161</c:v>
                </c:pt>
                <c:pt idx="38">
                  <c:v>45.484931506849314</c:v>
                </c:pt>
                <c:pt idx="39">
                  <c:v>45.734246575342468</c:v>
                </c:pt>
                <c:pt idx="40">
                  <c:v>45.983561643835614</c:v>
                </c:pt>
                <c:pt idx="41">
                  <c:v>46.232876712328768</c:v>
                </c:pt>
                <c:pt idx="42">
                  <c:v>46.482191780821921</c:v>
                </c:pt>
                <c:pt idx="43">
                  <c:v>46.731506849315068</c:v>
                </c:pt>
                <c:pt idx="44">
                  <c:v>46.980821917808221</c:v>
                </c:pt>
                <c:pt idx="45">
                  <c:v>47.230136986301368</c:v>
                </c:pt>
                <c:pt idx="46">
                  <c:v>47.479452054794521</c:v>
                </c:pt>
                <c:pt idx="47">
                  <c:v>47.728767123287668</c:v>
                </c:pt>
                <c:pt idx="48">
                  <c:v>47.978082191780821</c:v>
                </c:pt>
                <c:pt idx="49">
                  <c:v>48.227397260273975</c:v>
                </c:pt>
                <c:pt idx="50">
                  <c:v>48.476712328767121</c:v>
                </c:pt>
                <c:pt idx="51">
                  <c:v>48.726027397260275</c:v>
                </c:pt>
                <c:pt idx="52">
                  <c:v>48.975342465753428</c:v>
                </c:pt>
                <c:pt idx="53">
                  <c:v>49.224657534246575</c:v>
                </c:pt>
                <c:pt idx="54">
                  <c:v>49.473972602739728</c:v>
                </c:pt>
                <c:pt idx="55">
                  <c:v>49.723287671232875</c:v>
                </c:pt>
                <c:pt idx="56">
                  <c:v>49.972602739726028</c:v>
                </c:pt>
                <c:pt idx="57">
                  <c:v>50.221917808219175</c:v>
                </c:pt>
                <c:pt idx="58">
                  <c:v>50.471232876712328</c:v>
                </c:pt>
                <c:pt idx="59">
                  <c:v>50.720547945205482</c:v>
                </c:pt>
                <c:pt idx="60">
                  <c:v>50.969863013698628</c:v>
                </c:pt>
                <c:pt idx="61">
                  <c:v>51.219178082191782</c:v>
                </c:pt>
                <c:pt idx="62">
                  <c:v>51.468493150684935</c:v>
                </c:pt>
                <c:pt idx="63">
                  <c:v>51.717808219178082</c:v>
                </c:pt>
                <c:pt idx="64">
                  <c:v>51.967123287671235</c:v>
                </c:pt>
                <c:pt idx="65">
                  <c:v>52.216438356164389</c:v>
                </c:pt>
                <c:pt idx="66">
                  <c:v>52.465753424657535</c:v>
                </c:pt>
                <c:pt idx="67">
                  <c:v>52.715068493150682</c:v>
                </c:pt>
                <c:pt idx="68">
                  <c:v>52.964383561643835</c:v>
                </c:pt>
                <c:pt idx="69">
                  <c:v>53.213698630136989</c:v>
                </c:pt>
                <c:pt idx="70">
                  <c:v>53.463013698630135</c:v>
                </c:pt>
                <c:pt idx="71">
                  <c:v>53.712328767123289</c:v>
                </c:pt>
                <c:pt idx="72">
                  <c:v>53.961643835616442</c:v>
                </c:pt>
                <c:pt idx="73">
                  <c:v>54.210958904109589</c:v>
                </c:pt>
                <c:pt idx="74">
                  <c:v>54.460273972602735</c:v>
                </c:pt>
                <c:pt idx="75">
                  <c:v>54.709589041095889</c:v>
                </c:pt>
                <c:pt idx="76">
                  <c:v>54.958904109589042</c:v>
                </c:pt>
                <c:pt idx="77">
                  <c:v>55.208219178082189</c:v>
                </c:pt>
                <c:pt idx="78">
                  <c:v>55.457534246575342</c:v>
                </c:pt>
                <c:pt idx="79">
                  <c:v>55.706849315068496</c:v>
                </c:pt>
                <c:pt idx="80">
                  <c:v>55.956164383561642</c:v>
                </c:pt>
                <c:pt idx="81">
                  <c:v>56.205479452054796</c:v>
                </c:pt>
                <c:pt idx="82">
                  <c:v>56.454794520547949</c:v>
                </c:pt>
                <c:pt idx="83">
                  <c:v>56.704109589041096</c:v>
                </c:pt>
                <c:pt idx="84">
                  <c:v>56.953424657534242</c:v>
                </c:pt>
                <c:pt idx="85">
                  <c:v>57.202739726027396</c:v>
                </c:pt>
                <c:pt idx="86">
                  <c:v>57.452054794520549</c:v>
                </c:pt>
                <c:pt idx="87">
                  <c:v>57.701369863013696</c:v>
                </c:pt>
                <c:pt idx="88">
                  <c:v>57.950684931506849</c:v>
                </c:pt>
                <c:pt idx="89">
                  <c:v>58.2</c:v>
                </c:pt>
                <c:pt idx="90">
                  <c:v>58.449315068493149</c:v>
                </c:pt>
                <c:pt idx="91">
                  <c:v>58.698630136986303</c:v>
                </c:pt>
                <c:pt idx="92">
                  <c:v>58.947945205479456</c:v>
                </c:pt>
                <c:pt idx="93">
                  <c:v>59.197260273972603</c:v>
                </c:pt>
                <c:pt idx="94">
                  <c:v>59.446575342465749</c:v>
                </c:pt>
                <c:pt idx="95">
                  <c:v>59.695890410958903</c:v>
                </c:pt>
                <c:pt idx="96">
                  <c:v>59.945205479452056</c:v>
                </c:pt>
                <c:pt idx="97">
                  <c:v>60.194520547945203</c:v>
                </c:pt>
                <c:pt idx="98">
                  <c:v>60.443835616438356</c:v>
                </c:pt>
                <c:pt idx="99">
                  <c:v>60.69315068493151</c:v>
                </c:pt>
                <c:pt idx="100">
                  <c:v>60.942465753424656</c:v>
                </c:pt>
                <c:pt idx="101">
                  <c:v>61.19178082191781</c:v>
                </c:pt>
                <c:pt idx="102">
                  <c:v>61.441095890410963</c:v>
                </c:pt>
                <c:pt idx="103">
                  <c:v>61.69041095890411</c:v>
                </c:pt>
                <c:pt idx="104">
                  <c:v>61.939726027397256</c:v>
                </c:pt>
                <c:pt idx="105">
                  <c:v>62.18904109589041</c:v>
                </c:pt>
                <c:pt idx="106">
                  <c:v>62.438356164383563</c:v>
                </c:pt>
                <c:pt idx="107">
                  <c:v>62.68767123287671</c:v>
                </c:pt>
                <c:pt idx="108">
                  <c:v>62.936986301369863</c:v>
                </c:pt>
                <c:pt idx="109">
                  <c:v>63.186301369863017</c:v>
                </c:pt>
                <c:pt idx="110">
                  <c:v>63.435616438356163</c:v>
                </c:pt>
              </c:numCache>
            </c:numRef>
          </c:xVal>
          <c:yVal>
            <c:numRef>
              <c:f>'Net Worth'!$U$9:$U$119</c:f>
              <c:numCache>
                <c:formatCode>_("$"* #,##0_);_("$"* \(#,##0\);_("$"* "-"??_);_(@_)</c:formatCode>
                <c:ptCount val="111"/>
                <c:pt idx="0">
                  <c:v>0</c:v>
                </c:pt>
                <c:pt idx="1">
                  <c:v>42508</c:v>
                </c:pt>
                <c:pt idx="2">
                  <c:v>73731</c:v>
                </c:pt>
                <c:pt idx="3">
                  <c:v>59940</c:v>
                </c:pt>
                <c:pt idx="4">
                  <c:v>47489</c:v>
                </c:pt>
                <c:pt idx="5">
                  <c:v>111972</c:v>
                </c:pt>
                <c:pt idx="6">
                  <c:v>74878</c:v>
                </c:pt>
                <c:pt idx="7">
                  <c:v>40592</c:v>
                </c:pt>
                <c:pt idx="8">
                  <c:v>54129</c:v>
                </c:pt>
                <c:pt idx="9">
                  <c:v>89712</c:v>
                </c:pt>
                <c:pt idx="10">
                  <c:v>77558</c:v>
                </c:pt>
                <c:pt idx="11">
                  <c:v>82928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18-4103-961B-470E89784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194351"/>
        <c:axId val="1014203503"/>
      </c:scatterChart>
      <c:valAx>
        <c:axId val="1014194351"/>
        <c:scaling>
          <c:orientation val="minMax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03503"/>
        <c:crosses val="autoZero"/>
        <c:crossBetween val="midCat"/>
      </c:valAx>
      <c:valAx>
        <c:axId val="10142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Worth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194351"/>
        <c:crosses val="autoZero"/>
        <c:crossBetween val="midCat"/>
        <c:majorUnit val="10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020813357739874"/>
          <c:y val="0.17810668197725285"/>
          <c:w val="0.31299874416066997"/>
          <c:h val="0.2622895673012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'Projection College Cost by year'!$W$8</c:f>
              <c:strCache>
                <c:ptCount val="1"/>
                <c:pt idx="0">
                  <c:v>Total Projected College Fund All 3</c:v>
                </c:pt>
              </c:strCache>
            </c:strRef>
          </c:tx>
          <c:marker>
            <c:symbol val="none"/>
          </c:marker>
          <c:xVal>
            <c:numRef>
              <c:f>'Projection College Cost by year'!$C$9:$C$39</c:f>
              <c:numCache>
                <c:formatCode>General</c:formatCode>
                <c:ptCount val="31"/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</c:numCache>
            </c:numRef>
          </c:xVal>
          <c:yVal>
            <c:numRef>
              <c:f>'Projection College Cost by year'!$W$9:$W$39</c:f>
              <c:numCache>
                <c:formatCode>General</c:formatCode>
                <c:ptCount val="31"/>
                <c:pt idx="5" formatCode="&quot;$&quot;#,##0">
                  <c:v>25886.864106713638</c:v>
                </c:pt>
                <c:pt idx="6" formatCode="&quot;$&quot;#,##0">
                  <c:v>37843.688433644988</c:v>
                </c:pt>
                <c:pt idx="7" formatCode="&quot;$&quot;#,##0">
                  <c:v>50308.920460958703</c:v>
                </c:pt>
                <c:pt idx="8" formatCode="&quot;$&quot;#,##0">
                  <c:v>62549.800795102812</c:v>
                </c:pt>
                <c:pt idx="9" formatCode="&quot;$&quot;#,##0">
                  <c:v>73588.078662776723</c:v>
                </c:pt>
                <c:pt idx="10" formatCode="&quot;$&quot;#,##0">
                  <c:v>85303.704453196464</c:v>
                </c:pt>
                <c:pt idx="11" formatCode="&quot;$&quot;#,##0">
                  <c:v>97738.242639910168</c:v>
                </c:pt>
                <c:pt idx="12" formatCode="&quot;$&quot;#,##0">
                  <c:v>110935.80824014278</c:v>
                </c:pt>
                <c:pt idx="13" formatCode="&quot;$&quot;#,##0">
                  <c:v>124943.22332521201</c:v>
                </c:pt>
                <c:pt idx="14" formatCode="&quot;$&quot;#,##0">
                  <c:v>139810.18313497928</c:v>
                </c:pt>
                <c:pt idx="15" formatCode="&quot;$&quot;#,##0">
                  <c:v>155589.43238567302</c:v>
                </c:pt>
                <c:pt idx="16" formatCode="&quot;$&quot;#,##0">
                  <c:v>172336.95239658619</c:v>
                </c:pt>
                <c:pt idx="17" formatCode="&quot;$&quot;#,##0">
                  <c:v>190112.15969953223</c:v>
                </c:pt>
                <c:pt idx="18" formatCode="&quot;$&quot;#,##0">
                  <c:v>158978.11683568245</c:v>
                </c:pt>
                <c:pt idx="19" formatCode="&quot;$&quot;#,##0">
                  <c:v>102467.66732202092</c:v>
                </c:pt>
                <c:pt idx="20" formatCode="&quot;$&quot;#,##0">
                  <c:v>69023.624744411311</c:v>
                </c:pt>
                <c:pt idx="21" formatCode="&quot;$&quot;#,##0">
                  <c:v>33527.336966985924</c:v>
                </c:pt>
                <c:pt idx="22" formatCode="&quot;$&quot;#,##0">
                  <c:v>-42298.998793418992</c:v>
                </c:pt>
                <c:pt idx="23" formatCode="&quot;$&quot;#,##0">
                  <c:v>-36505.533006265803</c:v>
                </c:pt>
                <c:pt idx="24" formatCode="&quot;$&quot;#,##0">
                  <c:v>-15105.911472635053</c:v>
                </c:pt>
                <c:pt idx="25" formatCode="&quot;$&quot;#,##0">
                  <c:v>-37098.775070397867</c:v>
                </c:pt>
                <c:pt idx="26" formatCode="&quot;$&quot;#,##0">
                  <c:v>-47600</c:v>
                </c:pt>
                <c:pt idx="27" formatCode="&quot;$&quot;#,##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9F-4322-AA44-F5173768F7EB}"/>
            </c:ext>
          </c:extLst>
        </c:ser>
        <c:ser>
          <c:idx val="0"/>
          <c:order val="1"/>
          <c:tx>
            <c:strRef>
              <c:f>'Projection College Cost by year'!$Y$8</c:f>
              <c:strCache>
                <c:ptCount val="1"/>
                <c:pt idx="0">
                  <c:v>Actual Funds, All 3</c:v>
                </c:pt>
              </c:strCache>
            </c:strRef>
          </c:tx>
          <c:marker>
            <c:symbol val="squar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'Projection College Cost by year'!$C$9:$C$39</c:f>
              <c:numCache>
                <c:formatCode>General</c:formatCode>
                <c:ptCount val="31"/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</c:numCache>
            </c:numRef>
          </c:xVal>
          <c:yVal>
            <c:numRef>
              <c:f>'Projection College Cost by year'!$Y$9:$Y$36</c:f>
              <c:numCache>
                <c:formatCode>General</c:formatCode>
                <c:ptCount val="28"/>
                <c:pt idx="5" formatCode="_(&quot;$&quot;* #,##0_);_(&quot;$&quot;* \(#,##0\);_(&quot;$&quot;* &quot;-&quot;??_);_(@_)">
                  <c:v>24072</c:v>
                </c:pt>
                <c:pt idx="6" formatCode="_(&quot;$&quot;* #,##0_);_(&quot;$&quot;* \(#,##0\);_(&quot;$&quot;* &quot;-&quot;??_);_(@_)">
                  <c:v>30722</c:v>
                </c:pt>
                <c:pt idx="7" formatCode="_(&quot;$&quot;* #,##0_);_(&quot;$&quot;* \(#,##0\);_(&quot;$&quot;* &quot;-&quot;??_);_(@_)">
                  <c:v>36848</c:v>
                </c:pt>
                <c:pt idx="8" formatCode="_(&quot;$&quot;* #,##0_);_(&quot;$&quot;* \(#,##0\);_(&quot;$&quot;* &quot;-&quot;??_);_(@_)">
                  <c:v>0</c:v>
                </c:pt>
                <c:pt idx="9" formatCode="_(&quot;$&quot;* #,##0_);_(&quot;$&quot;* \(#,##0\);_(&quot;$&quot;* &quot;-&quot;??_);_(@_)">
                  <c:v>0</c:v>
                </c:pt>
                <c:pt idx="10" formatCode="_(&quot;$&quot;* #,##0_);_(&quot;$&quot;* \(#,##0\);_(&quot;$&quot;* &quot;-&quot;??_);_(@_)">
                  <c:v>0</c:v>
                </c:pt>
                <c:pt idx="11" formatCode="_(&quot;$&quot;* #,##0_);_(&quot;$&quot;* \(#,##0\);_(&quot;$&quot;* &quot;-&quot;??_);_(@_)">
                  <c:v>0</c:v>
                </c:pt>
                <c:pt idx="12" formatCode="_(&quot;$&quot;* #,##0_);_(&quot;$&quot;* \(#,##0\);_(&quot;$&quot;* &quot;-&quot;??_);_(@_)">
                  <c:v>0</c:v>
                </c:pt>
                <c:pt idx="13" formatCode="_(&quot;$&quot;* #,##0_);_(&quot;$&quot;* \(#,##0\);_(&quot;$&quot;* &quot;-&quot;??_);_(@_)">
                  <c:v>0</c:v>
                </c:pt>
                <c:pt idx="14" formatCode="_(&quot;$&quot;* #,##0_);_(&quot;$&quot;* \(#,##0\);_(&quot;$&quot;* &quot;-&quot;??_);_(@_)">
                  <c:v>0</c:v>
                </c:pt>
                <c:pt idx="15" formatCode="_(&quot;$&quot;* #,##0_);_(&quot;$&quot;* \(#,##0\);_(&quot;$&quot;* &quot;-&quot;??_);_(@_)">
                  <c:v>0</c:v>
                </c:pt>
                <c:pt idx="16" formatCode="_(&quot;$&quot;* #,##0_);_(&quot;$&quot;* \(#,##0\);_(&quot;$&quot;* &quot;-&quot;??_);_(@_)">
                  <c:v>0</c:v>
                </c:pt>
                <c:pt idx="17" formatCode="_(&quot;$&quot;* #,##0_);_(&quot;$&quot;* \(#,##0\);_(&quot;$&quot;* &quot;-&quot;??_);_(@_)">
                  <c:v>0</c:v>
                </c:pt>
                <c:pt idx="18" formatCode="_(&quot;$&quot;* #,##0_);_(&quot;$&quot;* \(#,##0\);_(&quot;$&quot;* &quot;-&quot;??_);_(@_)">
                  <c:v>0</c:v>
                </c:pt>
                <c:pt idx="19" formatCode="_(&quot;$&quot;* #,##0_);_(&quot;$&quot;* \(#,##0\);_(&quot;$&quot;* &quot;-&quot;??_);_(@_)">
                  <c:v>0</c:v>
                </c:pt>
                <c:pt idx="20" formatCode="_(&quot;$&quot;* #,##0_);_(&quot;$&quot;* \(#,##0\);_(&quot;$&quot;* &quot;-&quot;??_);_(@_)">
                  <c:v>0</c:v>
                </c:pt>
                <c:pt idx="21" formatCode="_(&quot;$&quot;* #,##0_);_(&quot;$&quot;* \(#,##0\);_(&quot;$&quot;* &quot;-&quot;??_);_(@_)">
                  <c:v>0</c:v>
                </c:pt>
                <c:pt idx="22" formatCode="_(&quot;$&quot;* #,##0_);_(&quot;$&quot;* \(#,##0\);_(&quot;$&quot;* &quot;-&quot;??_);_(@_)">
                  <c:v>0</c:v>
                </c:pt>
                <c:pt idx="23" formatCode="_(&quot;$&quot;* #,##0_);_(&quot;$&quot;* \(#,##0\);_(&quot;$&quot;* &quot;-&quot;??_);_(@_)">
                  <c:v>0</c:v>
                </c:pt>
                <c:pt idx="24" formatCode="_(&quot;$&quot;* #,##0_);_(&quot;$&quot;* \(#,##0\);_(&quot;$&quot;* &quot;-&quot;??_);_(@_)">
                  <c:v>0</c:v>
                </c:pt>
                <c:pt idx="25" formatCode="_(&quot;$&quot;* #,##0_);_(&quot;$&quot;* \(#,##0\);_(&quot;$&quot;* &quot;-&quot;??_);_(@_)">
                  <c:v>0</c:v>
                </c:pt>
                <c:pt idx="26" formatCode="_(&quot;$&quot;* #,##0_);_(&quot;$&quot;* \(#,##0\);_(&quot;$&quot;* &quot;-&quot;??_);_(@_)">
                  <c:v>0</c:v>
                </c:pt>
                <c:pt idx="27" formatCode="_(&quot;$&quot;* #,##0_);_(&quot;$&quot;* \(#,##0\);_(&quot;$&quot;* &quot;-&quot;??_);_(@_)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9F-4322-AA44-F5173768F7EB}"/>
            </c:ext>
          </c:extLst>
        </c:ser>
        <c:ser>
          <c:idx val="2"/>
          <c:order val="2"/>
          <c:tx>
            <c:strRef>
              <c:f>'Projection College Cost by year'!$AC$2</c:f>
              <c:strCache>
                <c:ptCount val="1"/>
                <c:pt idx="0">
                  <c:v>All Kids Done</c:v>
                </c:pt>
              </c:strCache>
            </c:strRef>
          </c:tx>
          <c:marker>
            <c:symbol val="none"/>
          </c:marker>
          <c:xVal>
            <c:numRef>
              <c:f>'Projection College Cost by year'!$AD$2:$AD$3</c:f>
              <c:numCache>
                <c:formatCode>General</c:formatCode>
                <c:ptCount val="2"/>
                <c:pt idx="0">
                  <c:v>2043</c:v>
                </c:pt>
                <c:pt idx="1">
                  <c:v>2043</c:v>
                </c:pt>
              </c:numCache>
            </c:numRef>
          </c:xVal>
          <c:yVal>
            <c:numRef>
              <c:f>'Projection College Cost by year'!$AE$2:$AE$3</c:f>
              <c:numCache>
                <c:formatCode>General</c:formatCode>
                <c:ptCount val="2"/>
                <c:pt idx="0">
                  <c:v>200000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9F-4322-AA44-F5173768F7EB}"/>
            </c:ext>
          </c:extLst>
        </c:ser>
        <c:ser>
          <c:idx val="3"/>
          <c:order val="3"/>
          <c:tx>
            <c:strRef>
              <c:f>'Projection College Cost by year'!$AC$5</c:f>
              <c:strCache>
                <c:ptCount val="1"/>
                <c:pt idx="0">
                  <c:v>Shortfall 4 years</c:v>
                </c:pt>
              </c:strCache>
            </c:strRef>
          </c:tx>
          <c:marker>
            <c:symbol val="none"/>
          </c:marker>
          <c:xVal>
            <c:numRef>
              <c:f>'Projection College Cost by year'!$AD$5:$AD$6</c:f>
              <c:numCache>
                <c:formatCode>General</c:formatCode>
                <c:ptCount val="2"/>
                <c:pt idx="0">
                  <c:v>2039</c:v>
                </c:pt>
                <c:pt idx="1">
                  <c:v>2043</c:v>
                </c:pt>
              </c:numCache>
            </c:numRef>
          </c:xVal>
          <c:yVal>
            <c:numRef>
              <c:f>'Projection College Cost by year'!$AE$5:$AE$6</c:f>
              <c:numCache>
                <c:formatCode>General</c:formatCode>
                <c:ptCount val="2"/>
                <c:pt idx="0">
                  <c:v>5000</c:v>
                </c:pt>
                <c:pt idx="1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39F-4322-AA44-F5173768F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00832"/>
        <c:axId val="161010816"/>
      </c:scatterChart>
      <c:valAx>
        <c:axId val="16100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010816"/>
        <c:crosses val="autoZero"/>
        <c:crossBetween val="midCat"/>
      </c:valAx>
      <c:valAx>
        <c:axId val="161010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1000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'Projection College Cost Per Kid'!$G$8</c:f>
              <c:strCache>
                <c:ptCount val="1"/>
                <c:pt idx="0">
                  <c:v>Hudson Projected College Balance</c:v>
                </c:pt>
              </c:strCache>
            </c:strRef>
          </c:tx>
          <c:marker>
            <c:symbol val="none"/>
          </c:marker>
          <c:val>
            <c:numRef>
              <c:f>'Projection College Cost Per Kid'!$G$9:$G$34</c:f>
              <c:numCache>
                <c:formatCode>"$"#,##0</c:formatCode>
                <c:ptCount val="26"/>
                <c:pt idx="0">
                  <c:v>5584.090651874998</c:v>
                </c:pt>
                <c:pt idx="1">
                  <c:v>8326.7502812859166</c:v>
                </c:pt>
                <c:pt idx="2">
                  <c:v>11237.709243713332</c:v>
                </c:pt>
                <c:pt idx="3">
                  <c:v>14327.29498379896</c:v>
                </c:pt>
                <c:pt idx="4">
                  <c:v>17606.468674856609</c:v>
                </c:pt>
                <c:pt idx="5">
                  <c:v>21086.864106713638</c:v>
                </c:pt>
                <c:pt idx="6">
                  <c:v>27949.143390644986</c:v>
                </c:pt>
                <c:pt idx="7">
                  <c:v>35007.211002301236</c:v>
                </c:pt>
                <c:pt idx="8">
                  <c:v>41509.124113429978</c:v>
                </c:pt>
                <c:pt idx="9">
                  <c:v>46456.271352363823</c:v>
                </c:pt>
                <c:pt idx="10">
                  <c:v>51706.993111343312</c:v>
                </c:pt>
                <c:pt idx="11">
                  <c:v>57279.917800797724</c:v>
                </c:pt>
                <c:pt idx="12">
                  <c:v>63194.816936562784</c:v>
                </c:pt>
                <c:pt idx="13">
                  <c:v>69472.675284887126</c:v>
                </c:pt>
                <c:pt idx="14">
                  <c:v>76135.76531178545</c:v>
                </c:pt>
                <c:pt idx="15">
                  <c:v>83207.726200868274</c:v>
                </c:pt>
                <c:pt idx="16">
                  <c:v>90713.647719986344</c:v>
                </c:pt>
                <c:pt idx="17">
                  <c:v>98680.159234230086</c:v>
                </c:pt>
                <c:pt idx="18">
                  <c:v>82135.524181082772</c:v>
                </c:pt>
                <c:pt idx="19">
                  <c:v>64575.65157727951</c:v>
                </c:pt>
                <c:pt idx="20">
                  <c:v>45938.242841984233</c:v>
                </c:pt>
                <c:pt idx="21">
                  <c:v>26157.176532241851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4-4C72-8913-DE51906BD7C2}"/>
            </c:ext>
          </c:extLst>
        </c:ser>
        <c:ser>
          <c:idx val="0"/>
          <c:order val="1"/>
          <c:tx>
            <c:strRef>
              <c:f>'Projection College Cost Per Kid'!$H$8</c:f>
              <c:strCache>
                <c:ptCount val="1"/>
                <c:pt idx="0">
                  <c:v>Hudson Actual</c:v>
                </c:pt>
              </c:strCache>
            </c:strRef>
          </c:tx>
          <c:spPr>
            <a:ln>
              <a:noFill/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val>
            <c:numRef>
              <c:f>'Projection College Cost Per Kid'!$H$9:$H$34</c:f>
              <c:numCache>
                <c:formatCode>_("$"* #,##0_);_("$"* \(#,##0\);_("$"* "-"??_);_(@_)</c:formatCode>
                <c:ptCount val="26"/>
                <c:pt idx="5">
                  <c:v>24072</c:v>
                </c:pt>
                <c:pt idx="6">
                  <c:v>30722</c:v>
                </c:pt>
                <c:pt idx="7">
                  <c:v>36848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4-4C72-8913-DE51906BD7C2}"/>
            </c:ext>
          </c:extLst>
        </c:ser>
        <c:ser>
          <c:idx val="2"/>
          <c:order val="2"/>
          <c:tx>
            <c:strRef>
              <c:f>'Projection College Cost Per Kid'!$M$8</c:f>
              <c:strCache>
                <c:ptCount val="1"/>
                <c:pt idx="0">
                  <c:v>Riley Projected College Balance</c:v>
                </c:pt>
              </c:strCache>
            </c:strRef>
          </c:tx>
          <c:marker>
            <c:symbol val="none"/>
          </c:marker>
          <c:val>
            <c:numRef>
              <c:f>'Projection College Cost Per Kid'!$M$9:$M$34</c:f>
              <c:numCache>
                <c:formatCode>"$"#,##0</c:formatCode>
                <c:ptCount val="26"/>
                <c:pt idx="3">
                  <c:v>2400</c:v>
                </c:pt>
                <c:pt idx="4">
                  <c:v>4947.2725214999991</c:v>
                </c:pt>
                <c:pt idx="5">
                  <c:v>7650.8547293287329</c:v>
                </c:pt>
                <c:pt idx="6">
                  <c:v>10520.338340836413</c:v>
                </c:pt>
                <c:pt idx="7">
                  <c:v>13565.903655206452</c:v>
                </c:pt>
                <c:pt idx="8">
                  <c:v>16798.355670926576</c:v>
                </c:pt>
                <c:pt idx="9">
                  <c:v>20229.162419556225</c:v>
                </c:pt>
                <c:pt idx="10">
                  <c:v>23870.495651789999</c:v>
                </c:pt>
                <c:pt idx="11">
                  <c:v>27735.274020162444</c:v>
                </c:pt>
                <c:pt idx="12">
                  <c:v>31837.208911596914</c:v>
                </c:pt>
                <c:pt idx="13">
                  <c:v>36190.853092402373</c:v>
                </c:pt>
                <c:pt idx="14">
                  <c:v>40811.652338299922</c:v>
                </c:pt>
                <c:pt idx="15">
                  <c:v>45716.000232651066</c:v>
                </c:pt>
                <c:pt idx="16">
                  <c:v>50921.296327299839</c:v>
                </c:pt>
                <c:pt idx="17">
                  <c:v>31446.007872370697</c:v>
                </c:pt>
                <c:pt idx="18">
                  <c:v>10775.646568401047</c:v>
                </c:pt>
                <c:pt idx="19">
                  <c:v>-11163.121497881773</c:v>
                </c:pt>
                <c:pt idx="20">
                  <c:v>5162.273758585121</c:v>
                </c:pt>
                <c:pt idx="21">
                  <c:v>-17120.950794289834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A-44DF-8BC8-893AE3F7BA3E}"/>
            </c:ext>
          </c:extLst>
        </c:ser>
        <c:ser>
          <c:idx val="3"/>
          <c:order val="3"/>
          <c:tx>
            <c:strRef>
              <c:f>'Projection College Cost Per Kid'!$N$8</c:f>
              <c:strCache>
                <c:ptCount val="1"/>
                <c:pt idx="0">
                  <c:v>Riley Actual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5"/>
          </c:marker>
          <c:val>
            <c:numRef>
              <c:f>'Projection College Cost Per Kid'!$N$9:$N$34</c:f>
              <c:numCache>
                <c:formatCode>General</c:formatCode>
                <c:ptCount val="26"/>
                <c:pt idx="4">
                  <c:v>0</c:v>
                </c:pt>
                <c:pt idx="19" formatCode="&quot;$&quot;#,##0">
                  <c:v>26157.176532241851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A-44DF-8BC8-893AE3F7BA3E}"/>
            </c:ext>
          </c:extLst>
        </c:ser>
        <c:ser>
          <c:idx val="4"/>
          <c:order val="4"/>
          <c:tx>
            <c:strRef>
              <c:f>'Projection College Cost Per Kid'!$S$8</c:f>
              <c:strCache>
                <c:ptCount val="1"/>
                <c:pt idx="0">
                  <c:v>Sunny Projected College Balance</c:v>
                </c:pt>
              </c:strCache>
            </c:strRef>
          </c:tx>
          <c:marker>
            <c:symbol val="none"/>
          </c:marker>
          <c:val>
            <c:numRef>
              <c:f>'Projection College Cost Per Kid'!$S$9:$S$34</c:f>
              <c:numCache>
                <c:formatCode>_("$"* #,##0_);_("$"* \(#,##0\);_("$"* "-"??_);_(@_)</c:formatCode>
                <c:ptCount val="26"/>
                <c:pt idx="0">
                  <c:v>2400</c:v>
                </c:pt>
                <c:pt idx="1">
                  <c:v>4947.2725214999991</c:v>
                </c:pt>
                <c:pt idx="2">
                  <c:v>7650.8547293287329</c:v>
                </c:pt>
                <c:pt idx="3">
                  <c:v>10520.338340836413</c:v>
                </c:pt>
                <c:pt idx="4">
                  <c:v>13565.903655206452</c:v>
                </c:pt>
                <c:pt idx="5">
                  <c:v>16798.355670926576</c:v>
                </c:pt>
                <c:pt idx="6">
                  <c:v>20229.162419556225</c:v>
                </c:pt>
                <c:pt idx="7">
                  <c:v>23870.495651789999</c:v>
                </c:pt>
                <c:pt idx="8">
                  <c:v>27735.274020162444</c:v>
                </c:pt>
                <c:pt idx="9">
                  <c:v>31837.208911596914</c:v>
                </c:pt>
                <c:pt idx="10">
                  <c:v>36190.853092402373</c:v>
                </c:pt>
                <c:pt idx="11">
                  <c:v>40811.652338299922</c:v>
                </c:pt>
                <c:pt idx="12">
                  <c:v>45716.000232651066</c:v>
                </c:pt>
                <c:pt idx="13">
                  <c:v>50921.296327299839</c:v>
                </c:pt>
                <c:pt idx="14">
                  <c:v>56446.007872370697</c:v>
                </c:pt>
                <c:pt idx="15">
                  <c:v>62309.735334026031</c:v>
                </c:pt>
                <c:pt idx="16">
                  <c:v>68533.281932625847</c:v>
                </c:pt>
                <c:pt idx="17">
                  <c:v>50138.727447995887</c:v>
                </c:pt>
                <c:pt idx="18">
                  <c:v>30615.417788024031</c:v>
                </c:pt>
                <c:pt idx="19">
                  <c:v>9894.0885273649474</c:v>
                </c:pt>
                <c:pt idx="20">
                  <c:v>-12098.775070397867</c:v>
                </c:pt>
                <c:pt idx="21">
                  <c:v>-22600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5A-44DF-8BC8-893AE3F7BA3E}"/>
            </c:ext>
          </c:extLst>
        </c:ser>
        <c:ser>
          <c:idx val="5"/>
          <c:order val="5"/>
          <c:tx>
            <c:strRef>
              <c:f>'Projection College Cost Per Kid'!$T$8</c:f>
              <c:strCache>
                <c:ptCount val="1"/>
                <c:pt idx="0">
                  <c:v>Sunny Actual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5"/>
          </c:marker>
          <c:val>
            <c:numRef>
              <c:f>'Projection College Cost Per Kid'!$T$9:$T$34</c:f>
              <c:numCache>
                <c:formatCode>General</c:formatCode>
                <c:ptCount val="26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5A-44DF-8BC8-893AE3F7B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00832"/>
        <c:axId val="161010816"/>
      </c:lineChart>
      <c:catAx>
        <c:axId val="161000832"/>
        <c:scaling>
          <c:orientation val="minMax"/>
        </c:scaling>
        <c:delete val="0"/>
        <c:axPos val="b"/>
        <c:majorTickMark val="out"/>
        <c:minorTickMark val="none"/>
        <c:tickLblPos val="nextTo"/>
        <c:crossAx val="161010816"/>
        <c:crosses val="autoZero"/>
        <c:auto val="1"/>
        <c:lblAlgn val="ctr"/>
        <c:lblOffset val="100"/>
        <c:noMultiLvlLbl val="0"/>
      </c:catAx>
      <c:valAx>
        <c:axId val="161010816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161000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145732</xdr:colOff>
      <xdr:row>9</xdr:row>
      <xdr:rowOff>50482</xdr:rowOff>
    </xdr:from>
    <xdr:to>
      <xdr:col>19</xdr:col>
      <xdr:colOff>598170</xdr:colOff>
      <xdr:row>25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255270</xdr:colOff>
      <xdr:row>11</xdr:row>
      <xdr:rowOff>165735</xdr:rowOff>
    </xdr:from>
    <xdr:to>
      <xdr:col>15</xdr:col>
      <xdr:colOff>293370</xdr:colOff>
      <xdr:row>23</xdr:row>
      <xdr:rowOff>135255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10496550" y="2177415"/>
          <a:ext cx="38100" cy="216408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437197</xdr:colOff>
      <xdr:row>9</xdr:row>
      <xdr:rowOff>25717</xdr:rowOff>
    </xdr:from>
    <xdr:to>
      <xdr:col>20</xdr:col>
      <xdr:colOff>280035</xdr:colOff>
      <xdr:row>25</xdr:row>
      <xdr:rowOff>116205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470535</xdr:colOff>
      <xdr:row>12</xdr:row>
      <xdr:rowOff>40005</xdr:rowOff>
    </xdr:from>
    <xdr:to>
      <xdr:col>16</xdr:col>
      <xdr:colOff>508635</xdr:colOff>
      <xdr:row>24</xdr:row>
      <xdr:rowOff>1905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10955655" y="2234565"/>
          <a:ext cx="38100" cy="215646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52387</xdr:colOff>
      <xdr:row>9</xdr:row>
      <xdr:rowOff>162877</xdr:rowOff>
    </xdr:from>
    <xdr:to>
      <xdr:col>22</xdr:col>
      <xdr:colOff>571500</xdr:colOff>
      <xdr:row>26</xdr:row>
      <xdr:rowOff>70485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55245</xdr:colOff>
      <xdr:row>12</xdr:row>
      <xdr:rowOff>165735</xdr:rowOff>
    </xdr:from>
    <xdr:to>
      <xdr:col>19</xdr:col>
      <xdr:colOff>93345</xdr:colOff>
      <xdr:row>24</xdr:row>
      <xdr:rowOff>135255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12910185" y="2360295"/>
          <a:ext cx="38100" cy="216408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579120</xdr:colOff>
      <xdr:row>9</xdr:row>
      <xdr:rowOff>137160</xdr:rowOff>
    </xdr:from>
    <xdr:to>
      <xdr:col>27</xdr:col>
      <xdr:colOff>243840</xdr:colOff>
      <xdr:row>35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205740</xdr:colOff>
      <xdr:row>3</xdr:row>
      <xdr:rowOff>163829</xdr:rowOff>
    </xdr:from>
    <xdr:to>
      <xdr:col>34</xdr:col>
      <xdr:colOff>152400</xdr:colOff>
      <xdr:row>30</xdr:row>
      <xdr:rowOff>49529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9A924-E24D-B40C-70E4-106D5D29D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434340</xdr:colOff>
      <xdr:row>13</xdr:row>
      <xdr:rowOff>68580</xdr:rowOff>
    </xdr:from>
    <xdr:to>
      <xdr:col>39</xdr:col>
      <xdr:colOff>312420</xdr:colOff>
      <xdr:row>31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1E83C-3106-4AFB-9006-91E33141A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22860</xdr:colOff>
      <xdr:row>7</xdr:row>
      <xdr:rowOff>685800</xdr:rowOff>
    </xdr:from>
    <xdr:to>
      <xdr:col>35</xdr:col>
      <xdr:colOff>281940</xdr:colOff>
      <xdr:row>34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468630</xdr:colOff>
      <xdr:row>8</xdr:row>
      <xdr:rowOff>180975</xdr:rowOff>
    </xdr:from>
    <xdr:to>
      <xdr:col>29</xdr:col>
      <xdr:colOff>502920</xdr:colOff>
      <xdr:row>25</xdr:row>
      <xdr:rowOff>60960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21827490" y="2207895"/>
          <a:ext cx="34290" cy="2988945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396"/>
  <sheetViews>
    <sheetView topLeftCell="A4" workbookViewId="0">
      <selection activeCell="K13" sqref="K13"/>
    </sheetView>
  </sheetViews>
  <sheetFormatPr defaultRowHeight="14.4" x14ac:dyDescent="0.3"/>
  <cols>
    <col min="2" max="2" width="15" bestFit="1" customWidth="1"/>
    <col min="3" max="3" width="11.109375" style="8" bestFit="1" customWidth="1"/>
    <col min="4" max="4" width="9.109375" style="5" bestFit="1" customWidth="1"/>
    <col min="5" max="5" width="12.88671875" style="5" bestFit="1" customWidth="1"/>
    <col min="6" max="6" width="31.44140625" style="5" bestFit="1" customWidth="1"/>
    <col min="7" max="7" width="16.33203125" style="5" bestFit="1" customWidth="1"/>
    <col min="8" max="8" width="15.6640625" style="5" bestFit="1" customWidth="1"/>
    <col min="9" max="9" width="9.109375" style="5"/>
    <col min="10" max="10" width="14.5546875" style="5" bestFit="1" customWidth="1"/>
    <col min="11" max="11" width="7.5546875" style="5" bestFit="1" customWidth="1"/>
    <col min="12" max="12" width="12.44140625" style="5" bestFit="1" customWidth="1"/>
    <col min="13" max="13" width="12.88671875" bestFit="1" customWidth="1"/>
    <col min="14" max="14" width="14.33203125" style="5" bestFit="1" customWidth="1"/>
    <col min="15" max="15" width="23" style="5" bestFit="1" customWidth="1"/>
    <col min="19" max="19" width="9.6640625" bestFit="1" customWidth="1"/>
    <col min="21" max="21" width="10.109375" bestFit="1" customWidth="1"/>
    <col min="22" max="22" width="14.6640625" bestFit="1" customWidth="1"/>
    <col min="23" max="23" width="13.5546875" bestFit="1" customWidth="1"/>
    <col min="25" max="25" width="9.6640625" bestFit="1" customWidth="1"/>
    <col min="27" max="27" width="10.109375" bestFit="1" customWidth="1"/>
    <col min="28" max="28" width="14.6640625" bestFit="1" customWidth="1"/>
    <col min="29" max="29" width="13.5546875" bestFit="1" customWidth="1"/>
  </cols>
  <sheetData>
    <row r="2" spans="1:29" x14ac:dyDescent="0.3">
      <c r="B2" s="5" t="s">
        <v>18</v>
      </c>
      <c r="C2" s="6">
        <v>303000</v>
      </c>
    </row>
    <row r="3" spans="1:29" x14ac:dyDescent="0.3">
      <c r="B3" t="s">
        <v>19</v>
      </c>
      <c r="C3" s="6">
        <v>190000</v>
      </c>
    </row>
    <row r="4" spans="1:29" x14ac:dyDescent="0.3">
      <c r="B4" t="s">
        <v>7</v>
      </c>
      <c r="C4" s="7">
        <v>4.1250000000000002E-2</v>
      </c>
    </row>
    <row r="10" spans="1:29" x14ac:dyDescent="0.3">
      <c r="A10" t="s">
        <v>32</v>
      </c>
      <c r="B10" t="s">
        <v>31</v>
      </c>
      <c r="D10" s="5" t="s">
        <v>4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25</v>
      </c>
      <c r="K10" s="5" t="s">
        <v>26</v>
      </c>
      <c r="L10" s="5" t="s">
        <v>27</v>
      </c>
      <c r="M10" s="5" t="s">
        <v>28</v>
      </c>
      <c r="N10" s="5" t="s">
        <v>29</v>
      </c>
      <c r="O10" s="5" t="s">
        <v>30</v>
      </c>
    </row>
    <row r="11" spans="1:29" x14ac:dyDescent="0.3">
      <c r="C11" s="8">
        <v>41553</v>
      </c>
      <c r="D11" s="6"/>
      <c r="E11" s="6"/>
      <c r="F11" s="5">
        <f>C3</f>
        <v>190000</v>
      </c>
      <c r="G11" s="5">
        <v>0</v>
      </c>
      <c r="H11" s="6"/>
      <c r="I11" s="6"/>
      <c r="J11" s="5">
        <f>I11</f>
        <v>0</v>
      </c>
      <c r="K11" s="6"/>
      <c r="L11" s="5">
        <f>F11+H11+I11-D11-E11</f>
        <v>190000</v>
      </c>
      <c r="M11" s="9">
        <f>L11/$C$2</f>
        <v>0.6270627062706271</v>
      </c>
      <c r="N11" s="6"/>
      <c r="O11" s="6"/>
    </row>
    <row r="12" spans="1:29" x14ac:dyDescent="0.3">
      <c r="A12">
        <v>1</v>
      </c>
      <c r="B12">
        <v>1</v>
      </c>
      <c r="C12" s="8">
        <v>42808</v>
      </c>
      <c r="D12" s="6">
        <v>1934.04</v>
      </c>
      <c r="E12" s="6"/>
      <c r="F12" s="5">
        <v>177926</v>
      </c>
      <c r="G12" s="5">
        <f>D12-H12-I12</f>
        <v>309.20937499999991</v>
      </c>
      <c r="H12" s="5">
        <f>F12*$C$4/12</f>
        <v>611.62062500000002</v>
      </c>
      <c r="I12" s="6">
        <v>1013.21</v>
      </c>
      <c r="J12" s="5">
        <f>J11+I12</f>
        <v>1013.21</v>
      </c>
      <c r="K12" s="6"/>
      <c r="L12" s="5">
        <f>F12+H12+I12-D12-E12</f>
        <v>177616.79062499999</v>
      </c>
      <c r="M12" s="9">
        <f t="shared" ref="M12:M75" si="0">L12/$C$2</f>
        <v>0.58619402846534652</v>
      </c>
      <c r="N12" s="6"/>
      <c r="O12" s="6"/>
    </row>
    <row r="13" spans="1:29" x14ac:dyDescent="0.3">
      <c r="B13">
        <f>B12+1</f>
        <v>2</v>
      </c>
      <c r="C13" s="8">
        <f>C12+30.5</f>
        <v>42838.5</v>
      </c>
      <c r="D13" s="6">
        <v>1914</v>
      </c>
      <c r="E13" s="6"/>
      <c r="F13" s="5">
        <f>L12</f>
        <v>177616.79062499999</v>
      </c>
      <c r="G13" s="5">
        <f t="shared" ref="G13:G76" si="1">D13-H13-I13</f>
        <v>290.23228222656235</v>
      </c>
      <c r="H13" s="5">
        <f>F13*$C$4/12</f>
        <v>610.5577177734375</v>
      </c>
      <c r="I13" s="6">
        <v>1013.21</v>
      </c>
      <c r="J13" s="5">
        <f>J12+I13-N13-K13</f>
        <v>2026.42</v>
      </c>
      <c r="K13" s="6"/>
      <c r="L13" s="5">
        <f>F13+H13+I13-D13-E13</f>
        <v>177326.55834277341</v>
      </c>
      <c r="M13" s="9">
        <f t="shared" si="0"/>
        <v>0.58523616614776708</v>
      </c>
      <c r="N13" s="6"/>
      <c r="O13" s="6"/>
      <c r="U13" s="5"/>
      <c r="V13" s="5"/>
      <c r="W13" s="10"/>
    </row>
    <row r="14" spans="1:29" x14ac:dyDescent="0.3">
      <c r="B14">
        <f t="shared" ref="B14:B77" si="2">B13+1</f>
        <v>3</v>
      </c>
      <c r="C14" s="8">
        <f t="shared" ref="C14:C77" si="3">C13+30.5</f>
        <v>42869</v>
      </c>
      <c r="D14" s="6">
        <v>1914</v>
      </c>
      <c r="E14" s="6"/>
      <c r="F14" s="5">
        <f>L13</f>
        <v>177326.55834277341</v>
      </c>
      <c r="G14" s="5">
        <f t="shared" si="1"/>
        <v>291.22995569671639</v>
      </c>
      <c r="H14" s="5">
        <f t="shared" ref="H14:H77" si="4">F14*$C$4/12</f>
        <v>609.56004430328369</v>
      </c>
      <c r="I14" s="6">
        <v>1013.21</v>
      </c>
      <c r="J14" s="5">
        <f>J13+I14-K14</f>
        <v>3039.63</v>
      </c>
      <c r="K14" s="6"/>
      <c r="L14" s="5">
        <f t="shared" ref="L14:L76" si="5">F14+H14+I14-D14-E14</f>
        <v>177035.32838707668</v>
      </c>
      <c r="M14" s="9">
        <f t="shared" si="0"/>
        <v>0.58427501117847092</v>
      </c>
      <c r="N14" s="6"/>
      <c r="O14" s="6"/>
      <c r="U14" s="5"/>
      <c r="V14" s="5"/>
      <c r="W14" s="10"/>
      <c r="AA14" s="5"/>
      <c r="AB14" s="5"/>
      <c r="AC14" s="10"/>
    </row>
    <row r="15" spans="1:29" x14ac:dyDescent="0.3">
      <c r="B15">
        <f t="shared" si="2"/>
        <v>4</v>
      </c>
      <c r="C15" s="8">
        <f t="shared" si="3"/>
        <v>42899.5</v>
      </c>
      <c r="D15" s="6">
        <v>1914</v>
      </c>
      <c r="E15" s="6"/>
      <c r="F15" s="5">
        <f t="shared" ref="F15:F78" si="6">L14</f>
        <v>177035.32838707668</v>
      </c>
      <c r="G15" s="5">
        <f t="shared" si="1"/>
        <v>292.23105866942387</v>
      </c>
      <c r="H15" s="5">
        <f t="shared" si="4"/>
        <v>608.55894133057609</v>
      </c>
      <c r="I15" s="6">
        <v>1013.21</v>
      </c>
      <c r="J15" s="5">
        <f t="shared" ref="J15:J48" si="7">J14+I15-K15</f>
        <v>4052.84</v>
      </c>
      <c r="K15" s="6"/>
      <c r="L15" s="5">
        <f t="shared" si="5"/>
        <v>176743.09732840725</v>
      </c>
      <c r="M15" s="9">
        <f t="shared" si="0"/>
        <v>0.58331055223896788</v>
      </c>
      <c r="N15" s="6"/>
      <c r="O15" s="6"/>
      <c r="S15" s="8"/>
      <c r="T15" s="5"/>
      <c r="U15" s="5"/>
      <c r="V15" s="5"/>
      <c r="W15" s="10"/>
      <c r="Y15" s="8"/>
      <c r="Z15" s="5"/>
      <c r="AA15" s="5"/>
      <c r="AB15" s="5"/>
      <c r="AC15" s="10"/>
    </row>
    <row r="16" spans="1:29" x14ac:dyDescent="0.3">
      <c r="B16">
        <f t="shared" si="2"/>
        <v>5</v>
      </c>
      <c r="C16" s="8">
        <f t="shared" si="3"/>
        <v>42930</v>
      </c>
      <c r="D16" s="6">
        <v>1914</v>
      </c>
      <c r="E16" s="6"/>
      <c r="F16" s="5">
        <f t="shared" si="6"/>
        <v>176743.09732840725</v>
      </c>
      <c r="G16" s="5">
        <f t="shared" si="1"/>
        <v>293.23560293360015</v>
      </c>
      <c r="H16" s="5">
        <f t="shared" si="4"/>
        <v>607.55439706639993</v>
      </c>
      <c r="I16" s="6">
        <v>1013.21</v>
      </c>
      <c r="J16" s="5">
        <f t="shared" si="7"/>
        <v>5066.05</v>
      </c>
      <c r="K16" s="6"/>
      <c r="L16" s="5">
        <f t="shared" si="5"/>
        <v>176449.86172547363</v>
      </c>
      <c r="M16" s="9">
        <f t="shared" si="0"/>
        <v>0.58234277797186018</v>
      </c>
      <c r="N16" s="6"/>
      <c r="O16" s="6"/>
      <c r="S16" s="8"/>
      <c r="T16" s="5"/>
      <c r="U16" s="5"/>
      <c r="V16" s="5"/>
      <c r="W16" s="10"/>
      <c r="Y16" s="8"/>
      <c r="Z16" s="5"/>
      <c r="AA16" s="5"/>
      <c r="AB16" s="5"/>
      <c r="AC16" s="10"/>
    </row>
    <row r="17" spans="1:29" x14ac:dyDescent="0.3">
      <c r="B17">
        <f t="shared" si="2"/>
        <v>6</v>
      </c>
      <c r="C17" s="8">
        <f t="shared" si="3"/>
        <v>42960.5</v>
      </c>
      <c r="D17" s="6">
        <v>1914</v>
      </c>
      <c r="E17" s="6"/>
      <c r="F17" s="5">
        <f t="shared" si="6"/>
        <v>176449.86172547363</v>
      </c>
      <c r="G17" s="5">
        <f t="shared" si="1"/>
        <v>294.24360031868446</v>
      </c>
      <c r="H17" s="5">
        <f t="shared" si="4"/>
        <v>606.54639968131562</v>
      </c>
      <c r="I17" s="6">
        <v>1013.21</v>
      </c>
      <c r="J17" s="5">
        <f t="shared" si="7"/>
        <v>6079.26</v>
      </c>
      <c r="K17" s="6"/>
      <c r="L17" s="5">
        <f t="shared" si="5"/>
        <v>176155.61812515493</v>
      </c>
      <c r="M17" s="9">
        <f t="shared" si="0"/>
        <v>0.58137167698070935</v>
      </c>
      <c r="N17" s="6"/>
      <c r="O17" s="6"/>
      <c r="S17" s="8"/>
      <c r="T17" s="5"/>
      <c r="U17" s="5"/>
      <c r="V17" s="5"/>
      <c r="W17" s="10"/>
      <c r="Y17" s="8"/>
      <c r="Z17" s="5"/>
      <c r="AA17" s="5"/>
      <c r="AB17" s="5"/>
      <c r="AC17" s="10"/>
    </row>
    <row r="18" spans="1:29" x14ac:dyDescent="0.3">
      <c r="B18">
        <f t="shared" si="2"/>
        <v>7</v>
      </c>
      <c r="C18" s="8">
        <f t="shared" si="3"/>
        <v>42991</v>
      </c>
      <c r="D18" s="6">
        <v>1914</v>
      </c>
      <c r="E18" s="6"/>
      <c r="F18" s="5">
        <f t="shared" si="6"/>
        <v>176155.61812515493</v>
      </c>
      <c r="G18" s="5">
        <f t="shared" si="1"/>
        <v>295.25506269478001</v>
      </c>
      <c r="H18" s="5">
        <f t="shared" si="4"/>
        <v>605.53493730522007</v>
      </c>
      <c r="I18" s="6">
        <v>1013.21</v>
      </c>
      <c r="J18" s="5">
        <f t="shared" si="7"/>
        <v>7092.47</v>
      </c>
      <c r="K18" s="6"/>
      <c r="L18" s="5">
        <f t="shared" si="5"/>
        <v>175860.36306246015</v>
      </c>
      <c r="M18" s="9">
        <f t="shared" si="0"/>
        <v>0.58039723782990149</v>
      </c>
      <c r="N18" s="6"/>
      <c r="O18" s="6"/>
      <c r="S18" s="8"/>
      <c r="T18" s="5"/>
      <c r="U18" s="5"/>
      <c r="V18" s="5"/>
      <c r="W18" s="10"/>
      <c r="Y18" s="8"/>
      <c r="Z18" s="5"/>
      <c r="AA18" s="5"/>
      <c r="AB18" s="5"/>
      <c r="AC18" s="10"/>
    </row>
    <row r="19" spans="1:29" x14ac:dyDescent="0.3">
      <c r="B19">
        <f t="shared" si="2"/>
        <v>8</v>
      </c>
      <c r="C19" s="8">
        <f t="shared" si="3"/>
        <v>43021.5</v>
      </c>
      <c r="D19" s="6">
        <v>1914</v>
      </c>
      <c r="E19" s="6"/>
      <c r="F19" s="5">
        <f t="shared" si="6"/>
        <v>175860.36306246015</v>
      </c>
      <c r="G19" s="5">
        <f t="shared" si="1"/>
        <v>296.27000197279312</v>
      </c>
      <c r="H19" s="5">
        <f t="shared" si="4"/>
        <v>604.51999802720673</v>
      </c>
      <c r="I19" s="6">
        <v>1013.21</v>
      </c>
      <c r="J19" s="5">
        <f t="shared" si="7"/>
        <v>8105.68</v>
      </c>
      <c r="K19" s="6"/>
      <c r="L19" s="5">
        <f t="shared" si="5"/>
        <v>175564.09306048736</v>
      </c>
      <c r="M19" s="9">
        <f t="shared" si="0"/>
        <v>0.5794194490445127</v>
      </c>
      <c r="N19" s="6"/>
      <c r="O19" s="6"/>
      <c r="S19" s="8"/>
      <c r="T19" s="5"/>
      <c r="U19" s="5"/>
      <c r="V19" s="5"/>
      <c r="W19" s="10"/>
      <c r="Y19" s="8"/>
      <c r="Z19" s="5"/>
      <c r="AA19" s="5"/>
      <c r="AB19" s="5"/>
      <c r="AC19" s="10"/>
    </row>
    <row r="20" spans="1:29" x14ac:dyDescent="0.3">
      <c r="B20">
        <f t="shared" si="2"/>
        <v>9</v>
      </c>
      <c r="C20" s="8">
        <f t="shared" si="3"/>
        <v>43052</v>
      </c>
      <c r="D20" s="6">
        <v>1914</v>
      </c>
      <c r="E20" s="6"/>
      <c r="F20" s="5">
        <f t="shared" si="6"/>
        <v>175564.09306048736</v>
      </c>
      <c r="G20" s="5">
        <f t="shared" si="1"/>
        <v>297.28843010457467</v>
      </c>
      <c r="H20" s="5">
        <f t="shared" si="4"/>
        <v>603.50156989542529</v>
      </c>
      <c r="I20" s="6">
        <v>1013.21</v>
      </c>
      <c r="J20" s="5">
        <f t="shared" si="7"/>
        <v>9118.89</v>
      </c>
      <c r="K20" s="6"/>
      <c r="L20" s="5">
        <f t="shared" si="5"/>
        <v>175266.80463038277</v>
      </c>
      <c r="M20" s="9">
        <f t="shared" si="0"/>
        <v>0.57843829911017419</v>
      </c>
      <c r="N20" s="6"/>
      <c r="O20" s="6"/>
      <c r="S20" s="8"/>
      <c r="T20" s="5"/>
      <c r="U20" s="5"/>
      <c r="V20" s="5"/>
      <c r="W20" s="10"/>
      <c r="Y20" s="8"/>
      <c r="Z20" s="5"/>
      <c r="AA20" s="5"/>
      <c r="AB20" s="5"/>
      <c r="AC20" s="10"/>
    </row>
    <row r="21" spans="1:29" x14ac:dyDescent="0.3">
      <c r="B21">
        <f t="shared" si="2"/>
        <v>10</v>
      </c>
      <c r="C21" s="8">
        <f t="shared" si="3"/>
        <v>43082.5</v>
      </c>
      <c r="D21" s="6">
        <v>1914</v>
      </c>
      <c r="E21" s="6"/>
      <c r="F21" s="5">
        <f t="shared" si="6"/>
        <v>175266.80463038277</v>
      </c>
      <c r="G21" s="5">
        <f t="shared" si="1"/>
        <v>298.31035908305921</v>
      </c>
      <c r="H21" s="5">
        <f t="shared" si="4"/>
        <v>602.47964091694087</v>
      </c>
      <c r="I21" s="6">
        <v>1013.21</v>
      </c>
      <c r="J21" s="5">
        <f t="shared" si="7"/>
        <v>10132.099999999999</v>
      </c>
      <c r="K21" s="6"/>
      <c r="L21" s="5">
        <f t="shared" si="5"/>
        <v>174968.49427129971</v>
      </c>
      <c r="M21" s="9">
        <f t="shared" si="0"/>
        <v>0.57745377647293639</v>
      </c>
      <c r="N21" s="6"/>
      <c r="O21" s="6"/>
      <c r="S21" s="8"/>
      <c r="T21" s="5"/>
      <c r="U21" s="5"/>
      <c r="V21" s="5"/>
      <c r="W21" s="10"/>
      <c r="Y21" s="8"/>
      <c r="Z21" s="5"/>
      <c r="AA21" s="5"/>
      <c r="AB21" s="5"/>
      <c r="AC21" s="10"/>
    </row>
    <row r="22" spans="1:29" x14ac:dyDescent="0.3">
      <c r="B22">
        <f t="shared" si="2"/>
        <v>11</v>
      </c>
      <c r="C22" s="8">
        <f t="shared" si="3"/>
        <v>43113</v>
      </c>
      <c r="D22" s="6">
        <v>1914</v>
      </c>
      <c r="E22" s="6"/>
      <c r="F22" s="5">
        <f t="shared" si="6"/>
        <v>174968.49427129971</v>
      </c>
      <c r="G22" s="5">
        <f t="shared" si="1"/>
        <v>299.33580094240733</v>
      </c>
      <c r="H22" s="5">
        <f t="shared" si="4"/>
        <v>601.45419905759275</v>
      </c>
      <c r="I22" s="6">
        <v>1013.21</v>
      </c>
      <c r="J22" s="5">
        <f>J21+I22-K22-O22</f>
        <v>11145.309999999998</v>
      </c>
      <c r="K22" s="6"/>
      <c r="L22" s="5">
        <f t="shared" si="5"/>
        <v>174669.1584703573</v>
      </c>
      <c r="M22" s="9">
        <f t="shared" si="0"/>
        <v>0.57646586953913304</v>
      </c>
      <c r="N22" s="6"/>
      <c r="O22" s="6"/>
      <c r="S22" s="8"/>
      <c r="T22" s="5"/>
      <c r="U22" s="5"/>
      <c r="V22" s="5"/>
      <c r="W22" s="10"/>
      <c r="Y22" s="8"/>
      <c r="Z22" s="5"/>
      <c r="AA22" s="5"/>
      <c r="AB22" s="5"/>
      <c r="AC22" s="10"/>
    </row>
    <row r="23" spans="1:29" x14ac:dyDescent="0.3">
      <c r="B23">
        <f t="shared" si="2"/>
        <v>12</v>
      </c>
      <c r="C23" s="8">
        <f t="shared" si="3"/>
        <v>43143.5</v>
      </c>
      <c r="D23" s="6">
        <v>1914</v>
      </c>
      <c r="E23" s="6"/>
      <c r="F23" s="5">
        <f t="shared" si="6"/>
        <v>174669.1584703573</v>
      </c>
      <c r="G23" s="5">
        <f t="shared" si="1"/>
        <v>300.36476775814663</v>
      </c>
      <c r="H23" s="5">
        <f t="shared" si="4"/>
        <v>600.42523224185322</v>
      </c>
      <c r="I23" s="6">
        <v>1013.21</v>
      </c>
      <c r="J23" s="5">
        <f>J22+I23-K23-5075.59</f>
        <v>7082.9299999999967</v>
      </c>
      <c r="K23" s="6"/>
      <c r="L23" s="5">
        <f t="shared" si="5"/>
        <v>174368.79370259916</v>
      </c>
      <c r="M23" s="9">
        <f t="shared" si="0"/>
        <v>0.57547456667524477</v>
      </c>
      <c r="N23" s="6"/>
      <c r="O23" s="6"/>
      <c r="S23" s="8"/>
      <c r="T23" s="5"/>
      <c r="U23" s="5"/>
      <c r="V23" s="5"/>
      <c r="W23" s="10"/>
      <c r="Y23" s="8"/>
      <c r="Z23" s="5"/>
      <c r="AA23" s="5"/>
      <c r="AB23" s="5"/>
      <c r="AC23" s="10"/>
    </row>
    <row r="24" spans="1:29" x14ac:dyDescent="0.3">
      <c r="A24">
        <v>2</v>
      </c>
      <c r="B24">
        <f t="shared" si="2"/>
        <v>13</v>
      </c>
      <c r="C24" s="8">
        <f t="shared" si="3"/>
        <v>43174</v>
      </c>
      <c r="D24" s="6">
        <v>1914</v>
      </c>
      <c r="E24" s="6"/>
      <c r="F24" s="5">
        <f t="shared" si="6"/>
        <v>174368.79370259916</v>
      </c>
      <c r="G24" s="5">
        <f t="shared" si="1"/>
        <v>301.39727164731539</v>
      </c>
      <c r="H24" s="5">
        <f t="shared" si="4"/>
        <v>599.39272835268468</v>
      </c>
      <c r="I24" s="6">
        <v>1013.21</v>
      </c>
      <c r="J24" s="5">
        <f t="shared" si="7"/>
        <v>8096.1399999999967</v>
      </c>
      <c r="K24" s="6"/>
      <c r="L24" s="5">
        <f t="shared" si="5"/>
        <v>174067.39643095183</v>
      </c>
      <c r="M24" s="9">
        <f t="shared" si="0"/>
        <v>0.57447985620776187</v>
      </c>
      <c r="N24" s="6"/>
      <c r="O24" s="6"/>
      <c r="S24" s="8"/>
      <c r="T24" s="5"/>
      <c r="U24" s="5"/>
      <c r="V24" s="5"/>
      <c r="W24" s="10"/>
      <c r="Y24" s="8"/>
      <c r="Z24" s="5"/>
      <c r="AA24" s="5"/>
      <c r="AB24" s="5"/>
      <c r="AC24" s="10"/>
    </row>
    <row r="25" spans="1:29" x14ac:dyDescent="0.3">
      <c r="B25">
        <f t="shared" si="2"/>
        <v>14</v>
      </c>
      <c r="C25" s="8">
        <f t="shared" si="3"/>
        <v>43204.5</v>
      </c>
      <c r="D25" s="6">
        <v>1914</v>
      </c>
      <c r="E25" s="6"/>
      <c r="F25" s="5">
        <f t="shared" si="6"/>
        <v>174067.39643095183</v>
      </c>
      <c r="G25" s="5">
        <f t="shared" si="1"/>
        <v>302.43332476860314</v>
      </c>
      <c r="H25" s="5">
        <f t="shared" si="4"/>
        <v>598.35667523139693</v>
      </c>
      <c r="I25" s="6">
        <v>1013.21</v>
      </c>
      <c r="J25" s="5">
        <f>J24+I25-K25-N25</f>
        <v>9109.3499999999967</v>
      </c>
      <c r="K25" s="6"/>
      <c r="L25" s="5">
        <f t="shared" si="5"/>
        <v>173764.96310618322</v>
      </c>
      <c r="M25" s="9">
        <f t="shared" si="0"/>
        <v>0.57348172642304696</v>
      </c>
      <c r="N25" s="6"/>
      <c r="O25" s="6"/>
      <c r="S25" s="8"/>
      <c r="T25" s="5"/>
      <c r="U25" s="5"/>
      <c r="V25" s="5"/>
      <c r="W25" s="10"/>
      <c r="Y25" s="8"/>
      <c r="Z25" s="5"/>
      <c r="AA25" s="5"/>
      <c r="AB25" s="5"/>
      <c r="AC25" s="10"/>
    </row>
    <row r="26" spans="1:29" x14ac:dyDescent="0.3">
      <c r="B26">
        <f t="shared" si="2"/>
        <v>15</v>
      </c>
      <c r="C26" s="8">
        <f t="shared" si="3"/>
        <v>43235</v>
      </c>
      <c r="D26" s="6">
        <v>1914</v>
      </c>
      <c r="E26" s="6"/>
      <c r="F26" s="5">
        <f t="shared" si="6"/>
        <v>173764.96310618322</v>
      </c>
      <c r="G26" s="5">
        <f t="shared" si="1"/>
        <v>303.47293932249522</v>
      </c>
      <c r="H26" s="5">
        <f t="shared" si="4"/>
        <v>597.31706067750486</v>
      </c>
      <c r="I26" s="6">
        <v>1013.21</v>
      </c>
      <c r="J26" s="5">
        <f t="shared" si="7"/>
        <v>10122.559999999998</v>
      </c>
      <c r="K26" s="6"/>
      <c r="L26" s="5">
        <f t="shared" si="5"/>
        <v>173461.49016686072</v>
      </c>
      <c r="M26" s="9">
        <f t="shared" si="0"/>
        <v>0.57248016556719705</v>
      </c>
      <c r="N26" s="6"/>
      <c r="O26" s="6"/>
      <c r="S26" s="8"/>
      <c r="T26" s="5"/>
      <c r="U26" s="5"/>
      <c r="V26" s="5"/>
      <c r="W26" s="10"/>
      <c r="Y26" s="8"/>
      <c r="Z26" s="5"/>
      <c r="AA26" s="5"/>
      <c r="AB26" s="5"/>
      <c r="AC26" s="10"/>
    </row>
    <row r="27" spans="1:29" x14ac:dyDescent="0.3">
      <c r="B27">
        <f t="shared" si="2"/>
        <v>16</v>
      </c>
      <c r="C27" s="8">
        <f t="shared" si="3"/>
        <v>43265.5</v>
      </c>
      <c r="D27" s="6">
        <v>1914</v>
      </c>
      <c r="E27" s="6"/>
      <c r="F27" s="5">
        <f t="shared" si="6"/>
        <v>173461.49016686072</v>
      </c>
      <c r="G27" s="5">
        <f t="shared" si="1"/>
        <v>304.51612755141605</v>
      </c>
      <c r="H27" s="5">
        <f t="shared" si="4"/>
        <v>596.2738724485838</v>
      </c>
      <c r="I27" s="6">
        <v>1013.21</v>
      </c>
      <c r="J27" s="5">
        <f t="shared" si="7"/>
        <v>11135.769999999997</v>
      </c>
      <c r="K27" s="6"/>
      <c r="L27" s="5">
        <f t="shared" si="5"/>
        <v>173156.97403930931</v>
      </c>
      <c r="M27" s="9">
        <f t="shared" si="0"/>
        <v>0.5714751618459053</v>
      </c>
      <c r="N27" s="6"/>
      <c r="O27" s="6"/>
      <c r="S27" s="8"/>
      <c r="T27" s="5"/>
      <c r="U27" s="5"/>
      <c r="V27" s="5"/>
      <c r="W27" s="10"/>
      <c r="Y27" s="8"/>
      <c r="Z27" s="5"/>
      <c r="AA27" s="5"/>
      <c r="AB27" s="5"/>
      <c r="AC27" s="10"/>
    </row>
    <row r="28" spans="1:29" x14ac:dyDescent="0.3">
      <c r="B28">
        <f t="shared" si="2"/>
        <v>17</v>
      </c>
      <c r="C28" s="8">
        <f t="shared" si="3"/>
        <v>43296</v>
      </c>
      <c r="D28" s="6">
        <v>1914</v>
      </c>
      <c r="E28" s="6"/>
      <c r="F28" s="5">
        <f t="shared" si="6"/>
        <v>173156.97403930931</v>
      </c>
      <c r="G28" s="5">
        <f t="shared" si="1"/>
        <v>305.56290173987418</v>
      </c>
      <c r="H28" s="5">
        <f t="shared" si="4"/>
        <v>595.22709826012579</v>
      </c>
      <c r="I28" s="6">
        <v>1013.21</v>
      </c>
      <c r="J28" s="5">
        <f t="shared" si="7"/>
        <v>12148.979999999996</v>
      </c>
      <c r="K28" s="6"/>
      <c r="L28" s="5">
        <f t="shared" si="5"/>
        <v>172851.41113756943</v>
      </c>
      <c r="M28" s="9">
        <f t="shared" si="0"/>
        <v>0.5704667034243216</v>
      </c>
      <c r="N28" s="6"/>
      <c r="O28" s="6"/>
      <c r="S28" s="8"/>
      <c r="T28" s="5"/>
      <c r="U28" s="5"/>
      <c r="V28" s="5"/>
      <c r="W28" s="10"/>
      <c r="Y28" s="8"/>
      <c r="Z28" s="5"/>
      <c r="AA28" s="5"/>
      <c r="AB28" s="5"/>
      <c r="AC28" s="10"/>
    </row>
    <row r="29" spans="1:29" x14ac:dyDescent="0.3">
      <c r="B29">
        <f t="shared" si="2"/>
        <v>18</v>
      </c>
      <c r="C29" s="8">
        <f t="shared" si="3"/>
        <v>43326.5</v>
      </c>
      <c r="D29" s="6">
        <v>1914</v>
      </c>
      <c r="E29" s="6"/>
      <c r="F29" s="5">
        <f t="shared" si="6"/>
        <v>172851.41113756943</v>
      </c>
      <c r="G29" s="5">
        <f t="shared" si="1"/>
        <v>306.6132742146051</v>
      </c>
      <c r="H29" s="5">
        <f t="shared" si="4"/>
        <v>594.17672578539498</v>
      </c>
      <c r="I29" s="6">
        <v>1013.21</v>
      </c>
      <c r="J29" s="5">
        <f t="shared" si="7"/>
        <v>13162.189999999995</v>
      </c>
      <c r="K29" s="6"/>
      <c r="L29" s="5">
        <f t="shared" si="5"/>
        <v>172544.79786335482</v>
      </c>
      <c r="M29" s="9">
        <f t="shared" si="0"/>
        <v>0.56945477842691361</v>
      </c>
      <c r="N29" s="6"/>
      <c r="O29" s="6"/>
      <c r="S29" s="8"/>
      <c r="T29" s="5"/>
      <c r="U29" s="5"/>
      <c r="V29" s="5"/>
      <c r="W29" s="10"/>
      <c r="Y29" s="8"/>
      <c r="Z29" s="5"/>
      <c r="AA29" s="5"/>
      <c r="AB29" s="5"/>
      <c r="AC29" s="10"/>
    </row>
    <row r="30" spans="1:29" x14ac:dyDescent="0.3">
      <c r="B30">
        <f t="shared" si="2"/>
        <v>19</v>
      </c>
      <c r="C30" s="8">
        <f t="shared" si="3"/>
        <v>43357</v>
      </c>
      <c r="D30" s="6">
        <v>1914</v>
      </c>
      <c r="E30" s="6"/>
      <c r="F30" s="5">
        <f t="shared" si="6"/>
        <v>172544.79786335482</v>
      </c>
      <c r="G30" s="5">
        <f t="shared" si="1"/>
        <v>307.66725734471765</v>
      </c>
      <c r="H30" s="5">
        <f t="shared" si="4"/>
        <v>593.1227426552822</v>
      </c>
      <c r="I30" s="6">
        <v>1013.21</v>
      </c>
      <c r="J30" s="5">
        <f t="shared" si="7"/>
        <v>14175.399999999994</v>
      </c>
      <c r="K30" s="6"/>
      <c r="L30" s="5">
        <f t="shared" si="5"/>
        <v>172237.13060601009</v>
      </c>
      <c r="M30" s="9">
        <f t="shared" si="0"/>
        <v>0.56843937493732699</v>
      </c>
      <c r="N30" s="6"/>
      <c r="O30" s="6"/>
      <c r="S30" s="8"/>
      <c r="T30" s="5"/>
      <c r="U30" s="5"/>
      <c r="V30" s="5"/>
      <c r="W30" s="10"/>
      <c r="Y30" s="8"/>
      <c r="Z30" s="5"/>
      <c r="AA30" s="5"/>
      <c r="AB30" s="5"/>
      <c r="AC30" s="10"/>
    </row>
    <row r="31" spans="1:29" x14ac:dyDescent="0.3">
      <c r="B31">
        <f t="shared" si="2"/>
        <v>20</v>
      </c>
      <c r="C31" s="8">
        <f t="shared" si="3"/>
        <v>43387.5</v>
      </c>
      <c r="D31" s="6">
        <v>1914</v>
      </c>
      <c r="E31" s="6"/>
      <c r="F31" s="5">
        <f t="shared" si="6"/>
        <v>172237.13060601009</v>
      </c>
      <c r="G31" s="5">
        <f t="shared" si="1"/>
        <v>308.72486354184025</v>
      </c>
      <c r="H31" s="5">
        <f t="shared" si="4"/>
        <v>592.06513645815971</v>
      </c>
      <c r="I31" s="6">
        <v>1013.21</v>
      </c>
      <c r="J31" s="5">
        <f t="shared" si="7"/>
        <v>15188.609999999993</v>
      </c>
      <c r="K31" s="6"/>
      <c r="L31" s="5">
        <f t="shared" si="5"/>
        <v>171928.40574246825</v>
      </c>
      <c r="M31" s="9">
        <f t="shared" si="0"/>
        <v>0.56742048099824505</v>
      </c>
      <c r="N31" s="6"/>
      <c r="O31" s="6"/>
      <c r="S31" s="8"/>
      <c r="T31" s="5"/>
      <c r="U31" s="5"/>
      <c r="V31" s="5"/>
      <c r="W31" s="10"/>
      <c r="Y31" s="8"/>
      <c r="Z31" s="5"/>
      <c r="AA31" s="5"/>
      <c r="AB31" s="5"/>
      <c r="AC31" s="10"/>
    </row>
    <row r="32" spans="1:29" x14ac:dyDescent="0.3">
      <c r="B32">
        <f t="shared" si="2"/>
        <v>21</v>
      </c>
      <c r="C32" s="8">
        <f t="shared" si="3"/>
        <v>43418</v>
      </c>
      <c r="D32" s="6">
        <v>1914</v>
      </c>
      <c r="E32" s="6"/>
      <c r="F32" s="5">
        <f t="shared" si="6"/>
        <v>171928.40574246825</v>
      </c>
      <c r="G32" s="5">
        <f t="shared" si="1"/>
        <v>309.78610526026523</v>
      </c>
      <c r="H32" s="5">
        <f t="shared" si="4"/>
        <v>591.00389473973462</v>
      </c>
      <c r="I32" s="6">
        <v>1013.21</v>
      </c>
      <c r="J32" s="5">
        <f t="shared" si="7"/>
        <v>16201.819999999992</v>
      </c>
      <c r="K32" s="6"/>
      <c r="L32" s="5">
        <f t="shared" si="5"/>
        <v>171618.61963720797</v>
      </c>
      <c r="M32" s="9">
        <f t="shared" si="0"/>
        <v>0.56639808461124741</v>
      </c>
      <c r="N32" s="6"/>
      <c r="O32" s="6"/>
      <c r="S32" s="8"/>
      <c r="T32" s="5"/>
      <c r="U32" s="5"/>
      <c r="V32" s="5"/>
      <c r="W32" s="10"/>
      <c r="Y32" s="8"/>
      <c r="Z32" s="5"/>
      <c r="AA32" s="5"/>
      <c r="AB32" s="5"/>
      <c r="AC32" s="10"/>
    </row>
    <row r="33" spans="1:29" x14ac:dyDescent="0.3">
      <c r="B33">
        <f t="shared" si="2"/>
        <v>22</v>
      </c>
      <c r="C33" s="8">
        <f t="shared" si="3"/>
        <v>43448.5</v>
      </c>
      <c r="D33" s="6">
        <v>1914</v>
      </c>
      <c r="E33" s="6"/>
      <c r="F33" s="5">
        <f t="shared" si="6"/>
        <v>171618.61963720797</v>
      </c>
      <c r="G33" s="5">
        <f t="shared" si="1"/>
        <v>310.85099499709759</v>
      </c>
      <c r="H33" s="5">
        <f t="shared" si="4"/>
        <v>589.93900500290249</v>
      </c>
      <c r="I33" s="6">
        <v>1013.21</v>
      </c>
      <c r="J33" s="5">
        <f t="shared" si="7"/>
        <v>17215.029999999992</v>
      </c>
      <c r="K33" s="6"/>
      <c r="L33" s="5">
        <f t="shared" si="5"/>
        <v>171307.76864221087</v>
      </c>
      <c r="M33" s="9">
        <f t="shared" si="0"/>
        <v>0.56537217373666948</v>
      </c>
      <c r="N33" s="6"/>
      <c r="O33" s="6"/>
      <c r="S33" s="8"/>
      <c r="T33" s="5"/>
      <c r="U33" s="5"/>
      <c r="V33" s="5"/>
      <c r="W33" s="10"/>
      <c r="Y33" s="8"/>
      <c r="Z33" s="5"/>
      <c r="AA33" s="5"/>
      <c r="AB33" s="5"/>
      <c r="AC33" s="10"/>
    </row>
    <row r="34" spans="1:29" x14ac:dyDescent="0.3">
      <c r="B34">
        <f t="shared" si="2"/>
        <v>23</v>
      </c>
      <c r="C34" s="8">
        <f t="shared" si="3"/>
        <v>43479</v>
      </c>
      <c r="D34" s="6">
        <v>1914</v>
      </c>
      <c r="E34" s="6"/>
      <c r="F34" s="5">
        <f t="shared" si="6"/>
        <v>171307.76864221087</v>
      </c>
      <c r="G34" s="5">
        <f t="shared" si="1"/>
        <v>311.91954529240002</v>
      </c>
      <c r="H34" s="5">
        <f t="shared" si="4"/>
        <v>588.87045470759983</v>
      </c>
      <c r="I34" s="6">
        <v>1013.21</v>
      </c>
      <c r="J34" s="5">
        <f>J33+I34-K34-O34</f>
        <v>18228.239999999991</v>
      </c>
      <c r="K34" s="6"/>
      <c r="L34" s="5">
        <f t="shared" si="5"/>
        <v>170995.84909691845</v>
      </c>
      <c r="M34" s="9">
        <f t="shared" si="0"/>
        <v>0.56434273629346021</v>
      </c>
      <c r="N34" s="6"/>
      <c r="O34" s="6"/>
      <c r="S34" s="8"/>
      <c r="T34" s="5"/>
      <c r="U34" s="5"/>
      <c r="V34" s="5"/>
      <c r="W34" s="10"/>
      <c r="Y34" s="8"/>
      <c r="Z34" s="5"/>
      <c r="AA34" s="5"/>
      <c r="AB34" s="5"/>
      <c r="AC34" s="10"/>
    </row>
    <row r="35" spans="1:29" x14ac:dyDescent="0.3">
      <c r="B35">
        <f t="shared" si="2"/>
        <v>24</v>
      </c>
      <c r="C35" s="8">
        <f t="shared" si="3"/>
        <v>43509.5</v>
      </c>
      <c r="D35" s="6">
        <v>1914</v>
      </c>
      <c r="E35" s="6"/>
      <c r="F35" s="5">
        <f t="shared" si="6"/>
        <v>170995.84909691845</v>
      </c>
      <c r="G35" s="5">
        <f t="shared" si="1"/>
        <v>312.99176872934277</v>
      </c>
      <c r="H35" s="5">
        <f t="shared" si="4"/>
        <v>587.7982312706572</v>
      </c>
      <c r="I35" s="6">
        <v>1013.21</v>
      </c>
      <c r="J35" s="5">
        <f t="shared" si="7"/>
        <v>19241.44999999999</v>
      </c>
      <c r="K35" s="6"/>
      <c r="L35" s="5">
        <f t="shared" si="5"/>
        <v>170682.8573281891</v>
      </c>
      <c r="M35" s="9">
        <f t="shared" si="0"/>
        <v>0.56330976015903989</v>
      </c>
      <c r="N35" s="6"/>
      <c r="O35" s="6"/>
      <c r="S35" s="8"/>
      <c r="T35" s="5"/>
      <c r="U35" s="5"/>
      <c r="V35" s="5"/>
      <c r="W35" s="10"/>
      <c r="Y35" s="8"/>
      <c r="Z35" s="5"/>
      <c r="AA35" s="5"/>
      <c r="AB35" s="5"/>
      <c r="AC35" s="10"/>
    </row>
    <row r="36" spans="1:29" x14ac:dyDescent="0.3">
      <c r="A36">
        <v>3</v>
      </c>
      <c r="B36">
        <f t="shared" si="2"/>
        <v>25</v>
      </c>
      <c r="C36" s="8">
        <f t="shared" si="3"/>
        <v>43540</v>
      </c>
      <c r="D36" s="6">
        <v>1914</v>
      </c>
      <c r="E36" s="6"/>
      <c r="F36" s="5">
        <f t="shared" si="6"/>
        <v>170682.8573281891</v>
      </c>
      <c r="G36" s="5">
        <f t="shared" si="1"/>
        <v>314.06767793434983</v>
      </c>
      <c r="H36" s="5">
        <f t="shared" si="4"/>
        <v>586.72232206565002</v>
      </c>
      <c r="I36" s="6">
        <v>1013.21</v>
      </c>
      <c r="J36" s="5">
        <f t="shared" si="7"/>
        <v>20254.659999999989</v>
      </c>
      <c r="K36" s="6"/>
      <c r="L36" s="5">
        <f t="shared" si="5"/>
        <v>170368.78965025474</v>
      </c>
      <c r="M36" s="9">
        <f t="shared" si="0"/>
        <v>0.56227323316915756</v>
      </c>
      <c r="N36" s="6"/>
      <c r="O36" s="6"/>
      <c r="S36" s="8"/>
      <c r="T36" s="5"/>
      <c r="U36" s="5"/>
      <c r="V36" s="5"/>
      <c r="W36" s="10"/>
      <c r="Y36" s="8"/>
      <c r="Z36" s="5"/>
      <c r="AA36" s="5"/>
      <c r="AB36" s="5"/>
      <c r="AC36" s="10"/>
    </row>
    <row r="37" spans="1:29" x14ac:dyDescent="0.3">
      <c r="B37">
        <f t="shared" si="2"/>
        <v>26</v>
      </c>
      <c r="C37" s="8">
        <f t="shared" si="3"/>
        <v>43570.5</v>
      </c>
      <c r="D37" s="6">
        <v>1914</v>
      </c>
      <c r="E37" s="6"/>
      <c r="F37" s="5">
        <f t="shared" si="6"/>
        <v>170368.78965025474</v>
      </c>
      <c r="G37" s="5">
        <f t="shared" si="1"/>
        <v>315.14728557724925</v>
      </c>
      <c r="H37" s="5">
        <f t="shared" si="4"/>
        <v>585.64271442275071</v>
      </c>
      <c r="I37" s="6">
        <v>1013.21</v>
      </c>
      <c r="J37" s="5">
        <f>J36+I37-K37-N37</f>
        <v>21267.869999999988</v>
      </c>
      <c r="K37" s="6"/>
      <c r="L37" s="5">
        <f t="shared" si="5"/>
        <v>170053.64236467748</v>
      </c>
      <c r="M37" s="9">
        <f t="shared" si="0"/>
        <v>0.56123314311774741</v>
      </c>
      <c r="N37" s="6"/>
      <c r="O37" s="6"/>
      <c r="S37" s="8"/>
      <c r="T37" s="5"/>
      <c r="U37" s="5"/>
      <c r="V37" s="5"/>
      <c r="W37" s="10"/>
      <c r="Y37" s="8"/>
      <c r="Z37" s="5"/>
      <c r="AA37" s="5"/>
      <c r="AB37" s="5"/>
      <c r="AC37" s="10"/>
    </row>
    <row r="38" spans="1:29" x14ac:dyDescent="0.3">
      <c r="B38">
        <f t="shared" si="2"/>
        <v>27</v>
      </c>
      <c r="C38" s="8">
        <f t="shared" si="3"/>
        <v>43601</v>
      </c>
      <c r="D38" s="6">
        <v>1914</v>
      </c>
      <c r="E38" s="6"/>
      <c r="F38" s="5">
        <f t="shared" si="6"/>
        <v>170053.64236467748</v>
      </c>
      <c r="G38" s="5">
        <f t="shared" si="1"/>
        <v>316.23060437142112</v>
      </c>
      <c r="H38" s="5">
        <f t="shared" si="4"/>
        <v>584.55939562857884</v>
      </c>
      <c r="I38" s="6">
        <v>1013.21</v>
      </c>
      <c r="J38" s="5">
        <f t="shared" si="7"/>
        <v>22281.079999999987</v>
      </c>
      <c r="K38" s="6"/>
      <c r="L38" s="5">
        <f t="shared" si="5"/>
        <v>169737.41176030604</v>
      </c>
      <c r="M38" s="9">
        <f t="shared" si="0"/>
        <v>0.56018947775678563</v>
      </c>
      <c r="N38" s="6"/>
      <c r="O38" s="6"/>
      <c r="S38" s="8"/>
      <c r="T38" s="5"/>
      <c r="U38" s="5"/>
      <c r="V38" s="5"/>
      <c r="W38" s="10"/>
      <c r="Y38" s="8"/>
      <c r="Z38" s="5"/>
      <c r="AA38" s="5"/>
      <c r="AB38" s="5"/>
      <c r="AC38" s="10"/>
    </row>
    <row r="39" spans="1:29" x14ac:dyDescent="0.3">
      <c r="B39">
        <f t="shared" si="2"/>
        <v>28</v>
      </c>
      <c r="C39" s="8">
        <f t="shared" si="3"/>
        <v>43631.5</v>
      </c>
      <c r="D39" s="6">
        <v>1914</v>
      </c>
      <c r="E39" s="6"/>
      <c r="F39" s="5">
        <f t="shared" si="6"/>
        <v>169737.41176030604</v>
      </c>
      <c r="G39" s="5">
        <f t="shared" si="1"/>
        <v>317.31764707394791</v>
      </c>
      <c r="H39" s="5">
        <f t="shared" si="4"/>
        <v>583.47235292605205</v>
      </c>
      <c r="I39" s="6">
        <v>1013.21</v>
      </c>
      <c r="J39" s="5">
        <f t="shared" si="7"/>
        <v>23294.289999999986</v>
      </c>
      <c r="K39" s="6"/>
      <c r="L39" s="5">
        <f t="shared" si="5"/>
        <v>169420.0941132321</v>
      </c>
      <c r="M39" s="9">
        <f t="shared" si="0"/>
        <v>0.5591422247961455</v>
      </c>
      <c r="N39" s="6"/>
      <c r="O39" s="6"/>
      <c r="S39" s="8"/>
      <c r="T39" s="5"/>
      <c r="U39" s="5"/>
      <c r="V39" s="5"/>
      <c r="W39" s="10"/>
      <c r="Y39" s="8"/>
      <c r="Z39" s="5"/>
      <c r="AA39" s="5"/>
      <c r="AB39" s="5"/>
      <c r="AC39" s="10"/>
    </row>
    <row r="40" spans="1:29" x14ac:dyDescent="0.3">
      <c r="B40">
        <f t="shared" si="2"/>
        <v>29</v>
      </c>
      <c r="C40" s="8">
        <f t="shared" si="3"/>
        <v>43662</v>
      </c>
      <c r="D40" s="6">
        <v>1914</v>
      </c>
      <c r="E40" s="6"/>
      <c r="F40" s="5">
        <f t="shared" si="6"/>
        <v>169420.0941132321</v>
      </c>
      <c r="G40" s="5">
        <f t="shared" si="1"/>
        <v>318.40842648576472</v>
      </c>
      <c r="H40" s="5">
        <f t="shared" si="4"/>
        <v>582.38157351423536</v>
      </c>
      <c r="I40" s="6">
        <v>1013.21</v>
      </c>
      <c r="J40" s="5">
        <f t="shared" si="7"/>
        <v>24307.499999999985</v>
      </c>
      <c r="K40" s="6"/>
      <c r="L40" s="5">
        <f t="shared" si="5"/>
        <v>169101.68568674632</v>
      </c>
      <c r="M40" s="9">
        <f t="shared" si="0"/>
        <v>0.55809137190345326</v>
      </c>
      <c r="N40" s="6"/>
      <c r="O40" s="6"/>
      <c r="S40" s="8"/>
      <c r="T40" s="5"/>
      <c r="U40" s="5"/>
      <c r="V40" s="5"/>
      <c r="W40" s="10"/>
      <c r="Y40" s="8"/>
      <c r="Z40" s="5"/>
      <c r="AA40" s="5"/>
      <c r="AB40" s="5"/>
      <c r="AC40" s="10"/>
    </row>
    <row r="41" spans="1:29" x14ac:dyDescent="0.3">
      <c r="B41">
        <f t="shared" si="2"/>
        <v>30</v>
      </c>
      <c r="C41" s="8">
        <f t="shared" si="3"/>
        <v>43692.5</v>
      </c>
      <c r="D41" s="6">
        <v>1914</v>
      </c>
      <c r="E41" s="6"/>
      <c r="F41" s="5">
        <f t="shared" si="6"/>
        <v>169101.68568674632</v>
      </c>
      <c r="G41" s="5">
        <f t="shared" si="1"/>
        <v>319.50295545180961</v>
      </c>
      <c r="H41" s="5">
        <f t="shared" si="4"/>
        <v>581.28704454819047</v>
      </c>
      <c r="I41" s="6">
        <v>1013.21</v>
      </c>
      <c r="J41" s="5">
        <f t="shared" si="7"/>
        <v>25320.709999999985</v>
      </c>
      <c r="K41" s="6"/>
      <c r="L41" s="5">
        <f t="shared" si="5"/>
        <v>168782.18273129451</v>
      </c>
      <c r="M41" s="9">
        <f t="shared" si="0"/>
        <v>0.55703690670394224</v>
      </c>
      <c r="N41" s="6"/>
      <c r="O41" s="6"/>
      <c r="S41" s="8"/>
      <c r="T41" s="5"/>
      <c r="U41" s="5"/>
      <c r="V41" s="5"/>
      <c r="W41" s="10"/>
      <c r="Y41" s="8"/>
      <c r="Z41" s="5"/>
      <c r="AA41" s="5"/>
      <c r="AB41" s="5"/>
      <c r="AC41" s="10"/>
    </row>
    <row r="42" spans="1:29" x14ac:dyDescent="0.3">
      <c r="B42">
        <f t="shared" si="2"/>
        <v>31</v>
      </c>
      <c r="C42" s="8">
        <f t="shared" si="3"/>
        <v>43723</v>
      </c>
      <c r="D42" s="6">
        <v>1914</v>
      </c>
      <c r="E42" s="6"/>
      <c r="F42" s="5">
        <f t="shared" si="6"/>
        <v>168782.18273129451</v>
      </c>
      <c r="G42" s="5">
        <f t="shared" si="1"/>
        <v>320.60124686117524</v>
      </c>
      <c r="H42" s="5">
        <f t="shared" si="4"/>
        <v>580.18875313882484</v>
      </c>
      <c r="I42" s="6">
        <v>1013.21</v>
      </c>
      <c r="J42" s="5">
        <f t="shared" si="7"/>
        <v>26333.919999999984</v>
      </c>
      <c r="K42" s="6"/>
      <c r="L42" s="5">
        <f t="shared" si="5"/>
        <v>168461.58148443332</v>
      </c>
      <c r="M42" s="9">
        <f t="shared" si="0"/>
        <v>0.55597881678030803</v>
      </c>
      <c r="N42" s="6"/>
      <c r="O42" s="6"/>
      <c r="S42" s="8"/>
      <c r="T42" s="5"/>
      <c r="U42" s="5"/>
      <c r="V42" s="5"/>
      <c r="W42" s="10"/>
      <c r="Y42" s="8"/>
      <c r="Z42" s="5"/>
      <c r="AA42" s="5"/>
      <c r="AB42" s="5"/>
      <c r="AC42" s="10"/>
    </row>
    <row r="43" spans="1:29" x14ac:dyDescent="0.3">
      <c r="B43">
        <f t="shared" si="2"/>
        <v>32</v>
      </c>
      <c r="C43" s="8">
        <f t="shared" si="3"/>
        <v>43753.5</v>
      </c>
      <c r="D43" s="6">
        <v>1914</v>
      </c>
      <c r="E43" s="6"/>
      <c r="F43" s="5">
        <f t="shared" si="6"/>
        <v>168461.58148443332</v>
      </c>
      <c r="G43" s="5">
        <f t="shared" si="1"/>
        <v>321.70331364726053</v>
      </c>
      <c r="H43" s="5">
        <f t="shared" si="4"/>
        <v>579.08668635273955</v>
      </c>
      <c r="I43" s="6">
        <v>1013.21</v>
      </c>
      <c r="J43" s="5">
        <f t="shared" si="7"/>
        <v>27347.129999999983</v>
      </c>
      <c r="K43" s="6"/>
      <c r="L43" s="5">
        <f t="shared" si="5"/>
        <v>168139.87817078605</v>
      </c>
      <c r="M43" s="9">
        <f t="shared" si="0"/>
        <v>0.55491708967256126</v>
      </c>
      <c r="N43" s="6"/>
      <c r="O43" s="6"/>
      <c r="S43" s="8"/>
      <c r="T43" s="5"/>
      <c r="U43" s="5"/>
      <c r="V43" s="5"/>
      <c r="W43" s="10"/>
      <c r="Y43" s="8"/>
      <c r="Z43" s="5"/>
      <c r="AA43" s="5"/>
      <c r="AB43" s="5"/>
      <c r="AC43" s="10"/>
    </row>
    <row r="44" spans="1:29" x14ac:dyDescent="0.3">
      <c r="B44">
        <f t="shared" si="2"/>
        <v>33</v>
      </c>
      <c r="C44" s="8">
        <f t="shared" si="3"/>
        <v>43784</v>
      </c>
      <c r="D44" s="6">
        <v>1914</v>
      </c>
      <c r="E44" s="6"/>
      <c r="F44" s="5">
        <f t="shared" si="6"/>
        <v>168139.87817078605</v>
      </c>
      <c r="G44" s="5">
        <f t="shared" si="1"/>
        <v>322.80916878792277</v>
      </c>
      <c r="H44" s="5">
        <f t="shared" si="4"/>
        <v>577.98083121207708</v>
      </c>
      <c r="I44" s="6">
        <v>1013.21</v>
      </c>
      <c r="J44" s="5">
        <f t="shared" si="7"/>
        <v>28360.339999999982</v>
      </c>
      <c r="K44" s="6"/>
      <c r="L44" s="5">
        <f t="shared" si="5"/>
        <v>167817.06900199811</v>
      </c>
      <c r="M44" s="9">
        <f t="shared" si="0"/>
        <v>0.5538517128778816</v>
      </c>
      <c r="N44" s="6"/>
      <c r="O44" s="6"/>
      <c r="S44" s="8"/>
      <c r="T44" s="5"/>
      <c r="U44" s="5"/>
      <c r="V44" s="5"/>
      <c r="W44" s="10"/>
      <c r="Y44" s="8"/>
      <c r="Z44" s="5"/>
      <c r="AA44" s="5"/>
      <c r="AB44" s="5"/>
      <c r="AC44" s="10"/>
    </row>
    <row r="45" spans="1:29" x14ac:dyDescent="0.3">
      <c r="B45">
        <f t="shared" si="2"/>
        <v>34</v>
      </c>
      <c r="C45" s="8">
        <f t="shared" si="3"/>
        <v>43814.5</v>
      </c>
      <c r="D45" s="6">
        <v>1914</v>
      </c>
      <c r="E45" s="6"/>
      <c r="F45" s="5">
        <f t="shared" si="6"/>
        <v>167817.06900199811</v>
      </c>
      <c r="G45" s="5">
        <f t="shared" si="1"/>
        <v>323.91882530563134</v>
      </c>
      <c r="H45" s="5">
        <f t="shared" si="4"/>
        <v>576.87117469436851</v>
      </c>
      <c r="I45" s="6">
        <v>1013.21</v>
      </c>
      <c r="J45" s="5">
        <f t="shared" si="7"/>
        <v>29373.549999999981</v>
      </c>
      <c r="K45" s="6"/>
      <c r="L45" s="5">
        <f t="shared" si="5"/>
        <v>167493.15017669246</v>
      </c>
      <c r="M45" s="9">
        <f t="shared" si="0"/>
        <v>0.5527826738504702</v>
      </c>
      <c r="N45" s="6"/>
      <c r="O45" s="6"/>
      <c r="S45" s="8"/>
      <c r="T45" s="5"/>
      <c r="U45" s="5"/>
      <c r="V45" s="5"/>
      <c r="W45" s="10"/>
      <c r="Y45" s="8"/>
      <c r="Z45" s="5"/>
      <c r="AA45" s="5"/>
      <c r="AB45" s="5"/>
      <c r="AC45" s="10"/>
    </row>
    <row r="46" spans="1:29" x14ac:dyDescent="0.3">
      <c r="B46">
        <f t="shared" si="2"/>
        <v>35</v>
      </c>
      <c r="C46" s="8">
        <f t="shared" si="3"/>
        <v>43845</v>
      </c>
      <c r="D46" s="6">
        <v>1914</v>
      </c>
      <c r="E46" s="6"/>
      <c r="F46" s="5">
        <f t="shared" si="6"/>
        <v>167493.15017669246</v>
      </c>
      <c r="G46" s="5">
        <f t="shared" si="1"/>
        <v>325.03229626761959</v>
      </c>
      <c r="H46" s="5">
        <f t="shared" si="4"/>
        <v>575.75770373238038</v>
      </c>
      <c r="I46" s="6">
        <v>1013.21</v>
      </c>
      <c r="J46" s="5">
        <f>J45+I46-K46-O46</f>
        <v>30386.75999999998</v>
      </c>
      <c r="K46" s="6"/>
      <c r="L46" s="5">
        <f t="shared" si="5"/>
        <v>167168.11788042483</v>
      </c>
      <c r="M46" s="9">
        <f t="shared" si="0"/>
        <v>0.55170996000140204</v>
      </c>
      <c r="N46" s="6"/>
      <c r="O46" s="6"/>
      <c r="S46" s="8"/>
      <c r="T46" s="5"/>
      <c r="U46" s="5"/>
      <c r="V46" s="5"/>
      <c r="W46" s="10"/>
      <c r="Y46" s="8"/>
      <c r="Z46" s="5"/>
      <c r="AA46" s="5"/>
      <c r="AB46" s="5"/>
      <c r="AC46" s="10"/>
    </row>
    <row r="47" spans="1:29" x14ac:dyDescent="0.3">
      <c r="B47">
        <f t="shared" si="2"/>
        <v>36</v>
      </c>
      <c r="C47" s="8">
        <f t="shared" si="3"/>
        <v>43875.5</v>
      </c>
      <c r="D47" s="6">
        <v>1914</v>
      </c>
      <c r="E47" s="6"/>
      <c r="F47" s="5">
        <f t="shared" si="6"/>
        <v>167168.11788042483</v>
      </c>
      <c r="G47" s="5">
        <f t="shared" si="1"/>
        <v>326.14959478603942</v>
      </c>
      <c r="H47" s="5">
        <f t="shared" si="4"/>
        <v>574.64040521396043</v>
      </c>
      <c r="I47" s="6">
        <v>1013.21</v>
      </c>
      <c r="J47" s="5">
        <f t="shared" si="7"/>
        <v>31399.969999999979</v>
      </c>
      <c r="K47" s="6"/>
      <c r="L47" s="5">
        <f t="shared" si="5"/>
        <v>166841.96828563878</v>
      </c>
      <c r="M47" s="9">
        <f t="shared" si="0"/>
        <v>0.55063355869847785</v>
      </c>
      <c r="N47" s="6"/>
      <c r="O47" s="6"/>
      <c r="S47" s="8"/>
      <c r="T47" s="5"/>
      <c r="U47" s="5"/>
      <c r="V47" s="5"/>
      <c r="W47" s="10"/>
      <c r="Y47" s="8"/>
      <c r="Z47" s="5"/>
      <c r="AA47" s="5"/>
      <c r="AB47" s="5"/>
      <c r="AC47" s="10"/>
    </row>
    <row r="48" spans="1:29" x14ac:dyDescent="0.3">
      <c r="A48">
        <v>4</v>
      </c>
      <c r="B48">
        <f t="shared" si="2"/>
        <v>37</v>
      </c>
      <c r="C48" s="8">
        <f t="shared" si="3"/>
        <v>43906</v>
      </c>
      <c r="D48" s="6">
        <v>1914</v>
      </c>
      <c r="E48" s="6"/>
      <c r="F48" s="5">
        <f t="shared" si="6"/>
        <v>166841.96828563878</v>
      </c>
      <c r="G48" s="5">
        <f t="shared" si="1"/>
        <v>327.27073401811663</v>
      </c>
      <c r="H48" s="5">
        <f t="shared" si="4"/>
        <v>573.51926598188334</v>
      </c>
      <c r="I48" s="6">
        <v>1013.21</v>
      </c>
      <c r="J48" s="5">
        <f t="shared" si="7"/>
        <v>32413.179999999978</v>
      </c>
      <c r="K48" s="6"/>
      <c r="L48" s="5">
        <f t="shared" si="5"/>
        <v>166514.69755162066</v>
      </c>
      <c r="M48" s="9">
        <f t="shared" si="0"/>
        <v>0.54955345726607474</v>
      </c>
      <c r="N48" s="6"/>
      <c r="O48" s="6"/>
      <c r="S48" s="8"/>
      <c r="T48" s="5"/>
      <c r="U48" s="5"/>
      <c r="V48" s="5"/>
      <c r="W48" s="10"/>
      <c r="Y48" s="8"/>
      <c r="Z48" s="5"/>
      <c r="AA48" s="5"/>
      <c r="AB48" s="5"/>
      <c r="AC48" s="10"/>
    </row>
    <row r="49" spans="1:29" x14ac:dyDescent="0.3">
      <c r="B49">
        <f t="shared" si="2"/>
        <v>38</v>
      </c>
      <c r="C49" s="8">
        <f t="shared" si="3"/>
        <v>43936.5</v>
      </c>
      <c r="D49" s="6">
        <v>1914</v>
      </c>
      <c r="E49" s="6"/>
      <c r="F49" s="5">
        <f t="shared" si="6"/>
        <v>166514.69755162066</v>
      </c>
      <c r="G49" s="5">
        <f t="shared" si="1"/>
        <v>328.39572716630391</v>
      </c>
      <c r="H49" s="5">
        <f t="shared" si="4"/>
        <v>572.39427283369605</v>
      </c>
      <c r="I49" s="6">
        <v>1013.21</v>
      </c>
      <c r="J49" s="5">
        <f>J48+I49-K49-N49</f>
        <v>33426.389999999978</v>
      </c>
      <c r="K49" s="6"/>
      <c r="L49" s="5">
        <f t="shared" si="5"/>
        <v>166186.30182445433</v>
      </c>
      <c r="M49" s="9">
        <f t="shared" si="0"/>
        <v>0.54846964298499779</v>
      </c>
      <c r="N49" s="6"/>
      <c r="O49" s="6"/>
      <c r="S49" s="8"/>
      <c r="T49" s="5"/>
      <c r="U49" s="5"/>
      <c r="V49" s="5"/>
      <c r="W49" s="10"/>
      <c r="Y49" s="8"/>
      <c r="Z49" s="5"/>
      <c r="AA49" s="5"/>
      <c r="AB49" s="5"/>
      <c r="AC49" s="10"/>
    </row>
    <row r="50" spans="1:29" x14ac:dyDescent="0.3">
      <c r="B50">
        <f t="shared" si="2"/>
        <v>39</v>
      </c>
      <c r="C50" s="8">
        <f t="shared" si="3"/>
        <v>43967</v>
      </c>
      <c r="D50" s="6">
        <v>1914</v>
      </c>
      <c r="E50" s="6"/>
      <c r="F50" s="5">
        <f t="shared" si="6"/>
        <v>166186.30182445433</v>
      </c>
      <c r="G50" s="5">
        <f t="shared" si="1"/>
        <v>329.52458747843821</v>
      </c>
      <c r="H50" s="5">
        <f t="shared" si="4"/>
        <v>571.26541252156187</v>
      </c>
      <c r="I50" s="6">
        <v>1013.21</v>
      </c>
      <c r="J50" s="5">
        <f>J49+I50-K50-N50</f>
        <v>34439.599999999977</v>
      </c>
      <c r="K50" s="6"/>
      <c r="L50" s="5">
        <f t="shared" si="5"/>
        <v>165856.77723697587</v>
      </c>
      <c r="M50" s="9">
        <f t="shared" si="0"/>
        <v>0.5473821030923296</v>
      </c>
      <c r="N50" s="6"/>
      <c r="O50" s="6"/>
      <c r="S50" s="8"/>
      <c r="T50" s="5"/>
      <c r="U50" s="5"/>
      <c r="V50" s="5"/>
      <c r="W50" s="10"/>
      <c r="Y50" s="8"/>
      <c r="Z50" s="5"/>
      <c r="AA50" s="5"/>
      <c r="AB50" s="5"/>
      <c r="AC50" s="10"/>
    </row>
    <row r="51" spans="1:29" x14ac:dyDescent="0.3">
      <c r="B51">
        <f t="shared" si="2"/>
        <v>40</v>
      </c>
      <c r="C51" s="8">
        <f t="shared" si="3"/>
        <v>43997.5</v>
      </c>
      <c r="D51" s="6">
        <v>1914</v>
      </c>
      <c r="E51" s="6"/>
      <c r="F51" s="5">
        <f t="shared" si="6"/>
        <v>165856.77723697587</v>
      </c>
      <c r="G51" s="5">
        <f t="shared" si="1"/>
        <v>330.65732824789529</v>
      </c>
      <c r="H51" s="5">
        <f t="shared" si="4"/>
        <v>570.13267175210456</v>
      </c>
      <c r="I51" s="6">
        <v>1013.21</v>
      </c>
      <c r="J51" s="5">
        <f>J50+I51-K51-N51</f>
        <v>35452.809999999976</v>
      </c>
      <c r="K51" s="6"/>
      <c r="L51" s="5">
        <f t="shared" si="5"/>
        <v>165526.11990872797</v>
      </c>
      <c r="M51" s="9">
        <f t="shared" si="0"/>
        <v>0.54629082478128044</v>
      </c>
      <c r="N51" s="6"/>
      <c r="O51" s="6"/>
      <c r="S51" s="8"/>
      <c r="T51" s="5"/>
      <c r="U51" s="5"/>
      <c r="V51" s="5"/>
      <c r="W51" s="10"/>
      <c r="Y51" s="8"/>
      <c r="Z51" s="5"/>
      <c r="AA51" s="5"/>
      <c r="AB51" s="5"/>
      <c r="AC51" s="10"/>
    </row>
    <row r="52" spans="1:29" x14ac:dyDescent="0.3">
      <c r="B52">
        <f t="shared" si="2"/>
        <v>41</v>
      </c>
      <c r="C52" s="8">
        <f t="shared" si="3"/>
        <v>44028</v>
      </c>
      <c r="D52" s="6">
        <v>1914</v>
      </c>
      <c r="E52" s="6"/>
      <c r="F52" s="5">
        <f t="shared" si="6"/>
        <v>165526.11990872797</v>
      </c>
      <c r="G52" s="5">
        <f t="shared" si="1"/>
        <v>331.79396281374738</v>
      </c>
      <c r="H52" s="5">
        <f t="shared" si="4"/>
        <v>568.99603718625247</v>
      </c>
      <c r="I52" s="6">
        <v>1013.21</v>
      </c>
      <c r="J52" s="5">
        <f t="shared" ref="J52:J115" si="8">J51+I52-K52-N52</f>
        <v>36466.019999999975</v>
      </c>
      <c r="K52" s="6"/>
      <c r="L52" s="5">
        <f t="shared" si="5"/>
        <v>165194.3259459142</v>
      </c>
      <c r="M52" s="9">
        <f t="shared" si="0"/>
        <v>0.545195795201037</v>
      </c>
      <c r="N52" s="6"/>
      <c r="O52" s="6"/>
      <c r="S52" s="8"/>
      <c r="T52" s="5"/>
      <c r="U52" s="5"/>
      <c r="V52" s="5"/>
      <c r="W52" s="10"/>
      <c r="Y52" s="8"/>
      <c r="Z52" s="5"/>
      <c r="AA52" s="5"/>
      <c r="AB52" s="5"/>
      <c r="AC52" s="10"/>
    </row>
    <row r="53" spans="1:29" x14ac:dyDescent="0.3">
      <c r="B53">
        <f t="shared" si="2"/>
        <v>42</v>
      </c>
      <c r="C53" s="8">
        <f t="shared" si="3"/>
        <v>44058.5</v>
      </c>
      <c r="D53" s="6">
        <v>1914</v>
      </c>
      <c r="E53" s="6"/>
      <c r="F53" s="5">
        <f t="shared" si="6"/>
        <v>165194.3259459142</v>
      </c>
      <c r="G53" s="5">
        <f t="shared" si="1"/>
        <v>332.93450456091978</v>
      </c>
      <c r="H53" s="5">
        <f t="shared" si="4"/>
        <v>567.85549543908007</v>
      </c>
      <c r="I53" s="6">
        <v>1013.21</v>
      </c>
      <c r="J53" s="5">
        <f t="shared" si="8"/>
        <v>37479.229999999974</v>
      </c>
      <c r="K53" s="6"/>
      <c r="L53" s="5">
        <f t="shared" si="5"/>
        <v>164861.39144135328</v>
      </c>
      <c r="M53" s="9">
        <f t="shared" si="0"/>
        <v>0.54409700145661144</v>
      </c>
      <c r="N53" s="6"/>
      <c r="O53" s="6"/>
      <c r="S53" s="8"/>
      <c r="T53" s="5"/>
      <c r="U53" s="5"/>
      <c r="V53" s="5"/>
      <c r="W53" s="10"/>
      <c r="Y53" s="8"/>
      <c r="Z53" s="5"/>
      <c r="AA53" s="5"/>
      <c r="AB53" s="5"/>
      <c r="AC53" s="10"/>
    </row>
    <row r="54" spans="1:29" x14ac:dyDescent="0.3">
      <c r="B54">
        <f t="shared" si="2"/>
        <v>43</v>
      </c>
      <c r="C54" s="8">
        <f t="shared" si="3"/>
        <v>44089</v>
      </c>
      <c r="D54" s="6">
        <v>1914</v>
      </c>
      <c r="E54" s="6"/>
      <c r="F54" s="5">
        <f t="shared" si="6"/>
        <v>164861.39144135328</v>
      </c>
      <c r="G54" s="5">
        <f t="shared" si="1"/>
        <v>334.07896692034819</v>
      </c>
      <c r="H54" s="5">
        <f t="shared" si="4"/>
        <v>566.71103307965188</v>
      </c>
      <c r="I54" s="6">
        <v>1013.21</v>
      </c>
      <c r="J54" s="5">
        <f t="shared" si="8"/>
        <v>38492.439999999973</v>
      </c>
      <c r="K54" s="6"/>
      <c r="L54" s="5">
        <f t="shared" si="5"/>
        <v>164527.31247443293</v>
      </c>
      <c r="M54" s="9">
        <f t="shared" si="0"/>
        <v>0.54299443060868957</v>
      </c>
      <c r="N54" s="6"/>
      <c r="O54" s="6"/>
      <c r="S54" s="8"/>
      <c r="T54" s="5"/>
      <c r="U54" s="5"/>
      <c r="V54" s="5"/>
      <c r="W54" s="10"/>
      <c r="Y54" s="8"/>
      <c r="Z54" s="5"/>
      <c r="AA54" s="5"/>
      <c r="AB54" s="5"/>
      <c r="AC54" s="10"/>
    </row>
    <row r="55" spans="1:29" x14ac:dyDescent="0.3">
      <c r="B55">
        <f t="shared" si="2"/>
        <v>44</v>
      </c>
      <c r="C55" s="8">
        <f t="shared" si="3"/>
        <v>44119.5</v>
      </c>
      <c r="D55" s="6">
        <v>1914</v>
      </c>
      <c r="E55" s="6"/>
      <c r="F55" s="5">
        <f t="shared" si="6"/>
        <v>164527.31247443293</v>
      </c>
      <c r="G55" s="5">
        <f t="shared" si="1"/>
        <v>335.22736336913658</v>
      </c>
      <c r="H55" s="5">
        <f t="shared" si="4"/>
        <v>565.56263663086327</v>
      </c>
      <c r="I55" s="6">
        <v>1013.21</v>
      </c>
      <c r="J55" s="5">
        <f t="shared" si="8"/>
        <v>39505.649999999972</v>
      </c>
      <c r="K55" s="6"/>
      <c r="L55" s="5">
        <f t="shared" si="5"/>
        <v>164192.08511106379</v>
      </c>
      <c r="M55" s="9">
        <f t="shared" si="0"/>
        <v>0.5418880696734778</v>
      </c>
      <c r="N55" s="6"/>
      <c r="O55" s="6"/>
      <c r="S55" s="8"/>
      <c r="T55" s="5"/>
      <c r="U55" s="5"/>
      <c r="V55" s="5"/>
      <c r="W55" s="10"/>
      <c r="Y55" s="8"/>
      <c r="Z55" s="5"/>
      <c r="AA55" s="5"/>
      <c r="AB55" s="5"/>
      <c r="AC55" s="10"/>
    </row>
    <row r="56" spans="1:29" x14ac:dyDescent="0.3">
      <c r="B56">
        <f t="shared" si="2"/>
        <v>45</v>
      </c>
      <c r="C56" s="8">
        <f t="shared" si="3"/>
        <v>44150</v>
      </c>
      <c r="D56" s="6">
        <v>1914</v>
      </c>
      <c r="E56" s="6"/>
      <c r="F56" s="5">
        <f t="shared" si="6"/>
        <v>164192.08511106379</v>
      </c>
      <c r="G56" s="5">
        <f t="shared" si="1"/>
        <v>336.3797074307181</v>
      </c>
      <c r="H56" s="5">
        <f t="shared" si="4"/>
        <v>564.41029256928175</v>
      </c>
      <c r="I56" s="6">
        <v>1013.21</v>
      </c>
      <c r="J56" s="5">
        <f t="shared" si="8"/>
        <v>40518.859999999971</v>
      </c>
      <c r="K56" s="6"/>
      <c r="L56" s="5">
        <f t="shared" si="5"/>
        <v>163855.70540363307</v>
      </c>
      <c r="M56" s="9">
        <f t="shared" si="0"/>
        <v>0.54077790562255135</v>
      </c>
      <c r="N56" s="6"/>
      <c r="O56" s="6"/>
      <c r="Q56" s="10"/>
      <c r="S56" s="8"/>
      <c r="T56" s="5"/>
      <c r="U56" s="5"/>
      <c r="V56" s="5"/>
      <c r="W56" s="10"/>
      <c r="Y56" s="8"/>
      <c r="Z56" s="5"/>
      <c r="AA56" s="5"/>
      <c r="AB56" s="5"/>
      <c r="AC56" s="10"/>
    </row>
    <row r="57" spans="1:29" x14ac:dyDescent="0.3">
      <c r="B57">
        <f t="shared" si="2"/>
        <v>46</v>
      </c>
      <c r="C57" s="8">
        <f t="shared" si="3"/>
        <v>44180.5</v>
      </c>
      <c r="D57" s="6">
        <v>1914</v>
      </c>
      <c r="E57" s="6"/>
      <c r="F57" s="5">
        <f t="shared" si="6"/>
        <v>163855.70540363307</v>
      </c>
      <c r="G57" s="5">
        <f t="shared" si="1"/>
        <v>337.53601267501131</v>
      </c>
      <c r="H57" s="5">
        <f t="shared" si="4"/>
        <v>563.25398732498866</v>
      </c>
      <c r="I57" s="6">
        <v>1013.21</v>
      </c>
      <c r="J57" s="5">
        <f t="shared" si="8"/>
        <v>41532.069999999971</v>
      </c>
      <c r="K57" s="6"/>
      <c r="L57" s="5">
        <f t="shared" si="5"/>
        <v>163518.16939095804</v>
      </c>
      <c r="M57" s="9">
        <f t="shared" si="0"/>
        <v>0.53966392538269981</v>
      </c>
      <c r="N57" s="6"/>
      <c r="O57" s="6"/>
      <c r="S57" s="8"/>
      <c r="T57" s="5"/>
      <c r="U57" s="5"/>
      <c r="V57" s="5"/>
      <c r="W57" s="10"/>
      <c r="Y57" s="8"/>
      <c r="Z57" s="5"/>
      <c r="AA57" s="5"/>
      <c r="AB57" s="5"/>
      <c r="AC57" s="10"/>
    </row>
    <row r="58" spans="1:29" x14ac:dyDescent="0.3">
      <c r="B58">
        <f t="shared" si="2"/>
        <v>47</v>
      </c>
      <c r="C58" s="8">
        <f t="shared" si="3"/>
        <v>44211</v>
      </c>
      <c r="D58" s="6">
        <v>1914</v>
      </c>
      <c r="E58" s="6"/>
      <c r="F58" s="5">
        <f t="shared" si="6"/>
        <v>163518.16939095804</v>
      </c>
      <c r="G58" s="5">
        <f t="shared" si="1"/>
        <v>338.69629271858184</v>
      </c>
      <c r="H58" s="5">
        <f t="shared" si="4"/>
        <v>562.09370728141823</v>
      </c>
      <c r="I58" s="6">
        <v>1013.21</v>
      </c>
      <c r="J58" s="5">
        <f t="shared" si="8"/>
        <v>42545.27999999997</v>
      </c>
      <c r="K58" s="6"/>
      <c r="L58" s="5">
        <f t="shared" si="5"/>
        <v>163179.47309823945</v>
      </c>
      <c r="M58" s="9">
        <f t="shared" si="0"/>
        <v>0.53854611583577383</v>
      </c>
      <c r="N58" s="6"/>
      <c r="O58" s="6"/>
      <c r="S58" s="8"/>
      <c r="T58" s="5"/>
      <c r="U58" s="5"/>
      <c r="V58" s="5"/>
      <c r="W58" s="10"/>
      <c r="Y58" s="8"/>
      <c r="Z58" s="5"/>
      <c r="AA58" s="5"/>
      <c r="AB58" s="5"/>
      <c r="AC58" s="10"/>
    </row>
    <row r="59" spans="1:29" x14ac:dyDescent="0.3">
      <c r="B59">
        <f t="shared" si="2"/>
        <v>48</v>
      </c>
      <c r="C59" s="8">
        <f t="shared" si="3"/>
        <v>44241.5</v>
      </c>
      <c r="D59" s="6">
        <v>1914</v>
      </c>
      <c r="E59" s="6"/>
      <c r="F59" s="5">
        <f t="shared" si="6"/>
        <v>163179.47309823945</v>
      </c>
      <c r="G59" s="5">
        <f t="shared" si="1"/>
        <v>339.86056122480181</v>
      </c>
      <c r="H59" s="5">
        <f t="shared" si="4"/>
        <v>560.92943877519815</v>
      </c>
      <c r="I59" s="6">
        <v>1013.21</v>
      </c>
      <c r="J59" s="5">
        <f t="shared" si="8"/>
        <v>43558.489999999969</v>
      </c>
      <c r="K59" s="6"/>
      <c r="L59" s="5">
        <f t="shared" si="5"/>
        <v>162839.61253701465</v>
      </c>
      <c r="M59" s="9">
        <f t="shared" si="0"/>
        <v>0.53742446381853015</v>
      </c>
      <c r="N59" s="6"/>
      <c r="O59" s="6"/>
      <c r="S59" s="8"/>
      <c r="T59" s="5"/>
      <c r="U59" s="5"/>
      <c r="V59" s="5"/>
      <c r="W59" s="10"/>
      <c r="Y59" s="8"/>
      <c r="Z59" s="5"/>
      <c r="AA59" s="5"/>
      <c r="AB59" s="5"/>
      <c r="AC59" s="10"/>
    </row>
    <row r="60" spans="1:29" x14ac:dyDescent="0.3">
      <c r="A60">
        <v>5</v>
      </c>
      <c r="B60">
        <f t="shared" si="2"/>
        <v>49</v>
      </c>
      <c r="C60" s="8">
        <f t="shared" si="3"/>
        <v>44272</v>
      </c>
      <c r="D60" s="6">
        <v>1914</v>
      </c>
      <c r="E60" s="6"/>
      <c r="F60" s="5">
        <f t="shared" si="6"/>
        <v>162839.61253701465</v>
      </c>
      <c r="G60" s="5">
        <f t="shared" si="1"/>
        <v>341.02883190401212</v>
      </c>
      <c r="H60" s="5">
        <f t="shared" si="4"/>
        <v>559.76116809598784</v>
      </c>
      <c r="I60" s="6">
        <v>1013.21</v>
      </c>
      <c r="J60" s="5">
        <f t="shared" si="8"/>
        <v>44571.699999999968</v>
      </c>
      <c r="K60" s="6"/>
      <c r="L60" s="5">
        <f t="shared" si="5"/>
        <v>162498.58370511062</v>
      </c>
      <c r="M60" s="9">
        <f t="shared" si="0"/>
        <v>0.53629895612247724</v>
      </c>
      <c r="N60" s="6"/>
      <c r="O60" s="6"/>
      <c r="S60" s="8"/>
      <c r="T60" s="5"/>
      <c r="U60" s="5"/>
      <c r="V60" s="5"/>
      <c r="W60" s="10"/>
      <c r="Y60" s="8"/>
      <c r="Z60" s="5"/>
      <c r="AA60" s="5"/>
      <c r="AB60" s="5"/>
      <c r="AC60" s="10"/>
    </row>
    <row r="61" spans="1:29" x14ac:dyDescent="0.3">
      <c r="B61">
        <f t="shared" si="2"/>
        <v>50</v>
      </c>
      <c r="C61" s="8">
        <f t="shared" si="3"/>
        <v>44302.5</v>
      </c>
      <c r="D61" s="6">
        <v>1914</v>
      </c>
      <c r="E61" s="6"/>
      <c r="F61" s="5">
        <f t="shared" si="6"/>
        <v>162498.58370511062</v>
      </c>
      <c r="G61" s="5">
        <f t="shared" si="1"/>
        <v>342.2011185136821</v>
      </c>
      <c r="H61" s="5">
        <f t="shared" si="4"/>
        <v>558.58888148631775</v>
      </c>
      <c r="I61" s="6">
        <v>1013.21</v>
      </c>
      <c r="J61" s="5">
        <f t="shared" si="8"/>
        <v>45584.909999999967</v>
      </c>
      <c r="K61" s="6"/>
      <c r="L61" s="5">
        <f t="shared" si="5"/>
        <v>162156.38258659694</v>
      </c>
      <c r="M61" s="9">
        <f t="shared" si="0"/>
        <v>0.53516957949371924</v>
      </c>
      <c r="N61" s="6"/>
      <c r="O61" s="6"/>
      <c r="S61" s="8"/>
      <c r="T61" s="5"/>
      <c r="U61" s="5"/>
      <c r="V61" s="5"/>
      <c r="W61" s="10"/>
      <c r="Y61" s="8"/>
      <c r="Z61" s="5"/>
      <c r="AA61" s="5"/>
      <c r="AB61" s="5"/>
      <c r="AC61" s="10"/>
    </row>
    <row r="62" spans="1:29" x14ac:dyDescent="0.3">
      <c r="B62">
        <f t="shared" si="2"/>
        <v>51</v>
      </c>
      <c r="C62" s="8">
        <f t="shared" si="3"/>
        <v>44333</v>
      </c>
      <c r="D62" s="6">
        <v>1914</v>
      </c>
      <c r="E62" s="6"/>
      <c r="F62" s="5">
        <f t="shared" si="6"/>
        <v>162156.38258659694</v>
      </c>
      <c r="G62" s="5">
        <f t="shared" si="1"/>
        <v>343.377434858573</v>
      </c>
      <c r="H62" s="5">
        <f t="shared" si="4"/>
        <v>557.41256514142708</v>
      </c>
      <c r="I62" s="6">
        <v>1013.21</v>
      </c>
      <c r="J62" s="5">
        <f t="shared" si="8"/>
        <v>46598.119999999966</v>
      </c>
      <c r="K62" s="6"/>
      <c r="L62" s="5">
        <f t="shared" si="5"/>
        <v>161813.00515173835</v>
      </c>
      <c r="M62" s="9">
        <f t="shared" si="0"/>
        <v>0.53403632063279982</v>
      </c>
      <c r="N62" s="6"/>
      <c r="O62" s="6"/>
      <c r="S62" s="8"/>
      <c r="T62" s="5"/>
      <c r="U62" s="5"/>
      <c r="V62" s="5"/>
      <c r="W62" s="10"/>
      <c r="Y62" s="8"/>
      <c r="Z62" s="5"/>
      <c r="AA62" s="5"/>
      <c r="AB62" s="5"/>
      <c r="AC62" s="10"/>
    </row>
    <row r="63" spans="1:29" x14ac:dyDescent="0.3">
      <c r="B63">
        <f t="shared" si="2"/>
        <v>52</v>
      </c>
      <c r="C63" s="8">
        <f t="shared" si="3"/>
        <v>44363.5</v>
      </c>
      <c r="D63" s="6">
        <v>1914</v>
      </c>
      <c r="E63" s="6"/>
      <c r="F63" s="5">
        <f t="shared" si="6"/>
        <v>161813.00515173835</v>
      </c>
      <c r="G63" s="5">
        <f t="shared" si="1"/>
        <v>344.55779479089938</v>
      </c>
      <c r="H63" s="5">
        <f t="shared" si="4"/>
        <v>556.23220520910058</v>
      </c>
      <c r="I63" s="6">
        <v>1013.21</v>
      </c>
      <c r="J63" s="5">
        <f t="shared" si="8"/>
        <v>47611.329999999965</v>
      </c>
      <c r="K63" s="6"/>
      <c r="L63" s="5">
        <f t="shared" si="5"/>
        <v>161468.44735694744</v>
      </c>
      <c r="M63" s="9">
        <f t="shared" si="0"/>
        <v>0.53289916619454603</v>
      </c>
      <c r="N63" s="6"/>
      <c r="O63" s="6"/>
      <c r="S63" s="8"/>
      <c r="T63" s="5"/>
      <c r="U63" s="5"/>
      <c r="V63" s="5"/>
      <c r="W63" s="10"/>
      <c r="Y63" s="8"/>
      <c r="Z63" s="5"/>
      <c r="AA63" s="5"/>
      <c r="AB63" s="5"/>
      <c r="AC63" s="10"/>
    </row>
    <row r="64" spans="1:29" x14ac:dyDescent="0.3">
      <c r="B64">
        <f t="shared" si="2"/>
        <v>53</v>
      </c>
      <c r="C64" s="8">
        <f t="shared" si="3"/>
        <v>44394</v>
      </c>
      <c r="D64" s="6">
        <v>1914</v>
      </c>
      <c r="E64" s="6"/>
      <c r="F64" s="5">
        <f t="shared" si="6"/>
        <v>161468.44735694744</v>
      </c>
      <c r="G64" s="5">
        <f t="shared" si="1"/>
        <v>345.74221221049311</v>
      </c>
      <c r="H64" s="5">
        <f t="shared" si="4"/>
        <v>555.04778778950686</v>
      </c>
      <c r="I64" s="6">
        <v>1013.21</v>
      </c>
      <c r="J64" s="5">
        <f t="shared" si="8"/>
        <v>48624.539999999964</v>
      </c>
      <c r="K64" s="6"/>
      <c r="L64" s="5">
        <f t="shared" si="5"/>
        <v>161122.70514473694</v>
      </c>
      <c r="M64" s="9">
        <f t="shared" si="0"/>
        <v>0.53175810278791069</v>
      </c>
      <c r="N64" s="6"/>
      <c r="O64" s="6"/>
      <c r="S64" s="8"/>
      <c r="T64" s="5"/>
      <c r="U64" s="5"/>
      <c r="V64" s="5"/>
      <c r="W64" s="10"/>
      <c r="Y64" s="8"/>
      <c r="Z64" s="5"/>
      <c r="AA64" s="5"/>
      <c r="AB64" s="5"/>
      <c r="AC64" s="10"/>
    </row>
    <row r="65" spans="1:29" x14ac:dyDescent="0.3">
      <c r="B65">
        <f t="shared" si="2"/>
        <v>54</v>
      </c>
      <c r="C65" s="8">
        <f t="shared" si="3"/>
        <v>44424.5</v>
      </c>
      <c r="D65" s="6">
        <v>1914</v>
      </c>
      <c r="E65" s="6"/>
      <c r="F65" s="5">
        <f t="shared" si="6"/>
        <v>161122.70514473694</v>
      </c>
      <c r="G65" s="5">
        <f t="shared" si="1"/>
        <v>346.9307010649668</v>
      </c>
      <c r="H65" s="5">
        <f t="shared" si="4"/>
        <v>553.85929893503328</v>
      </c>
      <c r="I65" s="6">
        <v>1013.21</v>
      </c>
      <c r="J65" s="5">
        <f t="shared" si="8"/>
        <v>49637.749999999964</v>
      </c>
      <c r="K65" s="6"/>
      <c r="L65" s="5">
        <f t="shared" si="5"/>
        <v>160775.77444367198</v>
      </c>
      <c r="M65" s="9">
        <f t="shared" si="0"/>
        <v>0.53061311697581515</v>
      </c>
      <c r="N65" s="6"/>
      <c r="O65" s="6"/>
      <c r="S65" s="8"/>
      <c r="T65" s="5"/>
      <c r="U65" s="5"/>
      <c r="V65" s="5"/>
      <c r="W65" s="10"/>
      <c r="Y65" s="8"/>
      <c r="Z65" s="5"/>
      <c r="AA65" s="5"/>
      <c r="AB65" s="5"/>
      <c r="AC65" s="10"/>
    </row>
    <row r="66" spans="1:29" x14ac:dyDescent="0.3">
      <c r="B66">
        <f t="shared" si="2"/>
        <v>55</v>
      </c>
      <c r="C66" s="8">
        <f t="shared" si="3"/>
        <v>44455</v>
      </c>
      <c r="D66" s="6">
        <v>1914</v>
      </c>
      <c r="E66" s="6"/>
      <c r="F66" s="5">
        <f t="shared" si="6"/>
        <v>160775.77444367198</v>
      </c>
      <c r="G66" s="5">
        <f t="shared" si="1"/>
        <v>348.12327534987753</v>
      </c>
      <c r="H66" s="5">
        <f t="shared" si="4"/>
        <v>552.66672465012243</v>
      </c>
      <c r="I66" s="6">
        <v>1013.21</v>
      </c>
      <c r="J66" s="5">
        <f t="shared" si="8"/>
        <v>50650.959999999963</v>
      </c>
      <c r="K66" s="6"/>
      <c r="L66" s="5">
        <f t="shared" si="5"/>
        <v>160427.6511683221</v>
      </c>
      <c r="M66" s="9">
        <f t="shared" si="0"/>
        <v>0.52946419527499045</v>
      </c>
      <c r="N66" s="6"/>
      <c r="O66" s="6"/>
      <c r="S66" s="8"/>
      <c r="T66" s="5"/>
      <c r="U66" s="5"/>
      <c r="V66" s="5"/>
      <c r="W66" s="10"/>
      <c r="Y66" s="8"/>
      <c r="Z66" s="5"/>
      <c r="AA66" s="5"/>
      <c r="AB66" s="5"/>
      <c r="AC66" s="10"/>
    </row>
    <row r="67" spans="1:29" x14ac:dyDescent="0.3">
      <c r="B67">
        <f t="shared" si="2"/>
        <v>56</v>
      </c>
      <c r="C67" s="8">
        <f t="shared" si="3"/>
        <v>44485.5</v>
      </c>
      <c r="D67" s="6">
        <v>1914</v>
      </c>
      <c r="E67" s="6"/>
      <c r="F67" s="5">
        <f t="shared" si="6"/>
        <v>160427.6511683221</v>
      </c>
      <c r="G67" s="5">
        <f t="shared" si="1"/>
        <v>349.31994910889262</v>
      </c>
      <c r="H67" s="5">
        <f t="shared" si="4"/>
        <v>551.47005089110723</v>
      </c>
      <c r="I67" s="6">
        <v>1013.21</v>
      </c>
      <c r="J67" s="5">
        <f t="shared" si="8"/>
        <v>51664.169999999962</v>
      </c>
      <c r="K67" s="6"/>
      <c r="L67" s="5">
        <f t="shared" si="5"/>
        <v>160078.3312192132</v>
      </c>
      <c r="M67" s="9">
        <f t="shared" si="0"/>
        <v>0.52831132415581916</v>
      </c>
      <c r="N67" s="6"/>
      <c r="O67" s="6"/>
      <c r="S67" s="8"/>
      <c r="T67" s="5"/>
      <c r="U67" s="5"/>
      <c r="V67" s="5"/>
      <c r="W67" s="10"/>
      <c r="Y67" s="8"/>
      <c r="Z67" s="5"/>
      <c r="AA67" s="5"/>
      <c r="AB67" s="5"/>
      <c r="AC67" s="10"/>
    </row>
    <row r="68" spans="1:29" x14ac:dyDescent="0.3">
      <c r="B68">
        <f t="shared" si="2"/>
        <v>57</v>
      </c>
      <c r="C68" s="8">
        <f t="shared" si="3"/>
        <v>44516</v>
      </c>
      <c r="D68" s="6">
        <v>1914</v>
      </c>
      <c r="E68" s="6"/>
      <c r="F68" s="5">
        <f t="shared" si="6"/>
        <v>160078.3312192132</v>
      </c>
      <c r="G68" s="5">
        <f t="shared" si="1"/>
        <v>350.52073643395443</v>
      </c>
      <c r="H68" s="5">
        <f t="shared" si="4"/>
        <v>550.26926356604542</v>
      </c>
      <c r="I68" s="6">
        <v>1013.21</v>
      </c>
      <c r="J68" s="5">
        <f t="shared" si="8"/>
        <v>52677.379999999961</v>
      </c>
      <c r="K68" s="6"/>
      <c r="L68" s="5">
        <f t="shared" si="5"/>
        <v>159727.81048277923</v>
      </c>
      <c r="M68" s="9">
        <f t="shared" si="0"/>
        <v>0.52715449004217563</v>
      </c>
      <c r="N68" s="6"/>
      <c r="O68" s="6"/>
      <c r="S68" s="8"/>
      <c r="T68" s="5"/>
      <c r="U68" s="5"/>
      <c r="V68" s="5"/>
      <c r="W68" s="10"/>
      <c r="Y68" s="8"/>
      <c r="Z68" s="5"/>
      <c r="AA68" s="5"/>
      <c r="AB68" s="5"/>
      <c r="AC68" s="10"/>
    </row>
    <row r="69" spans="1:29" x14ac:dyDescent="0.3">
      <c r="B69">
        <f t="shared" si="2"/>
        <v>58</v>
      </c>
      <c r="C69" s="8">
        <f t="shared" si="3"/>
        <v>44546.5</v>
      </c>
      <c r="D69" s="6">
        <v>1914</v>
      </c>
      <c r="E69" s="6"/>
      <c r="F69" s="5">
        <f t="shared" si="6"/>
        <v>159727.81048277923</v>
      </c>
      <c r="G69" s="5">
        <f t="shared" si="1"/>
        <v>351.72565146544639</v>
      </c>
      <c r="H69" s="5">
        <f t="shared" si="4"/>
        <v>549.06434853455369</v>
      </c>
      <c r="I69" s="6">
        <v>1013.21</v>
      </c>
      <c r="J69" s="5">
        <f t="shared" si="8"/>
        <v>53690.58999999996</v>
      </c>
      <c r="K69" s="6"/>
      <c r="L69" s="5">
        <f t="shared" si="5"/>
        <v>159376.08483131378</v>
      </c>
      <c r="M69" s="9">
        <f t="shared" si="0"/>
        <v>0.52599367931126662</v>
      </c>
      <c r="N69" s="6"/>
      <c r="O69" s="6"/>
      <c r="S69" s="8"/>
      <c r="T69" s="5"/>
      <c r="U69" s="5"/>
      <c r="V69" s="5"/>
      <c r="W69" s="10"/>
      <c r="Y69" s="8"/>
      <c r="Z69" s="5"/>
      <c r="AA69" s="5"/>
      <c r="AB69" s="5"/>
      <c r="AC69" s="10"/>
    </row>
    <row r="70" spans="1:29" x14ac:dyDescent="0.3">
      <c r="B70">
        <f t="shared" si="2"/>
        <v>59</v>
      </c>
      <c r="C70" s="8">
        <f t="shared" si="3"/>
        <v>44577</v>
      </c>
      <c r="D70" s="6">
        <v>1914</v>
      </c>
      <c r="E70" s="6"/>
      <c r="F70" s="5">
        <f t="shared" si="6"/>
        <v>159376.08483131378</v>
      </c>
      <c r="G70" s="5">
        <f t="shared" si="1"/>
        <v>352.93470839235897</v>
      </c>
      <c r="H70" s="5">
        <f t="shared" si="4"/>
        <v>547.85529160764111</v>
      </c>
      <c r="I70" s="6">
        <v>1013.21</v>
      </c>
      <c r="J70" s="5">
        <f t="shared" si="8"/>
        <v>54703.799999999959</v>
      </c>
      <c r="K70" s="6"/>
      <c r="L70" s="5">
        <f t="shared" si="5"/>
        <v>159023.15012292142</v>
      </c>
      <c r="M70" s="9">
        <f t="shared" si="0"/>
        <v>0.52482887829347002</v>
      </c>
      <c r="N70" s="6"/>
      <c r="O70" s="6"/>
      <c r="S70" s="8"/>
      <c r="T70" s="5"/>
      <c r="U70" s="5"/>
      <c r="V70" s="5"/>
      <c r="W70" s="10"/>
      <c r="Y70" s="8"/>
      <c r="Z70" s="5"/>
      <c r="AA70" s="5"/>
      <c r="AB70" s="5"/>
      <c r="AC70" s="10"/>
    </row>
    <row r="71" spans="1:29" x14ac:dyDescent="0.3">
      <c r="B71">
        <f t="shared" si="2"/>
        <v>60</v>
      </c>
      <c r="C71" s="8">
        <f t="shared" si="3"/>
        <v>44607.5</v>
      </c>
      <c r="D71" s="6">
        <v>1914</v>
      </c>
      <c r="E71" s="6"/>
      <c r="F71" s="5">
        <f t="shared" si="6"/>
        <v>159023.15012292142</v>
      </c>
      <c r="G71" s="5">
        <f t="shared" si="1"/>
        <v>354.14792145245747</v>
      </c>
      <c r="H71" s="5">
        <f t="shared" si="4"/>
        <v>546.64207854754238</v>
      </c>
      <c r="I71" s="6">
        <v>1013.21</v>
      </c>
      <c r="J71" s="5">
        <f t="shared" si="8"/>
        <v>55717.009999999958</v>
      </c>
      <c r="K71" s="6"/>
      <c r="L71" s="5">
        <f t="shared" si="5"/>
        <v>158669.00220146895</v>
      </c>
      <c r="M71" s="9">
        <f t="shared" si="0"/>
        <v>0.52366007327217479</v>
      </c>
      <c r="N71" s="6"/>
      <c r="O71" s="6"/>
      <c r="S71" s="8"/>
      <c r="T71" s="5"/>
      <c r="U71" s="5"/>
      <c r="V71" s="5"/>
      <c r="W71" s="10"/>
      <c r="Y71" s="8"/>
      <c r="Z71" s="5"/>
      <c r="AA71" s="5"/>
      <c r="AB71" s="5"/>
      <c r="AC71" s="10"/>
    </row>
    <row r="72" spans="1:29" x14ac:dyDescent="0.3">
      <c r="A72">
        <v>6</v>
      </c>
      <c r="B72">
        <f t="shared" si="2"/>
        <v>61</v>
      </c>
      <c r="C72" s="8">
        <f t="shared" si="3"/>
        <v>44638</v>
      </c>
      <c r="D72" s="6">
        <v>1914</v>
      </c>
      <c r="E72" s="6"/>
      <c r="F72" s="5">
        <f t="shared" si="6"/>
        <v>158669.00220146895</v>
      </c>
      <c r="G72" s="5">
        <f t="shared" si="1"/>
        <v>355.36530493245027</v>
      </c>
      <c r="H72" s="5">
        <f t="shared" si="4"/>
        <v>545.42469506754958</v>
      </c>
      <c r="I72" s="6">
        <v>1013.21</v>
      </c>
      <c r="J72" s="5">
        <f t="shared" si="8"/>
        <v>56730.219999999958</v>
      </c>
      <c r="K72" s="6"/>
      <c r="L72" s="5">
        <f t="shared" si="5"/>
        <v>158313.63689653648</v>
      </c>
      <c r="M72" s="9">
        <f t="shared" si="0"/>
        <v>0.52248725048361877</v>
      </c>
      <c r="N72" s="6"/>
      <c r="O72" s="6"/>
      <c r="S72" s="8"/>
      <c r="T72" s="5"/>
      <c r="U72" s="5"/>
      <c r="V72" s="5"/>
      <c r="W72" s="10"/>
      <c r="Y72" s="8"/>
      <c r="Z72" s="5"/>
      <c r="AA72" s="5"/>
      <c r="AB72" s="5"/>
      <c r="AC72" s="10"/>
    </row>
    <row r="73" spans="1:29" x14ac:dyDescent="0.3">
      <c r="B73">
        <f t="shared" si="2"/>
        <v>62</v>
      </c>
      <c r="C73" s="8">
        <f t="shared" si="3"/>
        <v>44668.5</v>
      </c>
      <c r="D73" s="6">
        <v>1914</v>
      </c>
      <c r="E73" s="6"/>
      <c r="F73" s="5">
        <f t="shared" si="6"/>
        <v>158313.63689653648</v>
      </c>
      <c r="G73" s="5">
        <f t="shared" si="1"/>
        <v>356.58687316815576</v>
      </c>
      <c r="H73" s="5">
        <f t="shared" si="4"/>
        <v>544.2031268318442</v>
      </c>
      <c r="I73" s="6">
        <v>1013.21</v>
      </c>
      <c r="J73" s="5">
        <f t="shared" si="8"/>
        <v>57743.429999999957</v>
      </c>
      <c r="K73" s="6"/>
      <c r="L73" s="5">
        <f t="shared" si="5"/>
        <v>157957.05002336833</v>
      </c>
      <c r="M73" s="9">
        <f t="shared" si="0"/>
        <v>0.52131039611672714</v>
      </c>
      <c r="N73" s="6"/>
      <c r="O73" s="6"/>
      <c r="S73" s="8"/>
      <c r="T73" s="5"/>
      <c r="U73" s="5"/>
      <c r="V73" s="5"/>
      <c r="W73" s="10"/>
      <c r="Y73" s="8"/>
      <c r="Z73" s="5"/>
      <c r="AA73" s="5"/>
      <c r="AB73" s="5"/>
      <c r="AC73" s="10"/>
    </row>
    <row r="74" spans="1:29" x14ac:dyDescent="0.3">
      <c r="B74">
        <f t="shared" si="2"/>
        <v>63</v>
      </c>
      <c r="C74" s="8">
        <f t="shared" si="3"/>
        <v>44699</v>
      </c>
      <c r="D74" s="6">
        <v>1914</v>
      </c>
      <c r="E74" s="6"/>
      <c r="F74" s="5">
        <f t="shared" si="6"/>
        <v>157957.05002336833</v>
      </c>
      <c r="G74" s="5">
        <f t="shared" si="1"/>
        <v>357.81264054467147</v>
      </c>
      <c r="H74" s="5">
        <f t="shared" si="4"/>
        <v>542.97735945532861</v>
      </c>
      <c r="I74" s="6">
        <v>1013.21</v>
      </c>
      <c r="J74" s="5">
        <f t="shared" si="8"/>
        <v>58756.639999999956</v>
      </c>
      <c r="K74" s="6"/>
      <c r="L74" s="5">
        <f t="shared" si="5"/>
        <v>157599.23738282366</v>
      </c>
      <c r="M74" s="9">
        <f t="shared" si="0"/>
        <v>0.52012949631294936</v>
      </c>
      <c r="N74" s="6"/>
      <c r="O74" s="6"/>
      <c r="S74" s="8"/>
      <c r="T74" s="5"/>
      <c r="U74" s="5"/>
      <c r="V74" s="5"/>
      <c r="W74" s="10"/>
      <c r="Y74" s="8"/>
      <c r="Z74" s="5"/>
      <c r="AA74" s="5"/>
      <c r="AB74" s="5"/>
      <c r="AC74" s="10"/>
    </row>
    <row r="75" spans="1:29" x14ac:dyDescent="0.3">
      <c r="B75">
        <f t="shared" si="2"/>
        <v>64</v>
      </c>
      <c r="C75" s="8">
        <f t="shared" si="3"/>
        <v>44729.5</v>
      </c>
      <c r="D75" s="6">
        <v>1914</v>
      </c>
      <c r="E75" s="6"/>
      <c r="F75" s="5">
        <f t="shared" si="6"/>
        <v>157599.23738282366</v>
      </c>
      <c r="G75" s="5">
        <f t="shared" si="1"/>
        <v>359.04262149654369</v>
      </c>
      <c r="H75" s="5">
        <f t="shared" si="4"/>
        <v>541.74737850345639</v>
      </c>
      <c r="I75" s="6">
        <v>1013.21</v>
      </c>
      <c r="J75" s="5">
        <f t="shared" si="8"/>
        <v>59769.849999999955</v>
      </c>
      <c r="K75" s="6"/>
      <c r="L75" s="5">
        <f t="shared" si="5"/>
        <v>157240.19476132712</v>
      </c>
      <c r="M75" s="9">
        <f t="shared" si="0"/>
        <v>0.51894453716609612</v>
      </c>
      <c r="N75" s="6"/>
      <c r="O75" s="6"/>
      <c r="S75" s="8"/>
      <c r="T75" s="5"/>
      <c r="U75" s="5"/>
      <c r="V75" s="5"/>
      <c r="W75" s="10"/>
      <c r="Y75" s="8"/>
      <c r="Z75" s="5"/>
      <c r="AA75" s="5"/>
      <c r="AB75" s="5"/>
      <c r="AC75" s="10"/>
    </row>
    <row r="76" spans="1:29" x14ac:dyDescent="0.3">
      <c r="B76">
        <f t="shared" si="2"/>
        <v>65</v>
      </c>
      <c r="C76" s="8">
        <f t="shared" si="3"/>
        <v>44760</v>
      </c>
      <c r="D76" s="6">
        <v>1914</v>
      </c>
      <c r="E76" s="6"/>
      <c r="F76" s="5">
        <f t="shared" si="6"/>
        <v>157240.19476132712</v>
      </c>
      <c r="G76" s="5">
        <f t="shared" si="1"/>
        <v>360.27683050793803</v>
      </c>
      <c r="H76" s="5">
        <f t="shared" si="4"/>
        <v>540.51316949206205</v>
      </c>
      <c r="I76" s="6">
        <v>1013.21</v>
      </c>
      <c r="J76" s="5">
        <f t="shared" si="8"/>
        <v>60783.059999999954</v>
      </c>
      <c r="K76" s="6"/>
      <c r="L76" s="5">
        <f t="shared" si="5"/>
        <v>156879.91793081918</v>
      </c>
      <c r="M76" s="9">
        <f t="shared" ref="M76:M139" si="9">L76/$C$2</f>
        <v>0.51775550472217546</v>
      </c>
      <c r="N76" s="6"/>
      <c r="O76" s="6"/>
      <c r="S76" s="8"/>
      <c r="T76" s="5"/>
      <c r="U76" s="5"/>
      <c r="V76" s="5"/>
      <c r="W76" s="10"/>
      <c r="Y76" s="8"/>
      <c r="Z76" s="5"/>
      <c r="AA76" s="5"/>
      <c r="AB76" s="5"/>
      <c r="AC76" s="10"/>
    </row>
    <row r="77" spans="1:29" x14ac:dyDescent="0.3">
      <c r="B77">
        <f t="shared" si="2"/>
        <v>66</v>
      </c>
      <c r="C77" s="8">
        <f t="shared" si="3"/>
        <v>44790.5</v>
      </c>
      <c r="D77" s="6">
        <v>1914</v>
      </c>
      <c r="E77" s="6"/>
      <c r="F77" s="5">
        <f t="shared" si="6"/>
        <v>156879.91793081918</v>
      </c>
      <c r="G77" s="5">
        <f t="shared" ref="G77:G140" si="10">D77-H77-I77</f>
        <v>361.51528211280902</v>
      </c>
      <c r="H77" s="5">
        <f t="shared" si="4"/>
        <v>539.27471788719095</v>
      </c>
      <c r="I77" s="6">
        <v>1013.21</v>
      </c>
      <c r="J77" s="5">
        <f t="shared" si="8"/>
        <v>61796.269999999953</v>
      </c>
      <c r="K77" s="6"/>
      <c r="L77" s="5">
        <f t="shared" ref="L77:L140" si="11">F77+H77+I77-D77-E77</f>
        <v>156518.40264870637</v>
      </c>
      <c r="M77" s="9">
        <f t="shared" si="9"/>
        <v>0.51656238497922891</v>
      </c>
      <c r="N77" s="6"/>
      <c r="O77" s="6"/>
      <c r="S77" s="8"/>
      <c r="T77" s="5"/>
      <c r="U77" s="5"/>
      <c r="V77" s="5"/>
      <c r="W77" s="10"/>
      <c r="Y77" s="8"/>
      <c r="Z77" s="5"/>
      <c r="AA77" s="5"/>
      <c r="AB77" s="5"/>
      <c r="AC77" s="10"/>
    </row>
    <row r="78" spans="1:29" x14ac:dyDescent="0.3">
      <c r="B78">
        <f t="shared" ref="B78:B141" si="12">B77+1</f>
        <v>67</v>
      </c>
      <c r="C78" s="8">
        <f t="shared" ref="C78:C141" si="13">C77+30.5</f>
        <v>44821</v>
      </c>
      <c r="D78" s="6">
        <v>1914</v>
      </c>
      <c r="E78" s="6"/>
      <c r="F78" s="5">
        <f t="shared" si="6"/>
        <v>156518.40264870637</v>
      </c>
      <c r="G78" s="5">
        <f t="shared" si="10"/>
        <v>362.75799089507177</v>
      </c>
      <c r="H78" s="5">
        <f t="shared" ref="H78:H141" si="14">F78*$C$4/12</f>
        <v>538.03200910492819</v>
      </c>
      <c r="I78" s="6">
        <v>1013.21</v>
      </c>
      <c r="J78" s="5">
        <f t="shared" si="8"/>
        <v>62809.479999999952</v>
      </c>
      <c r="K78" s="6"/>
      <c r="L78" s="5">
        <f t="shared" si="11"/>
        <v>156155.6446578113</v>
      </c>
      <c r="M78" s="9">
        <f t="shared" si="9"/>
        <v>0.51536516388716602</v>
      </c>
      <c r="N78" s="6"/>
      <c r="O78" s="6"/>
      <c r="S78" s="8"/>
      <c r="T78" s="5"/>
      <c r="U78" s="5"/>
      <c r="V78" s="5"/>
      <c r="W78" s="10"/>
      <c r="Y78" s="8"/>
      <c r="Z78" s="5"/>
      <c r="AA78" s="5"/>
      <c r="AB78" s="5"/>
      <c r="AC78" s="10"/>
    </row>
    <row r="79" spans="1:29" x14ac:dyDescent="0.3">
      <c r="B79">
        <f t="shared" si="12"/>
        <v>68</v>
      </c>
      <c r="C79" s="8">
        <f t="shared" si="13"/>
        <v>44851.5</v>
      </c>
      <c r="D79" s="6">
        <v>1914</v>
      </c>
      <c r="E79" s="6"/>
      <c r="F79" s="5">
        <f t="shared" ref="F79:F142" si="15">L78</f>
        <v>156155.6446578113</v>
      </c>
      <c r="G79" s="5">
        <f t="shared" si="10"/>
        <v>364.00497148877366</v>
      </c>
      <c r="H79" s="5">
        <f t="shared" si="14"/>
        <v>536.78502851122641</v>
      </c>
      <c r="I79" s="6">
        <v>1013.21</v>
      </c>
      <c r="J79" s="5">
        <f t="shared" si="8"/>
        <v>63822.689999999951</v>
      </c>
      <c r="K79" s="6"/>
      <c r="L79" s="5">
        <f t="shared" si="11"/>
        <v>155791.63968632251</v>
      </c>
      <c r="M79" s="9">
        <f t="shared" si="9"/>
        <v>0.51416382734759902</v>
      </c>
      <c r="N79" s="6"/>
      <c r="O79" s="6"/>
      <c r="S79" s="8"/>
      <c r="T79" s="5"/>
      <c r="U79" s="5"/>
      <c r="V79" s="5"/>
      <c r="W79" s="10"/>
      <c r="Y79" s="8"/>
      <c r="Z79" s="5"/>
      <c r="AA79" s="5"/>
      <c r="AB79" s="5"/>
      <c r="AC79" s="10"/>
    </row>
    <row r="80" spans="1:29" x14ac:dyDescent="0.3">
      <c r="B80">
        <f t="shared" si="12"/>
        <v>69</v>
      </c>
      <c r="C80" s="8">
        <f t="shared" si="13"/>
        <v>44882</v>
      </c>
      <c r="D80" s="6">
        <v>1914</v>
      </c>
      <c r="E80" s="6"/>
      <c r="F80" s="5">
        <f t="shared" si="15"/>
        <v>155791.63968632251</v>
      </c>
      <c r="G80" s="5">
        <f t="shared" si="10"/>
        <v>365.25623857826622</v>
      </c>
      <c r="H80" s="5">
        <f t="shared" si="14"/>
        <v>535.53376142173363</v>
      </c>
      <c r="I80" s="6">
        <v>1013.21</v>
      </c>
      <c r="J80" s="5">
        <f t="shared" si="8"/>
        <v>64835.899999999951</v>
      </c>
      <c r="K80" s="6"/>
      <c r="L80" s="5">
        <f t="shared" si="11"/>
        <v>155426.38344774424</v>
      </c>
      <c r="M80" s="9">
        <f t="shared" si="9"/>
        <v>0.51295836121367733</v>
      </c>
      <c r="N80" s="6"/>
      <c r="O80" s="6"/>
      <c r="S80" s="8"/>
      <c r="T80" s="5"/>
      <c r="U80" s="5"/>
      <c r="V80" s="5"/>
      <c r="W80" s="10"/>
      <c r="Y80" s="8"/>
      <c r="Z80" s="5"/>
      <c r="AA80" s="5"/>
      <c r="AB80" s="5"/>
      <c r="AC80" s="10"/>
    </row>
    <row r="81" spans="1:29" x14ac:dyDescent="0.3">
      <c r="B81">
        <f t="shared" si="12"/>
        <v>70</v>
      </c>
      <c r="C81" s="8">
        <f t="shared" si="13"/>
        <v>44912.5</v>
      </c>
      <c r="D81" s="6">
        <v>1914</v>
      </c>
      <c r="E81" s="6"/>
      <c r="F81" s="5">
        <f t="shared" si="15"/>
        <v>155426.38344774424</v>
      </c>
      <c r="G81" s="5">
        <f t="shared" si="10"/>
        <v>366.51180689837929</v>
      </c>
      <c r="H81" s="5">
        <f t="shared" si="14"/>
        <v>534.27819310162079</v>
      </c>
      <c r="I81" s="6">
        <v>1013.21</v>
      </c>
      <c r="J81" s="5">
        <f t="shared" si="8"/>
        <v>65849.109999999957</v>
      </c>
      <c r="K81" s="6"/>
      <c r="L81" s="5">
        <f t="shared" si="11"/>
        <v>155059.87164084584</v>
      </c>
      <c r="M81" s="9">
        <f t="shared" si="9"/>
        <v>0.51174875128992026</v>
      </c>
      <c r="N81" s="6"/>
      <c r="O81" s="6"/>
      <c r="S81" s="8"/>
      <c r="T81" s="5"/>
      <c r="U81" s="5"/>
      <c r="V81" s="5"/>
      <c r="W81" s="10"/>
      <c r="Y81" s="8"/>
      <c r="Z81" s="5"/>
      <c r="AA81" s="5"/>
      <c r="AB81" s="5"/>
      <c r="AC81" s="10"/>
    </row>
    <row r="82" spans="1:29" x14ac:dyDescent="0.3">
      <c r="B82">
        <f t="shared" si="12"/>
        <v>71</v>
      </c>
      <c r="C82" s="8">
        <f t="shared" si="13"/>
        <v>44943</v>
      </c>
      <c r="D82" s="6">
        <v>1914</v>
      </c>
      <c r="E82" s="6"/>
      <c r="F82" s="5">
        <f t="shared" si="15"/>
        <v>155059.87164084584</v>
      </c>
      <c r="G82" s="5">
        <f t="shared" si="10"/>
        <v>367.77169123459225</v>
      </c>
      <c r="H82" s="5">
        <f t="shared" si="14"/>
        <v>533.0183087654076</v>
      </c>
      <c r="I82" s="6">
        <v>1013.21</v>
      </c>
      <c r="J82" s="5">
        <f t="shared" si="8"/>
        <v>66862.319999999963</v>
      </c>
      <c r="K82" s="6"/>
      <c r="L82" s="5">
        <f t="shared" si="11"/>
        <v>154692.09994961123</v>
      </c>
      <c r="M82" s="9">
        <f t="shared" si="9"/>
        <v>0.51053498333205027</v>
      </c>
      <c r="N82" s="6"/>
      <c r="O82" s="6"/>
      <c r="S82" s="8"/>
      <c r="T82" s="5"/>
      <c r="U82" s="5"/>
      <c r="V82" s="5"/>
      <c r="W82" s="10"/>
      <c r="Y82" s="8"/>
      <c r="Z82" s="5"/>
      <c r="AA82" s="5"/>
      <c r="AB82" s="5"/>
      <c r="AC82" s="10"/>
    </row>
    <row r="83" spans="1:29" x14ac:dyDescent="0.3">
      <c r="B83">
        <f t="shared" si="12"/>
        <v>72</v>
      </c>
      <c r="C83" s="8">
        <f t="shared" si="13"/>
        <v>44973.5</v>
      </c>
      <c r="D83" s="6">
        <v>1914</v>
      </c>
      <c r="E83" s="6"/>
      <c r="F83" s="5">
        <f t="shared" si="15"/>
        <v>154692.09994961123</v>
      </c>
      <c r="G83" s="5">
        <f t="shared" si="10"/>
        <v>369.03590642321115</v>
      </c>
      <c r="H83" s="5">
        <f t="shared" si="14"/>
        <v>531.7540935767887</v>
      </c>
      <c r="I83" s="6">
        <v>1013.21</v>
      </c>
      <c r="J83" s="5">
        <f t="shared" si="8"/>
        <v>67875.52999999997</v>
      </c>
      <c r="K83" s="6"/>
      <c r="L83" s="5">
        <f t="shared" si="11"/>
        <v>154323.064043188</v>
      </c>
      <c r="M83" s="9">
        <f t="shared" si="9"/>
        <v>0.50931704304682512</v>
      </c>
      <c r="N83" s="6"/>
      <c r="O83" s="6"/>
      <c r="S83" s="8"/>
      <c r="T83" s="5"/>
      <c r="U83" s="5"/>
      <c r="V83" s="5"/>
      <c r="W83" s="10"/>
      <c r="Y83" s="8"/>
      <c r="Z83" s="5"/>
      <c r="AA83" s="5"/>
      <c r="AB83" s="5"/>
      <c r="AC83" s="10"/>
    </row>
    <row r="84" spans="1:29" x14ac:dyDescent="0.3">
      <c r="A84">
        <v>7</v>
      </c>
      <c r="B84">
        <f t="shared" si="12"/>
        <v>73</v>
      </c>
      <c r="C84" s="8">
        <f t="shared" si="13"/>
        <v>45004</v>
      </c>
      <c r="D84" s="6">
        <v>1914</v>
      </c>
      <c r="E84" s="6"/>
      <c r="F84" s="5">
        <f t="shared" si="15"/>
        <v>154323.064043188</v>
      </c>
      <c r="G84" s="5">
        <f t="shared" si="10"/>
        <v>370.30446735154101</v>
      </c>
      <c r="H84" s="5">
        <f t="shared" si="14"/>
        <v>530.48553264845884</v>
      </c>
      <c r="I84" s="6">
        <v>1013.21</v>
      </c>
      <c r="J84" s="5">
        <f t="shared" si="8"/>
        <v>68888.739999999976</v>
      </c>
      <c r="K84" s="6"/>
      <c r="L84" s="5">
        <f t="shared" si="11"/>
        <v>153952.75957583645</v>
      </c>
      <c r="M84" s="9">
        <f t="shared" si="9"/>
        <v>0.50809491609186952</v>
      </c>
      <c r="N84" s="6"/>
      <c r="O84" s="6"/>
      <c r="S84" s="8"/>
      <c r="T84" s="5"/>
      <c r="U84" s="5"/>
      <c r="V84" s="5"/>
      <c r="W84" s="10"/>
      <c r="Y84" s="8"/>
      <c r="Z84" s="5"/>
      <c r="AA84" s="5"/>
      <c r="AB84" s="5"/>
      <c r="AC84" s="10"/>
    </row>
    <row r="85" spans="1:29" x14ac:dyDescent="0.3">
      <c r="B85">
        <f t="shared" si="12"/>
        <v>74</v>
      </c>
      <c r="C85" s="8">
        <f t="shared" si="13"/>
        <v>45034.5</v>
      </c>
      <c r="D85" s="6">
        <v>1914</v>
      </c>
      <c r="E85" s="6"/>
      <c r="F85" s="5">
        <f t="shared" si="15"/>
        <v>153952.75957583645</v>
      </c>
      <c r="G85" s="5">
        <f t="shared" si="10"/>
        <v>371.57738895806233</v>
      </c>
      <c r="H85" s="5">
        <f t="shared" si="14"/>
        <v>529.21261104193775</v>
      </c>
      <c r="I85" s="6">
        <v>1013.21</v>
      </c>
      <c r="J85" s="5">
        <f t="shared" si="8"/>
        <v>69901.949999999983</v>
      </c>
      <c r="K85" s="6"/>
      <c r="L85" s="5">
        <f t="shared" si="11"/>
        <v>153581.18218687837</v>
      </c>
      <c r="M85" s="9">
        <f t="shared" si="9"/>
        <v>0.50686858807550617</v>
      </c>
      <c r="N85" s="6"/>
      <c r="O85" s="6"/>
      <c r="S85" s="8"/>
      <c r="T85" s="5"/>
      <c r="U85" s="5"/>
      <c r="V85" s="5"/>
      <c r="W85" s="10"/>
      <c r="Y85" s="8"/>
      <c r="Z85" s="5"/>
      <c r="AA85" s="5"/>
      <c r="AB85" s="5"/>
      <c r="AC85" s="10"/>
    </row>
    <row r="86" spans="1:29" x14ac:dyDescent="0.3">
      <c r="B86">
        <f t="shared" si="12"/>
        <v>75</v>
      </c>
      <c r="C86" s="8">
        <f t="shared" si="13"/>
        <v>45065</v>
      </c>
      <c r="D86" s="6">
        <v>1914</v>
      </c>
      <c r="E86" s="6"/>
      <c r="F86" s="5">
        <f t="shared" si="15"/>
        <v>153581.18218687837</v>
      </c>
      <c r="G86" s="5">
        <f t="shared" si="10"/>
        <v>372.85468623260567</v>
      </c>
      <c r="H86" s="5">
        <f t="shared" si="14"/>
        <v>527.9353137673944</v>
      </c>
      <c r="I86" s="6">
        <v>1013.21</v>
      </c>
      <c r="J86" s="5">
        <f t="shared" si="8"/>
        <v>70915.159999999989</v>
      </c>
      <c r="K86" s="6"/>
      <c r="L86" s="5">
        <f t="shared" si="11"/>
        <v>153208.32750064577</v>
      </c>
      <c r="M86" s="9">
        <f t="shared" si="9"/>
        <v>0.50563804455658667</v>
      </c>
      <c r="N86" s="6"/>
      <c r="O86" s="6"/>
      <c r="S86" s="8"/>
      <c r="T86" s="5"/>
      <c r="U86" s="5"/>
      <c r="V86" s="5"/>
      <c r="W86" s="10"/>
      <c r="Y86" s="8"/>
      <c r="Z86" s="5"/>
      <c r="AA86" s="5"/>
      <c r="AB86" s="5"/>
      <c r="AC86" s="10"/>
    </row>
    <row r="87" spans="1:29" x14ac:dyDescent="0.3">
      <c r="B87">
        <f t="shared" si="12"/>
        <v>76</v>
      </c>
      <c r="C87" s="8">
        <f t="shared" si="13"/>
        <v>45095.5</v>
      </c>
      <c r="D87" s="6">
        <v>1914</v>
      </c>
      <c r="E87" s="6"/>
      <c r="F87" s="5">
        <f t="shared" si="15"/>
        <v>153208.32750064577</v>
      </c>
      <c r="G87" s="5">
        <f t="shared" si="10"/>
        <v>374.13637421652993</v>
      </c>
      <c r="H87" s="5">
        <f t="shared" si="14"/>
        <v>526.65362578346992</v>
      </c>
      <c r="I87" s="6">
        <v>1013.21</v>
      </c>
      <c r="J87" s="5">
        <f t="shared" si="8"/>
        <v>71928.37</v>
      </c>
      <c r="K87" s="6"/>
      <c r="L87" s="5">
        <f t="shared" si="11"/>
        <v>152834.19112642924</v>
      </c>
      <c r="M87" s="9">
        <f t="shared" si="9"/>
        <v>0.50440327104432092</v>
      </c>
      <c r="N87" s="6"/>
      <c r="O87" s="6"/>
      <c r="S87" s="8"/>
      <c r="T87" s="5"/>
      <c r="U87" s="5"/>
      <c r="V87" s="5"/>
      <c r="W87" s="10"/>
      <c r="Y87" s="8"/>
      <c r="Z87" s="5"/>
      <c r="AA87" s="5"/>
      <c r="AB87" s="5"/>
      <c r="AC87" s="10"/>
    </row>
    <row r="88" spans="1:29" x14ac:dyDescent="0.3">
      <c r="B88">
        <f t="shared" si="12"/>
        <v>77</v>
      </c>
      <c r="C88" s="8">
        <f t="shared" si="13"/>
        <v>45126</v>
      </c>
      <c r="D88" s="6">
        <v>1914</v>
      </c>
      <c r="E88" s="6"/>
      <c r="F88" s="5">
        <f t="shared" si="15"/>
        <v>152834.19112642924</v>
      </c>
      <c r="G88" s="5">
        <f t="shared" si="10"/>
        <v>375.42246800289945</v>
      </c>
      <c r="H88" s="5">
        <f t="shared" si="14"/>
        <v>525.36753199710051</v>
      </c>
      <c r="I88" s="6">
        <v>1013.21</v>
      </c>
      <c r="J88" s="5">
        <f t="shared" si="8"/>
        <v>72941.58</v>
      </c>
      <c r="K88" s="6"/>
      <c r="L88" s="5">
        <f t="shared" si="11"/>
        <v>152458.76865842633</v>
      </c>
      <c r="M88" s="9">
        <f t="shared" si="9"/>
        <v>0.50316425299810674</v>
      </c>
      <c r="N88" s="6"/>
      <c r="O88" s="6"/>
      <c r="S88" s="8"/>
      <c r="T88" s="5"/>
      <c r="U88" s="5"/>
      <c r="V88" s="5"/>
      <c r="W88" s="10"/>
      <c r="Y88" s="8"/>
      <c r="Z88" s="5"/>
      <c r="AA88" s="5"/>
      <c r="AB88" s="5"/>
      <c r="AC88" s="10"/>
    </row>
    <row r="89" spans="1:29" x14ac:dyDescent="0.3">
      <c r="B89">
        <f t="shared" si="12"/>
        <v>78</v>
      </c>
      <c r="C89" s="8">
        <f t="shared" si="13"/>
        <v>45156.5</v>
      </c>
      <c r="D89" s="6">
        <v>1914</v>
      </c>
      <c r="E89" s="6"/>
      <c r="F89" s="5">
        <f t="shared" si="15"/>
        <v>152458.76865842633</v>
      </c>
      <c r="G89" s="5">
        <f t="shared" si="10"/>
        <v>376.71298273665934</v>
      </c>
      <c r="H89" s="5">
        <f t="shared" si="14"/>
        <v>524.07701726334051</v>
      </c>
      <c r="I89" s="6">
        <v>1013.21</v>
      </c>
      <c r="J89" s="5">
        <f t="shared" si="8"/>
        <v>73954.790000000008</v>
      </c>
      <c r="K89" s="6"/>
      <c r="L89" s="5">
        <f t="shared" si="11"/>
        <v>152082.05567568965</v>
      </c>
      <c r="M89" s="9">
        <f t="shared" si="9"/>
        <v>0.50192097582735862</v>
      </c>
      <c r="N89" s="6"/>
      <c r="O89" s="6"/>
      <c r="S89" s="8"/>
      <c r="T89" s="5"/>
      <c r="U89" s="5"/>
      <c r="V89" s="5"/>
      <c r="W89" s="10"/>
      <c r="Y89" s="8"/>
      <c r="Z89" s="5"/>
      <c r="AA89" s="5"/>
      <c r="AB89" s="5"/>
      <c r="AC89" s="10"/>
    </row>
    <row r="90" spans="1:29" x14ac:dyDescent="0.3">
      <c r="B90">
        <f t="shared" si="12"/>
        <v>79</v>
      </c>
      <c r="C90" s="8">
        <f t="shared" si="13"/>
        <v>45187</v>
      </c>
      <c r="D90" s="6">
        <v>1914</v>
      </c>
      <c r="E90" s="6"/>
      <c r="F90" s="5">
        <f t="shared" si="15"/>
        <v>152082.05567568965</v>
      </c>
      <c r="G90" s="5">
        <f t="shared" si="10"/>
        <v>378.00793361481692</v>
      </c>
      <c r="H90" s="5">
        <f t="shared" si="14"/>
        <v>522.78206638518316</v>
      </c>
      <c r="I90" s="6">
        <v>1013.21</v>
      </c>
      <c r="J90" s="5">
        <f t="shared" si="8"/>
        <v>74968.000000000015</v>
      </c>
      <c r="K90" s="6"/>
      <c r="L90" s="5">
        <f t="shared" si="11"/>
        <v>151704.04774207482</v>
      </c>
      <c r="M90" s="9">
        <f t="shared" si="9"/>
        <v>0.50067342489133604</v>
      </c>
      <c r="N90" s="6"/>
      <c r="O90" s="6"/>
      <c r="S90" s="8"/>
      <c r="T90" s="5"/>
      <c r="U90" s="5"/>
      <c r="V90" s="5"/>
      <c r="W90" s="10"/>
      <c r="Y90" s="8"/>
      <c r="Z90" s="5"/>
      <c r="AA90" s="5"/>
      <c r="AB90" s="5"/>
      <c r="AC90" s="10"/>
    </row>
    <row r="91" spans="1:29" x14ac:dyDescent="0.3">
      <c r="B91">
        <f t="shared" si="12"/>
        <v>80</v>
      </c>
      <c r="C91" s="8">
        <f t="shared" si="13"/>
        <v>45217.5</v>
      </c>
      <c r="D91" s="6">
        <v>1914</v>
      </c>
      <c r="E91" s="6"/>
      <c r="F91" s="5">
        <f t="shared" si="15"/>
        <v>151704.04774207482</v>
      </c>
      <c r="G91" s="5">
        <f t="shared" si="10"/>
        <v>379.30733588661769</v>
      </c>
      <c r="H91" s="5">
        <f t="shared" si="14"/>
        <v>521.48266411338216</v>
      </c>
      <c r="I91" s="6">
        <v>1013.21</v>
      </c>
      <c r="J91" s="5">
        <f t="shared" si="8"/>
        <v>75981.210000000021</v>
      </c>
      <c r="K91" s="6"/>
      <c r="L91" s="5">
        <f t="shared" si="11"/>
        <v>151324.74040618818</v>
      </c>
      <c r="M91" s="9">
        <f t="shared" si="9"/>
        <v>0.49942158549897092</v>
      </c>
      <c r="N91" s="6"/>
      <c r="O91" s="6"/>
      <c r="S91" s="8"/>
      <c r="T91" s="5"/>
      <c r="U91" s="5"/>
      <c r="V91" s="5"/>
      <c r="W91" s="10"/>
      <c r="Y91" s="8"/>
      <c r="Z91" s="5"/>
      <c r="AA91" s="5"/>
      <c r="AB91" s="5"/>
      <c r="AC91" s="10"/>
    </row>
    <row r="92" spans="1:29" x14ac:dyDescent="0.3">
      <c r="B92">
        <f t="shared" si="12"/>
        <v>81</v>
      </c>
      <c r="C92" s="8">
        <f t="shared" si="13"/>
        <v>45248</v>
      </c>
      <c r="D92" s="6">
        <v>1914</v>
      </c>
      <c r="E92" s="6"/>
      <c r="F92" s="5">
        <f t="shared" si="15"/>
        <v>151324.74040618818</v>
      </c>
      <c r="G92" s="5">
        <f t="shared" si="10"/>
        <v>380.61120485372794</v>
      </c>
      <c r="H92" s="5">
        <f t="shared" si="14"/>
        <v>520.17879514627191</v>
      </c>
      <c r="I92" s="6">
        <v>1013.21</v>
      </c>
      <c r="J92" s="5">
        <f t="shared" si="8"/>
        <v>76994.420000000027</v>
      </c>
      <c r="K92" s="6"/>
      <c r="L92" s="5">
        <f t="shared" si="11"/>
        <v>150944.12920133444</v>
      </c>
      <c r="M92" s="9">
        <f t="shared" si="9"/>
        <v>0.49816544290869452</v>
      </c>
      <c r="N92" s="6"/>
      <c r="O92" s="6"/>
      <c r="S92" s="8"/>
      <c r="T92" s="5"/>
      <c r="U92" s="5"/>
      <c r="V92" s="5"/>
      <c r="W92" s="10"/>
      <c r="Y92" s="8"/>
      <c r="Z92" s="5"/>
      <c r="AA92" s="5"/>
      <c r="AB92" s="5"/>
      <c r="AC92" s="10"/>
    </row>
    <row r="93" spans="1:29" x14ac:dyDescent="0.3">
      <c r="B93">
        <f t="shared" si="12"/>
        <v>82</v>
      </c>
      <c r="C93" s="8">
        <f t="shared" si="13"/>
        <v>45278.5</v>
      </c>
      <c r="D93" s="6">
        <v>1914</v>
      </c>
      <c r="E93" s="6"/>
      <c r="F93" s="5">
        <f t="shared" si="15"/>
        <v>150944.12920133444</v>
      </c>
      <c r="G93" s="5">
        <f t="shared" si="10"/>
        <v>381.91955587041275</v>
      </c>
      <c r="H93" s="5">
        <f t="shared" si="14"/>
        <v>518.8704441295871</v>
      </c>
      <c r="I93" s="6">
        <v>1013.21</v>
      </c>
      <c r="J93" s="5">
        <f t="shared" si="8"/>
        <v>78007.630000000034</v>
      </c>
      <c r="K93" s="6"/>
      <c r="L93" s="5">
        <f t="shared" si="11"/>
        <v>150562.20964546403</v>
      </c>
      <c r="M93" s="9">
        <f t="shared" si="9"/>
        <v>0.49690498232826413</v>
      </c>
      <c r="N93" s="6"/>
      <c r="O93" s="6"/>
      <c r="S93" s="8"/>
      <c r="T93" s="5"/>
      <c r="U93" s="5"/>
      <c r="V93" s="5"/>
      <c r="W93" s="10"/>
      <c r="Y93" s="8"/>
      <c r="Z93" s="5"/>
      <c r="AA93" s="5"/>
      <c r="AB93" s="5"/>
      <c r="AC93" s="10"/>
    </row>
    <row r="94" spans="1:29" x14ac:dyDescent="0.3">
      <c r="B94">
        <f t="shared" si="12"/>
        <v>83</v>
      </c>
      <c r="C94" s="8">
        <f t="shared" si="13"/>
        <v>45309</v>
      </c>
      <c r="D94" s="6">
        <v>1914</v>
      </c>
      <c r="E94" s="6"/>
      <c r="F94" s="5">
        <f t="shared" si="15"/>
        <v>150562.20964546403</v>
      </c>
      <c r="G94" s="5">
        <f t="shared" si="10"/>
        <v>383.23240434371746</v>
      </c>
      <c r="H94" s="5">
        <f t="shared" si="14"/>
        <v>517.55759565628261</v>
      </c>
      <c r="I94" s="6">
        <v>1013.21</v>
      </c>
      <c r="J94" s="5">
        <f t="shared" si="8"/>
        <v>79020.84000000004</v>
      </c>
      <c r="K94" s="6"/>
      <c r="L94" s="5">
        <f t="shared" si="11"/>
        <v>150178.9772411203</v>
      </c>
      <c r="M94" s="9">
        <f t="shared" si="9"/>
        <v>0.49564018891458844</v>
      </c>
      <c r="N94" s="6"/>
      <c r="O94" s="6"/>
      <c r="S94" s="8"/>
      <c r="T94" s="5"/>
      <c r="U94" s="5"/>
      <c r="V94" s="5"/>
      <c r="W94" s="10"/>
      <c r="Y94" s="8"/>
      <c r="Z94" s="5"/>
      <c r="AA94" s="5"/>
      <c r="AB94" s="5"/>
      <c r="AC94" s="10"/>
    </row>
    <row r="95" spans="1:29" x14ac:dyDescent="0.3">
      <c r="B95">
        <f t="shared" si="12"/>
        <v>84</v>
      </c>
      <c r="C95" s="8">
        <f t="shared" si="13"/>
        <v>45339.5</v>
      </c>
      <c r="D95" s="6">
        <v>1914</v>
      </c>
      <c r="E95" s="6"/>
      <c r="F95" s="5">
        <f t="shared" si="15"/>
        <v>150178.9772411203</v>
      </c>
      <c r="G95" s="5">
        <f t="shared" si="10"/>
        <v>384.54976573364888</v>
      </c>
      <c r="H95" s="5">
        <f t="shared" si="14"/>
        <v>516.24023426635108</v>
      </c>
      <c r="I95" s="6">
        <v>1013.21</v>
      </c>
      <c r="J95" s="5">
        <f t="shared" si="8"/>
        <v>80034.050000000047</v>
      </c>
      <c r="K95" s="6"/>
      <c r="L95" s="5">
        <f t="shared" si="11"/>
        <v>149794.42747538665</v>
      </c>
      <c r="M95" s="9">
        <f t="shared" si="9"/>
        <v>0.49437104777355328</v>
      </c>
      <c r="N95" s="6"/>
      <c r="O95" s="6"/>
      <c r="S95" s="8"/>
      <c r="T95" s="5"/>
      <c r="U95" s="5"/>
      <c r="V95" s="5"/>
      <c r="W95" s="10"/>
      <c r="Y95" s="8"/>
      <c r="Z95" s="5"/>
      <c r="AA95" s="5"/>
      <c r="AB95" s="5"/>
      <c r="AC95" s="10"/>
    </row>
    <row r="96" spans="1:29" x14ac:dyDescent="0.3">
      <c r="A96">
        <v>8</v>
      </c>
      <c r="B96">
        <f t="shared" si="12"/>
        <v>85</v>
      </c>
      <c r="C96" s="8">
        <f t="shared" si="13"/>
        <v>45370</v>
      </c>
      <c r="D96" s="6">
        <v>1914</v>
      </c>
      <c r="E96" s="6"/>
      <c r="F96" s="5">
        <f t="shared" si="15"/>
        <v>149794.42747538665</v>
      </c>
      <c r="G96" s="5">
        <f t="shared" si="10"/>
        <v>385.87165555335832</v>
      </c>
      <c r="H96" s="5">
        <f t="shared" si="14"/>
        <v>514.91834444664164</v>
      </c>
      <c r="I96" s="6">
        <v>1013.21</v>
      </c>
      <c r="J96" s="5">
        <f t="shared" si="8"/>
        <v>81047.260000000053</v>
      </c>
      <c r="K96" s="6"/>
      <c r="L96" s="5">
        <f t="shared" si="11"/>
        <v>149408.55581983327</v>
      </c>
      <c r="M96" s="9">
        <f t="shared" si="9"/>
        <v>0.49309754395984579</v>
      </c>
      <c r="N96" s="6"/>
      <c r="O96" s="6"/>
      <c r="S96" s="8"/>
      <c r="T96" s="5"/>
      <c r="U96" s="5"/>
      <c r="V96" s="5"/>
      <c r="W96" s="10"/>
      <c r="Y96" s="8"/>
      <c r="Z96" s="5"/>
      <c r="AA96" s="5"/>
      <c r="AB96" s="5"/>
      <c r="AC96" s="10"/>
    </row>
    <row r="97" spans="1:29" x14ac:dyDescent="0.3">
      <c r="B97">
        <f t="shared" si="12"/>
        <v>86</v>
      </c>
      <c r="C97" s="8">
        <f t="shared" si="13"/>
        <v>45400.5</v>
      </c>
      <c r="D97" s="6">
        <v>1914</v>
      </c>
      <c r="E97" s="6"/>
      <c r="F97" s="5">
        <f t="shared" si="15"/>
        <v>149408.55581983327</v>
      </c>
      <c r="G97" s="5">
        <f t="shared" si="10"/>
        <v>387.19808936932304</v>
      </c>
      <c r="H97" s="5">
        <f t="shared" si="14"/>
        <v>513.59191063067692</v>
      </c>
      <c r="I97" s="6">
        <v>1013.21</v>
      </c>
      <c r="J97" s="5">
        <f t="shared" si="8"/>
        <v>82060.470000000059</v>
      </c>
      <c r="K97" s="6"/>
      <c r="L97" s="5">
        <f t="shared" si="11"/>
        <v>149021.35773046393</v>
      </c>
      <c r="M97" s="9">
        <f t="shared" si="9"/>
        <v>0.49181966247677866</v>
      </c>
      <c r="N97" s="6"/>
      <c r="O97" s="6"/>
      <c r="S97" s="8"/>
      <c r="T97" s="5"/>
      <c r="U97" s="5"/>
      <c r="V97" s="5"/>
      <c r="W97" s="10"/>
      <c r="Y97" s="8"/>
      <c r="Z97" s="5"/>
      <c r="AA97" s="5"/>
      <c r="AB97" s="5"/>
      <c r="AC97" s="10"/>
    </row>
    <row r="98" spans="1:29" x14ac:dyDescent="0.3">
      <c r="B98">
        <f t="shared" si="12"/>
        <v>87</v>
      </c>
      <c r="C98" s="8">
        <f t="shared" si="13"/>
        <v>45431</v>
      </c>
      <c r="D98" s="6">
        <v>1914</v>
      </c>
      <c r="E98" s="6"/>
      <c r="F98" s="5">
        <f t="shared" si="15"/>
        <v>149021.35773046393</v>
      </c>
      <c r="G98" s="5">
        <f t="shared" si="10"/>
        <v>388.52908280153019</v>
      </c>
      <c r="H98" s="5">
        <f t="shared" si="14"/>
        <v>512.26091719846977</v>
      </c>
      <c r="I98" s="6">
        <v>1013.21</v>
      </c>
      <c r="J98" s="5">
        <f t="shared" si="8"/>
        <v>83073.680000000066</v>
      </c>
      <c r="K98" s="6"/>
      <c r="L98" s="5">
        <f t="shared" si="11"/>
        <v>148632.82864766239</v>
      </c>
      <c r="M98" s="9">
        <f t="shared" si="9"/>
        <v>0.49053738827611348</v>
      </c>
      <c r="N98" s="6"/>
      <c r="O98" s="6"/>
      <c r="S98" s="8"/>
      <c r="T98" s="5"/>
      <c r="U98" s="5"/>
      <c r="V98" s="5"/>
      <c r="W98" s="10"/>
      <c r="Y98" s="8"/>
      <c r="Z98" s="5"/>
      <c r="AA98" s="5"/>
      <c r="AB98" s="5"/>
      <c r="AC98" s="10"/>
    </row>
    <row r="99" spans="1:29" x14ac:dyDescent="0.3">
      <c r="B99">
        <f t="shared" si="12"/>
        <v>88</v>
      </c>
      <c r="C99" s="8">
        <f t="shared" si="13"/>
        <v>45461.5</v>
      </c>
      <c r="D99" s="6">
        <v>1914</v>
      </c>
      <c r="E99" s="6"/>
      <c r="F99" s="5">
        <f t="shared" si="15"/>
        <v>148632.82864766239</v>
      </c>
      <c r="G99" s="5">
        <f t="shared" si="10"/>
        <v>389.86465152366054</v>
      </c>
      <c r="H99" s="5">
        <f t="shared" si="14"/>
        <v>510.92534847633948</v>
      </c>
      <c r="I99" s="6">
        <v>1013.21</v>
      </c>
      <c r="J99" s="5">
        <f t="shared" si="8"/>
        <v>84086.890000000072</v>
      </c>
      <c r="K99" s="6"/>
      <c r="L99" s="5">
        <f t="shared" si="11"/>
        <v>148242.96399613871</v>
      </c>
      <c r="M99" s="9">
        <f t="shared" si="9"/>
        <v>0.48925070625788353</v>
      </c>
      <c r="N99" s="6"/>
      <c r="O99" s="6"/>
      <c r="S99" s="8"/>
      <c r="T99" s="5"/>
      <c r="U99" s="5"/>
      <c r="V99" s="5"/>
      <c r="W99" s="10"/>
      <c r="Y99" s="8"/>
      <c r="Z99" s="5"/>
      <c r="AA99" s="5"/>
      <c r="AB99" s="5"/>
      <c r="AC99" s="10"/>
    </row>
    <row r="100" spans="1:29" x14ac:dyDescent="0.3">
      <c r="B100">
        <f t="shared" si="12"/>
        <v>89</v>
      </c>
      <c r="C100" s="8">
        <f t="shared" si="13"/>
        <v>45492</v>
      </c>
      <c r="D100" s="6">
        <v>1914</v>
      </c>
      <c r="E100" s="6"/>
      <c r="F100" s="5">
        <f t="shared" si="15"/>
        <v>148242.96399613871</v>
      </c>
      <c r="G100" s="5">
        <f t="shared" si="10"/>
        <v>391.20481126327309</v>
      </c>
      <c r="H100" s="5">
        <f t="shared" si="14"/>
        <v>509.58518873672688</v>
      </c>
      <c r="I100" s="6">
        <v>1013.21</v>
      </c>
      <c r="J100" s="5">
        <f t="shared" si="8"/>
        <v>85100.100000000079</v>
      </c>
      <c r="K100" s="6"/>
      <c r="L100" s="5">
        <f t="shared" si="11"/>
        <v>147851.75918487544</v>
      </c>
      <c r="M100" s="9">
        <f t="shared" si="9"/>
        <v>0.48795960127021598</v>
      </c>
      <c r="N100" s="6"/>
      <c r="O100" s="6"/>
      <c r="S100" s="8"/>
      <c r="T100" s="5"/>
      <c r="U100" s="5"/>
      <c r="V100" s="5"/>
      <c r="W100" s="10"/>
      <c r="Y100" s="8"/>
      <c r="Z100" s="5"/>
      <c r="AA100" s="5"/>
      <c r="AB100" s="5"/>
      <c r="AC100" s="10"/>
    </row>
    <row r="101" spans="1:29" x14ac:dyDescent="0.3">
      <c r="B101">
        <f t="shared" si="12"/>
        <v>90</v>
      </c>
      <c r="C101" s="8">
        <f t="shared" si="13"/>
        <v>45522.5</v>
      </c>
      <c r="D101" s="6">
        <v>1914</v>
      </c>
      <c r="E101" s="6"/>
      <c r="F101" s="5">
        <f t="shared" si="15"/>
        <v>147851.75918487544</v>
      </c>
      <c r="G101" s="5">
        <f t="shared" si="10"/>
        <v>392.54957780199061</v>
      </c>
      <c r="H101" s="5">
        <f t="shared" si="14"/>
        <v>508.24042219800936</v>
      </c>
      <c r="I101" s="6">
        <v>1013.21</v>
      </c>
      <c r="J101" s="5">
        <f t="shared" si="8"/>
        <v>86113.310000000085</v>
      </c>
      <c r="K101" s="6"/>
      <c r="L101" s="5">
        <f t="shared" si="11"/>
        <v>147459.20960707343</v>
      </c>
      <c r="M101" s="9">
        <f t="shared" si="9"/>
        <v>0.4866640581091532</v>
      </c>
      <c r="N101" s="6"/>
      <c r="O101" s="6"/>
      <c r="S101" s="8"/>
      <c r="T101" s="5"/>
      <c r="U101" s="5"/>
      <c r="V101" s="5"/>
      <c r="W101" s="10"/>
      <c r="Y101" s="8"/>
      <c r="Z101" s="5"/>
      <c r="AA101" s="5"/>
      <c r="AB101" s="5"/>
      <c r="AC101" s="10"/>
    </row>
    <row r="102" spans="1:29" x14ac:dyDescent="0.3">
      <c r="B102">
        <f t="shared" si="12"/>
        <v>91</v>
      </c>
      <c r="C102" s="8">
        <f t="shared" si="13"/>
        <v>45553</v>
      </c>
      <c r="D102" s="6">
        <v>1914</v>
      </c>
      <c r="E102" s="6"/>
      <c r="F102" s="5">
        <f t="shared" si="15"/>
        <v>147459.20960707343</v>
      </c>
      <c r="G102" s="5">
        <f t="shared" si="10"/>
        <v>393.89896697568497</v>
      </c>
      <c r="H102" s="5">
        <f t="shared" si="14"/>
        <v>506.89103302431494</v>
      </c>
      <c r="I102" s="6">
        <v>1013.21</v>
      </c>
      <c r="J102" s="5">
        <f t="shared" si="8"/>
        <v>87126.520000000091</v>
      </c>
      <c r="K102" s="6"/>
      <c r="L102" s="5">
        <f t="shared" si="11"/>
        <v>147065.31064009774</v>
      </c>
      <c r="M102" s="9">
        <f t="shared" si="9"/>
        <v>0.48536406151847439</v>
      </c>
      <c r="N102" s="6"/>
      <c r="O102" s="6"/>
      <c r="S102" s="8"/>
      <c r="T102" s="5"/>
      <c r="U102" s="5"/>
      <c r="V102" s="5"/>
      <c r="W102" s="10"/>
      <c r="Y102" s="8"/>
      <c r="Z102" s="5"/>
      <c r="AA102" s="5"/>
      <c r="AB102" s="5"/>
      <c r="AC102" s="10"/>
    </row>
    <row r="103" spans="1:29" x14ac:dyDescent="0.3">
      <c r="B103">
        <f t="shared" si="12"/>
        <v>92</v>
      </c>
      <c r="C103" s="8">
        <f t="shared" si="13"/>
        <v>45583.5</v>
      </c>
      <c r="D103" s="6">
        <v>1914</v>
      </c>
      <c r="E103" s="6"/>
      <c r="F103" s="5">
        <f t="shared" si="15"/>
        <v>147065.31064009774</v>
      </c>
      <c r="G103" s="5">
        <f t="shared" si="10"/>
        <v>395.25299467466402</v>
      </c>
      <c r="H103" s="5">
        <f t="shared" si="14"/>
        <v>505.537005325336</v>
      </c>
      <c r="I103" s="6">
        <v>1013.21</v>
      </c>
      <c r="J103" s="5">
        <f t="shared" si="8"/>
        <v>88139.730000000098</v>
      </c>
      <c r="K103" s="6"/>
      <c r="L103" s="5">
        <f t="shared" si="11"/>
        <v>146670.05764542308</v>
      </c>
      <c r="M103" s="9">
        <f t="shared" si="9"/>
        <v>0.48405959618951511</v>
      </c>
      <c r="N103" s="6"/>
      <c r="O103" s="6"/>
      <c r="S103" s="8"/>
      <c r="T103" s="5"/>
      <c r="U103" s="5"/>
      <c r="V103" s="5"/>
      <c r="W103" s="10"/>
      <c r="Y103" s="8"/>
      <c r="Z103" s="5"/>
      <c r="AA103" s="5"/>
      <c r="AB103" s="5"/>
      <c r="AC103" s="10"/>
    </row>
    <row r="104" spans="1:29" x14ac:dyDescent="0.3">
      <c r="B104">
        <f t="shared" si="12"/>
        <v>93</v>
      </c>
      <c r="C104" s="8">
        <f t="shared" si="13"/>
        <v>45614</v>
      </c>
      <c r="D104" s="6">
        <v>1914</v>
      </c>
      <c r="E104" s="6"/>
      <c r="F104" s="5">
        <f t="shared" si="15"/>
        <v>146670.05764542308</v>
      </c>
      <c r="G104" s="5">
        <f t="shared" si="10"/>
        <v>396.61167684385805</v>
      </c>
      <c r="H104" s="5">
        <f t="shared" si="14"/>
        <v>504.17832315614186</v>
      </c>
      <c r="I104" s="6">
        <v>1013.21</v>
      </c>
      <c r="J104" s="5">
        <f t="shared" si="8"/>
        <v>89152.940000000104</v>
      </c>
      <c r="K104" s="6"/>
      <c r="L104" s="5">
        <f t="shared" si="11"/>
        <v>146273.44596857921</v>
      </c>
      <c r="M104" s="9">
        <f t="shared" si="9"/>
        <v>0.4827506467609875</v>
      </c>
      <c r="N104" s="6"/>
      <c r="O104" s="6"/>
      <c r="S104" s="8"/>
      <c r="T104" s="5"/>
      <c r="U104" s="5"/>
      <c r="V104" s="5"/>
      <c r="W104" s="10"/>
      <c r="Y104" s="8"/>
      <c r="Z104" s="5"/>
      <c r="AA104" s="5"/>
      <c r="AB104" s="5"/>
      <c r="AC104" s="10"/>
    </row>
    <row r="105" spans="1:29" x14ac:dyDescent="0.3">
      <c r="B105">
        <f t="shared" si="12"/>
        <v>94</v>
      </c>
      <c r="C105" s="8">
        <f t="shared" si="13"/>
        <v>45644.5</v>
      </c>
      <c r="D105" s="6">
        <v>1914</v>
      </c>
      <c r="E105" s="6"/>
      <c r="F105" s="5">
        <f t="shared" si="15"/>
        <v>146273.44596857921</v>
      </c>
      <c r="G105" s="5">
        <f t="shared" si="10"/>
        <v>397.97502948300894</v>
      </c>
      <c r="H105" s="5">
        <f t="shared" si="14"/>
        <v>502.81497051699102</v>
      </c>
      <c r="I105" s="6">
        <v>1013.21</v>
      </c>
      <c r="J105" s="5">
        <f t="shared" si="8"/>
        <v>90166.150000000111</v>
      </c>
      <c r="K105" s="6"/>
      <c r="L105" s="5">
        <f t="shared" si="11"/>
        <v>145875.47093909618</v>
      </c>
      <c r="M105" s="9">
        <f t="shared" si="9"/>
        <v>0.48143719781879929</v>
      </c>
      <c r="N105" s="6"/>
      <c r="O105" s="6"/>
      <c r="S105" s="8"/>
      <c r="T105" s="5"/>
      <c r="U105" s="5"/>
      <c r="V105" s="5"/>
      <c r="W105" s="10"/>
      <c r="Y105" s="8"/>
      <c r="Z105" s="5"/>
      <c r="AA105" s="5"/>
      <c r="AB105" s="5"/>
      <c r="AC105" s="10"/>
    </row>
    <row r="106" spans="1:29" x14ac:dyDescent="0.3">
      <c r="B106">
        <f t="shared" si="12"/>
        <v>95</v>
      </c>
      <c r="C106" s="8">
        <f t="shared" si="13"/>
        <v>45675</v>
      </c>
      <c r="D106" s="6">
        <v>1914</v>
      </c>
      <c r="E106" s="6"/>
      <c r="F106" s="5">
        <f t="shared" si="15"/>
        <v>145875.47093909618</v>
      </c>
      <c r="G106" s="5">
        <f t="shared" si="10"/>
        <v>399.34306864685686</v>
      </c>
      <c r="H106" s="5">
        <f t="shared" si="14"/>
        <v>501.44693135314316</v>
      </c>
      <c r="I106" s="6">
        <v>1013.21</v>
      </c>
      <c r="J106" s="5">
        <f t="shared" si="8"/>
        <v>91179.360000000117</v>
      </c>
      <c r="K106" s="6"/>
      <c r="L106" s="5">
        <f t="shared" si="11"/>
        <v>145476.1278704493</v>
      </c>
      <c r="M106" s="9">
        <f t="shared" si="9"/>
        <v>0.4801192338958723</v>
      </c>
      <c r="N106" s="6"/>
      <c r="O106" s="6"/>
      <c r="S106" s="8"/>
      <c r="T106" s="5"/>
      <c r="U106" s="5"/>
      <c r="V106" s="5"/>
      <c r="W106" s="10"/>
      <c r="Y106" s="8"/>
      <c r="Z106" s="5"/>
      <c r="AA106" s="5"/>
      <c r="AB106" s="5"/>
      <c r="AC106" s="10"/>
    </row>
    <row r="107" spans="1:29" x14ac:dyDescent="0.3">
      <c r="B107">
        <f t="shared" si="12"/>
        <v>96</v>
      </c>
      <c r="C107" s="8">
        <f t="shared" si="13"/>
        <v>45705.5</v>
      </c>
      <c r="D107" s="6">
        <v>1914</v>
      </c>
      <c r="E107" s="6"/>
      <c r="F107" s="5">
        <f t="shared" si="15"/>
        <v>145476.1278704493</v>
      </c>
      <c r="G107" s="5">
        <f t="shared" si="10"/>
        <v>400.71581044533036</v>
      </c>
      <c r="H107" s="5">
        <f t="shared" si="14"/>
        <v>500.07418955466954</v>
      </c>
      <c r="I107" s="6">
        <v>1013.21</v>
      </c>
      <c r="J107" s="5">
        <f t="shared" si="8"/>
        <v>92192.570000000123</v>
      </c>
      <c r="K107" s="6"/>
      <c r="L107" s="5">
        <f t="shared" si="11"/>
        <v>145075.41206000396</v>
      </c>
      <c r="M107" s="9">
        <f t="shared" si="9"/>
        <v>0.47879673947196028</v>
      </c>
      <c r="N107" s="6"/>
      <c r="O107" s="6"/>
      <c r="S107" s="8"/>
      <c r="T107" s="5"/>
      <c r="U107" s="5"/>
      <c r="V107" s="5"/>
      <c r="W107" s="10"/>
      <c r="Y107" s="8"/>
      <c r="Z107" s="5"/>
      <c r="AA107" s="5"/>
      <c r="AB107" s="5"/>
      <c r="AC107" s="10"/>
    </row>
    <row r="108" spans="1:29" x14ac:dyDescent="0.3">
      <c r="A108">
        <v>9</v>
      </c>
      <c r="B108">
        <f t="shared" si="12"/>
        <v>97</v>
      </c>
      <c r="C108" s="8">
        <f t="shared" si="13"/>
        <v>45736</v>
      </c>
      <c r="D108" s="6">
        <v>1914</v>
      </c>
      <c r="E108" s="6"/>
      <c r="F108" s="5">
        <f t="shared" si="15"/>
        <v>145075.41206000396</v>
      </c>
      <c r="G108" s="5">
        <f t="shared" si="10"/>
        <v>402.09327104373642</v>
      </c>
      <c r="H108" s="5">
        <f t="shared" si="14"/>
        <v>498.6967289562636</v>
      </c>
      <c r="I108" s="6">
        <v>1013.21</v>
      </c>
      <c r="J108" s="5">
        <f t="shared" si="8"/>
        <v>93205.78000000013</v>
      </c>
      <c r="K108" s="6"/>
      <c r="L108" s="5">
        <f t="shared" si="11"/>
        <v>144673.31878896023</v>
      </c>
      <c r="M108" s="9">
        <f t="shared" si="9"/>
        <v>0.47746969897346608</v>
      </c>
      <c r="N108" s="6"/>
      <c r="O108" s="6"/>
      <c r="S108" s="8"/>
      <c r="T108" s="5"/>
      <c r="U108" s="5"/>
      <c r="V108" s="5"/>
      <c r="W108" s="10"/>
      <c r="Y108" s="8"/>
      <c r="Z108" s="5"/>
      <c r="AA108" s="5"/>
      <c r="AB108" s="5"/>
      <c r="AC108" s="10"/>
    </row>
    <row r="109" spans="1:29" x14ac:dyDescent="0.3">
      <c r="B109">
        <f t="shared" si="12"/>
        <v>98</v>
      </c>
      <c r="C109" s="8">
        <f t="shared" si="13"/>
        <v>45766.5</v>
      </c>
      <c r="D109" s="6">
        <v>1914</v>
      </c>
      <c r="E109" s="6"/>
      <c r="F109" s="5">
        <f t="shared" si="15"/>
        <v>144673.31878896023</v>
      </c>
      <c r="G109" s="5">
        <f t="shared" si="10"/>
        <v>403.4754666629492</v>
      </c>
      <c r="H109" s="5">
        <f t="shared" si="14"/>
        <v>497.31453333705082</v>
      </c>
      <c r="I109" s="6">
        <v>1013.21</v>
      </c>
      <c r="J109" s="5">
        <f t="shared" si="8"/>
        <v>94218.990000000136</v>
      </c>
      <c r="K109" s="6"/>
      <c r="L109" s="5">
        <f t="shared" si="11"/>
        <v>144269.84332229727</v>
      </c>
      <c r="M109" s="9">
        <f t="shared" si="9"/>
        <v>0.4761380967732583</v>
      </c>
      <c r="N109" s="6"/>
      <c r="O109" s="6"/>
      <c r="S109" s="8"/>
      <c r="T109" s="5"/>
      <c r="U109" s="5"/>
      <c r="V109" s="5"/>
      <c r="W109" s="10"/>
      <c r="Y109" s="8"/>
      <c r="Z109" s="5"/>
      <c r="AA109" s="5"/>
      <c r="AB109" s="5"/>
      <c r="AC109" s="10"/>
    </row>
    <row r="110" spans="1:29" x14ac:dyDescent="0.3">
      <c r="B110">
        <f t="shared" si="12"/>
        <v>99</v>
      </c>
      <c r="C110" s="8">
        <f t="shared" si="13"/>
        <v>45797</v>
      </c>
      <c r="D110" s="6">
        <v>1914</v>
      </c>
      <c r="E110" s="6"/>
      <c r="F110" s="5">
        <f t="shared" si="15"/>
        <v>144269.84332229727</v>
      </c>
      <c r="G110" s="5">
        <f t="shared" si="10"/>
        <v>404.86241357960307</v>
      </c>
      <c r="H110" s="5">
        <f t="shared" si="14"/>
        <v>495.92758642039689</v>
      </c>
      <c r="I110" s="6">
        <v>1013.21</v>
      </c>
      <c r="J110" s="5">
        <f t="shared" si="8"/>
        <v>95232.200000000143</v>
      </c>
      <c r="K110" s="6"/>
      <c r="L110" s="5">
        <f t="shared" si="11"/>
        <v>143864.98090871767</v>
      </c>
      <c r="M110" s="9">
        <f t="shared" si="9"/>
        <v>0.47480191719048737</v>
      </c>
      <c r="N110" s="6"/>
      <c r="O110" s="6"/>
      <c r="S110" s="8"/>
      <c r="T110" s="5"/>
      <c r="U110" s="5"/>
      <c r="V110" s="5"/>
      <c r="W110" s="10"/>
      <c r="Y110" s="8"/>
      <c r="Z110" s="5"/>
      <c r="AA110" s="5"/>
      <c r="AB110" s="5"/>
      <c r="AC110" s="10"/>
    </row>
    <row r="111" spans="1:29" x14ac:dyDescent="0.3">
      <c r="B111">
        <f t="shared" si="12"/>
        <v>100</v>
      </c>
      <c r="C111" s="8">
        <f t="shared" si="13"/>
        <v>45827.5</v>
      </c>
      <c r="D111" s="6">
        <v>1914</v>
      </c>
      <c r="E111" s="6"/>
      <c r="F111" s="5">
        <f t="shared" si="15"/>
        <v>143864.98090871767</v>
      </c>
      <c r="G111" s="5">
        <f t="shared" si="10"/>
        <v>406.25412812628292</v>
      </c>
      <c r="H111" s="5">
        <f t="shared" si="14"/>
        <v>494.53587187371704</v>
      </c>
      <c r="I111" s="6">
        <v>1013.21</v>
      </c>
      <c r="J111" s="5">
        <f t="shared" si="8"/>
        <v>96245.410000000149</v>
      </c>
      <c r="K111" s="6"/>
      <c r="L111" s="5">
        <f t="shared" si="11"/>
        <v>143458.72678059139</v>
      </c>
      <c r="M111" s="9">
        <f t="shared" si="9"/>
        <v>0.47346114449040061</v>
      </c>
      <c r="N111" s="6"/>
      <c r="O111" s="6"/>
      <c r="S111" s="8"/>
      <c r="T111" s="5"/>
      <c r="U111" s="5"/>
      <c r="V111" s="5"/>
      <c r="W111" s="10"/>
      <c r="Y111" s="8"/>
      <c r="Z111" s="5"/>
      <c r="AA111" s="5"/>
      <c r="AB111" s="5"/>
      <c r="AC111" s="10"/>
    </row>
    <row r="112" spans="1:29" x14ac:dyDescent="0.3">
      <c r="B112">
        <f t="shared" si="12"/>
        <v>101</v>
      </c>
      <c r="C112" s="8">
        <f t="shared" si="13"/>
        <v>45858</v>
      </c>
      <c r="D112" s="6">
        <v>1914</v>
      </c>
      <c r="E112" s="6"/>
      <c r="F112" s="5">
        <f t="shared" si="15"/>
        <v>143458.72678059139</v>
      </c>
      <c r="G112" s="5">
        <f t="shared" si="10"/>
        <v>407.65062669171698</v>
      </c>
      <c r="H112" s="5">
        <f t="shared" si="14"/>
        <v>493.13937330828293</v>
      </c>
      <c r="I112" s="6">
        <v>1013.21</v>
      </c>
      <c r="J112" s="5">
        <f t="shared" si="8"/>
        <v>97258.620000000155</v>
      </c>
      <c r="K112" s="6"/>
      <c r="L112" s="5">
        <f t="shared" si="11"/>
        <v>143051.07615389966</v>
      </c>
      <c r="M112" s="9">
        <f t="shared" si="9"/>
        <v>0.4721157628841573</v>
      </c>
      <c r="N112" s="6"/>
      <c r="O112" s="6"/>
      <c r="S112" s="8"/>
      <c r="T112" s="5"/>
      <c r="U112" s="5"/>
      <c r="V112" s="5"/>
      <c r="W112" s="10"/>
      <c r="Y112" s="8"/>
      <c r="Z112" s="5"/>
      <c r="AA112" s="5"/>
      <c r="AB112" s="5"/>
      <c r="AC112" s="10"/>
    </row>
    <row r="113" spans="1:29" x14ac:dyDescent="0.3">
      <c r="B113">
        <f t="shared" si="12"/>
        <v>102</v>
      </c>
      <c r="C113" s="8">
        <f t="shared" si="13"/>
        <v>45888.5</v>
      </c>
      <c r="D113" s="6">
        <v>1914</v>
      </c>
      <c r="E113" s="6"/>
      <c r="F113" s="5">
        <f t="shared" si="15"/>
        <v>143051.07615389966</v>
      </c>
      <c r="G113" s="5">
        <f t="shared" si="10"/>
        <v>409.05192572096985</v>
      </c>
      <c r="H113" s="5">
        <f t="shared" si="14"/>
        <v>491.73807427903012</v>
      </c>
      <c r="I113" s="6">
        <v>1013.21</v>
      </c>
      <c r="J113" s="5">
        <f t="shared" si="8"/>
        <v>98271.830000000162</v>
      </c>
      <c r="K113" s="6"/>
      <c r="L113" s="5">
        <f t="shared" si="11"/>
        <v>142642.02422817869</v>
      </c>
      <c r="M113" s="9">
        <f t="shared" si="9"/>
        <v>0.47076575652864255</v>
      </c>
      <c r="N113" s="6"/>
      <c r="O113" s="6"/>
      <c r="S113" s="8"/>
      <c r="T113" s="5"/>
      <c r="U113" s="5"/>
      <c r="V113" s="5"/>
      <c r="W113" s="10"/>
      <c r="Y113" s="8"/>
      <c r="Z113" s="5"/>
      <c r="AA113" s="5"/>
      <c r="AB113" s="5"/>
      <c r="AC113" s="10"/>
    </row>
    <row r="114" spans="1:29" x14ac:dyDescent="0.3">
      <c r="B114">
        <f t="shared" si="12"/>
        <v>103</v>
      </c>
      <c r="C114" s="8">
        <f t="shared" si="13"/>
        <v>45919</v>
      </c>
      <c r="D114" s="6">
        <v>1914</v>
      </c>
      <c r="E114" s="6"/>
      <c r="F114" s="5">
        <f t="shared" si="15"/>
        <v>142642.02422817869</v>
      </c>
      <c r="G114" s="5">
        <f t="shared" si="10"/>
        <v>410.45804171563577</v>
      </c>
      <c r="H114" s="5">
        <f t="shared" si="14"/>
        <v>490.33195828436425</v>
      </c>
      <c r="I114" s="6">
        <v>1013.21</v>
      </c>
      <c r="J114" s="5">
        <f t="shared" si="8"/>
        <v>99285.040000000168</v>
      </c>
      <c r="K114" s="6"/>
      <c r="L114" s="5">
        <f t="shared" si="11"/>
        <v>142231.56618646305</v>
      </c>
      <c r="M114" s="9">
        <f t="shared" si="9"/>
        <v>0.46941110952628068</v>
      </c>
      <c r="N114" s="6"/>
      <c r="O114" s="6"/>
      <c r="S114" s="8"/>
      <c r="T114" s="5"/>
      <c r="U114" s="5"/>
      <c r="V114" s="5"/>
      <c r="W114" s="10"/>
      <c r="Y114" s="8"/>
      <c r="Z114" s="5"/>
      <c r="AA114" s="5"/>
      <c r="AB114" s="5"/>
      <c r="AC114" s="10"/>
    </row>
    <row r="115" spans="1:29" x14ac:dyDescent="0.3">
      <c r="B115">
        <f t="shared" si="12"/>
        <v>104</v>
      </c>
      <c r="C115" s="8">
        <f t="shared" si="13"/>
        <v>45949.5</v>
      </c>
      <c r="D115" s="6">
        <v>1914</v>
      </c>
      <c r="E115" s="6"/>
      <c r="F115" s="5">
        <f t="shared" si="15"/>
        <v>142231.56618646305</v>
      </c>
      <c r="G115" s="5">
        <f t="shared" si="10"/>
        <v>411.86899123403327</v>
      </c>
      <c r="H115" s="5">
        <f t="shared" si="14"/>
        <v>488.92100876596675</v>
      </c>
      <c r="I115" s="6">
        <v>1013.21</v>
      </c>
      <c r="J115" s="5">
        <f t="shared" si="8"/>
        <v>100298.25000000017</v>
      </c>
      <c r="K115" s="6"/>
      <c r="L115" s="5">
        <f t="shared" si="11"/>
        <v>141819.697195229</v>
      </c>
      <c r="M115" s="9">
        <f t="shared" si="9"/>
        <v>0.46805180592484819</v>
      </c>
      <c r="N115" s="6"/>
      <c r="O115" s="6"/>
      <c r="S115" s="8"/>
      <c r="T115" s="5"/>
      <c r="U115" s="5"/>
      <c r="V115" s="5"/>
      <c r="W115" s="10"/>
      <c r="Y115" s="8"/>
      <c r="Z115" s="5"/>
      <c r="AA115" s="5"/>
      <c r="AB115" s="5"/>
      <c r="AC115" s="10"/>
    </row>
    <row r="116" spans="1:29" x14ac:dyDescent="0.3">
      <c r="B116">
        <f t="shared" si="12"/>
        <v>105</v>
      </c>
      <c r="C116" s="8">
        <f t="shared" si="13"/>
        <v>45980</v>
      </c>
      <c r="D116" s="6">
        <v>1914</v>
      </c>
      <c r="E116" s="6"/>
      <c r="F116" s="5">
        <f t="shared" si="15"/>
        <v>141819.697195229</v>
      </c>
      <c r="G116" s="5">
        <f t="shared" si="10"/>
        <v>413.28479089140023</v>
      </c>
      <c r="H116" s="5">
        <f t="shared" si="14"/>
        <v>487.50520910859973</v>
      </c>
      <c r="I116" s="6">
        <v>1013.21</v>
      </c>
      <c r="J116" s="5">
        <f t="shared" ref="J116:J179" si="16">J115+I116-K116-N116</f>
        <v>101311.46000000018</v>
      </c>
      <c r="K116" s="6"/>
      <c r="L116" s="5">
        <f t="shared" si="11"/>
        <v>141406.41240433761</v>
      </c>
      <c r="M116" s="9">
        <f t="shared" si="9"/>
        <v>0.46668782971728584</v>
      </c>
      <c r="N116" s="6"/>
      <c r="O116" s="6"/>
      <c r="S116" s="8"/>
      <c r="T116" s="5"/>
      <c r="U116" s="5"/>
      <c r="V116" s="5"/>
      <c r="W116" s="10"/>
      <c r="Y116" s="8"/>
      <c r="Z116" s="5"/>
      <c r="AA116" s="5"/>
      <c r="AB116" s="5"/>
      <c r="AC116" s="10"/>
    </row>
    <row r="117" spans="1:29" x14ac:dyDescent="0.3">
      <c r="B117">
        <f t="shared" si="12"/>
        <v>106</v>
      </c>
      <c r="C117" s="8">
        <f t="shared" si="13"/>
        <v>46010.5</v>
      </c>
      <c r="D117" s="6">
        <v>1914</v>
      </c>
      <c r="E117" s="6"/>
      <c r="F117" s="5">
        <f t="shared" si="15"/>
        <v>141406.41240433761</v>
      </c>
      <c r="G117" s="5">
        <f t="shared" si="10"/>
        <v>414.70545736008944</v>
      </c>
      <c r="H117" s="5">
        <f t="shared" si="14"/>
        <v>486.08454263991052</v>
      </c>
      <c r="I117" s="6">
        <v>1013.21</v>
      </c>
      <c r="J117" s="5">
        <f t="shared" si="16"/>
        <v>102324.67000000019</v>
      </c>
      <c r="K117" s="6"/>
      <c r="L117" s="5">
        <f t="shared" si="11"/>
        <v>140991.7069469775</v>
      </c>
      <c r="M117" s="9">
        <f t="shared" si="9"/>
        <v>0.46531916484150992</v>
      </c>
      <c r="N117" s="6"/>
      <c r="O117" s="6"/>
      <c r="S117" s="8"/>
      <c r="T117" s="5"/>
      <c r="U117" s="5"/>
      <c r="V117" s="5"/>
      <c r="W117" s="10"/>
      <c r="Y117" s="8"/>
      <c r="Z117" s="5"/>
      <c r="AA117" s="5"/>
      <c r="AB117" s="5"/>
      <c r="AC117" s="10"/>
    </row>
    <row r="118" spans="1:29" x14ac:dyDescent="0.3">
      <c r="B118">
        <f t="shared" si="12"/>
        <v>107</v>
      </c>
      <c r="C118" s="8">
        <f t="shared" si="13"/>
        <v>46041</v>
      </c>
      <c r="D118" s="6">
        <v>1914</v>
      </c>
      <c r="E118" s="6"/>
      <c r="F118" s="5">
        <f t="shared" si="15"/>
        <v>140991.7069469775</v>
      </c>
      <c r="G118" s="5">
        <f t="shared" si="10"/>
        <v>416.1310073697648</v>
      </c>
      <c r="H118" s="5">
        <f t="shared" si="14"/>
        <v>484.65899263023516</v>
      </c>
      <c r="I118" s="6">
        <v>1013.21</v>
      </c>
      <c r="J118" s="5">
        <f t="shared" si="16"/>
        <v>103337.88000000019</v>
      </c>
      <c r="K118" s="6"/>
      <c r="L118" s="5">
        <f t="shared" si="11"/>
        <v>140575.57593960772</v>
      </c>
      <c r="M118" s="9">
        <f t="shared" si="9"/>
        <v>0.4639457951802235</v>
      </c>
      <c r="N118" s="6"/>
      <c r="O118" s="6"/>
      <c r="S118" s="8"/>
      <c r="T118" s="5"/>
      <c r="U118" s="5"/>
      <c r="V118" s="5"/>
      <c r="W118" s="10"/>
      <c r="Y118" s="8"/>
      <c r="Z118" s="5"/>
      <c r="AA118" s="5"/>
      <c r="AB118" s="5"/>
      <c r="AC118" s="10"/>
    </row>
    <row r="119" spans="1:29" x14ac:dyDescent="0.3">
      <c r="B119">
        <f t="shared" si="12"/>
        <v>108</v>
      </c>
      <c r="C119" s="8">
        <f t="shared" si="13"/>
        <v>46071.5</v>
      </c>
      <c r="D119" s="6">
        <v>1914</v>
      </c>
      <c r="E119" s="6"/>
      <c r="F119" s="5">
        <f t="shared" si="15"/>
        <v>140575.57593960772</v>
      </c>
      <c r="G119" s="5">
        <f t="shared" si="10"/>
        <v>417.56145770759849</v>
      </c>
      <c r="H119" s="5">
        <f t="shared" si="14"/>
        <v>483.22854229240153</v>
      </c>
      <c r="I119" s="6">
        <v>1013.21</v>
      </c>
      <c r="J119" s="5">
        <f t="shared" si="16"/>
        <v>104351.0900000002</v>
      </c>
      <c r="K119" s="6"/>
      <c r="L119" s="5">
        <f t="shared" si="11"/>
        <v>140158.01448190011</v>
      </c>
      <c r="M119" s="9">
        <f t="shared" si="9"/>
        <v>0.46256770456072643</v>
      </c>
      <c r="N119" s="6"/>
      <c r="O119" s="6"/>
      <c r="S119" s="8"/>
      <c r="T119" s="5"/>
      <c r="U119" s="5"/>
      <c r="V119" s="5"/>
      <c r="W119" s="10"/>
      <c r="Y119" s="8"/>
      <c r="Z119" s="5"/>
      <c r="AA119" s="5"/>
      <c r="AB119" s="5"/>
      <c r="AC119" s="10"/>
    </row>
    <row r="120" spans="1:29" x14ac:dyDescent="0.3">
      <c r="A120">
        <v>10</v>
      </c>
      <c r="B120">
        <f t="shared" si="12"/>
        <v>109</v>
      </c>
      <c r="C120" s="8">
        <f t="shared" si="13"/>
        <v>46102</v>
      </c>
      <c r="D120" s="6">
        <v>1914</v>
      </c>
      <c r="E120" s="6"/>
      <c r="F120" s="5">
        <f t="shared" si="15"/>
        <v>140158.01448190011</v>
      </c>
      <c r="G120" s="5">
        <f t="shared" si="10"/>
        <v>418.9968252184683</v>
      </c>
      <c r="H120" s="5">
        <f t="shared" si="14"/>
        <v>481.79317478153166</v>
      </c>
      <c r="I120" s="6">
        <v>1013.21</v>
      </c>
      <c r="J120" s="5">
        <f t="shared" si="16"/>
        <v>105364.30000000021</v>
      </c>
      <c r="K120" s="6"/>
      <c r="L120" s="5">
        <f t="shared" si="11"/>
        <v>139739.01765668165</v>
      </c>
      <c r="M120" s="9">
        <f t="shared" si="9"/>
        <v>0.46118487675472492</v>
      </c>
      <c r="N120" s="6"/>
      <c r="O120" s="6"/>
      <c r="S120" s="8"/>
      <c r="T120" s="5"/>
      <c r="U120" s="5"/>
      <c r="V120" s="5"/>
      <c r="W120" s="10"/>
      <c r="Y120" s="8"/>
      <c r="Z120" s="5"/>
      <c r="AA120" s="5"/>
      <c r="AB120" s="5"/>
      <c r="AC120" s="10"/>
    </row>
    <row r="121" spans="1:29" x14ac:dyDescent="0.3">
      <c r="B121">
        <f t="shared" si="12"/>
        <v>110</v>
      </c>
      <c r="C121" s="8">
        <f t="shared" si="13"/>
        <v>46132.5</v>
      </c>
      <c r="D121" s="6">
        <v>1914</v>
      </c>
      <c r="E121" s="6"/>
      <c r="F121" s="5">
        <f t="shared" si="15"/>
        <v>139739.01765668165</v>
      </c>
      <c r="G121" s="5">
        <f t="shared" si="10"/>
        <v>420.43712680515682</v>
      </c>
      <c r="H121" s="5">
        <f t="shared" si="14"/>
        <v>480.3528731948432</v>
      </c>
      <c r="I121" s="6">
        <v>1013.21</v>
      </c>
      <c r="J121" s="5">
        <f t="shared" si="16"/>
        <v>106377.51000000021</v>
      </c>
      <c r="K121" s="6"/>
      <c r="L121" s="5">
        <f t="shared" si="11"/>
        <v>139318.58052987649</v>
      </c>
      <c r="M121" s="9">
        <f t="shared" si="9"/>
        <v>0.45979729547814024</v>
      </c>
      <c r="N121" s="6"/>
      <c r="O121" s="6"/>
      <c r="S121" s="8"/>
      <c r="T121" s="5"/>
      <c r="U121" s="5"/>
      <c r="V121" s="5"/>
      <c r="W121" s="10"/>
      <c r="Y121" s="8"/>
      <c r="Z121" s="5"/>
      <c r="AA121" s="5"/>
      <c r="AB121" s="5"/>
      <c r="AC121" s="10"/>
    </row>
    <row r="122" spans="1:29" x14ac:dyDescent="0.3">
      <c r="B122">
        <f t="shared" si="12"/>
        <v>111</v>
      </c>
      <c r="C122" s="8">
        <f t="shared" si="13"/>
        <v>46163</v>
      </c>
      <c r="D122" s="6">
        <v>1914</v>
      </c>
      <c r="E122" s="6"/>
      <c r="F122" s="5">
        <f t="shared" si="15"/>
        <v>139318.58052987649</v>
      </c>
      <c r="G122" s="5">
        <f t="shared" si="10"/>
        <v>421.88237942854948</v>
      </c>
      <c r="H122" s="5">
        <f t="shared" si="14"/>
        <v>478.90762057145048</v>
      </c>
      <c r="I122" s="6">
        <v>1013.21</v>
      </c>
      <c r="J122" s="5">
        <f t="shared" si="16"/>
        <v>107390.72000000022</v>
      </c>
      <c r="K122" s="6"/>
      <c r="L122" s="5">
        <f t="shared" si="11"/>
        <v>138896.69815044792</v>
      </c>
      <c r="M122" s="9">
        <f t="shared" si="9"/>
        <v>0.45840494439091722</v>
      </c>
      <c r="N122" s="6"/>
      <c r="O122" s="6"/>
      <c r="S122" s="8"/>
      <c r="T122" s="5"/>
      <c r="U122" s="5"/>
      <c r="V122" s="5"/>
      <c r="W122" s="10"/>
      <c r="Y122" s="8"/>
      <c r="Z122" s="5"/>
      <c r="AA122" s="5"/>
      <c r="AB122" s="5"/>
      <c r="AC122" s="10"/>
    </row>
    <row r="123" spans="1:29" x14ac:dyDescent="0.3">
      <c r="B123">
        <f t="shared" si="12"/>
        <v>112</v>
      </c>
      <c r="C123" s="8">
        <f t="shared" si="13"/>
        <v>46193.5</v>
      </c>
      <c r="D123" s="6">
        <v>1914</v>
      </c>
      <c r="E123" s="6"/>
      <c r="F123" s="5">
        <f t="shared" si="15"/>
        <v>138896.69815044792</v>
      </c>
      <c r="G123" s="5">
        <f t="shared" si="10"/>
        <v>423.33260010783533</v>
      </c>
      <c r="H123" s="5">
        <f t="shared" si="14"/>
        <v>477.45739989216469</v>
      </c>
      <c r="I123" s="6">
        <v>1013.21</v>
      </c>
      <c r="J123" s="5">
        <f t="shared" si="16"/>
        <v>108403.93000000023</v>
      </c>
      <c r="K123" s="6"/>
      <c r="L123" s="5">
        <f t="shared" si="11"/>
        <v>138473.36555034007</v>
      </c>
      <c r="M123" s="9">
        <f t="shared" si="9"/>
        <v>0.45700780709683192</v>
      </c>
      <c r="N123" s="6"/>
      <c r="O123" s="6"/>
      <c r="S123" s="8"/>
      <c r="T123" s="5"/>
      <c r="U123" s="5"/>
      <c r="V123" s="5"/>
      <c r="W123" s="10"/>
      <c r="Y123" s="8"/>
      <c r="Z123" s="5"/>
      <c r="AA123" s="5"/>
      <c r="AB123" s="5"/>
      <c r="AC123" s="10"/>
    </row>
    <row r="124" spans="1:29" x14ac:dyDescent="0.3">
      <c r="B124">
        <f t="shared" si="12"/>
        <v>113</v>
      </c>
      <c r="C124" s="8">
        <f t="shared" si="13"/>
        <v>46224</v>
      </c>
      <c r="D124" s="6">
        <v>1914</v>
      </c>
      <c r="E124" s="6"/>
      <c r="F124" s="5">
        <f t="shared" si="15"/>
        <v>138473.36555034007</v>
      </c>
      <c r="G124" s="5">
        <f t="shared" si="10"/>
        <v>424.78780592070598</v>
      </c>
      <c r="H124" s="5">
        <f t="shared" si="14"/>
        <v>476.00219407929399</v>
      </c>
      <c r="I124" s="6">
        <v>1013.21</v>
      </c>
      <c r="J124" s="5">
        <f t="shared" si="16"/>
        <v>109417.14000000023</v>
      </c>
      <c r="K124" s="6"/>
      <c r="L124" s="5">
        <f t="shared" si="11"/>
        <v>138048.57774441937</v>
      </c>
      <c r="M124" s="9">
        <f t="shared" si="9"/>
        <v>0.45560586714329826</v>
      </c>
      <c r="N124" s="6"/>
      <c r="O124" s="6"/>
      <c r="S124" s="8"/>
      <c r="T124" s="5"/>
      <c r="U124" s="5"/>
      <c r="V124" s="5"/>
      <c r="W124" s="10"/>
      <c r="Y124" s="8"/>
      <c r="Z124" s="5"/>
      <c r="AA124" s="5"/>
      <c r="AB124" s="5"/>
      <c r="AC124" s="10"/>
    </row>
    <row r="125" spans="1:29" x14ac:dyDescent="0.3">
      <c r="B125">
        <f t="shared" si="12"/>
        <v>114</v>
      </c>
      <c r="C125" s="8">
        <f t="shared" si="13"/>
        <v>46254.5</v>
      </c>
      <c r="D125" s="6">
        <v>1914</v>
      </c>
      <c r="E125" s="6"/>
      <c r="F125" s="5">
        <f t="shared" si="15"/>
        <v>138048.57774441937</v>
      </c>
      <c r="G125" s="5">
        <f t="shared" si="10"/>
        <v>426.24801400355841</v>
      </c>
      <c r="H125" s="5">
        <f t="shared" si="14"/>
        <v>474.54198599644161</v>
      </c>
      <c r="I125" s="6">
        <v>1013.21</v>
      </c>
      <c r="J125" s="5">
        <f t="shared" si="16"/>
        <v>110430.35000000024</v>
      </c>
      <c r="K125" s="6"/>
      <c r="L125" s="5">
        <f t="shared" si="11"/>
        <v>137622.3297304158</v>
      </c>
      <c r="M125" s="9">
        <f t="shared" si="9"/>
        <v>0.45419910802117425</v>
      </c>
      <c r="N125" s="6"/>
      <c r="O125" s="6"/>
      <c r="S125" s="8"/>
      <c r="T125" s="5"/>
      <c r="U125" s="5"/>
      <c r="V125" s="5"/>
      <c r="W125" s="10"/>
      <c r="Y125" s="8"/>
      <c r="Z125" s="5"/>
      <c r="AA125" s="5"/>
      <c r="AB125" s="5"/>
      <c r="AC125" s="10"/>
    </row>
    <row r="126" spans="1:29" x14ac:dyDescent="0.3">
      <c r="B126">
        <f t="shared" si="12"/>
        <v>115</v>
      </c>
      <c r="C126" s="8">
        <f t="shared" si="13"/>
        <v>46285</v>
      </c>
      <c r="D126" s="6">
        <v>1914</v>
      </c>
      <c r="E126" s="6"/>
      <c r="F126" s="5">
        <f t="shared" si="15"/>
        <v>137622.3297304158</v>
      </c>
      <c r="G126" s="5">
        <f t="shared" si="10"/>
        <v>427.71324155169555</v>
      </c>
      <c r="H126" s="5">
        <f t="shared" si="14"/>
        <v>473.07675844830436</v>
      </c>
      <c r="I126" s="6">
        <v>1013.21</v>
      </c>
      <c r="J126" s="5">
        <f t="shared" si="16"/>
        <v>111443.56000000025</v>
      </c>
      <c r="K126" s="6"/>
      <c r="L126" s="5">
        <f t="shared" si="11"/>
        <v>137194.61648886409</v>
      </c>
      <c r="M126" s="9">
        <f t="shared" si="9"/>
        <v>0.45278751316456795</v>
      </c>
      <c r="N126" s="6"/>
      <c r="O126" s="6"/>
      <c r="S126" s="8"/>
      <c r="T126" s="5"/>
      <c r="U126" s="5"/>
      <c r="V126" s="5"/>
      <c r="W126" s="10"/>
      <c r="Y126" s="8"/>
      <c r="Z126" s="5"/>
      <c r="AA126" s="5"/>
      <c r="AB126" s="5"/>
      <c r="AC126" s="10"/>
    </row>
    <row r="127" spans="1:29" x14ac:dyDescent="0.3">
      <c r="B127">
        <f t="shared" si="12"/>
        <v>116</v>
      </c>
      <c r="C127" s="8">
        <f t="shared" si="13"/>
        <v>46315.5</v>
      </c>
      <c r="D127" s="6">
        <v>1914</v>
      </c>
      <c r="E127" s="6"/>
      <c r="F127" s="5">
        <f t="shared" si="15"/>
        <v>137194.61648886409</v>
      </c>
      <c r="G127" s="5">
        <f t="shared" si="10"/>
        <v>429.18350581952973</v>
      </c>
      <c r="H127" s="5">
        <f t="shared" si="14"/>
        <v>471.60649418047029</v>
      </c>
      <c r="I127" s="6">
        <v>1013.21</v>
      </c>
      <c r="J127" s="5">
        <f t="shared" si="16"/>
        <v>112456.77000000025</v>
      </c>
      <c r="K127" s="6"/>
      <c r="L127" s="5">
        <f t="shared" si="11"/>
        <v>136765.43298304456</v>
      </c>
      <c r="M127" s="9">
        <f t="shared" si="9"/>
        <v>0.45137106595064214</v>
      </c>
      <c r="N127" s="6"/>
      <c r="O127" s="6"/>
      <c r="S127" s="8"/>
      <c r="T127" s="5"/>
      <c r="U127" s="5"/>
      <c r="V127" s="5"/>
      <c r="W127" s="10"/>
      <c r="Y127" s="8"/>
      <c r="Z127" s="5"/>
      <c r="AA127" s="5"/>
      <c r="AB127" s="5"/>
      <c r="AC127" s="10"/>
    </row>
    <row r="128" spans="1:29" x14ac:dyDescent="0.3">
      <c r="B128">
        <f t="shared" si="12"/>
        <v>117</v>
      </c>
      <c r="C128" s="8">
        <f t="shared" si="13"/>
        <v>46346</v>
      </c>
      <c r="D128" s="6">
        <v>1914</v>
      </c>
      <c r="E128" s="6"/>
      <c r="F128" s="5">
        <f t="shared" si="15"/>
        <v>136765.43298304456</v>
      </c>
      <c r="G128" s="5">
        <f t="shared" si="10"/>
        <v>430.65882412078417</v>
      </c>
      <c r="H128" s="5">
        <f t="shared" si="14"/>
        <v>470.13117587921573</v>
      </c>
      <c r="I128" s="6">
        <v>1013.21</v>
      </c>
      <c r="J128" s="5">
        <f t="shared" si="16"/>
        <v>113469.98000000026</v>
      </c>
      <c r="K128" s="6"/>
      <c r="L128" s="5">
        <f t="shared" si="11"/>
        <v>136334.77415892377</v>
      </c>
      <c r="M128" s="9">
        <f t="shared" si="9"/>
        <v>0.44994974969941837</v>
      </c>
      <c r="N128" s="6"/>
      <c r="O128" s="6"/>
      <c r="S128" s="8"/>
      <c r="T128" s="5"/>
      <c r="U128" s="5"/>
      <c r="V128" s="5"/>
      <c r="W128" s="10"/>
      <c r="Y128" s="8"/>
      <c r="Z128" s="5"/>
      <c r="AA128" s="5"/>
      <c r="AB128" s="5"/>
      <c r="AC128" s="10"/>
    </row>
    <row r="129" spans="1:29" x14ac:dyDescent="0.3">
      <c r="B129">
        <f t="shared" si="12"/>
        <v>118</v>
      </c>
      <c r="C129" s="8">
        <f t="shared" si="13"/>
        <v>46376.5</v>
      </c>
      <c r="D129" s="6">
        <v>1914</v>
      </c>
      <c r="E129" s="6"/>
      <c r="F129" s="5">
        <f t="shared" si="15"/>
        <v>136334.77415892377</v>
      </c>
      <c r="G129" s="5">
        <f t="shared" si="10"/>
        <v>432.13921382869944</v>
      </c>
      <c r="H129" s="5">
        <f t="shared" si="14"/>
        <v>468.65078617130047</v>
      </c>
      <c r="I129" s="6">
        <v>1013.21</v>
      </c>
      <c r="J129" s="5">
        <f t="shared" si="16"/>
        <v>114483.19000000026</v>
      </c>
      <c r="K129" s="6"/>
      <c r="L129" s="5">
        <f t="shared" si="11"/>
        <v>135902.63494509505</v>
      </c>
      <c r="M129" s="9">
        <f t="shared" si="9"/>
        <v>0.44852354767358105</v>
      </c>
      <c r="N129" s="6"/>
      <c r="O129" s="6"/>
      <c r="S129" s="8"/>
      <c r="T129" s="5"/>
      <c r="U129" s="5"/>
      <c r="V129" s="5"/>
      <c r="W129" s="10"/>
      <c r="Y129" s="8"/>
      <c r="Z129" s="5"/>
      <c r="AA129" s="5"/>
      <c r="AB129" s="5"/>
      <c r="AC129" s="10"/>
    </row>
    <row r="130" spans="1:29" x14ac:dyDescent="0.3">
      <c r="B130">
        <f t="shared" si="12"/>
        <v>119</v>
      </c>
      <c r="C130" s="8">
        <f t="shared" si="13"/>
        <v>46407</v>
      </c>
      <c r="D130" s="6">
        <v>1914</v>
      </c>
      <c r="E130" s="6"/>
      <c r="F130" s="5">
        <f t="shared" si="15"/>
        <v>135902.63494509505</v>
      </c>
      <c r="G130" s="5">
        <f t="shared" si="10"/>
        <v>433.62469237623577</v>
      </c>
      <c r="H130" s="5">
        <f t="shared" si="14"/>
        <v>467.16530762376425</v>
      </c>
      <c r="I130" s="6">
        <v>1013.21</v>
      </c>
      <c r="J130" s="5">
        <f t="shared" si="16"/>
        <v>115496.40000000027</v>
      </c>
      <c r="K130" s="6"/>
      <c r="L130" s="5">
        <f t="shared" si="11"/>
        <v>135469.01025271881</v>
      </c>
      <c r="M130" s="9">
        <f t="shared" si="9"/>
        <v>0.44709244307827989</v>
      </c>
      <c r="N130" s="6"/>
      <c r="O130" s="6"/>
      <c r="S130" s="8"/>
      <c r="T130" s="5"/>
      <c r="U130" s="5"/>
      <c r="V130" s="5"/>
      <c r="W130" s="10"/>
      <c r="Y130" s="8"/>
      <c r="Z130" s="5"/>
      <c r="AA130" s="5"/>
      <c r="AB130" s="5"/>
      <c r="AC130" s="10"/>
    </row>
    <row r="131" spans="1:29" x14ac:dyDescent="0.3">
      <c r="B131">
        <f t="shared" si="12"/>
        <v>120</v>
      </c>
      <c r="C131" s="8">
        <f t="shared" si="13"/>
        <v>46437.5</v>
      </c>
      <c r="D131" s="6">
        <v>1914</v>
      </c>
      <c r="E131" s="6"/>
      <c r="F131" s="5">
        <f t="shared" si="15"/>
        <v>135469.01025271881</v>
      </c>
      <c r="G131" s="5">
        <f t="shared" si="10"/>
        <v>435.11527725627911</v>
      </c>
      <c r="H131" s="5">
        <f t="shared" si="14"/>
        <v>465.67472274372091</v>
      </c>
      <c r="I131" s="6">
        <v>1013.21</v>
      </c>
      <c r="J131" s="5">
        <f t="shared" si="16"/>
        <v>116509.61000000028</v>
      </c>
      <c r="K131" s="6"/>
      <c r="L131" s="5">
        <f t="shared" si="11"/>
        <v>135033.89497546252</v>
      </c>
      <c r="M131" s="9">
        <f t="shared" si="9"/>
        <v>0.4456564190609324</v>
      </c>
      <c r="N131" s="6"/>
      <c r="O131" s="6"/>
      <c r="S131" s="8"/>
      <c r="T131" s="5"/>
      <c r="U131" s="5"/>
      <c r="V131" s="5"/>
      <c r="W131" s="10"/>
      <c r="Y131" s="8"/>
      <c r="Z131" s="5"/>
      <c r="AA131" s="5"/>
      <c r="AB131" s="5"/>
      <c r="AC131" s="10"/>
    </row>
    <row r="132" spans="1:29" x14ac:dyDescent="0.3">
      <c r="A132">
        <v>11</v>
      </c>
      <c r="B132">
        <f t="shared" si="12"/>
        <v>121</v>
      </c>
      <c r="C132" s="8">
        <f t="shared" si="13"/>
        <v>46468</v>
      </c>
      <c r="D132" s="6">
        <v>1914</v>
      </c>
      <c r="E132" s="6"/>
      <c r="F132" s="5">
        <f t="shared" si="15"/>
        <v>135033.89497546252</v>
      </c>
      <c r="G132" s="5">
        <f t="shared" si="10"/>
        <v>436.61098602184757</v>
      </c>
      <c r="H132" s="5">
        <f t="shared" si="14"/>
        <v>464.17901397815245</v>
      </c>
      <c r="I132" s="6">
        <v>1013.21</v>
      </c>
      <c r="J132" s="5">
        <f t="shared" si="16"/>
        <v>117522.82000000028</v>
      </c>
      <c r="K132" s="6"/>
      <c r="L132" s="5">
        <f t="shared" si="11"/>
        <v>134597.28398944068</v>
      </c>
      <c r="M132" s="9">
        <f t="shared" si="9"/>
        <v>0.44421545871102536</v>
      </c>
      <c r="N132" s="6"/>
      <c r="O132" s="6"/>
      <c r="S132" s="8"/>
      <c r="T132" s="5"/>
      <c r="U132" s="5"/>
      <c r="V132" s="5"/>
      <c r="W132" s="10"/>
      <c r="Y132" s="8"/>
      <c r="Z132" s="5"/>
      <c r="AA132" s="5"/>
      <c r="AB132" s="5"/>
      <c r="AC132" s="10"/>
    </row>
    <row r="133" spans="1:29" x14ac:dyDescent="0.3">
      <c r="B133">
        <f t="shared" si="12"/>
        <v>122</v>
      </c>
      <c r="C133" s="8">
        <f t="shared" si="13"/>
        <v>46498.5</v>
      </c>
      <c r="D133" s="6">
        <v>1914</v>
      </c>
      <c r="E133" s="6"/>
      <c r="F133" s="5">
        <f t="shared" si="15"/>
        <v>134597.28398944068</v>
      </c>
      <c r="G133" s="5">
        <f t="shared" si="10"/>
        <v>438.1118362862976</v>
      </c>
      <c r="H133" s="5">
        <f t="shared" si="14"/>
        <v>462.67816371370236</v>
      </c>
      <c r="I133" s="6">
        <v>1013.21</v>
      </c>
      <c r="J133" s="5">
        <f t="shared" si="16"/>
        <v>118536.03000000029</v>
      </c>
      <c r="K133" s="6"/>
      <c r="L133" s="5">
        <f t="shared" si="11"/>
        <v>134159.17215315436</v>
      </c>
      <c r="M133" s="9">
        <f t="shared" si="9"/>
        <v>0.44276954505991539</v>
      </c>
      <c r="N133" s="6"/>
      <c r="O133" s="6"/>
      <c r="S133" s="8"/>
      <c r="T133" s="5"/>
      <c r="U133" s="5"/>
      <c r="V133" s="5"/>
      <c r="W133" s="10"/>
      <c r="Y133" s="8"/>
      <c r="Z133" s="5"/>
      <c r="AA133" s="5"/>
      <c r="AB133" s="5"/>
      <c r="AC133" s="10"/>
    </row>
    <row r="134" spans="1:29" x14ac:dyDescent="0.3">
      <c r="B134">
        <f t="shared" si="12"/>
        <v>123</v>
      </c>
      <c r="C134" s="8">
        <f t="shared" si="13"/>
        <v>46529</v>
      </c>
      <c r="D134" s="6">
        <v>1914</v>
      </c>
      <c r="E134" s="6"/>
      <c r="F134" s="5">
        <f t="shared" si="15"/>
        <v>134159.17215315436</v>
      </c>
      <c r="G134" s="5">
        <f t="shared" si="10"/>
        <v>439.6178457235319</v>
      </c>
      <c r="H134" s="5">
        <f t="shared" si="14"/>
        <v>461.17215427646812</v>
      </c>
      <c r="I134" s="6">
        <v>1013.21</v>
      </c>
      <c r="J134" s="5">
        <f t="shared" si="16"/>
        <v>119549.2400000003</v>
      </c>
      <c r="K134" s="6"/>
      <c r="L134" s="5">
        <f t="shared" si="11"/>
        <v>133719.55430743081</v>
      </c>
      <c r="M134" s="9">
        <f t="shared" si="9"/>
        <v>0.44131866108062973</v>
      </c>
      <c r="N134" s="6"/>
      <c r="O134" s="6"/>
      <c r="S134" s="8"/>
      <c r="T134" s="5"/>
      <c r="U134" s="5"/>
      <c r="V134" s="5"/>
      <c r="W134" s="10"/>
      <c r="Y134" s="8"/>
      <c r="Z134" s="5"/>
      <c r="AA134" s="5"/>
      <c r="AB134" s="5"/>
      <c r="AC134" s="10"/>
    </row>
    <row r="135" spans="1:29" x14ac:dyDescent="0.3">
      <c r="B135">
        <f t="shared" si="12"/>
        <v>124</v>
      </c>
      <c r="C135" s="8">
        <f t="shared" si="13"/>
        <v>46559.5</v>
      </c>
      <c r="D135" s="6">
        <v>1914</v>
      </c>
      <c r="E135" s="6"/>
      <c r="F135" s="5">
        <f t="shared" si="15"/>
        <v>133719.55430743081</v>
      </c>
      <c r="G135" s="5">
        <f t="shared" si="10"/>
        <v>441.12903206820647</v>
      </c>
      <c r="H135" s="5">
        <f t="shared" si="14"/>
        <v>459.66096793179344</v>
      </c>
      <c r="I135" s="6">
        <v>1013.21</v>
      </c>
      <c r="J135" s="5">
        <f t="shared" si="16"/>
        <v>120562.4500000003</v>
      </c>
      <c r="K135" s="6"/>
      <c r="L135" s="5">
        <f t="shared" si="11"/>
        <v>133278.42527536259</v>
      </c>
      <c r="M135" s="9">
        <f t="shared" si="9"/>
        <v>0.43986278968766535</v>
      </c>
      <c r="N135" s="6"/>
      <c r="O135" s="6"/>
      <c r="S135" s="8"/>
      <c r="T135" s="5"/>
      <c r="U135" s="5"/>
      <c r="V135" s="5"/>
      <c r="W135" s="10"/>
      <c r="Y135" s="8"/>
      <c r="Z135" s="5"/>
      <c r="AA135" s="5"/>
      <c r="AB135" s="5"/>
      <c r="AC135" s="10"/>
    </row>
    <row r="136" spans="1:29" x14ac:dyDescent="0.3">
      <c r="B136">
        <f t="shared" si="12"/>
        <v>125</v>
      </c>
      <c r="C136" s="8">
        <f t="shared" si="13"/>
        <v>46590</v>
      </c>
      <c r="D136" s="6">
        <v>1914</v>
      </c>
      <c r="E136" s="6"/>
      <c r="F136" s="5">
        <f t="shared" si="15"/>
        <v>133278.42527536259</v>
      </c>
      <c r="G136" s="5">
        <f t="shared" si="10"/>
        <v>442.64541311594098</v>
      </c>
      <c r="H136" s="5">
        <f t="shared" si="14"/>
        <v>458.14458688405892</v>
      </c>
      <c r="I136" s="6">
        <v>1013.21</v>
      </c>
      <c r="J136" s="5">
        <f t="shared" si="16"/>
        <v>121575.66000000031</v>
      </c>
      <c r="K136" s="6"/>
      <c r="L136" s="5">
        <f t="shared" si="11"/>
        <v>132835.77986224665</v>
      </c>
      <c r="M136" s="9">
        <f t="shared" si="9"/>
        <v>0.43840191373678761</v>
      </c>
      <c r="N136" s="6"/>
      <c r="O136" s="6"/>
      <c r="S136" s="8"/>
      <c r="T136" s="5"/>
      <c r="U136" s="5"/>
      <c r="V136" s="5"/>
      <c r="W136" s="10"/>
      <c r="Y136" s="8"/>
      <c r="Z136" s="5"/>
      <c r="AA136" s="5"/>
      <c r="AB136" s="5"/>
      <c r="AC136" s="10"/>
    </row>
    <row r="137" spans="1:29" x14ac:dyDescent="0.3">
      <c r="B137">
        <f t="shared" si="12"/>
        <v>126</v>
      </c>
      <c r="C137" s="8">
        <f t="shared" si="13"/>
        <v>46620.5</v>
      </c>
      <c r="D137" s="6">
        <v>1914</v>
      </c>
      <c r="E137" s="6"/>
      <c r="F137" s="5">
        <f t="shared" si="15"/>
        <v>132835.77986224665</v>
      </c>
      <c r="G137" s="5">
        <f t="shared" si="10"/>
        <v>444.16700672352704</v>
      </c>
      <c r="H137" s="5">
        <f t="shared" si="14"/>
        <v>456.62299327647287</v>
      </c>
      <c r="I137" s="6">
        <v>1013.21</v>
      </c>
      <c r="J137" s="5">
        <f t="shared" si="16"/>
        <v>122588.87000000032</v>
      </c>
      <c r="K137" s="6"/>
      <c r="L137" s="5">
        <f t="shared" si="11"/>
        <v>132391.61285552313</v>
      </c>
      <c r="M137" s="9">
        <f t="shared" si="9"/>
        <v>0.43693601602482879</v>
      </c>
      <c r="N137" s="6"/>
      <c r="O137" s="6"/>
      <c r="S137" s="8"/>
      <c r="T137" s="5"/>
      <c r="U137" s="5"/>
      <c r="V137" s="5"/>
      <c r="W137" s="10"/>
      <c r="Y137" s="8"/>
      <c r="Z137" s="5"/>
      <c r="AA137" s="5"/>
      <c r="AB137" s="5"/>
      <c r="AC137" s="10"/>
    </row>
    <row r="138" spans="1:29" x14ac:dyDescent="0.3">
      <c r="B138">
        <f t="shared" si="12"/>
        <v>127</v>
      </c>
      <c r="C138" s="8">
        <f t="shared" si="13"/>
        <v>46651</v>
      </c>
      <c r="D138" s="6">
        <v>1914</v>
      </c>
      <c r="E138" s="6"/>
      <c r="F138" s="5">
        <f t="shared" si="15"/>
        <v>132391.61285552313</v>
      </c>
      <c r="G138" s="5">
        <f t="shared" si="10"/>
        <v>445.69383080913917</v>
      </c>
      <c r="H138" s="5">
        <f t="shared" si="14"/>
        <v>455.09616919086079</v>
      </c>
      <c r="I138" s="6">
        <v>1013.21</v>
      </c>
      <c r="J138" s="5">
        <f t="shared" si="16"/>
        <v>123602.08000000032</v>
      </c>
      <c r="K138" s="6"/>
      <c r="L138" s="5">
        <f t="shared" si="11"/>
        <v>131945.91902471398</v>
      </c>
      <c r="M138" s="9">
        <f t="shared" si="9"/>
        <v>0.43546507928948508</v>
      </c>
      <c r="N138" s="6"/>
      <c r="O138" s="6"/>
      <c r="S138" s="8"/>
      <c r="T138" s="5"/>
      <c r="U138" s="5"/>
      <c r="V138" s="5"/>
      <c r="W138" s="10"/>
      <c r="Y138" s="8"/>
      <c r="Z138" s="5"/>
      <c r="AA138" s="5"/>
      <c r="AB138" s="5"/>
      <c r="AC138" s="10"/>
    </row>
    <row r="139" spans="1:29" x14ac:dyDescent="0.3">
      <c r="B139">
        <f t="shared" si="12"/>
        <v>128</v>
      </c>
      <c r="C139" s="8">
        <f t="shared" si="13"/>
        <v>46681.5</v>
      </c>
      <c r="D139" s="6">
        <v>1914</v>
      </c>
      <c r="E139" s="6"/>
      <c r="F139" s="5">
        <f t="shared" si="15"/>
        <v>131945.91902471398</v>
      </c>
      <c r="G139" s="5">
        <f t="shared" si="10"/>
        <v>447.22590335254563</v>
      </c>
      <c r="H139" s="5">
        <f t="shared" si="14"/>
        <v>453.56409664745433</v>
      </c>
      <c r="I139" s="6">
        <v>1013.21</v>
      </c>
      <c r="J139" s="5">
        <f t="shared" si="16"/>
        <v>124615.29000000033</v>
      </c>
      <c r="K139" s="6"/>
      <c r="L139" s="5">
        <f t="shared" si="11"/>
        <v>131498.69312136143</v>
      </c>
      <c r="M139" s="9">
        <f t="shared" si="9"/>
        <v>0.43398908620911364</v>
      </c>
      <c r="N139" s="6"/>
      <c r="O139" s="6"/>
      <c r="S139" s="8"/>
      <c r="T139" s="5"/>
      <c r="U139" s="5"/>
      <c r="V139" s="5"/>
      <c r="W139" s="10"/>
      <c r="Y139" s="8"/>
      <c r="Z139" s="5"/>
      <c r="AA139" s="5"/>
      <c r="AB139" s="5"/>
      <c r="AC139" s="10"/>
    </row>
    <row r="140" spans="1:29" x14ac:dyDescent="0.3">
      <c r="B140">
        <f t="shared" si="12"/>
        <v>129</v>
      </c>
      <c r="C140" s="8">
        <f t="shared" si="13"/>
        <v>46712</v>
      </c>
      <c r="D140" s="6">
        <v>1914</v>
      </c>
      <c r="E140" s="6"/>
      <c r="F140" s="5">
        <f t="shared" si="15"/>
        <v>131498.69312136143</v>
      </c>
      <c r="G140" s="5">
        <f t="shared" si="10"/>
        <v>448.76324239532005</v>
      </c>
      <c r="H140" s="5">
        <f t="shared" si="14"/>
        <v>452.02675760467991</v>
      </c>
      <c r="I140" s="6">
        <v>1013.21</v>
      </c>
      <c r="J140" s="5">
        <f t="shared" si="16"/>
        <v>125628.50000000033</v>
      </c>
      <c r="K140" s="6"/>
      <c r="L140" s="5">
        <f t="shared" si="11"/>
        <v>131049.9298789661</v>
      </c>
      <c r="M140" s="9">
        <f t="shared" ref="M140:M203" si="17">L140/$C$2</f>
        <v>0.43250801940252837</v>
      </c>
      <c r="N140" s="6"/>
      <c r="O140" s="6"/>
      <c r="S140" s="8"/>
      <c r="T140" s="5"/>
      <c r="U140" s="5"/>
      <c r="V140" s="5"/>
      <c r="W140" s="10"/>
      <c r="Y140" s="8"/>
      <c r="Z140" s="5"/>
      <c r="AA140" s="5"/>
      <c r="AB140" s="5"/>
      <c r="AC140" s="10"/>
    </row>
    <row r="141" spans="1:29" x14ac:dyDescent="0.3">
      <c r="B141">
        <f t="shared" si="12"/>
        <v>130</v>
      </c>
      <c r="C141" s="8">
        <f t="shared" si="13"/>
        <v>46742.5</v>
      </c>
      <c r="D141" s="6">
        <v>1914</v>
      </c>
      <c r="E141" s="6"/>
      <c r="F141" s="5">
        <f t="shared" si="15"/>
        <v>131049.9298789661</v>
      </c>
      <c r="G141" s="5">
        <f t="shared" ref="G141:G204" si="18">D141-H141-I141</f>
        <v>450.30586604105406</v>
      </c>
      <c r="H141" s="5">
        <f t="shared" si="14"/>
        <v>450.48413395894596</v>
      </c>
      <c r="I141" s="6">
        <v>1013.21</v>
      </c>
      <c r="J141" s="5">
        <f t="shared" si="16"/>
        <v>126641.71000000034</v>
      </c>
      <c r="K141" s="6"/>
      <c r="L141" s="5">
        <f t="shared" ref="L141:L204" si="19">F141+H141+I141-D141-E141</f>
        <v>130599.62401292502</v>
      </c>
      <c r="M141" s="9">
        <f t="shared" si="17"/>
        <v>0.43102186142879545</v>
      </c>
      <c r="N141" s="6"/>
      <c r="O141" s="6"/>
      <c r="S141" s="8"/>
      <c r="T141" s="5"/>
      <c r="U141" s="5"/>
      <c r="V141" s="5"/>
      <c r="W141" s="10"/>
      <c r="Y141" s="8"/>
      <c r="Z141" s="5"/>
      <c r="AA141" s="5"/>
      <c r="AB141" s="5"/>
      <c r="AC141" s="10"/>
    </row>
    <row r="142" spans="1:29" x14ac:dyDescent="0.3">
      <c r="B142">
        <f t="shared" ref="B142:B205" si="20">B141+1</f>
        <v>131</v>
      </c>
      <c r="C142" s="8">
        <f t="shared" ref="C142:C205" si="21">C141+30.5</f>
        <v>46773</v>
      </c>
      <c r="D142" s="6">
        <v>1914</v>
      </c>
      <c r="E142" s="6"/>
      <c r="F142" s="5">
        <f t="shared" si="15"/>
        <v>130599.62401292502</v>
      </c>
      <c r="G142" s="5">
        <f t="shared" si="18"/>
        <v>451.8537924555701</v>
      </c>
      <c r="H142" s="5">
        <f t="shared" ref="H142:H205" si="22">F142*$C$4/12</f>
        <v>448.93620754442981</v>
      </c>
      <c r="I142" s="6">
        <v>1013.21</v>
      </c>
      <c r="J142" s="5">
        <f t="shared" si="16"/>
        <v>127654.92000000035</v>
      </c>
      <c r="K142" s="6"/>
      <c r="L142" s="5">
        <f t="shared" si="19"/>
        <v>130147.77022046945</v>
      </c>
      <c r="M142" s="9">
        <f t="shared" si="17"/>
        <v>0.42953059478702788</v>
      </c>
      <c r="N142" s="6"/>
      <c r="O142" s="6"/>
      <c r="S142" s="8"/>
      <c r="T142" s="5"/>
      <c r="U142" s="5"/>
      <c r="V142" s="5"/>
      <c r="W142" s="10"/>
      <c r="Y142" s="8"/>
      <c r="Z142" s="5"/>
      <c r="AA142" s="5"/>
      <c r="AB142" s="5"/>
      <c r="AC142" s="10"/>
    </row>
    <row r="143" spans="1:29" x14ac:dyDescent="0.3">
      <c r="B143">
        <f t="shared" si="20"/>
        <v>132</v>
      </c>
      <c r="C143" s="8">
        <f t="shared" si="21"/>
        <v>46803.5</v>
      </c>
      <c r="D143" s="6">
        <v>1914</v>
      </c>
      <c r="E143" s="6"/>
      <c r="F143" s="5">
        <f t="shared" ref="F143:F206" si="23">L142</f>
        <v>130147.77022046945</v>
      </c>
      <c r="G143" s="5">
        <f t="shared" si="18"/>
        <v>453.40703986713629</v>
      </c>
      <c r="H143" s="5">
        <f t="shared" si="22"/>
        <v>447.38296013286373</v>
      </c>
      <c r="I143" s="6">
        <v>1013.21</v>
      </c>
      <c r="J143" s="5">
        <f t="shared" si="16"/>
        <v>128668.13000000035</v>
      </c>
      <c r="K143" s="6"/>
      <c r="L143" s="5">
        <f t="shared" si="19"/>
        <v>129694.36318060232</v>
      </c>
      <c r="M143" s="9">
        <f t="shared" si="17"/>
        <v>0.42803420191617925</v>
      </c>
      <c r="N143" s="6"/>
      <c r="O143" s="6"/>
      <c r="S143" s="8"/>
      <c r="T143" s="5"/>
      <c r="U143" s="5"/>
      <c r="V143" s="5"/>
      <c r="W143" s="10"/>
      <c r="Y143" s="8"/>
      <c r="Z143" s="5"/>
      <c r="AA143" s="5"/>
      <c r="AB143" s="5"/>
      <c r="AC143" s="10"/>
    </row>
    <row r="144" spans="1:29" x14ac:dyDescent="0.3">
      <c r="A144">
        <v>12</v>
      </c>
      <c r="B144">
        <f t="shared" si="20"/>
        <v>133</v>
      </c>
      <c r="C144" s="8">
        <f t="shared" si="21"/>
        <v>46834</v>
      </c>
      <c r="D144" s="6">
        <v>1914</v>
      </c>
      <c r="E144" s="6"/>
      <c r="F144" s="5">
        <f t="shared" si="23"/>
        <v>129694.36318060232</v>
      </c>
      <c r="G144" s="5">
        <f t="shared" si="18"/>
        <v>454.96562656667948</v>
      </c>
      <c r="H144" s="5">
        <f t="shared" si="22"/>
        <v>445.82437343332049</v>
      </c>
      <c r="I144" s="6">
        <v>1013.21</v>
      </c>
      <c r="J144" s="5">
        <f t="shared" si="16"/>
        <v>129681.34000000036</v>
      </c>
      <c r="K144" s="6"/>
      <c r="L144" s="5">
        <f t="shared" si="19"/>
        <v>129239.39755403565</v>
      </c>
      <c r="M144" s="9">
        <f t="shared" si="17"/>
        <v>0.42653266519483712</v>
      </c>
      <c r="N144" s="6"/>
      <c r="O144" s="6"/>
      <c r="S144" s="8"/>
      <c r="T144" s="5"/>
      <c r="U144" s="5"/>
      <c r="V144" s="5"/>
      <c r="W144" s="10"/>
      <c r="Y144" s="8"/>
      <c r="Z144" s="5"/>
      <c r="AA144" s="5"/>
      <c r="AB144" s="5"/>
      <c r="AC144" s="10"/>
    </row>
    <row r="145" spans="1:29" x14ac:dyDescent="0.3">
      <c r="B145">
        <f t="shared" si="20"/>
        <v>134</v>
      </c>
      <c r="C145" s="8">
        <f t="shared" si="21"/>
        <v>46864.5</v>
      </c>
      <c r="D145" s="6">
        <v>1914</v>
      </c>
      <c r="E145" s="6"/>
      <c r="F145" s="5">
        <f t="shared" si="23"/>
        <v>129239.39755403565</v>
      </c>
      <c r="G145" s="5">
        <f t="shared" si="18"/>
        <v>456.52957090800237</v>
      </c>
      <c r="H145" s="5">
        <f t="shared" si="22"/>
        <v>444.26042909199759</v>
      </c>
      <c r="I145" s="6">
        <v>1013.21</v>
      </c>
      <c r="J145" s="5">
        <f t="shared" si="16"/>
        <v>130694.55000000037</v>
      </c>
      <c r="K145" s="6"/>
      <c r="L145" s="5">
        <f t="shared" si="19"/>
        <v>128782.86798312765</v>
      </c>
      <c r="M145" s="9">
        <f t="shared" si="17"/>
        <v>0.42502596694101535</v>
      </c>
      <c r="N145" s="6"/>
      <c r="O145" s="6"/>
      <c r="S145" s="8"/>
      <c r="T145" s="5"/>
      <c r="U145" s="5"/>
      <c r="V145" s="5"/>
      <c r="W145" s="10"/>
      <c r="Y145" s="8"/>
      <c r="Z145" s="5"/>
      <c r="AA145" s="5"/>
      <c r="AB145" s="5"/>
      <c r="AC145" s="10"/>
    </row>
    <row r="146" spans="1:29" x14ac:dyDescent="0.3">
      <c r="B146">
        <f t="shared" si="20"/>
        <v>135</v>
      </c>
      <c r="C146" s="8">
        <f t="shared" si="21"/>
        <v>46895</v>
      </c>
      <c r="D146" s="6">
        <v>1914</v>
      </c>
      <c r="E146" s="6"/>
      <c r="F146" s="5">
        <f t="shared" si="23"/>
        <v>128782.86798312765</v>
      </c>
      <c r="G146" s="5">
        <f t="shared" si="18"/>
        <v>458.09889130799866</v>
      </c>
      <c r="H146" s="5">
        <f t="shared" si="22"/>
        <v>442.69110869200131</v>
      </c>
      <c r="I146" s="6">
        <v>1013.21</v>
      </c>
      <c r="J146" s="5">
        <f t="shared" si="16"/>
        <v>131707.76000000036</v>
      </c>
      <c r="K146" s="6"/>
      <c r="L146" s="5">
        <f t="shared" si="19"/>
        <v>128324.76909181966</v>
      </c>
      <c r="M146" s="9">
        <f t="shared" si="17"/>
        <v>0.42351408941194607</v>
      </c>
      <c r="N146" s="6"/>
      <c r="O146" s="6"/>
      <c r="S146" s="8"/>
      <c r="U146" s="5"/>
      <c r="V146" s="5"/>
      <c r="W146" s="10"/>
      <c r="AC146" s="10"/>
    </row>
    <row r="147" spans="1:29" x14ac:dyDescent="0.3">
      <c r="B147">
        <f t="shared" si="20"/>
        <v>136</v>
      </c>
      <c r="C147" s="8">
        <f t="shared" si="21"/>
        <v>46925.5</v>
      </c>
      <c r="D147" s="6">
        <v>1914</v>
      </c>
      <c r="E147" s="6"/>
      <c r="F147" s="5">
        <f t="shared" si="23"/>
        <v>128324.76909181966</v>
      </c>
      <c r="G147" s="5">
        <f t="shared" si="18"/>
        <v>459.67360624686989</v>
      </c>
      <c r="H147" s="5">
        <f t="shared" si="22"/>
        <v>441.11639375313007</v>
      </c>
      <c r="I147" s="6">
        <v>1013.21</v>
      </c>
      <c r="J147" s="5">
        <f t="shared" si="16"/>
        <v>132720.97000000035</v>
      </c>
      <c r="K147" s="6"/>
      <c r="L147" s="5">
        <f t="shared" si="19"/>
        <v>127865.09548557279</v>
      </c>
      <c r="M147" s="9">
        <f t="shared" si="17"/>
        <v>0.42199701480387058</v>
      </c>
      <c r="N147" s="6"/>
      <c r="O147" s="6"/>
      <c r="S147" s="8"/>
      <c r="U147" s="5"/>
      <c r="V147" s="5"/>
      <c r="W147" s="10"/>
    </row>
    <row r="148" spans="1:29" x14ac:dyDescent="0.3">
      <c r="B148">
        <f t="shared" si="20"/>
        <v>137</v>
      </c>
      <c r="C148" s="8">
        <f t="shared" si="21"/>
        <v>46956</v>
      </c>
      <c r="D148" s="6">
        <v>1914</v>
      </c>
      <c r="E148" s="6"/>
      <c r="F148" s="5">
        <f t="shared" si="23"/>
        <v>127865.09548557279</v>
      </c>
      <c r="G148" s="5">
        <f t="shared" si="18"/>
        <v>461.25373426834358</v>
      </c>
      <c r="H148" s="5">
        <f t="shared" si="22"/>
        <v>439.53626573165644</v>
      </c>
      <c r="I148" s="6">
        <v>1013.21</v>
      </c>
      <c r="J148" s="5">
        <f t="shared" si="16"/>
        <v>133734.18000000034</v>
      </c>
      <c r="K148" s="6"/>
      <c r="L148" s="5">
        <f t="shared" si="19"/>
        <v>127403.84175130446</v>
      </c>
      <c r="M148" s="9">
        <f t="shared" si="17"/>
        <v>0.42047472525182988</v>
      </c>
      <c r="N148" s="6"/>
      <c r="O148" s="6"/>
      <c r="S148" s="8"/>
      <c r="U148" s="5"/>
      <c r="V148" s="5"/>
      <c r="W148" s="10"/>
    </row>
    <row r="149" spans="1:29" x14ac:dyDescent="0.3">
      <c r="B149">
        <f t="shared" si="20"/>
        <v>138</v>
      </c>
      <c r="C149" s="8">
        <f t="shared" si="21"/>
        <v>46986.5</v>
      </c>
      <c r="D149" s="6">
        <v>1914</v>
      </c>
      <c r="E149" s="6"/>
      <c r="F149" s="5">
        <f t="shared" si="23"/>
        <v>127403.84175130446</v>
      </c>
      <c r="G149" s="5">
        <f t="shared" si="18"/>
        <v>462.83929397989095</v>
      </c>
      <c r="H149" s="5">
        <f t="shared" si="22"/>
        <v>437.95070602010907</v>
      </c>
      <c r="I149" s="6">
        <v>1013.21</v>
      </c>
      <c r="J149" s="5">
        <f t="shared" si="16"/>
        <v>134747.39000000033</v>
      </c>
      <c r="K149" s="6"/>
      <c r="L149" s="5">
        <f t="shared" si="19"/>
        <v>126941.00245732458</v>
      </c>
      <c r="M149" s="9">
        <f t="shared" si="17"/>
        <v>0.41894720282945402</v>
      </c>
      <c r="N149" s="6"/>
      <c r="O149" s="6"/>
    </row>
    <row r="150" spans="1:29" x14ac:dyDescent="0.3">
      <c r="B150">
        <f t="shared" si="20"/>
        <v>139</v>
      </c>
      <c r="C150" s="8">
        <f t="shared" si="21"/>
        <v>47017</v>
      </c>
      <c r="D150" s="6">
        <v>1914</v>
      </c>
      <c r="E150" s="6"/>
      <c r="F150" s="5">
        <f t="shared" si="23"/>
        <v>126941.00245732458</v>
      </c>
      <c r="G150" s="5">
        <f t="shared" si="18"/>
        <v>464.43030405294667</v>
      </c>
      <c r="H150" s="5">
        <f t="shared" si="22"/>
        <v>436.35969594705324</v>
      </c>
      <c r="I150" s="6">
        <v>1013.21</v>
      </c>
      <c r="J150" s="5">
        <f t="shared" si="16"/>
        <v>135760.60000000033</v>
      </c>
      <c r="K150" s="6"/>
      <c r="L150" s="5">
        <f t="shared" si="19"/>
        <v>126476.57215327164</v>
      </c>
      <c r="M150" s="9">
        <f t="shared" si="17"/>
        <v>0.4174144295487513</v>
      </c>
      <c r="N150" s="6"/>
      <c r="O150" s="6"/>
    </row>
    <row r="151" spans="1:29" x14ac:dyDescent="0.3">
      <c r="B151">
        <f t="shared" si="20"/>
        <v>140</v>
      </c>
      <c r="C151" s="8">
        <f t="shared" si="21"/>
        <v>47047.5</v>
      </c>
      <c r="D151" s="6">
        <v>1914</v>
      </c>
      <c r="E151" s="6"/>
      <c r="F151" s="5">
        <f t="shared" si="23"/>
        <v>126476.57215327164</v>
      </c>
      <c r="G151" s="5">
        <f t="shared" si="18"/>
        <v>466.02678322312863</v>
      </c>
      <c r="H151" s="5">
        <f t="shared" si="22"/>
        <v>434.76321677687127</v>
      </c>
      <c r="I151" s="6">
        <v>1013.21</v>
      </c>
      <c r="J151" s="5">
        <f t="shared" si="16"/>
        <v>136773.81000000032</v>
      </c>
      <c r="K151" s="6"/>
      <c r="L151" s="5">
        <f t="shared" si="19"/>
        <v>126010.54537004852</v>
      </c>
      <c r="M151" s="9">
        <f t="shared" si="17"/>
        <v>0.41587638735989613</v>
      </c>
      <c r="N151" s="6"/>
      <c r="O151" s="6"/>
    </row>
    <row r="152" spans="1:29" x14ac:dyDescent="0.3">
      <c r="B152">
        <f t="shared" si="20"/>
        <v>141</v>
      </c>
      <c r="C152" s="8">
        <f t="shared" si="21"/>
        <v>47078</v>
      </c>
      <c r="D152" s="6">
        <v>1914</v>
      </c>
      <c r="E152" s="6"/>
      <c r="F152" s="5">
        <f t="shared" si="23"/>
        <v>126010.54537004852</v>
      </c>
      <c r="G152" s="5">
        <f t="shared" si="18"/>
        <v>467.62875029045813</v>
      </c>
      <c r="H152" s="5">
        <f t="shared" si="22"/>
        <v>433.16124970954183</v>
      </c>
      <c r="I152" s="6">
        <v>1013.21</v>
      </c>
      <c r="J152" s="5">
        <f t="shared" si="16"/>
        <v>137787.02000000031</v>
      </c>
      <c r="K152" s="6"/>
      <c r="L152" s="5">
        <f t="shared" si="19"/>
        <v>125542.91661975808</v>
      </c>
      <c r="M152" s="9">
        <f t="shared" si="17"/>
        <v>0.41433305815101679</v>
      </c>
      <c r="N152" s="6"/>
      <c r="O152" s="6"/>
    </row>
    <row r="153" spans="1:29" x14ac:dyDescent="0.3">
      <c r="B153">
        <f t="shared" si="20"/>
        <v>142</v>
      </c>
      <c r="C153" s="8">
        <f t="shared" si="21"/>
        <v>47108.5</v>
      </c>
      <c r="D153" s="6">
        <v>1914</v>
      </c>
      <c r="E153" s="6"/>
      <c r="F153" s="5">
        <f t="shared" si="23"/>
        <v>125542.91661975808</v>
      </c>
      <c r="G153" s="5">
        <f t="shared" si="18"/>
        <v>469.23622411958149</v>
      </c>
      <c r="H153" s="5">
        <f t="shared" si="22"/>
        <v>431.55377588041841</v>
      </c>
      <c r="I153" s="6">
        <v>1013.21</v>
      </c>
      <c r="J153" s="5">
        <f t="shared" si="16"/>
        <v>138800.2300000003</v>
      </c>
      <c r="K153" s="6"/>
      <c r="L153" s="5">
        <f t="shared" si="19"/>
        <v>125073.6803956385</v>
      </c>
      <c r="M153" s="9">
        <f t="shared" si="17"/>
        <v>0.41278442374798185</v>
      </c>
      <c r="N153" s="6"/>
      <c r="O153" s="6"/>
    </row>
    <row r="154" spans="1:29" x14ac:dyDescent="0.3">
      <c r="B154">
        <f t="shared" si="20"/>
        <v>143</v>
      </c>
      <c r="C154" s="8">
        <f t="shared" si="21"/>
        <v>47139</v>
      </c>
      <c r="D154" s="6">
        <v>1914</v>
      </c>
      <c r="E154" s="6"/>
      <c r="F154" s="5">
        <f t="shared" si="23"/>
        <v>125073.6803956385</v>
      </c>
      <c r="G154" s="5">
        <f t="shared" si="18"/>
        <v>470.84922363999272</v>
      </c>
      <c r="H154" s="5">
        <f t="shared" si="22"/>
        <v>429.94077636000731</v>
      </c>
      <c r="I154" s="6">
        <v>1013.21</v>
      </c>
      <c r="J154" s="5">
        <f t="shared" si="16"/>
        <v>139813.44000000029</v>
      </c>
      <c r="K154" s="6"/>
      <c r="L154" s="5">
        <f t="shared" si="19"/>
        <v>124602.83117199851</v>
      </c>
      <c r="M154" s="9">
        <f t="shared" si="17"/>
        <v>0.41123046591418649</v>
      </c>
      <c r="N154" s="6"/>
      <c r="O154" s="6"/>
    </row>
    <row r="155" spans="1:29" x14ac:dyDescent="0.3">
      <c r="B155">
        <f t="shared" si="20"/>
        <v>144</v>
      </c>
      <c r="C155" s="8">
        <f t="shared" si="21"/>
        <v>47169.5</v>
      </c>
      <c r="D155" s="6">
        <v>1914</v>
      </c>
      <c r="E155" s="6"/>
      <c r="F155" s="5">
        <f t="shared" si="23"/>
        <v>124602.83117199851</v>
      </c>
      <c r="G155" s="5">
        <f t="shared" si="18"/>
        <v>472.46776784625513</v>
      </c>
      <c r="H155" s="5">
        <f t="shared" si="22"/>
        <v>428.32223215374489</v>
      </c>
      <c r="I155" s="6">
        <v>1013.21</v>
      </c>
      <c r="J155" s="5">
        <f t="shared" si="16"/>
        <v>140826.65000000029</v>
      </c>
      <c r="K155" s="6"/>
      <c r="L155" s="5">
        <f t="shared" si="19"/>
        <v>124130.36340415226</v>
      </c>
      <c r="M155" s="9">
        <f t="shared" si="17"/>
        <v>0.40967116635033751</v>
      </c>
      <c r="N155" s="6"/>
      <c r="O155" s="6"/>
    </row>
    <row r="156" spans="1:29" x14ac:dyDescent="0.3">
      <c r="A156">
        <v>13</v>
      </c>
      <c r="B156">
        <f t="shared" si="20"/>
        <v>145</v>
      </c>
      <c r="C156" s="8">
        <f t="shared" si="21"/>
        <v>47200</v>
      </c>
      <c r="D156" s="6">
        <v>1914</v>
      </c>
      <c r="E156" s="6"/>
      <c r="F156" s="5">
        <f t="shared" si="23"/>
        <v>124130.36340415226</v>
      </c>
      <c r="G156" s="5">
        <f t="shared" si="18"/>
        <v>474.09187579822651</v>
      </c>
      <c r="H156" s="5">
        <f t="shared" si="22"/>
        <v>426.6981242017734</v>
      </c>
      <c r="I156" s="6">
        <v>1013.21</v>
      </c>
      <c r="J156" s="5">
        <f t="shared" si="16"/>
        <v>141839.86000000028</v>
      </c>
      <c r="K156" s="6"/>
      <c r="L156" s="5">
        <f t="shared" si="19"/>
        <v>123656.27152835405</v>
      </c>
      <c r="M156" s="9">
        <f t="shared" si="17"/>
        <v>0.40810650669423776</v>
      </c>
      <c r="N156" s="6"/>
      <c r="O156" s="6"/>
    </row>
    <row r="157" spans="1:29" x14ac:dyDescent="0.3">
      <c r="B157">
        <f t="shared" si="20"/>
        <v>146</v>
      </c>
      <c r="C157" s="8">
        <f t="shared" si="21"/>
        <v>47230.5</v>
      </c>
      <c r="D157" s="6">
        <v>1914</v>
      </c>
      <c r="E157" s="6"/>
      <c r="F157" s="5">
        <f t="shared" si="23"/>
        <v>123656.27152835405</v>
      </c>
      <c r="G157" s="5">
        <f t="shared" si="18"/>
        <v>475.72156662128282</v>
      </c>
      <c r="H157" s="5">
        <f t="shared" si="22"/>
        <v>425.06843337871709</v>
      </c>
      <c r="I157" s="6">
        <v>1013.21</v>
      </c>
      <c r="J157" s="5">
        <f t="shared" si="16"/>
        <v>142853.07000000027</v>
      </c>
      <c r="K157" s="6"/>
      <c r="L157" s="5">
        <f t="shared" si="19"/>
        <v>123180.54996173277</v>
      </c>
      <c r="M157" s="9">
        <f t="shared" si="17"/>
        <v>0.40653646852057018</v>
      </c>
      <c r="N157" s="6"/>
      <c r="O157" s="6"/>
    </row>
    <row r="158" spans="1:29" x14ac:dyDescent="0.3">
      <c r="B158">
        <f t="shared" si="20"/>
        <v>147</v>
      </c>
      <c r="C158" s="8">
        <f t="shared" si="21"/>
        <v>47261</v>
      </c>
      <c r="D158" s="6">
        <v>1914</v>
      </c>
      <c r="E158" s="6"/>
      <c r="F158" s="5">
        <f t="shared" si="23"/>
        <v>123180.54996173277</v>
      </c>
      <c r="G158" s="5">
        <f t="shared" si="18"/>
        <v>477.35685950654351</v>
      </c>
      <c r="H158" s="5">
        <f t="shared" si="22"/>
        <v>423.43314049345645</v>
      </c>
      <c r="I158" s="6">
        <v>1013.21</v>
      </c>
      <c r="J158" s="5">
        <f t="shared" si="16"/>
        <v>143866.28000000026</v>
      </c>
      <c r="K158" s="6"/>
      <c r="L158" s="5">
        <f t="shared" si="19"/>
        <v>122703.19310222623</v>
      </c>
      <c r="M158" s="9">
        <f t="shared" si="17"/>
        <v>0.40496103334068062</v>
      </c>
      <c r="N158" s="6"/>
      <c r="O158" s="6"/>
    </row>
    <row r="159" spans="1:29" x14ac:dyDescent="0.3">
      <c r="B159">
        <f t="shared" si="20"/>
        <v>148</v>
      </c>
      <c r="C159" s="8">
        <f t="shared" si="21"/>
        <v>47291.5</v>
      </c>
      <c r="D159" s="6">
        <v>1914</v>
      </c>
      <c r="E159" s="6"/>
      <c r="F159" s="5">
        <f t="shared" si="23"/>
        <v>122703.19310222623</v>
      </c>
      <c r="G159" s="5">
        <f t="shared" si="18"/>
        <v>478.99777371109735</v>
      </c>
      <c r="H159" s="5">
        <f t="shared" si="22"/>
        <v>421.79222628890267</v>
      </c>
      <c r="I159" s="6">
        <v>1013.21</v>
      </c>
      <c r="J159" s="5">
        <f t="shared" si="16"/>
        <v>144879.49000000025</v>
      </c>
      <c r="K159" s="6"/>
      <c r="L159" s="5">
        <f t="shared" si="19"/>
        <v>122224.19532851514</v>
      </c>
      <c r="M159" s="9">
        <f t="shared" si="17"/>
        <v>0.40338018260236019</v>
      </c>
      <c r="N159" s="6"/>
      <c r="O159" s="6"/>
    </row>
    <row r="160" spans="1:29" x14ac:dyDescent="0.3">
      <c r="B160">
        <f t="shared" si="20"/>
        <v>149</v>
      </c>
      <c r="C160" s="8">
        <f t="shared" si="21"/>
        <v>47322</v>
      </c>
      <c r="D160" s="6">
        <v>1914</v>
      </c>
      <c r="E160" s="6"/>
      <c r="F160" s="5">
        <f t="shared" si="23"/>
        <v>122224.19532851514</v>
      </c>
      <c r="G160" s="5">
        <f t="shared" si="18"/>
        <v>480.64432855822906</v>
      </c>
      <c r="H160" s="5">
        <f t="shared" si="22"/>
        <v>420.14567144177084</v>
      </c>
      <c r="I160" s="6">
        <v>1013.21</v>
      </c>
      <c r="J160" s="5">
        <f t="shared" si="16"/>
        <v>145892.70000000024</v>
      </c>
      <c r="K160" s="6"/>
      <c r="L160" s="5">
        <f t="shared" si="19"/>
        <v>121743.55099995692</v>
      </c>
      <c r="M160" s="9">
        <f t="shared" si="17"/>
        <v>0.40179389768962681</v>
      </c>
      <c r="N160" s="6"/>
      <c r="O160" s="6"/>
    </row>
    <row r="161" spans="1:15" x14ac:dyDescent="0.3">
      <c r="B161">
        <f t="shared" si="20"/>
        <v>150</v>
      </c>
      <c r="C161" s="8">
        <f t="shared" si="21"/>
        <v>47352.5</v>
      </c>
      <c r="D161" s="6">
        <v>1914</v>
      </c>
      <c r="E161" s="6"/>
      <c r="F161" s="5">
        <f t="shared" si="23"/>
        <v>121743.55099995692</v>
      </c>
      <c r="G161" s="5">
        <f t="shared" si="18"/>
        <v>482.2965434376481</v>
      </c>
      <c r="H161" s="5">
        <f t="shared" si="22"/>
        <v>418.49345656235192</v>
      </c>
      <c r="I161" s="6">
        <v>1013.21</v>
      </c>
      <c r="J161" s="5">
        <f t="shared" si="16"/>
        <v>146905.91000000024</v>
      </c>
      <c r="K161" s="6"/>
      <c r="L161" s="5">
        <f t="shared" si="19"/>
        <v>121261.25445651928</v>
      </c>
      <c r="M161" s="9">
        <f t="shared" si="17"/>
        <v>0.40020215992250585</v>
      </c>
      <c r="N161" s="6"/>
      <c r="O161" s="6"/>
    </row>
    <row r="162" spans="1:15" x14ac:dyDescent="0.3">
      <c r="B162">
        <f t="shared" si="20"/>
        <v>151</v>
      </c>
      <c r="C162" s="8">
        <f t="shared" si="21"/>
        <v>47383</v>
      </c>
      <c r="D162" s="6">
        <v>1914</v>
      </c>
      <c r="E162" s="6"/>
      <c r="F162" s="5">
        <f t="shared" si="23"/>
        <v>121261.25445651928</v>
      </c>
      <c r="G162" s="5">
        <f t="shared" si="18"/>
        <v>483.95443780571486</v>
      </c>
      <c r="H162" s="5">
        <f t="shared" si="22"/>
        <v>416.83556219428505</v>
      </c>
      <c r="I162" s="6">
        <v>1013.21</v>
      </c>
      <c r="J162" s="5">
        <f t="shared" si="16"/>
        <v>147919.12000000023</v>
      </c>
      <c r="K162" s="6"/>
      <c r="L162" s="5">
        <f t="shared" si="19"/>
        <v>120777.30001871358</v>
      </c>
      <c r="M162" s="9">
        <f t="shared" si="17"/>
        <v>0.3986049505568105</v>
      </c>
      <c r="N162" s="6"/>
      <c r="O162" s="6"/>
    </row>
    <row r="163" spans="1:15" x14ac:dyDescent="0.3">
      <c r="B163">
        <f t="shared" si="20"/>
        <v>152</v>
      </c>
      <c r="C163" s="8">
        <f t="shared" si="21"/>
        <v>47413.5</v>
      </c>
      <c r="D163" s="6">
        <v>1914</v>
      </c>
      <c r="E163" s="6"/>
      <c r="F163" s="5">
        <f t="shared" si="23"/>
        <v>120777.30001871358</v>
      </c>
      <c r="G163" s="5">
        <f t="shared" si="18"/>
        <v>485.61803118567195</v>
      </c>
      <c r="H163" s="5">
        <f t="shared" si="22"/>
        <v>415.17196881432795</v>
      </c>
      <c r="I163" s="6">
        <v>1013.21</v>
      </c>
      <c r="J163" s="5">
        <f t="shared" si="16"/>
        <v>148932.33000000022</v>
      </c>
      <c r="K163" s="6"/>
      <c r="L163" s="5">
        <f t="shared" si="19"/>
        <v>120291.68198752792</v>
      </c>
      <c r="M163" s="9">
        <f t="shared" si="17"/>
        <v>0.39700225078392054</v>
      </c>
      <c r="N163" s="6"/>
      <c r="O163" s="6"/>
    </row>
    <row r="164" spans="1:15" x14ac:dyDescent="0.3">
      <c r="B164">
        <f t="shared" si="20"/>
        <v>153</v>
      </c>
      <c r="C164" s="8">
        <f t="shared" si="21"/>
        <v>47444</v>
      </c>
      <c r="D164" s="6">
        <v>1914</v>
      </c>
      <c r="E164" s="6"/>
      <c r="F164" s="5">
        <f t="shared" si="23"/>
        <v>120291.68198752792</v>
      </c>
      <c r="G164" s="5">
        <f t="shared" si="18"/>
        <v>487.28734316787268</v>
      </c>
      <c r="H164" s="5">
        <f t="shared" si="22"/>
        <v>413.50265683212723</v>
      </c>
      <c r="I164" s="6">
        <v>1013.21</v>
      </c>
      <c r="J164" s="5">
        <f t="shared" si="16"/>
        <v>149945.54000000021</v>
      </c>
      <c r="K164" s="6"/>
      <c r="L164" s="5">
        <f t="shared" si="19"/>
        <v>119804.39464436006</v>
      </c>
      <c r="M164" s="9">
        <f t="shared" si="17"/>
        <v>0.39539404173056125</v>
      </c>
      <c r="N164" s="6"/>
      <c r="O164" s="6"/>
    </row>
    <row r="165" spans="1:15" x14ac:dyDescent="0.3">
      <c r="B165">
        <f t="shared" si="20"/>
        <v>154</v>
      </c>
      <c r="C165" s="8">
        <f t="shared" si="21"/>
        <v>47474.5</v>
      </c>
      <c r="D165" s="6">
        <v>1914</v>
      </c>
      <c r="E165" s="6"/>
      <c r="F165" s="5">
        <f t="shared" si="23"/>
        <v>119804.39464436006</v>
      </c>
      <c r="G165" s="5">
        <f t="shared" si="18"/>
        <v>488.96239341001228</v>
      </c>
      <c r="H165" s="5">
        <f t="shared" si="22"/>
        <v>411.82760658998768</v>
      </c>
      <c r="I165" s="6">
        <v>1013.21</v>
      </c>
      <c r="J165" s="5">
        <f t="shared" si="16"/>
        <v>150958.7500000002</v>
      </c>
      <c r="K165" s="6"/>
      <c r="L165" s="5">
        <f t="shared" si="19"/>
        <v>119315.43225095005</v>
      </c>
      <c r="M165" s="9">
        <f t="shared" si="17"/>
        <v>0.39378030445858103</v>
      </c>
      <c r="N165" s="6"/>
      <c r="O165" s="6"/>
    </row>
    <row r="166" spans="1:15" x14ac:dyDescent="0.3">
      <c r="B166">
        <f t="shared" si="20"/>
        <v>155</v>
      </c>
      <c r="C166" s="8">
        <f t="shared" si="21"/>
        <v>47505</v>
      </c>
      <c r="D166" s="6">
        <v>1914</v>
      </c>
      <c r="E166" s="6"/>
      <c r="F166" s="5">
        <f t="shared" si="23"/>
        <v>119315.43225095005</v>
      </c>
      <c r="G166" s="5">
        <f t="shared" si="18"/>
        <v>490.6432016373592</v>
      </c>
      <c r="H166" s="5">
        <f t="shared" si="22"/>
        <v>410.14679836264082</v>
      </c>
      <c r="I166" s="6">
        <v>1013.21</v>
      </c>
      <c r="J166" s="5">
        <f t="shared" si="16"/>
        <v>151971.9600000002</v>
      </c>
      <c r="K166" s="6"/>
      <c r="L166" s="5">
        <f t="shared" si="19"/>
        <v>118824.78904931269</v>
      </c>
      <c r="M166" s="9">
        <f t="shared" si="17"/>
        <v>0.39216101996472835</v>
      </c>
      <c r="N166" s="6"/>
      <c r="O166" s="6"/>
    </row>
    <row r="167" spans="1:15" x14ac:dyDescent="0.3">
      <c r="B167">
        <f t="shared" si="20"/>
        <v>156</v>
      </c>
      <c r="C167" s="8">
        <f t="shared" si="21"/>
        <v>47535.5</v>
      </c>
      <c r="D167" s="6">
        <v>1914</v>
      </c>
      <c r="E167" s="6"/>
      <c r="F167" s="5">
        <f t="shared" si="23"/>
        <v>118824.78904931269</v>
      </c>
      <c r="G167" s="5">
        <f t="shared" si="18"/>
        <v>492.32978764298764</v>
      </c>
      <c r="H167" s="5">
        <f t="shared" si="22"/>
        <v>408.46021235701238</v>
      </c>
      <c r="I167" s="6">
        <v>1013.21</v>
      </c>
      <c r="J167" s="5">
        <f t="shared" si="16"/>
        <v>152985.17000000019</v>
      </c>
      <c r="K167" s="6"/>
      <c r="L167" s="5">
        <f t="shared" si="19"/>
        <v>118332.4592616697</v>
      </c>
      <c r="M167" s="9">
        <f t="shared" si="17"/>
        <v>0.39053616918042805</v>
      </c>
      <c r="N167" s="6"/>
      <c r="O167" s="6"/>
    </row>
    <row r="168" spans="1:15" x14ac:dyDescent="0.3">
      <c r="A168">
        <v>14</v>
      </c>
      <c r="B168">
        <f t="shared" si="20"/>
        <v>157</v>
      </c>
      <c r="C168" s="8">
        <f t="shared" si="21"/>
        <v>47566</v>
      </c>
      <c r="D168" s="6">
        <v>1914</v>
      </c>
      <c r="E168" s="6"/>
      <c r="F168" s="5">
        <f t="shared" si="23"/>
        <v>118332.4592616697</v>
      </c>
      <c r="G168" s="5">
        <f t="shared" si="18"/>
        <v>494.02217128801044</v>
      </c>
      <c r="H168" s="5">
        <f t="shared" si="22"/>
        <v>406.76782871198958</v>
      </c>
      <c r="I168" s="6">
        <v>1013.21</v>
      </c>
      <c r="J168" s="5">
        <f t="shared" si="16"/>
        <v>153998.38000000018</v>
      </c>
      <c r="K168" s="6"/>
      <c r="L168" s="5">
        <f t="shared" si="19"/>
        <v>117838.4370903817</v>
      </c>
      <c r="M168" s="9">
        <f t="shared" si="17"/>
        <v>0.38890573297155678</v>
      </c>
      <c r="N168" s="6"/>
      <c r="O168" s="6"/>
    </row>
    <row r="169" spans="1:15" x14ac:dyDescent="0.3">
      <c r="B169">
        <f t="shared" si="20"/>
        <v>158</v>
      </c>
      <c r="C169" s="8">
        <f t="shared" si="21"/>
        <v>47596.5</v>
      </c>
      <c r="D169" s="6">
        <v>1914</v>
      </c>
      <c r="E169" s="6"/>
      <c r="F169" s="5">
        <f t="shared" si="23"/>
        <v>117838.4370903817</v>
      </c>
      <c r="G169" s="5">
        <f t="shared" si="18"/>
        <v>495.72037250181279</v>
      </c>
      <c r="H169" s="5">
        <f t="shared" si="22"/>
        <v>405.06962749818712</v>
      </c>
      <c r="I169" s="6">
        <v>1013.21</v>
      </c>
      <c r="J169" s="5">
        <f t="shared" si="16"/>
        <v>155011.59000000017</v>
      </c>
      <c r="K169" s="6"/>
      <c r="L169" s="5">
        <f t="shared" si="19"/>
        <v>117342.7167178799</v>
      </c>
      <c r="M169" s="9">
        <f t="shared" si="17"/>
        <v>0.38726969213821749</v>
      </c>
      <c r="N169" s="6"/>
      <c r="O169" s="6"/>
    </row>
    <row r="170" spans="1:15" x14ac:dyDescent="0.3">
      <c r="B170">
        <f t="shared" si="20"/>
        <v>159</v>
      </c>
      <c r="C170" s="8">
        <f t="shared" si="21"/>
        <v>47627</v>
      </c>
      <c r="D170" s="6">
        <v>1914</v>
      </c>
      <c r="E170" s="6"/>
      <c r="F170" s="5">
        <f t="shared" si="23"/>
        <v>117342.7167178799</v>
      </c>
      <c r="G170" s="5">
        <f t="shared" si="18"/>
        <v>497.42441128228779</v>
      </c>
      <c r="H170" s="5">
        <f t="shared" si="22"/>
        <v>403.36558871771217</v>
      </c>
      <c r="I170" s="6">
        <v>1013.21</v>
      </c>
      <c r="J170" s="5">
        <f t="shared" si="16"/>
        <v>156024.80000000016</v>
      </c>
      <c r="K170" s="6"/>
      <c r="L170" s="5">
        <f t="shared" si="19"/>
        <v>116845.29230659762</v>
      </c>
      <c r="M170" s="9">
        <f t="shared" si="17"/>
        <v>0.38562802741451357</v>
      </c>
      <c r="N170" s="6"/>
      <c r="O170" s="6"/>
    </row>
    <row r="171" spans="1:15" x14ac:dyDescent="0.3">
      <c r="B171">
        <f t="shared" si="20"/>
        <v>160</v>
      </c>
      <c r="C171" s="8">
        <f t="shared" si="21"/>
        <v>47657.5</v>
      </c>
      <c r="D171" s="6">
        <v>1914</v>
      </c>
      <c r="E171" s="6"/>
      <c r="F171" s="5">
        <f t="shared" si="23"/>
        <v>116845.29230659762</v>
      </c>
      <c r="G171" s="5">
        <f t="shared" si="18"/>
        <v>499.13430769607066</v>
      </c>
      <c r="H171" s="5">
        <f t="shared" si="22"/>
        <v>401.65569230392936</v>
      </c>
      <c r="I171" s="6">
        <v>1013.21</v>
      </c>
      <c r="J171" s="5">
        <f t="shared" si="16"/>
        <v>157038.01000000015</v>
      </c>
      <c r="K171" s="6"/>
      <c r="L171" s="5">
        <f t="shared" si="19"/>
        <v>116346.15799890156</v>
      </c>
      <c r="M171" s="9">
        <f t="shared" si="17"/>
        <v>0.38398071946832196</v>
      </c>
      <c r="N171" s="6"/>
      <c r="O171" s="6"/>
    </row>
    <row r="172" spans="1:15" x14ac:dyDescent="0.3">
      <c r="B172">
        <f t="shared" si="20"/>
        <v>161</v>
      </c>
      <c r="C172" s="8">
        <f t="shared" si="21"/>
        <v>47688</v>
      </c>
      <c r="D172" s="6">
        <v>1914</v>
      </c>
      <c r="E172" s="6"/>
      <c r="F172" s="5">
        <f t="shared" si="23"/>
        <v>116346.15799890156</v>
      </c>
      <c r="G172" s="5">
        <f t="shared" si="18"/>
        <v>500.85008187877588</v>
      </c>
      <c r="H172" s="5">
        <f t="shared" si="22"/>
        <v>399.93991812122414</v>
      </c>
      <c r="I172" s="6">
        <v>1013.21</v>
      </c>
      <c r="J172" s="5">
        <f t="shared" si="16"/>
        <v>158051.22000000015</v>
      </c>
      <c r="K172" s="6"/>
      <c r="L172" s="5">
        <f t="shared" si="19"/>
        <v>115845.30791702279</v>
      </c>
      <c r="M172" s="9">
        <f t="shared" si="17"/>
        <v>0.3823277489010653</v>
      </c>
      <c r="N172" s="6"/>
      <c r="O172" s="6"/>
    </row>
    <row r="173" spans="1:15" x14ac:dyDescent="0.3">
      <c r="B173">
        <f t="shared" si="20"/>
        <v>162</v>
      </c>
      <c r="C173" s="8">
        <f t="shared" si="21"/>
        <v>47718.5</v>
      </c>
      <c r="D173" s="6">
        <v>1914</v>
      </c>
      <c r="E173" s="6"/>
      <c r="F173" s="5">
        <f t="shared" si="23"/>
        <v>115845.30791702279</v>
      </c>
      <c r="G173" s="5">
        <f t="shared" si="18"/>
        <v>502.57175403523411</v>
      </c>
      <c r="H173" s="5">
        <f t="shared" si="22"/>
        <v>398.21824596476586</v>
      </c>
      <c r="I173" s="6">
        <v>1013.21</v>
      </c>
      <c r="J173" s="5">
        <f t="shared" si="16"/>
        <v>159064.43000000014</v>
      </c>
      <c r="K173" s="6"/>
      <c r="L173" s="5">
        <f t="shared" si="19"/>
        <v>115342.73616298755</v>
      </c>
      <c r="M173" s="9">
        <f t="shared" si="17"/>
        <v>0.38066909624748368</v>
      </c>
      <c r="N173" s="6"/>
      <c r="O173" s="6"/>
    </row>
    <row r="174" spans="1:15" x14ac:dyDescent="0.3">
      <c r="B174">
        <f t="shared" si="20"/>
        <v>163</v>
      </c>
      <c r="C174" s="8">
        <f t="shared" si="21"/>
        <v>47749</v>
      </c>
      <c r="D174" s="6">
        <v>1914</v>
      </c>
      <c r="E174" s="6"/>
      <c r="F174" s="5">
        <f t="shared" si="23"/>
        <v>115342.73616298755</v>
      </c>
      <c r="G174" s="5">
        <f t="shared" si="18"/>
        <v>504.29934443973025</v>
      </c>
      <c r="H174" s="5">
        <f t="shared" si="22"/>
        <v>396.49065556026972</v>
      </c>
      <c r="I174" s="6">
        <v>1013.21</v>
      </c>
      <c r="J174" s="5">
        <f t="shared" si="16"/>
        <v>160077.64000000013</v>
      </c>
      <c r="K174" s="6"/>
      <c r="L174" s="5">
        <f t="shared" si="19"/>
        <v>114838.43681854782</v>
      </c>
      <c r="M174" s="9">
        <f t="shared" si="17"/>
        <v>0.37900474197540535</v>
      </c>
      <c r="N174" s="6"/>
      <c r="O174" s="6"/>
    </row>
    <row r="175" spans="1:15" x14ac:dyDescent="0.3">
      <c r="B175">
        <f t="shared" si="20"/>
        <v>164</v>
      </c>
      <c r="C175" s="8">
        <f t="shared" si="21"/>
        <v>47779.5</v>
      </c>
      <c r="D175" s="6">
        <v>1914</v>
      </c>
      <c r="E175" s="6"/>
      <c r="F175" s="5">
        <f t="shared" si="23"/>
        <v>114838.43681854782</v>
      </c>
      <c r="G175" s="5">
        <f t="shared" si="18"/>
        <v>506.03287343624174</v>
      </c>
      <c r="H175" s="5">
        <f t="shared" si="22"/>
        <v>394.75712656375816</v>
      </c>
      <c r="I175" s="6">
        <v>1013.21</v>
      </c>
      <c r="J175" s="5">
        <f t="shared" si="16"/>
        <v>161090.85000000012</v>
      </c>
      <c r="K175" s="6"/>
      <c r="L175" s="5">
        <f t="shared" si="19"/>
        <v>114332.40394511158</v>
      </c>
      <c r="M175" s="9">
        <f t="shared" si="17"/>
        <v>0.37733466648551678</v>
      </c>
      <c r="N175" s="6"/>
      <c r="O175" s="6"/>
    </row>
    <row r="176" spans="1:15" x14ac:dyDescent="0.3">
      <c r="B176">
        <f t="shared" si="20"/>
        <v>165</v>
      </c>
      <c r="C176" s="8">
        <f t="shared" si="21"/>
        <v>47810</v>
      </c>
      <c r="D176" s="6">
        <v>1914</v>
      </c>
      <c r="E176" s="6"/>
      <c r="F176" s="5">
        <f t="shared" si="23"/>
        <v>114332.40394511158</v>
      </c>
      <c r="G176" s="5">
        <f t="shared" si="18"/>
        <v>507.7723614386789</v>
      </c>
      <c r="H176" s="5">
        <f t="shared" si="22"/>
        <v>393.01763856132106</v>
      </c>
      <c r="I176" s="6">
        <v>1013.21</v>
      </c>
      <c r="J176" s="5">
        <f t="shared" si="16"/>
        <v>162104.06000000011</v>
      </c>
      <c r="K176" s="6"/>
      <c r="L176" s="5">
        <f t="shared" si="19"/>
        <v>113824.6315836729</v>
      </c>
      <c r="M176" s="9">
        <f t="shared" si="17"/>
        <v>0.3756588501111317</v>
      </c>
      <c r="N176" s="6"/>
      <c r="O176" s="6"/>
    </row>
    <row r="177" spans="1:15" x14ac:dyDescent="0.3">
      <c r="B177">
        <f t="shared" si="20"/>
        <v>166</v>
      </c>
      <c r="C177" s="8">
        <f t="shared" si="21"/>
        <v>47840.5</v>
      </c>
      <c r="D177" s="6">
        <v>1914</v>
      </c>
      <c r="E177" s="6"/>
      <c r="F177" s="5">
        <f t="shared" si="23"/>
        <v>113824.6315836729</v>
      </c>
      <c r="G177" s="5">
        <f t="shared" si="18"/>
        <v>509.51782893112431</v>
      </c>
      <c r="H177" s="5">
        <f t="shared" si="22"/>
        <v>391.27217106887565</v>
      </c>
      <c r="I177" s="6">
        <v>1013.21</v>
      </c>
      <c r="J177" s="5">
        <f t="shared" si="16"/>
        <v>163117.27000000011</v>
      </c>
      <c r="K177" s="6"/>
      <c r="L177" s="5">
        <f t="shared" si="19"/>
        <v>113315.11375474179</v>
      </c>
      <c r="M177" s="9">
        <f t="shared" si="17"/>
        <v>0.3739772731179597</v>
      </c>
      <c r="N177" s="6"/>
      <c r="O177" s="6"/>
    </row>
    <row r="178" spans="1:15" x14ac:dyDescent="0.3">
      <c r="B178">
        <f t="shared" si="20"/>
        <v>167</v>
      </c>
      <c r="C178" s="8">
        <f t="shared" si="21"/>
        <v>47871</v>
      </c>
      <c r="D178" s="6">
        <v>1914</v>
      </c>
      <c r="E178" s="6"/>
      <c r="F178" s="5">
        <f t="shared" si="23"/>
        <v>113315.11375474179</v>
      </c>
      <c r="G178" s="5">
        <f t="shared" si="18"/>
        <v>511.26929646807503</v>
      </c>
      <c r="H178" s="5">
        <f t="shared" si="22"/>
        <v>389.52070353192494</v>
      </c>
      <c r="I178" s="6">
        <v>1013.21</v>
      </c>
      <c r="J178" s="5">
        <f t="shared" si="16"/>
        <v>164130.4800000001</v>
      </c>
      <c r="K178" s="6"/>
      <c r="L178" s="5">
        <f t="shared" si="19"/>
        <v>112803.84445827371</v>
      </c>
      <c r="M178" s="9">
        <f t="shared" si="17"/>
        <v>0.37228991570387365</v>
      </c>
      <c r="N178" s="6"/>
      <c r="O178" s="6"/>
    </row>
    <row r="179" spans="1:15" x14ac:dyDescent="0.3">
      <c r="B179">
        <f t="shared" si="20"/>
        <v>168</v>
      </c>
      <c r="C179" s="8">
        <f t="shared" si="21"/>
        <v>47901.5</v>
      </c>
      <c r="D179" s="6">
        <v>1914</v>
      </c>
      <c r="E179" s="6"/>
      <c r="F179" s="5">
        <f t="shared" si="23"/>
        <v>112803.84445827371</v>
      </c>
      <c r="G179" s="5">
        <f t="shared" si="18"/>
        <v>513.026784674684</v>
      </c>
      <c r="H179" s="5">
        <f t="shared" si="22"/>
        <v>387.76321532531591</v>
      </c>
      <c r="I179" s="6">
        <v>1013.21</v>
      </c>
      <c r="J179" s="5">
        <f t="shared" si="16"/>
        <v>165143.69000000009</v>
      </c>
      <c r="K179" s="6"/>
      <c r="L179" s="5">
        <f t="shared" si="19"/>
        <v>112290.81767359904</v>
      </c>
      <c r="M179" s="9">
        <f t="shared" si="17"/>
        <v>0.3705967579986767</v>
      </c>
      <c r="N179" s="6"/>
      <c r="O179" s="6"/>
    </row>
    <row r="180" spans="1:15" x14ac:dyDescent="0.3">
      <c r="A180">
        <v>15</v>
      </c>
      <c r="B180">
        <f t="shared" si="20"/>
        <v>169</v>
      </c>
      <c r="C180" s="8">
        <f t="shared" si="21"/>
        <v>47932</v>
      </c>
      <c r="D180" s="6">
        <v>1914</v>
      </c>
      <c r="E180" s="6"/>
      <c r="F180" s="5">
        <f t="shared" si="23"/>
        <v>112290.81767359904</v>
      </c>
      <c r="G180" s="5">
        <f t="shared" si="18"/>
        <v>514.79031424700315</v>
      </c>
      <c r="H180" s="5">
        <f t="shared" si="22"/>
        <v>385.99968575299675</v>
      </c>
      <c r="I180" s="6">
        <v>1013.21</v>
      </c>
      <c r="J180" s="5">
        <f t="shared" ref="J180:J243" si="24">J179+I180-K180-N180</f>
        <v>166156.90000000008</v>
      </c>
      <c r="K180" s="6"/>
      <c r="L180" s="5">
        <f t="shared" si="19"/>
        <v>111776.02735935204</v>
      </c>
      <c r="M180" s="9">
        <f t="shared" si="17"/>
        <v>0.36889778006386814</v>
      </c>
      <c r="N180" s="6"/>
      <c r="O180" s="6"/>
    </row>
    <row r="181" spans="1:15" x14ac:dyDescent="0.3">
      <c r="B181">
        <f t="shared" si="20"/>
        <v>170</v>
      </c>
      <c r="C181" s="8">
        <f t="shared" si="21"/>
        <v>47962.5</v>
      </c>
      <c r="D181" s="6">
        <v>1914</v>
      </c>
      <c r="E181" s="6"/>
      <c r="F181" s="5">
        <f t="shared" si="23"/>
        <v>111776.02735935204</v>
      </c>
      <c r="G181" s="5">
        <f t="shared" si="18"/>
        <v>516.55990595222738</v>
      </c>
      <c r="H181" s="5">
        <f t="shared" si="22"/>
        <v>384.23009404777264</v>
      </c>
      <c r="I181" s="6">
        <v>1013.21</v>
      </c>
      <c r="J181" s="5">
        <f t="shared" si="24"/>
        <v>167170.11000000007</v>
      </c>
      <c r="K181" s="6"/>
      <c r="L181" s="5">
        <f t="shared" si="19"/>
        <v>111259.46745339982</v>
      </c>
      <c r="M181" s="9">
        <f t="shared" si="17"/>
        <v>0.36719296189240863</v>
      </c>
      <c r="N181" s="6"/>
      <c r="O181" s="6"/>
    </row>
    <row r="182" spans="1:15" x14ac:dyDescent="0.3">
      <c r="B182">
        <f t="shared" si="20"/>
        <v>171</v>
      </c>
      <c r="C182" s="8">
        <f t="shared" si="21"/>
        <v>47993</v>
      </c>
      <c r="D182" s="6">
        <v>1914</v>
      </c>
      <c r="E182" s="6"/>
      <c r="F182" s="5">
        <f t="shared" si="23"/>
        <v>111259.46745339982</v>
      </c>
      <c r="G182" s="5">
        <f t="shared" si="18"/>
        <v>518.33558062893803</v>
      </c>
      <c r="H182" s="5">
        <f t="shared" si="22"/>
        <v>382.45441937106193</v>
      </c>
      <c r="I182" s="6">
        <v>1013.21</v>
      </c>
      <c r="J182" s="5">
        <f t="shared" si="24"/>
        <v>168183.32000000007</v>
      </c>
      <c r="K182" s="6"/>
      <c r="L182" s="5">
        <f t="shared" si="19"/>
        <v>110741.13187277089</v>
      </c>
      <c r="M182" s="9">
        <f t="shared" si="17"/>
        <v>0.36548228340848476</v>
      </c>
      <c r="N182" s="6"/>
      <c r="O182" s="6"/>
    </row>
    <row r="183" spans="1:15" x14ac:dyDescent="0.3">
      <c r="B183">
        <f t="shared" si="20"/>
        <v>172</v>
      </c>
      <c r="C183" s="8">
        <f t="shared" si="21"/>
        <v>48023.5</v>
      </c>
      <c r="D183" s="6">
        <v>1914</v>
      </c>
      <c r="E183" s="6"/>
      <c r="F183" s="5">
        <f t="shared" si="23"/>
        <v>110741.13187277089</v>
      </c>
      <c r="G183" s="5">
        <f t="shared" si="18"/>
        <v>520.11735918735008</v>
      </c>
      <c r="H183" s="5">
        <f t="shared" si="22"/>
        <v>380.67264081264995</v>
      </c>
      <c r="I183" s="6">
        <v>1013.21</v>
      </c>
      <c r="J183" s="5">
        <f t="shared" si="24"/>
        <v>169196.53000000006</v>
      </c>
      <c r="K183" s="6"/>
      <c r="L183" s="5">
        <f t="shared" si="19"/>
        <v>110221.01451358355</v>
      </c>
      <c r="M183" s="9">
        <f t="shared" si="17"/>
        <v>0.36376572446727246</v>
      </c>
      <c r="N183" s="6"/>
      <c r="O183" s="6"/>
    </row>
    <row r="184" spans="1:15" x14ac:dyDescent="0.3">
      <c r="B184">
        <f t="shared" si="20"/>
        <v>173</v>
      </c>
      <c r="C184" s="8">
        <f t="shared" si="21"/>
        <v>48054</v>
      </c>
      <c r="D184" s="6">
        <v>1914</v>
      </c>
      <c r="E184" s="6"/>
      <c r="F184" s="5">
        <f t="shared" si="23"/>
        <v>110221.01451358355</v>
      </c>
      <c r="G184" s="5">
        <f t="shared" si="18"/>
        <v>521.90526260955653</v>
      </c>
      <c r="H184" s="5">
        <f t="shared" si="22"/>
        <v>378.88473739044343</v>
      </c>
      <c r="I184" s="6">
        <v>1013.21</v>
      </c>
      <c r="J184" s="5">
        <f t="shared" si="24"/>
        <v>170209.74000000005</v>
      </c>
      <c r="K184" s="6"/>
      <c r="L184" s="5">
        <f t="shared" si="19"/>
        <v>109699.109250974</v>
      </c>
      <c r="M184" s="9">
        <f t="shared" si="17"/>
        <v>0.36204326485469968</v>
      </c>
      <c r="N184" s="6"/>
      <c r="O184" s="6"/>
    </row>
    <row r="185" spans="1:15" x14ac:dyDescent="0.3">
      <c r="B185">
        <f t="shared" si="20"/>
        <v>174</v>
      </c>
      <c r="C185" s="8">
        <f t="shared" si="21"/>
        <v>48084.5</v>
      </c>
      <c r="D185" s="6">
        <v>1914</v>
      </c>
      <c r="E185" s="6"/>
      <c r="F185" s="5">
        <f t="shared" si="23"/>
        <v>109699.109250974</v>
      </c>
      <c r="G185" s="5">
        <f t="shared" si="18"/>
        <v>523.69931194977676</v>
      </c>
      <c r="H185" s="5">
        <f t="shared" si="22"/>
        <v>377.09068805022315</v>
      </c>
      <c r="I185" s="6">
        <v>1013.21</v>
      </c>
      <c r="J185" s="5">
        <f t="shared" si="24"/>
        <v>171222.95000000004</v>
      </c>
      <c r="K185" s="6"/>
      <c r="L185" s="5">
        <f t="shared" si="19"/>
        <v>109175.40993902423</v>
      </c>
      <c r="M185" s="9">
        <f t="shared" si="17"/>
        <v>0.3603148842872087</v>
      </c>
      <c r="N185" s="6"/>
      <c r="O185" s="6"/>
    </row>
    <row r="186" spans="1:15" x14ac:dyDescent="0.3">
      <c r="B186">
        <f t="shared" si="20"/>
        <v>175</v>
      </c>
      <c r="C186" s="8">
        <f t="shared" si="21"/>
        <v>48115</v>
      </c>
      <c r="D186" s="6">
        <v>1914</v>
      </c>
      <c r="E186" s="6"/>
      <c r="F186" s="5">
        <f t="shared" si="23"/>
        <v>109175.40993902423</v>
      </c>
      <c r="G186" s="5">
        <f t="shared" si="18"/>
        <v>525.49952833460407</v>
      </c>
      <c r="H186" s="5">
        <f t="shared" si="22"/>
        <v>375.29047166539584</v>
      </c>
      <c r="I186" s="6">
        <v>1013.21</v>
      </c>
      <c r="J186" s="5">
        <f t="shared" si="24"/>
        <v>172236.16000000003</v>
      </c>
      <c r="K186" s="6"/>
      <c r="L186" s="5">
        <f t="shared" si="19"/>
        <v>108649.91041068964</v>
      </c>
      <c r="M186" s="9">
        <f t="shared" si="17"/>
        <v>0.35858056241151698</v>
      </c>
      <c r="N186" s="6"/>
      <c r="O186" s="6"/>
    </row>
    <row r="187" spans="1:15" x14ac:dyDescent="0.3">
      <c r="B187">
        <f t="shared" si="20"/>
        <v>176</v>
      </c>
      <c r="C187" s="8">
        <f t="shared" si="21"/>
        <v>48145.5</v>
      </c>
      <c r="D187" s="6">
        <v>1914</v>
      </c>
      <c r="E187" s="6"/>
      <c r="F187" s="5">
        <f t="shared" si="23"/>
        <v>108649.91041068964</v>
      </c>
      <c r="G187" s="5">
        <f t="shared" si="18"/>
        <v>527.30593296325424</v>
      </c>
      <c r="H187" s="5">
        <f t="shared" si="22"/>
        <v>373.48406703674567</v>
      </c>
      <c r="I187" s="6">
        <v>1013.21</v>
      </c>
      <c r="J187" s="5">
        <f t="shared" si="24"/>
        <v>173249.37000000002</v>
      </c>
      <c r="K187" s="6"/>
      <c r="L187" s="5">
        <f t="shared" si="19"/>
        <v>108122.60447772639</v>
      </c>
      <c r="M187" s="9">
        <f t="shared" si="17"/>
        <v>0.35684027880437752</v>
      </c>
      <c r="N187" s="6"/>
      <c r="O187" s="6"/>
    </row>
    <row r="188" spans="1:15" x14ac:dyDescent="0.3">
      <c r="B188">
        <f t="shared" si="20"/>
        <v>177</v>
      </c>
      <c r="C188" s="8">
        <f t="shared" si="21"/>
        <v>48176</v>
      </c>
      <c r="D188" s="6">
        <v>1914</v>
      </c>
      <c r="E188" s="6"/>
      <c r="F188" s="5">
        <f t="shared" si="23"/>
        <v>108122.60447772639</v>
      </c>
      <c r="G188" s="5">
        <f t="shared" si="18"/>
        <v>529.1185471078154</v>
      </c>
      <c r="H188" s="5">
        <f t="shared" si="22"/>
        <v>371.6714528921845</v>
      </c>
      <c r="I188" s="6">
        <v>1013.21</v>
      </c>
      <c r="J188" s="5">
        <f t="shared" si="24"/>
        <v>174262.58000000002</v>
      </c>
      <c r="K188" s="6"/>
      <c r="L188" s="5">
        <f t="shared" si="19"/>
        <v>107593.48593061858</v>
      </c>
      <c r="M188" s="9">
        <f t="shared" si="17"/>
        <v>0.35509401297233856</v>
      </c>
      <c r="N188" s="6"/>
      <c r="O188" s="6"/>
    </row>
    <row r="189" spans="1:15" x14ac:dyDescent="0.3">
      <c r="B189">
        <f t="shared" si="20"/>
        <v>178</v>
      </c>
      <c r="C189" s="8">
        <f t="shared" si="21"/>
        <v>48206.5</v>
      </c>
      <c r="D189" s="6">
        <v>1914</v>
      </c>
      <c r="E189" s="6"/>
      <c r="F189" s="5">
        <f t="shared" si="23"/>
        <v>107593.48593061858</v>
      </c>
      <c r="G189" s="5">
        <f t="shared" si="18"/>
        <v>530.93739211349862</v>
      </c>
      <c r="H189" s="5">
        <f t="shared" si="22"/>
        <v>369.8526078865014</v>
      </c>
      <c r="I189" s="6">
        <v>1013.21</v>
      </c>
      <c r="J189" s="5">
        <f t="shared" si="24"/>
        <v>175275.79</v>
      </c>
      <c r="K189" s="6"/>
      <c r="L189" s="5">
        <f t="shared" si="19"/>
        <v>107062.54853850509</v>
      </c>
      <c r="M189" s="9">
        <f t="shared" si="17"/>
        <v>0.35334174435150195</v>
      </c>
      <c r="N189" s="6"/>
      <c r="O189" s="6"/>
    </row>
    <row r="190" spans="1:15" x14ac:dyDescent="0.3">
      <c r="B190">
        <f t="shared" si="20"/>
        <v>179</v>
      </c>
      <c r="C190" s="8">
        <f t="shared" si="21"/>
        <v>48237</v>
      </c>
      <c r="D190" s="6">
        <v>1914</v>
      </c>
      <c r="E190" s="6"/>
      <c r="F190" s="5">
        <f t="shared" si="23"/>
        <v>107062.54853850509</v>
      </c>
      <c r="G190" s="5">
        <f t="shared" si="18"/>
        <v>532.76248939888865</v>
      </c>
      <c r="H190" s="5">
        <f t="shared" si="22"/>
        <v>368.02751060111126</v>
      </c>
      <c r="I190" s="6">
        <v>1013.21</v>
      </c>
      <c r="J190" s="5">
        <f t="shared" si="24"/>
        <v>176289</v>
      </c>
      <c r="K190" s="6"/>
      <c r="L190" s="5">
        <f t="shared" si="19"/>
        <v>106529.7860491062</v>
      </c>
      <c r="M190" s="9">
        <f t="shared" si="17"/>
        <v>0.35158345230728122</v>
      </c>
      <c r="N190" s="6"/>
      <c r="O190" s="6"/>
    </row>
    <row r="191" spans="1:15" x14ac:dyDescent="0.3">
      <c r="B191">
        <f t="shared" si="20"/>
        <v>180</v>
      </c>
      <c r="C191" s="8">
        <f t="shared" si="21"/>
        <v>48267.5</v>
      </c>
      <c r="D191" s="6">
        <v>1914</v>
      </c>
      <c r="E191" s="6"/>
      <c r="F191" s="5">
        <f t="shared" si="23"/>
        <v>106529.7860491062</v>
      </c>
      <c r="G191" s="5">
        <f t="shared" si="18"/>
        <v>534.59386045619749</v>
      </c>
      <c r="H191" s="5">
        <f t="shared" si="22"/>
        <v>366.19613954380253</v>
      </c>
      <c r="I191" s="6">
        <v>1013.21</v>
      </c>
      <c r="J191" s="5">
        <f t="shared" si="24"/>
        <v>177302.21</v>
      </c>
      <c r="K191" s="6"/>
      <c r="L191" s="5">
        <f t="shared" si="19"/>
        <v>105995.19218865001</v>
      </c>
      <c r="M191" s="9">
        <f t="shared" si="17"/>
        <v>0.34981911613415845</v>
      </c>
      <c r="N191" s="6"/>
      <c r="O191" s="6"/>
    </row>
    <row r="192" spans="1:15" x14ac:dyDescent="0.3">
      <c r="A192">
        <v>16</v>
      </c>
      <c r="B192">
        <f t="shared" si="20"/>
        <v>181</v>
      </c>
      <c r="C192" s="8">
        <f t="shared" si="21"/>
        <v>48298</v>
      </c>
      <c r="D192" s="6">
        <v>1914</v>
      </c>
      <c r="F192" s="5">
        <f t="shared" si="23"/>
        <v>105995.19218865001</v>
      </c>
      <c r="G192" s="5">
        <f t="shared" si="18"/>
        <v>536.43152685151563</v>
      </c>
      <c r="H192" s="5">
        <f t="shared" si="22"/>
        <v>364.35847314848439</v>
      </c>
      <c r="I192" s="6">
        <v>1013.21</v>
      </c>
      <c r="J192" s="5">
        <f t="shared" si="24"/>
        <v>178315.41999999998</v>
      </c>
      <c r="L192" s="5">
        <f t="shared" si="19"/>
        <v>105458.7606617985</v>
      </c>
      <c r="M192" s="9">
        <f t="shared" si="17"/>
        <v>0.34804871505544061</v>
      </c>
    </row>
    <row r="193" spans="1:13" x14ac:dyDescent="0.3">
      <c r="B193">
        <f t="shared" si="20"/>
        <v>182</v>
      </c>
      <c r="C193" s="8">
        <f t="shared" si="21"/>
        <v>48328.5</v>
      </c>
      <c r="D193" s="6">
        <v>1914</v>
      </c>
      <c r="F193" s="5">
        <f t="shared" si="23"/>
        <v>105458.7606617985</v>
      </c>
      <c r="G193" s="5">
        <f t="shared" si="18"/>
        <v>538.27551022506759</v>
      </c>
      <c r="H193" s="5">
        <f t="shared" si="22"/>
        <v>362.51448977493237</v>
      </c>
      <c r="I193" s="6">
        <v>1013.21</v>
      </c>
      <c r="J193" s="5">
        <f t="shared" si="24"/>
        <v>179328.62999999998</v>
      </c>
      <c r="L193" s="5">
        <f t="shared" si="19"/>
        <v>104920.48515157343</v>
      </c>
      <c r="M193" s="9">
        <f t="shared" si="17"/>
        <v>0.34627222822301462</v>
      </c>
    </row>
    <row r="194" spans="1:13" x14ac:dyDescent="0.3">
      <c r="B194">
        <f t="shared" si="20"/>
        <v>183</v>
      </c>
      <c r="C194" s="8">
        <f t="shared" si="21"/>
        <v>48359</v>
      </c>
      <c r="D194" s="6">
        <v>1914</v>
      </c>
      <c r="F194" s="5">
        <f t="shared" si="23"/>
        <v>104920.48515157343</v>
      </c>
      <c r="G194" s="5">
        <f t="shared" si="18"/>
        <v>540.12583229146617</v>
      </c>
      <c r="H194" s="5">
        <f t="shared" si="22"/>
        <v>360.66416770853374</v>
      </c>
      <c r="I194" s="6">
        <v>1013.21</v>
      </c>
      <c r="J194" s="5">
        <f t="shared" si="24"/>
        <v>180341.83999999997</v>
      </c>
      <c r="L194" s="5">
        <f t="shared" si="19"/>
        <v>104380.35931928197</v>
      </c>
      <c r="M194" s="9">
        <f t="shared" si="17"/>
        <v>0.3444896347171022</v>
      </c>
    </row>
    <row r="195" spans="1:13" x14ac:dyDescent="0.3">
      <c r="B195">
        <f t="shared" si="20"/>
        <v>184</v>
      </c>
      <c r="C195" s="8">
        <f t="shared" si="21"/>
        <v>48389.5</v>
      </c>
      <c r="D195" s="6">
        <v>1914</v>
      </c>
      <c r="F195" s="5">
        <f t="shared" si="23"/>
        <v>104380.35931928197</v>
      </c>
      <c r="G195" s="5">
        <f t="shared" si="18"/>
        <v>541.98251483996819</v>
      </c>
      <c r="H195" s="5">
        <f t="shared" si="22"/>
        <v>358.80748516003177</v>
      </c>
      <c r="I195" s="6">
        <v>1013.21</v>
      </c>
      <c r="J195" s="5">
        <f t="shared" si="24"/>
        <v>181355.04999999996</v>
      </c>
      <c r="L195" s="5">
        <f t="shared" si="19"/>
        <v>103838.376804442</v>
      </c>
      <c r="M195" s="9">
        <f t="shared" si="17"/>
        <v>0.34270091354601318</v>
      </c>
    </row>
    <row r="196" spans="1:13" x14ac:dyDescent="0.3">
      <c r="B196">
        <f t="shared" si="20"/>
        <v>185</v>
      </c>
      <c r="C196" s="8">
        <f t="shared" si="21"/>
        <v>48420</v>
      </c>
      <c r="D196" s="6">
        <v>1914</v>
      </c>
      <c r="F196" s="5">
        <f t="shared" si="23"/>
        <v>103838.376804442</v>
      </c>
      <c r="G196" s="5">
        <f t="shared" si="18"/>
        <v>543.84557973473056</v>
      </c>
      <c r="H196" s="5">
        <f t="shared" si="22"/>
        <v>356.9444202652694</v>
      </c>
      <c r="I196" s="6">
        <v>1013.21</v>
      </c>
      <c r="J196" s="5">
        <f t="shared" si="24"/>
        <v>182368.25999999995</v>
      </c>
      <c r="L196" s="5">
        <f t="shared" si="19"/>
        <v>103294.53122470727</v>
      </c>
      <c r="M196" s="9">
        <f t="shared" si="17"/>
        <v>0.3409060436458986</v>
      </c>
    </row>
    <row r="197" spans="1:13" x14ac:dyDescent="0.3">
      <c r="B197">
        <f t="shared" si="20"/>
        <v>186</v>
      </c>
      <c r="C197" s="8">
        <f t="shared" si="21"/>
        <v>48450.5</v>
      </c>
      <c r="D197" s="6">
        <v>1914</v>
      </c>
      <c r="F197" s="5">
        <f t="shared" si="23"/>
        <v>103294.53122470727</v>
      </c>
      <c r="G197" s="5">
        <f t="shared" si="18"/>
        <v>545.71504891506879</v>
      </c>
      <c r="H197" s="5">
        <f t="shared" si="22"/>
        <v>355.07495108493123</v>
      </c>
      <c r="I197" s="6">
        <v>1013.21</v>
      </c>
      <c r="J197" s="5">
        <f t="shared" si="24"/>
        <v>183381.46999999994</v>
      </c>
      <c r="L197" s="5">
        <f t="shared" si="19"/>
        <v>102748.81617579221</v>
      </c>
      <c r="M197" s="9">
        <f t="shared" si="17"/>
        <v>0.33910500388050235</v>
      </c>
    </row>
    <row r="198" spans="1:13" x14ac:dyDescent="0.3">
      <c r="B198">
        <f t="shared" si="20"/>
        <v>187</v>
      </c>
      <c r="C198" s="8">
        <f t="shared" si="21"/>
        <v>48481</v>
      </c>
      <c r="D198" s="6">
        <v>1914</v>
      </c>
      <c r="F198" s="5">
        <f t="shared" si="23"/>
        <v>102748.81617579221</v>
      </c>
      <c r="G198" s="5">
        <f t="shared" si="18"/>
        <v>547.59094439571413</v>
      </c>
      <c r="H198" s="5">
        <f t="shared" si="22"/>
        <v>353.19905560428577</v>
      </c>
      <c r="I198" s="6">
        <v>1013.21</v>
      </c>
      <c r="J198" s="5">
        <f t="shared" si="24"/>
        <v>184394.67999999993</v>
      </c>
      <c r="L198" s="5">
        <f t="shared" si="19"/>
        <v>102201.2252313965</v>
      </c>
      <c r="M198" s="9">
        <f t="shared" si="17"/>
        <v>0.33729777304091252</v>
      </c>
    </row>
    <row r="199" spans="1:13" x14ac:dyDescent="0.3">
      <c r="B199">
        <f t="shared" si="20"/>
        <v>188</v>
      </c>
      <c r="C199" s="8">
        <f t="shared" si="21"/>
        <v>48511.5</v>
      </c>
      <c r="D199" s="6">
        <v>1914</v>
      </c>
      <c r="F199" s="5">
        <f t="shared" si="23"/>
        <v>102201.2252313965</v>
      </c>
      <c r="G199" s="5">
        <f t="shared" si="18"/>
        <v>549.47328826707439</v>
      </c>
      <c r="H199" s="5">
        <f t="shared" si="22"/>
        <v>351.31671173292551</v>
      </c>
      <c r="I199" s="6">
        <v>1013.21</v>
      </c>
      <c r="J199" s="5">
        <f t="shared" si="24"/>
        <v>185407.88999999993</v>
      </c>
      <c r="L199" s="5">
        <f t="shared" si="19"/>
        <v>101651.75194312943</v>
      </c>
      <c r="M199" s="9">
        <f t="shared" si="17"/>
        <v>0.33548432984531168</v>
      </c>
    </row>
    <row r="200" spans="1:13" x14ac:dyDescent="0.3">
      <c r="B200">
        <f t="shared" si="20"/>
        <v>189</v>
      </c>
      <c r="C200" s="8">
        <f t="shared" si="21"/>
        <v>48542</v>
      </c>
      <c r="D200" s="6">
        <v>1914</v>
      </c>
      <c r="F200" s="5">
        <f t="shared" si="23"/>
        <v>101651.75194312943</v>
      </c>
      <c r="G200" s="5">
        <f t="shared" si="18"/>
        <v>551.36210269549247</v>
      </c>
      <c r="H200" s="5">
        <f t="shared" si="22"/>
        <v>349.42789730450744</v>
      </c>
      <c r="I200" s="6">
        <v>1013.21</v>
      </c>
      <c r="J200" s="5">
        <f t="shared" si="24"/>
        <v>186421.09999999992</v>
      </c>
      <c r="L200" s="5">
        <f t="shared" si="19"/>
        <v>101100.38984043394</v>
      </c>
      <c r="M200" s="9">
        <f t="shared" si="17"/>
        <v>0.33366465293872588</v>
      </c>
    </row>
    <row r="201" spans="1:13" x14ac:dyDescent="0.3">
      <c r="B201">
        <f t="shared" si="20"/>
        <v>190</v>
      </c>
      <c r="C201" s="8">
        <f t="shared" si="21"/>
        <v>48572.5</v>
      </c>
      <c r="D201" s="6">
        <v>1914</v>
      </c>
      <c r="F201" s="5">
        <f t="shared" si="23"/>
        <v>101100.38984043394</v>
      </c>
      <c r="G201" s="5">
        <f t="shared" si="18"/>
        <v>553.25740992350825</v>
      </c>
      <c r="H201" s="5">
        <f t="shared" si="22"/>
        <v>347.53259007649172</v>
      </c>
      <c r="I201" s="6">
        <v>1013.21</v>
      </c>
      <c r="J201" s="5">
        <f t="shared" si="24"/>
        <v>187434.30999999991</v>
      </c>
      <c r="L201" s="5">
        <f t="shared" si="19"/>
        <v>100547.13243051044</v>
      </c>
      <c r="M201" s="9">
        <f t="shared" si="17"/>
        <v>0.33183872089277372</v>
      </c>
    </row>
    <row r="202" spans="1:13" x14ac:dyDescent="0.3">
      <c r="B202">
        <f t="shared" si="20"/>
        <v>191</v>
      </c>
      <c r="C202" s="8">
        <f t="shared" si="21"/>
        <v>48603</v>
      </c>
      <c r="D202" s="6">
        <v>1914</v>
      </c>
      <c r="F202" s="5">
        <f t="shared" si="23"/>
        <v>100547.13243051044</v>
      </c>
      <c r="G202" s="5">
        <f t="shared" si="18"/>
        <v>555.15923227012036</v>
      </c>
      <c r="H202" s="5">
        <f t="shared" si="22"/>
        <v>345.63076772987961</v>
      </c>
      <c r="I202" s="6">
        <v>1013.21</v>
      </c>
      <c r="J202" s="5">
        <f t="shared" si="24"/>
        <v>188447.5199999999</v>
      </c>
      <c r="L202" s="5">
        <f t="shared" si="19"/>
        <v>99991.973198240317</v>
      </c>
      <c r="M202" s="9">
        <f t="shared" si="17"/>
        <v>0.3300065122054136</v>
      </c>
    </row>
    <row r="203" spans="1:13" x14ac:dyDescent="0.3">
      <c r="B203">
        <f t="shared" si="20"/>
        <v>192</v>
      </c>
      <c r="C203" s="8">
        <f t="shared" si="21"/>
        <v>48633.5</v>
      </c>
      <c r="D203" s="6">
        <v>1914</v>
      </c>
      <c r="F203" s="5">
        <f t="shared" si="23"/>
        <v>99991.973198240317</v>
      </c>
      <c r="G203" s="5">
        <f t="shared" si="18"/>
        <v>557.06759213104897</v>
      </c>
      <c r="H203" s="5">
        <f t="shared" si="22"/>
        <v>343.72240786895105</v>
      </c>
      <c r="I203" s="6">
        <v>1013.21</v>
      </c>
      <c r="J203" s="5">
        <f t="shared" si="24"/>
        <v>189460.72999999989</v>
      </c>
      <c r="L203" s="5">
        <f t="shared" si="19"/>
        <v>99434.905606109271</v>
      </c>
      <c r="M203" s="9">
        <f t="shared" si="17"/>
        <v>0.32816800530069068</v>
      </c>
    </row>
    <row r="204" spans="1:13" x14ac:dyDescent="0.3">
      <c r="A204">
        <v>17</v>
      </c>
      <c r="B204">
        <f t="shared" si="20"/>
        <v>193</v>
      </c>
      <c r="C204" s="8">
        <f t="shared" si="21"/>
        <v>48664</v>
      </c>
      <c r="D204" s="6">
        <v>1914</v>
      </c>
      <c r="F204" s="5">
        <f t="shared" si="23"/>
        <v>99434.905606109271</v>
      </c>
      <c r="G204" s="5">
        <f t="shared" si="18"/>
        <v>558.98251197899936</v>
      </c>
      <c r="H204" s="5">
        <f t="shared" si="22"/>
        <v>341.80748802100061</v>
      </c>
      <c r="I204" s="6">
        <v>1013.21</v>
      </c>
      <c r="J204" s="5">
        <f t="shared" si="24"/>
        <v>190473.93999999989</v>
      </c>
      <c r="L204" s="5">
        <f t="shared" si="19"/>
        <v>98875.923094130281</v>
      </c>
      <c r="M204" s="9">
        <f t="shared" ref="M204:M267" si="25">L204/$C$2</f>
        <v>0.32632317852848275</v>
      </c>
    </row>
    <row r="205" spans="1:13" x14ac:dyDescent="0.3">
      <c r="B205">
        <f t="shared" si="20"/>
        <v>194</v>
      </c>
      <c r="C205" s="8">
        <f t="shared" si="21"/>
        <v>48694.5</v>
      </c>
      <c r="D205" s="6">
        <v>1914</v>
      </c>
      <c r="F205" s="5">
        <f t="shared" si="23"/>
        <v>98875.923094130281</v>
      </c>
      <c r="G205" s="5">
        <f t="shared" ref="G205:G268" si="26">D205-H205-I205</f>
        <v>560.90401436392722</v>
      </c>
      <c r="H205" s="5">
        <f t="shared" si="22"/>
        <v>339.88598563607286</v>
      </c>
      <c r="I205" s="6">
        <v>1013.21</v>
      </c>
      <c r="J205" s="5">
        <f t="shared" si="24"/>
        <v>191487.14999999988</v>
      </c>
      <c r="L205" s="5">
        <f t="shared" ref="L205:L268" si="27">F205+H205+I205-D205-E205</f>
        <v>98315.019079766367</v>
      </c>
      <c r="M205" s="9">
        <f t="shared" si="25"/>
        <v>0.32447201016424543</v>
      </c>
    </row>
    <row r="206" spans="1:13" x14ac:dyDescent="0.3">
      <c r="B206">
        <f t="shared" ref="B206:B269" si="28">B205+1</f>
        <v>195</v>
      </c>
      <c r="C206" s="8">
        <f t="shared" ref="C206:C269" si="29">C205+30.5</f>
        <v>48725</v>
      </c>
      <c r="D206" s="6">
        <v>1914</v>
      </c>
      <c r="F206" s="5">
        <f t="shared" si="23"/>
        <v>98315.019079766367</v>
      </c>
      <c r="G206" s="5">
        <f t="shared" si="26"/>
        <v>562.83212191330313</v>
      </c>
      <c r="H206" s="5">
        <f t="shared" ref="H206:H269" si="30">F206*$C$4/12</f>
        <v>337.95787808669689</v>
      </c>
      <c r="I206" s="6">
        <v>1013.21</v>
      </c>
      <c r="J206" s="5">
        <f t="shared" si="24"/>
        <v>192500.35999999987</v>
      </c>
      <c r="L206" s="5">
        <f t="shared" si="27"/>
        <v>97752.186957853075</v>
      </c>
      <c r="M206" s="9">
        <f t="shared" si="25"/>
        <v>0.32261447840875601</v>
      </c>
    </row>
    <row r="207" spans="1:13" x14ac:dyDescent="0.3">
      <c r="B207">
        <f t="shared" si="28"/>
        <v>196</v>
      </c>
      <c r="C207" s="8">
        <f t="shared" si="29"/>
        <v>48755.5</v>
      </c>
      <c r="D207" s="6">
        <v>1914</v>
      </c>
      <c r="F207" s="5">
        <f t="shared" ref="F207:F270" si="31">L206</f>
        <v>97752.186957853075</v>
      </c>
      <c r="G207" s="5">
        <f t="shared" si="26"/>
        <v>564.76685733237991</v>
      </c>
      <c r="H207" s="5">
        <f t="shared" si="30"/>
        <v>336.02314266761999</v>
      </c>
      <c r="I207" s="6">
        <v>1013.21</v>
      </c>
      <c r="J207" s="5">
        <f t="shared" si="24"/>
        <v>193513.56999999986</v>
      </c>
      <c r="L207" s="5">
        <f t="shared" si="27"/>
        <v>97187.4201005207</v>
      </c>
      <c r="M207" s="9">
        <f t="shared" si="25"/>
        <v>0.32075056138785707</v>
      </c>
    </row>
    <row r="208" spans="1:13" x14ac:dyDescent="0.3">
      <c r="B208">
        <f t="shared" si="28"/>
        <v>197</v>
      </c>
      <c r="C208" s="8">
        <f t="shared" si="29"/>
        <v>48786</v>
      </c>
      <c r="D208" s="6">
        <v>1914</v>
      </c>
      <c r="F208" s="5">
        <f t="shared" si="31"/>
        <v>97187.4201005207</v>
      </c>
      <c r="G208" s="5">
        <f t="shared" si="26"/>
        <v>566.70824340446006</v>
      </c>
      <c r="H208" s="5">
        <f t="shared" si="30"/>
        <v>334.08175659553996</v>
      </c>
      <c r="I208" s="6">
        <v>1013.21</v>
      </c>
      <c r="J208" s="5">
        <f t="shared" si="24"/>
        <v>194526.77999999985</v>
      </c>
      <c r="L208" s="5">
        <f t="shared" si="27"/>
        <v>96620.711857116243</v>
      </c>
      <c r="M208" s="9">
        <f t="shared" si="25"/>
        <v>0.31888023715219882</v>
      </c>
    </row>
    <row r="209" spans="1:13" x14ac:dyDescent="0.3">
      <c r="B209">
        <f t="shared" si="28"/>
        <v>198</v>
      </c>
      <c r="C209" s="8">
        <f t="shared" si="29"/>
        <v>48816.5</v>
      </c>
      <c r="D209" s="6">
        <v>1914</v>
      </c>
      <c r="F209" s="5">
        <f t="shared" si="31"/>
        <v>96620.711857116243</v>
      </c>
      <c r="G209" s="5">
        <f t="shared" si="26"/>
        <v>568.65630299116287</v>
      </c>
      <c r="H209" s="5">
        <f t="shared" si="30"/>
        <v>332.13369700883709</v>
      </c>
      <c r="I209" s="6">
        <v>1013.21</v>
      </c>
      <c r="J209" s="5">
        <f t="shared" si="24"/>
        <v>195539.98999999985</v>
      </c>
      <c r="L209" s="5">
        <f t="shared" si="27"/>
        <v>96052.05555412508</v>
      </c>
      <c r="M209" s="9">
        <f t="shared" si="25"/>
        <v>0.31700348367698045</v>
      </c>
    </row>
    <row r="210" spans="1:13" x14ac:dyDescent="0.3">
      <c r="B210">
        <f t="shared" si="28"/>
        <v>199</v>
      </c>
      <c r="C210" s="8">
        <f t="shared" si="29"/>
        <v>48847</v>
      </c>
      <c r="D210" s="6">
        <v>1914</v>
      </c>
      <c r="F210" s="5">
        <f t="shared" si="31"/>
        <v>96052.05555412508</v>
      </c>
      <c r="G210" s="5">
        <f t="shared" si="26"/>
        <v>570.61105903269504</v>
      </c>
      <c r="H210" s="5">
        <f t="shared" si="30"/>
        <v>330.17894096730498</v>
      </c>
      <c r="I210" s="6">
        <v>1013.21</v>
      </c>
      <c r="J210" s="5">
        <f t="shared" si="24"/>
        <v>196553.19999999984</v>
      </c>
      <c r="L210" s="5">
        <f t="shared" si="27"/>
        <v>95481.444495092393</v>
      </c>
      <c r="M210" s="9">
        <f t="shared" si="25"/>
        <v>0.31512027886169108</v>
      </c>
    </row>
    <row r="211" spans="1:13" x14ac:dyDescent="0.3">
      <c r="B211">
        <f t="shared" si="28"/>
        <v>200</v>
      </c>
      <c r="C211" s="8">
        <f t="shared" si="29"/>
        <v>48877.5</v>
      </c>
      <c r="D211" s="6">
        <v>1914</v>
      </c>
      <c r="F211" s="5">
        <f t="shared" si="31"/>
        <v>95481.444495092393</v>
      </c>
      <c r="G211" s="5">
        <f t="shared" si="26"/>
        <v>572.57253454811985</v>
      </c>
      <c r="H211" s="5">
        <f t="shared" si="30"/>
        <v>328.21746545188012</v>
      </c>
      <c r="I211" s="6">
        <v>1013.21</v>
      </c>
      <c r="J211" s="5">
        <f t="shared" si="24"/>
        <v>197566.40999999983</v>
      </c>
      <c r="L211" s="5">
        <f t="shared" si="27"/>
        <v>94908.871960544275</v>
      </c>
      <c r="M211" s="9">
        <f t="shared" si="25"/>
        <v>0.31323060052984908</v>
      </c>
    </row>
    <row r="212" spans="1:13" x14ac:dyDescent="0.3">
      <c r="B212">
        <f t="shared" si="28"/>
        <v>201</v>
      </c>
      <c r="C212" s="8">
        <f t="shared" si="29"/>
        <v>48908</v>
      </c>
      <c r="D212" s="6">
        <v>1914</v>
      </c>
      <c r="F212" s="5">
        <f t="shared" si="31"/>
        <v>94908.871960544275</v>
      </c>
      <c r="G212" s="5">
        <f t="shared" si="26"/>
        <v>574.54075263562891</v>
      </c>
      <c r="H212" s="5">
        <f t="shared" si="30"/>
        <v>326.24924736437094</v>
      </c>
      <c r="I212" s="6">
        <v>1013.21</v>
      </c>
      <c r="J212" s="5">
        <f t="shared" si="24"/>
        <v>198579.61999999982</v>
      </c>
      <c r="L212" s="5">
        <f t="shared" si="27"/>
        <v>94334.331207908646</v>
      </c>
      <c r="M212" s="9">
        <f t="shared" si="25"/>
        <v>0.31133442642874143</v>
      </c>
    </row>
    <row r="213" spans="1:13" x14ac:dyDescent="0.3">
      <c r="B213">
        <f t="shared" si="28"/>
        <v>202</v>
      </c>
      <c r="C213" s="8">
        <f t="shared" si="29"/>
        <v>48938.5</v>
      </c>
      <c r="D213" s="6">
        <v>1914</v>
      </c>
      <c r="F213" s="5">
        <f t="shared" si="31"/>
        <v>94334.331207908646</v>
      </c>
      <c r="G213" s="5">
        <f t="shared" si="26"/>
        <v>576.51573647281407</v>
      </c>
      <c r="H213" s="5">
        <f t="shared" si="30"/>
        <v>324.27426352718595</v>
      </c>
      <c r="I213" s="6">
        <v>1013.21</v>
      </c>
      <c r="J213" s="5">
        <f t="shared" si="24"/>
        <v>199592.82999999981</v>
      </c>
      <c r="L213" s="5">
        <f t="shared" si="27"/>
        <v>93757.815471435839</v>
      </c>
      <c r="M213" s="9">
        <f t="shared" si="25"/>
        <v>0.3094317342291612</v>
      </c>
    </row>
    <row r="214" spans="1:13" x14ac:dyDescent="0.3">
      <c r="B214">
        <f t="shared" si="28"/>
        <v>203</v>
      </c>
      <c r="C214" s="8">
        <f t="shared" si="29"/>
        <v>48969</v>
      </c>
      <c r="D214" s="6">
        <v>1914</v>
      </c>
      <c r="F214" s="5">
        <f t="shared" si="31"/>
        <v>93757.815471435839</v>
      </c>
      <c r="G214" s="5">
        <f t="shared" si="26"/>
        <v>578.49750931693916</v>
      </c>
      <c r="H214" s="5">
        <f t="shared" si="30"/>
        <v>322.29249068306075</v>
      </c>
      <c r="I214" s="6">
        <v>1013.21</v>
      </c>
      <c r="J214" s="5">
        <f t="shared" si="24"/>
        <v>200606.0399999998</v>
      </c>
      <c r="L214" s="5">
        <f t="shared" si="27"/>
        <v>93179.317962118905</v>
      </c>
      <c r="M214" s="9">
        <f t="shared" si="25"/>
        <v>0.30752250152514488</v>
      </c>
    </row>
    <row r="215" spans="1:13" x14ac:dyDescent="0.3">
      <c r="B215">
        <f t="shared" si="28"/>
        <v>204</v>
      </c>
      <c r="C215" s="8">
        <f t="shared" si="29"/>
        <v>48999.5</v>
      </c>
      <c r="D215" s="6">
        <v>1914</v>
      </c>
      <c r="F215" s="5">
        <f t="shared" si="31"/>
        <v>93179.317962118905</v>
      </c>
      <c r="G215" s="5">
        <f t="shared" si="26"/>
        <v>580.48609450521622</v>
      </c>
      <c r="H215" s="5">
        <f t="shared" si="30"/>
        <v>320.30390549478375</v>
      </c>
      <c r="I215" s="6">
        <v>1013.21</v>
      </c>
      <c r="J215" s="5">
        <f t="shared" si="24"/>
        <v>201619.2499999998</v>
      </c>
      <c r="L215" s="5">
        <f t="shared" si="27"/>
        <v>92598.831867613699</v>
      </c>
      <c r="M215" s="9">
        <f t="shared" si="25"/>
        <v>0.30560670583370858</v>
      </c>
    </row>
    <row r="216" spans="1:13" x14ac:dyDescent="0.3">
      <c r="A216">
        <v>18</v>
      </c>
      <c r="B216">
        <f t="shared" si="28"/>
        <v>205</v>
      </c>
      <c r="C216" s="8">
        <f t="shared" si="29"/>
        <v>49030</v>
      </c>
      <c r="D216" s="6">
        <v>1914</v>
      </c>
      <c r="F216" s="5">
        <f t="shared" si="31"/>
        <v>92598.831867613699</v>
      </c>
      <c r="G216" s="5">
        <f t="shared" si="26"/>
        <v>582.4815154550779</v>
      </c>
      <c r="H216" s="5">
        <f t="shared" si="30"/>
        <v>318.30848454492212</v>
      </c>
      <c r="I216" s="6">
        <v>1013.21</v>
      </c>
      <c r="J216" s="5">
        <f t="shared" si="24"/>
        <v>202632.45999999979</v>
      </c>
      <c r="L216" s="5">
        <f t="shared" si="27"/>
        <v>92016.350352158624</v>
      </c>
      <c r="M216" s="9">
        <f t="shared" si="25"/>
        <v>0.30368432459458294</v>
      </c>
    </row>
    <row r="217" spans="1:13" x14ac:dyDescent="0.3">
      <c r="B217">
        <f t="shared" si="28"/>
        <v>206</v>
      </c>
      <c r="C217" s="8">
        <f t="shared" si="29"/>
        <v>49060.5</v>
      </c>
      <c r="D217" s="6">
        <v>1914</v>
      </c>
      <c r="F217" s="5">
        <f t="shared" si="31"/>
        <v>92016.350352158624</v>
      </c>
      <c r="G217" s="5">
        <f t="shared" si="26"/>
        <v>584.48379566445465</v>
      </c>
      <c r="H217" s="5">
        <f t="shared" si="30"/>
        <v>316.30620433554526</v>
      </c>
      <c r="I217" s="6">
        <v>1013.21</v>
      </c>
      <c r="J217" s="5">
        <f t="shared" si="24"/>
        <v>203645.66999999978</v>
      </c>
      <c r="L217" s="5">
        <f t="shared" si="27"/>
        <v>91431.866556494177</v>
      </c>
      <c r="M217" s="9">
        <f t="shared" si="25"/>
        <v>0.30175533516994779</v>
      </c>
    </row>
    <row r="218" spans="1:13" x14ac:dyDescent="0.3">
      <c r="B218">
        <f t="shared" si="28"/>
        <v>207</v>
      </c>
      <c r="C218" s="8">
        <f t="shared" si="29"/>
        <v>49091</v>
      </c>
      <c r="D218" s="6">
        <v>1914</v>
      </c>
      <c r="F218" s="5">
        <f t="shared" si="31"/>
        <v>91431.866556494177</v>
      </c>
      <c r="G218" s="5">
        <f t="shared" si="26"/>
        <v>586.49295871205118</v>
      </c>
      <c r="H218" s="5">
        <f t="shared" si="30"/>
        <v>314.29704128794873</v>
      </c>
      <c r="I218" s="6">
        <v>1013.21</v>
      </c>
      <c r="J218" s="5">
        <f t="shared" si="24"/>
        <v>204658.87999999977</v>
      </c>
      <c r="L218" s="5">
        <f t="shared" si="27"/>
        <v>90845.373597782134</v>
      </c>
      <c r="M218" s="9">
        <f t="shared" si="25"/>
        <v>0.29981971484416547</v>
      </c>
    </row>
    <row r="219" spans="1:13" x14ac:dyDescent="0.3">
      <c r="B219">
        <f t="shared" si="28"/>
        <v>208</v>
      </c>
      <c r="C219" s="8">
        <f t="shared" si="29"/>
        <v>49121.5</v>
      </c>
      <c r="D219" s="6">
        <v>1914</v>
      </c>
      <c r="F219" s="5">
        <f t="shared" si="31"/>
        <v>90845.373597782134</v>
      </c>
      <c r="G219" s="5">
        <f t="shared" si="26"/>
        <v>588.50902825762387</v>
      </c>
      <c r="H219" s="5">
        <f t="shared" si="30"/>
        <v>312.2809717423761</v>
      </c>
      <c r="I219" s="6">
        <v>1013.21</v>
      </c>
      <c r="J219" s="5">
        <f t="shared" si="24"/>
        <v>205672.08999999976</v>
      </c>
      <c r="L219" s="5">
        <f t="shared" si="27"/>
        <v>90256.864569524521</v>
      </c>
      <c r="M219" s="9">
        <f t="shared" si="25"/>
        <v>0.29787744082351325</v>
      </c>
    </row>
    <row r="220" spans="1:13" x14ac:dyDescent="0.3">
      <c r="B220">
        <f t="shared" si="28"/>
        <v>209</v>
      </c>
      <c r="C220" s="8">
        <f t="shared" si="29"/>
        <v>49152</v>
      </c>
      <c r="D220" s="6">
        <v>1914</v>
      </c>
      <c r="F220" s="5">
        <f t="shared" si="31"/>
        <v>90256.864569524521</v>
      </c>
      <c r="G220" s="5">
        <f t="shared" si="26"/>
        <v>590.5320280422593</v>
      </c>
      <c r="H220" s="5">
        <f t="shared" si="30"/>
        <v>310.25797195774055</v>
      </c>
      <c r="I220" s="6">
        <v>1013.21</v>
      </c>
      <c r="J220" s="5">
        <f t="shared" si="24"/>
        <v>206685.29999999976</v>
      </c>
      <c r="L220" s="5">
        <f t="shared" si="27"/>
        <v>89666.332541482261</v>
      </c>
      <c r="M220" s="9">
        <f t="shared" si="25"/>
        <v>0.29592849023591505</v>
      </c>
    </row>
    <row r="221" spans="1:13" x14ac:dyDescent="0.3">
      <c r="B221">
        <f t="shared" si="28"/>
        <v>210</v>
      </c>
      <c r="C221" s="8">
        <f t="shared" si="29"/>
        <v>49182.5</v>
      </c>
      <c r="D221" s="6">
        <v>1914</v>
      </c>
      <c r="F221" s="5">
        <f t="shared" si="31"/>
        <v>89666.332541482261</v>
      </c>
      <c r="G221" s="5">
        <f t="shared" si="26"/>
        <v>592.5619818886546</v>
      </c>
      <c r="H221" s="5">
        <f t="shared" si="30"/>
        <v>308.22801811134531</v>
      </c>
      <c r="I221" s="6">
        <v>1013.21</v>
      </c>
      <c r="J221" s="5">
        <f t="shared" si="24"/>
        <v>207698.50999999975</v>
      </c>
      <c r="L221" s="5">
        <f t="shared" si="27"/>
        <v>89073.770559593613</v>
      </c>
      <c r="M221" s="9">
        <f t="shared" si="25"/>
        <v>0.29397284013067199</v>
      </c>
    </row>
    <row r="222" spans="1:13" x14ac:dyDescent="0.3">
      <c r="B222">
        <f t="shared" si="28"/>
        <v>211</v>
      </c>
      <c r="C222" s="8">
        <f t="shared" si="29"/>
        <v>49213</v>
      </c>
      <c r="D222" s="6">
        <v>1914</v>
      </c>
      <c r="F222" s="5">
        <f t="shared" si="31"/>
        <v>89073.770559593613</v>
      </c>
      <c r="G222" s="5">
        <f t="shared" si="26"/>
        <v>594.5989137013969</v>
      </c>
      <c r="H222" s="5">
        <f t="shared" si="30"/>
        <v>306.19108629860307</v>
      </c>
      <c r="I222" s="6">
        <v>1013.21</v>
      </c>
      <c r="J222" s="5">
        <f t="shared" si="24"/>
        <v>208711.71999999974</v>
      </c>
      <c r="L222" s="5">
        <f t="shared" si="27"/>
        <v>88479.171645892216</v>
      </c>
      <c r="M222" s="9">
        <f t="shared" si="25"/>
        <v>0.29201046747819215</v>
      </c>
    </row>
    <row r="223" spans="1:13" x14ac:dyDescent="0.3">
      <c r="B223">
        <f t="shared" si="28"/>
        <v>212</v>
      </c>
      <c r="C223" s="8">
        <f t="shared" si="29"/>
        <v>49243.5</v>
      </c>
      <c r="D223" s="6">
        <v>1914</v>
      </c>
      <c r="F223" s="5">
        <f t="shared" si="31"/>
        <v>88479.171645892216</v>
      </c>
      <c r="G223" s="5">
        <f t="shared" si="26"/>
        <v>596.64284746724547</v>
      </c>
      <c r="H223" s="5">
        <f t="shared" si="30"/>
        <v>304.14715253275449</v>
      </c>
      <c r="I223" s="6">
        <v>1013.21</v>
      </c>
      <c r="J223" s="5">
        <f t="shared" si="24"/>
        <v>209724.92999999973</v>
      </c>
      <c r="L223" s="5">
        <f t="shared" si="27"/>
        <v>87882.528798424974</v>
      </c>
      <c r="M223" s="9">
        <f t="shared" si="25"/>
        <v>0.29004134916971941</v>
      </c>
    </row>
    <row r="224" spans="1:13" x14ac:dyDescent="0.3">
      <c r="B224">
        <f t="shared" si="28"/>
        <v>213</v>
      </c>
      <c r="C224" s="8">
        <f t="shared" si="29"/>
        <v>49274</v>
      </c>
      <c r="D224" s="6">
        <v>1914</v>
      </c>
      <c r="F224" s="5">
        <f t="shared" si="31"/>
        <v>87882.528798424974</v>
      </c>
      <c r="G224" s="5">
        <f t="shared" si="26"/>
        <v>598.69380725541419</v>
      </c>
      <c r="H224" s="5">
        <f t="shared" si="30"/>
        <v>302.09619274458584</v>
      </c>
      <c r="I224" s="6">
        <v>1013.21</v>
      </c>
      <c r="J224" s="5">
        <f t="shared" si="24"/>
        <v>210738.13999999972</v>
      </c>
      <c r="L224" s="5">
        <f t="shared" si="27"/>
        <v>87283.83499116957</v>
      </c>
      <c r="M224" s="9">
        <f t="shared" si="25"/>
        <v>0.28806546201706129</v>
      </c>
    </row>
    <row r="225" spans="1:13" x14ac:dyDescent="0.3">
      <c r="B225">
        <f t="shared" si="28"/>
        <v>214</v>
      </c>
      <c r="C225" s="8">
        <f t="shared" si="29"/>
        <v>49304.5</v>
      </c>
      <c r="D225" s="6">
        <v>1914</v>
      </c>
      <c r="F225" s="5">
        <f t="shared" si="31"/>
        <v>87283.83499116957</v>
      </c>
      <c r="G225" s="5">
        <f t="shared" si="26"/>
        <v>600.75181721785452</v>
      </c>
      <c r="H225" s="5">
        <f t="shared" si="30"/>
        <v>300.03818278214538</v>
      </c>
      <c r="I225" s="6">
        <v>1013.21</v>
      </c>
      <c r="J225" s="5">
        <f t="shared" si="24"/>
        <v>211751.34999999971</v>
      </c>
      <c r="L225" s="5">
        <f t="shared" si="27"/>
        <v>86683.083173951716</v>
      </c>
      <c r="M225" s="9">
        <f t="shared" si="25"/>
        <v>0.28608278275231591</v>
      </c>
    </row>
    <row r="226" spans="1:13" x14ac:dyDescent="0.3">
      <c r="B226">
        <f t="shared" si="28"/>
        <v>215</v>
      </c>
      <c r="C226" s="8">
        <f t="shared" si="29"/>
        <v>49335</v>
      </c>
      <c r="D226" s="6">
        <v>1914</v>
      </c>
      <c r="F226" s="5">
        <f t="shared" si="31"/>
        <v>86683.083173951716</v>
      </c>
      <c r="G226" s="5">
        <f t="shared" si="26"/>
        <v>602.81690158954098</v>
      </c>
      <c r="H226" s="5">
        <f t="shared" si="30"/>
        <v>297.97309841045904</v>
      </c>
      <c r="I226" s="6">
        <v>1013.21</v>
      </c>
      <c r="J226" s="5">
        <f t="shared" si="24"/>
        <v>212764.55999999971</v>
      </c>
      <c r="L226" s="5">
        <f t="shared" si="27"/>
        <v>86080.266272362176</v>
      </c>
      <c r="M226" s="9">
        <f t="shared" si="25"/>
        <v>0.28409328802759792</v>
      </c>
    </row>
    <row r="227" spans="1:13" x14ac:dyDescent="0.3">
      <c r="B227">
        <f t="shared" si="28"/>
        <v>216</v>
      </c>
      <c r="C227" s="8">
        <f t="shared" si="29"/>
        <v>49365.5</v>
      </c>
      <c r="D227" s="6">
        <v>1914</v>
      </c>
      <c r="F227" s="5">
        <f t="shared" si="31"/>
        <v>86080.266272362176</v>
      </c>
      <c r="G227" s="5">
        <f t="shared" si="26"/>
        <v>604.88908468875502</v>
      </c>
      <c r="H227" s="5">
        <f t="shared" si="30"/>
        <v>295.900915311245</v>
      </c>
      <c r="I227" s="6">
        <v>1013.21</v>
      </c>
      <c r="J227" s="5">
        <f t="shared" si="24"/>
        <v>213777.7699999997</v>
      </c>
      <c r="L227" s="5">
        <f t="shared" si="27"/>
        <v>85475.377187673424</v>
      </c>
      <c r="M227" s="9">
        <f t="shared" si="25"/>
        <v>0.28209695441476379</v>
      </c>
    </row>
    <row r="228" spans="1:13" x14ac:dyDescent="0.3">
      <c r="A228">
        <v>19</v>
      </c>
      <c r="B228">
        <f t="shared" si="28"/>
        <v>217</v>
      </c>
      <c r="C228" s="8">
        <f t="shared" si="29"/>
        <v>49396</v>
      </c>
      <c r="D228" s="6">
        <v>1914</v>
      </c>
      <c r="F228" s="5">
        <f t="shared" si="31"/>
        <v>85475.377187673424</v>
      </c>
      <c r="G228" s="5">
        <f t="shared" si="26"/>
        <v>606.96839091737252</v>
      </c>
      <c r="H228" s="5">
        <f t="shared" si="30"/>
        <v>293.82160908262739</v>
      </c>
      <c r="I228" s="6">
        <v>1013.21</v>
      </c>
      <c r="J228" s="5">
        <f t="shared" si="24"/>
        <v>214790.97999999969</v>
      </c>
      <c r="L228" s="5">
        <f t="shared" si="27"/>
        <v>84868.408796756063</v>
      </c>
      <c r="M228" s="9">
        <f t="shared" si="25"/>
        <v>0.28009375840513551</v>
      </c>
    </row>
    <row r="229" spans="1:13" x14ac:dyDescent="0.3">
      <c r="B229">
        <f t="shared" si="28"/>
        <v>218</v>
      </c>
      <c r="C229" s="8">
        <f t="shared" si="29"/>
        <v>49426.5</v>
      </c>
      <c r="D229" s="6">
        <v>1914</v>
      </c>
      <c r="F229" s="5">
        <f t="shared" si="31"/>
        <v>84868.408796756063</v>
      </c>
      <c r="G229" s="5">
        <f t="shared" si="26"/>
        <v>609.05484476115089</v>
      </c>
      <c r="H229" s="5">
        <f t="shared" si="30"/>
        <v>291.73515523884896</v>
      </c>
      <c r="I229" s="6">
        <v>1013.21</v>
      </c>
      <c r="J229" s="5">
        <f t="shared" si="24"/>
        <v>215804.18999999968</v>
      </c>
      <c r="L229" s="5">
        <f t="shared" si="27"/>
        <v>84259.353951994912</v>
      </c>
      <c r="M229" s="9">
        <f t="shared" si="25"/>
        <v>0.27808367640922416</v>
      </c>
    </row>
    <row r="230" spans="1:13" x14ac:dyDescent="0.3">
      <c r="B230">
        <f t="shared" si="28"/>
        <v>219</v>
      </c>
      <c r="C230" s="8">
        <f t="shared" si="29"/>
        <v>49457</v>
      </c>
      <c r="D230" s="6">
        <v>1914</v>
      </c>
      <c r="F230" s="5">
        <f t="shared" si="31"/>
        <v>84259.353951994912</v>
      </c>
      <c r="G230" s="5">
        <f t="shared" si="26"/>
        <v>611.14847079001743</v>
      </c>
      <c r="H230" s="5">
        <f t="shared" si="30"/>
        <v>289.64152920998254</v>
      </c>
      <c r="I230" s="6">
        <v>1013.21</v>
      </c>
      <c r="J230" s="5">
        <f t="shared" si="24"/>
        <v>216817.39999999967</v>
      </c>
      <c r="L230" s="5">
        <f t="shared" si="27"/>
        <v>83648.205481204903</v>
      </c>
      <c r="M230" s="9">
        <f t="shared" si="25"/>
        <v>0.2760666847564518</v>
      </c>
    </row>
    <row r="231" spans="1:13" x14ac:dyDescent="0.3">
      <c r="B231">
        <f t="shared" si="28"/>
        <v>220</v>
      </c>
      <c r="C231" s="8">
        <f t="shared" si="29"/>
        <v>49487.5</v>
      </c>
      <c r="D231" s="6">
        <v>1914</v>
      </c>
      <c r="F231" s="5">
        <f t="shared" si="31"/>
        <v>83648.205481204903</v>
      </c>
      <c r="G231" s="5">
        <f t="shared" si="26"/>
        <v>613.24929365835806</v>
      </c>
      <c r="H231" s="5">
        <f t="shared" si="30"/>
        <v>287.54070634164185</v>
      </c>
      <c r="I231" s="6">
        <v>1013.21</v>
      </c>
      <c r="J231" s="5">
        <f t="shared" si="24"/>
        <v>217830.60999999967</v>
      </c>
      <c r="L231" s="5">
        <f t="shared" si="27"/>
        <v>83034.956187546544</v>
      </c>
      <c r="M231" s="9">
        <f t="shared" si="25"/>
        <v>0.27404275969487307</v>
      </c>
    </row>
    <row r="232" spans="1:13" x14ac:dyDescent="0.3">
      <c r="B232">
        <f t="shared" si="28"/>
        <v>221</v>
      </c>
      <c r="C232" s="8">
        <f t="shared" si="29"/>
        <v>49518</v>
      </c>
      <c r="D232" s="6">
        <v>1914</v>
      </c>
      <c r="F232" s="5">
        <f t="shared" si="31"/>
        <v>83034.956187546544</v>
      </c>
      <c r="G232" s="5">
        <f t="shared" si="26"/>
        <v>615.35733810530883</v>
      </c>
      <c r="H232" s="5">
        <f t="shared" si="30"/>
        <v>285.43266189469125</v>
      </c>
      <c r="I232" s="6">
        <v>1013.21</v>
      </c>
      <c r="J232" s="5">
        <f t="shared" si="24"/>
        <v>218843.81999999966</v>
      </c>
      <c r="L232" s="5">
        <f t="shared" si="27"/>
        <v>82419.598849441245</v>
      </c>
      <c r="M232" s="9">
        <f t="shared" si="25"/>
        <v>0.27201187739089522</v>
      </c>
    </row>
    <row r="233" spans="1:13" x14ac:dyDescent="0.3">
      <c r="B233">
        <f t="shared" si="28"/>
        <v>222</v>
      </c>
      <c r="C233" s="8">
        <f t="shared" si="29"/>
        <v>49548.5</v>
      </c>
      <c r="D233" s="6">
        <v>1914</v>
      </c>
      <c r="F233" s="5">
        <f t="shared" si="31"/>
        <v>82419.598849441245</v>
      </c>
      <c r="G233" s="5">
        <f t="shared" si="26"/>
        <v>617.47262895504559</v>
      </c>
      <c r="H233" s="5">
        <f t="shared" si="30"/>
        <v>283.31737104495431</v>
      </c>
      <c r="I233" s="6">
        <v>1013.21</v>
      </c>
      <c r="J233" s="5">
        <f t="shared" si="24"/>
        <v>219857.02999999965</v>
      </c>
      <c r="L233" s="5">
        <f t="shared" si="27"/>
        <v>81802.1262204862</v>
      </c>
      <c r="M233" s="9">
        <f t="shared" si="25"/>
        <v>0.26997401392899734</v>
      </c>
    </row>
    <row r="234" spans="1:13" x14ac:dyDescent="0.3">
      <c r="B234">
        <f t="shared" si="28"/>
        <v>223</v>
      </c>
      <c r="C234" s="8">
        <f t="shared" si="29"/>
        <v>49579</v>
      </c>
      <c r="D234" s="6">
        <v>1914</v>
      </c>
      <c r="F234" s="5">
        <f t="shared" si="31"/>
        <v>81802.1262204862</v>
      </c>
      <c r="G234" s="5">
        <f t="shared" si="26"/>
        <v>619.59519111707868</v>
      </c>
      <c r="H234" s="5">
        <f t="shared" si="30"/>
        <v>281.19480888292134</v>
      </c>
      <c r="I234" s="6">
        <v>1013.21</v>
      </c>
      <c r="J234" s="5">
        <f t="shared" si="24"/>
        <v>220870.23999999964</v>
      </c>
      <c r="L234" s="5">
        <f t="shared" si="27"/>
        <v>81182.531029369129</v>
      </c>
      <c r="M234" s="9">
        <f t="shared" si="25"/>
        <v>0.26792914531144929</v>
      </c>
    </row>
    <row r="235" spans="1:13" x14ac:dyDescent="0.3">
      <c r="B235">
        <f t="shared" si="28"/>
        <v>224</v>
      </c>
      <c r="C235" s="8">
        <f t="shared" si="29"/>
        <v>49609.5</v>
      </c>
      <c r="D235" s="6">
        <v>1914</v>
      </c>
      <c r="F235" s="5">
        <f t="shared" si="31"/>
        <v>81182.531029369129</v>
      </c>
      <c r="G235" s="5">
        <f t="shared" si="26"/>
        <v>621.72504958654349</v>
      </c>
      <c r="H235" s="5">
        <f t="shared" si="30"/>
        <v>279.06495041345642</v>
      </c>
      <c r="I235" s="6">
        <v>1013.21</v>
      </c>
      <c r="J235" s="5">
        <f t="shared" si="24"/>
        <v>221883.44999999963</v>
      </c>
      <c r="L235" s="5">
        <f t="shared" si="27"/>
        <v>80560.805979782599</v>
      </c>
      <c r="M235" s="9">
        <f t="shared" si="25"/>
        <v>0.26587724745802838</v>
      </c>
    </row>
    <row r="236" spans="1:13" x14ac:dyDescent="0.3">
      <c r="B236">
        <f t="shared" si="28"/>
        <v>225</v>
      </c>
      <c r="C236" s="8">
        <f t="shared" si="29"/>
        <v>49640</v>
      </c>
      <c r="D236" s="6">
        <v>1914</v>
      </c>
      <c r="F236" s="5">
        <f t="shared" si="31"/>
        <v>80560.805979782599</v>
      </c>
      <c r="G236" s="5">
        <f t="shared" si="26"/>
        <v>623.86222944449719</v>
      </c>
      <c r="H236" s="5">
        <f t="shared" si="30"/>
        <v>276.92777055550272</v>
      </c>
      <c r="I236" s="6">
        <v>1013.21</v>
      </c>
      <c r="J236" s="5">
        <f t="shared" si="24"/>
        <v>222896.65999999963</v>
      </c>
      <c r="L236" s="5">
        <f t="shared" si="27"/>
        <v>79936.943750338105</v>
      </c>
      <c r="M236" s="9">
        <f t="shared" si="25"/>
        <v>0.26381829620573632</v>
      </c>
    </row>
    <row r="237" spans="1:13" x14ac:dyDescent="0.3">
      <c r="B237">
        <f t="shared" si="28"/>
        <v>226</v>
      </c>
      <c r="C237" s="8">
        <f t="shared" si="29"/>
        <v>49670.5</v>
      </c>
      <c r="D237" s="6">
        <v>1914</v>
      </c>
      <c r="F237" s="5">
        <f t="shared" si="31"/>
        <v>79936.943750338105</v>
      </c>
      <c r="G237" s="5">
        <f t="shared" si="26"/>
        <v>626.00675585821273</v>
      </c>
      <c r="H237" s="5">
        <f t="shared" si="30"/>
        <v>274.78324414178724</v>
      </c>
      <c r="I237" s="6">
        <v>1013.21</v>
      </c>
      <c r="J237" s="5">
        <f t="shared" si="24"/>
        <v>223909.86999999962</v>
      </c>
      <c r="L237" s="5">
        <f t="shared" si="27"/>
        <v>79310.936994479896</v>
      </c>
      <c r="M237" s="9">
        <f t="shared" si="25"/>
        <v>0.26175226730851453</v>
      </c>
    </row>
    <row r="238" spans="1:13" x14ac:dyDescent="0.3">
      <c r="B238">
        <f t="shared" si="28"/>
        <v>227</v>
      </c>
      <c r="C238" s="8">
        <f t="shared" si="29"/>
        <v>49701</v>
      </c>
      <c r="D238" s="6">
        <v>1914</v>
      </c>
      <c r="F238" s="5">
        <f t="shared" si="31"/>
        <v>79310.936994479896</v>
      </c>
      <c r="G238" s="5">
        <f t="shared" si="26"/>
        <v>628.15865408147533</v>
      </c>
      <c r="H238" s="5">
        <f t="shared" si="30"/>
        <v>272.63134591852469</v>
      </c>
      <c r="I238" s="6">
        <v>1013.21</v>
      </c>
      <c r="J238" s="5">
        <f t="shared" si="24"/>
        <v>224923.07999999961</v>
      </c>
      <c r="L238" s="5">
        <f t="shared" si="27"/>
        <v>78682.778340398421</v>
      </c>
      <c r="M238" s="9">
        <f t="shared" si="25"/>
        <v>0.2596791364369585</v>
      </c>
    </row>
    <row r="239" spans="1:13" x14ac:dyDescent="0.3">
      <c r="B239">
        <f t="shared" si="28"/>
        <v>228</v>
      </c>
      <c r="C239" s="8">
        <f t="shared" si="29"/>
        <v>49731.5</v>
      </c>
      <c r="D239" s="6">
        <v>1914</v>
      </c>
      <c r="F239" s="5">
        <f t="shared" si="31"/>
        <v>78682.778340398421</v>
      </c>
      <c r="G239" s="5">
        <f t="shared" si="26"/>
        <v>630.31794945488036</v>
      </c>
      <c r="H239" s="5">
        <f t="shared" si="30"/>
        <v>270.4720505451196</v>
      </c>
      <c r="I239" s="6">
        <v>1013.21</v>
      </c>
      <c r="J239" s="5">
        <f t="shared" si="24"/>
        <v>225936.2899999996</v>
      </c>
      <c r="L239" s="5">
        <f t="shared" si="27"/>
        <v>78052.460390943554</v>
      </c>
      <c r="M239" s="9">
        <f t="shared" si="25"/>
        <v>0.25759887917803154</v>
      </c>
    </row>
    <row r="240" spans="1:13" x14ac:dyDescent="0.3">
      <c r="A240">
        <v>20</v>
      </c>
      <c r="B240">
        <f t="shared" si="28"/>
        <v>229</v>
      </c>
      <c r="C240" s="8">
        <f t="shared" si="29"/>
        <v>49762</v>
      </c>
      <c r="D240" s="6">
        <v>1914</v>
      </c>
      <c r="F240" s="5">
        <f t="shared" si="31"/>
        <v>78052.460390943554</v>
      </c>
      <c r="G240" s="5">
        <f t="shared" si="26"/>
        <v>632.48466740613139</v>
      </c>
      <c r="H240" s="5">
        <f t="shared" si="30"/>
        <v>268.30533259386851</v>
      </c>
      <c r="I240" s="6">
        <v>1013.21</v>
      </c>
      <c r="J240" s="5">
        <f t="shared" si="24"/>
        <v>226949.49999999959</v>
      </c>
      <c r="L240" s="5">
        <f t="shared" si="27"/>
        <v>77419.975723537427</v>
      </c>
      <c r="M240" s="9">
        <f t="shared" si="25"/>
        <v>0.255511471034777</v>
      </c>
    </row>
    <row r="241" spans="1:13" x14ac:dyDescent="0.3">
      <c r="B241">
        <f t="shared" si="28"/>
        <v>230</v>
      </c>
      <c r="C241" s="8">
        <f t="shared" si="29"/>
        <v>49792.5</v>
      </c>
      <c r="D241" s="6">
        <v>1914</v>
      </c>
      <c r="F241" s="5">
        <f t="shared" si="31"/>
        <v>77419.975723537427</v>
      </c>
      <c r="G241" s="5">
        <f t="shared" si="26"/>
        <v>634.65883345034013</v>
      </c>
      <c r="H241" s="5">
        <f t="shared" si="30"/>
        <v>266.13116654965989</v>
      </c>
      <c r="I241" s="6">
        <v>1013.21</v>
      </c>
      <c r="J241" s="5">
        <f t="shared" si="24"/>
        <v>227962.70999999958</v>
      </c>
      <c r="L241" s="5">
        <f t="shared" si="27"/>
        <v>76785.316890087095</v>
      </c>
      <c r="M241" s="9">
        <f t="shared" si="25"/>
        <v>0.25341688742603002</v>
      </c>
    </row>
    <row r="242" spans="1:13" x14ac:dyDescent="0.3">
      <c r="B242">
        <f t="shared" si="28"/>
        <v>231</v>
      </c>
      <c r="C242" s="8">
        <f t="shared" si="29"/>
        <v>49823</v>
      </c>
      <c r="D242" s="6">
        <v>1914</v>
      </c>
      <c r="F242" s="5">
        <f t="shared" si="31"/>
        <v>76785.316890087095</v>
      </c>
      <c r="G242" s="5">
        <f t="shared" si="26"/>
        <v>636.84047319032561</v>
      </c>
      <c r="H242" s="5">
        <f t="shared" si="30"/>
        <v>263.94952680967441</v>
      </c>
      <c r="I242" s="6">
        <v>1013.21</v>
      </c>
      <c r="J242" s="5">
        <f t="shared" si="24"/>
        <v>228975.91999999958</v>
      </c>
      <c r="L242" s="5">
        <f t="shared" si="27"/>
        <v>76148.476416896781</v>
      </c>
      <c r="M242" s="9">
        <f t="shared" si="25"/>
        <v>0.25131510368612797</v>
      </c>
    </row>
    <row r="243" spans="1:13" x14ac:dyDescent="0.3">
      <c r="B243">
        <f t="shared" si="28"/>
        <v>232</v>
      </c>
      <c r="C243" s="8">
        <f t="shared" si="29"/>
        <v>49853.5</v>
      </c>
      <c r="D243" s="6">
        <v>1914</v>
      </c>
      <c r="F243" s="5">
        <f t="shared" si="31"/>
        <v>76148.476416896781</v>
      </c>
      <c r="G243" s="5">
        <f t="shared" si="26"/>
        <v>639.02961231691734</v>
      </c>
      <c r="H243" s="5">
        <f t="shared" si="30"/>
        <v>261.76038768308268</v>
      </c>
      <c r="I243" s="6">
        <v>1013.21</v>
      </c>
      <c r="J243" s="5">
        <f t="shared" si="24"/>
        <v>229989.12999999957</v>
      </c>
      <c r="L243" s="5">
        <f t="shared" si="27"/>
        <v>75509.446804579871</v>
      </c>
      <c r="M243" s="9">
        <f t="shared" si="25"/>
        <v>0.24920609506462005</v>
      </c>
    </row>
    <row r="244" spans="1:13" x14ac:dyDescent="0.3">
      <c r="B244">
        <f t="shared" si="28"/>
        <v>233</v>
      </c>
      <c r="C244" s="8">
        <f t="shared" si="29"/>
        <v>49884</v>
      </c>
      <c r="D244" s="6">
        <v>1914</v>
      </c>
      <c r="F244" s="5">
        <f t="shared" si="31"/>
        <v>75509.446804579871</v>
      </c>
      <c r="G244" s="5">
        <f t="shared" si="26"/>
        <v>641.22627660925673</v>
      </c>
      <c r="H244" s="5">
        <f t="shared" si="30"/>
        <v>259.56372339074329</v>
      </c>
      <c r="I244" s="6">
        <v>1013.21</v>
      </c>
      <c r="J244" s="5">
        <f t="shared" ref="J244:J307" si="32">J243+I244-K244-N244</f>
        <v>231002.33999999956</v>
      </c>
      <c r="L244" s="5">
        <f t="shared" si="27"/>
        <v>74868.220527970625</v>
      </c>
      <c r="M244" s="9">
        <f t="shared" si="25"/>
        <v>0.24708983672597565</v>
      </c>
    </row>
    <row r="245" spans="1:13" x14ac:dyDescent="0.3">
      <c r="B245">
        <f t="shared" si="28"/>
        <v>234</v>
      </c>
      <c r="C245" s="8">
        <f t="shared" si="29"/>
        <v>49914.5</v>
      </c>
      <c r="D245" s="6">
        <v>1914</v>
      </c>
      <c r="F245" s="5">
        <f t="shared" si="31"/>
        <v>74868.220527970625</v>
      </c>
      <c r="G245" s="5">
        <f t="shared" si="26"/>
        <v>643.43049193510092</v>
      </c>
      <c r="H245" s="5">
        <f t="shared" si="30"/>
        <v>257.35950806489905</v>
      </c>
      <c r="I245" s="6">
        <v>1013.21</v>
      </c>
      <c r="J245" s="5">
        <f t="shared" si="32"/>
        <v>232015.54999999955</v>
      </c>
      <c r="L245" s="5">
        <f t="shared" si="27"/>
        <v>74224.790036035527</v>
      </c>
      <c r="M245" s="9">
        <f t="shared" si="25"/>
        <v>0.24496630374929218</v>
      </c>
    </row>
    <row r="246" spans="1:13" x14ac:dyDescent="0.3">
      <c r="B246">
        <f t="shared" si="28"/>
        <v>235</v>
      </c>
      <c r="C246" s="8">
        <f t="shared" si="29"/>
        <v>49945</v>
      </c>
      <c r="D246" s="6">
        <v>1914</v>
      </c>
      <c r="F246" s="5">
        <f t="shared" si="31"/>
        <v>74224.790036035527</v>
      </c>
      <c r="G246" s="5">
        <f t="shared" si="26"/>
        <v>645.64228425112788</v>
      </c>
      <c r="H246" s="5">
        <f t="shared" si="30"/>
        <v>255.14771574887212</v>
      </c>
      <c r="I246" s="6">
        <v>1013.21</v>
      </c>
      <c r="J246" s="5">
        <f t="shared" si="32"/>
        <v>233028.75999999954</v>
      </c>
      <c r="L246" s="5">
        <f t="shared" si="27"/>
        <v>73579.147751784403</v>
      </c>
      <c r="M246" s="9">
        <f t="shared" si="25"/>
        <v>0.24283547112800133</v>
      </c>
    </row>
    <row r="247" spans="1:13" x14ac:dyDescent="0.3">
      <c r="B247">
        <f t="shared" si="28"/>
        <v>236</v>
      </c>
      <c r="C247" s="8">
        <f t="shared" si="29"/>
        <v>49975.5</v>
      </c>
      <c r="D247" s="6">
        <v>1914</v>
      </c>
      <c r="F247" s="5">
        <f t="shared" si="31"/>
        <v>73579.147751784403</v>
      </c>
      <c r="G247" s="5">
        <f t="shared" si="26"/>
        <v>647.8616796032411</v>
      </c>
      <c r="H247" s="5">
        <f t="shared" si="30"/>
        <v>252.92832039675889</v>
      </c>
      <c r="I247" s="6">
        <v>1013.21</v>
      </c>
      <c r="J247" s="5">
        <f t="shared" si="32"/>
        <v>234041.96999999954</v>
      </c>
      <c r="L247" s="5">
        <f t="shared" si="27"/>
        <v>72931.286072181174</v>
      </c>
      <c r="M247" s="9">
        <f t="shared" si="25"/>
        <v>0.24069731376957484</v>
      </c>
    </row>
    <row r="248" spans="1:13" x14ac:dyDescent="0.3">
      <c r="B248">
        <f t="shared" si="28"/>
        <v>237</v>
      </c>
      <c r="C248" s="8">
        <f t="shared" si="29"/>
        <v>50006</v>
      </c>
      <c r="D248" s="6">
        <v>1914</v>
      </c>
      <c r="F248" s="5">
        <f t="shared" si="31"/>
        <v>72931.286072181174</v>
      </c>
      <c r="G248" s="5">
        <f t="shared" si="26"/>
        <v>650.08870412687725</v>
      </c>
      <c r="H248" s="5">
        <f t="shared" si="30"/>
        <v>250.7012958731228</v>
      </c>
      <c r="I248" s="6">
        <v>1013.21</v>
      </c>
      <c r="J248" s="5">
        <f t="shared" si="32"/>
        <v>235055.17999999953</v>
      </c>
      <c r="L248" s="5">
        <f t="shared" si="27"/>
        <v>72281.197368054301</v>
      </c>
      <c r="M248" s="9">
        <f t="shared" si="25"/>
        <v>0.23855180649522872</v>
      </c>
    </row>
    <row r="249" spans="1:13" x14ac:dyDescent="0.3">
      <c r="B249">
        <f t="shared" si="28"/>
        <v>238</v>
      </c>
      <c r="C249" s="8">
        <f t="shared" si="29"/>
        <v>50036.5</v>
      </c>
      <c r="D249" s="6">
        <v>1914</v>
      </c>
      <c r="F249" s="5">
        <f t="shared" si="31"/>
        <v>72281.197368054301</v>
      </c>
      <c r="G249" s="5">
        <f t="shared" si="26"/>
        <v>652.32338404731331</v>
      </c>
      <c r="H249" s="5">
        <f t="shared" si="30"/>
        <v>248.46661595268668</v>
      </c>
      <c r="I249" s="6">
        <v>1013.21</v>
      </c>
      <c r="J249" s="5">
        <f t="shared" si="32"/>
        <v>236068.38999999952</v>
      </c>
      <c r="L249" s="5">
        <f t="shared" si="27"/>
        <v>71628.87398400699</v>
      </c>
      <c r="M249" s="9">
        <f t="shared" si="25"/>
        <v>0.23639892403962703</v>
      </c>
    </row>
    <row r="250" spans="1:13" x14ac:dyDescent="0.3">
      <c r="B250">
        <f t="shared" si="28"/>
        <v>239</v>
      </c>
      <c r="C250" s="8">
        <f t="shared" si="29"/>
        <v>50067</v>
      </c>
      <c r="D250" s="6">
        <v>1914</v>
      </c>
      <c r="F250" s="5">
        <f t="shared" si="31"/>
        <v>71628.87398400699</v>
      </c>
      <c r="G250" s="5">
        <f t="shared" si="26"/>
        <v>654.56574567997586</v>
      </c>
      <c r="H250" s="5">
        <f t="shared" si="30"/>
        <v>246.22425432002402</v>
      </c>
      <c r="I250" s="6">
        <v>1013.21</v>
      </c>
      <c r="J250" s="5">
        <f t="shared" si="32"/>
        <v>237081.59999999951</v>
      </c>
      <c r="L250" s="5">
        <f t="shared" si="27"/>
        <v>70974.308238327023</v>
      </c>
      <c r="M250" s="9">
        <f t="shared" si="25"/>
        <v>0.23423864105058423</v>
      </c>
    </row>
    <row r="251" spans="1:13" x14ac:dyDescent="0.3">
      <c r="B251">
        <f t="shared" si="28"/>
        <v>240</v>
      </c>
      <c r="C251" s="8">
        <f t="shared" si="29"/>
        <v>50097.5</v>
      </c>
      <c r="D251" s="6">
        <v>1914</v>
      </c>
      <c r="F251" s="5">
        <f t="shared" si="31"/>
        <v>70974.308238327023</v>
      </c>
      <c r="G251" s="5">
        <f t="shared" si="26"/>
        <v>656.81581543075072</v>
      </c>
      <c r="H251" s="5">
        <f t="shared" si="30"/>
        <v>243.97418456924916</v>
      </c>
      <c r="I251" s="6">
        <v>1013.21</v>
      </c>
      <c r="J251" s="5">
        <f t="shared" si="32"/>
        <v>238094.8099999995</v>
      </c>
      <c r="L251" s="5">
        <f t="shared" si="27"/>
        <v>70317.492422896277</v>
      </c>
      <c r="M251" s="9">
        <f t="shared" si="25"/>
        <v>0.23207093208876658</v>
      </c>
    </row>
    <row r="252" spans="1:13" x14ac:dyDescent="0.3">
      <c r="A252">
        <v>21</v>
      </c>
      <c r="B252">
        <f t="shared" si="28"/>
        <v>241</v>
      </c>
      <c r="C252" s="8">
        <f t="shared" si="29"/>
        <v>50128</v>
      </c>
      <c r="D252" s="6">
        <v>1914</v>
      </c>
      <c r="F252" s="5">
        <f t="shared" si="31"/>
        <v>70317.492422896277</v>
      </c>
      <c r="G252" s="5">
        <f t="shared" si="26"/>
        <v>659.073619796294</v>
      </c>
      <c r="H252" s="5">
        <f t="shared" si="30"/>
        <v>241.71638020370597</v>
      </c>
      <c r="I252" s="6">
        <v>1013.21</v>
      </c>
      <c r="J252" s="5">
        <f t="shared" si="32"/>
        <v>239108.01999999949</v>
      </c>
      <c r="L252" s="5">
        <f t="shared" si="27"/>
        <v>69658.418803099994</v>
      </c>
      <c r="M252" s="9">
        <f t="shared" si="25"/>
        <v>0.22989577162739272</v>
      </c>
    </row>
    <row r="253" spans="1:13" x14ac:dyDescent="0.3">
      <c r="B253">
        <f t="shared" si="28"/>
        <v>242</v>
      </c>
      <c r="C253" s="8">
        <f t="shared" si="29"/>
        <v>50158.5</v>
      </c>
      <c r="D253" s="6">
        <v>1914</v>
      </c>
      <c r="F253" s="5">
        <f t="shared" si="31"/>
        <v>69658.418803099994</v>
      </c>
      <c r="G253" s="5">
        <f t="shared" si="26"/>
        <v>661.33918536434385</v>
      </c>
      <c r="H253" s="5">
        <f t="shared" si="30"/>
        <v>239.45081463565623</v>
      </c>
      <c r="I253" s="6">
        <v>1013.21</v>
      </c>
      <c r="J253" s="5">
        <f t="shared" si="32"/>
        <v>240121.22999999949</v>
      </c>
      <c r="L253" s="5">
        <f t="shared" si="27"/>
        <v>68997.079617735653</v>
      </c>
      <c r="M253" s="9">
        <f t="shared" si="25"/>
        <v>0.22771313405193286</v>
      </c>
    </row>
    <row r="254" spans="1:13" x14ac:dyDescent="0.3">
      <c r="B254">
        <f t="shared" si="28"/>
        <v>243</v>
      </c>
      <c r="C254" s="8">
        <f t="shared" si="29"/>
        <v>50189</v>
      </c>
      <c r="D254" s="6">
        <v>1914</v>
      </c>
      <c r="F254" s="5">
        <f t="shared" si="31"/>
        <v>68997.079617735653</v>
      </c>
      <c r="G254" s="5">
        <f t="shared" si="26"/>
        <v>663.61253881403354</v>
      </c>
      <c r="H254" s="5">
        <f t="shared" si="30"/>
        <v>237.17746118596631</v>
      </c>
      <c r="I254" s="6">
        <v>1013.21</v>
      </c>
      <c r="J254" s="5">
        <f t="shared" si="32"/>
        <v>241134.43999999948</v>
      </c>
      <c r="L254" s="5">
        <f t="shared" si="27"/>
        <v>68333.467078921632</v>
      </c>
      <c r="M254" s="9">
        <f t="shared" si="25"/>
        <v>0.22552299365980738</v>
      </c>
    </row>
    <row r="255" spans="1:13" x14ac:dyDescent="0.3">
      <c r="B255">
        <f t="shared" si="28"/>
        <v>244</v>
      </c>
      <c r="C255" s="8">
        <f t="shared" si="29"/>
        <v>50219.5</v>
      </c>
      <c r="D255" s="6">
        <v>1914</v>
      </c>
      <c r="F255" s="5">
        <f t="shared" si="31"/>
        <v>68333.467078921632</v>
      </c>
      <c r="G255" s="5">
        <f t="shared" si="26"/>
        <v>665.89370691620684</v>
      </c>
      <c r="H255" s="5">
        <f t="shared" si="30"/>
        <v>234.89629308379313</v>
      </c>
      <c r="I255" s="6">
        <v>1013.21</v>
      </c>
      <c r="J255" s="5">
        <f t="shared" si="32"/>
        <v>242147.64999999947</v>
      </c>
      <c r="L255" s="5">
        <f t="shared" si="27"/>
        <v>67667.573372005427</v>
      </c>
      <c r="M255" s="9">
        <f t="shared" si="25"/>
        <v>0.22332532466008392</v>
      </c>
    </row>
    <row r="256" spans="1:13" x14ac:dyDescent="0.3">
      <c r="B256">
        <f t="shared" si="28"/>
        <v>245</v>
      </c>
      <c r="C256" s="8">
        <f t="shared" si="29"/>
        <v>50250</v>
      </c>
      <c r="D256" s="6">
        <v>1914</v>
      </c>
      <c r="F256" s="5">
        <f t="shared" si="31"/>
        <v>67667.573372005427</v>
      </c>
      <c r="G256" s="5">
        <f t="shared" si="26"/>
        <v>668.18271653373131</v>
      </c>
      <c r="H256" s="5">
        <f t="shared" si="30"/>
        <v>232.60728346626865</v>
      </c>
      <c r="I256" s="6">
        <v>1013.21</v>
      </c>
      <c r="J256" s="5">
        <f t="shared" si="32"/>
        <v>243160.85999999946</v>
      </c>
      <c r="L256" s="5">
        <f t="shared" si="27"/>
        <v>66999.390655471696</v>
      </c>
      <c r="M256" s="9">
        <f t="shared" si="25"/>
        <v>0.22112010117317391</v>
      </c>
    </row>
    <row r="257" spans="1:13" x14ac:dyDescent="0.3">
      <c r="B257">
        <f t="shared" si="28"/>
        <v>246</v>
      </c>
      <c r="C257" s="8">
        <f t="shared" si="29"/>
        <v>50280.5</v>
      </c>
      <c r="D257" s="6">
        <v>1914</v>
      </c>
      <c r="F257" s="5">
        <f t="shared" si="31"/>
        <v>66999.390655471696</v>
      </c>
      <c r="G257" s="5">
        <f t="shared" si="26"/>
        <v>670.47959462181598</v>
      </c>
      <c r="H257" s="5">
        <f t="shared" si="30"/>
        <v>230.31040537818396</v>
      </c>
      <c r="I257" s="6">
        <v>1013.21</v>
      </c>
      <c r="J257" s="5">
        <f t="shared" si="32"/>
        <v>244174.06999999945</v>
      </c>
      <c r="L257" s="5">
        <f t="shared" si="27"/>
        <v>66328.911060849889</v>
      </c>
      <c r="M257" s="9">
        <f t="shared" si="25"/>
        <v>0.21890729723052768</v>
      </c>
    </row>
    <row r="258" spans="1:13" x14ac:dyDescent="0.3">
      <c r="B258">
        <f t="shared" si="28"/>
        <v>247</v>
      </c>
      <c r="C258" s="8">
        <f t="shared" si="29"/>
        <v>50311</v>
      </c>
      <c r="D258" s="6">
        <v>1914</v>
      </c>
      <c r="F258" s="5">
        <f t="shared" si="31"/>
        <v>66328.911060849889</v>
      </c>
      <c r="G258" s="5">
        <f t="shared" si="26"/>
        <v>672.7843682283285</v>
      </c>
      <c r="H258" s="5">
        <f t="shared" si="30"/>
        <v>228.00563177167149</v>
      </c>
      <c r="I258" s="6">
        <v>1013.21</v>
      </c>
      <c r="J258" s="5">
        <f t="shared" si="32"/>
        <v>245187.27999999945</v>
      </c>
      <c r="L258" s="5">
        <f t="shared" si="27"/>
        <v>65656.126692621561</v>
      </c>
      <c r="M258" s="9">
        <f t="shared" si="25"/>
        <v>0.2166868867743286</v>
      </c>
    </row>
    <row r="259" spans="1:13" x14ac:dyDescent="0.3">
      <c r="B259">
        <f t="shared" si="28"/>
        <v>248</v>
      </c>
      <c r="C259" s="8">
        <f t="shared" si="29"/>
        <v>50341.5</v>
      </c>
      <c r="D259" s="6">
        <v>1914</v>
      </c>
      <c r="F259" s="5">
        <f t="shared" si="31"/>
        <v>65656.126692621561</v>
      </c>
      <c r="G259" s="5">
        <f t="shared" si="26"/>
        <v>675.09706449411328</v>
      </c>
      <c r="H259" s="5">
        <f t="shared" si="30"/>
        <v>225.69293550588665</v>
      </c>
      <c r="I259" s="6">
        <v>1013.21</v>
      </c>
      <c r="J259" s="5">
        <f t="shared" si="32"/>
        <v>246200.48999999944</v>
      </c>
      <c r="L259" s="5">
        <f t="shared" si="27"/>
        <v>64981.02962812745</v>
      </c>
      <c r="M259" s="9">
        <f t="shared" si="25"/>
        <v>0.21445884365718632</v>
      </c>
    </row>
    <row r="260" spans="1:13" x14ac:dyDescent="0.3">
      <c r="B260">
        <f t="shared" si="28"/>
        <v>249</v>
      </c>
      <c r="C260" s="8">
        <f t="shared" si="29"/>
        <v>50372</v>
      </c>
      <c r="D260" s="6">
        <v>1914</v>
      </c>
      <c r="F260" s="5">
        <f t="shared" si="31"/>
        <v>64981.02962812745</v>
      </c>
      <c r="G260" s="5">
        <f t="shared" si="26"/>
        <v>677.41771065331181</v>
      </c>
      <c r="H260" s="5">
        <f t="shared" si="30"/>
        <v>223.37228934668812</v>
      </c>
      <c r="I260" s="6">
        <v>1013.21</v>
      </c>
      <c r="J260" s="5">
        <f t="shared" si="32"/>
        <v>247213.69999999943</v>
      </c>
      <c r="L260" s="5">
        <f t="shared" si="27"/>
        <v>64303.611917474147</v>
      </c>
      <c r="M260" s="9">
        <f t="shared" si="25"/>
        <v>0.21222314164182887</v>
      </c>
    </row>
    <row r="261" spans="1:13" x14ac:dyDescent="0.3">
      <c r="B261">
        <f t="shared" si="28"/>
        <v>250</v>
      </c>
      <c r="C261" s="8">
        <f t="shared" si="29"/>
        <v>50402.5</v>
      </c>
      <c r="D261" s="6">
        <v>1914</v>
      </c>
      <c r="F261" s="5">
        <f t="shared" si="31"/>
        <v>64303.611917474147</v>
      </c>
      <c r="G261" s="5">
        <f t="shared" si="26"/>
        <v>679.74633403368261</v>
      </c>
      <c r="H261" s="5">
        <f t="shared" si="30"/>
        <v>221.04366596631738</v>
      </c>
      <c r="I261" s="6">
        <v>1013.21</v>
      </c>
      <c r="J261" s="5">
        <f t="shared" si="32"/>
        <v>248226.90999999942</v>
      </c>
      <c r="L261" s="5">
        <f t="shared" si="27"/>
        <v>63623.865583440464</v>
      </c>
      <c r="M261" s="9">
        <f t="shared" si="25"/>
        <v>0.20997975440079361</v>
      </c>
    </row>
    <row r="262" spans="1:13" x14ac:dyDescent="0.3">
      <c r="B262">
        <f t="shared" si="28"/>
        <v>251</v>
      </c>
      <c r="C262" s="8">
        <f t="shared" si="29"/>
        <v>50433</v>
      </c>
      <c r="D262" s="6">
        <v>1914</v>
      </c>
      <c r="F262" s="5">
        <f t="shared" si="31"/>
        <v>63623.865583440464</v>
      </c>
      <c r="G262" s="5">
        <f t="shared" si="26"/>
        <v>682.08296205692341</v>
      </c>
      <c r="H262" s="5">
        <f t="shared" si="30"/>
        <v>218.70703794307659</v>
      </c>
      <c r="I262" s="6">
        <v>1013.21</v>
      </c>
      <c r="J262" s="5">
        <f t="shared" si="32"/>
        <v>249240.11999999941</v>
      </c>
      <c r="L262" s="5">
        <f t="shared" si="27"/>
        <v>62941.782621383536</v>
      </c>
      <c r="M262" s="9">
        <f t="shared" si="25"/>
        <v>0.20772865551611727</v>
      </c>
    </row>
    <row r="263" spans="1:13" x14ac:dyDescent="0.3">
      <c r="B263">
        <f t="shared" si="28"/>
        <v>252</v>
      </c>
      <c r="C263" s="8">
        <f t="shared" si="29"/>
        <v>50463.5</v>
      </c>
      <c r="D263" s="6">
        <v>1914</v>
      </c>
      <c r="F263" s="5">
        <f t="shared" si="31"/>
        <v>62941.782621383536</v>
      </c>
      <c r="G263" s="5">
        <f t="shared" si="26"/>
        <v>684.42762223899399</v>
      </c>
      <c r="H263" s="5">
        <f t="shared" si="30"/>
        <v>216.36237776100589</v>
      </c>
      <c r="I263" s="6">
        <v>1013.21</v>
      </c>
      <c r="J263" s="5">
        <f t="shared" si="32"/>
        <v>250253.32999999941</v>
      </c>
      <c r="L263" s="5">
        <f t="shared" si="27"/>
        <v>62257.35499914454</v>
      </c>
      <c r="M263" s="9">
        <f t="shared" si="25"/>
        <v>0.20546981847902487</v>
      </c>
    </row>
    <row r="264" spans="1:13" x14ac:dyDescent="0.3">
      <c r="A264">
        <v>22</v>
      </c>
      <c r="B264">
        <f t="shared" si="28"/>
        <v>253</v>
      </c>
      <c r="C264" s="8">
        <f t="shared" si="29"/>
        <v>50494</v>
      </c>
      <c r="D264" s="6">
        <v>1914</v>
      </c>
      <c r="F264" s="5">
        <f t="shared" si="31"/>
        <v>62257.35499914454</v>
      </c>
      <c r="G264" s="5">
        <f t="shared" si="26"/>
        <v>686.78034219044048</v>
      </c>
      <c r="H264" s="5">
        <f t="shared" si="30"/>
        <v>214.00965780955937</v>
      </c>
      <c r="I264" s="6">
        <v>1013.21</v>
      </c>
      <c r="J264" s="5">
        <f t="shared" si="32"/>
        <v>251266.5399999994</v>
      </c>
      <c r="L264" s="5">
        <f t="shared" si="27"/>
        <v>61570.574656954101</v>
      </c>
      <c r="M264" s="9">
        <f t="shared" si="25"/>
        <v>0.20320321668961749</v>
      </c>
    </row>
    <row r="265" spans="1:13" x14ac:dyDescent="0.3">
      <c r="B265">
        <f t="shared" si="28"/>
        <v>254</v>
      </c>
      <c r="C265" s="8">
        <f t="shared" si="29"/>
        <v>50524.5</v>
      </c>
      <c r="D265" s="6">
        <v>1914</v>
      </c>
      <c r="F265" s="5">
        <f t="shared" si="31"/>
        <v>61570.574656954101</v>
      </c>
      <c r="G265" s="5">
        <f t="shared" si="26"/>
        <v>689.14114961672021</v>
      </c>
      <c r="H265" s="5">
        <f t="shared" si="30"/>
        <v>211.64885038327972</v>
      </c>
      <c r="I265" s="6">
        <v>1013.21</v>
      </c>
      <c r="J265" s="5">
        <f t="shared" si="32"/>
        <v>252279.74999999939</v>
      </c>
      <c r="L265" s="5">
        <f t="shared" si="27"/>
        <v>60881.43350733738</v>
      </c>
      <c r="M265" s="9">
        <f t="shared" si="25"/>
        <v>0.20092882345655902</v>
      </c>
    </row>
    <row r="266" spans="1:13" x14ac:dyDescent="0.3">
      <c r="B266">
        <f t="shared" si="28"/>
        <v>255</v>
      </c>
      <c r="C266" s="8">
        <f t="shared" si="29"/>
        <v>50555</v>
      </c>
      <c r="D266" s="6">
        <v>1914</v>
      </c>
      <c r="F266" s="5">
        <f t="shared" si="31"/>
        <v>60881.43350733738</v>
      </c>
      <c r="G266" s="5">
        <f t="shared" si="26"/>
        <v>691.51007231852782</v>
      </c>
      <c r="H266" s="5">
        <f t="shared" si="30"/>
        <v>209.27992768147226</v>
      </c>
      <c r="I266" s="6">
        <v>1013.21</v>
      </c>
      <c r="J266" s="5">
        <f t="shared" si="32"/>
        <v>253292.95999999938</v>
      </c>
      <c r="L266" s="5">
        <f t="shared" si="27"/>
        <v>60189.923435018849</v>
      </c>
      <c r="M266" s="9">
        <f t="shared" si="25"/>
        <v>0.19864661199676187</v>
      </c>
    </row>
    <row r="267" spans="1:13" x14ac:dyDescent="0.3">
      <c r="B267">
        <f t="shared" si="28"/>
        <v>256</v>
      </c>
      <c r="C267" s="8">
        <f t="shared" si="29"/>
        <v>50585.5</v>
      </c>
      <c r="D267" s="6">
        <v>1914</v>
      </c>
      <c r="F267" s="5">
        <f t="shared" si="31"/>
        <v>60189.923435018849</v>
      </c>
      <c r="G267" s="5">
        <f t="shared" si="26"/>
        <v>693.88713819212262</v>
      </c>
      <c r="H267" s="5">
        <f t="shared" si="30"/>
        <v>206.90286180787731</v>
      </c>
      <c r="I267" s="6">
        <v>1013.21</v>
      </c>
      <c r="J267" s="5">
        <f t="shared" si="32"/>
        <v>254306.16999999937</v>
      </c>
      <c r="L267" s="5">
        <f t="shared" si="27"/>
        <v>59496.036296826722</v>
      </c>
      <c r="M267" s="9">
        <f t="shared" si="25"/>
        <v>0.19635655543507169</v>
      </c>
    </row>
    <row r="268" spans="1:13" x14ac:dyDescent="0.3">
      <c r="B268">
        <f t="shared" si="28"/>
        <v>257</v>
      </c>
      <c r="C268" s="8">
        <f t="shared" si="29"/>
        <v>50616</v>
      </c>
      <c r="D268" s="6">
        <v>1914</v>
      </c>
      <c r="F268" s="5">
        <f t="shared" si="31"/>
        <v>59496.036296826722</v>
      </c>
      <c r="G268" s="5">
        <f t="shared" si="26"/>
        <v>696.27237522965811</v>
      </c>
      <c r="H268" s="5">
        <f t="shared" si="30"/>
        <v>204.51762477034185</v>
      </c>
      <c r="I268" s="6">
        <v>1013.21</v>
      </c>
      <c r="J268" s="5">
        <f t="shared" si="32"/>
        <v>255319.37999999936</v>
      </c>
      <c r="L268" s="5">
        <f t="shared" si="27"/>
        <v>58799.763921597063</v>
      </c>
      <c r="M268" s="9">
        <f t="shared" ref="M268:M331" si="33">L268/$C$2</f>
        <v>0.1940586268039507</v>
      </c>
    </row>
    <row r="269" spans="1:13" x14ac:dyDescent="0.3">
      <c r="B269">
        <f t="shared" si="28"/>
        <v>258</v>
      </c>
      <c r="C269" s="8">
        <f t="shared" si="29"/>
        <v>50646.5</v>
      </c>
      <c r="D269" s="6">
        <v>1914</v>
      </c>
      <c r="F269" s="5">
        <f t="shared" si="31"/>
        <v>58799.763921597063</v>
      </c>
      <c r="G269" s="5">
        <f t="shared" ref="G269:G332" si="34">D269-H269-I269</f>
        <v>698.66581151951004</v>
      </c>
      <c r="H269" s="5">
        <f t="shared" si="30"/>
        <v>202.12418848048992</v>
      </c>
      <c r="I269" s="6">
        <v>1013.21</v>
      </c>
      <c r="J269" s="5">
        <f t="shared" si="32"/>
        <v>256332.58999999936</v>
      </c>
      <c r="L269" s="5">
        <f t="shared" ref="L269:L332" si="35">F269+H269+I269-D269-E269</f>
        <v>58101.098110077553</v>
      </c>
      <c r="M269" s="9">
        <f t="shared" si="33"/>
        <v>0.19175279904316025</v>
      </c>
    </row>
    <row r="270" spans="1:13" x14ac:dyDescent="0.3">
      <c r="B270">
        <f t="shared" ref="B270:B333" si="36">B269+1</f>
        <v>259</v>
      </c>
      <c r="C270" s="8">
        <f t="shared" ref="C270:C333" si="37">C269+30.5</f>
        <v>50677</v>
      </c>
      <c r="D270" s="6">
        <v>1914</v>
      </c>
      <c r="F270" s="5">
        <f t="shared" si="31"/>
        <v>58101.098110077553</v>
      </c>
      <c r="G270" s="5">
        <f t="shared" si="34"/>
        <v>701.06747524660841</v>
      </c>
      <c r="H270" s="5">
        <f t="shared" ref="H270:H333" si="38">F270*$C$4/12</f>
        <v>199.72252475339158</v>
      </c>
      <c r="I270" s="6">
        <v>1013.21</v>
      </c>
      <c r="J270" s="5">
        <f t="shared" si="32"/>
        <v>257345.79999999935</v>
      </c>
      <c r="L270" s="5">
        <f t="shared" si="35"/>
        <v>57400.030634830946</v>
      </c>
      <c r="M270" s="9">
        <f t="shared" si="33"/>
        <v>0.18943904499944206</v>
      </c>
    </row>
    <row r="271" spans="1:13" x14ac:dyDescent="0.3">
      <c r="B271">
        <f t="shared" si="36"/>
        <v>260</v>
      </c>
      <c r="C271" s="8">
        <f t="shared" si="37"/>
        <v>50707.5</v>
      </c>
      <c r="D271" s="6">
        <v>1914</v>
      </c>
      <c r="F271" s="5">
        <f t="shared" ref="F271:F334" si="39">L270</f>
        <v>57400.030634830946</v>
      </c>
      <c r="G271" s="5">
        <f t="shared" si="34"/>
        <v>703.47739469276848</v>
      </c>
      <c r="H271" s="5">
        <f t="shared" si="38"/>
        <v>197.31260530723139</v>
      </c>
      <c r="I271" s="6">
        <v>1013.21</v>
      </c>
      <c r="J271" s="5">
        <f t="shared" si="32"/>
        <v>258359.00999999934</v>
      </c>
      <c r="L271" s="5">
        <f t="shared" si="35"/>
        <v>56696.553240138179</v>
      </c>
      <c r="M271" s="9">
        <f t="shared" si="33"/>
        <v>0.1871173374261986</v>
      </c>
    </row>
    <row r="272" spans="1:13" x14ac:dyDescent="0.3">
      <c r="B272">
        <f t="shared" si="36"/>
        <v>261</v>
      </c>
      <c r="C272" s="8">
        <f t="shared" si="37"/>
        <v>50738</v>
      </c>
      <c r="D272" s="6">
        <v>1914</v>
      </c>
      <c r="F272" s="5">
        <f t="shared" si="39"/>
        <v>56696.553240138179</v>
      </c>
      <c r="G272" s="5">
        <f t="shared" si="34"/>
        <v>705.89559823702484</v>
      </c>
      <c r="H272" s="5">
        <f t="shared" si="38"/>
        <v>194.89440176297501</v>
      </c>
      <c r="I272" s="6">
        <v>1013.21</v>
      </c>
      <c r="J272" s="5">
        <f t="shared" si="32"/>
        <v>259372.21999999933</v>
      </c>
      <c r="L272" s="5">
        <f t="shared" si="35"/>
        <v>55990.657641901154</v>
      </c>
      <c r="M272" s="9">
        <f t="shared" si="33"/>
        <v>0.18478764898317213</v>
      </c>
    </row>
    <row r="273" spans="1:13" x14ac:dyDescent="0.3">
      <c r="B273">
        <f t="shared" si="36"/>
        <v>262</v>
      </c>
      <c r="C273" s="8">
        <f t="shared" si="37"/>
        <v>50768.5</v>
      </c>
      <c r="D273" s="6">
        <v>1914</v>
      </c>
      <c r="F273" s="5">
        <f t="shared" si="39"/>
        <v>55990.657641901154</v>
      </c>
      <c r="G273" s="5">
        <f t="shared" si="34"/>
        <v>708.32211435596469</v>
      </c>
      <c r="H273" s="5">
        <f t="shared" si="38"/>
        <v>192.46788564403525</v>
      </c>
      <c r="I273" s="6">
        <v>1013.21</v>
      </c>
      <c r="J273" s="5">
        <f t="shared" si="32"/>
        <v>260385.42999999932</v>
      </c>
      <c r="L273" s="5">
        <f t="shared" si="35"/>
        <v>55282.33552754519</v>
      </c>
      <c r="M273" s="9">
        <f t="shared" si="33"/>
        <v>0.18244995223612273</v>
      </c>
    </row>
    <row r="274" spans="1:13" x14ac:dyDescent="0.3">
      <c r="B274">
        <f t="shared" si="36"/>
        <v>263</v>
      </c>
      <c r="C274" s="8">
        <f t="shared" si="37"/>
        <v>50799</v>
      </c>
      <c r="D274" s="6">
        <v>1914</v>
      </c>
      <c r="F274" s="5">
        <f t="shared" si="39"/>
        <v>55282.33552754519</v>
      </c>
      <c r="G274" s="5">
        <f t="shared" si="34"/>
        <v>710.75697162406345</v>
      </c>
      <c r="H274" s="5">
        <f t="shared" si="38"/>
        <v>190.0330283759366</v>
      </c>
      <c r="I274" s="6">
        <v>1013.21</v>
      </c>
      <c r="J274" s="5">
        <f t="shared" si="32"/>
        <v>261398.63999999932</v>
      </c>
      <c r="L274" s="5">
        <f t="shared" si="35"/>
        <v>54571.578555921129</v>
      </c>
      <c r="M274" s="9">
        <f t="shared" si="33"/>
        <v>0.18010421965650539</v>
      </c>
    </row>
    <row r="275" spans="1:13" x14ac:dyDescent="0.3">
      <c r="B275">
        <f t="shared" si="36"/>
        <v>264</v>
      </c>
      <c r="C275" s="8">
        <f t="shared" si="37"/>
        <v>50829.5</v>
      </c>
      <c r="D275" s="6">
        <v>1914</v>
      </c>
      <c r="F275" s="5">
        <f t="shared" si="39"/>
        <v>54571.578555921129</v>
      </c>
      <c r="G275" s="5">
        <f t="shared" si="34"/>
        <v>713.2001987140211</v>
      </c>
      <c r="H275" s="5">
        <f t="shared" si="38"/>
        <v>187.58980128597889</v>
      </c>
      <c r="I275" s="6">
        <v>1013.21</v>
      </c>
      <c r="J275" s="5">
        <f t="shared" si="32"/>
        <v>262411.84999999934</v>
      </c>
      <c r="L275" s="5">
        <f t="shared" si="35"/>
        <v>53858.378357207104</v>
      </c>
      <c r="M275" s="9">
        <f t="shared" si="33"/>
        <v>0.17775042362114557</v>
      </c>
    </row>
    <row r="276" spans="1:13" x14ac:dyDescent="0.3">
      <c r="A276">
        <v>23</v>
      </c>
      <c r="B276">
        <f t="shared" si="36"/>
        <v>265</v>
      </c>
      <c r="C276" s="8">
        <f t="shared" si="37"/>
        <v>50860</v>
      </c>
      <c r="D276" s="6">
        <v>1914</v>
      </c>
      <c r="F276" s="5">
        <f t="shared" si="39"/>
        <v>53858.378357207104</v>
      </c>
      <c r="G276" s="5">
        <f t="shared" si="34"/>
        <v>715.65182439710043</v>
      </c>
      <c r="H276" s="5">
        <f t="shared" si="38"/>
        <v>185.13817560289942</v>
      </c>
      <c r="I276" s="6">
        <v>1013.21</v>
      </c>
      <c r="J276" s="5">
        <f t="shared" si="32"/>
        <v>263425.05999999936</v>
      </c>
      <c r="L276" s="5">
        <f t="shared" si="35"/>
        <v>53142.726532810004</v>
      </c>
      <c r="M276" s="9">
        <f t="shared" si="33"/>
        <v>0.17538853641191421</v>
      </c>
    </row>
    <row r="277" spans="1:13" x14ac:dyDescent="0.3">
      <c r="B277">
        <f t="shared" si="36"/>
        <v>266</v>
      </c>
      <c r="C277" s="8">
        <f t="shared" si="37"/>
        <v>50890.5</v>
      </c>
      <c r="D277" s="6">
        <v>1914</v>
      </c>
      <c r="F277" s="5">
        <f t="shared" si="39"/>
        <v>53142.726532810004</v>
      </c>
      <c r="G277" s="5">
        <f t="shared" si="34"/>
        <v>718.11187754346565</v>
      </c>
      <c r="H277" s="5">
        <f t="shared" si="38"/>
        <v>182.6781224565344</v>
      </c>
      <c r="I277" s="6">
        <v>1013.21</v>
      </c>
      <c r="J277" s="5">
        <f t="shared" si="32"/>
        <v>264438.26999999938</v>
      </c>
      <c r="L277" s="5">
        <f t="shared" si="35"/>
        <v>52424.614655266538</v>
      </c>
      <c r="M277" s="9">
        <f t="shared" si="33"/>
        <v>0.17301853021540112</v>
      </c>
    </row>
    <row r="278" spans="1:13" x14ac:dyDescent="0.3">
      <c r="B278">
        <f t="shared" si="36"/>
        <v>267</v>
      </c>
      <c r="C278" s="8">
        <f t="shared" si="37"/>
        <v>50921</v>
      </c>
      <c r="D278" s="6">
        <v>1914</v>
      </c>
      <c r="F278" s="5">
        <f t="shared" si="39"/>
        <v>52424.614655266538</v>
      </c>
      <c r="G278" s="5">
        <f t="shared" si="34"/>
        <v>720.58038712252119</v>
      </c>
      <c r="H278" s="5">
        <f t="shared" si="38"/>
        <v>180.20961287747875</v>
      </c>
      <c r="I278" s="6">
        <v>1013.21</v>
      </c>
      <c r="J278" s="5">
        <f t="shared" si="32"/>
        <v>265451.4799999994</v>
      </c>
      <c r="L278" s="5">
        <f t="shared" si="35"/>
        <v>51704.034268144016</v>
      </c>
      <c r="M278" s="9">
        <f t="shared" si="33"/>
        <v>0.17064037712258751</v>
      </c>
    </row>
    <row r="279" spans="1:13" x14ac:dyDescent="0.3">
      <c r="B279">
        <f t="shared" si="36"/>
        <v>268</v>
      </c>
      <c r="C279" s="8">
        <f t="shared" si="37"/>
        <v>50951.5</v>
      </c>
      <c r="D279" s="6">
        <v>1914</v>
      </c>
      <c r="F279" s="5">
        <f t="shared" si="39"/>
        <v>51704.034268144016</v>
      </c>
      <c r="G279" s="5">
        <f t="shared" si="34"/>
        <v>723.05738220325497</v>
      </c>
      <c r="H279" s="5">
        <f t="shared" si="38"/>
        <v>177.73261779674507</v>
      </c>
      <c r="I279" s="6">
        <v>1013.21</v>
      </c>
      <c r="J279" s="5">
        <f t="shared" si="32"/>
        <v>266464.68999999942</v>
      </c>
      <c r="L279" s="5">
        <f t="shared" si="35"/>
        <v>50980.976885940763</v>
      </c>
      <c r="M279" s="9">
        <f t="shared" si="33"/>
        <v>0.16825404912851738</v>
      </c>
    </row>
    <row r="280" spans="1:13" x14ac:dyDescent="0.3">
      <c r="B280">
        <f t="shared" si="36"/>
        <v>269</v>
      </c>
      <c r="C280" s="8">
        <f t="shared" si="37"/>
        <v>50982</v>
      </c>
      <c r="D280" s="6">
        <v>1914</v>
      </c>
      <c r="F280" s="5">
        <f t="shared" si="39"/>
        <v>50980.976885940763</v>
      </c>
      <c r="G280" s="5">
        <f t="shared" si="34"/>
        <v>725.54289195457864</v>
      </c>
      <c r="H280" s="5">
        <f t="shared" si="38"/>
        <v>175.24710804542136</v>
      </c>
      <c r="I280" s="6">
        <v>1013.21</v>
      </c>
      <c r="J280" s="5">
        <f t="shared" si="32"/>
        <v>267477.89999999944</v>
      </c>
      <c r="L280" s="5">
        <f t="shared" si="35"/>
        <v>50255.433993986182</v>
      </c>
      <c r="M280" s="9">
        <f t="shared" si="33"/>
        <v>0.16585951813196759</v>
      </c>
    </row>
    <row r="281" spans="1:13" x14ac:dyDescent="0.3">
      <c r="B281">
        <f t="shared" si="36"/>
        <v>270</v>
      </c>
      <c r="C281" s="8">
        <f t="shared" si="37"/>
        <v>51012.5</v>
      </c>
      <c r="D281" s="6">
        <v>1914</v>
      </c>
      <c r="F281" s="5">
        <f t="shared" si="39"/>
        <v>50255.433993986182</v>
      </c>
      <c r="G281" s="5">
        <f t="shared" si="34"/>
        <v>728.0369456456724</v>
      </c>
      <c r="H281" s="5">
        <f t="shared" si="38"/>
        <v>172.75305435432753</v>
      </c>
      <c r="I281" s="6">
        <v>1013.21</v>
      </c>
      <c r="J281" s="5">
        <f t="shared" si="32"/>
        <v>268491.10999999946</v>
      </c>
      <c r="L281" s="5">
        <f t="shared" si="35"/>
        <v>49527.397048340506</v>
      </c>
      <c r="M281" s="9">
        <f t="shared" si="33"/>
        <v>0.16345675593511719</v>
      </c>
    </row>
    <row r="282" spans="1:13" x14ac:dyDescent="0.3">
      <c r="B282">
        <f t="shared" si="36"/>
        <v>271</v>
      </c>
      <c r="C282" s="8">
        <f t="shared" si="37"/>
        <v>51043</v>
      </c>
      <c r="D282" s="6">
        <v>1914</v>
      </c>
      <c r="F282" s="5">
        <f t="shared" si="39"/>
        <v>49527.397048340506</v>
      </c>
      <c r="G282" s="5">
        <f t="shared" si="34"/>
        <v>730.53957264632936</v>
      </c>
      <c r="H282" s="5">
        <f t="shared" si="38"/>
        <v>170.25042735367052</v>
      </c>
      <c r="I282" s="6">
        <v>1013.21</v>
      </c>
      <c r="J282" s="5">
        <f t="shared" si="32"/>
        <v>269504.31999999948</v>
      </c>
      <c r="L282" s="5">
        <f t="shared" si="35"/>
        <v>48796.857475694174</v>
      </c>
      <c r="M282" s="9">
        <f t="shared" si="33"/>
        <v>0.16104573424321511</v>
      </c>
    </row>
    <row r="283" spans="1:13" x14ac:dyDescent="0.3">
      <c r="B283">
        <f t="shared" si="36"/>
        <v>272</v>
      </c>
      <c r="C283" s="8">
        <f t="shared" si="37"/>
        <v>51073.5</v>
      </c>
      <c r="D283" s="6">
        <v>1914</v>
      </c>
      <c r="F283" s="5">
        <f t="shared" si="39"/>
        <v>48796.857475694174</v>
      </c>
      <c r="G283" s="5">
        <f t="shared" si="34"/>
        <v>733.05080242730128</v>
      </c>
      <c r="H283" s="5">
        <f t="shared" si="38"/>
        <v>167.73919757269871</v>
      </c>
      <c r="I283" s="6">
        <v>1013.21</v>
      </c>
      <c r="J283" s="5">
        <f t="shared" si="32"/>
        <v>270517.5299999995</v>
      </c>
      <c r="L283" s="5">
        <f t="shared" si="35"/>
        <v>48063.806673266874</v>
      </c>
      <c r="M283" s="9">
        <f t="shared" si="33"/>
        <v>0.15862642466424712</v>
      </c>
    </row>
    <row r="284" spans="1:13" x14ac:dyDescent="0.3">
      <c r="B284">
        <f t="shared" si="36"/>
        <v>273</v>
      </c>
      <c r="C284" s="8">
        <f t="shared" si="37"/>
        <v>51104</v>
      </c>
      <c r="D284" s="6">
        <v>1914</v>
      </c>
      <c r="F284" s="5">
        <f t="shared" si="39"/>
        <v>48063.806673266874</v>
      </c>
      <c r="G284" s="5">
        <f t="shared" si="34"/>
        <v>735.57066456064513</v>
      </c>
      <c r="H284" s="5">
        <f t="shared" si="38"/>
        <v>165.21933543935489</v>
      </c>
      <c r="I284" s="6">
        <v>1013.21</v>
      </c>
      <c r="J284" s="5">
        <f t="shared" si="32"/>
        <v>271530.73999999953</v>
      </c>
      <c r="L284" s="5">
        <f t="shared" si="35"/>
        <v>47328.236008706226</v>
      </c>
      <c r="M284" s="9">
        <f t="shared" si="33"/>
        <v>0.1561987987086014</v>
      </c>
    </row>
    <row r="285" spans="1:13" x14ac:dyDescent="0.3">
      <c r="B285">
        <f t="shared" si="36"/>
        <v>274</v>
      </c>
      <c r="C285" s="8">
        <f t="shared" si="37"/>
        <v>51134.5</v>
      </c>
      <c r="D285" s="6">
        <v>1914</v>
      </c>
      <c r="F285" s="5">
        <f t="shared" si="39"/>
        <v>47328.236008706226</v>
      </c>
      <c r="G285" s="5">
        <f t="shared" si="34"/>
        <v>738.09918872007233</v>
      </c>
      <c r="H285" s="5">
        <f t="shared" si="38"/>
        <v>162.69081127992766</v>
      </c>
      <c r="I285" s="6">
        <v>1013.21</v>
      </c>
      <c r="J285" s="5">
        <f t="shared" si="32"/>
        <v>272543.94999999955</v>
      </c>
      <c r="L285" s="5">
        <f t="shared" si="35"/>
        <v>46590.136819986154</v>
      </c>
      <c r="M285" s="9">
        <f t="shared" si="33"/>
        <v>0.15376282778873318</v>
      </c>
    </row>
    <row r="286" spans="1:13" x14ac:dyDescent="0.3">
      <c r="B286">
        <f t="shared" si="36"/>
        <v>275</v>
      </c>
      <c r="C286" s="8">
        <f t="shared" si="37"/>
        <v>51165</v>
      </c>
      <c r="D286" s="6">
        <v>1914</v>
      </c>
      <c r="F286" s="5">
        <f t="shared" si="39"/>
        <v>46590.136819986154</v>
      </c>
      <c r="G286" s="5">
        <f t="shared" si="34"/>
        <v>740.63640468129756</v>
      </c>
      <c r="H286" s="5">
        <f t="shared" si="38"/>
        <v>160.15359531870243</v>
      </c>
      <c r="I286" s="6">
        <v>1013.21</v>
      </c>
      <c r="J286" s="5">
        <f t="shared" si="32"/>
        <v>273557.15999999957</v>
      </c>
      <c r="L286" s="5">
        <f t="shared" si="35"/>
        <v>45849.500415304858</v>
      </c>
      <c r="M286" s="9">
        <f t="shared" si="33"/>
        <v>0.1513184832188279</v>
      </c>
    </row>
    <row r="287" spans="1:13" x14ac:dyDescent="0.3">
      <c r="B287">
        <f t="shared" si="36"/>
        <v>276</v>
      </c>
      <c r="C287" s="8">
        <f t="shared" si="37"/>
        <v>51195.5</v>
      </c>
      <c r="D287" s="6">
        <v>1914</v>
      </c>
      <c r="F287" s="5">
        <f t="shared" si="39"/>
        <v>45849.500415304858</v>
      </c>
      <c r="G287" s="5">
        <f t="shared" si="34"/>
        <v>743.18234232238956</v>
      </c>
      <c r="H287" s="5">
        <f t="shared" si="38"/>
        <v>157.60765767761046</v>
      </c>
      <c r="I287" s="6">
        <v>1013.21</v>
      </c>
      <c r="J287" s="5">
        <f t="shared" si="32"/>
        <v>274570.36999999959</v>
      </c>
      <c r="L287" s="5">
        <f t="shared" si="35"/>
        <v>45106.318072982467</v>
      </c>
      <c r="M287" s="9">
        <f t="shared" si="33"/>
        <v>0.14886573621446358</v>
      </c>
    </row>
    <row r="288" spans="1:13" x14ac:dyDescent="0.3">
      <c r="A288">
        <v>24</v>
      </c>
      <c r="B288">
        <f t="shared" si="36"/>
        <v>277</v>
      </c>
      <c r="C288" s="8">
        <f t="shared" si="37"/>
        <v>51226</v>
      </c>
      <c r="D288" s="6">
        <v>1914</v>
      </c>
      <c r="F288" s="5">
        <f t="shared" si="39"/>
        <v>45106.318072982467</v>
      </c>
      <c r="G288" s="5">
        <f t="shared" si="34"/>
        <v>745.73703162412266</v>
      </c>
      <c r="H288" s="5">
        <f t="shared" si="38"/>
        <v>155.05296837587724</v>
      </c>
      <c r="I288" s="6">
        <v>1013.21</v>
      </c>
      <c r="J288" s="5">
        <f t="shared" si="32"/>
        <v>275583.57999999961</v>
      </c>
      <c r="L288" s="5">
        <f t="shared" si="35"/>
        <v>44360.581041358346</v>
      </c>
      <c r="M288" s="9">
        <f t="shared" si="33"/>
        <v>0.14640455789227177</v>
      </c>
    </row>
    <row r="289" spans="1:13" x14ac:dyDescent="0.3">
      <c r="B289">
        <f t="shared" si="36"/>
        <v>278</v>
      </c>
      <c r="C289" s="8">
        <f t="shared" si="37"/>
        <v>51256.5</v>
      </c>
      <c r="D289" s="6">
        <v>1914</v>
      </c>
      <c r="F289" s="5">
        <f t="shared" si="39"/>
        <v>44360.581041358346</v>
      </c>
      <c r="G289" s="5">
        <f t="shared" si="34"/>
        <v>748.30050267033062</v>
      </c>
      <c r="H289" s="5">
        <f t="shared" si="38"/>
        <v>152.48949732966932</v>
      </c>
      <c r="I289" s="6">
        <v>1013.21</v>
      </c>
      <c r="J289" s="5">
        <f t="shared" si="32"/>
        <v>276596.78999999963</v>
      </c>
      <c r="L289" s="5">
        <f t="shared" si="35"/>
        <v>43612.280538688014</v>
      </c>
      <c r="M289" s="9">
        <f t="shared" si="33"/>
        <v>0.14393491926959739</v>
      </c>
    </row>
    <row r="290" spans="1:13" x14ac:dyDescent="0.3">
      <c r="B290">
        <f t="shared" si="36"/>
        <v>279</v>
      </c>
      <c r="C290" s="8">
        <f t="shared" si="37"/>
        <v>51287</v>
      </c>
      <c r="D290" s="6">
        <v>1914</v>
      </c>
      <c r="F290" s="5">
        <f t="shared" si="39"/>
        <v>43612.280538688014</v>
      </c>
      <c r="G290" s="5">
        <f t="shared" si="34"/>
        <v>750.87278564825988</v>
      </c>
      <c r="H290" s="5">
        <f t="shared" si="38"/>
        <v>149.91721435174006</v>
      </c>
      <c r="I290" s="6">
        <v>1013.21</v>
      </c>
      <c r="J290" s="5">
        <f t="shared" si="32"/>
        <v>277609.99999999965</v>
      </c>
      <c r="L290" s="5">
        <f t="shared" si="35"/>
        <v>42861.407753039755</v>
      </c>
      <c r="M290" s="9">
        <f t="shared" si="33"/>
        <v>0.14145679126415761</v>
      </c>
    </row>
    <row r="291" spans="1:13" x14ac:dyDescent="0.3">
      <c r="B291">
        <f t="shared" si="36"/>
        <v>280</v>
      </c>
      <c r="C291" s="8">
        <f t="shared" si="37"/>
        <v>51317.5</v>
      </c>
      <c r="D291" s="6">
        <v>1914</v>
      </c>
      <c r="F291" s="5">
        <f t="shared" si="39"/>
        <v>42861.407753039755</v>
      </c>
      <c r="G291" s="5">
        <f t="shared" si="34"/>
        <v>753.45391084892572</v>
      </c>
      <c r="H291" s="5">
        <f t="shared" si="38"/>
        <v>147.33608915107416</v>
      </c>
      <c r="I291" s="6">
        <v>1013.21</v>
      </c>
      <c r="J291" s="5">
        <f t="shared" si="32"/>
        <v>278623.20999999967</v>
      </c>
      <c r="L291" s="5">
        <f t="shared" si="35"/>
        <v>42107.953842190829</v>
      </c>
      <c r="M291" s="9">
        <f t="shared" si="33"/>
        <v>0.13897014469369912</v>
      </c>
    </row>
    <row r="292" spans="1:13" x14ac:dyDescent="0.3">
      <c r="B292">
        <f t="shared" si="36"/>
        <v>281</v>
      </c>
      <c r="C292" s="8">
        <f t="shared" si="37"/>
        <v>51348</v>
      </c>
      <c r="D292" s="6">
        <v>1914</v>
      </c>
      <c r="F292" s="5">
        <f t="shared" si="39"/>
        <v>42107.953842190829</v>
      </c>
      <c r="G292" s="5">
        <f t="shared" si="34"/>
        <v>756.04390866746894</v>
      </c>
      <c r="H292" s="5">
        <f t="shared" si="38"/>
        <v>144.74609133253099</v>
      </c>
      <c r="I292" s="6">
        <v>1013.21</v>
      </c>
      <c r="J292" s="5">
        <f t="shared" si="32"/>
        <v>279636.41999999969</v>
      </c>
      <c r="L292" s="5">
        <f t="shared" si="35"/>
        <v>41351.909933523362</v>
      </c>
      <c r="M292" s="9">
        <f t="shared" si="33"/>
        <v>0.13647495027565465</v>
      </c>
    </row>
    <row r="293" spans="1:13" x14ac:dyDescent="0.3">
      <c r="B293">
        <f t="shared" si="36"/>
        <v>282</v>
      </c>
      <c r="C293" s="8">
        <f t="shared" si="37"/>
        <v>51378.5</v>
      </c>
      <c r="D293" s="6">
        <v>1914</v>
      </c>
      <c r="F293" s="5">
        <f t="shared" si="39"/>
        <v>41351.909933523362</v>
      </c>
      <c r="G293" s="5">
        <f t="shared" si="34"/>
        <v>758.64280960351334</v>
      </c>
      <c r="H293" s="5">
        <f t="shared" si="38"/>
        <v>142.14719039648656</v>
      </c>
      <c r="I293" s="6">
        <v>1013.21</v>
      </c>
      <c r="J293" s="5">
        <f t="shared" si="32"/>
        <v>280649.62999999971</v>
      </c>
      <c r="L293" s="5">
        <f t="shared" si="35"/>
        <v>40593.267123919846</v>
      </c>
      <c r="M293" s="9">
        <f t="shared" si="33"/>
        <v>0.13397117862679817</v>
      </c>
    </row>
    <row r="294" spans="1:13" x14ac:dyDescent="0.3">
      <c r="B294">
        <f t="shared" si="36"/>
        <v>283</v>
      </c>
      <c r="C294" s="8">
        <f t="shared" si="37"/>
        <v>51409</v>
      </c>
      <c r="D294" s="6">
        <v>1914</v>
      </c>
      <c r="F294" s="5">
        <f t="shared" si="39"/>
        <v>40593.267123919846</v>
      </c>
      <c r="G294" s="5">
        <f t="shared" si="34"/>
        <v>761.25064426152539</v>
      </c>
      <c r="H294" s="5">
        <f t="shared" si="38"/>
        <v>139.53935573847448</v>
      </c>
      <c r="I294" s="6">
        <v>1013.21</v>
      </c>
      <c r="J294" s="5">
        <f t="shared" si="32"/>
        <v>281662.83999999973</v>
      </c>
      <c r="L294" s="5">
        <f t="shared" si="35"/>
        <v>39832.016479658319</v>
      </c>
      <c r="M294" s="9">
        <f t="shared" si="33"/>
        <v>0.13145880026289875</v>
      </c>
    </row>
    <row r="295" spans="1:13" x14ac:dyDescent="0.3">
      <c r="B295">
        <f t="shared" si="36"/>
        <v>284</v>
      </c>
      <c r="C295" s="8">
        <f t="shared" si="37"/>
        <v>51439.5</v>
      </c>
      <c r="D295" s="6">
        <v>1914</v>
      </c>
      <c r="F295" s="5">
        <f t="shared" si="39"/>
        <v>39832.016479658319</v>
      </c>
      <c r="G295" s="5">
        <f t="shared" si="34"/>
        <v>763.86744335117442</v>
      </c>
      <c r="H295" s="5">
        <f t="shared" si="38"/>
        <v>136.92255664882546</v>
      </c>
      <c r="I295" s="6">
        <v>1013.21</v>
      </c>
      <c r="J295" s="5">
        <f t="shared" si="32"/>
        <v>282676.04999999976</v>
      </c>
      <c r="L295" s="5">
        <f t="shared" si="35"/>
        <v>39068.149036307143</v>
      </c>
      <c r="M295" s="9">
        <f t="shared" si="33"/>
        <v>0.12893778559837341</v>
      </c>
    </row>
    <row r="296" spans="1:13" x14ac:dyDescent="0.3">
      <c r="B296">
        <f t="shared" si="36"/>
        <v>285</v>
      </c>
      <c r="C296" s="8">
        <f t="shared" si="37"/>
        <v>51470</v>
      </c>
      <c r="D296" s="6">
        <v>1914</v>
      </c>
      <c r="F296" s="5">
        <f t="shared" si="39"/>
        <v>39068.149036307143</v>
      </c>
      <c r="G296" s="5">
        <f t="shared" si="34"/>
        <v>766.49323768769409</v>
      </c>
      <c r="H296" s="5">
        <f t="shared" si="38"/>
        <v>134.29676231230582</v>
      </c>
      <c r="I296" s="6">
        <v>1013.21</v>
      </c>
      <c r="J296" s="5">
        <f t="shared" si="32"/>
        <v>283689.25999999978</v>
      </c>
      <c r="L296" s="5">
        <f t="shared" si="35"/>
        <v>38301.655798619446</v>
      </c>
      <c r="M296" s="9">
        <f t="shared" si="33"/>
        <v>0.12640810494593877</v>
      </c>
    </row>
    <row r="297" spans="1:13" x14ac:dyDescent="0.3">
      <c r="B297">
        <f t="shared" si="36"/>
        <v>286</v>
      </c>
      <c r="C297" s="8">
        <f t="shared" si="37"/>
        <v>51500.5</v>
      </c>
      <c r="D297" s="6">
        <v>1914</v>
      </c>
      <c r="F297" s="5">
        <f t="shared" si="39"/>
        <v>38301.655798619446</v>
      </c>
      <c r="G297" s="5">
        <f t="shared" si="34"/>
        <v>769.12805819224559</v>
      </c>
      <c r="H297" s="5">
        <f t="shared" si="38"/>
        <v>131.66194180775435</v>
      </c>
      <c r="I297" s="6">
        <v>1013.21</v>
      </c>
      <c r="J297" s="5">
        <f t="shared" si="32"/>
        <v>284702.4699999998</v>
      </c>
      <c r="L297" s="5">
        <f t="shared" si="35"/>
        <v>37532.527740427198</v>
      </c>
      <c r="M297" s="9">
        <f t="shared" si="33"/>
        <v>0.12386972851626138</v>
      </c>
    </row>
    <row r="298" spans="1:13" x14ac:dyDescent="0.3">
      <c r="B298">
        <f t="shared" si="36"/>
        <v>287</v>
      </c>
      <c r="C298" s="8">
        <f t="shared" si="37"/>
        <v>51531</v>
      </c>
      <c r="D298" s="6">
        <v>1914</v>
      </c>
      <c r="F298" s="5">
        <f t="shared" si="39"/>
        <v>37532.527740427198</v>
      </c>
      <c r="G298" s="5">
        <f t="shared" si="34"/>
        <v>771.77193589228136</v>
      </c>
      <c r="H298" s="5">
        <f t="shared" si="38"/>
        <v>129.01806410771852</v>
      </c>
      <c r="I298" s="6">
        <v>1013.21</v>
      </c>
      <c r="J298" s="5">
        <f t="shared" si="32"/>
        <v>285715.67999999982</v>
      </c>
      <c r="L298" s="5">
        <f t="shared" si="35"/>
        <v>36760.755804534914</v>
      </c>
      <c r="M298" s="9">
        <f t="shared" si="33"/>
        <v>0.12132262641760698</v>
      </c>
    </row>
    <row r="299" spans="1:13" x14ac:dyDescent="0.3">
      <c r="A299">
        <v>25</v>
      </c>
      <c r="B299">
        <f t="shared" si="36"/>
        <v>288</v>
      </c>
      <c r="C299" s="8">
        <f t="shared" si="37"/>
        <v>51561.5</v>
      </c>
      <c r="D299" s="6">
        <v>1914</v>
      </c>
      <c r="F299" s="5">
        <f t="shared" si="39"/>
        <v>36760.755804534914</v>
      </c>
      <c r="G299" s="5">
        <f t="shared" si="34"/>
        <v>774.42490192191121</v>
      </c>
      <c r="H299" s="5">
        <f t="shared" si="38"/>
        <v>126.36509807808876</v>
      </c>
      <c r="I299" s="6">
        <v>1013.21</v>
      </c>
      <c r="J299" s="5">
        <f t="shared" si="32"/>
        <v>286728.88999999984</v>
      </c>
      <c r="L299" s="5">
        <f t="shared" si="35"/>
        <v>35986.330902613001</v>
      </c>
      <c r="M299" s="9">
        <f t="shared" si="33"/>
        <v>0.11876676865548845</v>
      </c>
    </row>
    <row r="300" spans="1:13" x14ac:dyDescent="0.3">
      <c r="B300">
        <f t="shared" si="36"/>
        <v>289</v>
      </c>
      <c r="C300" s="8">
        <f t="shared" si="37"/>
        <v>51592</v>
      </c>
      <c r="D300" s="6">
        <v>1914</v>
      </c>
      <c r="F300" s="5">
        <f t="shared" si="39"/>
        <v>35986.330902613001</v>
      </c>
      <c r="G300" s="5">
        <f t="shared" si="34"/>
        <v>777.08698752226769</v>
      </c>
      <c r="H300" s="5">
        <f t="shared" si="38"/>
        <v>123.7030124777322</v>
      </c>
      <c r="I300" s="6">
        <v>1013.21</v>
      </c>
      <c r="J300" s="5">
        <f t="shared" si="32"/>
        <v>287742.09999999986</v>
      </c>
      <c r="L300" s="5">
        <f t="shared" si="35"/>
        <v>35209.24391509073</v>
      </c>
      <c r="M300" s="9">
        <f t="shared" si="33"/>
        <v>0.11620212513231264</v>
      </c>
    </row>
    <row r="301" spans="1:13" x14ac:dyDescent="0.3">
      <c r="B301">
        <f t="shared" si="36"/>
        <v>290</v>
      </c>
      <c r="C301" s="8">
        <f t="shared" si="37"/>
        <v>51622.5</v>
      </c>
      <c r="D301" s="6">
        <v>1914</v>
      </c>
      <c r="F301" s="5">
        <f t="shared" si="39"/>
        <v>35209.24391509073</v>
      </c>
      <c r="G301" s="5">
        <f t="shared" si="34"/>
        <v>779.75822404187556</v>
      </c>
      <c r="H301" s="5">
        <f t="shared" si="38"/>
        <v>121.0317759581244</v>
      </c>
      <c r="I301" s="6">
        <v>1013.21</v>
      </c>
      <c r="J301" s="5">
        <f t="shared" si="32"/>
        <v>288755.30999999988</v>
      </c>
      <c r="L301" s="5">
        <f t="shared" si="35"/>
        <v>34429.485691048852</v>
      </c>
      <c r="M301" s="9">
        <f t="shared" si="33"/>
        <v>0.11362866564702592</v>
      </c>
    </row>
    <row r="302" spans="1:13" x14ac:dyDescent="0.3">
      <c r="B302">
        <f t="shared" si="36"/>
        <v>291</v>
      </c>
      <c r="C302" s="8">
        <f t="shared" si="37"/>
        <v>51653</v>
      </c>
      <c r="D302" s="6">
        <v>1914</v>
      </c>
      <c r="F302" s="5">
        <f t="shared" si="39"/>
        <v>34429.485691048852</v>
      </c>
      <c r="G302" s="5">
        <f t="shared" si="34"/>
        <v>782.43864293701949</v>
      </c>
      <c r="H302" s="5">
        <f t="shared" si="38"/>
        <v>118.35135706298043</v>
      </c>
      <c r="I302" s="6">
        <v>1013.21</v>
      </c>
      <c r="J302" s="5">
        <f t="shared" si="32"/>
        <v>289768.5199999999</v>
      </c>
      <c r="L302" s="5">
        <f t="shared" si="35"/>
        <v>33647.047048111832</v>
      </c>
      <c r="M302" s="9">
        <f t="shared" si="33"/>
        <v>0.11104635989475851</v>
      </c>
    </row>
    <row r="303" spans="1:13" x14ac:dyDescent="0.3">
      <c r="B303">
        <f t="shared" si="36"/>
        <v>292</v>
      </c>
      <c r="C303" s="8">
        <f t="shared" si="37"/>
        <v>51683.5</v>
      </c>
      <c r="D303" s="6">
        <v>1914</v>
      </c>
      <c r="F303" s="5">
        <f t="shared" si="39"/>
        <v>33647.047048111832</v>
      </c>
      <c r="G303" s="5">
        <f t="shared" si="34"/>
        <v>785.12827577211556</v>
      </c>
      <c r="H303" s="5">
        <f t="shared" si="38"/>
        <v>115.66172422788442</v>
      </c>
      <c r="I303" s="6">
        <v>1013.21</v>
      </c>
      <c r="J303" s="5">
        <f t="shared" si="32"/>
        <v>290781.72999999992</v>
      </c>
      <c r="L303" s="5">
        <f t="shared" si="35"/>
        <v>32861.918772339719</v>
      </c>
      <c r="M303" s="9">
        <f t="shared" si="33"/>
        <v>0.10845517746646773</v>
      </c>
    </row>
    <row r="304" spans="1:13" x14ac:dyDescent="0.3">
      <c r="B304">
        <f t="shared" si="36"/>
        <v>293</v>
      </c>
      <c r="C304" s="8">
        <f t="shared" si="37"/>
        <v>51714</v>
      </c>
      <c r="D304" s="6">
        <v>1914</v>
      </c>
      <c r="F304" s="5">
        <f t="shared" si="39"/>
        <v>32861.918772339719</v>
      </c>
      <c r="G304" s="5">
        <f t="shared" si="34"/>
        <v>787.82715422008209</v>
      </c>
      <c r="H304" s="5">
        <f t="shared" si="38"/>
        <v>112.9628457799178</v>
      </c>
      <c r="I304" s="6">
        <v>1013.21</v>
      </c>
      <c r="J304" s="5">
        <f t="shared" si="32"/>
        <v>291794.93999999994</v>
      </c>
      <c r="L304" s="5">
        <f t="shared" si="35"/>
        <v>32074.091618119637</v>
      </c>
      <c r="M304" s="9">
        <f t="shared" si="33"/>
        <v>0.10585508784857967</v>
      </c>
    </row>
    <row r="305" spans="1:13" x14ac:dyDescent="0.3">
      <c r="B305">
        <f t="shared" si="36"/>
        <v>294</v>
      </c>
      <c r="C305" s="8">
        <f t="shared" si="37"/>
        <v>51744.5</v>
      </c>
      <c r="D305" s="6">
        <v>1914</v>
      </c>
      <c r="F305" s="5">
        <f t="shared" si="39"/>
        <v>32074.091618119637</v>
      </c>
      <c r="G305" s="5">
        <f t="shared" si="34"/>
        <v>790.53531006271373</v>
      </c>
      <c r="H305" s="5">
        <f t="shared" si="38"/>
        <v>110.25468993728624</v>
      </c>
      <c r="I305" s="6">
        <v>1013.21</v>
      </c>
      <c r="J305" s="5">
        <f t="shared" si="32"/>
        <v>292808.14999999997</v>
      </c>
      <c r="L305" s="5">
        <f t="shared" si="35"/>
        <v>31283.556308056926</v>
      </c>
      <c r="M305" s="9">
        <f t="shared" si="33"/>
        <v>0.10324606042263013</v>
      </c>
    </row>
    <row r="306" spans="1:13" x14ac:dyDescent="0.3">
      <c r="B306">
        <f t="shared" si="36"/>
        <v>295</v>
      </c>
      <c r="C306" s="8">
        <f t="shared" si="37"/>
        <v>51775</v>
      </c>
      <c r="D306" s="6">
        <v>1914</v>
      </c>
      <c r="F306" s="5">
        <f t="shared" si="39"/>
        <v>31283.556308056926</v>
      </c>
      <c r="G306" s="5">
        <f t="shared" si="34"/>
        <v>793.2527751910543</v>
      </c>
      <c r="H306" s="5">
        <f t="shared" si="38"/>
        <v>107.53722480894568</v>
      </c>
      <c r="I306" s="6">
        <v>1013.21</v>
      </c>
      <c r="J306" s="5">
        <f t="shared" si="32"/>
        <v>293821.36</v>
      </c>
      <c r="L306" s="5">
        <f t="shared" si="35"/>
        <v>30490.30353286587</v>
      </c>
      <c r="M306" s="9">
        <f t="shared" si="33"/>
        <v>0.10062806446490385</v>
      </c>
    </row>
    <row r="307" spans="1:13" x14ac:dyDescent="0.3">
      <c r="B307">
        <f t="shared" si="36"/>
        <v>296</v>
      </c>
      <c r="C307" s="8">
        <f t="shared" si="37"/>
        <v>51805.5</v>
      </c>
      <c r="D307" s="6">
        <v>1914</v>
      </c>
      <c r="F307" s="5">
        <f t="shared" si="39"/>
        <v>30490.30353286587</v>
      </c>
      <c r="G307" s="5">
        <f t="shared" si="34"/>
        <v>795.97958160577355</v>
      </c>
      <c r="H307" s="5">
        <f t="shared" si="38"/>
        <v>104.81041839422643</v>
      </c>
      <c r="I307" s="6">
        <v>1013.21</v>
      </c>
      <c r="J307" s="5">
        <f t="shared" si="32"/>
        <v>294834.57</v>
      </c>
      <c r="L307" s="5">
        <f t="shared" si="35"/>
        <v>29694.323951260096</v>
      </c>
      <c r="M307" s="9">
        <f t="shared" si="33"/>
        <v>9.8001069146072928E-2</v>
      </c>
    </row>
    <row r="308" spans="1:13" x14ac:dyDescent="0.3">
      <c r="B308">
        <f t="shared" si="36"/>
        <v>297</v>
      </c>
      <c r="C308" s="8">
        <f t="shared" si="37"/>
        <v>51836</v>
      </c>
      <c r="D308" s="6">
        <v>1914</v>
      </c>
      <c r="F308" s="5">
        <f t="shared" si="39"/>
        <v>29694.323951260096</v>
      </c>
      <c r="G308" s="5">
        <f t="shared" si="34"/>
        <v>798.71576141754349</v>
      </c>
      <c r="H308" s="5">
        <f t="shared" si="38"/>
        <v>102.07423858245659</v>
      </c>
      <c r="I308" s="6">
        <v>1013.21</v>
      </c>
      <c r="J308" s="5">
        <f t="shared" ref="J308:J371" si="40">J307+I308-K308-N308</f>
        <v>295847.78000000003</v>
      </c>
      <c r="L308" s="5">
        <f t="shared" si="35"/>
        <v>28895.608189842551</v>
      </c>
      <c r="M308" s="9">
        <f t="shared" si="33"/>
        <v>9.5365043530833499E-2</v>
      </c>
    </row>
    <row r="309" spans="1:13" x14ac:dyDescent="0.3">
      <c r="B309">
        <f t="shared" si="36"/>
        <v>298</v>
      </c>
      <c r="C309" s="8">
        <f t="shared" si="37"/>
        <v>51866.5</v>
      </c>
      <c r="D309" s="6">
        <v>1914</v>
      </c>
      <c r="F309" s="5">
        <f t="shared" si="39"/>
        <v>28895.608189842551</v>
      </c>
      <c r="G309" s="5">
        <f t="shared" si="34"/>
        <v>801.46134684741628</v>
      </c>
      <c r="H309" s="5">
        <f t="shared" si="38"/>
        <v>99.328653152583783</v>
      </c>
      <c r="I309" s="6">
        <v>1013.21</v>
      </c>
      <c r="J309" s="5">
        <f t="shared" si="40"/>
        <v>296860.99000000005</v>
      </c>
      <c r="L309" s="5">
        <f t="shared" si="35"/>
        <v>28094.146842995135</v>
      </c>
      <c r="M309" s="9">
        <f t="shared" si="33"/>
        <v>9.2719956577541701E-2</v>
      </c>
    </row>
    <row r="310" spans="1:13" x14ac:dyDescent="0.3">
      <c r="B310">
        <f t="shared" si="36"/>
        <v>299</v>
      </c>
      <c r="C310" s="8">
        <f t="shared" si="37"/>
        <v>51897</v>
      </c>
      <c r="D310" s="6">
        <v>1914</v>
      </c>
      <c r="F310" s="5">
        <f t="shared" si="39"/>
        <v>28094.146842995135</v>
      </c>
      <c r="G310" s="5">
        <f t="shared" si="34"/>
        <v>804.21637022720415</v>
      </c>
      <c r="H310" s="5">
        <f t="shared" si="38"/>
        <v>96.573629772795769</v>
      </c>
      <c r="I310" s="6">
        <v>1013.21</v>
      </c>
      <c r="J310" s="5">
        <f t="shared" si="40"/>
        <v>297874.20000000007</v>
      </c>
      <c r="L310" s="5">
        <f t="shared" si="35"/>
        <v>27289.93047276793</v>
      </c>
      <c r="M310" s="9">
        <f t="shared" si="33"/>
        <v>9.0065777137847955E-2</v>
      </c>
    </row>
    <row r="311" spans="1:13" x14ac:dyDescent="0.3">
      <c r="A311">
        <v>26</v>
      </c>
      <c r="B311">
        <f t="shared" si="36"/>
        <v>300</v>
      </c>
      <c r="C311" s="8">
        <f t="shared" si="37"/>
        <v>51927.5</v>
      </c>
      <c r="D311" s="6">
        <v>1914</v>
      </c>
      <c r="F311" s="5">
        <f t="shared" si="39"/>
        <v>27289.93047276793</v>
      </c>
      <c r="G311" s="5">
        <f t="shared" si="34"/>
        <v>806.98086399986028</v>
      </c>
      <c r="H311" s="5">
        <f t="shared" si="38"/>
        <v>93.809136000139759</v>
      </c>
      <c r="I311" s="6">
        <v>1013.21</v>
      </c>
      <c r="J311" s="5">
        <f t="shared" si="40"/>
        <v>298887.41000000009</v>
      </c>
      <c r="L311" s="5">
        <f t="shared" si="35"/>
        <v>26482.949608768067</v>
      </c>
      <c r="M311" s="9">
        <f t="shared" si="33"/>
        <v>8.7402473956330259E-2</v>
      </c>
    </row>
    <row r="312" spans="1:13" x14ac:dyDescent="0.3">
      <c r="B312">
        <f t="shared" si="36"/>
        <v>301</v>
      </c>
      <c r="C312" s="8">
        <f t="shared" si="37"/>
        <v>51958</v>
      </c>
      <c r="D312" s="6">
        <v>1914</v>
      </c>
      <c r="F312" s="5">
        <f t="shared" si="39"/>
        <v>26482.949608768067</v>
      </c>
      <c r="G312" s="5">
        <f t="shared" si="34"/>
        <v>809.75486071985961</v>
      </c>
      <c r="H312" s="5">
        <f t="shared" si="38"/>
        <v>91.035139280140243</v>
      </c>
      <c r="I312" s="6">
        <v>1013.21</v>
      </c>
      <c r="J312" s="5">
        <f t="shared" si="40"/>
        <v>299900.62000000011</v>
      </c>
      <c r="L312" s="5">
        <f t="shared" si="35"/>
        <v>25673.194748048205</v>
      </c>
      <c r="M312" s="9">
        <f t="shared" si="33"/>
        <v>8.4730015670126085E-2</v>
      </c>
    </row>
    <row r="313" spans="1:13" x14ac:dyDescent="0.3">
      <c r="B313">
        <f t="shared" si="36"/>
        <v>302</v>
      </c>
      <c r="C313" s="8">
        <f t="shared" si="37"/>
        <v>51988.5</v>
      </c>
      <c r="D313" s="6">
        <v>1914</v>
      </c>
      <c r="F313" s="5">
        <f t="shared" si="39"/>
        <v>25673.194748048205</v>
      </c>
      <c r="G313" s="5">
        <f t="shared" si="34"/>
        <v>812.53839305358429</v>
      </c>
      <c r="H313" s="5">
        <f t="shared" si="38"/>
        <v>88.25160694641572</v>
      </c>
      <c r="I313" s="6">
        <v>1013.21</v>
      </c>
      <c r="J313" s="5">
        <f t="shared" si="40"/>
        <v>300913.83000000013</v>
      </c>
      <c r="L313" s="5">
        <f t="shared" si="35"/>
        <v>24860.656354994619</v>
      </c>
      <c r="M313" s="9">
        <f t="shared" si="33"/>
        <v>8.2048370808563101E-2</v>
      </c>
    </row>
    <row r="314" spans="1:13" x14ac:dyDescent="0.3">
      <c r="B314">
        <f t="shared" si="36"/>
        <v>303</v>
      </c>
      <c r="C314" s="8">
        <f t="shared" si="37"/>
        <v>52019</v>
      </c>
      <c r="D314" s="6">
        <v>1914</v>
      </c>
      <c r="F314" s="5">
        <f t="shared" si="39"/>
        <v>24860.656354994619</v>
      </c>
      <c r="G314" s="5">
        <f t="shared" si="34"/>
        <v>815.33149377970585</v>
      </c>
      <c r="H314" s="5">
        <f t="shared" si="38"/>
        <v>85.458506220293998</v>
      </c>
      <c r="I314" s="6">
        <v>1013.21</v>
      </c>
      <c r="J314" s="5">
        <f t="shared" si="40"/>
        <v>301927.04000000015</v>
      </c>
      <c r="L314" s="5">
        <f t="shared" si="35"/>
        <v>24045.324861214911</v>
      </c>
      <c r="M314" s="9">
        <f t="shared" si="33"/>
        <v>7.9357507792788481E-2</v>
      </c>
    </row>
    <row r="315" spans="1:13" x14ac:dyDescent="0.3">
      <c r="B315">
        <f t="shared" si="36"/>
        <v>304</v>
      </c>
      <c r="C315" s="8">
        <f t="shared" si="37"/>
        <v>52049.5</v>
      </c>
      <c r="D315" s="6">
        <v>1914</v>
      </c>
      <c r="F315" s="5">
        <f t="shared" si="39"/>
        <v>24045.324861214911</v>
      </c>
      <c r="G315" s="5">
        <f t="shared" si="34"/>
        <v>818.1341957895736</v>
      </c>
      <c r="H315" s="5">
        <f t="shared" si="38"/>
        <v>82.655804210426268</v>
      </c>
      <c r="I315" s="6">
        <v>1013.21</v>
      </c>
      <c r="J315" s="5">
        <f t="shared" si="40"/>
        <v>302940.25000000017</v>
      </c>
      <c r="L315" s="5">
        <f t="shared" si="35"/>
        <v>23227.190665425336</v>
      </c>
      <c r="M315" s="9">
        <f t="shared" si="33"/>
        <v>7.6657394935397152E-2</v>
      </c>
    </row>
    <row r="316" spans="1:13" x14ac:dyDescent="0.3">
      <c r="B316">
        <f t="shared" si="36"/>
        <v>305</v>
      </c>
      <c r="C316" s="8">
        <f t="shared" si="37"/>
        <v>52080</v>
      </c>
      <c r="D316" s="6">
        <v>1914</v>
      </c>
      <c r="F316" s="5">
        <f t="shared" si="39"/>
        <v>23227.190665425336</v>
      </c>
      <c r="G316" s="5">
        <f t="shared" si="34"/>
        <v>820.94653208760042</v>
      </c>
      <c r="H316" s="5">
        <f t="shared" si="38"/>
        <v>79.843467912399589</v>
      </c>
      <c r="I316" s="6">
        <v>1013.21</v>
      </c>
      <c r="J316" s="5">
        <f t="shared" si="40"/>
        <v>303953.4600000002</v>
      </c>
      <c r="L316" s="5">
        <f t="shared" si="35"/>
        <v>22406.244133337736</v>
      </c>
      <c r="M316" s="9">
        <f t="shared" si="33"/>
        <v>7.3948000440058531E-2</v>
      </c>
    </row>
    <row r="317" spans="1:13" x14ac:dyDescent="0.3">
      <c r="B317">
        <f t="shared" si="36"/>
        <v>306</v>
      </c>
      <c r="C317" s="8">
        <f t="shared" si="37"/>
        <v>52110.5</v>
      </c>
      <c r="D317" s="6">
        <v>1914</v>
      </c>
      <c r="F317" s="5">
        <f t="shared" si="39"/>
        <v>22406.244133337736</v>
      </c>
      <c r="G317" s="5">
        <f t="shared" si="34"/>
        <v>823.7685357916514</v>
      </c>
      <c r="H317" s="5">
        <f t="shared" si="38"/>
        <v>77.021464208348462</v>
      </c>
      <c r="I317" s="6">
        <v>1013.21</v>
      </c>
      <c r="J317" s="5">
        <f t="shared" si="40"/>
        <v>304966.67000000022</v>
      </c>
      <c r="L317" s="5">
        <f t="shared" si="35"/>
        <v>21582.475597546083</v>
      </c>
      <c r="M317" s="9">
        <f t="shared" si="33"/>
        <v>7.1229292401142189E-2</v>
      </c>
    </row>
    <row r="318" spans="1:13" x14ac:dyDescent="0.3">
      <c r="B318">
        <f t="shared" si="36"/>
        <v>307</v>
      </c>
      <c r="C318" s="8">
        <f t="shared" si="37"/>
        <v>52141</v>
      </c>
      <c r="D318" s="6">
        <v>1914</v>
      </c>
      <c r="F318" s="5">
        <f t="shared" si="39"/>
        <v>21582.475597546083</v>
      </c>
      <c r="G318" s="5">
        <f t="shared" si="34"/>
        <v>826.60024013343536</v>
      </c>
      <c r="H318" s="5">
        <f t="shared" si="38"/>
        <v>74.189759866564671</v>
      </c>
      <c r="I318" s="6">
        <v>1013.21</v>
      </c>
      <c r="J318" s="5">
        <f t="shared" si="40"/>
        <v>305979.88000000024</v>
      </c>
      <c r="L318" s="5">
        <f t="shared" si="35"/>
        <v>20755.875357412646</v>
      </c>
      <c r="M318" s="9">
        <f t="shared" si="33"/>
        <v>6.8501238803342065E-2</v>
      </c>
    </row>
    <row r="319" spans="1:13" x14ac:dyDescent="0.3">
      <c r="B319">
        <f t="shared" si="36"/>
        <v>308</v>
      </c>
      <c r="C319" s="8">
        <f t="shared" si="37"/>
        <v>52171.5</v>
      </c>
      <c r="D319" s="6">
        <v>1914</v>
      </c>
      <c r="F319" s="5">
        <f t="shared" si="39"/>
        <v>20755.875357412646</v>
      </c>
      <c r="G319" s="5">
        <f t="shared" si="34"/>
        <v>829.44167845889388</v>
      </c>
      <c r="H319" s="5">
        <f t="shared" si="38"/>
        <v>71.348321541105975</v>
      </c>
      <c r="I319" s="6">
        <v>1013.21</v>
      </c>
      <c r="J319" s="5">
        <f t="shared" si="40"/>
        <v>306993.09000000026</v>
      </c>
      <c r="L319" s="5">
        <f t="shared" si="35"/>
        <v>19926.433678953752</v>
      </c>
      <c r="M319" s="9">
        <f t="shared" si="33"/>
        <v>6.5763807521299511E-2</v>
      </c>
    </row>
    <row r="320" spans="1:13" x14ac:dyDescent="0.3">
      <c r="B320">
        <f t="shared" si="36"/>
        <v>309</v>
      </c>
      <c r="C320" s="8">
        <f t="shared" si="37"/>
        <v>52202</v>
      </c>
      <c r="D320" s="6">
        <v>1914</v>
      </c>
      <c r="F320" s="5">
        <f t="shared" si="39"/>
        <v>19926.433678953752</v>
      </c>
      <c r="G320" s="5">
        <f t="shared" si="34"/>
        <v>832.29288422859645</v>
      </c>
      <c r="H320" s="5">
        <f t="shared" si="38"/>
        <v>68.497115771403529</v>
      </c>
      <c r="I320" s="6">
        <v>1013.21</v>
      </c>
      <c r="J320" s="5">
        <f t="shared" si="40"/>
        <v>308006.30000000028</v>
      </c>
      <c r="L320" s="5">
        <f t="shared" si="35"/>
        <v>19094.140794725154</v>
      </c>
      <c r="M320" s="9">
        <f t="shared" si="33"/>
        <v>6.3016966319224932E-2</v>
      </c>
    </row>
    <row r="321" spans="1:13" x14ac:dyDescent="0.3">
      <c r="B321">
        <f t="shared" si="36"/>
        <v>310</v>
      </c>
      <c r="C321" s="8">
        <f t="shared" si="37"/>
        <v>52232.5</v>
      </c>
      <c r="D321" s="6">
        <v>1914</v>
      </c>
      <c r="F321" s="5">
        <f t="shared" si="39"/>
        <v>19094.140794725154</v>
      </c>
      <c r="G321" s="5">
        <f t="shared" si="34"/>
        <v>835.1538910181323</v>
      </c>
      <c r="H321" s="5">
        <f t="shared" si="38"/>
        <v>65.636108981867721</v>
      </c>
      <c r="I321" s="6">
        <v>1013.21</v>
      </c>
      <c r="J321" s="5">
        <f t="shared" si="40"/>
        <v>309019.5100000003</v>
      </c>
      <c r="L321" s="5">
        <f t="shared" si="35"/>
        <v>18258.98690370702</v>
      </c>
      <c r="M321" s="9">
        <f t="shared" si="33"/>
        <v>6.0260682850518221E-2</v>
      </c>
    </row>
    <row r="322" spans="1:13" x14ac:dyDescent="0.3">
      <c r="B322">
        <f t="shared" si="36"/>
        <v>311</v>
      </c>
      <c r="C322" s="8">
        <f t="shared" si="37"/>
        <v>52263</v>
      </c>
      <c r="D322" s="6">
        <v>1914</v>
      </c>
      <c r="F322" s="5">
        <f t="shared" si="39"/>
        <v>18258.98690370702</v>
      </c>
      <c r="G322" s="5">
        <f t="shared" si="34"/>
        <v>838.02473251850711</v>
      </c>
      <c r="H322" s="5">
        <f t="shared" si="38"/>
        <v>62.765267481492884</v>
      </c>
      <c r="I322" s="6">
        <v>1013.21</v>
      </c>
      <c r="J322" s="5">
        <f t="shared" si="40"/>
        <v>310032.72000000032</v>
      </c>
      <c r="L322" s="5">
        <f t="shared" si="35"/>
        <v>17420.962171188512</v>
      </c>
      <c r="M322" s="9">
        <f t="shared" si="33"/>
        <v>5.7494924657387828E-2</v>
      </c>
    </row>
    <row r="323" spans="1:13" x14ac:dyDescent="0.3">
      <c r="A323">
        <v>27</v>
      </c>
      <c r="B323">
        <f t="shared" si="36"/>
        <v>312</v>
      </c>
      <c r="C323" s="8">
        <f t="shared" si="37"/>
        <v>52293.5</v>
      </c>
      <c r="D323" s="6">
        <v>1914</v>
      </c>
      <c r="F323" s="5">
        <f t="shared" si="39"/>
        <v>17420.962171188512</v>
      </c>
      <c r="G323" s="5">
        <f t="shared" si="34"/>
        <v>840.90544253653934</v>
      </c>
      <c r="H323" s="5">
        <f t="shared" si="38"/>
        <v>59.88455746346051</v>
      </c>
      <c r="I323" s="6">
        <v>1013.21</v>
      </c>
      <c r="J323" s="5">
        <f t="shared" si="40"/>
        <v>311045.93000000034</v>
      </c>
      <c r="L323" s="5">
        <f t="shared" si="35"/>
        <v>16580.056728651973</v>
      </c>
      <c r="M323" s="9">
        <f t="shared" si="33"/>
        <v>5.471965917046856E-2</v>
      </c>
    </row>
    <row r="324" spans="1:13" x14ac:dyDescent="0.3">
      <c r="B324">
        <f t="shared" si="36"/>
        <v>313</v>
      </c>
      <c r="C324" s="8">
        <f t="shared" si="37"/>
        <v>52324</v>
      </c>
      <c r="D324" s="6">
        <v>1914</v>
      </c>
      <c r="F324" s="5">
        <f t="shared" si="39"/>
        <v>16580.056728651973</v>
      </c>
      <c r="G324" s="5">
        <f t="shared" si="34"/>
        <v>843.79605499525883</v>
      </c>
      <c r="H324" s="5">
        <f t="shared" si="38"/>
        <v>56.993945004741157</v>
      </c>
      <c r="I324" s="6">
        <v>1013.21</v>
      </c>
      <c r="J324" s="5">
        <f t="shared" si="40"/>
        <v>312059.14000000036</v>
      </c>
      <c r="L324" s="5">
        <f t="shared" si="35"/>
        <v>15736.260673656714</v>
      </c>
      <c r="M324" s="9">
        <f t="shared" si="33"/>
        <v>5.1934853708437999E-2</v>
      </c>
    </row>
    <row r="325" spans="1:13" x14ac:dyDescent="0.3">
      <c r="B325">
        <f t="shared" si="36"/>
        <v>314</v>
      </c>
      <c r="C325" s="8">
        <f t="shared" si="37"/>
        <v>52354.5</v>
      </c>
      <c r="D325" s="6">
        <v>1914</v>
      </c>
      <c r="F325" s="5">
        <f t="shared" si="39"/>
        <v>15736.260673656714</v>
      </c>
      <c r="G325" s="5">
        <f t="shared" si="34"/>
        <v>846.6966039343049</v>
      </c>
      <c r="H325" s="5">
        <f t="shared" si="38"/>
        <v>54.093396065694954</v>
      </c>
      <c r="I325" s="6">
        <v>1013.21</v>
      </c>
      <c r="J325" s="5">
        <f t="shared" si="40"/>
        <v>313072.35000000038</v>
      </c>
      <c r="L325" s="5">
        <f t="shared" si="35"/>
        <v>14889.564069722408</v>
      </c>
      <c r="M325" s="9">
        <f t="shared" si="33"/>
        <v>4.9140475477631708E-2</v>
      </c>
    </row>
    <row r="326" spans="1:13" x14ac:dyDescent="0.3">
      <c r="B326">
        <f t="shared" si="36"/>
        <v>315</v>
      </c>
      <c r="C326" s="8">
        <f t="shared" si="37"/>
        <v>52385</v>
      </c>
      <c r="D326" s="6">
        <v>1914</v>
      </c>
      <c r="F326" s="5">
        <f t="shared" si="39"/>
        <v>14889.564069722408</v>
      </c>
      <c r="G326" s="5">
        <f t="shared" si="34"/>
        <v>849.60712351032907</v>
      </c>
      <c r="H326" s="5">
        <f t="shared" si="38"/>
        <v>51.182876489670775</v>
      </c>
      <c r="I326" s="6">
        <v>1013.21</v>
      </c>
      <c r="J326" s="5">
        <f t="shared" si="40"/>
        <v>314085.56000000041</v>
      </c>
      <c r="L326" s="5">
        <f t="shared" si="35"/>
        <v>14039.956946212078</v>
      </c>
      <c r="M326" s="9">
        <f t="shared" si="33"/>
        <v>4.6336491571657021E-2</v>
      </c>
    </row>
    <row r="327" spans="1:13" x14ac:dyDescent="0.3">
      <c r="B327">
        <f t="shared" si="36"/>
        <v>316</v>
      </c>
      <c r="C327" s="8">
        <f t="shared" si="37"/>
        <v>52415.5</v>
      </c>
      <c r="D327" s="6">
        <v>1914</v>
      </c>
      <c r="F327" s="5">
        <f t="shared" si="39"/>
        <v>14039.956946212078</v>
      </c>
      <c r="G327" s="5">
        <f t="shared" si="34"/>
        <v>852.52764799739589</v>
      </c>
      <c r="H327" s="5">
        <f t="shared" si="38"/>
        <v>48.262352002604018</v>
      </c>
      <c r="I327" s="6">
        <v>1013.21</v>
      </c>
      <c r="J327" s="5">
        <f t="shared" si="40"/>
        <v>315098.77000000043</v>
      </c>
      <c r="L327" s="5">
        <f t="shared" si="35"/>
        <v>13187.429298214684</v>
      </c>
      <c r="M327" s="9">
        <f t="shared" si="33"/>
        <v>4.3522868971005553E-2</v>
      </c>
    </row>
    <row r="328" spans="1:13" x14ac:dyDescent="0.3">
      <c r="B328">
        <f t="shared" si="36"/>
        <v>317</v>
      </c>
      <c r="C328" s="8">
        <f t="shared" si="37"/>
        <v>52446</v>
      </c>
      <c r="D328" s="6">
        <v>1914</v>
      </c>
      <c r="F328" s="5">
        <f t="shared" si="39"/>
        <v>13187.429298214684</v>
      </c>
      <c r="G328" s="5">
        <f t="shared" si="34"/>
        <v>855.45821178738697</v>
      </c>
      <c r="H328" s="5">
        <f t="shared" si="38"/>
        <v>45.33178821261297</v>
      </c>
      <c r="I328" s="6">
        <v>1013.21</v>
      </c>
      <c r="J328" s="5">
        <f t="shared" si="40"/>
        <v>316111.98000000045</v>
      </c>
      <c r="L328" s="5">
        <f t="shared" si="35"/>
        <v>12331.971086427297</v>
      </c>
      <c r="M328" s="9">
        <f t="shared" si="33"/>
        <v>4.0699574542664346E-2</v>
      </c>
    </row>
    <row r="329" spans="1:13" x14ac:dyDescent="0.3">
      <c r="B329">
        <f t="shared" si="36"/>
        <v>318</v>
      </c>
      <c r="C329" s="8">
        <f t="shared" si="37"/>
        <v>52476.5</v>
      </c>
      <c r="D329" s="6">
        <v>1914</v>
      </c>
      <c r="F329" s="5">
        <f t="shared" si="39"/>
        <v>12331.971086427297</v>
      </c>
      <c r="G329" s="5">
        <f t="shared" si="34"/>
        <v>858.39884939040621</v>
      </c>
      <c r="H329" s="5">
        <f t="shared" si="38"/>
        <v>42.391150609593829</v>
      </c>
      <c r="I329" s="6">
        <v>1013.21</v>
      </c>
      <c r="J329" s="5">
        <f t="shared" si="40"/>
        <v>317125.19000000047</v>
      </c>
      <c r="L329" s="5">
        <f t="shared" si="35"/>
        <v>11473.572237036889</v>
      </c>
      <c r="M329" s="9">
        <f t="shared" si="33"/>
        <v>3.7866575039725708E-2</v>
      </c>
    </row>
    <row r="330" spans="1:13" x14ac:dyDescent="0.3">
      <c r="B330">
        <f t="shared" si="36"/>
        <v>319</v>
      </c>
      <c r="C330" s="8">
        <f t="shared" si="37"/>
        <v>52507</v>
      </c>
      <c r="D330" s="6">
        <v>1914</v>
      </c>
      <c r="F330" s="5">
        <f t="shared" si="39"/>
        <v>11473.572237036889</v>
      </c>
      <c r="G330" s="5">
        <f t="shared" si="34"/>
        <v>861.34959543518562</v>
      </c>
      <c r="H330" s="5">
        <f t="shared" si="38"/>
        <v>39.440404564814308</v>
      </c>
      <c r="I330" s="6">
        <v>1013.21</v>
      </c>
      <c r="J330" s="5">
        <f t="shared" si="40"/>
        <v>318138.40000000049</v>
      </c>
      <c r="L330" s="5">
        <f t="shared" si="35"/>
        <v>10612.222641601704</v>
      </c>
      <c r="M330" s="9">
        <f t="shared" si="33"/>
        <v>3.5023837100995721E-2</v>
      </c>
    </row>
    <row r="331" spans="1:13" x14ac:dyDescent="0.3">
      <c r="B331">
        <f t="shared" si="36"/>
        <v>320</v>
      </c>
      <c r="C331" s="8">
        <f t="shared" si="37"/>
        <v>52537.5</v>
      </c>
      <c r="D331" s="6">
        <v>1914</v>
      </c>
      <c r="F331" s="5">
        <f t="shared" si="39"/>
        <v>10612.222641601704</v>
      </c>
      <c r="G331" s="5">
        <f t="shared" si="34"/>
        <v>864.31048466949414</v>
      </c>
      <c r="H331" s="5">
        <f t="shared" si="38"/>
        <v>36.479515330505855</v>
      </c>
      <c r="I331" s="6">
        <v>1013.21</v>
      </c>
      <c r="J331" s="5">
        <f t="shared" si="40"/>
        <v>319151.61000000051</v>
      </c>
      <c r="L331" s="5">
        <f t="shared" si="35"/>
        <v>9747.9121569322087</v>
      </c>
      <c r="M331" s="9">
        <f t="shared" si="33"/>
        <v>3.2171327250601352E-2</v>
      </c>
    </row>
    <row r="332" spans="1:13" x14ac:dyDescent="0.3">
      <c r="B332">
        <f t="shared" si="36"/>
        <v>321</v>
      </c>
      <c r="C332" s="8">
        <f t="shared" si="37"/>
        <v>52568</v>
      </c>
      <c r="D332" s="6">
        <v>1914</v>
      </c>
      <c r="F332" s="5">
        <f t="shared" si="39"/>
        <v>9747.9121569322087</v>
      </c>
      <c r="G332" s="5">
        <f t="shared" si="34"/>
        <v>867.28155196054558</v>
      </c>
      <c r="H332" s="5">
        <f t="shared" si="38"/>
        <v>33.508448039454471</v>
      </c>
      <c r="I332" s="6">
        <v>1013.21</v>
      </c>
      <c r="J332" s="5">
        <f t="shared" si="40"/>
        <v>320164.82000000053</v>
      </c>
      <c r="L332" s="5">
        <f t="shared" si="35"/>
        <v>8880.6306049716623</v>
      </c>
      <c r="M332" s="9">
        <f t="shared" ref="M332:M395" si="41">L332/$C$2</f>
        <v>2.9309011897596247E-2</v>
      </c>
    </row>
    <row r="333" spans="1:13" x14ac:dyDescent="0.3">
      <c r="B333">
        <f t="shared" si="36"/>
        <v>322</v>
      </c>
      <c r="C333" s="8">
        <f t="shared" si="37"/>
        <v>52598.5</v>
      </c>
      <c r="D333" s="6">
        <v>1914</v>
      </c>
      <c r="F333" s="5">
        <f t="shared" si="39"/>
        <v>8880.6306049716623</v>
      </c>
      <c r="G333" s="5">
        <f t="shared" ref="G333:G396" si="42">D333-H333-I333</f>
        <v>870.26283229540991</v>
      </c>
      <c r="H333" s="5">
        <f t="shared" si="38"/>
        <v>30.527167704590088</v>
      </c>
      <c r="I333" s="6">
        <v>1013.21</v>
      </c>
      <c r="J333" s="5">
        <f t="shared" si="40"/>
        <v>321178.03000000055</v>
      </c>
      <c r="L333" s="5">
        <f t="shared" ref="L333:L396" si="43">F333+H333+I333-D333-E333</f>
        <v>8010.3677726762508</v>
      </c>
      <c r="M333" s="9">
        <f t="shared" si="41"/>
        <v>2.6436857335565184E-2</v>
      </c>
    </row>
    <row r="334" spans="1:13" x14ac:dyDescent="0.3">
      <c r="B334">
        <f t="shared" ref="B334:B396" si="44">B333+1</f>
        <v>323</v>
      </c>
      <c r="C334" s="8">
        <f t="shared" ref="C334:C396" si="45">C333+30.5</f>
        <v>52629</v>
      </c>
      <c r="D334" s="6">
        <v>1914</v>
      </c>
      <c r="F334" s="5">
        <f t="shared" si="39"/>
        <v>8010.3677726762508</v>
      </c>
      <c r="G334" s="5">
        <f t="shared" si="42"/>
        <v>873.25436078142525</v>
      </c>
      <c r="H334" s="5">
        <f t="shared" ref="H334:H396" si="46">F334*$C$4/12</f>
        <v>27.535639218574612</v>
      </c>
      <c r="I334" s="6">
        <v>1013.21</v>
      </c>
      <c r="J334" s="5">
        <f t="shared" si="40"/>
        <v>322191.24000000057</v>
      </c>
      <c r="L334" s="5">
        <f t="shared" si="43"/>
        <v>7137.1134118948248</v>
      </c>
      <c r="M334" s="9">
        <f t="shared" si="41"/>
        <v>2.3554829742227144E-2</v>
      </c>
    </row>
    <row r="335" spans="1:13" x14ac:dyDescent="0.3">
      <c r="A335">
        <v>28</v>
      </c>
      <c r="B335">
        <f t="shared" si="44"/>
        <v>324</v>
      </c>
      <c r="C335" s="8">
        <f t="shared" si="45"/>
        <v>52659.5</v>
      </c>
      <c r="D335" s="6">
        <v>1914</v>
      </c>
      <c r="F335" s="5">
        <f t="shared" ref="F335:F396" si="47">L334</f>
        <v>7137.1134118948248</v>
      </c>
      <c r="G335" s="5">
        <f t="shared" si="42"/>
        <v>876.2561726466115</v>
      </c>
      <c r="H335" s="5">
        <f t="shared" si="46"/>
        <v>24.53382735338846</v>
      </c>
      <c r="I335" s="6">
        <v>1013.21</v>
      </c>
      <c r="J335" s="5">
        <f t="shared" si="40"/>
        <v>323204.45000000059</v>
      </c>
      <c r="L335" s="5">
        <f t="shared" si="43"/>
        <v>6260.8572392482138</v>
      </c>
      <c r="M335" s="9">
        <f t="shared" si="41"/>
        <v>2.0662895179037008E-2</v>
      </c>
    </row>
    <row r="336" spans="1:13" x14ac:dyDescent="0.3">
      <c r="B336">
        <f t="shared" si="44"/>
        <v>325</v>
      </c>
      <c r="C336" s="8">
        <f t="shared" si="45"/>
        <v>52690</v>
      </c>
      <c r="D336" s="6">
        <v>1914</v>
      </c>
      <c r="F336" s="5">
        <f t="shared" si="47"/>
        <v>6260.8572392482138</v>
      </c>
      <c r="G336" s="5">
        <f t="shared" si="42"/>
        <v>879.26830324008415</v>
      </c>
      <c r="H336" s="5">
        <f t="shared" si="46"/>
        <v>21.521696759915738</v>
      </c>
      <c r="I336" s="6">
        <v>1013.21</v>
      </c>
      <c r="J336" s="5">
        <f t="shared" si="40"/>
        <v>324217.66000000061</v>
      </c>
      <c r="L336" s="5">
        <f t="shared" si="43"/>
        <v>5381.5889360081292</v>
      </c>
      <c r="M336" s="9">
        <f t="shared" si="41"/>
        <v>1.7761019590785906E-2</v>
      </c>
    </row>
    <row r="337" spans="1:13" x14ac:dyDescent="0.3">
      <c r="B337">
        <f t="shared" si="44"/>
        <v>326</v>
      </c>
      <c r="C337" s="8">
        <f t="shared" si="45"/>
        <v>52720.5</v>
      </c>
      <c r="D337" s="6">
        <v>1914</v>
      </c>
      <c r="F337" s="5">
        <f t="shared" si="47"/>
        <v>5381.5889360081292</v>
      </c>
      <c r="G337" s="5">
        <f t="shared" si="42"/>
        <v>882.29078803247194</v>
      </c>
      <c r="H337" s="5">
        <f t="shared" si="46"/>
        <v>18.499211967527945</v>
      </c>
      <c r="I337" s="6">
        <v>1013.21</v>
      </c>
      <c r="J337" s="5">
        <f t="shared" si="40"/>
        <v>325230.87000000064</v>
      </c>
      <c r="L337" s="5">
        <f t="shared" si="43"/>
        <v>4499.2981479756572</v>
      </c>
      <c r="M337" s="9">
        <f t="shared" si="41"/>
        <v>1.4849168805200189E-2</v>
      </c>
    </row>
    <row r="338" spans="1:13" x14ac:dyDescent="0.3">
      <c r="B338">
        <f t="shared" si="44"/>
        <v>327</v>
      </c>
      <c r="C338" s="8">
        <f t="shared" si="45"/>
        <v>52751</v>
      </c>
      <c r="D338" s="6">
        <v>1914</v>
      </c>
      <c r="F338" s="5">
        <f t="shared" si="47"/>
        <v>4499.2981479756572</v>
      </c>
      <c r="G338" s="5">
        <f t="shared" si="42"/>
        <v>885.32366261633365</v>
      </c>
      <c r="H338" s="5">
        <f t="shared" si="46"/>
        <v>15.466337383666323</v>
      </c>
      <c r="I338" s="6">
        <v>1013.21</v>
      </c>
      <c r="J338" s="5">
        <f t="shared" si="40"/>
        <v>326244.08000000066</v>
      </c>
      <c r="L338" s="5">
        <f t="shared" si="43"/>
        <v>3613.9744853593238</v>
      </c>
      <c r="M338" s="9">
        <f t="shared" si="41"/>
        <v>1.1927308532539023E-2</v>
      </c>
    </row>
    <row r="339" spans="1:13" x14ac:dyDescent="0.3">
      <c r="B339">
        <f t="shared" si="44"/>
        <v>328</v>
      </c>
      <c r="C339" s="8">
        <f t="shared" si="45"/>
        <v>52781.5</v>
      </c>
      <c r="D339" s="6">
        <v>1914</v>
      </c>
      <c r="F339" s="5">
        <f t="shared" si="47"/>
        <v>3613.9744853593238</v>
      </c>
      <c r="G339" s="5">
        <f t="shared" si="42"/>
        <v>888.3669627065774</v>
      </c>
      <c r="H339" s="5">
        <f t="shared" si="46"/>
        <v>12.423037293422675</v>
      </c>
      <c r="I339" s="6">
        <v>1013.21</v>
      </c>
      <c r="J339" s="5">
        <f t="shared" si="40"/>
        <v>327257.29000000068</v>
      </c>
      <c r="L339" s="5">
        <f t="shared" si="43"/>
        <v>2725.6075226527464</v>
      </c>
      <c r="M339" s="9">
        <f t="shared" si="41"/>
        <v>8.9954043651905829E-3</v>
      </c>
    </row>
    <row r="340" spans="1:13" x14ac:dyDescent="0.3">
      <c r="B340">
        <f t="shared" si="44"/>
        <v>329</v>
      </c>
      <c r="C340" s="8">
        <f t="shared" si="45"/>
        <v>52812</v>
      </c>
      <c r="D340" s="6">
        <v>1914</v>
      </c>
      <c r="F340" s="5">
        <f t="shared" si="47"/>
        <v>2725.6075226527464</v>
      </c>
      <c r="G340" s="5">
        <f t="shared" si="42"/>
        <v>891.42072414088125</v>
      </c>
      <c r="H340" s="5">
        <f t="shared" si="46"/>
        <v>9.369275859118817</v>
      </c>
      <c r="I340" s="6">
        <v>1013.21</v>
      </c>
      <c r="J340" s="5">
        <f t="shared" si="40"/>
        <v>328270.5000000007</v>
      </c>
      <c r="L340" s="5">
        <f t="shared" si="43"/>
        <v>1834.1867985118652</v>
      </c>
      <c r="M340" s="9">
        <f t="shared" si="41"/>
        <v>6.0534217772668817E-3</v>
      </c>
    </row>
    <row r="341" spans="1:13" x14ac:dyDescent="0.3">
      <c r="B341">
        <f t="shared" si="44"/>
        <v>330</v>
      </c>
      <c r="C341" s="8">
        <f t="shared" si="45"/>
        <v>52842.5</v>
      </c>
      <c r="D341" s="6">
        <v>1914</v>
      </c>
      <c r="F341" s="5">
        <f t="shared" si="47"/>
        <v>1834.1867985118652</v>
      </c>
      <c r="G341" s="5">
        <f t="shared" si="42"/>
        <v>894.48498288011547</v>
      </c>
      <c r="H341" s="5">
        <f t="shared" si="46"/>
        <v>6.3050171198845364</v>
      </c>
      <c r="I341" s="6">
        <v>1013.21</v>
      </c>
      <c r="J341" s="5">
        <f t="shared" si="40"/>
        <v>329283.71000000072</v>
      </c>
      <c r="L341" s="5">
        <f t="shared" si="43"/>
        <v>939.70181563174992</v>
      </c>
      <c r="M341" s="9">
        <f t="shared" si="41"/>
        <v>3.1013261241971944E-3</v>
      </c>
    </row>
    <row r="342" spans="1:13" x14ac:dyDescent="0.3">
      <c r="B342">
        <f t="shared" si="44"/>
        <v>331</v>
      </c>
      <c r="C342" s="8">
        <f t="shared" si="45"/>
        <v>52873</v>
      </c>
      <c r="D342" s="6">
        <v>1914</v>
      </c>
      <c r="F342" s="5">
        <f t="shared" si="47"/>
        <v>939.70181563174992</v>
      </c>
      <c r="G342" s="5">
        <f t="shared" si="42"/>
        <v>897.55977500876588</v>
      </c>
      <c r="H342" s="5">
        <f t="shared" si="46"/>
        <v>3.2302249912341403</v>
      </c>
      <c r="I342" s="6">
        <v>1013.21</v>
      </c>
      <c r="J342" s="5">
        <f t="shared" si="40"/>
        <v>330296.92000000074</v>
      </c>
      <c r="L342" s="5">
        <f t="shared" si="43"/>
        <v>42.142040622984041</v>
      </c>
      <c r="M342" s="9">
        <f t="shared" si="41"/>
        <v>1.3908264232007935E-4</v>
      </c>
    </row>
    <row r="343" spans="1:13" x14ac:dyDescent="0.3">
      <c r="B343">
        <f t="shared" si="44"/>
        <v>332</v>
      </c>
      <c r="C343" s="8">
        <f t="shared" si="45"/>
        <v>52903.5</v>
      </c>
      <c r="D343" s="6">
        <v>1914</v>
      </c>
      <c r="F343" s="5">
        <f t="shared" si="47"/>
        <v>42.142040622984041</v>
      </c>
      <c r="G343" s="5">
        <f t="shared" si="42"/>
        <v>900.64513673535839</v>
      </c>
      <c r="H343" s="5">
        <f t="shared" si="46"/>
        <v>0.14486326464150764</v>
      </c>
      <c r="I343" s="6">
        <v>1013.21</v>
      </c>
      <c r="J343" s="5">
        <f t="shared" si="40"/>
        <v>331310.13000000076</v>
      </c>
      <c r="L343" s="5">
        <f t="shared" si="43"/>
        <v>-858.50309611237435</v>
      </c>
      <c r="M343" s="9">
        <f t="shared" si="41"/>
        <v>-2.833343551525988E-3</v>
      </c>
    </row>
    <row r="344" spans="1:13" x14ac:dyDescent="0.3">
      <c r="B344">
        <f t="shared" si="44"/>
        <v>333</v>
      </c>
      <c r="C344" s="8">
        <f t="shared" si="45"/>
        <v>52934</v>
      </c>
      <c r="D344" s="6">
        <v>1914</v>
      </c>
      <c r="F344" s="5">
        <f t="shared" si="47"/>
        <v>-858.50309611237435</v>
      </c>
      <c r="G344" s="5">
        <f t="shared" si="42"/>
        <v>903.7411043928862</v>
      </c>
      <c r="H344" s="5">
        <f t="shared" si="46"/>
        <v>-2.9511043928862866</v>
      </c>
      <c r="I344" s="6">
        <v>1013.21</v>
      </c>
      <c r="J344" s="5">
        <f t="shared" si="40"/>
        <v>332323.34000000078</v>
      </c>
      <c r="L344" s="5">
        <f t="shared" si="43"/>
        <v>-1762.2442005052606</v>
      </c>
      <c r="M344" s="9">
        <f t="shared" si="41"/>
        <v>-5.8159874604134009E-3</v>
      </c>
    </row>
    <row r="345" spans="1:13" x14ac:dyDescent="0.3">
      <c r="B345">
        <f t="shared" si="44"/>
        <v>334</v>
      </c>
      <c r="C345" s="8">
        <f t="shared" si="45"/>
        <v>52964.5</v>
      </c>
      <c r="D345" s="6">
        <v>1914</v>
      </c>
      <c r="F345" s="5">
        <f t="shared" si="47"/>
        <v>-1762.2442005052606</v>
      </c>
      <c r="G345" s="5">
        <f t="shared" si="42"/>
        <v>906.84771443923682</v>
      </c>
      <c r="H345" s="5">
        <f t="shared" si="46"/>
        <v>-6.0577144392368334</v>
      </c>
      <c r="I345" s="6">
        <v>1013.21</v>
      </c>
      <c r="J345" s="5">
        <f t="shared" si="40"/>
        <v>333336.5500000008</v>
      </c>
      <c r="L345" s="5">
        <f t="shared" si="43"/>
        <v>-2669.0919149444971</v>
      </c>
      <c r="M345" s="9">
        <f t="shared" si="41"/>
        <v>-8.8088842077376148E-3</v>
      </c>
    </row>
    <row r="346" spans="1:13" x14ac:dyDescent="0.3">
      <c r="B346">
        <f t="shared" si="44"/>
        <v>335</v>
      </c>
      <c r="C346" s="8">
        <f t="shared" si="45"/>
        <v>52995</v>
      </c>
      <c r="D346" s="6">
        <v>1914</v>
      </c>
      <c r="F346" s="5">
        <f t="shared" si="47"/>
        <v>-2669.0919149444971</v>
      </c>
      <c r="G346" s="5">
        <f t="shared" si="42"/>
        <v>909.96500345762161</v>
      </c>
      <c r="H346" s="5">
        <f t="shared" si="46"/>
        <v>-9.1750034576217097</v>
      </c>
      <c r="I346" s="6">
        <v>1013.21</v>
      </c>
      <c r="J346" s="5">
        <f t="shared" si="40"/>
        <v>334349.76000000082</v>
      </c>
      <c r="L346" s="5">
        <f t="shared" si="43"/>
        <v>-3579.0569184021188</v>
      </c>
      <c r="M346" s="9">
        <f t="shared" si="41"/>
        <v>-1.1812069037630754E-2</v>
      </c>
    </row>
    <row r="347" spans="1:13" x14ac:dyDescent="0.3">
      <c r="A347">
        <v>29</v>
      </c>
      <c r="B347">
        <f t="shared" si="44"/>
        <v>336</v>
      </c>
      <c r="C347" s="8">
        <f t="shared" si="45"/>
        <v>53025.5</v>
      </c>
      <c r="D347" s="6">
        <v>1914</v>
      </c>
      <c r="F347" s="5">
        <f t="shared" si="47"/>
        <v>-3579.0569184021188</v>
      </c>
      <c r="G347" s="5">
        <f t="shared" si="42"/>
        <v>913.09300815700726</v>
      </c>
      <c r="H347" s="5">
        <f t="shared" si="46"/>
        <v>-12.303008157007284</v>
      </c>
      <c r="I347" s="6">
        <v>1013.21</v>
      </c>
      <c r="J347" s="5">
        <f t="shared" si="40"/>
        <v>335362.97000000085</v>
      </c>
      <c r="L347" s="5">
        <f t="shared" si="43"/>
        <v>-4492.1499265591265</v>
      </c>
      <c r="M347" s="9">
        <f t="shared" si="41"/>
        <v>-1.4825577315376655E-2</v>
      </c>
    </row>
    <row r="348" spans="1:13" x14ac:dyDescent="0.3">
      <c r="B348">
        <f t="shared" si="44"/>
        <v>337</v>
      </c>
      <c r="C348" s="8">
        <f t="shared" si="45"/>
        <v>53056</v>
      </c>
      <c r="D348" s="6">
        <v>1914</v>
      </c>
      <c r="F348" s="5">
        <f t="shared" si="47"/>
        <v>-4492.1499265591265</v>
      </c>
      <c r="G348" s="5">
        <f t="shared" si="42"/>
        <v>916.23176537254699</v>
      </c>
      <c r="H348" s="5">
        <f t="shared" si="46"/>
        <v>-15.441765372546998</v>
      </c>
      <c r="I348" s="6">
        <v>1013.21</v>
      </c>
      <c r="J348" s="5">
        <f t="shared" si="40"/>
        <v>336376.18000000087</v>
      </c>
      <c r="L348" s="5">
        <f t="shared" si="43"/>
        <v>-5408.3816919316732</v>
      </c>
      <c r="M348" s="9">
        <f t="shared" si="41"/>
        <v>-1.7849444527827305E-2</v>
      </c>
    </row>
    <row r="349" spans="1:13" x14ac:dyDescent="0.3">
      <c r="B349">
        <f t="shared" si="44"/>
        <v>338</v>
      </c>
      <c r="C349" s="8">
        <f t="shared" si="45"/>
        <v>53086.5</v>
      </c>
      <c r="D349" s="6">
        <v>1914</v>
      </c>
      <c r="F349" s="5">
        <f t="shared" si="47"/>
        <v>-5408.3816919316732</v>
      </c>
      <c r="G349" s="5">
        <f t="shared" si="42"/>
        <v>919.3813120660152</v>
      </c>
      <c r="H349" s="5">
        <f t="shared" si="46"/>
        <v>-18.591312066015128</v>
      </c>
      <c r="I349" s="6">
        <v>1013.21</v>
      </c>
      <c r="J349" s="5">
        <f t="shared" si="40"/>
        <v>337389.39000000089</v>
      </c>
      <c r="L349" s="5">
        <f t="shared" si="43"/>
        <v>-6327.7630039976884</v>
      </c>
      <c r="M349" s="9">
        <f t="shared" si="41"/>
        <v>-2.0883706283820754E-2</v>
      </c>
    </row>
    <row r="350" spans="1:13" x14ac:dyDescent="0.3">
      <c r="B350">
        <f t="shared" si="44"/>
        <v>339</v>
      </c>
      <c r="C350" s="8">
        <f t="shared" si="45"/>
        <v>53117</v>
      </c>
      <c r="D350" s="6">
        <v>1914</v>
      </c>
      <c r="F350" s="5">
        <f t="shared" si="47"/>
        <v>-6327.7630039976884</v>
      </c>
      <c r="G350" s="5">
        <f t="shared" si="42"/>
        <v>922.54168532624203</v>
      </c>
      <c r="H350" s="5">
        <f t="shared" si="46"/>
        <v>-21.751685326242054</v>
      </c>
      <c r="I350" s="6">
        <v>1013.21</v>
      </c>
      <c r="J350" s="5">
        <f t="shared" si="40"/>
        <v>338402.60000000091</v>
      </c>
      <c r="L350" s="5">
        <f t="shared" si="43"/>
        <v>-7250.3046893239307</v>
      </c>
      <c r="M350" s="9">
        <f t="shared" si="41"/>
        <v>-2.3928398314600433E-2</v>
      </c>
    </row>
    <row r="351" spans="1:13" x14ac:dyDescent="0.3">
      <c r="B351">
        <f t="shared" si="44"/>
        <v>340</v>
      </c>
      <c r="C351" s="8">
        <f t="shared" si="45"/>
        <v>53147.5</v>
      </c>
      <c r="D351" s="6">
        <v>1914</v>
      </c>
      <c r="F351" s="5">
        <f t="shared" si="47"/>
        <v>-7250.3046893239307</v>
      </c>
      <c r="G351" s="5">
        <f t="shared" si="42"/>
        <v>925.71292236955105</v>
      </c>
      <c r="H351" s="5">
        <f t="shared" si="46"/>
        <v>-24.922922369551014</v>
      </c>
      <c r="I351" s="6">
        <v>1013.21</v>
      </c>
      <c r="J351" s="5">
        <f t="shared" si="40"/>
        <v>339415.81000000093</v>
      </c>
      <c r="L351" s="5">
        <f t="shared" si="43"/>
        <v>-8176.0176116934817</v>
      </c>
      <c r="M351" s="9">
        <f t="shared" si="41"/>
        <v>-2.6983556474235913E-2</v>
      </c>
    </row>
    <row r="352" spans="1:13" x14ac:dyDescent="0.3">
      <c r="B352">
        <f t="shared" si="44"/>
        <v>341</v>
      </c>
      <c r="C352" s="8">
        <f t="shared" si="45"/>
        <v>53178</v>
      </c>
      <c r="D352" s="6">
        <v>1914</v>
      </c>
      <c r="F352" s="5">
        <f t="shared" si="47"/>
        <v>-8176.0176116934817</v>
      </c>
      <c r="G352" s="5">
        <f t="shared" si="42"/>
        <v>928.89506054019625</v>
      </c>
      <c r="H352" s="5">
        <f t="shared" si="46"/>
        <v>-28.105060540196344</v>
      </c>
      <c r="I352" s="6">
        <v>1013.21</v>
      </c>
      <c r="J352" s="5">
        <f t="shared" si="40"/>
        <v>340429.02000000095</v>
      </c>
      <c r="L352" s="5">
        <f t="shared" si="43"/>
        <v>-9104.9126722336769</v>
      </c>
      <c r="M352" s="9">
        <f t="shared" si="41"/>
        <v>-3.004921674004514E-2</v>
      </c>
    </row>
    <row r="353" spans="1:13" x14ac:dyDescent="0.3">
      <c r="B353">
        <f t="shared" si="44"/>
        <v>342</v>
      </c>
      <c r="C353" s="8">
        <f t="shared" si="45"/>
        <v>53208.5</v>
      </c>
      <c r="D353" s="6">
        <v>1914</v>
      </c>
      <c r="F353" s="5">
        <f t="shared" si="47"/>
        <v>-9104.9126722336769</v>
      </c>
      <c r="G353" s="5">
        <f t="shared" si="42"/>
        <v>932.08813731080318</v>
      </c>
      <c r="H353" s="5">
        <f t="shared" si="46"/>
        <v>-31.298137310803266</v>
      </c>
      <c r="I353" s="6">
        <v>1013.21</v>
      </c>
      <c r="J353" s="5">
        <f t="shared" si="40"/>
        <v>341442.23000000097</v>
      </c>
      <c r="L353" s="5">
        <f t="shared" si="43"/>
        <v>-10037.000809544479</v>
      </c>
      <c r="M353" s="9">
        <f t="shared" si="41"/>
        <v>-3.3125415213018081E-2</v>
      </c>
    </row>
    <row r="354" spans="1:13" x14ac:dyDescent="0.3">
      <c r="B354">
        <f t="shared" si="44"/>
        <v>343</v>
      </c>
      <c r="C354" s="8">
        <f t="shared" si="45"/>
        <v>53239</v>
      </c>
      <c r="D354" s="6">
        <v>1914</v>
      </c>
      <c r="F354" s="5">
        <f t="shared" si="47"/>
        <v>-10037.000809544479</v>
      </c>
      <c r="G354" s="5">
        <f t="shared" si="42"/>
        <v>935.29219028280909</v>
      </c>
      <c r="H354" s="5">
        <f t="shared" si="46"/>
        <v>-34.502190282809146</v>
      </c>
      <c r="I354" s="6">
        <v>1013.21</v>
      </c>
      <c r="J354" s="5">
        <f t="shared" si="40"/>
        <v>342455.44000000099</v>
      </c>
      <c r="L354" s="5">
        <f t="shared" si="43"/>
        <v>-10972.292999827288</v>
      </c>
      <c r="M354" s="9">
        <f t="shared" si="41"/>
        <v>-3.6212188118241874E-2</v>
      </c>
    </row>
    <row r="355" spans="1:13" x14ac:dyDescent="0.3">
      <c r="B355">
        <f t="shared" si="44"/>
        <v>344</v>
      </c>
      <c r="C355" s="8">
        <f t="shared" si="45"/>
        <v>53269.5</v>
      </c>
      <c r="D355" s="6">
        <v>1914</v>
      </c>
      <c r="F355" s="5">
        <f t="shared" si="47"/>
        <v>-10972.292999827288</v>
      </c>
      <c r="G355" s="5">
        <f t="shared" si="42"/>
        <v>938.50725718690637</v>
      </c>
      <c r="H355" s="5">
        <f t="shared" si="46"/>
        <v>-37.717257186906302</v>
      </c>
      <c r="I355" s="6">
        <v>1013.21</v>
      </c>
      <c r="J355" s="5">
        <f t="shared" si="40"/>
        <v>343468.65000000101</v>
      </c>
      <c r="L355" s="5">
        <f t="shared" si="43"/>
        <v>-11910.800257014194</v>
      </c>
      <c r="M355" s="9">
        <f t="shared" si="41"/>
        <v>-3.9309571805327376E-2</v>
      </c>
    </row>
    <row r="356" spans="1:13" x14ac:dyDescent="0.3">
      <c r="B356">
        <f t="shared" si="44"/>
        <v>345</v>
      </c>
      <c r="C356" s="8">
        <f t="shared" si="45"/>
        <v>53300</v>
      </c>
      <c r="D356" s="6">
        <v>1914</v>
      </c>
      <c r="F356" s="5">
        <f t="shared" si="47"/>
        <v>-11910.800257014194</v>
      </c>
      <c r="G356" s="5">
        <f t="shared" si="42"/>
        <v>941.73337588348636</v>
      </c>
      <c r="H356" s="5">
        <f t="shared" si="46"/>
        <v>-40.943375883486297</v>
      </c>
      <c r="I356" s="6">
        <v>1013.21</v>
      </c>
      <c r="J356" s="5">
        <f t="shared" si="40"/>
        <v>344481.86000000103</v>
      </c>
      <c r="L356" s="5">
        <f t="shared" si="43"/>
        <v>-12852.533632897681</v>
      </c>
      <c r="M356" s="9">
        <f t="shared" si="41"/>
        <v>-4.2417602748837234E-2</v>
      </c>
    </row>
    <row r="357" spans="1:13" x14ac:dyDescent="0.3">
      <c r="B357">
        <f t="shared" si="44"/>
        <v>346</v>
      </c>
      <c r="C357" s="8">
        <f t="shared" si="45"/>
        <v>53330.5</v>
      </c>
      <c r="D357" s="6">
        <v>1914</v>
      </c>
      <c r="F357" s="5">
        <f t="shared" si="47"/>
        <v>-12852.533632897681</v>
      </c>
      <c r="G357" s="5">
        <f t="shared" si="42"/>
        <v>944.97058436308566</v>
      </c>
      <c r="H357" s="5">
        <f t="shared" si="46"/>
        <v>-44.180584363085778</v>
      </c>
      <c r="I357" s="6">
        <v>1013.21</v>
      </c>
      <c r="J357" s="5">
        <f t="shared" si="40"/>
        <v>345495.07000000105</v>
      </c>
      <c r="L357" s="5">
        <f t="shared" si="43"/>
        <v>-13797.504217260768</v>
      </c>
      <c r="M357" s="9">
        <f t="shared" si="41"/>
        <v>-4.5536317548715406E-2</v>
      </c>
    </row>
    <row r="358" spans="1:13" x14ac:dyDescent="0.3">
      <c r="B358">
        <f t="shared" si="44"/>
        <v>347</v>
      </c>
      <c r="C358" s="8">
        <f t="shared" si="45"/>
        <v>53361</v>
      </c>
      <c r="D358" s="6">
        <v>1914</v>
      </c>
      <c r="F358" s="5">
        <f t="shared" si="47"/>
        <v>-13797.504217260768</v>
      </c>
      <c r="G358" s="5">
        <f t="shared" si="42"/>
        <v>948.21892074683387</v>
      </c>
      <c r="H358" s="5">
        <f t="shared" si="46"/>
        <v>-47.428920746833889</v>
      </c>
      <c r="I358" s="6">
        <v>1013.21</v>
      </c>
      <c r="J358" s="5">
        <f t="shared" si="40"/>
        <v>346508.28000000108</v>
      </c>
      <c r="L358" s="5">
        <f t="shared" si="43"/>
        <v>-14745.723138007601</v>
      </c>
      <c r="M358" s="9">
        <f t="shared" si="41"/>
        <v>-4.8665752930718155E-2</v>
      </c>
    </row>
    <row r="359" spans="1:13" x14ac:dyDescent="0.3">
      <c r="A359">
        <v>30</v>
      </c>
      <c r="B359">
        <f t="shared" si="44"/>
        <v>348</v>
      </c>
      <c r="C359" s="8">
        <f t="shared" si="45"/>
        <v>53391.5</v>
      </c>
      <c r="D359" s="6">
        <v>1914</v>
      </c>
      <c r="F359" s="5">
        <f t="shared" si="47"/>
        <v>-14745.723138007601</v>
      </c>
      <c r="G359" s="5">
        <f t="shared" si="42"/>
        <v>951.47842328690103</v>
      </c>
      <c r="H359" s="5">
        <f t="shared" si="46"/>
        <v>-50.688423286901127</v>
      </c>
      <c r="I359" s="6">
        <v>1013.21</v>
      </c>
      <c r="J359" s="5">
        <f t="shared" si="40"/>
        <v>347521.4900000011</v>
      </c>
      <c r="L359" s="5">
        <f t="shared" si="43"/>
        <v>-15697.201561294503</v>
      </c>
      <c r="M359" s="9">
        <f t="shared" si="41"/>
        <v>-5.1805945746846549E-2</v>
      </c>
    </row>
    <row r="360" spans="1:13" x14ac:dyDescent="0.3">
      <c r="B360">
        <f t="shared" si="44"/>
        <v>349</v>
      </c>
      <c r="C360" s="8">
        <f t="shared" si="45"/>
        <v>53422</v>
      </c>
      <c r="D360" s="6">
        <v>1914</v>
      </c>
      <c r="F360" s="5">
        <f t="shared" si="47"/>
        <v>-15697.201561294503</v>
      </c>
      <c r="G360" s="5">
        <f t="shared" si="42"/>
        <v>954.74913036694988</v>
      </c>
      <c r="H360" s="5">
        <f t="shared" si="46"/>
        <v>-53.959130366949857</v>
      </c>
      <c r="I360" s="6">
        <v>1013.21</v>
      </c>
      <c r="J360" s="5">
        <f t="shared" si="40"/>
        <v>348534.70000000112</v>
      </c>
      <c r="L360" s="5">
        <f t="shared" si="43"/>
        <v>-16651.950691661452</v>
      </c>
      <c r="M360" s="9">
        <f t="shared" si="41"/>
        <v>-5.4956932975780366E-2</v>
      </c>
    </row>
    <row r="361" spans="1:13" x14ac:dyDescent="0.3">
      <c r="B361">
        <f t="shared" si="44"/>
        <v>350</v>
      </c>
      <c r="C361" s="8">
        <f t="shared" si="45"/>
        <v>53452.5</v>
      </c>
      <c r="D361" s="6">
        <v>1914</v>
      </c>
      <c r="F361" s="5">
        <f t="shared" si="47"/>
        <v>-16651.950691661452</v>
      </c>
      <c r="G361" s="5">
        <f t="shared" si="42"/>
        <v>958.03108050258629</v>
      </c>
      <c r="H361" s="5">
        <f t="shared" si="46"/>
        <v>-57.241080502586243</v>
      </c>
      <c r="I361" s="6">
        <v>1013.21</v>
      </c>
      <c r="J361" s="5">
        <f t="shared" si="40"/>
        <v>349547.91000000114</v>
      </c>
      <c r="L361" s="5">
        <f t="shared" si="43"/>
        <v>-17609.981772164039</v>
      </c>
      <c r="M361" s="9">
        <f t="shared" si="41"/>
        <v>-5.8118751723313662E-2</v>
      </c>
    </row>
    <row r="362" spans="1:13" x14ac:dyDescent="0.3">
      <c r="B362">
        <f t="shared" si="44"/>
        <v>351</v>
      </c>
      <c r="C362" s="8">
        <f t="shared" si="45"/>
        <v>53483</v>
      </c>
      <c r="D362" s="6">
        <v>1914</v>
      </c>
      <c r="F362" s="5">
        <f t="shared" si="47"/>
        <v>-17609.981772164039</v>
      </c>
      <c r="G362" s="5">
        <f t="shared" si="42"/>
        <v>961.32431234181377</v>
      </c>
      <c r="H362" s="5">
        <f t="shared" si="46"/>
        <v>-60.534312341813887</v>
      </c>
      <c r="I362" s="6">
        <v>1013.21</v>
      </c>
      <c r="J362" s="5">
        <f t="shared" si="40"/>
        <v>350561.12000000116</v>
      </c>
      <c r="L362" s="5">
        <f t="shared" si="43"/>
        <v>-18571.306084505854</v>
      </c>
      <c r="M362" s="9">
        <f t="shared" si="41"/>
        <v>-6.1291439222791594E-2</v>
      </c>
    </row>
    <row r="363" spans="1:13" x14ac:dyDescent="0.3">
      <c r="B363">
        <f t="shared" si="44"/>
        <v>352</v>
      </c>
      <c r="C363" s="8">
        <f t="shared" si="45"/>
        <v>53513.5</v>
      </c>
      <c r="D363" s="6">
        <v>1914</v>
      </c>
      <c r="F363" s="5">
        <f t="shared" si="47"/>
        <v>-18571.306084505854</v>
      </c>
      <c r="G363" s="5">
        <f t="shared" si="42"/>
        <v>964.62886466548889</v>
      </c>
      <c r="H363" s="5">
        <f t="shared" si="46"/>
        <v>-63.83886466548887</v>
      </c>
      <c r="I363" s="6">
        <v>1013.21</v>
      </c>
      <c r="J363" s="5">
        <f t="shared" si="40"/>
        <v>351574.33000000118</v>
      </c>
      <c r="L363" s="5">
        <f t="shared" si="43"/>
        <v>-19535.934949171344</v>
      </c>
      <c r="M363" s="9">
        <f t="shared" si="41"/>
        <v>-6.4475032835548993E-2</v>
      </c>
    </row>
    <row r="364" spans="1:13" x14ac:dyDescent="0.3">
      <c r="B364">
        <f t="shared" si="44"/>
        <v>353</v>
      </c>
      <c r="C364" s="8">
        <f t="shared" si="45"/>
        <v>53544</v>
      </c>
      <c r="D364" s="6">
        <v>1914</v>
      </c>
      <c r="F364" s="5">
        <f t="shared" si="47"/>
        <v>-19535.934949171344</v>
      </c>
      <c r="G364" s="5">
        <f t="shared" si="42"/>
        <v>967.94477638777653</v>
      </c>
      <c r="H364" s="5">
        <f t="shared" si="46"/>
        <v>-67.154776387776494</v>
      </c>
      <c r="I364" s="6">
        <v>1013.21</v>
      </c>
      <c r="J364" s="5">
        <f t="shared" si="40"/>
        <v>352587.5400000012</v>
      </c>
      <c r="L364" s="5">
        <f t="shared" si="43"/>
        <v>-20503.87972555912</v>
      </c>
      <c r="M364" s="9">
        <f t="shared" si="41"/>
        <v>-6.7669570051350228E-2</v>
      </c>
    </row>
    <row r="365" spans="1:13" x14ac:dyDescent="0.3">
      <c r="B365">
        <f t="shared" si="44"/>
        <v>354</v>
      </c>
      <c r="C365" s="8">
        <f t="shared" si="45"/>
        <v>53574.5</v>
      </c>
      <c r="D365" s="6">
        <v>1914</v>
      </c>
      <c r="F365" s="5">
        <f t="shared" si="47"/>
        <v>-20503.87972555912</v>
      </c>
      <c r="G365" s="5">
        <f t="shared" si="42"/>
        <v>971.27208655660934</v>
      </c>
      <c r="H365" s="5">
        <f t="shared" si="46"/>
        <v>-70.482086556609474</v>
      </c>
      <c r="I365" s="6">
        <v>1013.21</v>
      </c>
      <c r="J365" s="5">
        <f t="shared" si="40"/>
        <v>353600.75000000122</v>
      </c>
      <c r="L365" s="5">
        <f t="shared" si="43"/>
        <v>-21475.151812115731</v>
      </c>
      <c r="M365" s="9">
        <f t="shared" si="41"/>
        <v>-7.0875088488830798E-2</v>
      </c>
    </row>
    <row r="366" spans="1:13" x14ac:dyDescent="0.3">
      <c r="B366">
        <f t="shared" si="44"/>
        <v>355</v>
      </c>
      <c r="C366" s="8">
        <f t="shared" si="45"/>
        <v>53605</v>
      </c>
      <c r="D366" s="6">
        <v>1914</v>
      </c>
      <c r="F366" s="5">
        <f t="shared" si="47"/>
        <v>-21475.151812115731</v>
      </c>
      <c r="G366" s="5">
        <f t="shared" si="42"/>
        <v>974.61083435414776</v>
      </c>
      <c r="H366" s="5">
        <f t="shared" si="46"/>
        <v>-73.820834354147834</v>
      </c>
      <c r="I366" s="6">
        <v>1013.21</v>
      </c>
      <c r="J366" s="5">
        <f t="shared" si="40"/>
        <v>354613.96000000124</v>
      </c>
      <c r="L366" s="5">
        <f t="shared" si="43"/>
        <v>-22449.762646469881</v>
      </c>
      <c r="M366" s="9">
        <f t="shared" si="41"/>
        <v>-7.4091625895940205E-2</v>
      </c>
    </row>
    <row r="367" spans="1:13" x14ac:dyDescent="0.3">
      <c r="B367">
        <f t="shared" si="44"/>
        <v>356</v>
      </c>
      <c r="C367" s="8">
        <f t="shared" si="45"/>
        <v>53635.5</v>
      </c>
      <c r="D367" s="6">
        <v>1914</v>
      </c>
      <c r="F367" s="5">
        <f t="shared" si="47"/>
        <v>-22449.762646469881</v>
      </c>
      <c r="G367" s="5">
        <f t="shared" si="42"/>
        <v>977.9610590972402</v>
      </c>
      <c r="H367" s="5">
        <f t="shared" si="46"/>
        <v>-77.171059097240217</v>
      </c>
      <c r="I367" s="6">
        <v>1013.21</v>
      </c>
      <c r="J367" s="5">
        <f t="shared" si="40"/>
        <v>355627.17000000126</v>
      </c>
      <c r="L367" s="5">
        <f t="shared" si="43"/>
        <v>-23427.723705567121</v>
      </c>
      <c r="M367" s="9">
        <f t="shared" si="41"/>
        <v>-7.7319220150386544E-2</v>
      </c>
    </row>
    <row r="368" spans="1:13" x14ac:dyDescent="0.3">
      <c r="B368">
        <f t="shared" si="44"/>
        <v>357</v>
      </c>
      <c r="C368" s="8">
        <f t="shared" si="45"/>
        <v>53666</v>
      </c>
      <c r="D368" s="6">
        <v>1914</v>
      </c>
      <c r="F368" s="5">
        <f t="shared" si="47"/>
        <v>-23427.723705567121</v>
      </c>
      <c r="G368" s="5">
        <f t="shared" si="42"/>
        <v>981.3228002378869</v>
      </c>
      <c r="H368" s="5">
        <f t="shared" si="46"/>
        <v>-80.532800237886974</v>
      </c>
      <c r="I368" s="6">
        <v>1013.21</v>
      </c>
      <c r="J368" s="5">
        <f t="shared" si="40"/>
        <v>356640.38000000129</v>
      </c>
      <c r="L368" s="5">
        <f t="shared" si="43"/>
        <v>-24409.04650580501</v>
      </c>
      <c r="M368" s="9">
        <f t="shared" si="41"/>
        <v>-8.0557909260082536E-2</v>
      </c>
    </row>
    <row r="369" spans="2:13" x14ac:dyDescent="0.3">
      <c r="B369">
        <f t="shared" si="44"/>
        <v>358</v>
      </c>
      <c r="C369" s="8">
        <f t="shared" si="45"/>
        <v>53696.5</v>
      </c>
      <c r="D369" s="6">
        <v>1914</v>
      </c>
      <c r="F369" s="5">
        <f t="shared" si="47"/>
        <v>-24409.04650580501</v>
      </c>
      <c r="G369" s="5">
        <f t="shared" si="42"/>
        <v>984.69609736370467</v>
      </c>
      <c r="H369" s="5">
        <f t="shared" si="46"/>
        <v>-83.906097363704731</v>
      </c>
      <c r="I369" s="6">
        <v>1013.21</v>
      </c>
      <c r="J369" s="5">
        <f t="shared" si="40"/>
        <v>357653.59000000131</v>
      </c>
      <c r="L369" s="5">
        <f t="shared" si="43"/>
        <v>-25393.742603168717</v>
      </c>
      <c r="M369" s="9">
        <f t="shared" si="41"/>
        <v>-8.3807731363593124E-2</v>
      </c>
    </row>
    <row r="370" spans="2:13" x14ac:dyDescent="0.3">
      <c r="B370">
        <f t="shared" si="44"/>
        <v>359</v>
      </c>
      <c r="C370" s="8">
        <f t="shared" si="45"/>
        <v>53727</v>
      </c>
      <c r="D370" s="6">
        <v>1914</v>
      </c>
      <c r="F370" s="5">
        <f t="shared" si="47"/>
        <v>-25393.742603168717</v>
      </c>
      <c r="G370" s="5">
        <f t="shared" si="42"/>
        <v>988.08099019839256</v>
      </c>
      <c r="H370" s="5">
        <f t="shared" si="46"/>
        <v>-87.290990198392478</v>
      </c>
      <c r="I370" s="6">
        <v>1013.21</v>
      </c>
      <c r="J370" s="5">
        <f t="shared" si="40"/>
        <v>358666.80000000133</v>
      </c>
      <c r="L370" s="5">
        <f t="shared" si="43"/>
        <v>-26381.823593367109</v>
      </c>
      <c r="M370" s="9">
        <f t="shared" si="41"/>
        <v>-8.7068724730584524E-2</v>
      </c>
    </row>
    <row r="371" spans="2:13" x14ac:dyDescent="0.3">
      <c r="B371">
        <f t="shared" si="44"/>
        <v>360</v>
      </c>
      <c r="C371" s="8">
        <f t="shared" si="45"/>
        <v>53757.5</v>
      </c>
      <c r="D371" s="6">
        <v>1914</v>
      </c>
      <c r="F371" s="5">
        <f t="shared" si="47"/>
        <v>-26381.823593367109</v>
      </c>
      <c r="G371" s="5">
        <f t="shared" si="42"/>
        <v>991.47751860219932</v>
      </c>
      <c r="H371" s="5">
        <f t="shared" si="46"/>
        <v>-90.687518602199432</v>
      </c>
      <c r="I371" s="6">
        <v>1013.21</v>
      </c>
      <c r="J371" s="5">
        <f t="shared" si="40"/>
        <v>359680.01000000135</v>
      </c>
      <c r="L371" s="5">
        <f t="shared" si="43"/>
        <v>-27373.301111969311</v>
      </c>
      <c r="M371" s="9">
        <f t="shared" si="41"/>
        <v>-9.0340927762274953E-2</v>
      </c>
    </row>
    <row r="372" spans="2:13" x14ac:dyDescent="0.3">
      <c r="B372">
        <f t="shared" si="44"/>
        <v>361</v>
      </c>
      <c r="C372" s="8">
        <f t="shared" si="45"/>
        <v>53788</v>
      </c>
      <c r="D372" s="6">
        <v>1914</v>
      </c>
      <c r="F372" s="5">
        <f t="shared" si="47"/>
        <v>-27373.301111969311</v>
      </c>
      <c r="G372" s="5">
        <f t="shared" si="42"/>
        <v>994.88572257239457</v>
      </c>
      <c r="H372" s="5">
        <f t="shared" si="46"/>
        <v>-94.095722572394507</v>
      </c>
      <c r="I372" s="6">
        <v>1013.21</v>
      </c>
      <c r="J372" s="5">
        <f t="shared" ref="J372:J396" si="48">J371+I372-K372-N372</f>
        <v>360693.22000000137</v>
      </c>
      <c r="L372" s="5">
        <f t="shared" si="43"/>
        <v>-28368.186834541706</v>
      </c>
      <c r="M372" s="9">
        <f t="shared" si="41"/>
        <v>-9.3624378991886817E-2</v>
      </c>
    </row>
    <row r="373" spans="2:13" x14ac:dyDescent="0.3">
      <c r="B373">
        <f t="shared" si="44"/>
        <v>362</v>
      </c>
      <c r="C373" s="8">
        <f t="shared" si="45"/>
        <v>53818.5</v>
      </c>
      <c r="D373" s="6">
        <v>1914</v>
      </c>
      <c r="F373" s="5">
        <f t="shared" si="47"/>
        <v>-28368.186834541706</v>
      </c>
      <c r="G373" s="5">
        <f t="shared" si="42"/>
        <v>998.30564224373711</v>
      </c>
      <c r="H373" s="5">
        <f t="shared" si="46"/>
        <v>-97.515642243737133</v>
      </c>
      <c r="I373" s="6">
        <v>1013.21</v>
      </c>
      <c r="J373" s="5">
        <f t="shared" si="48"/>
        <v>361706.43000000139</v>
      </c>
      <c r="L373" s="5">
        <f t="shared" si="43"/>
        <v>-29366.492476785443</v>
      </c>
      <c r="M373" s="9">
        <f t="shared" si="41"/>
        <v>-9.6919117085100467E-2</v>
      </c>
    </row>
    <row r="374" spans="2:13" x14ac:dyDescent="0.3">
      <c r="B374">
        <f t="shared" si="44"/>
        <v>363</v>
      </c>
      <c r="C374" s="8">
        <f t="shared" si="45"/>
        <v>53849</v>
      </c>
      <c r="D374" s="6">
        <v>1914</v>
      </c>
      <c r="F374" s="5">
        <f t="shared" si="47"/>
        <v>-29366.492476785443</v>
      </c>
      <c r="G374" s="5">
        <f t="shared" si="42"/>
        <v>1001.73731788895</v>
      </c>
      <c r="H374" s="5">
        <f t="shared" si="46"/>
        <v>-100.94731788894997</v>
      </c>
      <c r="I374" s="6">
        <v>1013.21</v>
      </c>
      <c r="J374" s="5">
        <f t="shared" si="48"/>
        <v>362719.64000000141</v>
      </c>
      <c r="L374" s="5">
        <f t="shared" si="43"/>
        <v>-30368.229794674393</v>
      </c>
      <c r="M374" s="9">
        <f t="shared" si="41"/>
        <v>-0.10022518084050955</v>
      </c>
    </row>
    <row r="375" spans="2:13" x14ac:dyDescent="0.3">
      <c r="B375">
        <f t="shared" si="44"/>
        <v>364</v>
      </c>
      <c r="C375" s="8">
        <f t="shared" si="45"/>
        <v>53879.5</v>
      </c>
      <c r="D375" s="6">
        <v>1914</v>
      </c>
      <c r="F375" s="5">
        <f t="shared" si="47"/>
        <v>-30368.229794674393</v>
      </c>
      <c r="G375" s="5">
        <f t="shared" si="42"/>
        <v>1005.1807899191931</v>
      </c>
      <c r="H375" s="5">
        <f t="shared" si="46"/>
        <v>-104.39078991919324</v>
      </c>
      <c r="I375" s="6">
        <v>1013.21</v>
      </c>
      <c r="J375" s="5">
        <f t="shared" si="48"/>
        <v>363732.85000000143</v>
      </c>
      <c r="L375" s="5">
        <f t="shared" si="43"/>
        <v>-31373.410584593588</v>
      </c>
      <c r="M375" s="9">
        <f t="shared" si="41"/>
        <v>-0.10354260919007785</v>
      </c>
    </row>
    <row r="376" spans="2:13" x14ac:dyDescent="0.3">
      <c r="B376">
        <f t="shared" si="44"/>
        <v>365</v>
      </c>
      <c r="C376" s="8">
        <f t="shared" si="45"/>
        <v>53910</v>
      </c>
      <c r="D376" s="6">
        <v>1914</v>
      </c>
      <c r="F376" s="5">
        <f t="shared" si="47"/>
        <v>-31373.410584593588</v>
      </c>
      <c r="G376" s="5">
        <f t="shared" si="42"/>
        <v>1008.6360988845404</v>
      </c>
      <c r="H376" s="5">
        <f t="shared" si="46"/>
        <v>-107.84609888454047</v>
      </c>
      <c r="I376" s="6">
        <v>1013.21</v>
      </c>
      <c r="J376" s="5">
        <f t="shared" si="48"/>
        <v>364746.06000000145</v>
      </c>
      <c r="L376" s="5">
        <f t="shared" si="43"/>
        <v>-32382.046683478129</v>
      </c>
      <c r="M376" s="9">
        <f t="shared" si="41"/>
        <v>-0.10687144119959778</v>
      </c>
    </row>
    <row r="377" spans="2:13" x14ac:dyDescent="0.3">
      <c r="B377">
        <f t="shared" si="44"/>
        <v>366</v>
      </c>
      <c r="C377" s="8">
        <f t="shared" si="45"/>
        <v>53940.5</v>
      </c>
      <c r="D377" s="6">
        <v>1914</v>
      </c>
      <c r="F377" s="5">
        <f t="shared" si="47"/>
        <v>-32382.046683478129</v>
      </c>
      <c r="G377" s="5">
        <f t="shared" si="42"/>
        <v>1012.103285474456</v>
      </c>
      <c r="H377" s="5">
        <f t="shared" si="46"/>
        <v>-111.31328547445607</v>
      </c>
      <c r="I377" s="6">
        <v>1013.21</v>
      </c>
      <c r="J377" s="5">
        <f t="shared" si="48"/>
        <v>365759.27000000147</v>
      </c>
      <c r="L377" s="5">
        <f t="shared" si="43"/>
        <v>-33394.149968952581</v>
      </c>
      <c r="M377" s="9">
        <f t="shared" si="41"/>
        <v>-0.11021171606915044</v>
      </c>
    </row>
    <row r="378" spans="2:13" x14ac:dyDescent="0.3">
      <c r="B378">
        <f t="shared" si="44"/>
        <v>367</v>
      </c>
      <c r="C378" s="8">
        <f t="shared" si="45"/>
        <v>53971</v>
      </c>
      <c r="D378" s="6">
        <v>1914</v>
      </c>
      <c r="F378" s="5">
        <f t="shared" si="47"/>
        <v>-33394.149968952581</v>
      </c>
      <c r="G378" s="5">
        <f t="shared" si="42"/>
        <v>1015.5823905182745</v>
      </c>
      <c r="H378" s="5">
        <f t="shared" si="46"/>
        <v>-114.7923905182745</v>
      </c>
      <c r="I378" s="6">
        <v>1013.21</v>
      </c>
      <c r="J378" s="5">
        <f t="shared" si="48"/>
        <v>366772.48000000149</v>
      </c>
      <c r="L378" s="5">
        <f t="shared" si="43"/>
        <v>-34409.732359470858</v>
      </c>
      <c r="M378" s="9">
        <f t="shared" si="41"/>
        <v>-0.11356347313356718</v>
      </c>
    </row>
    <row r="379" spans="2:13" x14ac:dyDescent="0.3">
      <c r="B379">
        <f t="shared" si="44"/>
        <v>368</v>
      </c>
      <c r="C379" s="8">
        <f t="shared" si="45"/>
        <v>54001.5</v>
      </c>
      <c r="D379" s="6">
        <v>1914</v>
      </c>
      <c r="F379" s="5">
        <f t="shared" si="47"/>
        <v>-34409.732359470858</v>
      </c>
      <c r="G379" s="5">
        <f t="shared" si="42"/>
        <v>1019.0734549856811</v>
      </c>
      <c r="H379" s="5">
        <f t="shared" si="46"/>
        <v>-118.28345498568108</v>
      </c>
      <c r="I379" s="6">
        <v>1013.21</v>
      </c>
      <c r="J379" s="5">
        <f t="shared" si="48"/>
        <v>367785.69000000152</v>
      </c>
      <c r="L379" s="5">
        <f t="shared" si="43"/>
        <v>-35428.805814456537</v>
      </c>
      <c r="M379" s="9">
        <f t="shared" si="41"/>
        <v>-0.11692675186289286</v>
      </c>
    </row>
    <row r="380" spans="2:13" x14ac:dyDescent="0.3">
      <c r="B380">
        <f t="shared" si="44"/>
        <v>369</v>
      </c>
      <c r="C380" s="8">
        <f t="shared" si="45"/>
        <v>54032</v>
      </c>
      <c r="D380" s="6">
        <v>1914</v>
      </c>
      <c r="F380" s="5">
        <f t="shared" si="47"/>
        <v>-35428.805814456537</v>
      </c>
      <c r="G380" s="5">
        <f t="shared" si="42"/>
        <v>1022.5765199871944</v>
      </c>
      <c r="H380" s="5">
        <f t="shared" si="46"/>
        <v>-121.78651998719435</v>
      </c>
      <c r="I380" s="6">
        <v>1013.21</v>
      </c>
      <c r="J380" s="5">
        <f t="shared" si="48"/>
        <v>368798.90000000154</v>
      </c>
      <c r="L380" s="5">
        <f t="shared" si="43"/>
        <v>-36451.382334443733</v>
      </c>
      <c r="M380" s="9">
        <f t="shared" si="41"/>
        <v>-0.12030159186285061</v>
      </c>
    </row>
    <row r="381" spans="2:13" x14ac:dyDescent="0.3">
      <c r="B381">
        <f t="shared" si="44"/>
        <v>370</v>
      </c>
      <c r="C381" s="8">
        <f t="shared" si="45"/>
        <v>54062.5</v>
      </c>
      <c r="D381" s="6">
        <v>1914</v>
      </c>
      <c r="F381" s="5">
        <f t="shared" si="47"/>
        <v>-36451.382334443733</v>
      </c>
      <c r="G381" s="5">
        <f t="shared" si="42"/>
        <v>1026.0916267746502</v>
      </c>
      <c r="H381" s="5">
        <f t="shared" si="46"/>
        <v>-125.30162677465034</v>
      </c>
      <c r="I381" s="6">
        <v>1013.21</v>
      </c>
      <c r="J381" s="5">
        <f t="shared" si="48"/>
        <v>369812.11000000156</v>
      </c>
      <c r="L381" s="5">
        <f t="shared" si="43"/>
        <v>-37477.473961218384</v>
      </c>
      <c r="M381" s="9">
        <f t="shared" si="41"/>
        <v>-0.1236880328753082</v>
      </c>
    </row>
    <row r="382" spans="2:13" x14ac:dyDescent="0.3">
      <c r="B382">
        <f t="shared" si="44"/>
        <v>371</v>
      </c>
      <c r="C382" s="8">
        <f t="shared" si="45"/>
        <v>54093</v>
      </c>
      <c r="D382" s="6">
        <v>1914</v>
      </c>
      <c r="F382" s="5">
        <f t="shared" si="47"/>
        <v>-37477.473961218384</v>
      </c>
      <c r="G382" s="5">
        <f t="shared" si="42"/>
        <v>1029.6188167416881</v>
      </c>
      <c r="H382" s="5">
        <f t="shared" si="46"/>
        <v>-128.8288167416882</v>
      </c>
      <c r="I382" s="6">
        <v>1013.21</v>
      </c>
      <c r="J382" s="5">
        <f t="shared" si="48"/>
        <v>370825.32000000158</v>
      </c>
      <c r="L382" s="5">
        <f t="shared" si="43"/>
        <v>-38507.092777960075</v>
      </c>
      <c r="M382" s="9">
        <f t="shared" si="41"/>
        <v>-0.12708611477874612</v>
      </c>
    </row>
    <row r="383" spans="2:13" x14ac:dyDescent="0.3">
      <c r="B383">
        <f t="shared" si="44"/>
        <v>372</v>
      </c>
      <c r="C383" s="8">
        <f t="shared" si="45"/>
        <v>54123.5</v>
      </c>
      <c r="D383" s="6">
        <v>1914</v>
      </c>
      <c r="F383" s="5">
        <f t="shared" si="47"/>
        <v>-38507.092777960075</v>
      </c>
      <c r="G383" s="5">
        <f t="shared" si="42"/>
        <v>1033.1581314242378</v>
      </c>
      <c r="H383" s="5">
        <f t="shared" si="46"/>
        <v>-132.36813142423776</v>
      </c>
      <c r="I383" s="6">
        <v>1013.21</v>
      </c>
      <c r="J383" s="5">
        <f t="shared" si="48"/>
        <v>371838.5300000016</v>
      </c>
      <c r="L383" s="5">
        <f t="shared" si="43"/>
        <v>-39540.250909384311</v>
      </c>
      <c r="M383" s="9">
        <f t="shared" si="41"/>
        <v>-0.1304958775887271</v>
      </c>
    </row>
    <row r="384" spans="2:13" x14ac:dyDescent="0.3">
      <c r="B384">
        <f t="shared" si="44"/>
        <v>373</v>
      </c>
      <c r="C384" s="8">
        <f t="shared" si="45"/>
        <v>54154</v>
      </c>
      <c r="D384" s="6">
        <v>1914</v>
      </c>
      <c r="F384" s="5">
        <f t="shared" si="47"/>
        <v>-39540.250909384311</v>
      </c>
      <c r="G384" s="5">
        <f t="shared" si="42"/>
        <v>1036.7096125010085</v>
      </c>
      <c r="H384" s="5">
        <f t="shared" si="46"/>
        <v>-135.91961250100857</v>
      </c>
      <c r="I384" s="6">
        <v>1013.21</v>
      </c>
      <c r="J384" s="5">
        <f t="shared" si="48"/>
        <v>372851.74000000162</v>
      </c>
      <c r="L384" s="5">
        <f t="shared" si="43"/>
        <v>-40576.960521885318</v>
      </c>
      <c r="M384" s="9">
        <f t="shared" si="41"/>
        <v>-0.13391736145836738</v>
      </c>
    </row>
    <row r="385" spans="2:13" x14ac:dyDescent="0.3">
      <c r="B385">
        <f t="shared" si="44"/>
        <v>374</v>
      </c>
      <c r="C385" s="8">
        <f t="shared" si="45"/>
        <v>54184.5</v>
      </c>
      <c r="D385" s="6">
        <v>1914</v>
      </c>
      <c r="F385" s="5">
        <f t="shared" si="47"/>
        <v>-40576.960521885318</v>
      </c>
      <c r="G385" s="5">
        <f t="shared" si="42"/>
        <v>1040.2733017939809</v>
      </c>
      <c r="H385" s="5">
        <f t="shared" si="46"/>
        <v>-139.48330179398079</v>
      </c>
      <c r="I385" s="6">
        <v>1013.21</v>
      </c>
      <c r="J385" s="5">
        <f t="shared" si="48"/>
        <v>373864.95000000164</v>
      </c>
      <c r="L385" s="5">
        <f t="shared" si="43"/>
        <v>-41617.2338236793</v>
      </c>
      <c r="M385" s="9">
        <f t="shared" si="41"/>
        <v>-0.13735060667880958</v>
      </c>
    </row>
    <row r="386" spans="2:13" x14ac:dyDescent="0.3">
      <c r="B386">
        <f t="shared" si="44"/>
        <v>375</v>
      </c>
      <c r="C386" s="8">
        <f t="shared" si="45"/>
        <v>54215</v>
      </c>
      <c r="D386" s="6">
        <v>1914</v>
      </c>
      <c r="F386" s="5">
        <f t="shared" si="47"/>
        <v>-41617.2338236793</v>
      </c>
      <c r="G386" s="5">
        <f t="shared" si="42"/>
        <v>1043.8492412688975</v>
      </c>
      <c r="H386" s="5">
        <f t="shared" si="46"/>
        <v>-143.05924126889761</v>
      </c>
      <c r="I386" s="6">
        <v>1013.21</v>
      </c>
      <c r="J386" s="5">
        <f t="shared" si="48"/>
        <v>374878.16000000166</v>
      </c>
      <c r="L386" s="5">
        <f t="shared" si="43"/>
        <v>-42661.083064948201</v>
      </c>
      <c r="M386" s="9">
        <f t="shared" si="41"/>
        <v>-0.14079565367969704</v>
      </c>
    </row>
    <row r="387" spans="2:13" x14ac:dyDescent="0.3">
      <c r="B387">
        <f t="shared" si="44"/>
        <v>376</v>
      </c>
      <c r="C387" s="8">
        <f t="shared" si="45"/>
        <v>54245.5</v>
      </c>
      <c r="D387" s="6">
        <v>1914</v>
      </c>
      <c r="F387" s="5">
        <f t="shared" si="47"/>
        <v>-42661.083064948201</v>
      </c>
      <c r="G387" s="5">
        <f t="shared" si="42"/>
        <v>1047.4374730357595</v>
      </c>
      <c r="H387" s="5">
        <f t="shared" si="46"/>
        <v>-146.64747303575945</v>
      </c>
      <c r="I387" s="6">
        <v>1013.21</v>
      </c>
      <c r="J387" s="5">
        <f t="shared" si="48"/>
        <v>375891.37000000168</v>
      </c>
      <c r="L387" s="5">
        <f t="shared" si="43"/>
        <v>-43708.520537983961</v>
      </c>
      <c r="M387" s="9">
        <f t="shared" si="41"/>
        <v>-0.14425254302965004</v>
      </c>
    </row>
    <row r="388" spans="2:13" x14ac:dyDescent="0.3">
      <c r="B388">
        <f t="shared" si="44"/>
        <v>377</v>
      </c>
      <c r="C388" s="8">
        <f t="shared" si="45"/>
        <v>54276</v>
      </c>
      <c r="D388" s="6">
        <v>1914</v>
      </c>
      <c r="F388" s="5">
        <f t="shared" si="47"/>
        <v>-43708.520537983961</v>
      </c>
      <c r="G388" s="5">
        <f t="shared" si="42"/>
        <v>1051.0380393493197</v>
      </c>
      <c r="H388" s="5">
        <f t="shared" si="46"/>
        <v>-150.24803934931987</v>
      </c>
      <c r="I388" s="6">
        <v>1013.21</v>
      </c>
      <c r="J388" s="5">
        <f t="shared" si="48"/>
        <v>376904.5800000017</v>
      </c>
      <c r="L388" s="5">
        <f t="shared" si="43"/>
        <v>-44759.558577333279</v>
      </c>
      <c r="M388" s="9">
        <f t="shared" si="41"/>
        <v>-0.14772131543674349</v>
      </c>
    </row>
    <row r="389" spans="2:13" x14ac:dyDescent="0.3">
      <c r="B389">
        <f t="shared" si="44"/>
        <v>378</v>
      </c>
      <c r="C389" s="8">
        <f t="shared" si="45"/>
        <v>54306.5</v>
      </c>
      <c r="D389" s="6">
        <v>1914</v>
      </c>
      <c r="F389" s="5">
        <f t="shared" si="47"/>
        <v>-44759.558577333279</v>
      </c>
      <c r="G389" s="5">
        <f t="shared" si="42"/>
        <v>1054.650982609583</v>
      </c>
      <c r="H389" s="5">
        <f t="shared" si="46"/>
        <v>-153.86098260958315</v>
      </c>
      <c r="I389" s="6">
        <v>1013.21</v>
      </c>
      <c r="J389" s="5">
        <f t="shared" si="48"/>
        <v>377917.79000000173</v>
      </c>
      <c r="L389" s="5">
        <f t="shared" si="43"/>
        <v>-45814.209559942865</v>
      </c>
      <c r="M389" s="9">
        <f t="shared" si="41"/>
        <v>-0.15120201174898634</v>
      </c>
    </row>
    <row r="390" spans="2:13" x14ac:dyDescent="0.3">
      <c r="B390">
        <f t="shared" si="44"/>
        <v>379</v>
      </c>
      <c r="C390" s="8">
        <f t="shared" si="45"/>
        <v>54337</v>
      </c>
      <c r="D390" s="6">
        <v>1914</v>
      </c>
      <c r="F390" s="5">
        <f t="shared" si="47"/>
        <v>-45814.209559942865</v>
      </c>
      <c r="G390" s="5">
        <f t="shared" si="42"/>
        <v>1058.2763453623038</v>
      </c>
      <c r="H390" s="5">
        <f t="shared" si="46"/>
        <v>-157.48634536230361</v>
      </c>
      <c r="I390" s="6">
        <v>1013.21</v>
      </c>
      <c r="J390" s="5">
        <f t="shared" si="48"/>
        <v>378931.00000000175</v>
      </c>
      <c r="L390" s="5">
        <f t="shared" si="43"/>
        <v>-46872.48590530517</v>
      </c>
      <c r="M390" s="9">
        <f t="shared" si="41"/>
        <v>-0.15469467295480255</v>
      </c>
    </row>
    <row r="391" spans="2:13" x14ac:dyDescent="0.3">
      <c r="B391">
        <f t="shared" si="44"/>
        <v>380</v>
      </c>
      <c r="C391" s="8">
        <f t="shared" si="45"/>
        <v>54367.5</v>
      </c>
      <c r="D391" s="6">
        <v>1914</v>
      </c>
      <c r="F391" s="5">
        <f t="shared" si="47"/>
        <v>-46872.48590530517</v>
      </c>
      <c r="G391" s="5">
        <f t="shared" si="42"/>
        <v>1061.9141702994866</v>
      </c>
      <c r="H391" s="5">
        <f t="shared" si="46"/>
        <v>-161.12417029948654</v>
      </c>
      <c r="I391" s="6">
        <v>1013.21</v>
      </c>
      <c r="J391" s="5">
        <f t="shared" si="48"/>
        <v>379944.21000000177</v>
      </c>
      <c r="L391" s="5">
        <f t="shared" si="43"/>
        <v>-47934.400075604659</v>
      </c>
      <c r="M391" s="9">
        <f t="shared" si="41"/>
        <v>-0.15819934018351373</v>
      </c>
    </row>
    <row r="392" spans="2:13" x14ac:dyDescent="0.3">
      <c r="B392">
        <f t="shared" si="44"/>
        <v>381</v>
      </c>
      <c r="C392" s="8">
        <f t="shared" si="45"/>
        <v>54398</v>
      </c>
      <c r="D392" s="6">
        <v>1914</v>
      </c>
      <c r="F392" s="5">
        <f t="shared" si="47"/>
        <v>-47934.400075604659</v>
      </c>
      <c r="G392" s="5">
        <f t="shared" si="42"/>
        <v>1065.5645002598908</v>
      </c>
      <c r="H392" s="5">
        <f t="shared" si="46"/>
        <v>-164.77450025989103</v>
      </c>
      <c r="I392" s="6">
        <v>1013.21</v>
      </c>
      <c r="J392" s="5">
        <f t="shared" si="48"/>
        <v>380957.42000000179</v>
      </c>
      <c r="L392" s="5">
        <f t="shared" si="43"/>
        <v>-48999.964575864549</v>
      </c>
      <c r="M392" s="9">
        <f t="shared" si="41"/>
        <v>-0.16171605470582359</v>
      </c>
    </row>
    <row r="393" spans="2:13" x14ac:dyDescent="0.3">
      <c r="B393">
        <f t="shared" si="44"/>
        <v>382</v>
      </c>
      <c r="C393" s="8">
        <f t="shared" si="45"/>
        <v>54428.5</v>
      </c>
      <c r="D393" s="6">
        <v>1914</v>
      </c>
      <c r="F393" s="5">
        <f t="shared" si="47"/>
        <v>-48999.964575864549</v>
      </c>
      <c r="G393" s="5">
        <f t="shared" si="42"/>
        <v>1069.2273782295342</v>
      </c>
      <c r="H393" s="5">
        <f t="shared" si="46"/>
        <v>-168.4373782295344</v>
      </c>
      <c r="I393" s="6">
        <v>1013.21</v>
      </c>
      <c r="J393" s="5">
        <f t="shared" si="48"/>
        <v>381970.63000000181</v>
      </c>
      <c r="L393" s="5">
        <f t="shared" si="43"/>
        <v>-50069.191954094087</v>
      </c>
      <c r="M393" s="9">
        <f t="shared" si="41"/>
        <v>-0.16524485793430391</v>
      </c>
    </row>
    <row r="394" spans="2:13" x14ac:dyDescent="0.3">
      <c r="B394">
        <f t="shared" si="44"/>
        <v>383</v>
      </c>
      <c r="C394" s="8">
        <f t="shared" si="45"/>
        <v>54459</v>
      </c>
      <c r="D394" s="6">
        <v>1914</v>
      </c>
      <c r="F394" s="5">
        <f t="shared" si="47"/>
        <v>-50069.191954094087</v>
      </c>
      <c r="G394" s="5">
        <f t="shared" si="42"/>
        <v>1072.9028473421986</v>
      </c>
      <c r="H394" s="5">
        <f t="shared" si="46"/>
        <v>-172.11284734219842</v>
      </c>
      <c r="I394" s="6">
        <v>1013.21</v>
      </c>
      <c r="J394" s="5">
        <f t="shared" si="48"/>
        <v>382983.84000000183</v>
      </c>
      <c r="L394" s="5">
        <f t="shared" si="43"/>
        <v>-51142.094801436288</v>
      </c>
      <c r="M394" s="9">
        <f t="shared" si="41"/>
        <v>-0.16878579142388214</v>
      </c>
    </row>
    <row r="395" spans="2:13" x14ac:dyDescent="0.3">
      <c r="B395">
        <f t="shared" si="44"/>
        <v>384</v>
      </c>
      <c r="C395" s="8">
        <f t="shared" si="45"/>
        <v>54489.5</v>
      </c>
      <c r="D395" s="6">
        <v>1914</v>
      </c>
      <c r="F395" s="5">
        <f t="shared" si="47"/>
        <v>-51142.094801436288</v>
      </c>
      <c r="G395" s="5">
        <f t="shared" si="42"/>
        <v>1076.5909508799373</v>
      </c>
      <c r="H395" s="5">
        <f t="shared" si="46"/>
        <v>-175.80095087993723</v>
      </c>
      <c r="I395" s="6">
        <v>1013.21</v>
      </c>
      <c r="J395" s="5">
        <f t="shared" si="48"/>
        <v>383997.05000000185</v>
      </c>
      <c r="L395" s="5">
        <f t="shared" si="43"/>
        <v>-52218.685752316225</v>
      </c>
      <c r="M395" s="9">
        <f t="shared" si="41"/>
        <v>-0.17233889687233078</v>
      </c>
    </row>
    <row r="396" spans="2:13" x14ac:dyDescent="0.3">
      <c r="B396">
        <f t="shared" si="44"/>
        <v>385</v>
      </c>
      <c r="C396" s="8">
        <f t="shared" si="45"/>
        <v>54520</v>
      </c>
      <c r="D396" s="6">
        <v>1914</v>
      </c>
      <c r="F396" s="5">
        <f t="shared" si="47"/>
        <v>-52218.685752316225</v>
      </c>
      <c r="G396" s="5">
        <f t="shared" si="42"/>
        <v>1080.2917322735871</v>
      </c>
      <c r="H396" s="5">
        <f t="shared" si="46"/>
        <v>-179.50173227358701</v>
      </c>
      <c r="I396" s="6">
        <v>1013.21</v>
      </c>
      <c r="J396" s="5">
        <f t="shared" si="48"/>
        <v>385010.26000000187</v>
      </c>
      <c r="L396" s="5">
        <f t="shared" si="43"/>
        <v>-53298.977484589814</v>
      </c>
      <c r="M396" s="9">
        <f t="shared" ref="M396" si="49">L396/$C$2</f>
        <v>-0.17590421612075846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45"/>
  <sheetViews>
    <sheetView workbookViewId="0">
      <pane ySplit="8" topLeftCell="A9" activePane="bottomLeft" state="frozenSplit"/>
      <selection pane="bottomLeft" activeCell="J16" sqref="J16"/>
    </sheetView>
  </sheetViews>
  <sheetFormatPr defaultRowHeight="14.4" x14ac:dyDescent="0.3"/>
  <cols>
    <col min="1" max="1" width="12.88671875" bestFit="1" customWidth="1"/>
    <col min="2" max="2" width="22.5546875" customWidth="1"/>
    <col min="3" max="3" width="7.6640625" customWidth="1"/>
    <col min="4" max="4" width="10.109375" bestFit="1" customWidth="1"/>
    <col min="5" max="5" width="13.5546875" customWidth="1"/>
    <col min="8" max="8" width="13.21875" bestFit="1" customWidth="1"/>
    <col min="9" max="9" width="11.109375" bestFit="1" customWidth="1"/>
  </cols>
  <sheetData>
    <row r="2" spans="1:10" x14ac:dyDescent="0.3">
      <c r="B2" t="s">
        <v>7</v>
      </c>
      <c r="D2" s="1">
        <v>0.08</v>
      </c>
      <c r="E2" s="1"/>
      <c r="F2" s="2" t="s">
        <v>8</v>
      </c>
    </row>
    <row r="3" spans="1:10" x14ac:dyDescent="0.3">
      <c r="B3" t="s">
        <v>6</v>
      </c>
      <c r="D3">
        <v>0</v>
      </c>
      <c r="E3" s="1"/>
    </row>
    <row r="4" spans="1:10" x14ac:dyDescent="0.3">
      <c r="B4" t="s">
        <v>0</v>
      </c>
      <c r="D4" s="2">
        <v>25000</v>
      </c>
      <c r="E4" s="2"/>
    </row>
    <row r="5" spans="1:10" x14ac:dyDescent="0.3">
      <c r="B5" t="s">
        <v>9</v>
      </c>
      <c r="D5" s="3">
        <v>4</v>
      </c>
      <c r="E5" s="2"/>
    </row>
    <row r="6" spans="1:10" x14ac:dyDescent="0.3">
      <c r="B6" t="s">
        <v>10</v>
      </c>
      <c r="D6">
        <v>1</v>
      </c>
    </row>
    <row r="8" spans="1:10" x14ac:dyDescent="0.3">
      <c r="A8" t="s">
        <v>87</v>
      </c>
      <c r="B8" t="s">
        <v>1</v>
      </c>
      <c r="C8" t="s">
        <v>11</v>
      </c>
      <c r="D8" t="s">
        <v>2</v>
      </c>
      <c r="E8" t="s">
        <v>3</v>
      </c>
      <c r="F8" t="s">
        <v>4</v>
      </c>
      <c r="G8" t="s">
        <v>5</v>
      </c>
      <c r="H8" t="s">
        <v>14</v>
      </c>
      <c r="I8" t="s">
        <v>13</v>
      </c>
    </row>
    <row r="9" spans="1:10" x14ac:dyDescent="0.3">
      <c r="B9">
        <v>1</v>
      </c>
      <c r="C9">
        <v>26</v>
      </c>
      <c r="D9" s="2">
        <v>17278</v>
      </c>
      <c r="E9" s="2">
        <v>0</v>
      </c>
      <c r="F9" s="2">
        <v>0</v>
      </c>
      <c r="G9" s="2">
        <f t="shared" ref="G9:G30" si="0">D9*(1+($D$2/$D$5))^($D$5*$D$6)-D9</f>
        <v>1424.2628604800011</v>
      </c>
      <c r="H9" s="2">
        <f>G9+E9+D9</f>
        <v>18702.262860480001</v>
      </c>
      <c r="I9" s="12"/>
    </row>
    <row r="10" spans="1:10" x14ac:dyDescent="0.3">
      <c r="B10">
        <f>B9+1</f>
        <v>2</v>
      </c>
      <c r="C10">
        <f>C9+1</f>
        <v>27</v>
      </c>
      <c r="D10" s="2">
        <f>H9</f>
        <v>18702.262860480001</v>
      </c>
      <c r="E10" s="2">
        <v>5500</v>
      </c>
      <c r="F10" s="2">
        <v>0</v>
      </c>
      <c r="G10" s="2">
        <f t="shared" si="0"/>
        <v>1541.667924477144</v>
      </c>
      <c r="H10" s="2">
        <f t="shared" ref="H10:H26" si="1">G10+E10+D10</f>
        <v>25743.930784957145</v>
      </c>
      <c r="I10" s="12"/>
    </row>
    <row r="11" spans="1:10" x14ac:dyDescent="0.3">
      <c r="B11">
        <f t="shared" ref="B11:B43" si="2">B10+1</f>
        <v>3</v>
      </c>
      <c r="C11">
        <f t="shared" ref="C11:C37" si="3">C10+1</f>
        <v>28</v>
      </c>
      <c r="D11" s="2">
        <f t="shared" ref="D11:D43" si="4">H10</f>
        <v>25743.930784957145</v>
      </c>
      <c r="E11" s="2">
        <v>5500</v>
      </c>
      <c r="F11" s="2">
        <v>0</v>
      </c>
      <c r="G11" s="2">
        <f t="shared" si="0"/>
        <v>2122.1278214945123</v>
      </c>
      <c r="H11" s="2">
        <f t="shared" si="1"/>
        <v>33366.058606451654</v>
      </c>
      <c r="I11" s="12"/>
    </row>
    <row r="12" spans="1:10" x14ac:dyDescent="0.3">
      <c r="B12">
        <f t="shared" si="2"/>
        <v>4</v>
      </c>
      <c r="C12">
        <f t="shared" si="3"/>
        <v>29</v>
      </c>
      <c r="D12" s="2">
        <f t="shared" si="4"/>
        <v>33366.058606451654</v>
      </c>
      <c r="E12" s="2">
        <v>5500</v>
      </c>
      <c r="F12" s="2">
        <v>0</v>
      </c>
      <c r="G12" s="2">
        <f t="shared" si="0"/>
        <v>2750.4362816163994</v>
      </c>
      <c r="H12" s="2">
        <f t="shared" si="1"/>
        <v>41616.494888068053</v>
      </c>
      <c r="I12" s="12"/>
    </row>
    <row r="13" spans="1:10" x14ac:dyDescent="0.3">
      <c r="B13">
        <f t="shared" si="2"/>
        <v>5</v>
      </c>
      <c r="C13">
        <f t="shared" si="3"/>
        <v>30</v>
      </c>
      <c r="D13" s="2">
        <f t="shared" si="4"/>
        <v>41616.494888068053</v>
      </c>
      <c r="E13" s="2">
        <f t="shared" ref="E13:E43" si="5">$D$3*12</f>
        <v>0</v>
      </c>
      <c r="F13" s="2">
        <v>0</v>
      </c>
      <c r="G13" s="2">
        <f t="shared" si="0"/>
        <v>3430.537565252409</v>
      </c>
      <c r="H13" s="2">
        <f t="shared" si="1"/>
        <v>45047.032453320462</v>
      </c>
      <c r="I13" s="12"/>
    </row>
    <row r="14" spans="1:10" x14ac:dyDescent="0.3">
      <c r="B14">
        <f t="shared" si="2"/>
        <v>6</v>
      </c>
      <c r="C14">
        <f t="shared" si="3"/>
        <v>31</v>
      </c>
      <c r="D14" s="2">
        <f t="shared" si="4"/>
        <v>45047.032453320462</v>
      </c>
      <c r="E14" s="2">
        <f t="shared" si="5"/>
        <v>0</v>
      </c>
      <c r="F14" s="2">
        <v>0</v>
      </c>
      <c r="G14" s="2">
        <f t="shared" si="0"/>
        <v>3713.3241867173056</v>
      </c>
      <c r="H14" s="2">
        <f t="shared" si="1"/>
        <v>48760.356640037768</v>
      </c>
      <c r="I14" s="12">
        <v>48372</v>
      </c>
      <c r="J14" s="81"/>
    </row>
    <row r="15" spans="1:10" x14ac:dyDescent="0.3">
      <c r="B15">
        <f t="shared" si="2"/>
        <v>7</v>
      </c>
      <c r="C15">
        <f t="shared" si="3"/>
        <v>32</v>
      </c>
      <c r="D15" s="2">
        <f t="shared" si="4"/>
        <v>48760.356640037768</v>
      </c>
      <c r="E15" s="2">
        <f t="shared" si="5"/>
        <v>0</v>
      </c>
      <c r="F15" s="2">
        <v>0</v>
      </c>
      <c r="G15" s="2">
        <f t="shared" si="0"/>
        <v>4019.4215202086561</v>
      </c>
      <c r="H15" s="2">
        <f t="shared" si="1"/>
        <v>52779.778160246424</v>
      </c>
      <c r="I15" s="12">
        <v>56495</v>
      </c>
      <c r="J15" s="81">
        <f t="shared" ref="J15" si="6">I15/I14-1</f>
        <v>0.16792772678408996</v>
      </c>
    </row>
    <row r="16" spans="1:10" x14ac:dyDescent="0.3">
      <c r="B16">
        <f t="shared" si="2"/>
        <v>8</v>
      </c>
      <c r="C16">
        <f t="shared" si="3"/>
        <v>33</v>
      </c>
      <c r="D16" s="2">
        <f t="shared" si="4"/>
        <v>52779.778160246424</v>
      </c>
      <c r="E16" s="2">
        <f t="shared" si="5"/>
        <v>0</v>
      </c>
      <c r="F16" s="2">
        <v>0</v>
      </c>
      <c r="G16" s="2">
        <f t="shared" si="0"/>
        <v>4350.7511180699366</v>
      </c>
      <c r="H16" s="2">
        <f t="shared" si="1"/>
        <v>57130.52927831636</v>
      </c>
      <c r="I16" s="12">
        <v>65709</v>
      </c>
      <c r="J16" s="81">
        <f>I16/I15-1</f>
        <v>0.1630940791220461</v>
      </c>
    </row>
    <row r="17" spans="2:9" x14ac:dyDescent="0.3">
      <c r="B17">
        <f t="shared" si="2"/>
        <v>9</v>
      </c>
      <c r="C17">
        <f t="shared" si="3"/>
        <v>34</v>
      </c>
      <c r="D17" s="2">
        <f t="shared" si="4"/>
        <v>57130.52927831636</v>
      </c>
      <c r="E17" s="2">
        <f t="shared" si="5"/>
        <v>0</v>
      </c>
      <c r="F17" s="2">
        <v>0</v>
      </c>
      <c r="G17" s="2">
        <f t="shared" si="0"/>
        <v>4709.3929303548575</v>
      </c>
      <c r="H17" s="2">
        <f t="shared" si="1"/>
        <v>61839.922208671218</v>
      </c>
      <c r="I17" s="12"/>
    </row>
    <row r="18" spans="2:9" x14ac:dyDescent="0.3">
      <c r="B18">
        <f t="shared" si="2"/>
        <v>10</v>
      </c>
      <c r="C18">
        <f t="shared" si="3"/>
        <v>35</v>
      </c>
      <c r="D18" s="2">
        <f t="shared" si="4"/>
        <v>61839.922208671218</v>
      </c>
      <c r="E18" s="2">
        <f t="shared" si="5"/>
        <v>0</v>
      </c>
      <c r="F18" s="2">
        <v>0</v>
      </c>
      <c r="G18" s="2">
        <f t="shared" si="0"/>
        <v>5097.5983618927348</v>
      </c>
      <c r="H18" s="2">
        <f t="shared" si="1"/>
        <v>66937.520570563953</v>
      </c>
      <c r="I18" s="12"/>
    </row>
    <row r="19" spans="2:9" x14ac:dyDescent="0.3">
      <c r="B19">
        <f t="shared" si="2"/>
        <v>11</v>
      </c>
      <c r="C19">
        <f t="shared" si="3"/>
        <v>36</v>
      </c>
      <c r="D19" s="2">
        <f t="shared" si="4"/>
        <v>66937.520570563953</v>
      </c>
      <c r="E19" s="2">
        <f t="shared" si="5"/>
        <v>0</v>
      </c>
      <c r="F19" s="2">
        <v>0</v>
      </c>
      <c r="G19" s="2">
        <f t="shared" si="0"/>
        <v>5517.8044056760118</v>
      </c>
      <c r="H19" s="2">
        <f t="shared" si="1"/>
        <v>72455.324976239965</v>
      </c>
      <c r="I19" s="12"/>
    </row>
    <row r="20" spans="2:9" x14ac:dyDescent="0.3">
      <c r="B20">
        <f t="shared" si="2"/>
        <v>12</v>
      </c>
      <c r="C20">
        <f t="shared" si="3"/>
        <v>37</v>
      </c>
      <c r="D20" s="2">
        <f t="shared" si="4"/>
        <v>72455.324976239965</v>
      </c>
      <c r="E20" s="2">
        <f t="shared" si="5"/>
        <v>0</v>
      </c>
      <c r="F20" s="2">
        <v>0</v>
      </c>
      <c r="G20" s="2">
        <f t="shared" si="0"/>
        <v>5972.6489412934025</v>
      </c>
      <c r="H20" s="2">
        <f t="shared" si="1"/>
        <v>78427.973917533367</v>
      </c>
      <c r="I20" s="12"/>
    </row>
    <row r="21" spans="2:9" x14ac:dyDescent="0.3">
      <c r="B21">
        <f t="shared" si="2"/>
        <v>13</v>
      </c>
      <c r="C21">
        <f t="shared" si="3"/>
        <v>38</v>
      </c>
      <c r="D21" s="2">
        <f t="shared" si="4"/>
        <v>78427.973917533367</v>
      </c>
      <c r="E21" s="2">
        <f t="shared" si="5"/>
        <v>0</v>
      </c>
      <c r="F21" s="2">
        <v>0</v>
      </c>
      <c r="G21" s="2">
        <f t="shared" si="0"/>
        <v>6464.9872944459348</v>
      </c>
      <c r="H21" s="2">
        <f t="shared" si="1"/>
        <v>84892.961211979302</v>
      </c>
      <c r="I21" s="12"/>
    </row>
    <row r="22" spans="2:9" x14ac:dyDescent="0.3">
      <c r="B22">
        <f t="shared" si="2"/>
        <v>14</v>
      </c>
      <c r="C22">
        <f t="shared" si="3"/>
        <v>39</v>
      </c>
      <c r="D22" s="2">
        <f t="shared" si="4"/>
        <v>84892.961211979302</v>
      </c>
      <c r="E22" s="2">
        <f t="shared" si="5"/>
        <v>0</v>
      </c>
      <c r="F22" s="2">
        <v>0</v>
      </c>
      <c r="G22" s="2">
        <f t="shared" si="0"/>
        <v>6997.9101614996762</v>
      </c>
      <c r="H22" s="2">
        <f t="shared" si="1"/>
        <v>91890.871373478978</v>
      </c>
      <c r="I22" s="12"/>
    </row>
    <row r="23" spans="2:9" x14ac:dyDescent="0.3">
      <c r="B23">
        <f t="shared" si="2"/>
        <v>15</v>
      </c>
      <c r="C23">
        <f t="shared" si="3"/>
        <v>40</v>
      </c>
      <c r="D23" s="2">
        <f t="shared" si="4"/>
        <v>91890.871373478978</v>
      </c>
      <c r="E23" s="2">
        <f t="shared" si="5"/>
        <v>0</v>
      </c>
      <c r="F23" s="2">
        <v>0</v>
      </c>
      <c r="G23" s="2">
        <f t="shared" si="0"/>
        <v>7574.7630115980428</v>
      </c>
      <c r="H23" s="2">
        <f t="shared" si="1"/>
        <v>99465.634385077021</v>
      </c>
      <c r="I23" s="12"/>
    </row>
    <row r="24" spans="2:9" x14ac:dyDescent="0.3">
      <c r="B24">
        <f t="shared" si="2"/>
        <v>16</v>
      </c>
      <c r="C24">
        <f t="shared" si="3"/>
        <v>41</v>
      </c>
      <c r="D24" s="2">
        <f t="shared" si="4"/>
        <v>99465.634385077021</v>
      </c>
      <c r="E24" s="2">
        <f t="shared" si="5"/>
        <v>0</v>
      </c>
      <c r="F24" s="2">
        <v>0</v>
      </c>
      <c r="G24" s="2">
        <f t="shared" si="0"/>
        <v>8199.1670881321625</v>
      </c>
      <c r="H24" s="2">
        <f t="shared" si="1"/>
        <v>107664.80147320918</v>
      </c>
      <c r="I24" s="12"/>
    </row>
    <row r="25" spans="2:9" x14ac:dyDescent="0.3">
      <c r="B25">
        <f t="shared" si="2"/>
        <v>17</v>
      </c>
      <c r="C25">
        <f t="shared" si="3"/>
        <v>42</v>
      </c>
      <c r="D25" s="2">
        <f t="shared" si="4"/>
        <v>107664.80147320918</v>
      </c>
      <c r="E25" s="2">
        <f t="shared" si="5"/>
        <v>0</v>
      </c>
      <c r="F25" s="2">
        <v>0</v>
      </c>
      <c r="G25" s="2">
        <f t="shared" si="0"/>
        <v>8875.0421414078155</v>
      </c>
      <c r="H25" s="2">
        <f t="shared" si="1"/>
        <v>116539.843614617</v>
      </c>
      <c r="I25" s="12"/>
    </row>
    <row r="26" spans="2:9" x14ac:dyDescent="0.3">
      <c r="B26">
        <f t="shared" si="2"/>
        <v>18</v>
      </c>
      <c r="C26">
        <f t="shared" si="3"/>
        <v>43</v>
      </c>
      <c r="D26" s="2">
        <f t="shared" si="4"/>
        <v>116539.843614617</v>
      </c>
      <c r="E26" s="2">
        <f t="shared" si="5"/>
        <v>0</v>
      </c>
      <c r="F26" s="2">
        <v>0</v>
      </c>
      <c r="G26" s="2">
        <f t="shared" si="0"/>
        <v>9606.6310352150904</v>
      </c>
      <c r="H26" s="2">
        <f t="shared" si="1"/>
        <v>126146.47464983209</v>
      </c>
      <c r="I26" s="12"/>
    </row>
    <row r="27" spans="2:9" x14ac:dyDescent="0.3">
      <c r="B27">
        <f t="shared" si="2"/>
        <v>19</v>
      </c>
      <c r="C27">
        <f t="shared" si="3"/>
        <v>44</v>
      </c>
      <c r="D27" s="2">
        <f t="shared" si="4"/>
        <v>126146.47464983209</v>
      </c>
      <c r="E27" s="2">
        <f t="shared" si="5"/>
        <v>0</v>
      </c>
      <c r="F27" s="2">
        <v>0</v>
      </c>
      <c r="G27" s="2">
        <f t="shared" si="0"/>
        <v>10398.526381770906</v>
      </c>
      <c r="H27" s="2">
        <f>G27+E27+D27-F27</f>
        <v>136545.00103160299</v>
      </c>
      <c r="I27" s="12"/>
    </row>
    <row r="28" spans="2:9" x14ac:dyDescent="0.3">
      <c r="B28">
        <f t="shared" si="2"/>
        <v>20</v>
      </c>
      <c r="C28">
        <f t="shared" si="3"/>
        <v>45</v>
      </c>
      <c r="D28" s="2">
        <f t="shared" si="4"/>
        <v>136545.00103160299</v>
      </c>
      <c r="E28" s="2">
        <f t="shared" si="5"/>
        <v>0</v>
      </c>
      <c r="F28" s="2">
        <v>0</v>
      </c>
      <c r="G28" s="2">
        <f t="shared" si="0"/>
        <v>11255.699372237257</v>
      </c>
      <c r="H28" s="2">
        <f t="shared" ref="H28:H43" si="7">G28+E28+D28-F28</f>
        <v>147800.70040384025</v>
      </c>
      <c r="I28" s="12"/>
    </row>
    <row r="29" spans="2:9" x14ac:dyDescent="0.3">
      <c r="B29">
        <f t="shared" si="2"/>
        <v>21</v>
      </c>
      <c r="C29">
        <f t="shared" si="3"/>
        <v>46</v>
      </c>
      <c r="D29" s="2">
        <f t="shared" si="4"/>
        <v>147800.70040384025</v>
      </c>
      <c r="E29" s="2">
        <f t="shared" si="5"/>
        <v>0</v>
      </c>
      <c r="F29" s="2">
        <v>0</v>
      </c>
      <c r="G29" s="2">
        <f t="shared" si="0"/>
        <v>12183.530983801407</v>
      </c>
      <c r="H29" s="2">
        <f t="shared" si="7"/>
        <v>159984.23138764166</v>
      </c>
      <c r="I29" s="12"/>
    </row>
    <row r="30" spans="2:9" x14ac:dyDescent="0.3">
      <c r="B30">
        <f t="shared" si="2"/>
        <v>22</v>
      </c>
      <c r="C30">
        <f t="shared" si="3"/>
        <v>47</v>
      </c>
      <c r="D30" s="2">
        <f t="shared" si="4"/>
        <v>159984.23138764166</v>
      </c>
      <c r="E30" s="2">
        <f t="shared" si="5"/>
        <v>0</v>
      </c>
      <c r="F30" s="2">
        <v>0</v>
      </c>
      <c r="G30" s="2">
        <f t="shared" si="0"/>
        <v>13187.845759223099</v>
      </c>
      <c r="H30" s="2">
        <f t="shared" si="7"/>
        <v>173172.07714686476</v>
      </c>
      <c r="I30" s="12"/>
    </row>
    <row r="31" spans="2:9" x14ac:dyDescent="0.3">
      <c r="B31">
        <f t="shared" si="2"/>
        <v>23</v>
      </c>
      <c r="C31">
        <f>C30+1</f>
        <v>48</v>
      </c>
      <c r="D31" s="2">
        <f t="shared" si="4"/>
        <v>173172.07714686476</v>
      </c>
      <c r="E31" s="2">
        <f t="shared" si="5"/>
        <v>0</v>
      </c>
      <c r="F31" s="2">
        <v>0</v>
      </c>
      <c r="G31" s="2">
        <f t="shared" ref="G31:G43" si="8">D31*(1+($D$2/$D$5))^($D$5*$D$6)-D31</f>
        <v>14274.948370902683</v>
      </c>
      <c r="H31" s="2">
        <f t="shared" si="7"/>
        <v>187447.02551776744</v>
      </c>
      <c r="I31" s="12"/>
    </row>
    <row r="32" spans="2:9" x14ac:dyDescent="0.3">
      <c r="B32">
        <f t="shared" si="2"/>
        <v>24</v>
      </c>
      <c r="C32">
        <f t="shared" si="3"/>
        <v>49</v>
      </c>
      <c r="D32" s="2">
        <f t="shared" si="4"/>
        <v>187447.02551776744</v>
      </c>
      <c r="E32" s="2">
        <f t="shared" si="5"/>
        <v>0</v>
      </c>
      <c r="F32" s="2">
        <v>0</v>
      </c>
      <c r="G32" s="2">
        <f t="shared" si="8"/>
        <v>15451.663199004688</v>
      </c>
      <c r="H32" s="2">
        <f t="shared" si="7"/>
        <v>202898.68871677213</v>
      </c>
      <c r="I32" s="12"/>
    </row>
    <row r="33" spans="2:9" x14ac:dyDescent="0.3">
      <c r="B33">
        <f t="shared" si="2"/>
        <v>25</v>
      </c>
      <c r="C33">
        <f t="shared" si="3"/>
        <v>50</v>
      </c>
      <c r="D33" s="2">
        <f t="shared" si="4"/>
        <v>202898.68871677213</v>
      </c>
      <c r="E33" s="2">
        <f t="shared" si="5"/>
        <v>0</v>
      </c>
      <c r="F33" s="2">
        <v>0</v>
      </c>
      <c r="G33" s="2">
        <f t="shared" si="8"/>
        <v>16725.377172091161</v>
      </c>
      <c r="H33" s="2">
        <f t="shared" si="7"/>
        <v>219624.06588886329</v>
      </c>
      <c r="I33" s="12"/>
    </row>
    <row r="34" spans="2:9" x14ac:dyDescent="0.3">
      <c r="B34">
        <f t="shared" si="2"/>
        <v>26</v>
      </c>
      <c r="C34">
        <f t="shared" si="3"/>
        <v>51</v>
      </c>
      <c r="D34" s="2">
        <f t="shared" si="4"/>
        <v>219624.06588886329</v>
      </c>
      <c r="E34" s="2">
        <f t="shared" si="5"/>
        <v>0</v>
      </c>
      <c r="F34" s="2">
        <v>0</v>
      </c>
      <c r="G34" s="2">
        <f t="shared" si="8"/>
        <v>18104.086139201303</v>
      </c>
      <c r="H34" s="2">
        <f t="shared" si="7"/>
        <v>237728.15202806459</v>
      </c>
      <c r="I34" s="12"/>
    </row>
    <row r="35" spans="2:9" x14ac:dyDescent="0.3">
      <c r="B35">
        <f t="shared" si="2"/>
        <v>27</v>
      </c>
      <c r="C35">
        <f t="shared" si="3"/>
        <v>52</v>
      </c>
      <c r="D35" s="2">
        <f t="shared" si="4"/>
        <v>237728.15202806459</v>
      </c>
      <c r="E35" s="2">
        <f t="shared" si="5"/>
        <v>0</v>
      </c>
      <c r="F35" s="2">
        <v>0</v>
      </c>
      <c r="G35" s="2">
        <f t="shared" si="8"/>
        <v>19596.445064481726</v>
      </c>
      <c r="H35" s="2">
        <f t="shared" si="7"/>
        <v>257324.59709254632</v>
      </c>
      <c r="I35" s="12"/>
    </row>
    <row r="36" spans="2:9" x14ac:dyDescent="0.3">
      <c r="B36">
        <f t="shared" si="2"/>
        <v>28</v>
      </c>
      <c r="C36">
        <f t="shared" si="3"/>
        <v>53</v>
      </c>
      <c r="D36" s="2">
        <f t="shared" si="4"/>
        <v>257324.59709254632</v>
      </c>
      <c r="E36" s="2">
        <f t="shared" si="5"/>
        <v>0</v>
      </c>
      <c r="F36" s="2">
        <v>0</v>
      </c>
      <c r="G36" s="2">
        <f t="shared" si="8"/>
        <v>21211.822359468293</v>
      </c>
      <c r="H36" s="2">
        <f t="shared" si="7"/>
        <v>278536.41945201461</v>
      </c>
      <c r="I36" s="12"/>
    </row>
    <row r="37" spans="2:9" x14ac:dyDescent="0.3">
      <c r="B37">
        <f t="shared" si="2"/>
        <v>29</v>
      </c>
      <c r="C37">
        <f t="shared" si="3"/>
        <v>54</v>
      </c>
      <c r="D37" s="2">
        <f t="shared" si="4"/>
        <v>278536.41945201461</v>
      </c>
      <c r="E37" s="2">
        <f t="shared" si="5"/>
        <v>0</v>
      </c>
      <c r="F37" s="2">
        <v>0</v>
      </c>
      <c r="G37" s="2">
        <f t="shared" si="8"/>
        <v>22960.358694095572</v>
      </c>
      <c r="H37" s="2">
        <f t="shared" si="7"/>
        <v>301496.77814611018</v>
      </c>
      <c r="I37" s="12"/>
    </row>
    <row r="38" spans="2:9" x14ac:dyDescent="0.3">
      <c r="B38">
        <f t="shared" si="2"/>
        <v>30</v>
      </c>
      <c r="C38">
        <f>C37+1</f>
        <v>55</v>
      </c>
      <c r="D38" s="2">
        <f t="shared" si="4"/>
        <v>301496.77814611018</v>
      </c>
      <c r="E38" s="2">
        <f t="shared" si="5"/>
        <v>0</v>
      </c>
      <c r="F38" s="2">
        <v>0</v>
      </c>
      <c r="G38" s="2">
        <f t="shared" si="8"/>
        <v>24853.030655624636</v>
      </c>
      <c r="H38" s="4">
        <f t="shared" si="7"/>
        <v>326349.80880173482</v>
      </c>
      <c r="I38" s="12"/>
    </row>
    <row r="39" spans="2:9" x14ac:dyDescent="0.3">
      <c r="B39">
        <f t="shared" si="2"/>
        <v>31</v>
      </c>
      <c r="C39">
        <f t="shared" ref="C39:C43" si="9">C38+1</f>
        <v>56</v>
      </c>
      <c r="D39" s="2">
        <f t="shared" si="4"/>
        <v>326349.80880173482</v>
      </c>
      <c r="E39" s="2">
        <f t="shared" si="5"/>
        <v>0</v>
      </c>
      <c r="F39" s="2">
        <v>0</v>
      </c>
      <c r="G39" s="2">
        <f t="shared" si="8"/>
        <v>26901.719655113993</v>
      </c>
      <c r="H39" s="2">
        <f t="shared" si="7"/>
        <v>353251.52845684881</v>
      </c>
      <c r="I39" s="12"/>
    </row>
    <row r="40" spans="2:9" x14ac:dyDescent="0.3">
      <c r="B40">
        <f t="shared" si="2"/>
        <v>32</v>
      </c>
      <c r="C40">
        <f t="shared" si="9"/>
        <v>57</v>
      </c>
      <c r="D40" s="2">
        <f t="shared" si="4"/>
        <v>353251.52845684881</v>
      </c>
      <c r="E40" s="2">
        <f t="shared" si="5"/>
        <v>0</v>
      </c>
      <c r="F40" s="2">
        <v>0</v>
      </c>
      <c r="G40" s="2">
        <f t="shared" si="8"/>
        <v>29119.286513999512</v>
      </c>
      <c r="H40" s="2">
        <f t="shared" si="7"/>
        <v>382370.81497084833</v>
      </c>
      <c r="I40" s="12"/>
    </row>
    <row r="41" spans="2:9" x14ac:dyDescent="0.3">
      <c r="B41">
        <f t="shared" si="2"/>
        <v>33</v>
      </c>
      <c r="C41">
        <f t="shared" si="9"/>
        <v>58</v>
      </c>
      <c r="D41" s="2">
        <f t="shared" si="4"/>
        <v>382370.81497084833</v>
      </c>
      <c r="E41" s="2">
        <f t="shared" si="5"/>
        <v>0</v>
      </c>
      <c r="F41" s="2">
        <v>0</v>
      </c>
      <c r="G41" s="2">
        <f t="shared" si="8"/>
        <v>31519.652199007338</v>
      </c>
      <c r="H41" s="2">
        <f t="shared" si="7"/>
        <v>413890.46716985566</v>
      </c>
      <c r="I41" s="12"/>
    </row>
    <row r="42" spans="2:9" x14ac:dyDescent="0.3">
      <c r="B42">
        <f t="shared" si="2"/>
        <v>34</v>
      </c>
      <c r="C42">
        <f t="shared" si="9"/>
        <v>59</v>
      </c>
      <c r="D42" s="2">
        <f t="shared" si="4"/>
        <v>413890.46716985566</v>
      </c>
      <c r="E42" s="2">
        <f t="shared" si="5"/>
        <v>0</v>
      </c>
      <c r="F42" s="2">
        <v>0</v>
      </c>
      <c r="G42" s="2">
        <f t="shared" si="8"/>
        <v>34117.885212220252</v>
      </c>
      <c r="H42" s="2">
        <f t="shared" si="7"/>
        <v>448008.35238207591</v>
      </c>
      <c r="I42" s="12"/>
    </row>
    <row r="43" spans="2:9" x14ac:dyDescent="0.3">
      <c r="B43">
        <f t="shared" si="2"/>
        <v>35</v>
      </c>
      <c r="C43">
        <f t="shared" si="9"/>
        <v>60</v>
      </c>
      <c r="D43" s="2">
        <f t="shared" si="4"/>
        <v>448008.35238207591</v>
      </c>
      <c r="E43" s="2">
        <f t="shared" si="5"/>
        <v>0</v>
      </c>
      <c r="F43" s="2">
        <v>0</v>
      </c>
      <c r="G43" s="2">
        <f t="shared" si="8"/>
        <v>36930.296184895677</v>
      </c>
      <c r="H43" s="2">
        <f t="shared" si="7"/>
        <v>484938.64856697159</v>
      </c>
      <c r="I43" s="12"/>
    </row>
    <row r="45" spans="2:9" x14ac:dyDescent="0.3">
      <c r="E45" s="2">
        <f>SUM(E9:E43)</f>
        <v>16500</v>
      </c>
      <c r="F45" s="2"/>
      <c r="G45" s="2">
        <f t="shared" ref="G45" si="10">SUM(G9:G43)</f>
        <v>451160.64856697159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45"/>
  <sheetViews>
    <sheetView workbookViewId="0">
      <pane ySplit="8" topLeftCell="A9" activePane="bottomLeft" state="frozenSplit"/>
      <selection activeCell="B5" sqref="B5:F15"/>
      <selection pane="bottomLeft" activeCell="J21" sqref="J21"/>
    </sheetView>
  </sheetViews>
  <sheetFormatPr defaultRowHeight="14.4" x14ac:dyDescent="0.3"/>
  <cols>
    <col min="1" max="1" width="12.88671875" bestFit="1" customWidth="1"/>
    <col min="2" max="2" width="22.5546875" customWidth="1"/>
    <col min="3" max="3" width="7.6640625" customWidth="1"/>
    <col min="4" max="4" width="10.109375" bestFit="1" customWidth="1"/>
    <col min="5" max="5" width="13.5546875" customWidth="1"/>
    <col min="8" max="8" width="10.109375" bestFit="1" customWidth="1"/>
    <col min="9" max="9" width="11.109375" bestFit="1" customWidth="1"/>
  </cols>
  <sheetData>
    <row r="2" spans="1:10" x14ac:dyDescent="0.3">
      <c r="B2" t="s">
        <v>7</v>
      </c>
      <c r="D2" s="1">
        <v>0.08</v>
      </c>
      <c r="E2" s="1"/>
      <c r="F2" s="2" t="s">
        <v>8</v>
      </c>
    </row>
    <row r="3" spans="1:10" x14ac:dyDescent="0.3">
      <c r="B3" t="s">
        <v>6</v>
      </c>
      <c r="D3">
        <v>0</v>
      </c>
      <c r="E3" s="1"/>
    </row>
    <row r="4" spans="1:10" x14ac:dyDescent="0.3">
      <c r="B4" t="s">
        <v>0</v>
      </c>
      <c r="D4" s="2">
        <v>25000</v>
      </c>
      <c r="E4" s="2"/>
    </row>
    <row r="5" spans="1:10" x14ac:dyDescent="0.3">
      <c r="B5" t="s">
        <v>9</v>
      </c>
      <c r="D5" s="3">
        <v>4</v>
      </c>
      <c r="E5" s="2"/>
    </row>
    <row r="6" spans="1:10" x14ac:dyDescent="0.3">
      <c r="B6" t="s">
        <v>10</v>
      </c>
      <c r="D6">
        <v>1</v>
      </c>
    </row>
    <row r="8" spans="1:10" x14ac:dyDescent="0.3">
      <c r="A8" t="s">
        <v>87</v>
      </c>
      <c r="B8" t="s">
        <v>1</v>
      </c>
      <c r="C8" t="s">
        <v>11</v>
      </c>
      <c r="D8" t="s">
        <v>2</v>
      </c>
      <c r="E8" t="s">
        <v>3</v>
      </c>
      <c r="F8" t="s">
        <v>4</v>
      </c>
      <c r="G8" t="s">
        <v>5</v>
      </c>
      <c r="H8" t="s">
        <v>15</v>
      </c>
      <c r="I8" t="s">
        <v>13</v>
      </c>
    </row>
    <row r="9" spans="1:10" x14ac:dyDescent="0.3">
      <c r="B9">
        <v>1</v>
      </c>
      <c r="C9">
        <v>30</v>
      </c>
      <c r="D9" s="2">
        <v>28160</v>
      </c>
      <c r="E9" s="2">
        <v>3666</v>
      </c>
      <c r="F9" s="2">
        <v>0</v>
      </c>
      <c r="G9" s="2">
        <f t="shared" ref="G9:G30" si="0">D9*(1+($D$2/$D$5))^($D$5*$D$6)-D9</f>
        <v>2321.2896255999985</v>
      </c>
      <c r="H9" s="2">
        <f>G9+E9+D9</f>
        <v>34147.289625599995</v>
      </c>
      <c r="I9" s="12"/>
    </row>
    <row r="10" spans="1:10" x14ac:dyDescent="0.3">
      <c r="B10">
        <f>B9+1</f>
        <v>2</v>
      </c>
      <c r="C10">
        <f>C9+1</f>
        <v>31</v>
      </c>
      <c r="D10" s="2">
        <f>H9</f>
        <v>34147.289625599995</v>
      </c>
      <c r="E10" s="2">
        <v>5500</v>
      </c>
      <c r="F10" s="2">
        <v>0</v>
      </c>
      <c r="G10" s="2">
        <f t="shared" si="0"/>
        <v>2814.8348419838003</v>
      </c>
      <c r="H10" s="2">
        <f t="shared" ref="H10:H26" si="1">G10+E10+D10</f>
        <v>42462.124467583795</v>
      </c>
      <c r="I10" s="12"/>
    </row>
    <row r="11" spans="1:10" x14ac:dyDescent="0.3">
      <c r="B11">
        <f t="shared" ref="B11:C43" si="2">B10+1</f>
        <v>3</v>
      </c>
      <c r="C11">
        <f t="shared" si="2"/>
        <v>32</v>
      </c>
      <c r="D11" s="2">
        <f t="shared" ref="D11:D43" si="3">H10</f>
        <v>42462.124467583795</v>
      </c>
      <c r="E11" s="2">
        <v>5500</v>
      </c>
      <c r="F11" s="2">
        <v>0</v>
      </c>
      <c r="G11" s="2">
        <f t="shared" si="0"/>
        <v>3500.2446380517795</v>
      </c>
      <c r="H11" s="2">
        <f t="shared" si="1"/>
        <v>51462.369105635575</v>
      </c>
      <c r="I11" s="12"/>
    </row>
    <row r="12" spans="1:10" x14ac:dyDescent="0.3">
      <c r="B12">
        <f t="shared" si="2"/>
        <v>4</v>
      </c>
      <c r="C12">
        <f t="shared" si="2"/>
        <v>33</v>
      </c>
      <c r="D12" s="2">
        <f t="shared" si="3"/>
        <v>51462.369105635575</v>
      </c>
      <c r="E12" s="2">
        <v>5500</v>
      </c>
      <c r="F12" s="2">
        <v>0</v>
      </c>
      <c r="G12" s="2">
        <f t="shared" si="0"/>
        <v>4242.1542440948106</v>
      </c>
      <c r="H12" s="2">
        <f t="shared" si="1"/>
        <v>61204.523349730385</v>
      </c>
      <c r="I12" s="12"/>
    </row>
    <row r="13" spans="1:10" x14ac:dyDescent="0.3">
      <c r="B13">
        <f t="shared" si="2"/>
        <v>5</v>
      </c>
      <c r="C13">
        <f t="shared" si="2"/>
        <v>34</v>
      </c>
      <c r="D13" s="2">
        <f t="shared" si="3"/>
        <v>61204.523349730385</v>
      </c>
      <c r="E13" s="2">
        <v>5500</v>
      </c>
      <c r="F13" s="2">
        <v>0</v>
      </c>
      <c r="G13" s="2">
        <f t="shared" si="0"/>
        <v>5045.2210614887153</v>
      </c>
      <c r="H13" s="2">
        <f t="shared" si="1"/>
        <v>71749.744411219101</v>
      </c>
      <c r="I13" s="12"/>
    </row>
    <row r="14" spans="1:10" x14ac:dyDescent="0.3">
      <c r="B14">
        <f t="shared" si="2"/>
        <v>6</v>
      </c>
      <c r="C14">
        <f t="shared" si="2"/>
        <v>35</v>
      </c>
      <c r="D14" s="2">
        <f t="shared" si="3"/>
        <v>71749.744411219101</v>
      </c>
      <c r="E14" s="2">
        <v>0</v>
      </c>
      <c r="F14" s="2">
        <v>0</v>
      </c>
      <c r="G14" s="2">
        <f t="shared" si="0"/>
        <v>5914.4864112647192</v>
      </c>
      <c r="H14" s="2">
        <f t="shared" si="1"/>
        <v>77664.23082248382</v>
      </c>
      <c r="I14" s="12"/>
    </row>
    <row r="15" spans="1:10" x14ac:dyDescent="0.3">
      <c r="B15">
        <f t="shared" si="2"/>
        <v>7</v>
      </c>
      <c r="C15">
        <f t="shared" si="2"/>
        <v>36</v>
      </c>
      <c r="D15" s="2">
        <f t="shared" si="3"/>
        <v>77664.23082248382</v>
      </c>
      <c r="E15" s="2">
        <f t="shared" ref="E15:E43" si="4">$D$3*12</f>
        <v>0</v>
      </c>
      <c r="F15" s="2">
        <v>0</v>
      </c>
      <c r="G15" s="2">
        <f t="shared" si="0"/>
        <v>6402.0303014359088</v>
      </c>
      <c r="H15" s="2">
        <f t="shared" si="1"/>
        <v>84066.261123919729</v>
      </c>
      <c r="I15" s="12">
        <v>97400</v>
      </c>
    </row>
    <row r="16" spans="1:10" x14ac:dyDescent="0.3">
      <c r="B16">
        <f t="shared" si="2"/>
        <v>8</v>
      </c>
      <c r="C16">
        <f t="shared" si="2"/>
        <v>37</v>
      </c>
      <c r="D16" s="2">
        <f t="shared" si="3"/>
        <v>84066.261123919729</v>
      </c>
      <c r="E16" s="2">
        <f t="shared" si="4"/>
        <v>0</v>
      </c>
      <c r="F16" s="2">
        <v>0</v>
      </c>
      <c r="G16" s="2">
        <f t="shared" si="0"/>
        <v>6929.7634875687218</v>
      </c>
      <c r="H16" s="2">
        <f t="shared" si="1"/>
        <v>90996.02461148845</v>
      </c>
      <c r="I16" s="12">
        <f>101159+12339</f>
        <v>113498</v>
      </c>
      <c r="J16" s="81">
        <f>I16/I15-1</f>
        <v>0.16527720739219709</v>
      </c>
    </row>
    <row r="17" spans="2:10" x14ac:dyDescent="0.3">
      <c r="B17">
        <f t="shared" si="2"/>
        <v>9</v>
      </c>
      <c r="C17">
        <f t="shared" si="2"/>
        <v>38</v>
      </c>
      <c r="D17" s="2">
        <f t="shared" si="3"/>
        <v>90996.02461148845</v>
      </c>
      <c r="E17" s="2">
        <f t="shared" si="4"/>
        <v>0</v>
      </c>
      <c r="F17" s="2">
        <v>0</v>
      </c>
      <c r="G17" s="2">
        <f t="shared" si="0"/>
        <v>7500.9988601381483</v>
      </c>
      <c r="H17" s="2">
        <f t="shared" si="1"/>
        <v>98497.023471626599</v>
      </c>
      <c r="I17" s="12">
        <v>133469</v>
      </c>
      <c r="J17" s="81">
        <f>I17/I16-1</f>
        <v>0.17595904773652404</v>
      </c>
    </row>
    <row r="18" spans="2:10" x14ac:dyDescent="0.3">
      <c r="B18">
        <f t="shared" si="2"/>
        <v>10</v>
      </c>
      <c r="C18">
        <f t="shared" si="2"/>
        <v>39</v>
      </c>
      <c r="D18" s="2">
        <f t="shared" si="3"/>
        <v>98497.023471626599</v>
      </c>
      <c r="E18" s="2">
        <f t="shared" si="4"/>
        <v>0</v>
      </c>
      <c r="F18" s="2">
        <v>0</v>
      </c>
      <c r="G18" s="2">
        <f t="shared" si="0"/>
        <v>8119.3223983368807</v>
      </c>
      <c r="H18" s="2">
        <f t="shared" si="1"/>
        <v>106616.34586996348</v>
      </c>
      <c r="I18" s="12"/>
    </row>
    <row r="19" spans="2:10" x14ac:dyDescent="0.3">
      <c r="B19">
        <f t="shared" si="2"/>
        <v>11</v>
      </c>
      <c r="C19">
        <f t="shared" si="2"/>
        <v>40</v>
      </c>
      <c r="D19" s="2">
        <f t="shared" si="3"/>
        <v>106616.34586996348</v>
      </c>
      <c r="E19" s="2">
        <f t="shared" si="4"/>
        <v>0</v>
      </c>
      <c r="F19" s="2">
        <v>0</v>
      </c>
      <c r="G19" s="2">
        <f t="shared" si="0"/>
        <v>8788.6156813681591</v>
      </c>
      <c r="H19" s="2">
        <f t="shared" si="1"/>
        <v>115404.96155133164</v>
      </c>
      <c r="I19" s="12"/>
    </row>
    <row r="20" spans="2:10" x14ac:dyDescent="0.3">
      <c r="B20">
        <f t="shared" si="2"/>
        <v>12</v>
      </c>
      <c r="C20">
        <f t="shared" si="2"/>
        <v>41</v>
      </c>
      <c r="D20" s="2">
        <f t="shared" si="3"/>
        <v>115404.96155133164</v>
      </c>
      <c r="E20" s="2">
        <f t="shared" si="4"/>
        <v>0</v>
      </c>
      <c r="F20" s="2">
        <v>0</v>
      </c>
      <c r="G20" s="2">
        <f t="shared" si="0"/>
        <v>9513.0802553932153</v>
      </c>
      <c r="H20" s="2">
        <f t="shared" si="1"/>
        <v>124918.04180672485</v>
      </c>
      <c r="I20" s="12"/>
    </row>
    <row r="21" spans="2:10" x14ac:dyDescent="0.3">
      <c r="B21">
        <f t="shared" si="2"/>
        <v>13</v>
      </c>
      <c r="C21">
        <f t="shared" si="2"/>
        <v>42</v>
      </c>
      <c r="D21" s="2">
        <f t="shared" si="3"/>
        <v>124918.04180672485</v>
      </c>
      <c r="E21" s="2">
        <f t="shared" si="4"/>
        <v>0</v>
      </c>
      <c r="F21" s="2">
        <v>0</v>
      </c>
      <c r="G21" s="2">
        <f t="shared" si="0"/>
        <v>10297.264009098639</v>
      </c>
      <c r="H21" s="2">
        <f t="shared" si="1"/>
        <v>135215.30581582349</v>
      </c>
      <c r="I21" s="12"/>
    </row>
    <row r="22" spans="2:10" x14ac:dyDescent="0.3">
      <c r="B22">
        <f t="shared" si="2"/>
        <v>14</v>
      </c>
      <c r="C22">
        <f t="shared" si="2"/>
        <v>43</v>
      </c>
      <c r="D22" s="2">
        <f t="shared" si="3"/>
        <v>135215.30581582349</v>
      </c>
      <c r="E22" s="2">
        <f t="shared" si="4"/>
        <v>0</v>
      </c>
      <c r="F22" s="2">
        <v>0</v>
      </c>
      <c r="G22" s="2">
        <f t="shared" si="0"/>
        <v>11146.089723458892</v>
      </c>
      <c r="H22" s="2">
        <f t="shared" si="1"/>
        <v>146361.39553928238</v>
      </c>
      <c r="I22" s="12"/>
    </row>
    <row r="23" spans="2:10" x14ac:dyDescent="0.3">
      <c r="B23">
        <f t="shared" si="2"/>
        <v>15</v>
      </c>
      <c r="C23">
        <f t="shared" si="2"/>
        <v>44</v>
      </c>
      <c r="D23" s="2">
        <f t="shared" si="3"/>
        <v>146361.39553928238</v>
      </c>
      <c r="E23" s="2">
        <f t="shared" si="4"/>
        <v>0</v>
      </c>
      <c r="F23" s="2">
        <v>0</v>
      </c>
      <c r="G23" s="2">
        <f t="shared" si="0"/>
        <v>12064.885974917415</v>
      </c>
      <c r="H23" s="2">
        <f t="shared" si="1"/>
        <v>158426.2815141998</v>
      </c>
      <c r="I23" s="12"/>
    </row>
    <row r="24" spans="2:10" x14ac:dyDescent="0.3">
      <c r="B24">
        <f t="shared" si="2"/>
        <v>16</v>
      </c>
      <c r="C24">
        <f t="shared" si="2"/>
        <v>45</v>
      </c>
      <c r="D24" s="2">
        <f t="shared" si="3"/>
        <v>158426.2815141998</v>
      </c>
      <c r="E24" s="2">
        <f t="shared" si="4"/>
        <v>0</v>
      </c>
      <c r="F24" s="2">
        <v>0</v>
      </c>
      <c r="G24" s="2">
        <f t="shared" si="0"/>
        <v>13059.420585983549</v>
      </c>
      <c r="H24" s="2">
        <f t="shared" si="1"/>
        <v>171485.70210018335</v>
      </c>
      <c r="I24" s="12"/>
    </row>
    <row r="25" spans="2:10" x14ac:dyDescent="0.3">
      <c r="B25">
        <f t="shared" si="2"/>
        <v>17</v>
      </c>
      <c r="C25">
        <f t="shared" si="2"/>
        <v>46</v>
      </c>
      <c r="D25" s="2">
        <f t="shared" si="3"/>
        <v>171485.70210018335</v>
      </c>
      <c r="E25" s="2">
        <f t="shared" si="4"/>
        <v>0</v>
      </c>
      <c r="F25" s="2">
        <v>0</v>
      </c>
      <c r="G25" s="2">
        <f t="shared" si="0"/>
        <v>14135.936833234649</v>
      </c>
      <c r="H25" s="2">
        <f t="shared" si="1"/>
        <v>185621.638933418</v>
      </c>
      <c r="I25" s="12"/>
    </row>
    <row r="26" spans="2:10" x14ac:dyDescent="0.3">
      <c r="B26">
        <f t="shared" si="2"/>
        <v>18</v>
      </c>
      <c r="C26">
        <f t="shared" si="2"/>
        <v>47</v>
      </c>
      <c r="D26" s="2">
        <f t="shared" si="3"/>
        <v>185621.638933418</v>
      </c>
      <c r="E26" s="2">
        <f t="shared" si="4"/>
        <v>0</v>
      </c>
      <c r="F26" s="2">
        <v>0</v>
      </c>
      <c r="G26" s="2">
        <f t="shared" si="0"/>
        <v>15301.192640021734</v>
      </c>
      <c r="H26" s="2">
        <f t="shared" si="1"/>
        <v>200922.83157343973</v>
      </c>
      <c r="I26" s="12"/>
    </row>
    <row r="27" spans="2:10" x14ac:dyDescent="0.3">
      <c r="B27">
        <f t="shared" si="2"/>
        <v>19</v>
      </c>
      <c r="C27">
        <f t="shared" si="2"/>
        <v>48</v>
      </c>
      <c r="D27" s="2">
        <f t="shared" si="3"/>
        <v>200922.83157343973</v>
      </c>
      <c r="E27" s="2">
        <f t="shared" si="4"/>
        <v>0</v>
      </c>
      <c r="F27" s="2">
        <v>0</v>
      </c>
      <c r="G27" s="2">
        <f t="shared" si="0"/>
        <v>16562.502999914839</v>
      </c>
      <c r="H27" s="2">
        <f>G27+E27+D27-F27</f>
        <v>217485.33457335457</v>
      </c>
      <c r="I27" s="12"/>
    </row>
    <row r="28" spans="2:10" x14ac:dyDescent="0.3">
      <c r="B28">
        <f t="shared" si="2"/>
        <v>20</v>
      </c>
      <c r="C28">
        <f t="shared" si="2"/>
        <v>49</v>
      </c>
      <c r="D28" s="2">
        <f t="shared" si="3"/>
        <v>217485.33457335457</v>
      </c>
      <c r="E28" s="2">
        <f t="shared" si="4"/>
        <v>0</v>
      </c>
      <c r="F28" s="2">
        <v>0</v>
      </c>
      <c r="G28" s="2">
        <f t="shared" si="0"/>
        <v>17927.785897204303</v>
      </c>
      <c r="H28" s="2">
        <f t="shared" ref="H28:H43" si="5">G28+E28+D28-F28</f>
        <v>235413.12047055888</v>
      </c>
      <c r="I28" s="12"/>
    </row>
    <row r="29" spans="2:10" x14ac:dyDescent="0.3">
      <c r="B29">
        <f t="shared" si="2"/>
        <v>21</v>
      </c>
      <c r="C29">
        <f t="shared" si="2"/>
        <v>50</v>
      </c>
      <c r="D29" s="2">
        <f t="shared" si="3"/>
        <v>235413.12047055888</v>
      </c>
      <c r="E29" s="2">
        <f t="shared" si="4"/>
        <v>0</v>
      </c>
      <c r="F29" s="2">
        <v>0</v>
      </c>
      <c r="G29" s="2">
        <f t="shared" si="0"/>
        <v>19405.612012728379</v>
      </c>
      <c r="H29" s="2">
        <f t="shared" si="5"/>
        <v>254818.73248328725</v>
      </c>
      <c r="I29" s="12"/>
    </row>
    <row r="30" spans="2:10" x14ac:dyDescent="0.3">
      <c r="B30">
        <f t="shared" si="2"/>
        <v>22</v>
      </c>
      <c r="C30">
        <f t="shared" si="2"/>
        <v>51</v>
      </c>
      <c r="D30" s="2">
        <f t="shared" si="3"/>
        <v>254818.73248328725</v>
      </c>
      <c r="E30" s="2">
        <f t="shared" si="4"/>
        <v>0</v>
      </c>
      <c r="F30" s="2">
        <v>0</v>
      </c>
      <c r="G30" s="2">
        <f t="shared" si="0"/>
        <v>21005.258527059545</v>
      </c>
      <c r="H30" s="2">
        <f t="shared" si="5"/>
        <v>275823.9910103468</v>
      </c>
      <c r="I30" s="12"/>
    </row>
    <row r="31" spans="2:10" x14ac:dyDescent="0.3">
      <c r="B31">
        <f t="shared" si="2"/>
        <v>23</v>
      </c>
      <c r="C31">
        <f>C30+1</f>
        <v>52</v>
      </c>
      <c r="D31" s="2">
        <f t="shared" si="3"/>
        <v>275823.9910103468</v>
      </c>
      <c r="E31" s="2">
        <f t="shared" si="4"/>
        <v>0</v>
      </c>
      <c r="F31" s="2">
        <v>0</v>
      </c>
      <c r="G31" s="2">
        <f t="shared" ref="G31:G43" si="6">D31*(1+($D$2/$D$5))^($D$5*$D$6)-D31</f>
        <v>22736.767358803481</v>
      </c>
      <c r="H31" s="2">
        <f t="shared" si="5"/>
        <v>298560.75836915028</v>
      </c>
      <c r="I31" s="12"/>
    </row>
    <row r="32" spans="2:10" x14ac:dyDescent="0.3">
      <c r="B32">
        <f t="shared" si="2"/>
        <v>24</v>
      </c>
      <c r="C32">
        <f t="shared" si="2"/>
        <v>53</v>
      </c>
      <c r="D32" s="2">
        <f t="shared" si="3"/>
        <v>298560.75836915028</v>
      </c>
      <c r="E32" s="2">
        <f t="shared" si="4"/>
        <v>0</v>
      </c>
      <c r="F32" s="2">
        <v>0</v>
      </c>
      <c r="G32" s="2">
        <f t="shared" si="6"/>
        <v>24611.008203607111</v>
      </c>
      <c r="H32" s="2">
        <f t="shared" si="5"/>
        <v>323171.76657275739</v>
      </c>
      <c r="I32" s="12"/>
    </row>
    <row r="33" spans="2:9" x14ac:dyDescent="0.3">
      <c r="B33">
        <f t="shared" si="2"/>
        <v>25</v>
      </c>
      <c r="C33">
        <f t="shared" si="2"/>
        <v>54</v>
      </c>
      <c r="D33" s="2">
        <f t="shared" si="3"/>
        <v>323171.76657275739</v>
      </c>
      <c r="E33" s="2">
        <f t="shared" si="4"/>
        <v>0</v>
      </c>
      <c r="F33" s="2">
        <v>0</v>
      </c>
      <c r="G33" s="2">
        <f t="shared" si="6"/>
        <v>26639.746769608173</v>
      </c>
      <c r="H33" s="2">
        <f t="shared" si="5"/>
        <v>349811.51334236556</v>
      </c>
      <c r="I33" s="12"/>
    </row>
    <row r="34" spans="2:9" x14ac:dyDescent="0.3">
      <c r="B34">
        <f t="shared" si="2"/>
        <v>26</v>
      </c>
      <c r="C34">
        <f t="shared" si="2"/>
        <v>55</v>
      </c>
      <c r="D34" s="2">
        <f t="shared" si="3"/>
        <v>349811.51334236556</v>
      </c>
      <c r="E34" s="2">
        <f t="shared" si="4"/>
        <v>0</v>
      </c>
      <c r="F34" s="2">
        <v>0</v>
      </c>
      <c r="G34" s="2">
        <f t="shared" si="6"/>
        <v>28835.718637679995</v>
      </c>
      <c r="H34" s="4">
        <f t="shared" si="5"/>
        <v>378647.23198004556</v>
      </c>
      <c r="I34" s="12"/>
    </row>
    <row r="35" spans="2:9" x14ac:dyDescent="0.3">
      <c r="B35">
        <f t="shared" si="2"/>
        <v>27</v>
      </c>
      <c r="C35">
        <f t="shared" si="2"/>
        <v>56</v>
      </c>
      <c r="D35" s="2">
        <f t="shared" si="3"/>
        <v>378647.23198004556</v>
      </c>
      <c r="E35" s="2">
        <f t="shared" si="4"/>
        <v>0</v>
      </c>
      <c r="F35" s="2">
        <v>0</v>
      </c>
      <c r="G35" s="2">
        <f t="shared" si="6"/>
        <v>31212.709210136207</v>
      </c>
      <c r="H35" s="2">
        <f t="shared" si="5"/>
        <v>409859.94119018177</v>
      </c>
      <c r="I35" s="12"/>
    </row>
    <row r="36" spans="2:9" x14ac:dyDescent="0.3">
      <c r="B36">
        <f t="shared" si="2"/>
        <v>28</v>
      </c>
      <c r="C36">
        <f t="shared" si="2"/>
        <v>57</v>
      </c>
      <c r="D36" s="2">
        <f t="shared" si="3"/>
        <v>409859.94119018177</v>
      </c>
      <c r="E36" s="2">
        <f t="shared" si="4"/>
        <v>0</v>
      </c>
      <c r="F36" s="2">
        <v>0</v>
      </c>
      <c r="G36" s="2">
        <f t="shared" si="6"/>
        <v>33785.640249779623</v>
      </c>
      <c r="H36" s="2">
        <f t="shared" si="5"/>
        <v>443645.58143996139</v>
      </c>
      <c r="I36" s="12"/>
    </row>
    <row r="37" spans="2:9" x14ac:dyDescent="0.3">
      <c r="B37">
        <f t="shared" si="2"/>
        <v>29</v>
      </c>
      <c r="C37">
        <f t="shared" si="2"/>
        <v>58</v>
      </c>
      <c r="D37" s="2">
        <f t="shared" si="3"/>
        <v>443645.58143996139</v>
      </c>
      <c r="E37" s="2">
        <f t="shared" si="4"/>
        <v>0</v>
      </c>
      <c r="F37" s="2">
        <v>0</v>
      </c>
      <c r="G37" s="2">
        <f t="shared" si="6"/>
        <v>36570.663552551938</v>
      </c>
      <c r="H37" s="2">
        <f t="shared" si="5"/>
        <v>480216.24499251333</v>
      </c>
      <c r="I37" s="12"/>
    </row>
    <row r="38" spans="2:9" x14ac:dyDescent="0.3">
      <c r="B38">
        <f t="shared" si="2"/>
        <v>30</v>
      </c>
      <c r="C38">
        <f>C37+1</f>
        <v>59</v>
      </c>
      <c r="D38" s="2">
        <f t="shared" si="3"/>
        <v>480216.24499251333</v>
      </c>
      <c r="E38" s="2">
        <f t="shared" si="4"/>
        <v>0</v>
      </c>
      <c r="F38" s="2">
        <v>0</v>
      </c>
      <c r="G38" s="2">
        <f t="shared" si="6"/>
        <v>39585.262341822032</v>
      </c>
      <c r="H38" s="2">
        <f t="shared" si="5"/>
        <v>519801.50733433536</v>
      </c>
      <c r="I38" s="12"/>
    </row>
    <row r="39" spans="2:9" x14ac:dyDescent="0.3">
      <c r="B39">
        <f t="shared" si="2"/>
        <v>31</v>
      </c>
      <c r="C39">
        <f t="shared" si="2"/>
        <v>60</v>
      </c>
      <c r="D39" s="2">
        <f t="shared" si="3"/>
        <v>519801.50733433536</v>
      </c>
      <c r="E39" s="2">
        <f t="shared" si="4"/>
        <v>0</v>
      </c>
      <c r="F39" s="2">
        <v>0</v>
      </c>
      <c r="G39" s="2">
        <f t="shared" si="6"/>
        <v>42848.361020825105</v>
      </c>
      <c r="H39" s="2">
        <f t="shared" si="5"/>
        <v>562649.86835516046</v>
      </c>
      <c r="I39" s="12"/>
    </row>
    <row r="40" spans="2:9" x14ac:dyDescent="0.3">
      <c r="B40">
        <f t="shared" si="2"/>
        <v>32</v>
      </c>
      <c r="C40">
        <f t="shared" si="2"/>
        <v>61</v>
      </c>
      <c r="D40" s="2">
        <f t="shared" si="3"/>
        <v>562649.86835516046</v>
      </c>
      <c r="E40" s="2">
        <f t="shared" si="4"/>
        <v>0</v>
      </c>
      <c r="F40" s="2">
        <v>0</v>
      </c>
      <c r="G40" s="2">
        <f t="shared" si="6"/>
        <v>46380.443972231471</v>
      </c>
      <c r="H40" s="2">
        <f t="shared" si="5"/>
        <v>609030.31232739193</v>
      </c>
      <c r="I40" s="12"/>
    </row>
    <row r="41" spans="2:9" x14ac:dyDescent="0.3">
      <c r="B41">
        <f t="shared" si="2"/>
        <v>33</v>
      </c>
      <c r="C41">
        <f t="shared" si="2"/>
        <v>62</v>
      </c>
      <c r="D41" s="2">
        <f t="shared" si="3"/>
        <v>609030.31232739193</v>
      </c>
      <c r="E41" s="2">
        <f t="shared" si="4"/>
        <v>0</v>
      </c>
      <c r="F41" s="2">
        <v>0</v>
      </c>
      <c r="G41" s="2">
        <f t="shared" si="6"/>
        <v>50203.684150621528</v>
      </c>
      <c r="H41" s="2">
        <f t="shared" si="5"/>
        <v>659233.99647801346</v>
      </c>
      <c r="I41" s="12"/>
    </row>
    <row r="42" spans="2:9" x14ac:dyDescent="0.3">
      <c r="B42">
        <f t="shared" si="2"/>
        <v>34</v>
      </c>
      <c r="C42">
        <f t="shared" si="2"/>
        <v>63</v>
      </c>
      <c r="D42" s="2">
        <f t="shared" si="3"/>
        <v>659233.99647801346</v>
      </c>
      <c r="E42" s="2">
        <f t="shared" si="4"/>
        <v>0</v>
      </c>
      <c r="F42" s="2">
        <v>0</v>
      </c>
      <c r="G42" s="2">
        <f t="shared" si="6"/>
        <v>54342.08227511507</v>
      </c>
      <c r="H42" s="2">
        <f t="shared" si="5"/>
        <v>713576.07875312853</v>
      </c>
      <c r="I42" s="12"/>
    </row>
    <row r="43" spans="2:9" x14ac:dyDescent="0.3">
      <c r="B43">
        <f t="shared" si="2"/>
        <v>35</v>
      </c>
      <c r="C43">
        <f t="shared" si="2"/>
        <v>64</v>
      </c>
      <c r="D43" s="2">
        <f t="shared" si="3"/>
        <v>713576.07875312853</v>
      </c>
      <c r="E43" s="2">
        <f t="shared" si="4"/>
        <v>0</v>
      </c>
      <c r="F43" s="2">
        <v>0</v>
      </c>
      <c r="G43" s="2">
        <f t="shared" si="6"/>
        <v>58821.617495950428</v>
      </c>
      <c r="H43" s="2">
        <f t="shared" si="5"/>
        <v>772397.69624907896</v>
      </c>
      <c r="I43" s="12"/>
    </row>
    <row r="45" spans="2:9" x14ac:dyDescent="0.3">
      <c r="E45" s="2">
        <f>SUM(E9:E43)</f>
        <v>25666</v>
      </c>
      <c r="F45" s="2"/>
      <c r="G45" s="2">
        <f t="shared" ref="G45" si="7">SUM(G9:G43)</f>
        <v>718571.69624907896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46"/>
  <sheetViews>
    <sheetView workbookViewId="0">
      <pane ySplit="9" topLeftCell="A10" activePane="bottomLeft" state="frozenSplit"/>
      <selection pane="bottomLeft" activeCell="B18" sqref="B18"/>
    </sheetView>
  </sheetViews>
  <sheetFormatPr defaultRowHeight="14.4" x14ac:dyDescent="0.3"/>
  <cols>
    <col min="1" max="1" width="12.88671875" bestFit="1" customWidth="1"/>
    <col min="2" max="2" width="22.5546875" customWidth="1"/>
    <col min="3" max="3" width="7.6640625" customWidth="1"/>
    <col min="4" max="4" width="10.109375" bestFit="1" customWidth="1"/>
    <col min="5" max="5" width="13.5546875" customWidth="1"/>
    <col min="7" max="7" width="10.109375" bestFit="1" customWidth="1"/>
    <col min="8" max="8" width="13.5546875" bestFit="1" customWidth="1"/>
    <col min="9" max="9" width="12.109375" bestFit="1" customWidth="1"/>
  </cols>
  <sheetData>
    <row r="2" spans="1:10" x14ac:dyDescent="0.3">
      <c r="B2" t="s">
        <v>7</v>
      </c>
      <c r="D2" s="1">
        <v>0.08</v>
      </c>
      <c r="E2" s="1"/>
      <c r="F2" s="2" t="s">
        <v>8</v>
      </c>
    </row>
    <row r="3" spans="1:10" x14ac:dyDescent="0.3">
      <c r="B3" t="s">
        <v>12</v>
      </c>
      <c r="D3">
        <v>42000</v>
      </c>
      <c r="E3" s="1"/>
    </row>
    <row r="4" spans="1:10" x14ac:dyDescent="0.3">
      <c r="B4" t="s">
        <v>6</v>
      </c>
      <c r="D4">
        <f>D3/12</f>
        <v>3500</v>
      </c>
      <c r="E4" s="1"/>
    </row>
    <row r="5" spans="1:10" x14ac:dyDescent="0.3">
      <c r="B5" t="s">
        <v>0</v>
      </c>
      <c r="D5" s="2">
        <v>25000</v>
      </c>
      <c r="E5" s="2"/>
    </row>
    <row r="6" spans="1:10" x14ac:dyDescent="0.3">
      <c r="B6" t="s">
        <v>9</v>
      </c>
      <c r="D6" s="3">
        <v>4</v>
      </c>
      <c r="E6" s="2"/>
    </row>
    <row r="7" spans="1:10" x14ac:dyDescent="0.3">
      <c r="B7" t="s">
        <v>10</v>
      </c>
      <c r="D7">
        <v>1</v>
      </c>
    </row>
    <row r="9" spans="1:10" x14ac:dyDescent="0.3">
      <c r="A9" t="s">
        <v>87</v>
      </c>
      <c r="B9" t="s">
        <v>1</v>
      </c>
      <c r="C9" t="s">
        <v>11</v>
      </c>
      <c r="D9" t="s">
        <v>2</v>
      </c>
      <c r="E9" t="s">
        <v>3</v>
      </c>
      <c r="F9" t="s">
        <v>4</v>
      </c>
      <c r="G9" t="s">
        <v>5</v>
      </c>
      <c r="H9" t="s">
        <v>16</v>
      </c>
      <c r="I9" t="s">
        <v>13</v>
      </c>
    </row>
    <row r="10" spans="1:10" x14ac:dyDescent="0.3">
      <c r="B10">
        <v>1</v>
      </c>
      <c r="C10">
        <v>30</v>
      </c>
      <c r="D10" s="2">
        <v>172860</v>
      </c>
      <c r="E10" s="2">
        <v>12000</v>
      </c>
      <c r="F10" s="2">
        <v>0</v>
      </c>
      <c r="G10" s="2">
        <f t="shared" ref="G10:G31" si="0">D10*(1+($D$2/$D$6))^($D$6*$D$7)-D10</f>
        <v>14249.223177599983</v>
      </c>
      <c r="H10" s="2">
        <f>G10+E10+D10</f>
        <v>199109.22317759998</v>
      </c>
      <c r="I10" s="12"/>
    </row>
    <row r="11" spans="1:10" x14ac:dyDescent="0.3">
      <c r="B11">
        <f>B10+1</f>
        <v>2</v>
      </c>
      <c r="C11">
        <f>C10+1</f>
        <v>31</v>
      </c>
      <c r="D11" s="2">
        <f>H10</f>
        <v>199109.22317759998</v>
      </c>
      <c r="E11" s="2">
        <v>18000</v>
      </c>
      <c r="F11" s="2">
        <v>0</v>
      </c>
      <c r="G11" s="2">
        <f t="shared" si="0"/>
        <v>16413.003342451615</v>
      </c>
      <c r="H11" s="2">
        <f t="shared" ref="H11:H27" si="1">G11+E11+D11</f>
        <v>233522.2265200516</v>
      </c>
      <c r="I11" s="12"/>
    </row>
    <row r="12" spans="1:10" x14ac:dyDescent="0.3">
      <c r="B12">
        <f t="shared" ref="B12:C44" si="2">B11+1</f>
        <v>3</v>
      </c>
      <c r="C12">
        <f t="shared" si="2"/>
        <v>32</v>
      </c>
      <c r="D12" s="2">
        <f t="shared" ref="D12:D44" si="3">H11</f>
        <v>233522.2265200516</v>
      </c>
      <c r="E12" s="2">
        <v>18000</v>
      </c>
      <c r="F12" s="2">
        <v>0</v>
      </c>
      <c r="G12" s="2">
        <f t="shared" si="0"/>
        <v>19249.741540057119</v>
      </c>
      <c r="H12" s="2">
        <f t="shared" si="1"/>
        <v>270771.96806010872</v>
      </c>
      <c r="I12" s="12"/>
    </row>
    <row r="13" spans="1:10" x14ac:dyDescent="0.3">
      <c r="B13">
        <f t="shared" si="2"/>
        <v>4</v>
      </c>
      <c r="C13">
        <f t="shared" si="2"/>
        <v>33</v>
      </c>
      <c r="D13" s="2">
        <f t="shared" si="3"/>
        <v>270771.96806010872</v>
      </c>
      <c r="E13" s="2">
        <v>18000</v>
      </c>
      <c r="F13" s="2">
        <v>0</v>
      </c>
      <c r="G13" s="2">
        <f t="shared" si="0"/>
        <v>22320.318194645748</v>
      </c>
      <c r="H13" s="2">
        <f t="shared" si="1"/>
        <v>311092.28625475446</v>
      </c>
      <c r="I13" s="12"/>
    </row>
    <row r="14" spans="1:10" x14ac:dyDescent="0.3">
      <c r="B14">
        <f t="shared" si="2"/>
        <v>5</v>
      </c>
      <c r="C14">
        <f t="shared" si="2"/>
        <v>34</v>
      </c>
      <c r="D14" s="2">
        <f t="shared" si="3"/>
        <v>311092.28625475446</v>
      </c>
      <c r="E14" s="2">
        <v>18000</v>
      </c>
      <c r="F14" s="2">
        <v>0</v>
      </c>
      <c r="G14" s="2">
        <f t="shared" si="0"/>
        <v>25644.00911531772</v>
      </c>
      <c r="H14" s="2">
        <f t="shared" si="1"/>
        <v>354736.29537007218</v>
      </c>
      <c r="I14" s="12"/>
    </row>
    <row r="15" spans="1:10" x14ac:dyDescent="0.3">
      <c r="B15">
        <f t="shared" si="2"/>
        <v>6</v>
      </c>
      <c r="C15">
        <f t="shared" si="2"/>
        <v>35</v>
      </c>
      <c r="D15" s="2">
        <f t="shared" si="3"/>
        <v>354736.29537007218</v>
      </c>
      <c r="E15" s="2">
        <v>18000</v>
      </c>
      <c r="F15" s="2">
        <v>0</v>
      </c>
      <c r="G15" s="2">
        <f t="shared" si="0"/>
        <v>29241.679057753063</v>
      </c>
      <c r="H15" s="2">
        <f t="shared" si="1"/>
        <v>401977.97442782525</v>
      </c>
      <c r="I15" s="12"/>
    </row>
    <row r="16" spans="1:10" x14ac:dyDescent="0.3">
      <c r="B16">
        <f t="shared" si="2"/>
        <v>7</v>
      </c>
      <c r="C16">
        <f t="shared" si="2"/>
        <v>36</v>
      </c>
      <c r="D16" s="2">
        <f t="shared" si="3"/>
        <v>401977.97442782525</v>
      </c>
      <c r="E16" s="2">
        <f>$D$3</f>
        <v>42000</v>
      </c>
      <c r="F16" s="2">
        <v>0</v>
      </c>
      <c r="G16" s="2">
        <f t="shared" si="0"/>
        <v>33135.912704510381</v>
      </c>
      <c r="H16" s="2">
        <f t="shared" si="1"/>
        <v>477113.88713233563</v>
      </c>
      <c r="I16" s="12">
        <v>499000</v>
      </c>
      <c r="J16" t="s">
        <v>85</v>
      </c>
    </row>
    <row r="17" spans="2:10" x14ac:dyDescent="0.3">
      <c r="B17">
        <f t="shared" si="2"/>
        <v>8</v>
      </c>
      <c r="C17">
        <f t="shared" si="2"/>
        <v>37</v>
      </c>
      <c r="D17" s="2">
        <f t="shared" si="3"/>
        <v>477113.88713233563</v>
      </c>
      <c r="E17" s="2">
        <v>42000</v>
      </c>
      <c r="F17" s="2">
        <v>0</v>
      </c>
      <c r="G17" s="2">
        <f t="shared" si="0"/>
        <v>39329.528282314597</v>
      </c>
      <c r="H17" s="2">
        <f t="shared" si="1"/>
        <v>558443.41541465023</v>
      </c>
      <c r="I17" s="12">
        <v>662644</v>
      </c>
    </row>
    <row r="18" spans="2:10" x14ac:dyDescent="0.3">
      <c r="B18">
        <f t="shared" si="2"/>
        <v>9</v>
      </c>
      <c r="C18">
        <f t="shared" si="2"/>
        <v>38</v>
      </c>
      <c r="D18" s="2">
        <f t="shared" si="3"/>
        <v>558443.41541465023</v>
      </c>
      <c r="E18" s="2">
        <v>42000</v>
      </c>
      <c r="F18" s="2">
        <v>0</v>
      </c>
      <c r="G18" s="2">
        <f t="shared" si="0"/>
        <v>46033.69697040692</v>
      </c>
      <c r="H18" s="2">
        <f t="shared" si="1"/>
        <v>646477.11238505715</v>
      </c>
      <c r="I18" s="12">
        <v>827448</v>
      </c>
      <c r="J18" s="81">
        <f>I18/I17-1</f>
        <v>0.24870669620490027</v>
      </c>
    </row>
    <row r="19" spans="2:10" x14ac:dyDescent="0.3">
      <c r="B19">
        <f t="shared" si="2"/>
        <v>10</v>
      </c>
      <c r="C19">
        <f t="shared" si="2"/>
        <v>39</v>
      </c>
      <c r="D19" s="2">
        <f t="shared" si="3"/>
        <v>646477.11238505715</v>
      </c>
      <c r="E19" s="2">
        <f t="shared" ref="E19:E44" si="4">$D$3</f>
        <v>42000</v>
      </c>
      <c r="F19" s="2">
        <v>0</v>
      </c>
      <c r="G19" s="2">
        <f t="shared" si="0"/>
        <v>53290.504764463054</v>
      </c>
      <c r="H19" s="2">
        <f t="shared" si="1"/>
        <v>741767.6171495202</v>
      </c>
      <c r="I19" s="12"/>
    </row>
    <row r="20" spans="2:10" x14ac:dyDescent="0.3">
      <c r="B20">
        <f t="shared" si="2"/>
        <v>11</v>
      </c>
      <c r="C20">
        <f t="shared" si="2"/>
        <v>40</v>
      </c>
      <c r="D20" s="2">
        <f t="shared" si="3"/>
        <v>741767.6171495202</v>
      </c>
      <c r="E20" s="2">
        <f t="shared" si="4"/>
        <v>42000</v>
      </c>
      <c r="F20" s="2">
        <v>0</v>
      </c>
      <c r="G20" s="2">
        <f t="shared" si="0"/>
        <v>61145.506899687927</v>
      </c>
      <c r="H20" s="2">
        <f t="shared" si="1"/>
        <v>844913.12404920813</v>
      </c>
      <c r="I20" s="12"/>
    </row>
    <row r="21" spans="2:10" x14ac:dyDescent="0.3">
      <c r="B21">
        <f t="shared" si="2"/>
        <v>12</v>
      </c>
      <c r="C21">
        <f t="shared" si="2"/>
        <v>41</v>
      </c>
      <c r="D21" s="2">
        <f t="shared" si="3"/>
        <v>844913.12404920813</v>
      </c>
      <c r="E21" s="2">
        <f t="shared" si="4"/>
        <v>42000</v>
      </c>
      <c r="F21" s="2">
        <v>0</v>
      </c>
      <c r="G21" s="2">
        <f t="shared" si="0"/>
        <v>69648.013827724149</v>
      </c>
      <c r="H21" s="2">
        <f t="shared" si="1"/>
        <v>956561.13787693228</v>
      </c>
      <c r="I21" s="12"/>
    </row>
    <row r="22" spans="2:10" x14ac:dyDescent="0.3">
      <c r="B22">
        <f t="shared" si="2"/>
        <v>13</v>
      </c>
      <c r="C22">
        <f t="shared" si="2"/>
        <v>42</v>
      </c>
      <c r="D22" s="2">
        <f t="shared" si="3"/>
        <v>956561.13787693228</v>
      </c>
      <c r="E22" s="2">
        <f t="shared" si="4"/>
        <v>42000</v>
      </c>
      <c r="F22" s="2">
        <v>0</v>
      </c>
      <c r="G22" s="2">
        <f t="shared" si="0"/>
        <v>78851.400767253363</v>
      </c>
      <c r="H22" s="2">
        <f t="shared" si="1"/>
        <v>1077412.5386441858</v>
      </c>
      <c r="I22" s="12"/>
    </row>
    <row r="23" spans="2:10" x14ac:dyDescent="0.3">
      <c r="B23">
        <f t="shared" si="2"/>
        <v>14</v>
      </c>
      <c r="C23">
        <f t="shared" si="2"/>
        <v>43</v>
      </c>
      <c r="D23" s="2">
        <f t="shared" si="3"/>
        <v>1077412.5386441858</v>
      </c>
      <c r="E23" s="2">
        <f t="shared" si="4"/>
        <v>42000</v>
      </c>
      <c r="F23" s="2">
        <v>0</v>
      </c>
      <c r="G23" s="2">
        <f t="shared" si="0"/>
        <v>88813.442771523725</v>
      </c>
      <c r="H23" s="2">
        <f t="shared" si="1"/>
        <v>1208225.9814157095</v>
      </c>
      <c r="I23" s="12"/>
    </row>
    <row r="24" spans="2:10" x14ac:dyDescent="0.3">
      <c r="B24">
        <f t="shared" si="2"/>
        <v>15</v>
      </c>
      <c r="C24">
        <f t="shared" si="2"/>
        <v>44</v>
      </c>
      <c r="D24" s="2">
        <f t="shared" si="3"/>
        <v>1208225.9814157095</v>
      </c>
      <c r="E24" s="2">
        <f t="shared" si="4"/>
        <v>42000</v>
      </c>
      <c r="F24" s="2">
        <v>0</v>
      </c>
      <c r="G24" s="2">
        <f t="shared" si="0"/>
        <v>99596.677416216815</v>
      </c>
      <c r="H24" s="2">
        <f t="shared" si="1"/>
        <v>1349822.6588319263</v>
      </c>
      <c r="I24" s="12"/>
    </row>
    <row r="25" spans="2:10" x14ac:dyDescent="0.3">
      <c r="B25">
        <f t="shared" si="2"/>
        <v>16</v>
      </c>
      <c r="C25">
        <f t="shared" si="2"/>
        <v>45</v>
      </c>
      <c r="D25" s="2">
        <f t="shared" si="3"/>
        <v>1349822.6588319263</v>
      </c>
      <c r="E25" s="2">
        <f t="shared" si="4"/>
        <v>42000</v>
      </c>
      <c r="F25" s="2">
        <v>0</v>
      </c>
      <c r="G25" s="2">
        <f t="shared" si="0"/>
        <v>111268.79738445883</v>
      </c>
      <c r="H25" s="2">
        <f t="shared" si="1"/>
        <v>1503091.4562163851</v>
      </c>
      <c r="I25" s="12"/>
    </row>
    <row r="26" spans="2:10" x14ac:dyDescent="0.3">
      <c r="B26">
        <f t="shared" si="2"/>
        <v>17</v>
      </c>
      <c r="C26">
        <f t="shared" si="2"/>
        <v>46</v>
      </c>
      <c r="D26" s="2">
        <f t="shared" si="3"/>
        <v>1503091.4562163851</v>
      </c>
      <c r="E26" s="2">
        <f t="shared" si="4"/>
        <v>42000</v>
      </c>
      <c r="F26" s="2">
        <v>0</v>
      </c>
      <c r="G26" s="2">
        <f t="shared" si="0"/>
        <v>123903.07541346201</v>
      </c>
      <c r="H26" s="2">
        <f t="shared" si="1"/>
        <v>1668994.5316298471</v>
      </c>
      <c r="I26" s="12"/>
    </row>
    <row r="27" spans="2:10" x14ac:dyDescent="0.3">
      <c r="B27">
        <f t="shared" si="2"/>
        <v>18</v>
      </c>
      <c r="C27">
        <f t="shared" si="2"/>
        <v>47</v>
      </c>
      <c r="D27" s="2">
        <f t="shared" si="3"/>
        <v>1668994.5316298471</v>
      </c>
      <c r="E27" s="2">
        <f t="shared" si="4"/>
        <v>42000</v>
      </c>
      <c r="F27" s="2">
        <v>0</v>
      </c>
      <c r="G27" s="2">
        <f t="shared" si="0"/>
        <v>137578.82427043654</v>
      </c>
      <c r="H27" s="2">
        <f t="shared" si="1"/>
        <v>1848573.3559002837</v>
      </c>
      <c r="I27" s="12"/>
    </row>
    <row r="28" spans="2:10" x14ac:dyDescent="0.3">
      <c r="B28">
        <f t="shared" si="2"/>
        <v>19</v>
      </c>
      <c r="C28">
        <f t="shared" si="2"/>
        <v>48</v>
      </c>
      <c r="D28" s="2">
        <f t="shared" si="3"/>
        <v>1848573.3559002837</v>
      </c>
      <c r="E28" s="2">
        <f t="shared" si="4"/>
        <v>42000</v>
      </c>
      <c r="F28" s="2">
        <v>0</v>
      </c>
      <c r="G28" s="2">
        <f t="shared" si="0"/>
        <v>152381.89464530908</v>
      </c>
      <c r="H28" s="2">
        <f>G28+E28+D28-F28</f>
        <v>2042955.2505455927</v>
      </c>
      <c r="I28" s="12"/>
    </row>
    <row r="29" spans="2:10" x14ac:dyDescent="0.3">
      <c r="B29">
        <f t="shared" si="2"/>
        <v>20</v>
      </c>
      <c r="C29">
        <f t="shared" si="2"/>
        <v>49</v>
      </c>
      <c r="D29" s="2">
        <f t="shared" si="3"/>
        <v>2042955.2505455927</v>
      </c>
      <c r="E29" s="2">
        <f t="shared" si="4"/>
        <v>42000</v>
      </c>
      <c r="F29" s="2">
        <v>0</v>
      </c>
      <c r="G29" s="2">
        <f t="shared" si="0"/>
        <v>168405.21408581431</v>
      </c>
      <c r="H29" s="2">
        <f t="shared" ref="H29:H44" si="5">G29+E29+D29-F29</f>
        <v>2253360.4646314071</v>
      </c>
      <c r="I29" s="12"/>
    </row>
    <row r="30" spans="2:10" x14ac:dyDescent="0.3">
      <c r="B30">
        <f t="shared" si="2"/>
        <v>21</v>
      </c>
      <c r="C30">
        <f t="shared" si="2"/>
        <v>50</v>
      </c>
      <c r="D30" s="2">
        <f t="shared" si="3"/>
        <v>2253360.4646314071</v>
      </c>
      <c r="E30" s="2">
        <f t="shared" si="4"/>
        <v>42000</v>
      </c>
      <c r="F30" s="2">
        <v>0</v>
      </c>
      <c r="G30" s="2">
        <f t="shared" si="0"/>
        <v>185749.37035817048</v>
      </c>
      <c r="H30" s="2">
        <f t="shared" si="5"/>
        <v>2481109.8349895775</v>
      </c>
      <c r="I30" s="12"/>
    </row>
    <row r="31" spans="2:10" x14ac:dyDescent="0.3">
      <c r="B31">
        <f t="shared" si="2"/>
        <v>22</v>
      </c>
      <c r="C31">
        <f t="shared" si="2"/>
        <v>51</v>
      </c>
      <c r="D31" s="2">
        <f t="shared" si="3"/>
        <v>2481109.8349895775</v>
      </c>
      <c r="E31" s="2">
        <f t="shared" si="4"/>
        <v>42000</v>
      </c>
      <c r="F31" s="2">
        <v>0</v>
      </c>
      <c r="G31" s="2">
        <f t="shared" si="0"/>
        <v>204523.24289543461</v>
      </c>
      <c r="H31" s="2">
        <f t="shared" si="5"/>
        <v>2727633.0778850121</v>
      </c>
      <c r="I31" s="12"/>
    </row>
    <row r="32" spans="2:10" x14ac:dyDescent="0.3">
      <c r="B32">
        <f t="shared" si="2"/>
        <v>23</v>
      </c>
      <c r="C32">
        <f>C31+1</f>
        <v>52</v>
      </c>
      <c r="D32" s="2">
        <f t="shared" si="3"/>
        <v>2727633.0778850121</v>
      </c>
      <c r="E32" s="2">
        <f t="shared" si="4"/>
        <v>42000</v>
      </c>
      <c r="F32" s="2">
        <v>0</v>
      </c>
      <c r="G32" s="2">
        <f t="shared" ref="G32:G44" si="6">D32*(1+($D$2/$D$6))^($D$6*$D$7)-D32</f>
        <v>224844.68629750982</v>
      </c>
      <c r="H32" s="2">
        <f t="shared" si="5"/>
        <v>2994477.764182522</v>
      </c>
      <c r="I32" s="12"/>
    </row>
    <row r="33" spans="2:9" x14ac:dyDescent="0.3">
      <c r="B33">
        <f t="shared" si="2"/>
        <v>24</v>
      </c>
      <c r="C33">
        <f t="shared" si="2"/>
        <v>53</v>
      </c>
      <c r="D33" s="2">
        <f t="shared" si="3"/>
        <v>2994477.764182522</v>
      </c>
      <c r="E33" s="2">
        <f t="shared" si="4"/>
        <v>42000</v>
      </c>
      <c r="F33" s="2">
        <v>0</v>
      </c>
      <c r="G33" s="2">
        <f t="shared" si="6"/>
        <v>246841.27017353568</v>
      </c>
      <c r="H33" s="2">
        <f t="shared" si="5"/>
        <v>3283319.0343560576</v>
      </c>
      <c r="I33" s="12"/>
    </row>
    <row r="34" spans="2:9" x14ac:dyDescent="0.3">
      <c r="B34">
        <f t="shared" si="2"/>
        <v>25</v>
      </c>
      <c r="C34">
        <f t="shared" si="2"/>
        <v>54</v>
      </c>
      <c r="D34" s="2">
        <f t="shared" si="3"/>
        <v>3283319.0343560576</v>
      </c>
      <c r="E34" s="2">
        <f t="shared" si="4"/>
        <v>42000</v>
      </c>
      <c r="F34" s="2">
        <v>0</v>
      </c>
      <c r="G34" s="2">
        <f t="shared" si="6"/>
        <v>270651.07997108391</v>
      </c>
      <c r="H34" s="2">
        <f t="shared" si="5"/>
        <v>3595970.1143271415</v>
      </c>
      <c r="I34" s="12"/>
    </row>
    <row r="35" spans="2:9" x14ac:dyDescent="0.3">
      <c r="B35">
        <f t="shared" si="2"/>
        <v>26</v>
      </c>
      <c r="C35">
        <f t="shared" si="2"/>
        <v>55</v>
      </c>
      <c r="D35" s="2">
        <f t="shared" si="3"/>
        <v>3595970.1143271415</v>
      </c>
      <c r="E35" s="2">
        <f t="shared" si="4"/>
        <v>42000</v>
      </c>
      <c r="F35" s="2">
        <v>0</v>
      </c>
      <c r="G35" s="2">
        <f t="shared" si="6"/>
        <v>296423.58381943312</v>
      </c>
      <c r="H35" s="4">
        <f t="shared" si="5"/>
        <v>3934393.6981465747</v>
      </c>
      <c r="I35" s="12"/>
    </row>
    <row r="36" spans="2:9" x14ac:dyDescent="0.3">
      <c r="B36">
        <f t="shared" si="2"/>
        <v>27</v>
      </c>
      <c r="C36">
        <f t="shared" si="2"/>
        <v>56</v>
      </c>
      <c r="D36" s="2">
        <f t="shared" si="3"/>
        <v>3934393.6981465747</v>
      </c>
      <c r="E36" s="2">
        <f t="shared" si="4"/>
        <v>42000</v>
      </c>
      <c r="F36" s="2">
        <v>0</v>
      </c>
      <c r="G36" s="2">
        <f t="shared" si="6"/>
        <v>324320.57082860963</v>
      </c>
      <c r="H36" s="2">
        <f t="shared" si="5"/>
        <v>4300714.2689751843</v>
      </c>
      <c r="I36" s="12"/>
    </row>
    <row r="37" spans="2:9" x14ac:dyDescent="0.3">
      <c r="B37">
        <f t="shared" si="2"/>
        <v>28</v>
      </c>
      <c r="C37">
        <f t="shared" si="2"/>
        <v>57</v>
      </c>
      <c r="D37" s="2">
        <f t="shared" si="3"/>
        <v>4300714.2689751843</v>
      </c>
      <c r="E37" s="2">
        <f t="shared" si="4"/>
        <v>42000</v>
      </c>
      <c r="F37" s="2">
        <v>0</v>
      </c>
      <c r="G37" s="2">
        <f t="shared" si="6"/>
        <v>354517.16673444491</v>
      </c>
      <c r="H37" s="2">
        <f t="shared" si="5"/>
        <v>4697231.4357096292</v>
      </c>
      <c r="I37" s="12"/>
    </row>
    <row r="38" spans="2:9" x14ac:dyDescent="0.3">
      <c r="B38">
        <f t="shared" si="2"/>
        <v>29</v>
      </c>
      <c r="C38">
        <f t="shared" si="2"/>
        <v>58</v>
      </c>
      <c r="D38" s="2">
        <f t="shared" si="3"/>
        <v>4697231.4357096292</v>
      </c>
      <c r="E38" s="2">
        <f t="shared" si="4"/>
        <v>42000</v>
      </c>
      <c r="F38" s="2">
        <v>0</v>
      </c>
      <c r="G38" s="2">
        <f t="shared" si="6"/>
        <v>387202.93326544575</v>
      </c>
      <c r="H38" s="2">
        <f t="shared" si="5"/>
        <v>5126434.368975075</v>
      </c>
      <c r="I38" s="12"/>
    </row>
    <row r="39" spans="2:9" x14ac:dyDescent="0.3">
      <c r="B39">
        <f t="shared" si="2"/>
        <v>30</v>
      </c>
      <c r="C39">
        <f>C38+1</f>
        <v>59</v>
      </c>
      <c r="D39" s="2">
        <f t="shared" si="3"/>
        <v>5126434.368975075</v>
      </c>
      <c r="E39" s="2">
        <f t="shared" si="4"/>
        <v>42000</v>
      </c>
      <c r="F39" s="2">
        <v>0</v>
      </c>
      <c r="G39" s="2">
        <f t="shared" si="6"/>
        <v>422583.05813285243</v>
      </c>
      <c r="H39" s="2">
        <f t="shared" si="5"/>
        <v>5591017.4271079274</v>
      </c>
      <c r="I39" s="12"/>
    </row>
    <row r="40" spans="2:9" x14ac:dyDescent="0.3">
      <c r="B40">
        <f t="shared" si="2"/>
        <v>31</v>
      </c>
      <c r="C40">
        <f t="shared" si="2"/>
        <v>60</v>
      </c>
      <c r="D40" s="2">
        <f t="shared" si="3"/>
        <v>5591017.4271079274</v>
      </c>
      <c r="E40" s="2">
        <f t="shared" si="4"/>
        <v>42000</v>
      </c>
      <c r="F40" s="2">
        <v>0</v>
      </c>
      <c r="G40" s="2">
        <f t="shared" si="6"/>
        <v>460879.64311414864</v>
      </c>
      <c r="H40" s="2">
        <f t="shared" si="5"/>
        <v>6093897.070222076</v>
      </c>
      <c r="I40" s="12"/>
    </row>
    <row r="41" spans="2:9" x14ac:dyDescent="0.3">
      <c r="B41">
        <f t="shared" si="2"/>
        <v>32</v>
      </c>
      <c r="C41">
        <f t="shared" si="2"/>
        <v>61</v>
      </c>
      <c r="D41" s="2">
        <f t="shared" si="3"/>
        <v>6093897.070222076</v>
      </c>
      <c r="E41" s="2">
        <f t="shared" si="4"/>
        <v>42000</v>
      </c>
      <c r="F41" s="2">
        <v>0</v>
      </c>
      <c r="G41" s="2">
        <f t="shared" si="6"/>
        <v>502333.09831607714</v>
      </c>
      <c r="H41" s="2">
        <f t="shared" si="5"/>
        <v>6638230.1685381532</v>
      </c>
      <c r="I41" s="12"/>
    </row>
    <row r="42" spans="2:9" x14ac:dyDescent="0.3">
      <c r="B42">
        <f t="shared" si="2"/>
        <v>33</v>
      </c>
      <c r="C42">
        <f t="shared" si="2"/>
        <v>62</v>
      </c>
      <c r="D42" s="2">
        <f t="shared" si="3"/>
        <v>6638230.1685381532</v>
      </c>
      <c r="E42" s="2">
        <f t="shared" si="4"/>
        <v>42000</v>
      </c>
      <c r="F42" s="2">
        <v>0</v>
      </c>
      <c r="G42" s="2">
        <f t="shared" si="6"/>
        <v>547203.65136976354</v>
      </c>
      <c r="H42" s="2">
        <f t="shared" si="5"/>
        <v>7227433.8199079167</v>
      </c>
      <c r="I42" s="12"/>
    </row>
    <row r="43" spans="2:9" x14ac:dyDescent="0.3">
      <c r="B43">
        <f t="shared" si="2"/>
        <v>34</v>
      </c>
      <c r="C43">
        <f t="shared" si="2"/>
        <v>63</v>
      </c>
      <c r="D43" s="2">
        <f t="shared" si="3"/>
        <v>7227433.8199079167</v>
      </c>
      <c r="E43" s="2">
        <f t="shared" si="4"/>
        <v>42000</v>
      </c>
      <c r="F43" s="2">
        <v>0</v>
      </c>
      <c r="G43" s="2">
        <f t="shared" si="6"/>
        <v>595772.98103206046</v>
      </c>
      <c r="H43" s="2">
        <f t="shared" si="5"/>
        <v>7865206.8009399772</v>
      </c>
      <c r="I43" s="12"/>
    </row>
    <row r="44" spans="2:9" x14ac:dyDescent="0.3">
      <c r="B44">
        <f t="shared" si="2"/>
        <v>35</v>
      </c>
      <c r="C44">
        <f t="shared" si="2"/>
        <v>64</v>
      </c>
      <c r="D44" s="2">
        <f t="shared" si="3"/>
        <v>7865206.8009399772</v>
      </c>
      <c r="E44" s="2">
        <f t="shared" si="4"/>
        <v>42000</v>
      </c>
      <c r="F44" s="2">
        <v>0</v>
      </c>
      <c r="G44" s="2">
        <f t="shared" si="6"/>
        <v>648345.98544817232</v>
      </c>
      <c r="H44" s="2">
        <f t="shared" si="5"/>
        <v>8555552.7863881495</v>
      </c>
      <c r="I44" s="12"/>
    </row>
    <row r="46" spans="2:9" x14ac:dyDescent="0.3">
      <c r="E46" s="2">
        <f>SUM(E10:E44)</f>
        <v>1320000</v>
      </c>
      <c r="F46" s="2"/>
      <c r="G46" s="2">
        <f>SUM(G10:G44)</f>
        <v>7062692.7863881495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46"/>
  <sheetViews>
    <sheetView topLeftCell="E1" workbookViewId="0">
      <pane ySplit="9" topLeftCell="A22" activePane="bottomLeft" state="frozenSplit"/>
      <selection pane="bottomLeft" activeCell="L23" sqref="L23"/>
    </sheetView>
  </sheetViews>
  <sheetFormatPr defaultRowHeight="14.4" x14ac:dyDescent="0.3"/>
  <cols>
    <col min="2" max="2" width="15.44140625" customWidth="1"/>
    <col min="3" max="3" width="7.6640625" customWidth="1"/>
    <col min="4" max="4" width="10.109375" bestFit="1" customWidth="1"/>
    <col min="5" max="5" width="13.5546875" customWidth="1"/>
    <col min="7" max="7" width="10.109375" bestFit="1" customWidth="1"/>
    <col min="8" max="8" width="13.5546875" bestFit="1" customWidth="1"/>
    <col min="9" max="9" width="10.109375" bestFit="1" customWidth="1"/>
    <col min="10" max="10" width="12.33203125" bestFit="1" customWidth="1"/>
    <col min="11" max="11" width="10.109375" bestFit="1" customWidth="1"/>
    <col min="12" max="12" width="10.109375" customWidth="1"/>
    <col min="13" max="13" width="16.44140625" customWidth="1"/>
    <col min="14" max="14" width="12.109375" bestFit="1" customWidth="1"/>
    <col min="15" max="15" width="11.33203125" customWidth="1"/>
  </cols>
  <sheetData>
    <row r="2" spans="1:19" x14ac:dyDescent="0.3">
      <c r="B2" s="82" t="s">
        <v>7</v>
      </c>
      <c r="C2" s="82"/>
      <c r="D2" s="1">
        <v>0.08</v>
      </c>
      <c r="E2" s="1"/>
      <c r="F2" s="2" t="s">
        <v>8</v>
      </c>
      <c r="Q2" t="s">
        <v>77</v>
      </c>
      <c r="R2">
        <v>54</v>
      </c>
      <c r="S2">
        <v>0</v>
      </c>
    </row>
    <row r="3" spans="1:19" x14ac:dyDescent="0.3">
      <c r="B3" s="82" t="s">
        <v>12</v>
      </c>
      <c r="C3" s="82"/>
      <c r="D3">
        <v>42000</v>
      </c>
      <c r="E3" s="1"/>
      <c r="R3">
        <v>54</v>
      </c>
      <c r="S3">
        <v>6000000</v>
      </c>
    </row>
    <row r="4" spans="1:19" x14ac:dyDescent="0.3">
      <c r="B4" s="82" t="s">
        <v>6</v>
      </c>
      <c r="C4" s="82"/>
      <c r="D4">
        <f>D3/12</f>
        <v>3500</v>
      </c>
      <c r="E4" s="1"/>
    </row>
    <row r="5" spans="1:19" x14ac:dyDescent="0.3">
      <c r="B5" s="82" t="s">
        <v>0</v>
      </c>
      <c r="C5" s="82"/>
      <c r="D5" s="2">
        <v>25000</v>
      </c>
      <c r="E5" s="2"/>
    </row>
    <row r="6" spans="1:19" x14ac:dyDescent="0.3">
      <c r="B6" s="82" t="s">
        <v>9</v>
      </c>
      <c r="C6" s="82"/>
      <c r="D6" s="3">
        <v>4</v>
      </c>
      <c r="E6" s="2"/>
    </row>
    <row r="7" spans="1:19" x14ac:dyDescent="0.3">
      <c r="B7" s="82" t="s">
        <v>10</v>
      </c>
      <c r="C7" s="82"/>
      <c r="D7">
        <v>1</v>
      </c>
    </row>
    <row r="9" spans="1:19" ht="43.2" x14ac:dyDescent="0.3">
      <c r="A9" s="11" t="s">
        <v>87</v>
      </c>
      <c r="B9" t="s">
        <v>1</v>
      </c>
      <c r="C9" t="s">
        <v>11</v>
      </c>
      <c r="D9" t="s">
        <v>2</v>
      </c>
      <c r="E9" t="s">
        <v>3</v>
      </c>
      <c r="F9" t="s">
        <v>4</v>
      </c>
      <c r="G9" t="s">
        <v>5</v>
      </c>
      <c r="H9" t="s">
        <v>16</v>
      </c>
      <c r="I9" t="s">
        <v>14</v>
      </c>
      <c r="J9" t="s">
        <v>15</v>
      </c>
      <c r="K9" t="s">
        <v>17</v>
      </c>
      <c r="L9" s="11" t="s">
        <v>43</v>
      </c>
      <c r="M9" s="11" t="s">
        <v>33</v>
      </c>
      <c r="N9" t="s">
        <v>34</v>
      </c>
      <c r="O9" s="11" t="s">
        <v>44</v>
      </c>
    </row>
    <row r="10" spans="1:19" x14ac:dyDescent="0.3">
      <c r="B10">
        <v>1</v>
      </c>
      <c r="C10">
        <v>30</v>
      </c>
      <c r="D10" s="2">
        <v>172860</v>
      </c>
      <c r="E10" s="2">
        <v>12000</v>
      </c>
      <c r="F10" s="2">
        <v>0</v>
      </c>
      <c r="G10" s="2">
        <f>D10*(1+($D$2/$D$6))^($D$6*$D$7)-D10</f>
        <v>14249.223177599983</v>
      </c>
      <c r="H10" s="2">
        <f>G10+E10+D10</f>
        <v>199109.22317759998</v>
      </c>
      <c r="I10" s="2">
        <f>'Jordan IRA Projection'!H9</f>
        <v>18702.262860480001</v>
      </c>
      <c r="J10" s="2">
        <f>'Matt IRA Projection'!H9</f>
        <v>34147.289625599995</v>
      </c>
      <c r="K10" s="2">
        <f>SUM(H10:J10)</f>
        <v>251958.77566367999</v>
      </c>
      <c r="L10" s="2"/>
      <c r="M10" s="12"/>
      <c r="N10" s="12"/>
    </row>
    <row r="11" spans="1:19" x14ac:dyDescent="0.3">
      <c r="B11">
        <f>B10+1</f>
        <v>2</v>
      </c>
      <c r="C11">
        <f>C10+1</f>
        <v>31</v>
      </c>
      <c r="D11" s="2">
        <f>H10</f>
        <v>199109.22317759998</v>
      </c>
      <c r="E11" s="2">
        <v>18000</v>
      </c>
      <c r="F11" s="2">
        <v>0</v>
      </c>
      <c r="G11" s="2">
        <f t="shared" ref="G11:G31" si="0">D11*(1+($D$2/$D$6))^($D$6*$D$7)-D11</f>
        <v>16413.003342451615</v>
      </c>
      <c r="H11" s="2">
        <f t="shared" ref="H11:H27" si="1">G11+E11+D11</f>
        <v>233522.2265200516</v>
      </c>
      <c r="I11" s="2">
        <f>'Jordan IRA Projection'!H10</f>
        <v>25743.930784957145</v>
      </c>
      <c r="J11" s="2">
        <f>'Matt IRA Projection'!H10</f>
        <v>42462.124467583795</v>
      </c>
      <c r="K11" s="2">
        <f t="shared" ref="K11:K44" si="2">SUM(H11:J11)</f>
        <v>301728.28177259251</v>
      </c>
      <c r="L11" s="2"/>
      <c r="M11" s="12"/>
      <c r="N11" s="12"/>
    </row>
    <row r="12" spans="1:19" x14ac:dyDescent="0.3">
      <c r="B12">
        <f t="shared" ref="B12:C44" si="3">B11+1</f>
        <v>3</v>
      </c>
      <c r="C12">
        <f t="shared" si="3"/>
        <v>32</v>
      </c>
      <c r="D12" s="2">
        <f t="shared" ref="D12:D44" si="4">H11</f>
        <v>233522.2265200516</v>
      </c>
      <c r="E12" s="2">
        <v>18000</v>
      </c>
      <c r="F12" s="2">
        <v>0</v>
      </c>
      <c r="G12" s="2">
        <f t="shared" si="0"/>
        <v>19249.741540057119</v>
      </c>
      <c r="H12" s="2">
        <f t="shared" si="1"/>
        <v>270771.96806010872</v>
      </c>
      <c r="I12" s="2">
        <f>'Jordan IRA Projection'!H11</f>
        <v>33366.058606451654</v>
      </c>
      <c r="J12" s="2">
        <f>'Matt IRA Projection'!H11</f>
        <v>51462.369105635575</v>
      </c>
      <c r="K12" s="2">
        <f t="shared" si="2"/>
        <v>355600.39577219595</v>
      </c>
      <c r="L12" s="2"/>
      <c r="M12" s="12"/>
      <c r="N12" s="12"/>
    </row>
    <row r="13" spans="1:19" x14ac:dyDescent="0.3">
      <c r="B13">
        <f t="shared" si="3"/>
        <v>4</v>
      </c>
      <c r="C13">
        <f t="shared" si="3"/>
        <v>33</v>
      </c>
      <c r="D13" s="2">
        <f t="shared" si="4"/>
        <v>270771.96806010872</v>
      </c>
      <c r="E13" s="2">
        <v>18000</v>
      </c>
      <c r="F13" s="2">
        <v>0</v>
      </c>
      <c r="G13" s="2">
        <f t="shared" si="0"/>
        <v>22320.318194645748</v>
      </c>
      <c r="H13" s="2">
        <f t="shared" si="1"/>
        <v>311092.28625475446</v>
      </c>
      <c r="I13" s="2">
        <f>'Jordan IRA Projection'!H12</f>
        <v>41616.494888068053</v>
      </c>
      <c r="J13" s="2">
        <f>'Matt IRA Projection'!H12</f>
        <v>61204.523349730385</v>
      </c>
      <c r="K13" s="2">
        <f t="shared" si="2"/>
        <v>413913.30449255288</v>
      </c>
      <c r="L13" s="2"/>
      <c r="M13" s="12"/>
      <c r="N13" s="12"/>
    </row>
    <row r="14" spans="1:19" x14ac:dyDescent="0.3">
      <c r="B14">
        <f t="shared" si="3"/>
        <v>5</v>
      </c>
      <c r="C14">
        <f t="shared" si="3"/>
        <v>34</v>
      </c>
      <c r="D14" s="2">
        <f t="shared" si="4"/>
        <v>311092.28625475446</v>
      </c>
      <c r="E14" s="2">
        <v>18000</v>
      </c>
      <c r="F14" s="2">
        <v>0</v>
      </c>
      <c r="G14" s="2">
        <f t="shared" si="0"/>
        <v>25644.00911531772</v>
      </c>
      <c r="H14" s="2">
        <f t="shared" si="1"/>
        <v>354736.29537007218</v>
      </c>
      <c r="I14" s="2">
        <f>'Jordan IRA Projection'!H13</f>
        <v>45047.032453320462</v>
      </c>
      <c r="J14" s="2">
        <f>'Matt IRA Projection'!H13</f>
        <v>71749.744411219101</v>
      </c>
      <c r="K14" s="2">
        <f t="shared" si="2"/>
        <v>471533.07223461173</v>
      </c>
      <c r="L14" s="2"/>
      <c r="M14" s="12"/>
      <c r="N14" s="12"/>
    </row>
    <row r="15" spans="1:19" x14ac:dyDescent="0.3">
      <c r="B15">
        <f t="shared" si="3"/>
        <v>6</v>
      </c>
      <c r="C15">
        <f t="shared" si="3"/>
        <v>35</v>
      </c>
      <c r="D15" s="2">
        <f t="shared" si="4"/>
        <v>354736.29537007218</v>
      </c>
      <c r="E15" s="2">
        <v>18000</v>
      </c>
      <c r="F15" s="2">
        <v>0</v>
      </c>
      <c r="G15" s="2">
        <f t="shared" si="0"/>
        <v>29241.679057753063</v>
      </c>
      <c r="H15" s="2">
        <f t="shared" si="1"/>
        <v>401977.97442782525</v>
      </c>
      <c r="I15" s="2">
        <f>'Jordan IRA Projection'!H14</f>
        <v>48760.356640037768</v>
      </c>
      <c r="J15" s="2">
        <f>'Matt IRA Projection'!H14</f>
        <v>77664.23082248382</v>
      </c>
      <c r="K15" s="2">
        <f t="shared" si="2"/>
        <v>528402.56189034681</v>
      </c>
      <c r="L15" s="2"/>
      <c r="M15" s="12"/>
      <c r="N15" s="12"/>
    </row>
    <row r="16" spans="1:19" x14ac:dyDescent="0.3">
      <c r="B16">
        <f t="shared" si="3"/>
        <v>7</v>
      </c>
      <c r="C16">
        <f t="shared" si="3"/>
        <v>36</v>
      </c>
      <c r="D16" s="2">
        <f t="shared" si="4"/>
        <v>401977.97442782525</v>
      </c>
      <c r="E16" s="2">
        <f t="shared" ref="E16:E44" si="5">$D$3</f>
        <v>42000</v>
      </c>
      <c r="F16" s="2">
        <v>0</v>
      </c>
      <c r="G16" s="2">
        <f t="shared" si="0"/>
        <v>33135.912704510381</v>
      </c>
      <c r="H16" s="2">
        <f t="shared" si="1"/>
        <v>477113.88713233563</v>
      </c>
      <c r="I16" s="2">
        <f>'Jordan IRA Projection'!H15</f>
        <v>52779.778160246424</v>
      </c>
      <c r="J16" s="2">
        <f>'Matt IRA Projection'!H15</f>
        <v>84066.261123919729</v>
      </c>
      <c r="K16" s="2">
        <f>SUM(H16:J16)</f>
        <v>613959.92641650175</v>
      </c>
      <c r="L16" s="2">
        <v>123000</v>
      </c>
      <c r="M16" s="12">
        <f>499000+250000</f>
        <v>749000</v>
      </c>
      <c r="N16" s="12">
        <f>M16-K16</f>
        <v>135040.07358349825</v>
      </c>
      <c r="O16" s="13">
        <f>M16+L16</f>
        <v>872000</v>
      </c>
    </row>
    <row r="17" spans="2:15" x14ac:dyDescent="0.3">
      <c r="B17">
        <f t="shared" si="3"/>
        <v>8</v>
      </c>
      <c r="C17">
        <f t="shared" si="3"/>
        <v>37</v>
      </c>
      <c r="D17" s="2">
        <f t="shared" si="4"/>
        <v>477113.88713233563</v>
      </c>
      <c r="E17" s="2">
        <f t="shared" si="5"/>
        <v>42000</v>
      </c>
      <c r="F17" s="2">
        <v>0</v>
      </c>
      <c r="G17" s="2">
        <f t="shared" si="0"/>
        <v>39329.528282314597</v>
      </c>
      <c r="H17" s="2">
        <f>G17+E17+D17</f>
        <v>558443.41541465023</v>
      </c>
      <c r="I17" s="2">
        <f>'Jordan IRA Projection'!H16</f>
        <v>57130.52927831636</v>
      </c>
      <c r="J17" s="2">
        <f>'Matt IRA Projection'!H16</f>
        <v>90996.02461148845</v>
      </c>
      <c r="K17" s="2">
        <f t="shared" si="2"/>
        <v>706569.96930445498</v>
      </c>
      <c r="L17" s="2">
        <v>148258</v>
      </c>
      <c r="M17" s="12">
        <v>967000</v>
      </c>
      <c r="N17" s="12">
        <f>M17-K17</f>
        <v>260430.03069554502</v>
      </c>
      <c r="O17" s="13">
        <f>M17+L17</f>
        <v>1115258</v>
      </c>
    </row>
    <row r="18" spans="2:15" x14ac:dyDescent="0.3">
      <c r="B18">
        <f t="shared" si="3"/>
        <v>9</v>
      </c>
      <c r="C18">
        <f t="shared" si="3"/>
        <v>38</v>
      </c>
      <c r="D18" s="2">
        <f t="shared" si="4"/>
        <v>558443.41541465023</v>
      </c>
      <c r="E18" s="2">
        <f t="shared" si="5"/>
        <v>42000</v>
      </c>
      <c r="F18" s="2">
        <v>0</v>
      </c>
      <c r="G18" s="2">
        <f t="shared" si="0"/>
        <v>46033.69697040692</v>
      </c>
      <c r="H18" s="2">
        <f t="shared" si="1"/>
        <v>646477.11238505715</v>
      </c>
      <c r="I18" s="2">
        <f>'Jordan IRA Projection'!H17</f>
        <v>61839.922208671218</v>
      </c>
      <c r="J18" s="2">
        <f>'Matt IRA Projection'!H17</f>
        <v>98497.023471626599</v>
      </c>
      <c r="K18" s="2">
        <f t="shared" si="2"/>
        <v>806814.05806535494</v>
      </c>
      <c r="L18" s="2">
        <v>173310</v>
      </c>
      <c r="M18" s="12">
        <v>1139860</v>
      </c>
      <c r="N18" s="12">
        <f>M18-K18</f>
        <v>333045.94193464506</v>
      </c>
      <c r="O18" s="13">
        <f>M18+L18</f>
        <v>1313170</v>
      </c>
    </row>
    <row r="19" spans="2:15" x14ac:dyDescent="0.3">
      <c r="B19">
        <f t="shared" si="3"/>
        <v>10</v>
      </c>
      <c r="C19">
        <f t="shared" si="3"/>
        <v>39</v>
      </c>
      <c r="D19" s="2">
        <f t="shared" si="4"/>
        <v>646477.11238505715</v>
      </c>
      <c r="E19" s="2">
        <f t="shared" si="5"/>
        <v>42000</v>
      </c>
      <c r="F19" s="2">
        <v>0</v>
      </c>
      <c r="G19" s="2">
        <f t="shared" si="0"/>
        <v>53290.504764463054</v>
      </c>
      <c r="H19" s="2">
        <f t="shared" si="1"/>
        <v>741767.6171495202</v>
      </c>
      <c r="I19" s="2">
        <f>'Jordan IRA Projection'!H18</f>
        <v>66937.520570563953</v>
      </c>
      <c r="J19" s="2">
        <f>'Matt IRA Projection'!H18</f>
        <v>106616.34586996348</v>
      </c>
      <c r="K19" s="2">
        <f t="shared" si="2"/>
        <v>915321.48359004769</v>
      </c>
      <c r="L19" s="2"/>
      <c r="M19" s="12"/>
      <c r="N19" s="12"/>
    </row>
    <row r="20" spans="2:15" x14ac:dyDescent="0.3">
      <c r="B20">
        <f t="shared" si="3"/>
        <v>11</v>
      </c>
      <c r="C20">
        <f t="shared" si="3"/>
        <v>40</v>
      </c>
      <c r="D20" s="2">
        <f t="shared" si="4"/>
        <v>741767.6171495202</v>
      </c>
      <c r="E20" s="2">
        <f t="shared" si="5"/>
        <v>42000</v>
      </c>
      <c r="F20" s="2">
        <v>0</v>
      </c>
      <c r="G20" s="2">
        <f t="shared" si="0"/>
        <v>61145.506899687927</v>
      </c>
      <c r="H20" s="2">
        <f t="shared" si="1"/>
        <v>844913.12404920813</v>
      </c>
      <c r="I20" s="2">
        <f>'Jordan IRA Projection'!H19</f>
        <v>72455.324976239965</v>
      </c>
      <c r="J20" s="2">
        <f>'Matt IRA Projection'!H19</f>
        <v>115404.96155133164</v>
      </c>
      <c r="K20" s="2">
        <f t="shared" si="2"/>
        <v>1032773.4105767797</v>
      </c>
      <c r="L20" s="2"/>
      <c r="M20" s="12"/>
      <c r="N20" s="12"/>
    </row>
    <row r="21" spans="2:15" x14ac:dyDescent="0.3">
      <c r="B21">
        <f t="shared" si="3"/>
        <v>12</v>
      </c>
      <c r="C21">
        <f t="shared" si="3"/>
        <v>41</v>
      </c>
      <c r="D21" s="2">
        <f t="shared" si="4"/>
        <v>844913.12404920813</v>
      </c>
      <c r="E21" s="2">
        <f t="shared" si="5"/>
        <v>42000</v>
      </c>
      <c r="F21" s="2">
        <v>0</v>
      </c>
      <c r="G21" s="2">
        <f t="shared" si="0"/>
        <v>69648.013827724149</v>
      </c>
      <c r="H21" s="2">
        <f t="shared" si="1"/>
        <v>956561.13787693228</v>
      </c>
      <c r="I21" s="2">
        <f>'Jordan IRA Projection'!H20</f>
        <v>78427.973917533367</v>
      </c>
      <c r="J21" s="2">
        <f>'Matt IRA Projection'!H20</f>
        <v>124918.04180672485</v>
      </c>
      <c r="K21" s="2">
        <f t="shared" si="2"/>
        <v>1159907.1536011905</v>
      </c>
      <c r="L21" s="2"/>
      <c r="M21" s="12"/>
      <c r="N21" s="12"/>
    </row>
    <row r="22" spans="2:15" x14ac:dyDescent="0.3">
      <c r="B22">
        <f t="shared" si="3"/>
        <v>13</v>
      </c>
      <c r="C22">
        <f t="shared" si="3"/>
        <v>42</v>
      </c>
      <c r="D22" s="2">
        <f t="shared" si="4"/>
        <v>956561.13787693228</v>
      </c>
      <c r="E22" s="2">
        <f t="shared" si="5"/>
        <v>42000</v>
      </c>
      <c r="F22" s="2">
        <v>0</v>
      </c>
      <c r="G22" s="2">
        <f t="shared" si="0"/>
        <v>78851.400767253363</v>
      </c>
      <c r="H22" s="2">
        <f t="shared" si="1"/>
        <v>1077412.5386441858</v>
      </c>
      <c r="I22" s="2">
        <f>'Jordan IRA Projection'!H21</f>
        <v>84892.961211979302</v>
      </c>
      <c r="J22" s="2">
        <f>'Matt IRA Projection'!H21</f>
        <v>135215.30581582349</v>
      </c>
      <c r="K22" s="2">
        <f t="shared" si="2"/>
        <v>1297520.8056719885</v>
      </c>
      <c r="L22" s="2"/>
      <c r="M22" s="12"/>
      <c r="N22" s="12"/>
    </row>
    <row r="23" spans="2:15" x14ac:dyDescent="0.3">
      <c r="B23">
        <f t="shared" si="3"/>
        <v>14</v>
      </c>
      <c r="C23">
        <f t="shared" si="3"/>
        <v>43</v>
      </c>
      <c r="D23" s="2">
        <f t="shared" si="4"/>
        <v>1077412.5386441858</v>
      </c>
      <c r="E23" s="2">
        <f t="shared" si="5"/>
        <v>42000</v>
      </c>
      <c r="F23" s="2">
        <v>0</v>
      </c>
      <c r="G23" s="2">
        <f t="shared" si="0"/>
        <v>88813.442771523725</v>
      </c>
      <c r="H23" s="2">
        <f t="shared" si="1"/>
        <v>1208225.9814157095</v>
      </c>
      <c r="I23" s="2">
        <f>'Jordan IRA Projection'!H22</f>
        <v>91890.871373478978</v>
      </c>
      <c r="J23" s="2">
        <f>'Matt IRA Projection'!H22</f>
        <v>146361.39553928238</v>
      </c>
      <c r="K23" s="2">
        <f t="shared" si="2"/>
        <v>1446478.2483284709</v>
      </c>
      <c r="L23" s="2"/>
      <c r="M23" s="12"/>
      <c r="N23" s="12"/>
    </row>
    <row r="24" spans="2:15" x14ac:dyDescent="0.3">
      <c r="B24">
        <f t="shared" si="3"/>
        <v>15</v>
      </c>
      <c r="C24">
        <f t="shared" si="3"/>
        <v>44</v>
      </c>
      <c r="D24" s="2">
        <f t="shared" si="4"/>
        <v>1208225.9814157095</v>
      </c>
      <c r="E24" s="2">
        <f t="shared" si="5"/>
        <v>42000</v>
      </c>
      <c r="F24" s="2">
        <v>0</v>
      </c>
      <c r="G24" s="2">
        <f t="shared" si="0"/>
        <v>99596.677416216815</v>
      </c>
      <c r="H24" s="2">
        <f t="shared" si="1"/>
        <v>1349822.6588319263</v>
      </c>
      <c r="I24" s="2">
        <f>'Jordan IRA Projection'!H23</f>
        <v>99465.634385077021</v>
      </c>
      <c r="J24" s="2">
        <f>'Matt IRA Projection'!H23</f>
        <v>158426.2815141998</v>
      </c>
      <c r="K24" s="2">
        <f t="shared" si="2"/>
        <v>1607714.5747312033</v>
      </c>
      <c r="L24" s="2"/>
      <c r="M24" s="12"/>
      <c r="N24" s="12"/>
    </row>
    <row r="25" spans="2:15" x14ac:dyDescent="0.3">
      <c r="B25">
        <f t="shared" si="3"/>
        <v>16</v>
      </c>
      <c r="C25">
        <f t="shared" si="3"/>
        <v>45</v>
      </c>
      <c r="D25" s="2">
        <f t="shared" si="4"/>
        <v>1349822.6588319263</v>
      </c>
      <c r="E25" s="2">
        <f t="shared" si="5"/>
        <v>42000</v>
      </c>
      <c r="F25" s="2">
        <v>0</v>
      </c>
      <c r="G25" s="2">
        <f t="shared" si="0"/>
        <v>111268.79738445883</v>
      </c>
      <c r="H25" s="2">
        <f t="shared" si="1"/>
        <v>1503091.4562163851</v>
      </c>
      <c r="I25" s="2">
        <f>'Jordan IRA Projection'!H24</f>
        <v>107664.80147320918</v>
      </c>
      <c r="J25" s="2">
        <f>'Matt IRA Projection'!H24</f>
        <v>171485.70210018335</v>
      </c>
      <c r="K25" s="2">
        <f t="shared" si="2"/>
        <v>1782241.9597897776</v>
      </c>
      <c r="L25" s="2"/>
      <c r="M25" s="12"/>
      <c r="N25" s="12"/>
    </row>
    <row r="26" spans="2:15" x14ac:dyDescent="0.3">
      <c r="B26">
        <f t="shared" si="3"/>
        <v>17</v>
      </c>
      <c r="C26">
        <f t="shared" si="3"/>
        <v>46</v>
      </c>
      <c r="D26" s="2">
        <f t="shared" si="4"/>
        <v>1503091.4562163851</v>
      </c>
      <c r="E26" s="2">
        <f t="shared" si="5"/>
        <v>42000</v>
      </c>
      <c r="F26" s="2">
        <v>0</v>
      </c>
      <c r="G26" s="2">
        <f t="shared" si="0"/>
        <v>123903.07541346201</v>
      </c>
      <c r="H26" s="2">
        <f t="shared" si="1"/>
        <v>1668994.5316298471</v>
      </c>
      <c r="I26" s="2">
        <f>'Jordan IRA Projection'!H25</f>
        <v>116539.843614617</v>
      </c>
      <c r="J26" s="2">
        <f>'Matt IRA Projection'!H25</f>
        <v>185621.638933418</v>
      </c>
      <c r="K26" s="2">
        <f t="shared" si="2"/>
        <v>1971156.0141778821</v>
      </c>
      <c r="L26" s="2"/>
      <c r="M26" s="12"/>
      <c r="N26" s="12"/>
    </row>
    <row r="27" spans="2:15" x14ac:dyDescent="0.3">
      <c r="B27">
        <f t="shared" si="3"/>
        <v>18</v>
      </c>
      <c r="C27">
        <f t="shared" si="3"/>
        <v>47</v>
      </c>
      <c r="D27" s="2">
        <f t="shared" si="4"/>
        <v>1668994.5316298471</v>
      </c>
      <c r="E27" s="2">
        <f t="shared" si="5"/>
        <v>42000</v>
      </c>
      <c r="F27" s="2">
        <v>0</v>
      </c>
      <c r="G27" s="2">
        <f t="shared" si="0"/>
        <v>137578.82427043654</v>
      </c>
      <c r="H27" s="2">
        <f t="shared" si="1"/>
        <v>1848573.3559002837</v>
      </c>
      <c r="I27" s="2">
        <f>'Jordan IRA Projection'!H26</f>
        <v>126146.47464983209</v>
      </c>
      <c r="J27" s="2">
        <f>'Matt IRA Projection'!H26</f>
        <v>200922.83157343973</v>
      </c>
      <c r="K27" s="2">
        <f t="shared" si="2"/>
        <v>2175642.6621235553</v>
      </c>
      <c r="L27" s="2"/>
      <c r="M27" s="12"/>
      <c r="N27" s="12"/>
    </row>
    <row r="28" spans="2:15" x14ac:dyDescent="0.3">
      <c r="B28">
        <f t="shared" si="3"/>
        <v>19</v>
      </c>
      <c r="C28">
        <f t="shared" si="3"/>
        <v>48</v>
      </c>
      <c r="D28" s="2">
        <f t="shared" si="4"/>
        <v>1848573.3559002837</v>
      </c>
      <c r="E28" s="2">
        <f t="shared" si="5"/>
        <v>42000</v>
      </c>
      <c r="F28" s="2">
        <v>0</v>
      </c>
      <c r="G28" s="2">
        <f t="shared" si="0"/>
        <v>152381.89464530908</v>
      </c>
      <c r="H28" s="2">
        <f>G28+E28+D28-F28</f>
        <v>2042955.2505455927</v>
      </c>
      <c r="I28" s="2">
        <f>'Jordan IRA Projection'!H27</f>
        <v>136545.00103160299</v>
      </c>
      <c r="J28" s="2">
        <f>'Matt IRA Projection'!H27</f>
        <v>217485.33457335457</v>
      </c>
      <c r="K28" s="2">
        <f t="shared" si="2"/>
        <v>2396985.5861505503</v>
      </c>
      <c r="L28" s="2"/>
      <c r="M28" s="12"/>
      <c r="N28" s="12"/>
    </row>
    <row r="29" spans="2:15" x14ac:dyDescent="0.3">
      <c r="B29">
        <f t="shared" si="3"/>
        <v>20</v>
      </c>
      <c r="C29">
        <f t="shared" si="3"/>
        <v>49</v>
      </c>
      <c r="D29" s="2">
        <f t="shared" si="4"/>
        <v>2042955.2505455927</v>
      </c>
      <c r="E29" s="2">
        <f t="shared" si="5"/>
        <v>42000</v>
      </c>
      <c r="F29" s="2">
        <v>0</v>
      </c>
      <c r="G29" s="2">
        <f t="shared" si="0"/>
        <v>168405.21408581431</v>
      </c>
      <c r="H29" s="2">
        <f t="shared" ref="H29:H44" si="6">G29+E29+D29-F29</f>
        <v>2253360.4646314071</v>
      </c>
      <c r="I29" s="2">
        <f>'Jordan IRA Projection'!H28</f>
        <v>147800.70040384025</v>
      </c>
      <c r="J29" s="2">
        <f>'Matt IRA Projection'!H28</f>
        <v>235413.12047055888</v>
      </c>
      <c r="K29" s="2">
        <f t="shared" si="2"/>
        <v>2636574.2855058061</v>
      </c>
      <c r="L29" s="2"/>
      <c r="M29" s="12"/>
      <c r="N29" s="12"/>
    </row>
    <row r="30" spans="2:15" x14ac:dyDescent="0.3">
      <c r="B30">
        <f t="shared" si="3"/>
        <v>21</v>
      </c>
      <c r="C30">
        <f t="shared" si="3"/>
        <v>50</v>
      </c>
      <c r="D30" s="2">
        <f t="shared" si="4"/>
        <v>2253360.4646314071</v>
      </c>
      <c r="E30" s="2">
        <f t="shared" si="5"/>
        <v>42000</v>
      </c>
      <c r="F30" s="2">
        <v>0</v>
      </c>
      <c r="G30" s="2">
        <f t="shared" si="0"/>
        <v>185749.37035817048</v>
      </c>
      <c r="H30" s="2">
        <f t="shared" si="6"/>
        <v>2481109.8349895775</v>
      </c>
      <c r="I30" s="2">
        <f>'Jordan IRA Projection'!H29</f>
        <v>159984.23138764166</v>
      </c>
      <c r="J30" s="2">
        <f>'Matt IRA Projection'!H29</f>
        <v>254818.73248328725</v>
      </c>
      <c r="K30" s="2">
        <f t="shared" si="2"/>
        <v>2895912.7988605066</v>
      </c>
      <c r="L30" s="2"/>
      <c r="M30" s="12"/>
      <c r="N30" s="12"/>
    </row>
    <row r="31" spans="2:15" x14ac:dyDescent="0.3">
      <c r="B31">
        <f t="shared" si="3"/>
        <v>22</v>
      </c>
      <c r="C31">
        <f t="shared" si="3"/>
        <v>51</v>
      </c>
      <c r="D31" s="2">
        <f t="shared" si="4"/>
        <v>2481109.8349895775</v>
      </c>
      <c r="E31" s="2">
        <f t="shared" si="5"/>
        <v>42000</v>
      </c>
      <c r="F31" s="2">
        <v>0</v>
      </c>
      <c r="G31" s="2">
        <f t="shared" si="0"/>
        <v>204523.24289543461</v>
      </c>
      <c r="H31" s="2">
        <f t="shared" si="6"/>
        <v>2727633.0778850121</v>
      </c>
      <c r="I31" s="2">
        <f>'Jordan IRA Projection'!H30</f>
        <v>173172.07714686476</v>
      </c>
      <c r="J31" s="2">
        <f>'Matt IRA Projection'!H30</f>
        <v>275823.9910103468</v>
      </c>
      <c r="K31" s="2">
        <f t="shared" si="2"/>
        <v>3176629.146042224</v>
      </c>
      <c r="L31" s="2"/>
      <c r="M31" s="12"/>
      <c r="N31" s="12"/>
    </row>
    <row r="32" spans="2:15" x14ac:dyDescent="0.3">
      <c r="B32">
        <f t="shared" si="3"/>
        <v>23</v>
      </c>
      <c r="C32">
        <f>C31+1</f>
        <v>52</v>
      </c>
      <c r="D32" s="2">
        <f t="shared" si="4"/>
        <v>2727633.0778850121</v>
      </c>
      <c r="E32" s="2">
        <f t="shared" si="5"/>
        <v>42000</v>
      </c>
      <c r="F32" s="2">
        <v>0</v>
      </c>
      <c r="G32" s="2">
        <f t="shared" ref="G32:G44" si="7">D32*(1+($D$2/$D$6))^($D$6*$D$7)-D32</f>
        <v>224844.68629750982</v>
      </c>
      <c r="H32" s="2">
        <f t="shared" si="6"/>
        <v>2994477.764182522</v>
      </c>
      <c r="I32" s="2">
        <f>'Jordan IRA Projection'!H31</f>
        <v>187447.02551776744</v>
      </c>
      <c r="J32" s="2">
        <f>'Matt IRA Projection'!H31</f>
        <v>298560.75836915028</v>
      </c>
      <c r="K32" s="2">
        <f t="shared" si="2"/>
        <v>3480485.5480694394</v>
      </c>
      <c r="L32" s="2"/>
      <c r="M32" s="12"/>
      <c r="N32" s="12"/>
    </row>
    <row r="33" spans="2:14" x14ac:dyDescent="0.3">
      <c r="B33">
        <f t="shared" si="3"/>
        <v>24</v>
      </c>
      <c r="C33">
        <f t="shared" si="3"/>
        <v>53</v>
      </c>
      <c r="D33" s="2">
        <f t="shared" si="4"/>
        <v>2994477.764182522</v>
      </c>
      <c r="E33" s="2">
        <f t="shared" si="5"/>
        <v>42000</v>
      </c>
      <c r="F33" s="2">
        <v>0</v>
      </c>
      <c r="G33" s="2">
        <f t="shared" si="7"/>
        <v>246841.27017353568</v>
      </c>
      <c r="H33" s="2">
        <f t="shared" si="6"/>
        <v>3283319.0343560576</v>
      </c>
      <c r="I33" s="2">
        <f>'Jordan IRA Projection'!H32</f>
        <v>202898.68871677213</v>
      </c>
      <c r="J33" s="2">
        <f>'Matt IRA Projection'!H32</f>
        <v>323171.76657275739</v>
      </c>
      <c r="K33" s="2">
        <f t="shared" si="2"/>
        <v>3809389.4896455873</v>
      </c>
      <c r="L33" s="2"/>
      <c r="M33" s="12"/>
      <c r="N33" s="12"/>
    </row>
    <row r="34" spans="2:14" x14ac:dyDescent="0.3">
      <c r="B34">
        <f t="shared" si="3"/>
        <v>25</v>
      </c>
      <c r="C34">
        <f t="shared" si="3"/>
        <v>54</v>
      </c>
      <c r="D34" s="2">
        <f t="shared" si="4"/>
        <v>3283319.0343560576</v>
      </c>
      <c r="E34" s="2">
        <f t="shared" si="5"/>
        <v>42000</v>
      </c>
      <c r="F34" s="2">
        <v>0</v>
      </c>
      <c r="G34" s="2">
        <f t="shared" si="7"/>
        <v>270651.07997108391</v>
      </c>
      <c r="H34" s="2">
        <f t="shared" si="6"/>
        <v>3595970.1143271415</v>
      </c>
      <c r="I34" s="2">
        <f>'Jordan IRA Projection'!H33</f>
        <v>219624.06588886329</v>
      </c>
      <c r="J34" s="2">
        <f>'Matt IRA Projection'!H33</f>
        <v>349811.51334236556</v>
      </c>
      <c r="K34" s="2">
        <f t="shared" si="2"/>
        <v>4165405.6935583707</v>
      </c>
      <c r="L34" s="2"/>
      <c r="M34" s="12"/>
      <c r="N34" s="12"/>
    </row>
    <row r="35" spans="2:14" x14ac:dyDescent="0.3">
      <c r="B35">
        <f t="shared" si="3"/>
        <v>26</v>
      </c>
      <c r="C35">
        <f t="shared" si="3"/>
        <v>55</v>
      </c>
      <c r="D35" s="2">
        <f t="shared" si="4"/>
        <v>3595970.1143271415</v>
      </c>
      <c r="E35" s="2">
        <f t="shared" si="5"/>
        <v>42000</v>
      </c>
      <c r="F35" s="2">
        <v>0</v>
      </c>
      <c r="G35" s="2">
        <f t="shared" si="7"/>
        <v>296423.58381943312</v>
      </c>
      <c r="H35" s="4">
        <f t="shared" si="6"/>
        <v>3934393.6981465747</v>
      </c>
      <c r="I35" s="4">
        <f>'Jordan IRA Projection'!H34</f>
        <v>237728.15202806459</v>
      </c>
      <c r="J35" s="4">
        <f>'Matt IRA Projection'!H34</f>
        <v>378647.23198004556</v>
      </c>
      <c r="K35" s="4">
        <f t="shared" si="2"/>
        <v>4550769.0821546847</v>
      </c>
      <c r="L35" s="4"/>
      <c r="M35" s="12"/>
      <c r="N35" s="12"/>
    </row>
    <row r="36" spans="2:14" x14ac:dyDescent="0.3">
      <c r="B36">
        <f t="shared" si="3"/>
        <v>27</v>
      </c>
      <c r="C36">
        <f t="shared" si="3"/>
        <v>56</v>
      </c>
      <c r="D36" s="2">
        <f t="shared" si="4"/>
        <v>3934393.6981465747</v>
      </c>
      <c r="E36" s="2">
        <f t="shared" si="5"/>
        <v>42000</v>
      </c>
      <c r="F36" s="2">
        <v>0</v>
      </c>
      <c r="G36" s="2">
        <f t="shared" si="7"/>
        <v>324320.57082860963</v>
      </c>
      <c r="H36" s="2">
        <f t="shared" si="6"/>
        <v>4300714.2689751843</v>
      </c>
      <c r="I36" s="2">
        <f>'Jordan IRA Projection'!H35</f>
        <v>257324.59709254632</v>
      </c>
      <c r="J36" s="2">
        <f>'Matt IRA Projection'!H35</f>
        <v>409859.94119018177</v>
      </c>
      <c r="K36" s="2">
        <f t="shared" si="2"/>
        <v>4967898.8072579131</v>
      </c>
      <c r="L36" s="2"/>
      <c r="M36" s="12"/>
      <c r="N36" s="12"/>
    </row>
    <row r="37" spans="2:14" x14ac:dyDescent="0.3">
      <c r="B37">
        <f t="shared" si="3"/>
        <v>28</v>
      </c>
      <c r="C37">
        <f t="shared" si="3"/>
        <v>57</v>
      </c>
      <c r="D37" s="2">
        <f t="shared" si="4"/>
        <v>4300714.2689751843</v>
      </c>
      <c r="E37" s="2">
        <f t="shared" si="5"/>
        <v>42000</v>
      </c>
      <c r="F37" s="2">
        <v>0</v>
      </c>
      <c r="G37" s="2">
        <f t="shared" si="7"/>
        <v>354517.16673444491</v>
      </c>
      <c r="H37" s="2">
        <f t="shared" si="6"/>
        <v>4697231.4357096292</v>
      </c>
      <c r="I37" s="2">
        <f>'Jordan IRA Projection'!H36</f>
        <v>278536.41945201461</v>
      </c>
      <c r="J37" s="2">
        <f>'Matt IRA Projection'!H36</f>
        <v>443645.58143996139</v>
      </c>
      <c r="K37" s="2">
        <f t="shared" si="2"/>
        <v>5419413.4366016053</v>
      </c>
      <c r="L37" s="2"/>
      <c r="M37" s="12"/>
      <c r="N37" s="12"/>
    </row>
    <row r="38" spans="2:14" x14ac:dyDescent="0.3">
      <c r="B38">
        <f t="shared" si="3"/>
        <v>29</v>
      </c>
      <c r="C38">
        <f t="shared" si="3"/>
        <v>58</v>
      </c>
      <c r="D38" s="2">
        <f t="shared" si="4"/>
        <v>4697231.4357096292</v>
      </c>
      <c r="E38" s="2">
        <f t="shared" si="5"/>
        <v>42000</v>
      </c>
      <c r="F38" s="2">
        <v>0</v>
      </c>
      <c r="G38" s="2">
        <f t="shared" si="7"/>
        <v>387202.93326544575</v>
      </c>
      <c r="H38" s="2">
        <f t="shared" si="6"/>
        <v>5126434.368975075</v>
      </c>
      <c r="I38" s="2">
        <f>'Jordan IRA Projection'!H37</f>
        <v>301496.77814611018</v>
      </c>
      <c r="J38" s="2">
        <f>'Matt IRA Projection'!H37</f>
        <v>480216.24499251333</v>
      </c>
      <c r="K38" s="2">
        <f t="shared" si="2"/>
        <v>5908147.3921136986</v>
      </c>
      <c r="L38" s="2"/>
      <c r="M38" s="12"/>
      <c r="N38" s="12"/>
    </row>
    <row r="39" spans="2:14" x14ac:dyDescent="0.3">
      <c r="B39">
        <f t="shared" si="3"/>
        <v>30</v>
      </c>
      <c r="C39">
        <f>C38+1</f>
        <v>59</v>
      </c>
      <c r="D39" s="2">
        <f t="shared" si="4"/>
        <v>5126434.368975075</v>
      </c>
      <c r="E39" s="2">
        <f t="shared" si="5"/>
        <v>42000</v>
      </c>
      <c r="F39" s="2">
        <v>0</v>
      </c>
      <c r="G39" s="2">
        <f t="shared" si="7"/>
        <v>422583.05813285243</v>
      </c>
      <c r="H39" s="2">
        <f t="shared" si="6"/>
        <v>5591017.4271079274</v>
      </c>
      <c r="I39" s="2">
        <f>'Jordan IRA Projection'!H38</f>
        <v>326349.80880173482</v>
      </c>
      <c r="J39" s="2">
        <f>'Matt IRA Projection'!H38</f>
        <v>519801.50733433536</v>
      </c>
      <c r="K39" s="2">
        <f t="shared" si="2"/>
        <v>6437168.7432439979</v>
      </c>
      <c r="L39" s="2"/>
      <c r="M39" s="12"/>
      <c r="N39" s="12"/>
    </row>
    <row r="40" spans="2:14" x14ac:dyDescent="0.3">
      <c r="B40">
        <f t="shared" si="3"/>
        <v>31</v>
      </c>
      <c r="C40">
        <f t="shared" si="3"/>
        <v>60</v>
      </c>
      <c r="D40" s="2">
        <f t="shared" si="4"/>
        <v>5591017.4271079274</v>
      </c>
      <c r="E40" s="2">
        <f t="shared" si="5"/>
        <v>42000</v>
      </c>
      <c r="F40" s="2">
        <v>0</v>
      </c>
      <c r="G40" s="2">
        <f t="shared" si="7"/>
        <v>460879.64311414864</v>
      </c>
      <c r="H40" s="2">
        <f t="shared" si="6"/>
        <v>6093897.070222076</v>
      </c>
      <c r="I40" s="2">
        <f>'Jordan IRA Projection'!H39</f>
        <v>353251.52845684881</v>
      </c>
      <c r="J40" s="2">
        <f>'Matt IRA Projection'!H39</f>
        <v>562649.86835516046</v>
      </c>
      <c r="K40" s="2">
        <f t="shared" si="2"/>
        <v>7009798.4670340857</v>
      </c>
      <c r="L40" s="2"/>
      <c r="M40" s="12"/>
      <c r="N40" s="12"/>
    </row>
    <row r="41" spans="2:14" x14ac:dyDescent="0.3">
      <c r="B41">
        <f t="shared" si="3"/>
        <v>32</v>
      </c>
      <c r="C41">
        <f t="shared" si="3"/>
        <v>61</v>
      </c>
      <c r="D41" s="2">
        <f t="shared" si="4"/>
        <v>6093897.070222076</v>
      </c>
      <c r="E41" s="2">
        <f t="shared" si="5"/>
        <v>42000</v>
      </c>
      <c r="F41" s="2">
        <v>0</v>
      </c>
      <c r="G41" s="2">
        <f t="shared" si="7"/>
        <v>502333.09831607714</v>
      </c>
      <c r="H41" s="2">
        <f t="shared" si="6"/>
        <v>6638230.1685381532</v>
      </c>
      <c r="I41" s="2">
        <f>'Jordan IRA Projection'!H40</f>
        <v>382370.81497084833</v>
      </c>
      <c r="J41" s="2">
        <f>'Matt IRA Projection'!H40</f>
        <v>609030.31232739193</v>
      </c>
      <c r="K41" s="2">
        <f t="shared" si="2"/>
        <v>7629631.2958363928</v>
      </c>
      <c r="L41" s="2"/>
      <c r="M41" s="12"/>
      <c r="N41" s="12"/>
    </row>
    <row r="42" spans="2:14" x14ac:dyDescent="0.3">
      <c r="B42">
        <f t="shared" si="3"/>
        <v>33</v>
      </c>
      <c r="C42">
        <f t="shared" si="3"/>
        <v>62</v>
      </c>
      <c r="D42" s="2">
        <f t="shared" si="4"/>
        <v>6638230.1685381532</v>
      </c>
      <c r="E42" s="2">
        <f t="shared" si="5"/>
        <v>42000</v>
      </c>
      <c r="F42" s="2">
        <v>0</v>
      </c>
      <c r="G42" s="2">
        <f t="shared" si="7"/>
        <v>547203.65136976354</v>
      </c>
      <c r="H42" s="2">
        <f t="shared" si="6"/>
        <v>7227433.8199079167</v>
      </c>
      <c r="I42" s="2">
        <f>'Jordan IRA Projection'!H41</f>
        <v>413890.46716985566</v>
      </c>
      <c r="J42" s="2">
        <f>'Matt IRA Projection'!H41</f>
        <v>659233.99647801346</v>
      </c>
      <c r="K42" s="2">
        <f t="shared" si="2"/>
        <v>8300558.2835557861</v>
      </c>
      <c r="L42" s="2"/>
      <c r="M42" s="12"/>
      <c r="N42" s="12"/>
    </row>
    <row r="43" spans="2:14" x14ac:dyDescent="0.3">
      <c r="B43">
        <f t="shared" si="3"/>
        <v>34</v>
      </c>
      <c r="C43">
        <f t="shared" si="3"/>
        <v>63</v>
      </c>
      <c r="D43" s="2">
        <f t="shared" si="4"/>
        <v>7227433.8199079167</v>
      </c>
      <c r="E43" s="2">
        <f t="shared" si="5"/>
        <v>42000</v>
      </c>
      <c r="F43" s="2">
        <v>0</v>
      </c>
      <c r="G43" s="2">
        <f t="shared" si="7"/>
        <v>595772.98103206046</v>
      </c>
      <c r="H43" s="2">
        <f t="shared" si="6"/>
        <v>7865206.8009399772</v>
      </c>
      <c r="I43" s="2">
        <f>'Jordan IRA Projection'!H42</f>
        <v>448008.35238207591</v>
      </c>
      <c r="J43" s="2">
        <f>'Matt IRA Projection'!H42</f>
        <v>713576.07875312853</v>
      </c>
      <c r="K43" s="2">
        <f t="shared" si="2"/>
        <v>9026791.2320751809</v>
      </c>
      <c r="L43" s="2"/>
      <c r="M43" s="12"/>
      <c r="N43" s="12"/>
    </row>
    <row r="44" spans="2:14" x14ac:dyDescent="0.3">
      <c r="B44">
        <f t="shared" si="3"/>
        <v>35</v>
      </c>
      <c r="C44">
        <f t="shared" si="3"/>
        <v>64</v>
      </c>
      <c r="D44" s="2">
        <f t="shared" si="4"/>
        <v>7865206.8009399772</v>
      </c>
      <c r="E44" s="2">
        <f t="shared" si="5"/>
        <v>42000</v>
      </c>
      <c r="F44" s="2">
        <v>0</v>
      </c>
      <c r="G44" s="2">
        <f t="shared" si="7"/>
        <v>648345.98544817232</v>
      </c>
      <c r="H44" s="2">
        <f t="shared" si="6"/>
        <v>8555552.7863881495</v>
      </c>
      <c r="I44" s="2">
        <f>'Jordan IRA Projection'!H43</f>
        <v>484938.64856697159</v>
      </c>
      <c r="J44" s="2">
        <f>'Matt IRA Projection'!H43</f>
        <v>772397.69624907896</v>
      </c>
      <c r="K44" s="2">
        <f t="shared" si="2"/>
        <v>9812889.1312042009</v>
      </c>
      <c r="L44" s="2"/>
      <c r="M44" s="12"/>
      <c r="N44" s="12"/>
    </row>
    <row r="46" spans="2:14" x14ac:dyDescent="0.3">
      <c r="E46" s="2">
        <f>SUM(E10:E44)</f>
        <v>1320000</v>
      </c>
      <c r="F46" s="2"/>
      <c r="G46" s="2">
        <f t="shared" ref="G46" si="8">SUM(G10:G44)</f>
        <v>7062692.7863881495</v>
      </c>
    </row>
  </sheetData>
  <mergeCells count="6">
    <mergeCell ref="B7:C7"/>
    <mergeCell ref="B2:C2"/>
    <mergeCell ref="B3:C3"/>
    <mergeCell ref="B4:C4"/>
    <mergeCell ref="B5:C5"/>
    <mergeCell ref="B6:C6"/>
  </mergeCells>
  <conditionalFormatting sqref="N10:N44">
    <cfRule type="cellIs" dxfId="8" priority="1" operator="greaterThan">
      <formula>0</formula>
    </cfRule>
    <cfRule type="expression" dxfId="7" priority="2">
      <formula>"if&gt;0"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A62F-E772-4F25-B65D-A665F1C97552}">
  <dimension ref="A1:W119"/>
  <sheetViews>
    <sheetView topLeftCell="Q6" workbookViewId="0">
      <selection activeCell="R12" sqref="R12"/>
    </sheetView>
  </sheetViews>
  <sheetFormatPr defaultRowHeight="14.4" x14ac:dyDescent="0.3"/>
  <cols>
    <col min="1" max="1" width="22.21875" bestFit="1" customWidth="1"/>
    <col min="2" max="2" width="12.109375" bestFit="1" customWidth="1"/>
    <col min="3" max="3" width="11.21875" customWidth="1"/>
    <col min="4" max="4" width="12.21875" customWidth="1"/>
    <col min="5" max="5" width="10.33203125" bestFit="1" customWidth="1"/>
    <col min="6" max="6" width="10.5546875" bestFit="1" customWidth="1"/>
    <col min="7" max="7" width="8.88671875" bestFit="1" customWidth="1"/>
    <col min="8" max="8" width="8.88671875" customWidth="1"/>
    <col min="9" max="9" width="10.44140625" bestFit="1" customWidth="1"/>
    <col min="10" max="10" width="11.21875" bestFit="1" customWidth="1"/>
    <col min="11" max="11" width="10.6640625" bestFit="1" customWidth="1"/>
    <col min="12" max="12" width="10.6640625" customWidth="1"/>
    <col min="13" max="13" width="9.5546875" bestFit="1" customWidth="1"/>
    <col min="14" max="14" width="9.88671875" bestFit="1" customWidth="1"/>
    <col min="15" max="15" width="10.33203125" bestFit="1" customWidth="1"/>
    <col min="16" max="16" width="11.33203125" bestFit="1" customWidth="1"/>
    <col min="17" max="19" width="11.33203125" customWidth="1"/>
    <col min="20" max="20" width="12.77734375" customWidth="1"/>
    <col min="21" max="21" width="13.21875" customWidth="1"/>
    <col min="22" max="22" width="12.44140625" customWidth="1"/>
    <col min="23" max="23" width="13.6640625" bestFit="1" customWidth="1"/>
  </cols>
  <sheetData>
    <row r="1" spans="1:23" ht="15" thickBot="1" x14ac:dyDescent="0.35">
      <c r="A1" s="23"/>
      <c r="B1" s="15" t="s">
        <v>36</v>
      </c>
      <c r="C1" s="16" t="s">
        <v>40</v>
      </c>
      <c r="D1" s="17" t="s">
        <v>37</v>
      </c>
      <c r="E1" s="28"/>
      <c r="F1" s="28"/>
      <c r="G1" s="28"/>
      <c r="H1" s="28"/>
    </row>
    <row r="2" spans="1:23" ht="15" thickBot="1" x14ac:dyDescent="0.35">
      <c r="A2" s="24" t="s">
        <v>86</v>
      </c>
      <c r="B2" s="18">
        <v>500500</v>
      </c>
      <c r="C2" s="19">
        <v>371403</v>
      </c>
      <c r="D2" s="20">
        <f>B2-C2</f>
        <v>129097</v>
      </c>
      <c r="E2" s="29"/>
      <c r="F2" s="29"/>
      <c r="G2" s="29"/>
      <c r="H2" s="29"/>
    </row>
    <row r="3" spans="1:23" x14ac:dyDescent="0.3">
      <c r="A3" s="74" t="s">
        <v>96</v>
      </c>
      <c r="B3" s="75">
        <v>179400</v>
      </c>
      <c r="C3" s="76">
        <v>134550</v>
      </c>
      <c r="D3" s="20">
        <f>B3-C3</f>
        <v>44850</v>
      </c>
      <c r="E3" s="29"/>
      <c r="F3" s="29"/>
      <c r="G3" s="29"/>
      <c r="H3" s="29"/>
    </row>
    <row r="4" spans="1:23" x14ac:dyDescent="0.3">
      <c r="A4" s="25" t="s">
        <v>41</v>
      </c>
      <c r="B4" s="21"/>
      <c r="C4" s="14"/>
      <c r="D4" s="22">
        <v>35863</v>
      </c>
      <c r="E4" s="44" t="s">
        <v>79</v>
      </c>
      <c r="F4" s="44"/>
      <c r="G4" s="44"/>
      <c r="H4" s="44"/>
    </row>
    <row r="5" spans="1:23" x14ac:dyDescent="0.3">
      <c r="A5" s="25" t="s">
        <v>42</v>
      </c>
      <c r="B5" s="21">
        <v>75000</v>
      </c>
      <c r="C5" s="14">
        <v>17242</v>
      </c>
      <c r="D5" s="77">
        <f>B5-C5</f>
        <v>57758</v>
      </c>
      <c r="E5" s="29"/>
      <c r="F5" s="29"/>
      <c r="G5" s="29"/>
      <c r="H5" s="29"/>
    </row>
    <row r="6" spans="1:23" ht="15" thickBot="1" x14ac:dyDescent="0.35">
      <c r="A6" s="26" t="s">
        <v>94</v>
      </c>
      <c r="B6" s="78">
        <v>0</v>
      </c>
      <c r="C6" s="79">
        <v>0</v>
      </c>
      <c r="D6" s="80">
        <v>27000</v>
      </c>
      <c r="E6" s="29" t="s">
        <v>95</v>
      </c>
      <c r="F6" s="29"/>
      <c r="G6" s="29"/>
      <c r="H6" s="29"/>
    </row>
    <row r="7" spans="1:23" ht="15" thickBot="1" x14ac:dyDescent="0.35"/>
    <row r="8" spans="1:23" ht="58.2" thickBot="1" x14ac:dyDescent="0.35">
      <c r="B8" s="33" t="s">
        <v>11</v>
      </c>
      <c r="C8" s="35" t="s">
        <v>82</v>
      </c>
      <c r="D8" s="35" t="s">
        <v>45</v>
      </c>
      <c r="E8" s="35" t="s">
        <v>49</v>
      </c>
      <c r="F8" s="35" t="s">
        <v>48</v>
      </c>
      <c r="G8" s="36" t="s">
        <v>46</v>
      </c>
      <c r="H8" s="36" t="s">
        <v>89</v>
      </c>
      <c r="I8" s="36" t="s">
        <v>51</v>
      </c>
      <c r="J8" s="34" t="s">
        <v>38</v>
      </c>
      <c r="K8" s="34" t="s">
        <v>39</v>
      </c>
      <c r="L8" s="34" t="s">
        <v>90</v>
      </c>
      <c r="M8" s="36" t="s">
        <v>50</v>
      </c>
      <c r="N8" s="36" t="s">
        <v>80</v>
      </c>
      <c r="O8" s="35" t="s">
        <v>47</v>
      </c>
      <c r="P8" s="37" t="s">
        <v>35</v>
      </c>
      <c r="Q8" s="53" t="s">
        <v>93</v>
      </c>
      <c r="R8" s="53" t="s">
        <v>91</v>
      </c>
      <c r="S8" s="53" t="s">
        <v>92</v>
      </c>
      <c r="T8" s="67" t="s">
        <v>97</v>
      </c>
      <c r="U8" s="35" t="s">
        <v>81</v>
      </c>
      <c r="V8" s="67" t="s">
        <v>84</v>
      </c>
      <c r="W8" s="67" t="s">
        <v>83</v>
      </c>
    </row>
    <row r="9" spans="1:23" x14ac:dyDescent="0.3">
      <c r="A9" s="38">
        <v>44909</v>
      </c>
      <c r="B9" s="61">
        <v>36</v>
      </c>
      <c r="D9" s="12">
        <v>499000</v>
      </c>
      <c r="E9" s="12">
        <v>250000</v>
      </c>
      <c r="F9" s="12"/>
      <c r="G9" s="12"/>
      <c r="H9" s="12"/>
      <c r="I9" s="12"/>
      <c r="J9" s="30">
        <v>123000</v>
      </c>
      <c r="K9" s="30">
        <v>7000</v>
      </c>
      <c r="L9" s="30"/>
      <c r="M9" s="30">
        <v>80000</v>
      </c>
      <c r="N9" s="30"/>
      <c r="O9" s="30">
        <v>-371403</v>
      </c>
      <c r="P9" s="30">
        <f>$B$2+O9</f>
        <v>129097</v>
      </c>
      <c r="Q9" s="30"/>
      <c r="R9" s="30"/>
      <c r="S9" s="30"/>
      <c r="T9" s="65">
        <f t="shared" ref="T9:T14" si="0">SUM(D9:E9,G9,J9:K9,H9,L9)</f>
        <v>879000</v>
      </c>
      <c r="U9" s="64">
        <f>SUM(C9,I9)</f>
        <v>0</v>
      </c>
      <c r="V9" s="70">
        <f>SUM(C9:O9)</f>
        <v>587597</v>
      </c>
      <c r="W9" s="68">
        <f>SUM(C9:P9)</f>
        <v>716694</v>
      </c>
    </row>
    <row r="10" spans="1:23" x14ac:dyDescent="0.3">
      <c r="A10" s="39">
        <v>44927</v>
      </c>
      <c r="B10" s="61">
        <f>$B$9+(A10-$A$9)/365</f>
        <v>36.049315068493151</v>
      </c>
      <c r="D10" s="12">
        <v>501366</v>
      </c>
      <c r="E10" s="12">
        <v>269283</v>
      </c>
      <c r="F10" s="12">
        <v>24195</v>
      </c>
      <c r="G10" s="12">
        <v>19007</v>
      </c>
      <c r="H10" s="12"/>
      <c r="I10" s="12">
        <v>42508</v>
      </c>
      <c r="J10" s="30">
        <v>125000</v>
      </c>
      <c r="K10" s="30">
        <v>7000</v>
      </c>
      <c r="L10" s="30"/>
      <c r="M10" s="30">
        <f>79567+27000</f>
        <v>106567</v>
      </c>
      <c r="N10" s="30"/>
      <c r="O10" s="30">
        <v>-370249</v>
      </c>
      <c r="P10" s="30">
        <f t="shared" ref="P10:P15" si="1">$B$2+O10</f>
        <v>130251</v>
      </c>
      <c r="Q10" s="30"/>
      <c r="R10" s="30"/>
      <c r="S10" s="30"/>
      <c r="T10" s="65">
        <f t="shared" si="0"/>
        <v>921656</v>
      </c>
      <c r="U10" s="65">
        <f t="shared" ref="U10:U12" si="2">SUM(C10,I10)</f>
        <v>42508</v>
      </c>
      <c r="V10" s="71">
        <f t="shared" ref="V10:V12" si="3">SUM(C10:O10)</f>
        <v>724677</v>
      </c>
      <c r="W10" s="68">
        <f t="shared" ref="W10:W12" si="4">SUM(C10:P10)</f>
        <v>854928</v>
      </c>
    </row>
    <row r="11" spans="1:23" x14ac:dyDescent="0.3">
      <c r="A11" s="39">
        <v>45084</v>
      </c>
      <c r="B11" s="61">
        <f t="shared" ref="B11:B74" si="5">$B$9+(A11-$A$9)/365</f>
        <v>36.479452054794521</v>
      </c>
      <c r="C11" s="63">
        <v>31109</v>
      </c>
      <c r="D11" s="12">
        <v>574736</v>
      </c>
      <c r="E11" s="12">
        <v>302069</v>
      </c>
      <c r="F11" s="12">
        <v>27130</v>
      </c>
      <c r="G11" s="12">
        <v>20027</v>
      </c>
      <c r="H11" s="12"/>
      <c r="I11" s="12">
        <v>42622</v>
      </c>
      <c r="J11" s="30">
        <v>137321</v>
      </c>
      <c r="K11" s="30">
        <v>7000</v>
      </c>
      <c r="L11" s="30"/>
      <c r="M11" s="30">
        <f>35863+75000+27000</f>
        <v>137863</v>
      </c>
      <c r="N11" s="30">
        <v>-25823</v>
      </c>
      <c r="O11" s="30">
        <v>-363266</v>
      </c>
      <c r="P11" s="30">
        <f t="shared" si="1"/>
        <v>137234</v>
      </c>
      <c r="Q11" s="30"/>
      <c r="R11" s="30"/>
      <c r="S11" s="30"/>
      <c r="T11" s="65">
        <f t="shared" si="0"/>
        <v>1041153</v>
      </c>
      <c r="U11" s="65">
        <f t="shared" si="2"/>
        <v>73731</v>
      </c>
      <c r="V11" s="71">
        <f t="shared" si="3"/>
        <v>890788</v>
      </c>
      <c r="W11" s="68">
        <f t="shared" si="4"/>
        <v>1028022</v>
      </c>
    </row>
    <row r="12" spans="1:23" x14ac:dyDescent="0.3">
      <c r="A12" s="39">
        <v>45227</v>
      </c>
      <c r="B12" s="61">
        <f t="shared" si="5"/>
        <v>36.871232876712327</v>
      </c>
      <c r="C12" s="73">
        <v>15654</v>
      </c>
      <c r="D12" s="12">
        <v>568894</v>
      </c>
      <c r="E12" s="12">
        <v>256186</v>
      </c>
      <c r="F12" s="12">
        <v>26891</v>
      </c>
      <c r="G12" s="12">
        <v>19149</v>
      </c>
      <c r="H12" s="12"/>
      <c r="I12" s="12">
        <v>44286</v>
      </c>
      <c r="J12" s="30">
        <v>140000</v>
      </c>
      <c r="K12" s="30">
        <v>7000</v>
      </c>
      <c r="L12" s="30"/>
      <c r="M12" s="30">
        <f>35863+50000+27000</f>
        <v>112863</v>
      </c>
      <c r="N12" s="30">
        <v>-24680</v>
      </c>
      <c r="O12" s="30">
        <v>-358554</v>
      </c>
      <c r="P12" s="30">
        <f>$B$2+O12</f>
        <v>141946</v>
      </c>
      <c r="Q12" s="30"/>
      <c r="R12" s="30"/>
      <c r="S12" s="30"/>
      <c r="T12" s="65">
        <f t="shared" si="0"/>
        <v>991229</v>
      </c>
      <c r="U12" s="65">
        <f t="shared" si="2"/>
        <v>59940</v>
      </c>
      <c r="V12" s="71">
        <f t="shared" si="3"/>
        <v>807689</v>
      </c>
      <c r="W12" s="68">
        <f t="shared" si="4"/>
        <v>949635</v>
      </c>
    </row>
    <row r="13" spans="1:23" x14ac:dyDescent="0.3">
      <c r="A13" s="39">
        <v>45294</v>
      </c>
      <c r="B13" s="61">
        <f t="shared" si="5"/>
        <v>37.054794520547944</v>
      </c>
      <c r="C13" s="73">
        <v>2170</v>
      </c>
      <c r="D13" s="12">
        <v>662644</v>
      </c>
      <c r="E13" s="12">
        <v>304391</v>
      </c>
      <c r="F13" s="12">
        <v>30722</v>
      </c>
      <c r="G13" s="12">
        <v>21454</v>
      </c>
      <c r="H13" s="12">
        <v>79961</v>
      </c>
      <c r="I13" s="12">
        <v>45319</v>
      </c>
      <c r="J13" s="30">
        <v>148258</v>
      </c>
      <c r="K13" s="30">
        <v>7000</v>
      </c>
      <c r="L13" s="30">
        <v>2704</v>
      </c>
      <c r="M13" s="30">
        <v>112863</v>
      </c>
      <c r="N13" s="30">
        <v>-23146</v>
      </c>
      <c r="O13" s="30">
        <v>-356181</v>
      </c>
      <c r="P13" s="30">
        <f t="shared" si="1"/>
        <v>144319</v>
      </c>
      <c r="Q13" s="30"/>
      <c r="R13" s="30"/>
      <c r="S13" s="30"/>
      <c r="T13" s="65">
        <f t="shared" si="0"/>
        <v>1226412</v>
      </c>
      <c r="U13" s="65">
        <f>SUM(C13,I13)</f>
        <v>47489</v>
      </c>
      <c r="V13" s="71">
        <f>SUM(C13:O13)</f>
        <v>1038159</v>
      </c>
      <c r="W13" s="68">
        <f>SUM(C13:P13)</f>
        <v>1182478</v>
      </c>
    </row>
    <row r="14" spans="1:23" x14ac:dyDescent="0.3">
      <c r="A14" s="39">
        <v>45352</v>
      </c>
      <c r="B14" s="61">
        <f t="shared" si="5"/>
        <v>37.213698630136989</v>
      </c>
      <c r="C14" s="73">
        <v>67476</v>
      </c>
      <c r="D14" s="12">
        <v>708983</v>
      </c>
      <c r="E14" s="12">
        <v>323099</v>
      </c>
      <c r="F14" s="12">
        <v>32116</v>
      </c>
      <c r="G14" s="12">
        <v>23197</v>
      </c>
      <c r="H14" s="12">
        <v>68874</v>
      </c>
      <c r="I14" s="12">
        <v>44496</v>
      </c>
      <c r="J14" s="30">
        <v>151623</v>
      </c>
      <c r="K14" s="30">
        <v>7500</v>
      </c>
      <c r="L14" s="30">
        <v>4318</v>
      </c>
      <c r="M14" s="30">
        <v>112863</v>
      </c>
      <c r="N14" s="30">
        <v>-22366</v>
      </c>
      <c r="O14" s="30">
        <v>-353797</v>
      </c>
      <c r="P14" s="30">
        <f t="shared" si="1"/>
        <v>146703</v>
      </c>
      <c r="Q14" s="30"/>
      <c r="R14" s="30"/>
      <c r="S14" s="30"/>
      <c r="T14" s="65">
        <f t="shared" si="0"/>
        <v>1287594</v>
      </c>
      <c r="U14" s="65">
        <f>SUM(C14,I14)</f>
        <v>111972</v>
      </c>
      <c r="V14" s="71">
        <f>SUM(C14:O14)</f>
        <v>1168382</v>
      </c>
      <c r="W14" s="68">
        <f>SUM(C14:P14)</f>
        <v>1315085</v>
      </c>
    </row>
    <row r="15" spans="1:23" x14ac:dyDescent="0.3">
      <c r="A15" s="39">
        <v>45462</v>
      </c>
      <c r="B15" s="61">
        <f t="shared" si="5"/>
        <v>37.515068493150686</v>
      </c>
      <c r="C15" s="73">
        <v>27273</v>
      </c>
      <c r="D15" s="12">
        <v>767167</v>
      </c>
      <c r="E15" s="12">
        <v>343375</v>
      </c>
      <c r="F15" s="12">
        <v>34337</v>
      </c>
      <c r="G15" s="12">
        <v>24693</v>
      </c>
      <c r="H15" s="12">
        <v>66959</v>
      </c>
      <c r="I15" s="12">
        <v>47605</v>
      </c>
      <c r="J15" s="30">
        <v>162319</v>
      </c>
      <c r="K15" s="30">
        <v>7500</v>
      </c>
      <c r="L15" s="30">
        <v>4323</v>
      </c>
      <c r="M15" s="30">
        <v>112863</v>
      </c>
      <c r="N15" s="30">
        <v>-21202</v>
      </c>
      <c r="O15" s="30">
        <v>-350712</v>
      </c>
      <c r="P15" s="30">
        <f t="shared" si="1"/>
        <v>149788</v>
      </c>
      <c r="Q15" s="30"/>
      <c r="R15" s="30"/>
      <c r="S15" s="30"/>
      <c r="T15" s="65">
        <f t="shared" ref="T15" si="6">SUM(D15:E15,G15,J15:K15,H15,L15)</f>
        <v>1376336</v>
      </c>
      <c r="U15" s="65">
        <f>SUM(C15,I15)</f>
        <v>74878</v>
      </c>
      <c r="V15" s="71">
        <f>SUM(C15:O15)</f>
        <v>1226500</v>
      </c>
      <c r="W15" s="68">
        <f>SUM(C15:P15)</f>
        <v>1376288</v>
      </c>
    </row>
    <row r="16" spans="1:23" x14ac:dyDescent="0.3">
      <c r="A16" s="39">
        <f t="shared" ref="A16:A74" si="7">A15+91</f>
        <v>45553</v>
      </c>
      <c r="B16" s="61">
        <f t="shared" si="5"/>
        <v>37.764383561643832</v>
      </c>
      <c r="C16" s="73">
        <v>9630</v>
      </c>
      <c r="D16" s="12">
        <v>811538</v>
      </c>
      <c r="E16" s="12">
        <v>337193</v>
      </c>
      <c r="F16" s="12">
        <v>36231</v>
      </c>
      <c r="G16" s="12">
        <v>25406</v>
      </c>
      <c r="H16" s="12">
        <v>66475</v>
      </c>
      <c r="I16" s="12">
        <v>30962</v>
      </c>
      <c r="J16" s="30">
        <v>167760</v>
      </c>
      <c r="K16" s="30">
        <v>7500</v>
      </c>
      <c r="L16" s="30">
        <v>3000</v>
      </c>
      <c r="M16" s="30">
        <v>112863</v>
      </c>
      <c r="N16" s="30">
        <v>-20028</v>
      </c>
      <c r="O16" s="30">
        <v>-348380</v>
      </c>
      <c r="P16" s="30">
        <f>$B$2+O16</f>
        <v>152120</v>
      </c>
      <c r="Q16" s="30"/>
      <c r="R16" s="30">
        <v>-134550</v>
      </c>
      <c r="S16" s="30">
        <f>$B$3+R16</f>
        <v>44850</v>
      </c>
      <c r="T16" s="65">
        <f>SUM(D16:E16,G16,J16:K16,H16,L16)</f>
        <v>1418872</v>
      </c>
      <c r="U16" s="65">
        <f>SUM(C16,I16)</f>
        <v>40592</v>
      </c>
      <c r="V16" s="71">
        <f>SUM(C16:O16,R16)</f>
        <v>1105600</v>
      </c>
      <c r="W16" s="68">
        <f>SUM(C16:S16)</f>
        <v>1302570</v>
      </c>
    </row>
    <row r="17" spans="1:23" x14ac:dyDescent="0.3">
      <c r="A17" s="39">
        <v>45659</v>
      </c>
      <c r="B17" s="61">
        <f t="shared" si="5"/>
        <v>38.054794520547944</v>
      </c>
      <c r="C17" s="73">
        <v>15078</v>
      </c>
      <c r="D17" s="12">
        <v>827448</v>
      </c>
      <c r="E17" s="12">
        <v>349260</v>
      </c>
      <c r="F17" s="12">
        <v>36848</v>
      </c>
      <c r="G17" s="12">
        <v>24113</v>
      </c>
      <c r="H17" s="12">
        <v>61248</v>
      </c>
      <c r="I17" s="12">
        <v>34475</v>
      </c>
      <c r="J17" s="30">
        <v>173310</v>
      </c>
      <c r="K17" s="30">
        <v>0</v>
      </c>
      <c r="L17" s="30">
        <v>4288</v>
      </c>
      <c r="M17" s="30">
        <v>112863</v>
      </c>
      <c r="N17" s="30">
        <v>-18441</v>
      </c>
      <c r="O17" s="30">
        <v>-346030</v>
      </c>
      <c r="P17" s="30">
        <f>$B$2+O17</f>
        <v>154470</v>
      </c>
      <c r="Q17" s="30">
        <v>4576</v>
      </c>
      <c r="R17" s="30">
        <v>-134047</v>
      </c>
      <c r="S17" s="30">
        <f>$B$3+R17</f>
        <v>45353</v>
      </c>
      <c r="T17" s="65">
        <f>SUM(D17:E17,G17,J17:K17,H17,L17)</f>
        <v>1439667</v>
      </c>
      <c r="U17" s="65">
        <f>SUM(C17,I17,Q17)</f>
        <v>54129</v>
      </c>
      <c r="V17" s="71">
        <f>SUM(C17:O17,Q17,R17)</f>
        <v>1144989</v>
      </c>
      <c r="W17" s="68">
        <f>SUM(C17:S17)</f>
        <v>1344812</v>
      </c>
    </row>
    <row r="18" spans="1:23" x14ac:dyDescent="0.3">
      <c r="A18" s="39">
        <v>45775</v>
      </c>
      <c r="B18" s="61">
        <f t="shared" si="5"/>
        <v>38.372602739726027</v>
      </c>
      <c r="C18" s="73">
        <v>47704</v>
      </c>
      <c r="D18" s="12">
        <v>831695</v>
      </c>
      <c r="E18" s="12">
        <v>351751</v>
      </c>
      <c r="F18" s="12">
        <v>38000</v>
      </c>
      <c r="G18" s="12">
        <v>21964</v>
      </c>
      <c r="H18" s="12">
        <v>63200</v>
      </c>
      <c r="I18" s="12">
        <v>37819</v>
      </c>
      <c r="J18" s="30">
        <v>184696</v>
      </c>
      <c r="K18" s="30">
        <v>0</v>
      </c>
      <c r="L18" s="30">
        <v>2245</v>
      </c>
      <c r="M18" s="30">
        <v>112863</v>
      </c>
      <c r="N18" s="30">
        <v>-17242</v>
      </c>
      <c r="O18" s="30">
        <v>-342871</v>
      </c>
      <c r="P18" s="30">
        <f>$B$2+O18</f>
        <v>157629</v>
      </c>
      <c r="Q18" s="30">
        <v>4189</v>
      </c>
      <c r="R18" s="30">
        <v>-133633</v>
      </c>
      <c r="S18" s="30">
        <f>$B$3+R18</f>
        <v>45767</v>
      </c>
      <c r="T18" s="65">
        <f>SUM(D18:E18,G18,J18:K18,H18,L18)</f>
        <v>1455551</v>
      </c>
      <c r="U18" s="65">
        <f>SUM(C18,I18,Q18)</f>
        <v>89712</v>
      </c>
      <c r="V18" s="71">
        <f>SUM(C18:O18,Q18,R18)</f>
        <v>1202380</v>
      </c>
      <c r="W18" s="68">
        <f>SUM(C18:S18)</f>
        <v>1405776</v>
      </c>
    </row>
    <row r="19" spans="1:23" x14ac:dyDescent="0.3">
      <c r="A19" s="39">
        <v>45815</v>
      </c>
      <c r="B19" s="61">
        <f t="shared" si="5"/>
        <v>38.482191780821921</v>
      </c>
      <c r="C19" s="73">
        <v>34171</v>
      </c>
      <c r="D19" s="12">
        <v>896386</v>
      </c>
      <c r="E19" s="12">
        <v>379103</v>
      </c>
      <c r="F19" s="12">
        <v>39921</v>
      </c>
      <c r="G19" s="12">
        <v>23250</v>
      </c>
      <c r="H19" s="12">
        <v>60094</v>
      </c>
      <c r="I19" s="12">
        <v>38945</v>
      </c>
      <c r="J19" s="30">
        <v>186681</v>
      </c>
      <c r="K19" s="30">
        <v>0</v>
      </c>
      <c r="L19" s="30">
        <v>2990</v>
      </c>
      <c r="M19" s="30">
        <v>112863</v>
      </c>
      <c r="N19" s="30">
        <v>-16443</v>
      </c>
      <c r="O19" s="30">
        <v>-341280</v>
      </c>
      <c r="P19" s="30">
        <f>$B$2+O19</f>
        <v>159220</v>
      </c>
      <c r="Q19" s="30">
        <v>4442</v>
      </c>
      <c r="R19" s="30">
        <v>-133404</v>
      </c>
      <c r="S19" s="30">
        <f>$B$3+R19</f>
        <v>45996</v>
      </c>
      <c r="T19" s="65">
        <f>SUM(D19:E19,G19,J19:K19,H19,L19)</f>
        <v>1548504</v>
      </c>
      <c r="U19" s="65">
        <f>SUM(C19,I19,Q19)</f>
        <v>77558</v>
      </c>
      <c r="V19" s="71">
        <f>SUM(C19:O19,Q19,R19)</f>
        <v>1287719</v>
      </c>
      <c r="W19" s="68">
        <f>SUM(C19:S19)</f>
        <v>1492935</v>
      </c>
    </row>
    <row r="20" spans="1:23" x14ac:dyDescent="0.3">
      <c r="A20" s="39">
        <v>45914</v>
      </c>
      <c r="B20" s="61">
        <f t="shared" si="5"/>
        <v>38.753424657534246</v>
      </c>
      <c r="C20" s="73">
        <v>37144</v>
      </c>
      <c r="D20" s="12">
        <v>983914</v>
      </c>
      <c r="E20" s="12">
        <v>370076</v>
      </c>
      <c r="F20" s="12">
        <v>43281</v>
      </c>
      <c r="G20" s="12">
        <v>24960</v>
      </c>
      <c r="H20" s="12">
        <v>63684</v>
      </c>
      <c r="I20" s="12">
        <v>41645</v>
      </c>
      <c r="J20" s="30">
        <v>194704</v>
      </c>
      <c r="K20" s="30">
        <v>0</v>
      </c>
      <c r="L20" s="30">
        <v>5188</v>
      </c>
      <c r="M20" s="30">
        <v>112863</v>
      </c>
      <c r="N20" s="30">
        <v>-15232</v>
      </c>
      <c r="O20" s="30">
        <v>-338879</v>
      </c>
      <c r="P20" s="30">
        <f>$B$2+O20</f>
        <v>161621</v>
      </c>
      <c r="Q20" s="30">
        <v>4139</v>
      </c>
      <c r="R20" s="30">
        <v>-133010</v>
      </c>
      <c r="S20" s="30">
        <f>$B$3+R20</f>
        <v>46390</v>
      </c>
      <c r="T20" s="65">
        <f>SUM(D20:E20,G20,J20:K20,H20,L20-F20)</f>
        <v>1599245</v>
      </c>
      <c r="U20" s="65">
        <f>SUM(C20,I20,Q20)</f>
        <v>82928</v>
      </c>
      <c r="V20" s="71">
        <f>SUM(C20:O20,Q20,R20)</f>
        <v>1394477</v>
      </c>
      <c r="W20" s="68">
        <f>SUM(C20:S20)</f>
        <v>1602488</v>
      </c>
    </row>
    <row r="21" spans="1:23" x14ac:dyDescent="0.3">
      <c r="A21" s="39">
        <f t="shared" si="7"/>
        <v>46005</v>
      </c>
      <c r="B21" s="61">
        <f t="shared" si="5"/>
        <v>39.0027397260274</v>
      </c>
      <c r="C21" s="62"/>
      <c r="D21" s="12"/>
      <c r="F21" s="12"/>
      <c r="G21" s="12"/>
      <c r="H21" s="12"/>
      <c r="I21" s="12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65"/>
      <c r="U21" s="65"/>
      <c r="V21" s="71"/>
      <c r="W21" s="68"/>
    </row>
    <row r="22" spans="1:23" x14ac:dyDescent="0.3">
      <c r="A22" s="39">
        <f t="shared" si="7"/>
        <v>46096</v>
      </c>
      <c r="B22" s="61">
        <f t="shared" si="5"/>
        <v>39.252054794520546</v>
      </c>
      <c r="C22" s="62"/>
      <c r="D22" s="12"/>
      <c r="E22" s="12"/>
      <c r="F22" s="12"/>
      <c r="G22" s="12"/>
      <c r="H22" s="12"/>
      <c r="I22" s="12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65"/>
      <c r="U22" s="65"/>
      <c r="V22" s="71"/>
      <c r="W22" s="68"/>
    </row>
    <row r="23" spans="1:23" x14ac:dyDescent="0.3">
      <c r="A23" s="39">
        <f t="shared" si="7"/>
        <v>46187</v>
      </c>
      <c r="B23" s="61">
        <f t="shared" si="5"/>
        <v>39.5013698630137</v>
      </c>
      <c r="C23" s="62"/>
      <c r="D23" s="12"/>
      <c r="E23" s="12"/>
      <c r="F23" s="12"/>
      <c r="G23" s="12"/>
      <c r="H23" s="12"/>
      <c r="I23" s="12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65"/>
      <c r="U23" s="65"/>
      <c r="V23" s="71"/>
      <c r="W23" s="68"/>
    </row>
    <row r="24" spans="1:23" x14ac:dyDescent="0.3">
      <c r="A24" s="39">
        <f t="shared" si="7"/>
        <v>46278</v>
      </c>
      <c r="B24" s="61">
        <f t="shared" si="5"/>
        <v>39.750684931506846</v>
      </c>
      <c r="C24" s="62"/>
      <c r="D24" s="12"/>
      <c r="E24" s="12"/>
      <c r="F24" s="12"/>
      <c r="G24" s="12"/>
      <c r="H24" s="12"/>
      <c r="I24" s="12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65"/>
      <c r="U24" s="65"/>
      <c r="V24" s="71"/>
      <c r="W24" s="68"/>
    </row>
    <row r="25" spans="1:23" x14ac:dyDescent="0.3">
      <c r="A25" s="39">
        <f t="shared" si="7"/>
        <v>46369</v>
      </c>
      <c r="B25" s="61">
        <f t="shared" si="5"/>
        <v>40</v>
      </c>
      <c r="C25" s="62"/>
      <c r="D25" s="12"/>
      <c r="E25" s="12"/>
      <c r="F25" s="12"/>
      <c r="G25" s="12"/>
      <c r="H25" s="12"/>
      <c r="I25" s="12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65"/>
      <c r="U25" s="65"/>
      <c r="V25" s="71"/>
      <c r="W25" s="68"/>
    </row>
    <row r="26" spans="1:23" x14ac:dyDescent="0.3">
      <c r="A26" s="39">
        <f t="shared" si="7"/>
        <v>46460</v>
      </c>
      <c r="B26" s="61">
        <f t="shared" si="5"/>
        <v>40.249315068493154</v>
      </c>
      <c r="C26" s="62"/>
      <c r="D26" s="12"/>
      <c r="E26" s="12"/>
      <c r="F26" s="12"/>
      <c r="G26" s="12"/>
      <c r="H26" s="12"/>
      <c r="I26" s="12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65"/>
      <c r="U26" s="65"/>
      <c r="V26" s="71"/>
      <c r="W26" s="68"/>
    </row>
    <row r="27" spans="1:23" x14ac:dyDescent="0.3">
      <c r="A27" s="39">
        <f t="shared" si="7"/>
        <v>46551</v>
      </c>
      <c r="B27" s="61">
        <f t="shared" si="5"/>
        <v>40.4986301369863</v>
      </c>
      <c r="C27" s="62"/>
      <c r="D27" s="12"/>
      <c r="E27" s="12"/>
      <c r="F27" s="12"/>
      <c r="G27" s="12"/>
      <c r="H27" s="12"/>
      <c r="I27" s="12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65"/>
      <c r="U27" s="65"/>
      <c r="V27" s="71"/>
      <c r="W27" s="68"/>
    </row>
    <row r="28" spans="1:23" x14ac:dyDescent="0.3">
      <c r="A28" s="39">
        <f t="shared" si="7"/>
        <v>46642</v>
      </c>
      <c r="B28" s="61">
        <f t="shared" si="5"/>
        <v>40.747945205479454</v>
      </c>
      <c r="C28" s="62"/>
      <c r="D28" s="12"/>
      <c r="E28" s="12"/>
      <c r="F28" s="12"/>
      <c r="G28" s="12"/>
      <c r="H28" s="12"/>
      <c r="I28" s="12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65"/>
      <c r="U28" s="65"/>
      <c r="V28" s="71"/>
      <c r="W28" s="68"/>
    </row>
    <row r="29" spans="1:23" x14ac:dyDescent="0.3">
      <c r="A29" s="39">
        <f t="shared" si="7"/>
        <v>46733</v>
      </c>
      <c r="B29" s="61">
        <f t="shared" si="5"/>
        <v>40.9972602739726</v>
      </c>
      <c r="C29" s="62"/>
      <c r="D29" s="12"/>
      <c r="E29" s="12"/>
      <c r="F29" s="12"/>
      <c r="G29" s="12"/>
      <c r="H29" s="12"/>
      <c r="I29" s="12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65"/>
      <c r="U29" s="65"/>
      <c r="V29" s="71"/>
      <c r="W29" s="68"/>
    </row>
    <row r="30" spans="1:23" x14ac:dyDescent="0.3">
      <c r="A30" s="39">
        <f t="shared" si="7"/>
        <v>46824</v>
      </c>
      <c r="B30" s="61">
        <f t="shared" si="5"/>
        <v>41.246575342465754</v>
      </c>
      <c r="C30" s="62"/>
      <c r="D30" s="12"/>
      <c r="E30" s="12"/>
      <c r="F30" s="12"/>
      <c r="G30" s="12"/>
      <c r="H30" s="12"/>
      <c r="I30" s="12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65"/>
      <c r="U30" s="65"/>
      <c r="V30" s="71"/>
      <c r="W30" s="68"/>
    </row>
    <row r="31" spans="1:23" x14ac:dyDescent="0.3">
      <c r="A31" s="39">
        <f t="shared" si="7"/>
        <v>46915</v>
      </c>
      <c r="B31" s="61">
        <f t="shared" si="5"/>
        <v>41.495890410958907</v>
      </c>
      <c r="C31" s="62"/>
      <c r="D31" s="12"/>
      <c r="E31" s="12"/>
      <c r="F31" s="12"/>
      <c r="G31" s="12"/>
      <c r="H31" s="12"/>
      <c r="I31" s="12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65"/>
      <c r="U31" s="65"/>
      <c r="V31" s="71"/>
      <c r="W31" s="68"/>
    </row>
    <row r="32" spans="1:23" x14ac:dyDescent="0.3">
      <c r="A32" s="39">
        <f t="shared" si="7"/>
        <v>47006</v>
      </c>
      <c r="B32" s="61">
        <f t="shared" si="5"/>
        <v>41.745205479452054</v>
      </c>
      <c r="C32" s="62"/>
      <c r="D32" s="12"/>
      <c r="E32" s="12"/>
      <c r="F32" s="12"/>
      <c r="G32" s="12"/>
      <c r="H32" s="12"/>
      <c r="I32" s="12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65"/>
      <c r="U32" s="65"/>
      <c r="V32" s="71"/>
      <c r="W32" s="68"/>
    </row>
    <row r="33" spans="1:23" x14ac:dyDescent="0.3">
      <c r="A33" s="39">
        <f t="shared" si="7"/>
        <v>47097</v>
      </c>
      <c r="B33" s="61">
        <f t="shared" si="5"/>
        <v>41.994520547945207</v>
      </c>
      <c r="C33" s="62"/>
      <c r="D33" s="12"/>
      <c r="E33" s="12"/>
      <c r="F33" s="12"/>
      <c r="G33" s="12"/>
      <c r="H33" s="12"/>
      <c r="I33" s="12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65"/>
      <c r="U33" s="65"/>
      <c r="V33" s="71"/>
      <c r="W33" s="68"/>
    </row>
    <row r="34" spans="1:23" x14ac:dyDescent="0.3">
      <c r="A34" s="39">
        <f t="shared" si="7"/>
        <v>47188</v>
      </c>
      <c r="B34" s="61">
        <f t="shared" si="5"/>
        <v>42.243835616438353</v>
      </c>
      <c r="C34" s="62"/>
      <c r="D34" s="12"/>
      <c r="E34" s="12"/>
      <c r="F34" s="12"/>
      <c r="G34" s="12"/>
      <c r="H34" s="12"/>
      <c r="I34" s="12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65"/>
      <c r="U34" s="65"/>
      <c r="V34" s="71"/>
      <c r="W34" s="68"/>
    </row>
    <row r="35" spans="1:23" x14ac:dyDescent="0.3">
      <c r="A35" s="39">
        <f t="shared" si="7"/>
        <v>47279</v>
      </c>
      <c r="B35" s="61">
        <f t="shared" si="5"/>
        <v>42.493150684931507</v>
      </c>
      <c r="C35" s="62"/>
      <c r="D35" s="12"/>
      <c r="E35" s="12"/>
      <c r="F35" s="12"/>
      <c r="G35" s="12"/>
      <c r="H35" s="12"/>
      <c r="I35" s="12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65"/>
      <c r="U35" s="65"/>
      <c r="V35" s="71"/>
      <c r="W35" s="68"/>
    </row>
    <row r="36" spans="1:23" x14ac:dyDescent="0.3">
      <c r="A36" s="39">
        <f t="shared" si="7"/>
        <v>47370</v>
      </c>
      <c r="B36" s="61">
        <f t="shared" si="5"/>
        <v>42.742465753424661</v>
      </c>
      <c r="C36" s="62"/>
      <c r="D36" s="12"/>
      <c r="E36" s="12"/>
      <c r="F36" s="12"/>
      <c r="G36" s="12"/>
      <c r="H36" s="12"/>
      <c r="I36" s="12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65"/>
      <c r="U36" s="65"/>
      <c r="V36" s="71"/>
      <c r="W36" s="68"/>
    </row>
    <row r="37" spans="1:23" x14ac:dyDescent="0.3">
      <c r="A37" s="39">
        <f t="shared" si="7"/>
        <v>47461</v>
      </c>
      <c r="B37" s="61">
        <f t="shared" si="5"/>
        <v>42.991780821917807</v>
      </c>
      <c r="C37" s="62"/>
      <c r="D37" s="12"/>
      <c r="E37" s="12"/>
      <c r="F37" s="12"/>
      <c r="G37" s="12"/>
      <c r="H37" s="12"/>
      <c r="I37" s="12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65"/>
      <c r="U37" s="65"/>
      <c r="V37" s="71"/>
      <c r="W37" s="68"/>
    </row>
    <row r="38" spans="1:23" x14ac:dyDescent="0.3">
      <c r="A38" s="39">
        <f t="shared" si="7"/>
        <v>47552</v>
      </c>
      <c r="B38" s="61">
        <f t="shared" si="5"/>
        <v>43.241095890410961</v>
      </c>
      <c r="C38" s="62"/>
      <c r="D38" s="12"/>
      <c r="E38" s="12"/>
      <c r="F38" s="12"/>
      <c r="G38" s="12"/>
      <c r="H38" s="12"/>
      <c r="I38" s="12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65"/>
      <c r="U38" s="65"/>
      <c r="V38" s="71"/>
      <c r="W38" s="68"/>
    </row>
    <row r="39" spans="1:23" x14ac:dyDescent="0.3">
      <c r="A39" s="39">
        <f t="shared" si="7"/>
        <v>47643</v>
      </c>
      <c r="B39" s="61">
        <f t="shared" si="5"/>
        <v>43.490410958904107</v>
      </c>
      <c r="C39" s="62"/>
      <c r="D39" s="12"/>
      <c r="E39" s="12"/>
      <c r="F39" s="12"/>
      <c r="G39" s="12"/>
      <c r="H39" s="12"/>
      <c r="I39" s="12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65"/>
      <c r="U39" s="65"/>
      <c r="V39" s="71"/>
      <c r="W39" s="68"/>
    </row>
    <row r="40" spans="1:23" x14ac:dyDescent="0.3">
      <c r="A40" s="39">
        <f t="shared" si="7"/>
        <v>47734</v>
      </c>
      <c r="B40" s="61">
        <f t="shared" si="5"/>
        <v>43.739726027397261</v>
      </c>
      <c r="C40" s="62"/>
      <c r="D40" s="12"/>
      <c r="E40" s="12"/>
      <c r="F40" s="12"/>
      <c r="G40" s="12"/>
      <c r="H40" s="12"/>
      <c r="I40" s="12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65"/>
      <c r="U40" s="65"/>
      <c r="V40" s="71"/>
      <c r="W40" s="68"/>
    </row>
    <row r="41" spans="1:23" x14ac:dyDescent="0.3">
      <c r="A41" s="39">
        <f t="shared" si="7"/>
        <v>47825</v>
      </c>
      <c r="B41" s="61">
        <f t="shared" si="5"/>
        <v>43.989041095890414</v>
      </c>
      <c r="C41" s="62"/>
      <c r="D41" s="12"/>
      <c r="E41" s="12"/>
      <c r="F41" s="12"/>
      <c r="G41" s="12"/>
      <c r="H41" s="12"/>
      <c r="I41" s="12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65"/>
      <c r="U41" s="65"/>
      <c r="V41" s="71"/>
      <c r="W41" s="68"/>
    </row>
    <row r="42" spans="1:23" x14ac:dyDescent="0.3">
      <c r="A42" s="39">
        <f t="shared" si="7"/>
        <v>47916</v>
      </c>
      <c r="B42" s="61">
        <f t="shared" si="5"/>
        <v>44.238356164383561</v>
      </c>
      <c r="C42" s="62"/>
      <c r="D42" s="12"/>
      <c r="E42" s="12"/>
      <c r="F42" s="12"/>
      <c r="G42" s="12"/>
      <c r="H42" s="12"/>
      <c r="I42" s="12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65"/>
      <c r="U42" s="65"/>
      <c r="V42" s="71"/>
      <c r="W42" s="68"/>
    </row>
    <row r="43" spans="1:23" x14ac:dyDescent="0.3">
      <c r="A43" s="39">
        <f t="shared" si="7"/>
        <v>48007</v>
      </c>
      <c r="B43" s="61">
        <f t="shared" si="5"/>
        <v>44.487671232876714</v>
      </c>
      <c r="C43" s="62"/>
      <c r="D43" s="12"/>
      <c r="E43" s="12"/>
      <c r="F43" s="12"/>
      <c r="G43" s="12"/>
      <c r="H43" s="12"/>
      <c r="I43" s="12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65"/>
      <c r="U43" s="65"/>
      <c r="V43" s="71"/>
      <c r="W43" s="68"/>
    </row>
    <row r="44" spans="1:23" x14ac:dyDescent="0.3">
      <c r="A44" s="39">
        <f t="shared" si="7"/>
        <v>48098</v>
      </c>
      <c r="B44" s="61">
        <f t="shared" si="5"/>
        <v>44.736986301369861</v>
      </c>
      <c r="C44" s="62"/>
      <c r="D44" s="12"/>
      <c r="E44" s="12"/>
      <c r="F44" s="12"/>
      <c r="G44" s="12"/>
      <c r="H44" s="12"/>
      <c r="I44" s="12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65"/>
      <c r="U44" s="65"/>
      <c r="V44" s="71"/>
      <c r="W44" s="68"/>
    </row>
    <row r="45" spans="1:23" x14ac:dyDescent="0.3">
      <c r="A45" s="39">
        <f t="shared" si="7"/>
        <v>48189</v>
      </c>
      <c r="B45" s="61">
        <f t="shared" si="5"/>
        <v>44.986301369863014</v>
      </c>
      <c r="C45" s="62"/>
      <c r="D45" s="12"/>
      <c r="E45" s="12"/>
      <c r="F45" s="12"/>
      <c r="G45" s="12"/>
      <c r="H45" s="12"/>
      <c r="I45" s="12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65"/>
      <c r="U45" s="65"/>
      <c r="V45" s="71"/>
      <c r="W45" s="68"/>
    </row>
    <row r="46" spans="1:23" x14ac:dyDescent="0.3">
      <c r="A46" s="39">
        <f t="shared" si="7"/>
        <v>48280</v>
      </c>
      <c r="B46" s="61">
        <f t="shared" si="5"/>
        <v>45.235616438356161</v>
      </c>
      <c r="C46" s="62"/>
      <c r="D46" s="12"/>
      <c r="E46" s="12"/>
      <c r="F46" s="12"/>
      <c r="G46" s="12"/>
      <c r="H46" s="12"/>
      <c r="I46" s="12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65"/>
      <c r="U46" s="65"/>
      <c r="V46" s="71"/>
      <c r="W46" s="68"/>
    </row>
    <row r="47" spans="1:23" x14ac:dyDescent="0.3">
      <c r="A47" s="39">
        <f t="shared" si="7"/>
        <v>48371</v>
      </c>
      <c r="B47" s="61">
        <f t="shared" si="5"/>
        <v>45.484931506849314</v>
      </c>
      <c r="C47" s="62"/>
      <c r="D47" s="12"/>
      <c r="E47" s="12"/>
      <c r="F47" s="12"/>
      <c r="G47" s="12"/>
      <c r="H47" s="12"/>
      <c r="I47" s="12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65"/>
      <c r="U47" s="65"/>
      <c r="V47" s="71"/>
      <c r="W47" s="68"/>
    </row>
    <row r="48" spans="1:23" x14ac:dyDescent="0.3">
      <c r="A48" s="39">
        <f t="shared" si="7"/>
        <v>48462</v>
      </c>
      <c r="B48" s="61">
        <f t="shared" si="5"/>
        <v>45.734246575342468</v>
      </c>
      <c r="C48" s="62"/>
      <c r="D48" s="12"/>
      <c r="E48" s="12"/>
      <c r="F48" s="12"/>
      <c r="G48" s="12"/>
      <c r="H48" s="12"/>
      <c r="I48" s="12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65"/>
      <c r="U48" s="65"/>
      <c r="V48" s="71"/>
      <c r="W48" s="68"/>
    </row>
    <row r="49" spans="1:23" x14ac:dyDescent="0.3">
      <c r="A49" s="39">
        <f t="shared" si="7"/>
        <v>48553</v>
      </c>
      <c r="B49" s="61">
        <f t="shared" si="5"/>
        <v>45.983561643835614</v>
      </c>
      <c r="C49" s="62"/>
      <c r="D49" s="12"/>
      <c r="E49" s="12"/>
      <c r="F49" s="12"/>
      <c r="G49" s="12"/>
      <c r="H49" s="12"/>
      <c r="I49" s="12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65"/>
      <c r="U49" s="65"/>
      <c r="V49" s="71"/>
      <c r="W49" s="68"/>
    </row>
    <row r="50" spans="1:23" x14ac:dyDescent="0.3">
      <c r="A50" s="39">
        <f t="shared" si="7"/>
        <v>48644</v>
      </c>
      <c r="B50" s="61">
        <f t="shared" si="5"/>
        <v>46.232876712328768</v>
      </c>
      <c r="C50" s="62"/>
      <c r="D50" s="12"/>
      <c r="E50" s="12"/>
      <c r="F50" s="12"/>
      <c r="G50" s="12"/>
      <c r="H50" s="12"/>
      <c r="I50" s="12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65"/>
      <c r="U50" s="65"/>
      <c r="V50" s="71"/>
      <c r="W50" s="68"/>
    </row>
    <row r="51" spans="1:23" x14ac:dyDescent="0.3">
      <c r="A51" s="39">
        <f t="shared" si="7"/>
        <v>48735</v>
      </c>
      <c r="B51" s="61">
        <f t="shared" si="5"/>
        <v>46.482191780821921</v>
      </c>
      <c r="C51" s="62"/>
      <c r="D51" s="12"/>
      <c r="E51" s="12"/>
      <c r="F51" s="12"/>
      <c r="G51" s="12"/>
      <c r="H51" s="12"/>
      <c r="I51" s="12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65"/>
      <c r="U51" s="65"/>
      <c r="V51" s="71"/>
      <c r="W51" s="68"/>
    </row>
    <row r="52" spans="1:23" x14ac:dyDescent="0.3">
      <c r="A52" s="39">
        <f t="shared" si="7"/>
        <v>48826</v>
      </c>
      <c r="B52" s="61">
        <f t="shared" si="5"/>
        <v>46.731506849315068</v>
      </c>
      <c r="C52" s="62"/>
      <c r="D52" s="12"/>
      <c r="E52" s="12"/>
      <c r="F52" s="12"/>
      <c r="G52" s="12"/>
      <c r="H52" s="12"/>
      <c r="I52" s="12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65"/>
      <c r="U52" s="65"/>
      <c r="V52" s="71"/>
      <c r="W52" s="68"/>
    </row>
    <row r="53" spans="1:23" x14ac:dyDescent="0.3">
      <c r="A53" s="39">
        <f t="shared" si="7"/>
        <v>48917</v>
      </c>
      <c r="B53" s="61">
        <f t="shared" si="5"/>
        <v>46.980821917808221</v>
      </c>
      <c r="C53" s="62"/>
      <c r="D53" s="12"/>
      <c r="E53" s="12"/>
      <c r="F53" s="12"/>
      <c r="G53" s="12"/>
      <c r="H53" s="12"/>
      <c r="I53" s="12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65"/>
      <c r="U53" s="65"/>
      <c r="V53" s="71"/>
      <c r="W53" s="68"/>
    </row>
    <row r="54" spans="1:23" x14ac:dyDescent="0.3">
      <c r="A54" s="39">
        <f t="shared" si="7"/>
        <v>49008</v>
      </c>
      <c r="B54" s="61">
        <f t="shared" si="5"/>
        <v>47.230136986301368</v>
      </c>
      <c r="C54" s="62"/>
      <c r="D54" s="12"/>
      <c r="E54" s="12"/>
      <c r="F54" s="12"/>
      <c r="G54" s="12"/>
      <c r="H54" s="12"/>
      <c r="I54" s="12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65"/>
      <c r="U54" s="65"/>
      <c r="V54" s="71"/>
      <c r="W54" s="68"/>
    </row>
    <row r="55" spans="1:23" x14ac:dyDescent="0.3">
      <c r="A55" s="39">
        <f t="shared" si="7"/>
        <v>49099</v>
      </c>
      <c r="B55" s="61">
        <f t="shared" si="5"/>
        <v>47.479452054794521</v>
      </c>
      <c r="C55" s="62"/>
      <c r="D55" s="12"/>
      <c r="E55" s="12"/>
      <c r="F55" s="12"/>
      <c r="G55" s="12"/>
      <c r="H55" s="12"/>
      <c r="I55" s="12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65"/>
      <c r="U55" s="65"/>
      <c r="V55" s="71"/>
      <c r="W55" s="68"/>
    </row>
    <row r="56" spans="1:23" x14ac:dyDescent="0.3">
      <c r="A56" s="39">
        <f t="shared" si="7"/>
        <v>49190</v>
      </c>
      <c r="B56" s="61">
        <f t="shared" si="5"/>
        <v>47.728767123287668</v>
      </c>
      <c r="C56" s="62"/>
      <c r="D56" s="12"/>
      <c r="E56" s="12"/>
      <c r="F56" s="12"/>
      <c r="G56" s="12"/>
      <c r="H56" s="12"/>
      <c r="I56" s="12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65"/>
      <c r="U56" s="65"/>
      <c r="V56" s="71"/>
      <c r="W56" s="68"/>
    </row>
    <row r="57" spans="1:23" x14ac:dyDescent="0.3">
      <c r="A57" s="39">
        <f t="shared" si="7"/>
        <v>49281</v>
      </c>
      <c r="B57" s="61">
        <f t="shared" si="5"/>
        <v>47.978082191780821</v>
      </c>
      <c r="C57" s="62"/>
      <c r="D57" s="12"/>
      <c r="E57" s="12"/>
      <c r="F57" s="12"/>
      <c r="G57" s="12"/>
      <c r="H57" s="12"/>
      <c r="I57" s="12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65"/>
      <c r="U57" s="65"/>
      <c r="V57" s="71"/>
      <c r="W57" s="68"/>
    </row>
    <row r="58" spans="1:23" x14ac:dyDescent="0.3">
      <c r="A58" s="39">
        <f t="shared" si="7"/>
        <v>49372</v>
      </c>
      <c r="B58" s="61">
        <f t="shared" si="5"/>
        <v>48.227397260273975</v>
      </c>
      <c r="C58" s="62"/>
      <c r="D58" s="12"/>
      <c r="E58" s="12"/>
      <c r="F58" s="12"/>
      <c r="G58" s="12"/>
      <c r="H58" s="12"/>
      <c r="I58" s="12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65"/>
      <c r="U58" s="65"/>
      <c r="V58" s="71"/>
      <c r="W58" s="68"/>
    </row>
    <row r="59" spans="1:23" x14ac:dyDescent="0.3">
      <c r="A59" s="39">
        <f t="shared" si="7"/>
        <v>49463</v>
      </c>
      <c r="B59" s="61">
        <f t="shared" si="5"/>
        <v>48.476712328767121</v>
      </c>
      <c r="C59" s="62"/>
      <c r="D59" s="12"/>
      <c r="E59" s="12"/>
      <c r="F59" s="12"/>
      <c r="G59" s="12"/>
      <c r="H59" s="12"/>
      <c r="I59" s="12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65"/>
      <c r="U59" s="65"/>
      <c r="V59" s="71"/>
      <c r="W59" s="68"/>
    </row>
    <row r="60" spans="1:23" x14ac:dyDescent="0.3">
      <c r="A60" s="39">
        <f t="shared" si="7"/>
        <v>49554</v>
      </c>
      <c r="B60" s="61">
        <f t="shared" si="5"/>
        <v>48.726027397260275</v>
      </c>
      <c r="C60" s="62"/>
      <c r="D60" s="12"/>
      <c r="E60" s="12"/>
      <c r="F60" s="12"/>
      <c r="G60" s="12"/>
      <c r="H60" s="12"/>
      <c r="I60" s="12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65"/>
      <c r="U60" s="65"/>
      <c r="V60" s="71"/>
      <c r="W60" s="68"/>
    </row>
    <row r="61" spans="1:23" x14ac:dyDescent="0.3">
      <c r="A61" s="39">
        <f t="shared" si="7"/>
        <v>49645</v>
      </c>
      <c r="B61" s="61">
        <f t="shared" si="5"/>
        <v>48.975342465753428</v>
      </c>
      <c r="C61" s="62"/>
      <c r="D61" s="12"/>
      <c r="E61" s="12"/>
      <c r="F61" s="12"/>
      <c r="G61" s="12"/>
      <c r="H61" s="12"/>
      <c r="I61" s="12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65"/>
      <c r="U61" s="65"/>
      <c r="V61" s="71"/>
      <c r="W61" s="68"/>
    </row>
    <row r="62" spans="1:23" x14ac:dyDescent="0.3">
      <c r="A62" s="39">
        <f t="shared" si="7"/>
        <v>49736</v>
      </c>
      <c r="B62" s="61">
        <f t="shared" si="5"/>
        <v>49.224657534246575</v>
      </c>
      <c r="C62" s="62"/>
      <c r="D62" s="12"/>
      <c r="E62" s="12"/>
      <c r="F62" s="12"/>
      <c r="G62" s="12"/>
      <c r="H62" s="12"/>
      <c r="I62" s="12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65"/>
      <c r="U62" s="65"/>
      <c r="V62" s="71"/>
      <c r="W62" s="68"/>
    </row>
    <row r="63" spans="1:23" x14ac:dyDescent="0.3">
      <c r="A63" s="39">
        <f t="shared" si="7"/>
        <v>49827</v>
      </c>
      <c r="B63" s="61">
        <f t="shared" si="5"/>
        <v>49.473972602739728</v>
      </c>
      <c r="C63" s="62"/>
      <c r="D63" s="12"/>
      <c r="E63" s="12"/>
      <c r="F63" s="12"/>
      <c r="G63" s="12"/>
      <c r="H63" s="12"/>
      <c r="I63" s="12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65"/>
      <c r="U63" s="65"/>
      <c r="V63" s="71"/>
      <c r="W63" s="68"/>
    </row>
    <row r="64" spans="1:23" x14ac:dyDescent="0.3">
      <c r="A64" s="39">
        <f t="shared" si="7"/>
        <v>49918</v>
      </c>
      <c r="B64" s="61">
        <f t="shared" si="5"/>
        <v>49.723287671232875</v>
      </c>
      <c r="C64" s="62"/>
      <c r="D64" s="12"/>
      <c r="E64" s="12"/>
      <c r="F64" s="12"/>
      <c r="G64" s="12"/>
      <c r="H64" s="12"/>
      <c r="I64" s="12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65"/>
      <c r="U64" s="65"/>
      <c r="V64" s="71"/>
      <c r="W64" s="68"/>
    </row>
    <row r="65" spans="1:23" x14ac:dyDescent="0.3">
      <c r="A65" s="39">
        <f t="shared" si="7"/>
        <v>50009</v>
      </c>
      <c r="B65" s="61">
        <f t="shared" si="5"/>
        <v>49.972602739726028</v>
      </c>
      <c r="C65" s="62"/>
      <c r="D65" s="12"/>
      <c r="E65" s="12"/>
      <c r="F65" s="12"/>
      <c r="G65" s="12"/>
      <c r="H65" s="12"/>
      <c r="I65" s="12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65"/>
      <c r="U65" s="65"/>
      <c r="V65" s="71"/>
      <c r="W65" s="68"/>
    </row>
    <row r="66" spans="1:23" x14ac:dyDescent="0.3">
      <c r="A66" s="39">
        <f t="shared" si="7"/>
        <v>50100</v>
      </c>
      <c r="B66" s="61">
        <f t="shared" si="5"/>
        <v>50.221917808219175</v>
      </c>
      <c r="C66" s="62"/>
      <c r="D66" s="12"/>
      <c r="E66" s="12"/>
      <c r="F66" s="12"/>
      <c r="G66" s="12"/>
      <c r="H66" s="12"/>
      <c r="I66" s="12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65"/>
      <c r="U66" s="65"/>
      <c r="V66" s="71"/>
      <c r="W66" s="68"/>
    </row>
    <row r="67" spans="1:23" x14ac:dyDescent="0.3">
      <c r="A67" s="39">
        <f t="shared" si="7"/>
        <v>50191</v>
      </c>
      <c r="B67" s="61">
        <f t="shared" si="5"/>
        <v>50.471232876712328</v>
      </c>
      <c r="C67" s="62"/>
      <c r="D67" s="12"/>
      <c r="E67" s="12"/>
      <c r="F67" s="12"/>
      <c r="G67" s="12"/>
      <c r="H67" s="12"/>
      <c r="I67" s="12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65"/>
      <c r="U67" s="65"/>
      <c r="V67" s="71"/>
      <c r="W67" s="68"/>
    </row>
    <row r="68" spans="1:23" x14ac:dyDescent="0.3">
      <c r="A68" s="39">
        <f t="shared" si="7"/>
        <v>50282</v>
      </c>
      <c r="B68" s="61">
        <f t="shared" si="5"/>
        <v>50.720547945205482</v>
      </c>
      <c r="C68" s="62"/>
      <c r="D68" s="12"/>
      <c r="E68" s="12"/>
      <c r="F68" s="12"/>
      <c r="G68" s="12"/>
      <c r="H68" s="12"/>
      <c r="I68" s="12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65"/>
      <c r="U68" s="65"/>
      <c r="V68" s="71"/>
      <c r="W68" s="68"/>
    </row>
    <row r="69" spans="1:23" x14ac:dyDescent="0.3">
      <c r="A69" s="39">
        <f t="shared" si="7"/>
        <v>50373</v>
      </c>
      <c r="B69" s="61">
        <f t="shared" si="5"/>
        <v>50.969863013698628</v>
      </c>
      <c r="C69" s="62"/>
      <c r="D69" s="12"/>
      <c r="E69" s="12"/>
      <c r="F69" s="12"/>
      <c r="G69" s="12"/>
      <c r="H69" s="12"/>
      <c r="I69" s="12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65"/>
      <c r="U69" s="65"/>
      <c r="V69" s="71"/>
      <c r="W69" s="68"/>
    </row>
    <row r="70" spans="1:23" x14ac:dyDescent="0.3">
      <c r="A70" s="39">
        <f t="shared" si="7"/>
        <v>50464</v>
      </c>
      <c r="B70" s="61">
        <f t="shared" si="5"/>
        <v>51.219178082191782</v>
      </c>
      <c r="C70" s="62"/>
      <c r="D70" s="12"/>
      <c r="E70" s="12"/>
      <c r="F70" s="12"/>
      <c r="G70" s="12"/>
      <c r="H70" s="12"/>
      <c r="I70" s="12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65"/>
      <c r="U70" s="65"/>
      <c r="V70" s="71"/>
      <c r="W70" s="68"/>
    </row>
    <row r="71" spans="1:23" x14ac:dyDescent="0.3">
      <c r="A71" s="39">
        <f t="shared" si="7"/>
        <v>50555</v>
      </c>
      <c r="B71" s="61">
        <f t="shared" si="5"/>
        <v>51.468493150684935</v>
      </c>
      <c r="C71" s="62"/>
      <c r="D71" s="12"/>
      <c r="E71" s="12"/>
      <c r="F71" s="12"/>
      <c r="G71" s="12"/>
      <c r="H71" s="12"/>
      <c r="I71" s="12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65"/>
      <c r="U71" s="65"/>
      <c r="V71" s="71"/>
      <c r="W71" s="68"/>
    </row>
    <row r="72" spans="1:23" x14ac:dyDescent="0.3">
      <c r="A72" s="39">
        <f t="shared" si="7"/>
        <v>50646</v>
      </c>
      <c r="B72" s="61">
        <f t="shared" si="5"/>
        <v>51.717808219178082</v>
      </c>
      <c r="C72" s="62"/>
      <c r="D72" s="12"/>
      <c r="E72" s="12"/>
      <c r="F72" s="12"/>
      <c r="G72" s="12"/>
      <c r="H72" s="12"/>
      <c r="I72" s="12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65"/>
      <c r="U72" s="65"/>
      <c r="V72" s="71"/>
      <c r="W72" s="68"/>
    </row>
    <row r="73" spans="1:23" x14ac:dyDescent="0.3">
      <c r="A73" s="39">
        <f t="shared" si="7"/>
        <v>50737</v>
      </c>
      <c r="B73" s="61">
        <f t="shared" si="5"/>
        <v>51.967123287671235</v>
      </c>
      <c r="C73" s="62"/>
      <c r="D73" s="12"/>
      <c r="E73" s="12"/>
      <c r="F73" s="12"/>
      <c r="G73" s="12"/>
      <c r="H73" s="12"/>
      <c r="I73" s="12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65"/>
      <c r="U73" s="65"/>
      <c r="V73" s="71"/>
      <c r="W73" s="68"/>
    </row>
    <row r="74" spans="1:23" x14ac:dyDescent="0.3">
      <c r="A74" s="39">
        <f t="shared" si="7"/>
        <v>50828</v>
      </c>
      <c r="B74" s="61">
        <f t="shared" si="5"/>
        <v>52.216438356164389</v>
      </c>
      <c r="C74" s="62"/>
      <c r="D74" s="12"/>
      <c r="E74" s="12"/>
      <c r="F74" s="12"/>
      <c r="G74" s="12"/>
      <c r="H74" s="12"/>
      <c r="I74" s="12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65"/>
      <c r="U74" s="65"/>
      <c r="V74" s="71"/>
      <c r="W74" s="68"/>
    </row>
    <row r="75" spans="1:23" x14ac:dyDescent="0.3">
      <c r="A75" s="39">
        <f t="shared" ref="A75:A119" si="8">A74+91</f>
        <v>50919</v>
      </c>
      <c r="B75" s="61">
        <f t="shared" ref="B75:B119" si="9">$B$9+(A75-$A$9)/365</f>
        <v>52.465753424657535</v>
      </c>
      <c r="C75" s="62"/>
      <c r="D75" s="12"/>
      <c r="E75" s="12"/>
      <c r="F75" s="12"/>
      <c r="G75" s="12"/>
      <c r="H75" s="12"/>
      <c r="I75" s="12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65"/>
      <c r="U75" s="65"/>
      <c r="V75" s="71"/>
      <c r="W75" s="68"/>
    </row>
    <row r="76" spans="1:23" x14ac:dyDescent="0.3">
      <c r="A76" s="39">
        <f t="shared" si="8"/>
        <v>51010</v>
      </c>
      <c r="B76" s="61">
        <f t="shared" si="9"/>
        <v>52.715068493150682</v>
      </c>
      <c r="C76" s="62"/>
      <c r="D76" s="12"/>
      <c r="E76" s="12"/>
      <c r="F76" s="12"/>
      <c r="G76" s="12"/>
      <c r="H76" s="12"/>
      <c r="I76" s="12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65"/>
      <c r="U76" s="65"/>
      <c r="V76" s="71"/>
      <c r="W76" s="68"/>
    </row>
    <row r="77" spans="1:23" x14ac:dyDescent="0.3">
      <c r="A77" s="39">
        <f t="shared" si="8"/>
        <v>51101</v>
      </c>
      <c r="B77" s="61">
        <f t="shared" si="9"/>
        <v>52.964383561643835</v>
      </c>
      <c r="C77" s="62"/>
      <c r="D77" s="12"/>
      <c r="E77" s="12"/>
      <c r="F77" s="12"/>
      <c r="G77" s="12"/>
      <c r="H77" s="12"/>
      <c r="I77" s="12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65"/>
      <c r="U77" s="65"/>
      <c r="V77" s="71"/>
      <c r="W77" s="68"/>
    </row>
    <row r="78" spans="1:23" x14ac:dyDescent="0.3">
      <c r="A78" s="39">
        <f t="shared" si="8"/>
        <v>51192</v>
      </c>
      <c r="B78" s="61">
        <f t="shared" si="9"/>
        <v>53.213698630136989</v>
      </c>
      <c r="C78" s="62"/>
      <c r="D78" s="12"/>
      <c r="E78" s="12"/>
      <c r="F78" s="12"/>
      <c r="G78" s="12"/>
      <c r="H78" s="12"/>
      <c r="I78" s="12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65"/>
      <c r="U78" s="65"/>
      <c r="V78" s="71"/>
      <c r="W78" s="68"/>
    </row>
    <row r="79" spans="1:23" x14ac:dyDescent="0.3">
      <c r="A79" s="39">
        <f t="shared" si="8"/>
        <v>51283</v>
      </c>
      <c r="B79" s="61">
        <f t="shared" si="9"/>
        <v>53.463013698630135</v>
      </c>
      <c r="C79" s="62"/>
      <c r="D79" s="12"/>
      <c r="E79" s="12"/>
      <c r="F79" s="12"/>
      <c r="G79" s="12"/>
      <c r="H79" s="12"/>
      <c r="I79" s="12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65"/>
      <c r="U79" s="65"/>
      <c r="V79" s="71"/>
      <c r="W79" s="68"/>
    </row>
    <row r="80" spans="1:23" x14ac:dyDescent="0.3">
      <c r="A80" s="39">
        <f t="shared" si="8"/>
        <v>51374</v>
      </c>
      <c r="B80" s="61">
        <f t="shared" si="9"/>
        <v>53.712328767123289</v>
      </c>
      <c r="C80" s="62"/>
      <c r="D80" s="12"/>
      <c r="E80" s="12"/>
      <c r="F80" s="12"/>
      <c r="G80" s="12"/>
      <c r="H80" s="12"/>
      <c r="I80" s="12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65"/>
      <c r="U80" s="65"/>
      <c r="V80" s="71"/>
      <c r="W80" s="68"/>
    </row>
    <row r="81" spans="1:23" x14ac:dyDescent="0.3">
      <c r="A81" s="39">
        <f t="shared" si="8"/>
        <v>51465</v>
      </c>
      <c r="B81" s="61">
        <f t="shared" si="9"/>
        <v>53.961643835616442</v>
      </c>
      <c r="C81" s="62"/>
      <c r="D81" s="12"/>
      <c r="E81" s="12"/>
      <c r="F81" s="12"/>
      <c r="G81" s="12"/>
      <c r="H81" s="12"/>
      <c r="I81" s="12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65"/>
      <c r="U81" s="65"/>
      <c r="V81" s="71"/>
      <c r="W81" s="68"/>
    </row>
    <row r="82" spans="1:23" x14ac:dyDescent="0.3">
      <c r="A82" s="39">
        <f t="shared" si="8"/>
        <v>51556</v>
      </c>
      <c r="B82" s="61">
        <f t="shared" si="9"/>
        <v>54.210958904109589</v>
      </c>
      <c r="C82" s="62"/>
      <c r="D82" s="12"/>
      <c r="E82" s="12"/>
      <c r="F82" s="12"/>
      <c r="G82" s="12"/>
      <c r="H82" s="12"/>
      <c r="I82" s="12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65"/>
      <c r="U82" s="65"/>
      <c r="V82" s="71"/>
      <c r="W82" s="68"/>
    </row>
    <row r="83" spans="1:23" x14ac:dyDescent="0.3">
      <c r="A83" s="39">
        <f t="shared" si="8"/>
        <v>51647</v>
      </c>
      <c r="B83" s="61">
        <f t="shared" si="9"/>
        <v>54.460273972602735</v>
      </c>
      <c r="C83" s="62"/>
      <c r="D83" s="12"/>
      <c r="E83" s="12"/>
      <c r="F83" s="12"/>
      <c r="G83" s="12"/>
      <c r="H83" s="12"/>
      <c r="I83" s="12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65"/>
      <c r="U83" s="65"/>
      <c r="V83" s="71"/>
      <c r="W83" s="68"/>
    </row>
    <row r="84" spans="1:23" x14ac:dyDescent="0.3">
      <c r="A84" s="39">
        <f t="shared" si="8"/>
        <v>51738</v>
      </c>
      <c r="B84" s="61">
        <f t="shared" si="9"/>
        <v>54.709589041095889</v>
      </c>
      <c r="C84" s="62"/>
      <c r="D84" s="12"/>
      <c r="E84" s="12"/>
      <c r="F84" s="12"/>
      <c r="G84" s="12"/>
      <c r="H84" s="12"/>
      <c r="I84" s="12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65"/>
      <c r="U84" s="65"/>
      <c r="V84" s="71"/>
      <c r="W84" s="68"/>
    </row>
    <row r="85" spans="1:23" x14ac:dyDescent="0.3">
      <c r="A85" s="39">
        <f t="shared" si="8"/>
        <v>51829</v>
      </c>
      <c r="B85" s="61">
        <f t="shared" si="9"/>
        <v>54.958904109589042</v>
      </c>
      <c r="C85" s="62"/>
      <c r="D85" s="12"/>
      <c r="E85" s="12"/>
      <c r="F85" s="12"/>
      <c r="G85" s="12"/>
      <c r="H85" s="12"/>
      <c r="I85" s="12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65"/>
      <c r="U85" s="65"/>
      <c r="V85" s="71"/>
      <c r="W85" s="68"/>
    </row>
    <row r="86" spans="1:23" x14ac:dyDescent="0.3">
      <c r="A86" s="39">
        <f t="shared" si="8"/>
        <v>51920</v>
      </c>
      <c r="B86" s="61">
        <f t="shared" si="9"/>
        <v>55.208219178082189</v>
      </c>
      <c r="C86" s="62"/>
      <c r="D86" s="12"/>
      <c r="E86" s="12"/>
      <c r="F86" s="12"/>
      <c r="G86" s="12"/>
      <c r="H86" s="12"/>
      <c r="I86" s="12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65"/>
      <c r="U86" s="65"/>
      <c r="V86" s="71"/>
      <c r="W86" s="68"/>
    </row>
    <row r="87" spans="1:23" x14ac:dyDescent="0.3">
      <c r="A87" s="39">
        <f t="shared" si="8"/>
        <v>52011</v>
      </c>
      <c r="B87" s="61">
        <f t="shared" si="9"/>
        <v>55.457534246575342</v>
      </c>
      <c r="C87" s="62"/>
      <c r="D87" s="12"/>
      <c r="E87" s="12"/>
      <c r="F87" s="12"/>
      <c r="G87" s="12"/>
      <c r="H87" s="12"/>
      <c r="I87" s="12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65"/>
      <c r="U87" s="65"/>
      <c r="V87" s="71"/>
      <c r="W87" s="68"/>
    </row>
    <row r="88" spans="1:23" x14ac:dyDescent="0.3">
      <c r="A88" s="39">
        <f t="shared" si="8"/>
        <v>52102</v>
      </c>
      <c r="B88" s="61">
        <f t="shared" si="9"/>
        <v>55.706849315068496</v>
      </c>
      <c r="C88" s="62"/>
      <c r="D88" s="12"/>
      <c r="E88" s="12"/>
      <c r="F88" s="12"/>
      <c r="G88" s="12"/>
      <c r="H88" s="12"/>
      <c r="I88" s="12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65"/>
      <c r="U88" s="65"/>
      <c r="V88" s="71"/>
      <c r="W88" s="68"/>
    </row>
    <row r="89" spans="1:23" x14ac:dyDescent="0.3">
      <c r="A89" s="39">
        <f t="shared" si="8"/>
        <v>52193</v>
      </c>
      <c r="B89" s="61">
        <f t="shared" si="9"/>
        <v>55.956164383561642</v>
      </c>
      <c r="C89" s="62"/>
      <c r="D89" s="12"/>
      <c r="E89" s="12"/>
      <c r="F89" s="12"/>
      <c r="G89" s="12"/>
      <c r="H89" s="12"/>
      <c r="I89" s="12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65"/>
      <c r="U89" s="65"/>
      <c r="V89" s="71"/>
      <c r="W89" s="68"/>
    </row>
    <row r="90" spans="1:23" x14ac:dyDescent="0.3">
      <c r="A90" s="39">
        <f t="shared" si="8"/>
        <v>52284</v>
      </c>
      <c r="B90" s="61">
        <f t="shared" si="9"/>
        <v>56.205479452054796</v>
      </c>
      <c r="C90" s="62"/>
      <c r="D90" s="12"/>
      <c r="E90" s="12"/>
      <c r="F90" s="12"/>
      <c r="G90" s="12"/>
      <c r="H90" s="12"/>
      <c r="I90" s="12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65"/>
      <c r="U90" s="65"/>
      <c r="V90" s="71"/>
      <c r="W90" s="68"/>
    </row>
    <row r="91" spans="1:23" x14ac:dyDescent="0.3">
      <c r="A91" s="39">
        <f t="shared" si="8"/>
        <v>52375</v>
      </c>
      <c r="B91" s="61">
        <f t="shared" si="9"/>
        <v>56.454794520547949</v>
      </c>
      <c r="C91" s="62"/>
      <c r="D91" s="12"/>
      <c r="E91" s="12"/>
      <c r="F91" s="12"/>
      <c r="G91" s="12"/>
      <c r="H91" s="12"/>
      <c r="I91" s="12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65"/>
      <c r="U91" s="65"/>
      <c r="V91" s="71"/>
      <c r="W91" s="68"/>
    </row>
    <row r="92" spans="1:23" x14ac:dyDescent="0.3">
      <c r="A92" s="39">
        <f t="shared" si="8"/>
        <v>52466</v>
      </c>
      <c r="B92" s="61">
        <f t="shared" si="9"/>
        <v>56.704109589041096</v>
      </c>
      <c r="C92" s="62"/>
      <c r="D92" s="12"/>
      <c r="E92" s="12"/>
      <c r="F92" s="12"/>
      <c r="G92" s="12"/>
      <c r="H92" s="12"/>
      <c r="I92" s="12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65"/>
      <c r="U92" s="65"/>
      <c r="V92" s="71"/>
      <c r="W92" s="68"/>
    </row>
    <row r="93" spans="1:23" x14ac:dyDescent="0.3">
      <c r="A93" s="39">
        <f t="shared" si="8"/>
        <v>52557</v>
      </c>
      <c r="B93" s="61">
        <f t="shared" si="9"/>
        <v>56.953424657534242</v>
      </c>
      <c r="C93" s="62"/>
      <c r="D93" s="12"/>
      <c r="E93" s="12"/>
      <c r="F93" s="12"/>
      <c r="G93" s="12"/>
      <c r="H93" s="12"/>
      <c r="I93" s="12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65"/>
      <c r="U93" s="65"/>
      <c r="V93" s="71"/>
      <c r="W93" s="68"/>
    </row>
    <row r="94" spans="1:23" x14ac:dyDescent="0.3">
      <c r="A94" s="39">
        <f t="shared" si="8"/>
        <v>52648</v>
      </c>
      <c r="B94" s="61">
        <f t="shared" si="9"/>
        <v>57.202739726027396</v>
      </c>
      <c r="C94" s="62"/>
      <c r="D94" s="12"/>
      <c r="E94" s="12"/>
      <c r="F94" s="12"/>
      <c r="G94" s="12"/>
      <c r="H94" s="12"/>
      <c r="I94" s="12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65"/>
      <c r="U94" s="65"/>
      <c r="V94" s="71"/>
      <c r="W94" s="68"/>
    </row>
    <row r="95" spans="1:23" x14ac:dyDescent="0.3">
      <c r="A95" s="39">
        <f t="shared" si="8"/>
        <v>52739</v>
      </c>
      <c r="B95" s="61">
        <f t="shared" si="9"/>
        <v>57.452054794520549</v>
      </c>
      <c r="C95" s="62"/>
      <c r="D95" s="12"/>
      <c r="E95" s="12"/>
      <c r="F95" s="12"/>
      <c r="G95" s="12"/>
      <c r="H95" s="12"/>
      <c r="I95" s="12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65"/>
      <c r="U95" s="65"/>
      <c r="V95" s="71"/>
      <c r="W95" s="68"/>
    </row>
    <row r="96" spans="1:23" x14ac:dyDescent="0.3">
      <c r="A96" s="39">
        <f t="shared" si="8"/>
        <v>52830</v>
      </c>
      <c r="B96" s="61">
        <f t="shared" si="9"/>
        <v>57.701369863013696</v>
      </c>
      <c r="C96" s="62"/>
      <c r="D96" s="12"/>
      <c r="E96" s="12"/>
      <c r="F96" s="12"/>
      <c r="G96" s="12"/>
      <c r="H96" s="12"/>
      <c r="I96" s="12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65"/>
      <c r="U96" s="65"/>
      <c r="V96" s="71"/>
      <c r="W96" s="68"/>
    </row>
    <row r="97" spans="1:23" x14ac:dyDescent="0.3">
      <c r="A97" s="39">
        <f t="shared" si="8"/>
        <v>52921</v>
      </c>
      <c r="B97" s="61">
        <f t="shared" si="9"/>
        <v>57.950684931506849</v>
      </c>
      <c r="C97" s="62"/>
      <c r="D97" s="12"/>
      <c r="E97" s="12"/>
      <c r="F97" s="12"/>
      <c r="G97" s="12"/>
      <c r="H97" s="12"/>
      <c r="I97" s="12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65"/>
      <c r="U97" s="65"/>
      <c r="V97" s="71"/>
      <c r="W97" s="68"/>
    </row>
    <row r="98" spans="1:23" x14ac:dyDescent="0.3">
      <c r="A98" s="39">
        <f t="shared" si="8"/>
        <v>53012</v>
      </c>
      <c r="B98" s="61">
        <f t="shared" si="9"/>
        <v>58.2</v>
      </c>
      <c r="C98" s="62"/>
      <c r="D98" s="12"/>
      <c r="E98" s="12"/>
      <c r="F98" s="12"/>
      <c r="G98" s="12"/>
      <c r="H98" s="12"/>
      <c r="I98" s="12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65"/>
      <c r="U98" s="65"/>
      <c r="V98" s="71"/>
      <c r="W98" s="68"/>
    </row>
    <row r="99" spans="1:23" x14ac:dyDescent="0.3">
      <c r="A99" s="39">
        <f t="shared" si="8"/>
        <v>53103</v>
      </c>
      <c r="B99" s="61">
        <f t="shared" si="9"/>
        <v>58.449315068493149</v>
      </c>
      <c r="C99" s="62"/>
      <c r="D99" s="12"/>
      <c r="E99" s="12"/>
      <c r="F99" s="12"/>
      <c r="G99" s="12"/>
      <c r="H99" s="12"/>
      <c r="I99" s="12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65"/>
      <c r="U99" s="65"/>
      <c r="V99" s="71"/>
      <c r="W99" s="68"/>
    </row>
    <row r="100" spans="1:23" x14ac:dyDescent="0.3">
      <c r="A100" s="39">
        <f t="shared" si="8"/>
        <v>53194</v>
      </c>
      <c r="B100" s="61">
        <f t="shared" si="9"/>
        <v>58.698630136986303</v>
      </c>
      <c r="C100" s="62"/>
      <c r="D100" s="12"/>
      <c r="E100" s="12"/>
      <c r="F100" s="12"/>
      <c r="G100" s="12"/>
      <c r="H100" s="12"/>
      <c r="I100" s="12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65"/>
      <c r="U100" s="65"/>
      <c r="V100" s="71"/>
      <c r="W100" s="68"/>
    </row>
    <row r="101" spans="1:23" x14ac:dyDescent="0.3">
      <c r="A101" s="39">
        <f t="shared" si="8"/>
        <v>53285</v>
      </c>
      <c r="B101" s="61">
        <f t="shared" si="9"/>
        <v>58.947945205479456</v>
      </c>
      <c r="C101" s="62"/>
      <c r="D101" s="12"/>
      <c r="E101" s="12"/>
      <c r="F101" s="12"/>
      <c r="G101" s="12"/>
      <c r="H101" s="12"/>
      <c r="I101" s="12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65"/>
      <c r="U101" s="65"/>
      <c r="V101" s="71"/>
      <c r="W101" s="68"/>
    </row>
    <row r="102" spans="1:23" x14ac:dyDescent="0.3">
      <c r="A102" s="39">
        <f t="shared" si="8"/>
        <v>53376</v>
      </c>
      <c r="B102" s="61">
        <f t="shared" si="9"/>
        <v>59.197260273972603</v>
      </c>
      <c r="C102" s="62"/>
      <c r="D102" s="12"/>
      <c r="E102" s="12"/>
      <c r="F102" s="12"/>
      <c r="G102" s="12"/>
      <c r="H102" s="12"/>
      <c r="I102" s="12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65"/>
      <c r="U102" s="65"/>
      <c r="V102" s="71"/>
      <c r="W102" s="68"/>
    </row>
    <row r="103" spans="1:23" x14ac:dyDescent="0.3">
      <c r="A103" s="39">
        <f t="shared" si="8"/>
        <v>53467</v>
      </c>
      <c r="B103" s="61">
        <f t="shared" si="9"/>
        <v>59.446575342465749</v>
      </c>
      <c r="C103" s="62"/>
      <c r="D103" s="12"/>
      <c r="E103" s="12"/>
      <c r="F103" s="12"/>
      <c r="G103" s="12"/>
      <c r="H103" s="12"/>
      <c r="I103" s="12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65"/>
      <c r="U103" s="65"/>
      <c r="V103" s="71"/>
      <c r="W103" s="68"/>
    </row>
    <row r="104" spans="1:23" x14ac:dyDescent="0.3">
      <c r="A104" s="39">
        <f t="shared" si="8"/>
        <v>53558</v>
      </c>
      <c r="B104" s="61">
        <f t="shared" si="9"/>
        <v>59.695890410958903</v>
      </c>
      <c r="C104" s="62"/>
      <c r="D104" s="12"/>
      <c r="E104" s="12"/>
      <c r="F104" s="12"/>
      <c r="G104" s="12"/>
      <c r="H104" s="12"/>
      <c r="I104" s="12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65"/>
      <c r="U104" s="65"/>
      <c r="V104" s="71"/>
      <c r="W104" s="68"/>
    </row>
    <row r="105" spans="1:23" x14ac:dyDescent="0.3">
      <c r="A105" s="39">
        <f t="shared" si="8"/>
        <v>53649</v>
      </c>
      <c r="B105" s="61">
        <f t="shared" si="9"/>
        <v>59.945205479452056</v>
      </c>
      <c r="C105" s="62"/>
      <c r="D105" s="12"/>
      <c r="E105" s="12"/>
      <c r="F105" s="12"/>
      <c r="G105" s="12"/>
      <c r="H105" s="12"/>
      <c r="I105" s="12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65"/>
      <c r="U105" s="65"/>
      <c r="V105" s="71"/>
      <c r="W105" s="68"/>
    </row>
    <row r="106" spans="1:23" x14ac:dyDescent="0.3">
      <c r="A106" s="39">
        <f t="shared" si="8"/>
        <v>53740</v>
      </c>
      <c r="B106" s="61">
        <f t="shared" si="9"/>
        <v>60.194520547945203</v>
      </c>
      <c r="C106" s="62"/>
      <c r="D106" s="12"/>
      <c r="E106" s="12"/>
      <c r="F106" s="12"/>
      <c r="G106" s="12"/>
      <c r="H106" s="12"/>
      <c r="I106" s="12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65"/>
      <c r="U106" s="65"/>
      <c r="V106" s="71"/>
      <c r="W106" s="68"/>
    </row>
    <row r="107" spans="1:23" x14ac:dyDescent="0.3">
      <c r="A107" s="39">
        <f t="shared" si="8"/>
        <v>53831</v>
      </c>
      <c r="B107" s="61">
        <f t="shared" si="9"/>
        <v>60.443835616438356</v>
      </c>
      <c r="C107" s="62"/>
      <c r="D107" s="12"/>
      <c r="E107" s="12"/>
      <c r="F107" s="12"/>
      <c r="G107" s="12"/>
      <c r="H107" s="12"/>
      <c r="I107" s="12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65"/>
      <c r="U107" s="65"/>
      <c r="V107" s="71"/>
      <c r="W107" s="68"/>
    </row>
    <row r="108" spans="1:23" x14ac:dyDescent="0.3">
      <c r="A108" s="39">
        <f t="shared" si="8"/>
        <v>53922</v>
      </c>
      <c r="B108" s="61">
        <f t="shared" si="9"/>
        <v>60.69315068493151</v>
      </c>
      <c r="C108" s="62"/>
      <c r="D108" s="12"/>
      <c r="E108" s="12"/>
      <c r="F108" s="12"/>
      <c r="G108" s="12"/>
      <c r="H108" s="12"/>
      <c r="I108" s="12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65"/>
      <c r="U108" s="65"/>
      <c r="V108" s="71"/>
      <c r="W108" s="68"/>
    </row>
    <row r="109" spans="1:23" x14ac:dyDescent="0.3">
      <c r="A109" s="39">
        <f t="shared" si="8"/>
        <v>54013</v>
      </c>
      <c r="B109" s="61">
        <f t="shared" si="9"/>
        <v>60.942465753424656</v>
      </c>
      <c r="C109" s="62"/>
      <c r="D109" s="12"/>
      <c r="E109" s="12"/>
      <c r="F109" s="12"/>
      <c r="G109" s="12"/>
      <c r="H109" s="12"/>
      <c r="I109" s="12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65"/>
      <c r="U109" s="65"/>
      <c r="V109" s="71"/>
      <c r="W109" s="68"/>
    </row>
    <row r="110" spans="1:23" x14ac:dyDescent="0.3">
      <c r="A110" s="39">
        <f t="shared" si="8"/>
        <v>54104</v>
      </c>
      <c r="B110" s="61">
        <f t="shared" si="9"/>
        <v>61.19178082191781</v>
      </c>
      <c r="C110" s="62"/>
      <c r="D110" s="12"/>
      <c r="E110" s="12"/>
      <c r="F110" s="12"/>
      <c r="G110" s="12"/>
      <c r="H110" s="12"/>
      <c r="I110" s="12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65"/>
      <c r="U110" s="65"/>
      <c r="V110" s="71"/>
      <c r="W110" s="68"/>
    </row>
    <row r="111" spans="1:23" x14ac:dyDescent="0.3">
      <c r="A111" s="39">
        <f t="shared" si="8"/>
        <v>54195</v>
      </c>
      <c r="B111" s="61">
        <f t="shared" si="9"/>
        <v>61.441095890410963</v>
      </c>
      <c r="C111" s="62"/>
      <c r="D111" s="12"/>
      <c r="E111" s="12"/>
      <c r="F111" s="12"/>
      <c r="G111" s="12"/>
      <c r="H111" s="12"/>
      <c r="I111" s="12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65"/>
      <c r="U111" s="65"/>
      <c r="V111" s="71"/>
      <c r="W111" s="68"/>
    </row>
    <row r="112" spans="1:23" x14ac:dyDescent="0.3">
      <c r="A112" s="39">
        <f t="shared" si="8"/>
        <v>54286</v>
      </c>
      <c r="B112" s="61">
        <f t="shared" si="9"/>
        <v>61.69041095890411</v>
      </c>
      <c r="C112" s="62"/>
      <c r="D112" s="12"/>
      <c r="E112" s="12"/>
      <c r="F112" s="12"/>
      <c r="G112" s="12"/>
      <c r="H112" s="12"/>
      <c r="I112" s="12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65"/>
      <c r="U112" s="65"/>
      <c r="V112" s="71"/>
      <c r="W112" s="68"/>
    </row>
    <row r="113" spans="1:23" x14ac:dyDescent="0.3">
      <c r="A113" s="39">
        <f t="shared" si="8"/>
        <v>54377</v>
      </c>
      <c r="B113" s="61">
        <f t="shared" si="9"/>
        <v>61.939726027397256</v>
      </c>
      <c r="C113" s="62"/>
      <c r="D113" s="12"/>
      <c r="E113" s="12"/>
      <c r="F113" s="12"/>
      <c r="G113" s="12"/>
      <c r="H113" s="12"/>
      <c r="I113" s="12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65"/>
      <c r="U113" s="65"/>
      <c r="V113" s="71"/>
      <c r="W113" s="68"/>
    </row>
    <row r="114" spans="1:23" x14ac:dyDescent="0.3">
      <c r="A114" s="39">
        <f t="shared" si="8"/>
        <v>54468</v>
      </c>
      <c r="B114" s="61">
        <f t="shared" si="9"/>
        <v>62.18904109589041</v>
      </c>
      <c r="C114" s="62"/>
      <c r="D114" s="12"/>
      <c r="E114" s="12"/>
      <c r="F114" s="12"/>
      <c r="G114" s="12"/>
      <c r="H114" s="12"/>
      <c r="I114" s="12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65"/>
      <c r="U114" s="65"/>
      <c r="V114" s="71"/>
      <c r="W114" s="68"/>
    </row>
    <row r="115" spans="1:23" x14ac:dyDescent="0.3">
      <c r="A115" s="39">
        <f t="shared" si="8"/>
        <v>54559</v>
      </c>
      <c r="B115" s="61">
        <f t="shared" si="9"/>
        <v>62.438356164383563</v>
      </c>
      <c r="C115" s="62"/>
      <c r="D115" s="12"/>
      <c r="E115" s="12"/>
      <c r="F115" s="12"/>
      <c r="G115" s="12"/>
      <c r="H115" s="12"/>
      <c r="I115" s="12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65"/>
      <c r="U115" s="65"/>
      <c r="V115" s="71"/>
      <c r="W115" s="68"/>
    </row>
    <row r="116" spans="1:23" x14ac:dyDescent="0.3">
      <c r="A116" s="39">
        <f t="shared" si="8"/>
        <v>54650</v>
      </c>
      <c r="B116" s="61">
        <f t="shared" si="9"/>
        <v>62.68767123287671</v>
      </c>
      <c r="C116" s="62"/>
      <c r="D116" s="12"/>
      <c r="E116" s="12"/>
      <c r="F116" s="12"/>
      <c r="G116" s="12"/>
      <c r="H116" s="12"/>
      <c r="I116" s="12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65"/>
      <c r="U116" s="65"/>
      <c r="V116" s="71"/>
      <c r="W116" s="68"/>
    </row>
    <row r="117" spans="1:23" x14ac:dyDescent="0.3">
      <c r="A117" s="39">
        <f t="shared" si="8"/>
        <v>54741</v>
      </c>
      <c r="B117" s="61">
        <f t="shared" si="9"/>
        <v>62.936986301369863</v>
      </c>
      <c r="C117" s="62"/>
      <c r="D117" s="12"/>
      <c r="E117" s="12"/>
      <c r="F117" s="12"/>
      <c r="G117" s="12"/>
      <c r="H117" s="12"/>
      <c r="I117" s="12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65"/>
      <c r="U117" s="65"/>
      <c r="V117" s="71"/>
      <c r="W117" s="68"/>
    </row>
    <row r="118" spans="1:23" x14ac:dyDescent="0.3">
      <c r="A118" s="39">
        <f t="shared" si="8"/>
        <v>54832</v>
      </c>
      <c r="B118" s="61">
        <f t="shared" si="9"/>
        <v>63.186301369863017</v>
      </c>
      <c r="C118" s="62"/>
      <c r="D118" s="12"/>
      <c r="E118" s="12"/>
      <c r="F118" s="12"/>
      <c r="G118" s="12"/>
      <c r="H118" s="12"/>
      <c r="I118" s="12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65"/>
      <c r="U118" s="65"/>
      <c r="V118" s="71"/>
      <c r="W118" s="68"/>
    </row>
    <row r="119" spans="1:23" ht="15" thickBot="1" x14ac:dyDescent="0.35">
      <c r="A119" s="41">
        <f t="shared" si="8"/>
        <v>54923</v>
      </c>
      <c r="B119" s="61">
        <f t="shared" si="9"/>
        <v>63.435616438356163</v>
      </c>
      <c r="C119" s="62"/>
      <c r="D119" s="12"/>
      <c r="E119" s="12"/>
      <c r="F119" s="12"/>
      <c r="G119" s="12"/>
      <c r="H119" s="12"/>
      <c r="I119" s="12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66"/>
      <c r="U119" s="66"/>
      <c r="V119" s="72"/>
      <c r="W119" s="69"/>
    </row>
  </sheetData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DCFB-339F-4202-A131-44ED25FCF9D8}">
  <dimension ref="A2:AE39"/>
  <sheetViews>
    <sheetView tabSelected="1" topLeftCell="U1" workbookViewId="0">
      <pane ySplit="8" topLeftCell="A18" activePane="bottomLeft" state="frozenSplit"/>
      <selection pane="bottomLeft" activeCell="J16" sqref="J16"/>
    </sheetView>
  </sheetViews>
  <sheetFormatPr defaultRowHeight="14.4" x14ac:dyDescent="0.3"/>
  <cols>
    <col min="1" max="3" width="11.6640625" customWidth="1"/>
    <col min="4" max="4" width="22.6640625" bestFit="1" customWidth="1"/>
    <col min="5" max="5" width="8.33203125" bestFit="1" customWidth="1"/>
    <col min="6" max="6" width="13.5546875" customWidth="1"/>
    <col min="8" max="8" width="10.6640625" customWidth="1"/>
    <col min="9" max="9" width="12.77734375" customWidth="1"/>
    <col min="10" max="10" width="8.77734375" customWidth="1"/>
    <col min="11" max="11" width="11" customWidth="1"/>
    <col min="12" max="12" width="12.44140625" customWidth="1"/>
    <col min="13" max="13" width="9.109375" customWidth="1"/>
    <col min="14" max="14" width="9.33203125" customWidth="1"/>
    <col min="15" max="15" width="12.6640625" customWidth="1"/>
    <col min="16" max="16" width="10.109375" customWidth="1"/>
    <col min="21" max="21" width="11.21875" customWidth="1"/>
    <col min="22" max="22" width="11.33203125" bestFit="1" customWidth="1"/>
    <col min="23" max="23" width="11.77734375" customWidth="1"/>
    <col min="25" max="25" width="16.44140625" bestFit="1" customWidth="1"/>
    <col min="29" max="29" width="14.88671875" bestFit="1" customWidth="1"/>
  </cols>
  <sheetData>
    <row r="2" spans="1:31" x14ac:dyDescent="0.3">
      <c r="D2" t="s">
        <v>7</v>
      </c>
      <c r="E2" s="1">
        <v>0.06</v>
      </c>
      <c r="F2" s="1"/>
      <c r="G2" s="2" t="s">
        <v>8</v>
      </c>
      <c r="AC2" t="s">
        <v>78</v>
      </c>
      <c r="AD2">
        <v>2043</v>
      </c>
      <c r="AE2">
        <v>200000</v>
      </c>
    </row>
    <row r="3" spans="1:31" x14ac:dyDescent="0.3">
      <c r="D3" t="s">
        <v>6</v>
      </c>
      <c r="E3">
        <v>200</v>
      </c>
      <c r="F3" s="1"/>
      <c r="AD3">
        <v>2043</v>
      </c>
      <c r="AE3">
        <v>0</v>
      </c>
    </row>
    <row r="4" spans="1:31" x14ac:dyDescent="0.3">
      <c r="D4" t="s">
        <v>0</v>
      </c>
      <c r="E4" s="2">
        <v>25000</v>
      </c>
      <c r="F4" s="2"/>
    </row>
    <row r="5" spans="1:31" x14ac:dyDescent="0.3">
      <c r="D5" t="s">
        <v>9</v>
      </c>
      <c r="E5" s="3">
        <v>4</v>
      </c>
      <c r="F5" s="2"/>
      <c r="AC5" t="str">
        <f>"Shortfall " &amp;(AD6-AD5) &amp;" years"</f>
        <v>Shortfall 4 years</v>
      </c>
      <c r="AD5">
        <f>C31</f>
        <v>2039</v>
      </c>
      <c r="AE5">
        <v>5000</v>
      </c>
    </row>
    <row r="6" spans="1:31" x14ac:dyDescent="0.3">
      <c r="D6" t="s">
        <v>10</v>
      </c>
      <c r="E6">
        <v>1</v>
      </c>
      <c r="AD6">
        <v>2043</v>
      </c>
      <c r="AE6">
        <v>5000</v>
      </c>
    </row>
    <row r="7" spans="1:31" ht="15" thickBot="1" x14ac:dyDescent="0.35"/>
    <row r="8" spans="1:31" ht="58.2" thickBot="1" x14ac:dyDescent="0.35">
      <c r="A8" t="s">
        <v>76</v>
      </c>
      <c r="B8" s="11" t="s">
        <v>88</v>
      </c>
      <c r="C8" s="11" t="s">
        <v>1</v>
      </c>
      <c r="D8" s="11" t="s">
        <v>56</v>
      </c>
      <c r="E8" s="52" t="s">
        <v>2</v>
      </c>
      <c r="F8" s="35" t="s">
        <v>3</v>
      </c>
      <c r="G8" s="35" t="s">
        <v>62</v>
      </c>
      <c r="H8" s="35" t="s">
        <v>54</v>
      </c>
      <c r="I8" s="35" t="s">
        <v>53</v>
      </c>
      <c r="J8" s="53" t="s">
        <v>52</v>
      </c>
      <c r="K8" s="52" t="s">
        <v>61</v>
      </c>
      <c r="L8" s="35" t="s">
        <v>57</v>
      </c>
      <c r="M8" s="35" t="s">
        <v>62</v>
      </c>
      <c r="N8" s="35" t="s">
        <v>58</v>
      </c>
      <c r="O8" s="35" t="s">
        <v>59</v>
      </c>
      <c r="P8" s="53" t="s">
        <v>55</v>
      </c>
      <c r="Q8" s="52" t="s">
        <v>63</v>
      </c>
      <c r="R8" s="35" t="s">
        <v>60</v>
      </c>
      <c r="S8" s="35" t="s">
        <v>62</v>
      </c>
      <c r="T8" s="35" t="s">
        <v>64</v>
      </c>
      <c r="U8" s="35" t="s">
        <v>65</v>
      </c>
      <c r="V8" s="53" t="s">
        <v>66</v>
      </c>
      <c r="W8" s="60" t="s">
        <v>67</v>
      </c>
      <c r="X8" s="58" t="s">
        <v>68</v>
      </c>
      <c r="Y8" s="59" t="s">
        <v>75</v>
      </c>
    </row>
    <row r="9" spans="1:31" x14ac:dyDescent="0.3">
      <c r="D9" s="27">
        <v>1</v>
      </c>
      <c r="E9" s="45">
        <v>3000</v>
      </c>
      <c r="F9" s="2">
        <f t="shared" ref="F9:F31" si="0">$E$3*12</f>
        <v>2400</v>
      </c>
      <c r="G9" s="2">
        <v>0</v>
      </c>
      <c r="H9" s="2">
        <f t="shared" ref="H9:H30" si="1">E9*(1+($E$2/$E$5))^($E$5*$E$6)-E9</f>
        <v>184.09065187499846</v>
      </c>
      <c r="I9" s="2">
        <f t="shared" ref="I9:I26" si="2">H9+F9+E9</f>
        <v>5584.090651874998</v>
      </c>
      <c r="J9" s="46"/>
      <c r="K9" s="31"/>
      <c r="L9" s="2"/>
      <c r="M9" s="2"/>
      <c r="N9" s="2"/>
      <c r="O9" s="2"/>
      <c r="P9" s="40"/>
      <c r="Q9" s="54"/>
      <c r="V9" s="40"/>
      <c r="W9" s="43"/>
      <c r="X9" s="54"/>
      <c r="Y9" s="40"/>
    </row>
    <row r="10" spans="1:31" x14ac:dyDescent="0.3">
      <c r="D10" s="27">
        <f>D9+1</f>
        <v>2</v>
      </c>
      <c r="E10" s="45">
        <f>IF(J9&gt;I9,J9,I9)</f>
        <v>5584.090651874998</v>
      </c>
      <c r="F10" s="2">
        <f t="shared" si="0"/>
        <v>2400</v>
      </c>
      <c r="G10" s="2">
        <v>0</v>
      </c>
      <c r="H10" s="2">
        <f t="shared" si="1"/>
        <v>342.65962941091766</v>
      </c>
      <c r="I10" s="2">
        <f t="shared" si="2"/>
        <v>8326.7502812859166</v>
      </c>
      <c r="J10" s="46"/>
      <c r="K10" s="31"/>
      <c r="L10" s="2"/>
      <c r="M10" s="2"/>
      <c r="N10" s="2"/>
      <c r="O10" s="2"/>
      <c r="P10" s="40"/>
      <c r="Q10" s="54"/>
      <c r="V10" s="40"/>
      <c r="W10" s="43"/>
      <c r="X10" s="54"/>
      <c r="Y10" s="40"/>
    </row>
    <row r="11" spans="1:31" x14ac:dyDescent="0.3">
      <c r="D11" s="27">
        <f t="shared" ref="D11:D36" si="3">D10+1</f>
        <v>3</v>
      </c>
      <c r="E11" s="45">
        <f t="shared" ref="E11:E32" si="4">IF(J10&gt;I10,J10,I10)</f>
        <v>8326.7502812859166</v>
      </c>
      <c r="F11" s="2">
        <f t="shared" si="0"/>
        <v>2400</v>
      </c>
      <c r="G11" s="2">
        <v>0</v>
      </c>
      <c r="H11" s="2">
        <f t="shared" si="1"/>
        <v>510.95896242741583</v>
      </c>
      <c r="I11" s="2">
        <f t="shared" si="2"/>
        <v>11237.709243713332</v>
      </c>
      <c r="J11" s="46"/>
      <c r="K11" s="31"/>
      <c r="L11" s="2"/>
      <c r="M11" s="2"/>
      <c r="N11" s="2"/>
      <c r="O11" s="2"/>
      <c r="P11" s="40"/>
      <c r="Q11" s="54"/>
      <c r="V11" s="40"/>
      <c r="W11" s="43"/>
      <c r="X11" s="54"/>
      <c r="Y11" s="40"/>
    </row>
    <row r="12" spans="1:31" x14ac:dyDescent="0.3">
      <c r="D12" s="27">
        <f t="shared" si="3"/>
        <v>4</v>
      </c>
      <c r="E12" s="45">
        <f t="shared" si="4"/>
        <v>11237.709243713332</v>
      </c>
      <c r="F12" s="2">
        <f t="shared" si="0"/>
        <v>2400</v>
      </c>
      <c r="G12" s="2">
        <v>0</v>
      </c>
      <c r="H12" s="2">
        <f t="shared" si="1"/>
        <v>689.58574008562755</v>
      </c>
      <c r="I12" s="2">
        <f t="shared" si="2"/>
        <v>14327.29498379896</v>
      </c>
      <c r="J12" s="46"/>
      <c r="K12" s="54"/>
      <c r="P12" s="40"/>
      <c r="Q12" s="54"/>
      <c r="V12" s="40"/>
      <c r="W12" s="43"/>
      <c r="X12" s="54"/>
      <c r="Y12" s="40"/>
    </row>
    <row r="13" spans="1:31" x14ac:dyDescent="0.3">
      <c r="D13" s="27">
        <f t="shared" si="3"/>
        <v>5</v>
      </c>
      <c r="E13" s="45">
        <f t="shared" si="4"/>
        <v>14327.29498379896</v>
      </c>
      <c r="F13" s="2">
        <f t="shared" si="0"/>
        <v>2400</v>
      </c>
      <c r="G13" s="2">
        <v>0</v>
      </c>
      <c r="H13" s="2">
        <f t="shared" si="1"/>
        <v>879.17369105764737</v>
      </c>
      <c r="I13" s="2">
        <f t="shared" si="2"/>
        <v>17606.468674856609</v>
      </c>
      <c r="J13" s="46"/>
      <c r="K13" s="54"/>
      <c r="P13" s="40"/>
      <c r="Q13" s="54"/>
      <c r="V13" s="40"/>
      <c r="W13" s="43"/>
      <c r="X13" s="54"/>
      <c r="Y13" s="40"/>
    </row>
    <row r="14" spans="1:31" x14ac:dyDescent="0.3">
      <c r="C14">
        <v>2022</v>
      </c>
      <c r="D14" s="27">
        <f t="shared" si="3"/>
        <v>6</v>
      </c>
      <c r="E14" s="45">
        <f t="shared" si="4"/>
        <v>17606.468674856609</v>
      </c>
      <c r="F14" s="2">
        <f t="shared" si="0"/>
        <v>2400</v>
      </c>
      <c r="G14" s="2">
        <v>0</v>
      </c>
      <c r="H14" s="2">
        <f t="shared" si="1"/>
        <v>1080.3954318570286</v>
      </c>
      <c r="I14" s="2">
        <f t="shared" si="2"/>
        <v>21086.864106713638</v>
      </c>
      <c r="J14" s="46">
        <v>24072</v>
      </c>
      <c r="K14" s="31">
        <v>0</v>
      </c>
      <c r="L14" s="2">
        <f>$E$3*12</f>
        <v>2400</v>
      </c>
      <c r="M14" s="2">
        <v>0</v>
      </c>
      <c r="N14" s="2">
        <f>K14*(1+($E$2/$E$5))^($E$5*$E$6)-K14</f>
        <v>0</v>
      </c>
      <c r="O14" s="2">
        <f>K14+L14+N14-M14</f>
        <v>2400</v>
      </c>
      <c r="P14" s="40"/>
      <c r="Q14" s="45">
        <v>0</v>
      </c>
      <c r="R14" s="2">
        <f>$E$3*12</f>
        <v>2400</v>
      </c>
      <c r="S14" s="2">
        <v>0</v>
      </c>
      <c r="T14" s="2">
        <f>Q14*(1+($E$2/$E$5))^($E$5*$E$6)-Q14</f>
        <v>0</v>
      </c>
      <c r="U14" s="13">
        <f>Q14+R14+T14-S14</f>
        <v>2400</v>
      </c>
      <c r="V14" s="40"/>
      <c r="W14" s="55">
        <f>SUM(I14+O14+U14)-X14</f>
        <v>25886.864106713638</v>
      </c>
      <c r="X14" s="45">
        <f>SUM(S14+M14+G14)</f>
        <v>0</v>
      </c>
      <c r="Y14" s="46">
        <f>SUM(J14+P14+V14)</f>
        <v>24072</v>
      </c>
    </row>
    <row r="15" spans="1:31" x14ac:dyDescent="0.3">
      <c r="C15">
        <v>2023</v>
      </c>
      <c r="D15" s="27">
        <f t="shared" si="3"/>
        <v>7</v>
      </c>
      <c r="E15" s="45">
        <f t="shared" si="4"/>
        <v>24072</v>
      </c>
      <c r="F15" s="2">
        <f t="shared" si="0"/>
        <v>2400</v>
      </c>
      <c r="G15" s="2">
        <v>0</v>
      </c>
      <c r="H15" s="2">
        <f>E15*(1+($E$2/$E$5))^($E$5*$E$6)-E15</f>
        <v>1477.1433906449856</v>
      </c>
      <c r="I15" s="2">
        <f t="shared" si="2"/>
        <v>27949.143390644986</v>
      </c>
      <c r="J15" s="46">
        <v>30722</v>
      </c>
      <c r="K15" s="31">
        <f>IF(P14&gt;O14,P14,O14)</f>
        <v>2400</v>
      </c>
      <c r="L15" s="2">
        <f t="shared" ref="L15:L32" si="5">$E$3*12</f>
        <v>2400</v>
      </c>
      <c r="M15" s="2">
        <v>0</v>
      </c>
      <c r="N15" s="2">
        <f t="shared" ref="N15:N33" si="6">K15*(1+($E$2/$E$5))^($E$5*$E$6)-K15</f>
        <v>147.27252149999867</v>
      </c>
      <c r="O15" s="2">
        <f t="shared" ref="O15:O33" si="7">K15+L15+N15-M15</f>
        <v>4947.2725214999991</v>
      </c>
      <c r="P15" s="40"/>
      <c r="Q15" s="45">
        <f>IF(V14&gt;U14,V14,U14)</f>
        <v>2400</v>
      </c>
      <c r="R15" s="2">
        <f t="shared" ref="R15:R35" si="8">$E$3*12</f>
        <v>2400</v>
      </c>
      <c r="S15" s="2">
        <v>0</v>
      </c>
      <c r="T15" s="2">
        <f t="shared" ref="T15:T36" si="9">Q15*(1+($E$2/$E$5))^($E$5*$E$6)-Q15</f>
        <v>147.27252149999867</v>
      </c>
      <c r="U15" s="13">
        <f t="shared" ref="U15:U36" si="10">Q15+R15+T15-S15</f>
        <v>4947.2725214999991</v>
      </c>
      <c r="V15" s="40"/>
      <c r="W15" s="55">
        <f>SUM(I15+O15+U15)-X15</f>
        <v>37843.688433644988</v>
      </c>
      <c r="X15" s="45">
        <f t="shared" ref="X15:X36" si="11">SUM(S15+M15+G15)</f>
        <v>0</v>
      </c>
      <c r="Y15" s="46">
        <f>SUM(J15+P15+V15)</f>
        <v>30722</v>
      </c>
    </row>
    <row r="16" spans="1:31" x14ac:dyDescent="0.3">
      <c r="C16">
        <f>C15+1</f>
        <v>2024</v>
      </c>
      <c r="D16" s="27">
        <f t="shared" si="3"/>
        <v>8</v>
      </c>
      <c r="E16" s="45">
        <f t="shared" si="4"/>
        <v>30722</v>
      </c>
      <c r="F16" s="2">
        <f t="shared" si="0"/>
        <v>2400</v>
      </c>
      <c r="G16" s="2">
        <v>0</v>
      </c>
      <c r="H16" s="2">
        <f t="shared" si="1"/>
        <v>1885.2110023012319</v>
      </c>
      <c r="I16" s="2">
        <f t="shared" si="2"/>
        <v>35007.211002301236</v>
      </c>
      <c r="J16" s="46">
        <v>36848</v>
      </c>
      <c r="K16" s="31">
        <f t="shared" ref="K16:K33" si="12">IF(P15&gt;O15,P15,O15)</f>
        <v>4947.2725214999991</v>
      </c>
      <c r="L16" s="2">
        <f t="shared" si="5"/>
        <v>2400</v>
      </c>
      <c r="M16" s="2">
        <v>0</v>
      </c>
      <c r="N16" s="2">
        <f t="shared" si="6"/>
        <v>303.58220782873377</v>
      </c>
      <c r="O16" s="2">
        <f t="shared" si="7"/>
        <v>7650.8547293287329</v>
      </c>
      <c r="P16" s="40"/>
      <c r="Q16" s="45">
        <f t="shared" ref="Q16:Q36" si="13">IF(V15&gt;U15,V15,U15)</f>
        <v>4947.2725214999991</v>
      </c>
      <c r="R16" s="2">
        <f t="shared" si="8"/>
        <v>2400</v>
      </c>
      <c r="S16" s="2">
        <v>0</v>
      </c>
      <c r="T16" s="2">
        <f t="shared" si="9"/>
        <v>303.58220782873377</v>
      </c>
      <c r="U16" s="13">
        <f t="shared" si="10"/>
        <v>7650.8547293287329</v>
      </c>
      <c r="V16" s="40"/>
      <c r="W16" s="55">
        <f t="shared" ref="W16:W17" si="14">SUM(I16+O16+U16)-X16</f>
        <v>50308.920460958703</v>
      </c>
      <c r="X16" s="45">
        <f t="shared" si="11"/>
        <v>0</v>
      </c>
      <c r="Y16" s="46">
        <f t="shared" ref="Y16:Y36" si="15">SUM(J16+P16+V16)</f>
        <v>36848</v>
      </c>
    </row>
    <row r="17" spans="1:25" x14ac:dyDescent="0.3">
      <c r="C17">
        <f t="shared" ref="C17:C36" si="16">C16+1</f>
        <v>2025</v>
      </c>
      <c r="D17" s="27">
        <f t="shared" si="3"/>
        <v>9</v>
      </c>
      <c r="E17" s="45">
        <f t="shared" si="4"/>
        <v>36848</v>
      </c>
      <c r="F17" s="2">
        <f t="shared" si="0"/>
        <v>2400</v>
      </c>
      <c r="G17" s="2">
        <v>0</v>
      </c>
      <c r="H17" s="2">
        <f t="shared" si="1"/>
        <v>2261.124113429978</v>
      </c>
      <c r="I17" s="2">
        <f t="shared" si="2"/>
        <v>41509.124113429978</v>
      </c>
      <c r="J17" s="46"/>
      <c r="K17" s="31">
        <f t="shared" si="12"/>
        <v>7650.8547293287329</v>
      </c>
      <c r="L17" s="2">
        <f t="shared" si="5"/>
        <v>2400</v>
      </c>
      <c r="M17" s="2">
        <v>0</v>
      </c>
      <c r="N17" s="2">
        <f t="shared" si="6"/>
        <v>469.4836115076796</v>
      </c>
      <c r="O17" s="2">
        <f t="shared" si="7"/>
        <v>10520.338340836413</v>
      </c>
      <c r="P17" s="40"/>
      <c r="Q17" s="45">
        <f t="shared" si="13"/>
        <v>7650.8547293287329</v>
      </c>
      <c r="R17" s="2">
        <f t="shared" si="8"/>
        <v>2400</v>
      </c>
      <c r="S17" s="2">
        <v>0</v>
      </c>
      <c r="T17" s="2">
        <f t="shared" si="9"/>
        <v>469.4836115076796</v>
      </c>
      <c r="U17" s="13">
        <f t="shared" si="10"/>
        <v>10520.338340836413</v>
      </c>
      <c r="V17" s="40"/>
      <c r="W17" s="55">
        <f t="shared" si="14"/>
        <v>62549.800795102812</v>
      </c>
      <c r="X17" s="45">
        <f t="shared" si="11"/>
        <v>0</v>
      </c>
      <c r="Y17" s="46">
        <f t="shared" si="15"/>
        <v>0</v>
      </c>
    </row>
    <row r="18" spans="1:25" x14ac:dyDescent="0.3">
      <c r="C18">
        <f t="shared" si="16"/>
        <v>2026</v>
      </c>
      <c r="D18" s="27">
        <f t="shared" si="3"/>
        <v>10</v>
      </c>
      <c r="E18" s="45">
        <f t="shared" si="4"/>
        <v>41509.124113429978</v>
      </c>
      <c r="F18" s="2">
        <f t="shared" si="0"/>
        <v>2400</v>
      </c>
      <c r="G18" s="2">
        <v>0</v>
      </c>
      <c r="H18" s="2">
        <f t="shared" si="1"/>
        <v>2547.1472389338451</v>
      </c>
      <c r="I18" s="2">
        <f t="shared" si="2"/>
        <v>46456.271352363823</v>
      </c>
      <c r="J18" s="46"/>
      <c r="K18" s="31">
        <f t="shared" si="12"/>
        <v>10520.338340836413</v>
      </c>
      <c r="L18" s="2">
        <f t="shared" si="5"/>
        <v>2400</v>
      </c>
      <c r="M18" s="2">
        <v>0</v>
      </c>
      <c r="N18" s="2">
        <f t="shared" si="6"/>
        <v>645.56531437003832</v>
      </c>
      <c r="O18" s="2">
        <f t="shared" si="7"/>
        <v>13565.903655206452</v>
      </c>
      <c r="P18" s="40"/>
      <c r="Q18" s="45">
        <f t="shared" si="13"/>
        <v>10520.338340836413</v>
      </c>
      <c r="R18" s="2">
        <f t="shared" si="8"/>
        <v>2400</v>
      </c>
      <c r="S18" s="2">
        <v>0</v>
      </c>
      <c r="T18" s="2">
        <f t="shared" si="9"/>
        <v>645.56531437003832</v>
      </c>
      <c r="U18" s="13">
        <f t="shared" si="10"/>
        <v>13565.903655206452</v>
      </c>
      <c r="V18" s="40"/>
      <c r="W18" s="55">
        <f t="shared" ref="W18:W36" si="17">SUM(I18+O18+U18)-X18</f>
        <v>73588.078662776723</v>
      </c>
      <c r="X18" s="45">
        <f t="shared" si="11"/>
        <v>0</v>
      </c>
      <c r="Y18" s="46">
        <f t="shared" si="15"/>
        <v>0</v>
      </c>
    </row>
    <row r="19" spans="1:25" x14ac:dyDescent="0.3">
      <c r="C19">
        <f t="shared" si="16"/>
        <v>2027</v>
      </c>
      <c r="D19" s="27">
        <f t="shared" si="3"/>
        <v>11</v>
      </c>
      <c r="E19" s="45">
        <f t="shared" si="4"/>
        <v>46456.271352363823</v>
      </c>
      <c r="F19" s="2">
        <f t="shared" si="0"/>
        <v>2400</v>
      </c>
      <c r="G19" s="2">
        <v>0</v>
      </c>
      <c r="H19" s="2">
        <f t="shared" si="1"/>
        <v>2850.7217589794891</v>
      </c>
      <c r="I19" s="2">
        <f t="shared" si="2"/>
        <v>51706.993111343312</v>
      </c>
      <c r="J19" s="46"/>
      <c r="K19" s="31">
        <f t="shared" si="12"/>
        <v>13565.903655206452</v>
      </c>
      <c r="L19" s="2">
        <f t="shared" si="5"/>
        <v>2400</v>
      </c>
      <c r="M19" s="2">
        <v>0</v>
      </c>
      <c r="N19" s="2">
        <f t="shared" si="6"/>
        <v>832.45201572012593</v>
      </c>
      <c r="O19" s="2">
        <f t="shared" si="7"/>
        <v>16798.355670926576</v>
      </c>
      <c r="P19" s="40"/>
      <c r="Q19" s="45">
        <f t="shared" si="13"/>
        <v>13565.903655206452</v>
      </c>
      <c r="R19" s="2">
        <f t="shared" si="8"/>
        <v>2400</v>
      </c>
      <c r="S19" s="2">
        <v>0</v>
      </c>
      <c r="T19" s="2">
        <f t="shared" si="9"/>
        <v>832.45201572012593</v>
      </c>
      <c r="U19" s="13">
        <f t="shared" si="10"/>
        <v>16798.355670926576</v>
      </c>
      <c r="V19" s="40"/>
      <c r="W19" s="55">
        <f t="shared" si="17"/>
        <v>85303.704453196464</v>
      </c>
      <c r="X19" s="45">
        <f t="shared" si="11"/>
        <v>0</v>
      </c>
      <c r="Y19" s="46">
        <f t="shared" si="15"/>
        <v>0</v>
      </c>
    </row>
    <row r="20" spans="1:25" x14ac:dyDescent="0.3">
      <c r="C20">
        <f t="shared" si="16"/>
        <v>2028</v>
      </c>
      <c r="D20" s="27">
        <f t="shared" si="3"/>
        <v>12</v>
      </c>
      <c r="E20" s="45">
        <f t="shared" si="4"/>
        <v>51706.993111343312</v>
      </c>
      <c r="F20" s="2">
        <f t="shared" si="0"/>
        <v>2400</v>
      </c>
      <c r="G20" s="2">
        <v>0</v>
      </c>
      <c r="H20" s="2">
        <f t="shared" si="1"/>
        <v>3172.9246894544121</v>
      </c>
      <c r="I20" s="2">
        <f t="shared" si="2"/>
        <v>57279.917800797724</v>
      </c>
      <c r="J20" s="46"/>
      <c r="K20" s="31">
        <f t="shared" si="12"/>
        <v>16798.355670926576</v>
      </c>
      <c r="L20" s="2">
        <f t="shared" si="5"/>
        <v>2400</v>
      </c>
      <c r="M20" s="2">
        <v>0</v>
      </c>
      <c r="N20" s="2">
        <f t="shared" si="6"/>
        <v>1030.8067486296495</v>
      </c>
      <c r="O20" s="2">
        <f t="shared" si="7"/>
        <v>20229.162419556225</v>
      </c>
      <c r="P20" s="40"/>
      <c r="Q20" s="45">
        <f t="shared" si="13"/>
        <v>16798.355670926576</v>
      </c>
      <c r="R20" s="2">
        <f t="shared" si="8"/>
        <v>2400</v>
      </c>
      <c r="S20" s="2">
        <v>0</v>
      </c>
      <c r="T20" s="2">
        <f t="shared" si="9"/>
        <v>1030.8067486296495</v>
      </c>
      <c r="U20" s="13">
        <f t="shared" si="10"/>
        <v>20229.162419556225</v>
      </c>
      <c r="V20" s="40"/>
      <c r="W20" s="55">
        <f t="shared" si="17"/>
        <v>97738.242639910168</v>
      </c>
      <c r="X20" s="45">
        <f t="shared" si="11"/>
        <v>0</v>
      </c>
      <c r="Y20" s="46">
        <f t="shared" si="15"/>
        <v>0</v>
      </c>
    </row>
    <row r="21" spans="1:25" x14ac:dyDescent="0.3">
      <c r="C21">
        <f t="shared" si="16"/>
        <v>2029</v>
      </c>
      <c r="D21" s="27">
        <f t="shared" si="3"/>
        <v>13</v>
      </c>
      <c r="E21" s="45">
        <f t="shared" si="4"/>
        <v>57279.917800797724</v>
      </c>
      <c r="F21" s="2">
        <f t="shared" si="0"/>
        <v>2400</v>
      </c>
      <c r="G21" s="2">
        <v>0</v>
      </c>
      <c r="H21" s="2">
        <f t="shared" si="1"/>
        <v>3514.8991357650593</v>
      </c>
      <c r="I21" s="2">
        <f t="shared" si="2"/>
        <v>63194.816936562784</v>
      </c>
      <c r="J21" s="46"/>
      <c r="K21" s="31">
        <f t="shared" si="12"/>
        <v>20229.162419556225</v>
      </c>
      <c r="L21" s="2">
        <f t="shared" si="5"/>
        <v>2400</v>
      </c>
      <c r="M21" s="2">
        <v>0</v>
      </c>
      <c r="N21" s="2">
        <f t="shared" si="6"/>
        <v>1241.3332322337737</v>
      </c>
      <c r="O21" s="2">
        <f t="shared" si="7"/>
        <v>23870.495651789999</v>
      </c>
      <c r="P21" s="40"/>
      <c r="Q21" s="45">
        <f t="shared" si="13"/>
        <v>20229.162419556225</v>
      </c>
      <c r="R21" s="2">
        <f t="shared" si="8"/>
        <v>2400</v>
      </c>
      <c r="S21" s="2">
        <v>0</v>
      </c>
      <c r="T21" s="2">
        <f t="shared" si="9"/>
        <v>1241.3332322337737</v>
      </c>
      <c r="U21" s="13">
        <f t="shared" si="10"/>
        <v>23870.495651789999</v>
      </c>
      <c r="V21" s="40"/>
      <c r="W21" s="55">
        <f t="shared" si="17"/>
        <v>110935.80824014278</v>
      </c>
      <c r="X21" s="45">
        <f t="shared" si="11"/>
        <v>0</v>
      </c>
      <c r="Y21" s="46">
        <f t="shared" si="15"/>
        <v>0</v>
      </c>
    </row>
    <row r="22" spans="1:25" x14ac:dyDescent="0.3">
      <c r="C22">
        <f t="shared" si="16"/>
        <v>2030</v>
      </c>
      <c r="D22" s="27">
        <f t="shared" si="3"/>
        <v>14</v>
      </c>
      <c r="E22" s="45">
        <f t="shared" si="4"/>
        <v>63194.816936562784</v>
      </c>
      <c r="F22" s="2">
        <f t="shared" si="0"/>
        <v>2400</v>
      </c>
      <c r="G22" s="2">
        <v>0</v>
      </c>
      <c r="H22" s="2">
        <f t="shared" si="1"/>
        <v>3877.8583483243419</v>
      </c>
      <c r="I22" s="2">
        <f t="shared" si="2"/>
        <v>69472.675284887126</v>
      </c>
      <c r="J22" s="46"/>
      <c r="K22" s="31">
        <f t="shared" si="12"/>
        <v>23870.495651789999</v>
      </c>
      <c r="L22" s="2">
        <f t="shared" si="5"/>
        <v>2400</v>
      </c>
      <c r="M22" s="2">
        <v>0</v>
      </c>
      <c r="N22" s="2">
        <f t="shared" si="6"/>
        <v>1464.7783683724447</v>
      </c>
      <c r="O22" s="2">
        <f t="shared" si="7"/>
        <v>27735.274020162444</v>
      </c>
      <c r="P22" s="40"/>
      <c r="Q22" s="45">
        <f t="shared" si="13"/>
        <v>23870.495651789999</v>
      </c>
      <c r="R22" s="2">
        <f t="shared" si="8"/>
        <v>2400</v>
      </c>
      <c r="S22" s="2">
        <v>0</v>
      </c>
      <c r="T22" s="2">
        <f t="shared" si="9"/>
        <v>1464.7783683724447</v>
      </c>
      <c r="U22" s="13">
        <f t="shared" si="10"/>
        <v>27735.274020162444</v>
      </c>
      <c r="V22" s="40"/>
      <c r="W22" s="55">
        <f t="shared" si="17"/>
        <v>124943.22332521201</v>
      </c>
      <c r="X22" s="45">
        <f t="shared" si="11"/>
        <v>0</v>
      </c>
      <c r="Y22" s="46">
        <f t="shared" si="15"/>
        <v>0</v>
      </c>
    </row>
    <row r="23" spans="1:25" x14ac:dyDescent="0.3">
      <c r="C23">
        <f t="shared" si="16"/>
        <v>2031</v>
      </c>
      <c r="D23" s="27">
        <f t="shared" si="3"/>
        <v>15</v>
      </c>
      <c r="E23" s="45">
        <f t="shared" si="4"/>
        <v>69472.675284887126</v>
      </c>
      <c r="F23" s="2">
        <f t="shared" si="0"/>
        <v>2400</v>
      </c>
      <c r="G23" s="2">
        <v>0</v>
      </c>
      <c r="H23" s="2">
        <f t="shared" si="1"/>
        <v>4263.0900268983241</v>
      </c>
      <c r="I23" s="2">
        <f t="shared" si="2"/>
        <v>76135.76531178545</v>
      </c>
      <c r="J23" s="46"/>
      <c r="K23" s="31">
        <f t="shared" si="12"/>
        <v>27735.274020162444</v>
      </c>
      <c r="L23" s="2">
        <f t="shared" si="5"/>
        <v>2400</v>
      </c>
      <c r="M23" s="2">
        <v>0</v>
      </c>
      <c r="N23" s="2">
        <f t="shared" si="6"/>
        <v>1701.93489143447</v>
      </c>
      <c r="O23" s="2">
        <f t="shared" si="7"/>
        <v>31837.208911596914</v>
      </c>
      <c r="P23" s="40"/>
      <c r="Q23" s="45">
        <f t="shared" si="13"/>
        <v>27735.274020162444</v>
      </c>
      <c r="R23" s="2">
        <f t="shared" si="8"/>
        <v>2400</v>
      </c>
      <c r="S23" s="2">
        <v>0</v>
      </c>
      <c r="T23" s="2">
        <f t="shared" si="9"/>
        <v>1701.93489143447</v>
      </c>
      <c r="U23" s="13">
        <f t="shared" si="10"/>
        <v>31837.208911596914</v>
      </c>
      <c r="V23" s="40"/>
      <c r="W23" s="55">
        <f t="shared" si="17"/>
        <v>139810.18313497928</v>
      </c>
      <c r="X23" s="45">
        <f t="shared" si="11"/>
        <v>0</v>
      </c>
      <c r="Y23" s="46">
        <f t="shared" si="15"/>
        <v>0</v>
      </c>
    </row>
    <row r="24" spans="1:25" x14ac:dyDescent="0.3">
      <c r="C24">
        <f t="shared" si="16"/>
        <v>2032</v>
      </c>
      <c r="D24" s="27">
        <f t="shared" si="3"/>
        <v>16</v>
      </c>
      <c r="E24" s="45">
        <f t="shared" si="4"/>
        <v>76135.76531178545</v>
      </c>
      <c r="F24" s="2">
        <f t="shared" si="0"/>
        <v>2400</v>
      </c>
      <c r="G24" s="2">
        <v>0</v>
      </c>
      <c r="H24" s="2">
        <f t="shared" si="1"/>
        <v>4671.960889082824</v>
      </c>
      <c r="I24" s="2">
        <f t="shared" si="2"/>
        <v>83207.726200868274</v>
      </c>
      <c r="J24" s="46"/>
      <c r="K24" s="31">
        <f t="shared" si="12"/>
        <v>31837.208911596914</v>
      </c>
      <c r="L24" s="2">
        <f t="shared" si="5"/>
        <v>2400</v>
      </c>
      <c r="M24" s="2">
        <v>0</v>
      </c>
      <c r="N24" s="2">
        <f t="shared" si="6"/>
        <v>1953.6441808054587</v>
      </c>
      <c r="O24" s="2">
        <f t="shared" si="7"/>
        <v>36190.853092402373</v>
      </c>
      <c r="P24" s="40"/>
      <c r="Q24" s="45">
        <f t="shared" si="13"/>
        <v>31837.208911596914</v>
      </c>
      <c r="R24" s="2">
        <f t="shared" si="8"/>
        <v>2400</v>
      </c>
      <c r="S24" s="2">
        <v>0</v>
      </c>
      <c r="T24" s="2">
        <f t="shared" si="9"/>
        <v>1953.6441808054587</v>
      </c>
      <c r="U24" s="13">
        <f t="shared" si="10"/>
        <v>36190.853092402373</v>
      </c>
      <c r="V24" s="40"/>
      <c r="W24" s="55">
        <f t="shared" si="17"/>
        <v>155589.43238567302</v>
      </c>
      <c r="X24" s="45">
        <f t="shared" si="11"/>
        <v>0</v>
      </c>
      <c r="Y24" s="46">
        <f t="shared" si="15"/>
        <v>0</v>
      </c>
    </row>
    <row r="25" spans="1:25" x14ac:dyDescent="0.3">
      <c r="C25">
        <f t="shared" si="16"/>
        <v>2033</v>
      </c>
      <c r="D25" s="27">
        <f t="shared" si="3"/>
        <v>17</v>
      </c>
      <c r="E25" s="45">
        <f t="shared" si="4"/>
        <v>83207.726200868274</v>
      </c>
      <c r="F25" s="2">
        <f t="shared" si="0"/>
        <v>2400</v>
      </c>
      <c r="G25" s="2">
        <v>0</v>
      </c>
      <c r="H25" s="2">
        <f t="shared" si="1"/>
        <v>5105.9215191180701</v>
      </c>
      <c r="I25" s="2">
        <f t="shared" si="2"/>
        <v>90713.647719986344</v>
      </c>
      <c r="J25" s="46"/>
      <c r="K25" s="31">
        <f t="shared" si="12"/>
        <v>36190.853092402373</v>
      </c>
      <c r="L25" s="2">
        <f t="shared" si="5"/>
        <v>2400</v>
      </c>
      <c r="M25" s="2">
        <v>0</v>
      </c>
      <c r="N25" s="2">
        <f t="shared" si="6"/>
        <v>2220.7992458975496</v>
      </c>
      <c r="O25" s="2">
        <f t="shared" si="7"/>
        <v>40811.652338299922</v>
      </c>
      <c r="P25" s="40"/>
      <c r="Q25" s="45">
        <f t="shared" si="13"/>
        <v>36190.853092402373</v>
      </c>
      <c r="R25" s="2">
        <f t="shared" si="8"/>
        <v>2400</v>
      </c>
      <c r="S25" s="2">
        <v>0</v>
      </c>
      <c r="T25" s="2">
        <f t="shared" si="9"/>
        <v>2220.7992458975496</v>
      </c>
      <c r="U25" s="13">
        <f t="shared" si="10"/>
        <v>40811.652338299922</v>
      </c>
      <c r="V25" s="40"/>
      <c r="W25" s="55">
        <f t="shared" si="17"/>
        <v>172336.95239658619</v>
      </c>
      <c r="X25" s="45">
        <f t="shared" si="11"/>
        <v>0</v>
      </c>
      <c r="Y25" s="46">
        <f t="shared" si="15"/>
        <v>0</v>
      </c>
    </row>
    <row r="26" spans="1:25" x14ac:dyDescent="0.3">
      <c r="A26" t="s">
        <v>69</v>
      </c>
      <c r="B26" s="57">
        <v>49280</v>
      </c>
      <c r="C26">
        <f t="shared" si="16"/>
        <v>2034</v>
      </c>
      <c r="D26" s="27">
        <f t="shared" si="3"/>
        <v>18</v>
      </c>
      <c r="E26" s="45">
        <f t="shared" si="4"/>
        <v>90713.647719986344</v>
      </c>
      <c r="F26" s="2">
        <f t="shared" si="0"/>
        <v>2400</v>
      </c>
      <c r="G26" s="2">
        <v>0</v>
      </c>
      <c r="H26" s="2">
        <f>E26*(1+($E$2/$E$5))^($E$5*$E$6)-E26</f>
        <v>5566.5115142437426</v>
      </c>
      <c r="I26" s="2">
        <f t="shared" si="2"/>
        <v>98680.159234230086</v>
      </c>
      <c r="J26" s="46"/>
      <c r="K26" s="31">
        <f t="shared" si="12"/>
        <v>40811.652338299922</v>
      </c>
      <c r="L26" s="2">
        <f t="shared" si="5"/>
        <v>2400</v>
      </c>
      <c r="M26" s="2">
        <v>0</v>
      </c>
      <c r="N26" s="2">
        <f t="shared" si="6"/>
        <v>2504.3478943511436</v>
      </c>
      <c r="O26" s="2">
        <f t="shared" si="7"/>
        <v>45716.000232651066</v>
      </c>
      <c r="P26" s="40"/>
      <c r="Q26" s="45">
        <f t="shared" si="13"/>
        <v>40811.652338299922</v>
      </c>
      <c r="R26" s="2">
        <f t="shared" si="8"/>
        <v>2400</v>
      </c>
      <c r="S26" s="2">
        <v>0</v>
      </c>
      <c r="T26" s="2">
        <f t="shared" si="9"/>
        <v>2504.3478943511436</v>
      </c>
      <c r="U26" s="13">
        <f t="shared" si="10"/>
        <v>45716.000232651066</v>
      </c>
      <c r="V26" s="40"/>
      <c r="W26" s="55">
        <f t="shared" si="17"/>
        <v>190112.15969953223</v>
      </c>
      <c r="X26" s="45">
        <f t="shared" si="11"/>
        <v>0</v>
      </c>
      <c r="Y26" s="46">
        <f t="shared" si="15"/>
        <v>0</v>
      </c>
    </row>
    <row r="27" spans="1:25" x14ac:dyDescent="0.3">
      <c r="C27">
        <f t="shared" si="16"/>
        <v>2035</v>
      </c>
      <c r="D27" s="27">
        <f t="shared" si="3"/>
        <v>19</v>
      </c>
      <c r="E27" s="45">
        <f t="shared" si="4"/>
        <v>98680.159234230086</v>
      </c>
      <c r="F27" s="2">
        <f t="shared" si="0"/>
        <v>2400</v>
      </c>
      <c r="G27" s="2">
        <f>$E$4</f>
        <v>25000</v>
      </c>
      <c r="H27" s="2">
        <f t="shared" si="1"/>
        <v>6055.3649468526855</v>
      </c>
      <c r="I27" s="2">
        <f>H27+F27+E27-G27</f>
        <v>82135.524181082772</v>
      </c>
      <c r="J27" s="46"/>
      <c r="K27" s="31">
        <f t="shared" si="12"/>
        <v>45716.000232651066</v>
      </c>
      <c r="L27" s="2">
        <f t="shared" si="5"/>
        <v>2400</v>
      </c>
      <c r="M27" s="2">
        <v>0</v>
      </c>
      <c r="N27" s="2">
        <f t="shared" si="6"/>
        <v>2805.2960946487729</v>
      </c>
      <c r="O27" s="2">
        <f t="shared" si="7"/>
        <v>50921.296327299839</v>
      </c>
      <c r="P27" s="50"/>
      <c r="Q27" s="45">
        <f t="shared" si="13"/>
        <v>45716.000232651066</v>
      </c>
      <c r="R27" s="2">
        <f t="shared" si="8"/>
        <v>2400</v>
      </c>
      <c r="S27" s="2">
        <v>0</v>
      </c>
      <c r="T27" s="2">
        <f t="shared" si="9"/>
        <v>2805.2960946487729</v>
      </c>
      <c r="U27" s="13">
        <f t="shared" si="10"/>
        <v>50921.296327299839</v>
      </c>
      <c r="V27" s="40"/>
      <c r="W27" s="55">
        <f t="shared" si="17"/>
        <v>158978.11683568245</v>
      </c>
      <c r="X27" s="45">
        <f t="shared" si="11"/>
        <v>25000</v>
      </c>
      <c r="Y27" s="46">
        <f t="shared" si="15"/>
        <v>0</v>
      </c>
    </row>
    <row r="28" spans="1:25" x14ac:dyDescent="0.3">
      <c r="A28" t="s">
        <v>71</v>
      </c>
      <c r="B28" s="57">
        <v>49879</v>
      </c>
      <c r="C28">
        <f t="shared" si="16"/>
        <v>2036</v>
      </c>
      <c r="D28" s="27">
        <f t="shared" si="3"/>
        <v>20</v>
      </c>
      <c r="E28" s="45">
        <f t="shared" si="4"/>
        <v>82135.524181082772</v>
      </c>
      <c r="F28" s="2">
        <f t="shared" si="0"/>
        <v>2400</v>
      </c>
      <c r="G28" s="2">
        <f>$E$4</f>
        <v>25000</v>
      </c>
      <c r="H28" s="2">
        <f t="shared" si="1"/>
        <v>5040.1273961967381</v>
      </c>
      <c r="I28" s="2">
        <f t="shared" ref="I28:I32" si="18">H28+F28+E28-G28</f>
        <v>64575.65157727951</v>
      </c>
      <c r="J28" s="46"/>
      <c r="K28" s="31">
        <f t="shared" si="12"/>
        <v>50921.296327299839</v>
      </c>
      <c r="L28" s="2">
        <f t="shared" si="5"/>
        <v>2400</v>
      </c>
      <c r="M28" s="2">
        <f>$E$4</f>
        <v>25000</v>
      </c>
      <c r="N28" s="2">
        <f t="shared" si="6"/>
        <v>3124.7115450708588</v>
      </c>
      <c r="O28" s="2">
        <f t="shared" si="7"/>
        <v>31446.007872370697</v>
      </c>
      <c r="P28" s="50"/>
      <c r="Q28" s="45">
        <f t="shared" si="13"/>
        <v>50921.296327299839</v>
      </c>
      <c r="R28" s="2">
        <f t="shared" si="8"/>
        <v>2400</v>
      </c>
      <c r="S28" s="2">
        <v>0</v>
      </c>
      <c r="T28" s="2">
        <f t="shared" si="9"/>
        <v>3124.7115450708588</v>
      </c>
      <c r="U28" s="13">
        <f t="shared" si="10"/>
        <v>56446.007872370697</v>
      </c>
      <c r="V28" s="40"/>
      <c r="W28" s="55">
        <f t="shared" si="17"/>
        <v>102467.66732202092</v>
      </c>
      <c r="X28" s="45">
        <f t="shared" si="11"/>
        <v>50000</v>
      </c>
      <c r="Y28" s="46">
        <f t="shared" si="15"/>
        <v>0</v>
      </c>
    </row>
    <row r="29" spans="1:25" x14ac:dyDescent="0.3">
      <c r="C29">
        <f t="shared" si="16"/>
        <v>2037</v>
      </c>
      <c r="D29" s="27">
        <f t="shared" si="3"/>
        <v>21</v>
      </c>
      <c r="E29" s="45">
        <f t="shared" si="4"/>
        <v>64575.65157727951</v>
      </c>
      <c r="F29" s="2">
        <f t="shared" si="0"/>
        <v>2400</v>
      </c>
      <c r="G29" s="2">
        <f>$E$4</f>
        <v>25000</v>
      </c>
      <c r="H29" s="2">
        <f t="shared" si="1"/>
        <v>3962.5912647047226</v>
      </c>
      <c r="I29" s="2">
        <f t="shared" si="18"/>
        <v>45938.242841984233</v>
      </c>
      <c r="J29" s="46"/>
      <c r="K29" s="31">
        <f t="shared" si="12"/>
        <v>31446.007872370697</v>
      </c>
      <c r="L29" s="2">
        <f t="shared" si="5"/>
        <v>2400</v>
      </c>
      <c r="M29" s="2">
        <f>$E$4</f>
        <v>25000</v>
      </c>
      <c r="N29" s="2">
        <f t="shared" si="6"/>
        <v>1929.6386960303498</v>
      </c>
      <c r="O29" s="2">
        <f t="shared" si="7"/>
        <v>10775.646568401047</v>
      </c>
      <c r="P29" s="50"/>
      <c r="Q29" s="45">
        <f t="shared" si="13"/>
        <v>56446.007872370697</v>
      </c>
      <c r="R29" s="2">
        <f t="shared" si="8"/>
        <v>2400</v>
      </c>
      <c r="S29" s="2">
        <v>0</v>
      </c>
      <c r="T29" s="2">
        <f t="shared" si="9"/>
        <v>3463.7274616553332</v>
      </c>
      <c r="U29" s="13">
        <f t="shared" si="10"/>
        <v>62309.735334026031</v>
      </c>
      <c r="V29" s="40"/>
      <c r="W29" s="55">
        <f t="shared" si="17"/>
        <v>69023.624744411311</v>
      </c>
      <c r="X29" s="45">
        <f t="shared" si="11"/>
        <v>50000</v>
      </c>
      <c r="Y29" s="46">
        <f t="shared" si="15"/>
        <v>0</v>
      </c>
    </row>
    <row r="30" spans="1:25" x14ac:dyDescent="0.3">
      <c r="A30" t="s">
        <v>70</v>
      </c>
      <c r="B30" s="57">
        <v>50741</v>
      </c>
      <c r="C30">
        <f t="shared" si="16"/>
        <v>2038</v>
      </c>
      <c r="D30" s="27">
        <f t="shared" si="3"/>
        <v>22</v>
      </c>
      <c r="E30" s="45">
        <f t="shared" si="4"/>
        <v>45938.242841984233</v>
      </c>
      <c r="F30" s="2">
        <f t="shared" si="0"/>
        <v>2400</v>
      </c>
      <c r="G30" s="2">
        <f>$E$4</f>
        <v>25000</v>
      </c>
      <c r="H30" s="2">
        <f t="shared" si="1"/>
        <v>2818.9336902576179</v>
      </c>
      <c r="I30" s="2">
        <f t="shared" si="18"/>
        <v>26157.176532241851</v>
      </c>
      <c r="J30" s="46"/>
      <c r="K30" s="31">
        <f t="shared" si="12"/>
        <v>10775.646568401047</v>
      </c>
      <c r="L30" s="2">
        <f t="shared" si="5"/>
        <v>2400</v>
      </c>
      <c r="M30" s="2">
        <f>$E$4</f>
        <v>25000</v>
      </c>
      <c r="N30" s="2">
        <f t="shared" si="6"/>
        <v>661.23193371717934</v>
      </c>
      <c r="O30" s="2">
        <f t="shared" si="7"/>
        <v>-11163.121497881773</v>
      </c>
      <c r="P30" s="50"/>
      <c r="Q30" s="45">
        <f t="shared" si="13"/>
        <v>62309.735334026031</v>
      </c>
      <c r="R30" s="2">
        <f t="shared" si="8"/>
        <v>2400</v>
      </c>
      <c r="S30" s="2">
        <v>0</v>
      </c>
      <c r="T30" s="2">
        <f t="shared" si="9"/>
        <v>3823.5465985998162</v>
      </c>
      <c r="U30" s="13">
        <f t="shared" si="10"/>
        <v>68533.281932625847</v>
      </c>
      <c r="V30" s="40"/>
      <c r="W30" s="55">
        <f t="shared" si="17"/>
        <v>33527.336966985924</v>
      </c>
      <c r="X30" s="45">
        <f t="shared" si="11"/>
        <v>50000</v>
      </c>
      <c r="Y30" s="46">
        <f t="shared" si="15"/>
        <v>0</v>
      </c>
    </row>
    <row r="31" spans="1:25" x14ac:dyDescent="0.3">
      <c r="A31" t="s">
        <v>72</v>
      </c>
      <c r="B31" s="57">
        <v>51066</v>
      </c>
      <c r="C31">
        <f t="shared" si="16"/>
        <v>2039</v>
      </c>
      <c r="D31" s="27">
        <f t="shared" si="3"/>
        <v>23</v>
      </c>
      <c r="E31" s="45">
        <f t="shared" si="4"/>
        <v>26157.176532241851</v>
      </c>
      <c r="F31" s="2">
        <f t="shared" si="0"/>
        <v>2400</v>
      </c>
      <c r="G31" s="2">
        <f>$E$4</f>
        <v>25000</v>
      </c>
      <c r="H31" s="2">
        <f t="shared" ref="H31:H32" si="19">E31*(1+($E$2/$E$5))^($E$5*$E$6)-E31</f>
        <v>1605.0972263432704</v>
      </c>
      <c r="I31" s="4">
        <f t="shared" si="18"/>
        <v>5162.273758585121</v>
      </c>
      <c r="J31" s="46"/>
      <c r="K31" s="31">
        <f t="shared" si="12"/>
        <v>0</v>
      </c>
      <c r="L31" s="2">
        <f t="shared" si="5"/>
        <v>2400</v>
      </c>
      <c r="M31" s="2">
        <f>$E$4</f>
        <v>25000</v>
      </c>
      <c r="N31" s="2">
        <f t="shared" si="6"/>
        <v>0</v>
      </c>
      <c r="O31" s="2">
        <f t="shared" si="7"/>
        <v>-22600</v>
      </c>
      <c r="P31" s="50"/>
      <c r="Q31" s="45">
        <f t="shared" si="13"/>
        <v>68533.281932625847</v>
      </c>
      <c r="R31" s="2">
        <f t="shared" si="8"/>
        <v>2400</v>
      </c>
      <c r="S31" s="2">
        <f>$E$4</f>
        <v>25000</v>
      </c>
      <c r="T31" s="2">
        <f t="shared" si="9"/>
        <v>4205.4455153700401</v>
      </c>
      <c r="U31" s="13">
        <f t="shared" si="10"/>
        <v>50138.727447995887</v>
      </c>
      <c r="V31" s="40"/>
      <c r="W31" s="55">
        <f>SUM(I31+O31+U31)-X31</f>
        <v>-42298.998793418992</v>
      </c>
      <c r="X31" s="45">
        <f t="shared" si="11"/>
        <v>75000</v>
      </c>
      <c r="Y31" s="46">
        <f t="shared" si="15"/>
        <v>0</v>
      </c>
    </row>
    <row r="32" spans="1:25" x14ac:dyDescent="0.3">
      <c r="A32" t="s">
        <v>74</v>
      </c>
      <c r="B32" s="57">
        <v>51340</v>
      </c>
      <c r="C32">
        <f t="shared" si="16"/>
        <v>2040</v>
      </c>
      <c r="D32" s="27">
        <f t="shared" si="3"/>
        <v>24</v>
      </c>
      <c r="E32" s="45">
        <f t="shared" si="4"/>
        <v>5162.273758585121</v>
      </c>
      <c r="F32" s="2"/>
      <c r="G32" s="2"/>
      <c r="H32" s="2">
        <f t="shared" si="19"/>
        <v>316.77544712504459</v>
      </c>
      <c r="I32" s="2">
        <f t="shared" si="18"/>
        <v>5479.0492057101656</v>
      </c>
      <c r="J32" s="46"/>
      <c r="K32" s="31">
        <f t="shared" si="12"/>
        <v>0</v>
      </c>
      <c r="L32" s="2">
        <f t="shared" si="5"/>
        <v>2400</v>
      </c>
      <c r="M32" s="2">
        <f>$E$4</f>
        <v>25000</v>
      </c>
      <c r="N32" s="2">
        <f t="shared" si="6"/>
        <v>0</v>
      </c>
      <c r="O32" s="2">
        <f t="shared" si="7"/>
        <v>-22600</v>
      </c>
      <c r="P32" s="50"/>
      <c r="Q32" s="45">
        <f t="shared" si="13"/>
        <v>50138.727447995887</v>
      </c>
      <c r="R32" s="2">
        <f t="shared" si="8"/>
        <v>2400</v>
      </c>
      <c r="S32" s="2">
        <f>$E$4</f>
        <v>25000</v>
      </c>
      <c r="T32" s="2">
        <f t="shared" si="9"/>
        <v>3076.6903400281444</v>
      </c>
      <c r="U32" s="13">
        <f t="shared" si="10"/>
        <v>30615.417788024031</v>
      </c>
      <c r="V32" s="40"/>
      <c r="W32" s="55">
        <f t="shared" si="17"/>
        <v>-36505.533006265803</v>
      </c>
      <c r="X32" s="45">
        <f t="shared" si="11"/>
        <v>50000</v>
      </c>
      <c r="Y32" s="46">
        <f t="shared" si="15"/>
        <v>0</v>
      </c>
    </row>
    <row r="33" spans="1:25" x14ac:dyDescent="0.3">
      <c r="C33">
        <f t="shared" si="16"/>
        <v>2041</v>
      </c>
      <c r="D33" s="27">
        <f t="shared" si="3"/>
        <v>25</v>
      </c>
      <c r="E33" s="45"/>
      <c r="F33" s="2"/>
      <c r="G33" s="2"/>
      <c r="H33" s="2"/>
      <c r="I33" s="2"/>
      <c r="J33" s="46"/>
      <c r="K33" s="31">
        <f t="shared" si="12"/>
        <v>0</v>
      </c>
      <c r="L33" s="2"/>
      <c r="M33" s="2"/>
      <c r="N33" s="2">
        <f t="shared" si="6"/>
        <v>0</v>
      </c>
      <c r="O33" s="2">
        <f t="shared" si="7"/>
        <v>0</v>
      </c>
      <c r="P33" s="50"/>
      <c r="Q33" s="45">
        <f t="shared" si="13"/>
        <v>30615.417788024031</v>
      </c>
      <c r="R33" s="2">
        <f t="shared" si="8"/>
        <v>2400</v>
      </c>
      <c r="S33" s="2">
        <f>$E$4</f>
        <v>25000</v>
      </c>
      <c r="T33" s="2">
        <f t="shared" si="9"/>
        <v>1878.6707393409197</v>
      </c>
      <c r="U33" s="13">
        <f t="shared" si="10"/>
        <v>9894.0885273649474</v>
      </c>
      <c r="V33" s="40"/>
      <c r="W33" s="55">
        <f t="shared" si="17"/>
        <v>-15105.911472635053</v>
      </c>
      <c r="X33" s="45">
        <f t="shared" si="11"/>
        <v>25000</v>
      </c>
      <c r="Y33" s="46">
        <f t="shared" si="15"/>
        <v>0</v>
      </c>
    </row>
    <row r="34" spans="1:25" ht="15" thickBot="1" x14ac:dyDescent="0.35">
      <c r="C34">
        <f t="shared" si="16"/>
        <v>2042</v>
      </c>
      <c r="D34" s="27">
        <f t="shared" si="3"/>
        <v>26</v>
      </c>
      <c r="E34" s="47"/>
      <c r="F34" s="48"/>
      <c r="G34" s="48"/>
      <c r="H34" s="48"/>
      <c r="I34" s="48"/>
      <c r="J34" s="49"/>
      <c r="K34" s="31"/>
      <c r="L34" s="2"/>
      <c r="M34" s="2"/>
      <c r="N34" s="2"/>
      <c r="O34" s="2"/>
      <c r="P34" s="40"/>
      <c r="Q34" s="45">
        <f t="shared" si="13"/>
        <v>9894.0885273649474</v>
      </c>
      <c r="R34" s="2">
        <f t="shared" si="8"/>
        <v>2400</v>
      </c>
      <c r="S34" s="2">
        <f>$E$4</f>
        <v>25000</v>
      </c>
      <c r="T34" s="2">
        <f t="shared" si="9"/>
        <v>607.13640223718539</v>
      </c>
      <c r="U34" s="13">
        <f t="shared" si="10"/>
        <v>-12098.775070397867</v>
      </c>
      <c r="V34" s="40"/>
      <c r="W34" s="55">
        <f t="shared" si="17"/>
        <v>-37098.775070397867</v>
      </c>
      <c r="X34" s="45">
        <f t="shared" si="11"/>
        <v>25000</v>
      </c>
      <c r="Y34" s="46">
        <f t="shared" si="15"/>
        <v>0</v>
      </c>
    </row>
    <row r="35" spans="1:25" x14ac:dyDescent="0.3">
      <c r="C35">
        <f t="shared" si="16"/>
        <v>2043</v>
      </c>
      <c r="D35" s="27">
        <f t="shared" si="3"/>
        <v>27</v>
      </c>
      <c r="K35" s="31"/>
      <c r="L35" s="2"/>
      <c r="M35" s="2"/>
      <c r="N35" s="2"/>
      <c r="O35" s="2"/>
      <c r="P35" s="40"/>
      <c r="Q35" s="45">
        <f>IF(V34&gt;U34,V34,U34)</f>
        <v>0</v>
      </c>
      <c r="R35" s="2">
        <f t="shared" si="8"/>
        <v>2400</v>
      </c>
      <c r="S35" s="2">
        <f>$E$4</f>
        <v>25000</v>
      </c>
      <c r="T35" s="2">
        <f t="shared" si="9"/>
        <v>0</v>
      </c>
      <c r="U35" s="13">
        <f t="shared" si="10"/>
        <v>-22600</v>
      </c>
      <c r="V35" s="40"/>
      <c r="W35" s="55">
        <f t="shared" si="17"/>
        <v>-47600</v>
      </c>
      <c r="X35" s="45">
        <f t="shared" si="11"/>
        <v>25000</v>
      </c>
      <c r="Y35" s="46">
        <f t="shared" si="15"/>
        <v>0</v>
      </c>
    </row>
    <row r="36" spans="1:25" ht="15" thickBot="1" x14ac:dyDescent="0.35">
      <c r="A36" t="s">
        <v>73</v>
      </c>
      <c r="B36" s="57">
        <v>52527</v>
      </c>
      <c r="C36">
        <f t="shared" si="16"/>
        <v>2044</v>
      </c>
      <c r="D36" s="27">
        <f t="shared" si="3"/>
        <v>28</v>
      </c>
      <c r="K36" s="32"/>
      <c r="L36" s="48"/>
      <c r="M36" s="48"/>
      <c r="N36" s="48"/>
      <c r="O36" s="48"/>
      <c r="P36" s="42"/>
      <c r="Q36" s="45">
        <f t="shared" si="13"/>
        <v>0</v>
      </c>
      <c r="R36" s="2"/>
      <c r="S36" s="2"/>
      <c r="T36" s="2">
        <f t="shared" si="9"/>
        <v>0</v>
      </c>
      <c r="U36" s="13">
        <f t="shared" si="10"/>
        <v>0</v>
      </c>
      <c r="V36" s="40"/>
      <c r="W36" s="55">
        <f t="shared" si="17"/>
        <v>0</v>
      </c>
      <c r="X36" s="45">
        <f t="shared" si="11"/>
        <v>0</v>
      </c>
      <c r="Y36" s="46">
        <f t="shared" si="15"/>
        <v>0</v>
      </c>
    </row>
    <row r="37" spans="1:25" x14ac:dyDescent="0.3">
      <c r="D37" s="27"/>
      <c r="Q37" s="45"/>
      <c r="R37" s="2"/>
      <c r="S37" s="2"/>
      <c r="T37" s="2"/>
      <c r="U37" s="13"/>
      <c r="V37" s="40"/>
      <c r="W37" s="55"/>
      <c r="X37" s="45"/>
      <c r="Y37" s="40"/>
    </row>
    <row r="38" spans="1:25" x14ac:dyDescent="0.3">
      <c r="D38" s="27"/>
      <c r="Q38" s="45"/>
      <c r="R38" s="2"/>
      <c r="S38" s="2"/>
      <c r="T38" s="2"/>
      <c r="U38" s="13"/>
      <c r="V38" s="40"/>
      <c r="W38" s="55"/>
      <c r="X38" s="45"/>
      <c r="Y38" s="40"/>
    </row>
    <row r="39" spans="1:25" ht="15" thickBot="1" x14ac:dyDescent="0.35">
      <c r="D39" s="27"/>
      <c r="Q39" s="47"/>
      <c r="R39" s="48"/>
      <c r="S39" s="48"/>
      <c r="T39" s="48"/>
      <c r="U39" s="51"/>
      <c r="V39" s="42"/>
      <c r="W39" s="56"/>
      <c r="X39" s="47"/>
      <c r="Y39" s="42"/>
    </row>
  </sheetData>
  <conditionalFormatting sqref="I9:I34">
    <cfRule type="cellIs" dxfId="6" priority="4" operator="lessThan">
      <formula>0</formula>
    </cfRule>
  </conditionalFormatting>
  <conditionalFormatting sqref="O14:O36">
    <cfRule type="cellIs" dxfId="5" priority="3" operator="lessThan">
      <formula>0</formula>
    </cfRule>
  </conditionalFormatting>
  <conditionalFormatting sqref="U14:U39">
    <cfRule type="cellIs" dxfId="4" priority="2" operator="lessThan">
      <formula>0</formula>
    </cfRule>
  </conditionalFormatting>
  <conditionalFormatting sqref="W9:W37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34"/>
  <sheetViews>
    <sheetView workbookViewId="0">
      <pane ySplit="8" topLeftCell="A15" activePane="bottomLeft" state="frozenSplit"/>
      <selection pane="bottomLeft" activeCell="H17" sqref="H17"/>
    </sheetView>
  </sheetViews>
  <sheetFormatPr defaultRowHeight="14.4" x14ac:dyDescent="0.3"/>
  <cols>
    <col min="1" max="1" width="10.5546875" bestFit="1" customWidth="1"/>
    <col min="2" max="2" width="22.6640625" bestFit="1" customWidth="1"/>
    <col min="3" max="3" width="8.33203125" bestFit="1" customWidth="1"/>
    <col min="4" max="4" width="13.5546875" customWidth="1"/>
    <col min="6" max="6" width="14.44140625" bestFit="1" customWidth="1"/>
    <col min="7" max="7" width="15.109375" bestFit="1" customWidth="1"/>
    <col min="8" max="8" width="12.6640625" bestFit="1" customWidth="1"/>
    <col min="9" max="9" width="12.6640625" customWidth="1"/>
    <col min="10" max="10" width="12.44140625" customWidth="1"/>
    <col min="11" max="11" width="9.109375" customWidth="1"/>
    <col min="12" max="12" width="9.33203125" customWidth="1"/>
    <col min="13" max="13" width="12.6640625" customWidth="1"/>
    <col min="14" max="14" width="13.21875" bestFit="1" customWidth="1"/>
    <col min="19" max="19" width="12.33203125" customWidth="1"/>
    <col min="20" max="20" width="11.33203125" bestFit="1" customWidth="1"/>
  </cols>
  <sheetData>
    <row r="2" spans="1:20" x14ac:dyDescent="0.3">
      <c r="B2" t="s">
        <v>7</v>
      </c>
      <c r="C2" s="1">
        <v>0.06</v>
      </c>
      <c r="D2" s="1"/>
      <c r="E2" s="2" t="s">
        <v>8</v>
      </c>
    </row>
    <row r="3" spans="1:20" x14ac:dyDescent="0.3">
      <c r="B3" t="s">
        <v>6</v>
      </c>
      <c r="C3">
        <v>200</v>
      </c>
      <c r="D3" s="1"/>
    </row>
    <row r="4" spans="1:20" x14ac:dyDescent="0.3">
      <c r="B4" t="s">
        <v>0</v>
      </c>
      <c r="C4" s="2">
        <v>25000</v>
      </c>
      <c r="D4" s="2"/>
    </row>
    <row r="5" spans="1:20" x14ac:dyDescent="0.3">
      <c r="B5" t="s">
        <v>9</v>
      </c>
      <c r="C5" s="3">
        <v>4</v>
      </c>
      <c r="D5" s="2"/>
    </row>
    <row r="6" spans="1:20" x14ac:dyDescent="0.3">
      <c r="B6" t="s">
        <v>10</v>
      </c>
      <c r="C6">
        <v>1</v>
      </c>
    </row>
    <row r="7" spans="1:20" ht="15" thickBot="1" x14ac:dyDescent="0.35"/>
    <row r="8" spans="1:20" ht="58.2" thickBot="1" x14ac:dyDescent="0.35">
      <c r="B8" t="s">
        <v>56</v>
      </c>
      <c r="C8" s="33" t="s">
        <v>2</v>
      </c>
      <c r="D8" s="34" t="s">
        <v>3</v>
      </c>
      <c r="E8" s="34" t="s">
        <v>62</v>
      </c>
      <c r="F8" s="34" t="s">
        <v>54</v>
      </c>
      <c r="G8" s="35" t="s">
        <v>53</v>
      </c>
      <c r="H8" s="37" t="s">
        <v>52</v>
      </c>
      <c r="I8" s="52" t="s">
        <v>61</v>
      </c>
      <c r="J8" s="35" t="s">
        <v>57</v>
      </c>
      <c r="K8" s="35" t="s">
        <v>62</v>
      </c>
      <c r="L8" s="35" t="s">
        <v>58</v>
      </c>
      <c r="M8" s="35" t="s">
        <v>59</v>
      </c>
      <c r="N8" s="53" t="s">
        <v>55</v>
      </c>
      <c r="O8" s="52" t="s">
        <v>63</v>
      </c>
      <c r="P8" s="35" t="s">
        <v>60</v>
      </c>
      <c r="Q8" s="34" t="s">
        <v>62</v>
      </c>
      <c r="R8" s="34" t="s">
        <v>64</v>
      </c>
      <c r="S8" s="35" t="s">
        <v>65</v>
      </c>
      <c r="T8" s="37" t="s">
        <v>66</v>
      </c>
    </row>
    <row r="9" spans="1:20" x14ac:dyDescent="0.3">
      <c r="B9" s="27">
        <v>1</v>
      </c>
      <c r="C9" s="45">
        <v>3000</v>
      </c>
      <c r="D9" s="2">
        <f>$C$3*12</f>
        <v>2400</v>
      </c>
      <c r="E9" s="2">
        <v>0</v>
      </c>
      <c r="F9" s="2">
        <f t="shared" ref="F9:F30" si="0">C9*(1+($C$2/$C$5))^($C$5*$C$6)-C9</f>
        <v>184.09065187499846</v>
      </c>
      <c r="G9" s="2">
        <f t="shared" ref="G9:G26" si="1">F9+D9+C9-E9</f>
        <v>5584.090651874998</v>
      </c>
      <c r="H9" s="46"/>
      <c r="I9" s="31"/>
      <c r="J9" s="2"/>
      <c r="K9" s="2"/>
      <c r="L9" s="2"/>
      <c r="M9" s="2"/>
      <c r="N9" s="40"/>
      <c r="O9" s="45">
        <v>0</v>
      </c>
      <c r="P9" s="2">
        <f>$C$3*12</f>
        <v>2400</v>
      </c>
      <c r="Q9" s="2">
        <v>0</v>
      </c>
      <c r="R9" s="2">
        <f>O9*(1+($C$2/$C$5))^($C$5*$C$6)-O9</f>
        <v>0</v>
      </c>
      <c r="S9" s="13">
        <f>O9+P9+R9-Q9</f>
        <v>2400</v>
      </c>
      <c r="T9" s="40"/>
    </row>
    <row r="10" spans="1:20" x14ac:dyDescent="0.3">
      <c r="B10" s="27">
        <f>B9+1</f>
        <v>2</v>
      </c>
      <c r="C10" s="45">
        <f>IF(H9&gt;G9,H9,G9)</f>
        <v>5584.090651874998</v>
      </c>
      <c r="D10" s="2">
        <f t="shared" ref="D10:D30" si="2">$C$3*12</f>
        <v>2400</v>
      </c>
      <c r="E10" s="2">
        <v>0</v>
      </c>
      <c r="F10" s="2">
        <f t="shared" si="0"/>
        <v>342.65962941091766</v>
      </c>
      <c r="G10" s="2">
        <f t="shared" si="1"/>
        <v>8326.7502812859166</v>
      </c>
      <c r="H10" s="46"/>
      <c r="I10" s="31"/>
      <c r="J10" s="2"/>
      <c r="K10" s="2"/>
      <c r="L10" s="2"/>
      <c r="M10" s="2"/>
      <c r="N10" s="40"/>
      <c r="O10" s="45">
        <f>S9</f>
        <v>2400</v>
      </c>
      <c r="P10" s="2">
        <f t="shared" ref="P10:P30" si="3">$C$3*12</f>
        <v>2400</v>
      </c>
      <c r="Q10" s="2">
        <v>0</v>
      </c>
      <c r="R10" s="2">
        <f t="shared" ref="R10:R34" si="4">O10*(1+($C$2/$C$5))^($C$5*$C$6)-O10</f>
        <v>147.27252149999867</v>
      </c>
      <c r="S10" s="13">
        <f t="shared" ref="S10:S34" si="5">O10+P10+R10-Q10</f>
        <v>4947.2725214999991</v>
      </c>
      <c r="T10" s="40"/>
    </row>
    <row r="11" spans="1:20" x14ac:dyDescent="0.3">
      <c r="B11" s="27">
        <f t="shared" ref="B11:B34" si="6">B10+1</f>
        <v>3</v>
      </c>
      <c r="C11" s="45">
        <f>IF(H10&gt;G10,H10,G10)</f>
        <v>8326.7502812859166</v>
      </c>
      <c r="D11" s="2">
        <f t="shared" si="2"/>
        <v>2400</v>
      </c>
      <c r="E11" s="2">
        <v>0</v>
      </c>
      <c r="F11" s="2">
        <f t="shared" si="0"/>
        <v>510.95896242741583</v>
      </c>
      <c r="G11" s="2">
        <f t="shared" si="1"/>
        <v>11237.709243713332</v>
      </c>
      <c r="H11" s="46"/>
      <c r="I11" s="31"/>
      <c r="J11" s="2"/>
      <c r="K11" s="2"/>
      <c r="L11" s="2"/>
      <c r="M11" s="2"/>
      <c r="N11" s="40"/>
      <c r="O11" s="45">
        <f t="shared" ref="O11:O12" si="7">S10</f>
        <v>4947.2725214999991</v>
      </c>
      <c r="P11" s="2">
        <f t="shared" si="3"/>
        <v>2400</v>
      </c>
      <c r="Q11" s="2">
        <v>0</v>
      </c>
      <c r="R11" s="2">
        <f t="shared" si="4"/>
        <v>303.58220782873377</v>
      </c>
      <c r="S11" s="13">
        <f t="shared" si="5"/>
        <v>7650.8547293287329</v>
      </c>
      <c r="T11" s="40"/>
    </row>
    <row r="12" spans="1:20" x14ac:dyDescent="0.3">
      <c r="B12" s="27">
        <f t="shared" si="6"/>
        <v>4</v>
      </c>
      <c r="C12" s="45">
        <f t="shared" ref="C12:C14" si="8">IF(H11&gt;G11,H11,G11)</f>
        <v>11237.709243713332</v>
      </c>
      <c r="D12" s="2">
        <f t="shared" si="2"/>
        <v>2400</v>
      </c>
      <c r="E12" s="2">
        <v>0</v>
      </c>
      <c r="F12" s="2">
        <f t="shared" si="0"/>
        <v>689.58574008562755</v>
      </c>
      <c r="G12" s="2">
        <f t="shared" si="1"/>
        <v>14327.29498379896</v>
      </c>
      <c r="H12" s="46"/>
      <c r="I12" s="31">
        <v>0</v>
      </c>
      <c r="J12" s="2">
        <f>$C$3*12</f>
        <v>2400</v>
      </c>
      <c r="K12" s="2">
        <v>0</v>
      </c>
      <c r="L12" s="2">
        <f>I12*(1+($C$2/$C$5))^($C$5*$C$6)-I12</f>
        <v>0</v>
      </c>
      <c r="M12" s="2">
        <f>I12+J12+L12-K12</f>
        <v>2400</v>
      </c>
      <c r="N12" s="40"/>
      <c r="O12" s="45">
        <f t="shared" si="7"/>
        <v>7650.8547293287329</v>
      </c>
      <c r="P12" s="2">
        <f t="shared" si="3"/>
        <v>2400</v>
      </c>
      <c r="Q12" s="2">
        <v>0</v>
      </c>
      <c r="R12" s="2">
        <f t="shared" si="4"/>
        <v>469.4836115076796</v>
      </c>
      <c r="S12" s="13">
        <f t="shared" si="5"/>
        <v>10520.338340836413</v>
      </c>
      <c r="T12" s="40"/>
    </row>
    <row r="13" spans="1:20" x14ac:dyDescent="0.3">
      <c r="B13" s="27">
        <f t="shared" si="6"/>
        <v>5</v>
      </c>
      <c r="C13" s="45">
        <f t="shared" si="8"/>
        <v>14327.29498379896</v>
      </c>
      <c r="D13" s="2">
        <f t="shared" si="2"/>
        <v>2400</v>
      </c>
      <c r="E13" s="2">
        <v>0</v>
      </c>
      <c r="F13" s="2">
        <f t="shared" si="0"/>
        <v>879.17369105764737</v>
      </c>
      <c r="G13" s="2">
        <f t="shared" si="1"/>
        <v>17606.468674856609</v>
      </c>
      <c r="H13" s="46"/>
      <c r="I13" s="31">
        <f>M12</f>
        <v>2400</v>
      </c>
      <c r="J13" s="2">
        <f t="shared" ref="J13:J30" si="9">$C$3*12</f>
        <v>2400</v>
      </c>
      <c r="K13" s="2">
        <v>0</v>
      </c>
      <c r="L13" s="2">
        <f t="shared" ref="L13:L34" si="10">I13*(1+($C$2/$C$5))^($C$5*$C$6)-I13</f>
        <v>147.27252149999867</v>
      </c>
      <c r="M13" s="2">
        <f t="shared" ref="M13:M34" si="11">I13+J13+L13-K13</f>
        <v>4947.2725214999991</v>
      </c>
      <c r="N13" s="40">
        <v>0</v>
      </c>
      <c r="O13" s="45">
        <f>IF(T12&gt;S12,T12,S12)</f>
        <v>10520.338340836413</v>
      </c>
      <c r="P13" s="2">
        <f t="shared" si="3"/>
        <v>2400</v>
      </c>
      <c r="Q13" s="2">
        <v>0</v>
      </c>
      <c r="R13" s="2">
        <f t="shared" si="4"/>
        <v>645.56531437003832</v>
      </c>
      <c r="S13" s="13">
        <f t="shared" si="5"/>
        <v>13565.903655206452</v>
      </c>
      <c r="T13" s="40">
        <v>0</v>
      </c>
    </row>
    <row r="14" spans="1:20" x14ac:dyDescent="0.3">
      <c r="A14" s="8">
        <v>44881</v>
      </c>
      <c r="B14" s="27">
        <f t="shared" si="6"/>
        <v>6</v>
      </c>
      <c r="C14" s="45">
        <f t="shared" si="8"/>
        <v>17606.468674856609</v>
      </c>
      <c r="D14" s="2">
        <f t="shared" si="2"/>
        <v>2400</v>
      </c>
      <c r="E14" s="2">
        <v>0</v>
      </c>
      <c r="F14" s="2">
        <f t="shared" si="0"/>
        <v>1080.3954318570286</v>
      </c>
      <c r="G14" s="2">
        <f t="shared" si="1"/>
        <v>21086.864106713638</v>
      </c>
      <c r="H14" s="46">
        <v>24072</v>
      </c>
      <c r="I14" s="31">
        <f>IF(N13&gt;M13,N13,M13)</f>
        <v>4947.2725214999991</v>
      </c>
      <c r="J14" s="2">
        <f t="shared" si="9"/>
        <v>2400</v>
      </c>
      <c r="K14" s="2">
        <v>0</v>
      </c>
      <c r="L14" s="2">
        <f t="shared" si="10"/>
        <v>303.58220782873377</v>
      </c>
      <c r="M14" s="2">
        <f t="shared" si="11"/>
        <v>7650.8547293287329</v>
      </c>
      <c r="N14" s="40"/>
      <c r="O14" s="45">
        <f t="shared" ref="O14:O34" si="12">IF(T13&gt;S13,T13,S13)</f>
        <v>13565.903655206452</v>
      </c>
      <c r="P14" s="2">
        <f t="shared" si="3"/>
        <v>2400</v>
      </c>
      <c r="Q14" s="2">
        <v>0</v>
      </c>
      <c r="R14" s="2">
        <f t="shared" si="4"/>
        <v>832.45201572012593</v>
      </c>
      <c r="S14" s="13">
        <f t="shared" si="5"/>
        <v>16798.355670926576</v>
      </c>
      <c r="T14" s="40"/>
    </row>
    <row r="15" spans="1:20" x14ac:dyDescent="0.3">
      <c r="B15" s="27">
        <f t="shared" si="6"/>
        <v>7</v>
      </c>
      <c r="C15" s="45">
        <f>IF(H14&gt;G14,H14,G14)</f>
        <v>24072</v>
      </c>
      <c r="D15" s="2">
        <f t="shared" si="2"/>
        <v>2400</v>
      </c>
      <c r="E15" s="2">
        <v>0</v>
      </c>
      <c r="F15" s="2">
        <f t="shared" si="0"/>
        <v>1477.1433906449856</v>
      </c>
      <c r="G15" s="2">
        <f t="shared" si="1"/>
        <v>27949.143390644986</v>
      </c>
      <c r="H15" s="46">
        <v>30722</v>
      </c>
      <c r="I15" s="31">
        <f t="shared" ref="I15:I34" si="13">IF(N14&gt;M14,N14,M14)</f>
        <v>7650.8547293287329</v>
      </c>
      <c r="J15" s="2">
        <f t="shared" si="9"/>
        <v>2400</v>
      </c>
      <c r="K15" s="2">
        <v>0</v>
      </c>
      <c r="L15" s="2">
        <f t="shared" si="10"/>
        <v>469.4836115076796</v>
      </c>
      <c r="M15" s="2">
        <f t="shared" si="11"/>
        <v>10520.338340836413</v>
      </c>
      <c r="N15" s="40"/>
      <c r="O15" s="45">
        <f t="shared" si="12"/>
        <v>16798.355670926576</v>
      </c>
      <c r="P15" s="2">
        <f t="shared" si="3"/>
        <v>2400</v>
      </c>
      <c r="Q15" s="2">
        <v>0</v>
      </c>
      <c r="R15" s="2">
        <f t="shared" si="4"/>
        <v>1030.8067486296495</v>
      </c>
      <c r="S15" s="13">
        <f t="shared" si="5"/>
        <v>20229.162419556225</v>
      </c>
      <c r="T15" s="40"/>
    </row>
    <row r="16" spans="1:20" x14ac:dyDescent="0.3">
      <c r="B16" s="27">
        <f t="shared" si="6"/>
        <v>8</v>
      </c>
      <c r="C16" s="45">
        <f t="shared" ref="C16:C34" si="14">IF(H15&gt;G15,H15,G15)</f>
        <v>30722</v>
      </c>
      <c r="D16" s="2">
        <f t="shared" si="2"/>
        <v>2400</v>
      </c>
      <c r="E16" s="2">
        <v>0</v>
      </c>
      <c r="F16" s="2">
        <f t="shared" si="0"/>
        <v>1885.2110023012319</v>
      </c>
      <c r="G16" s="2">
        <f t="shared" si="1"/>
        <v>35007.211002301236</v>
      </c>
      <c r="H16" s="46">
        <v>36848</v>
      </c>
      <c r="I16" s="31">
        <f t="shared" si="13"/>
        <v>10520.338340836413</v>
      </c>
      <c r="J16" s="2">
        <f t="shared" si="9"/>
        <v>2400</v>
      </c>
      <c r="K16" s="2">
        <v>0</v>
      </c>
      <c r="L16" s="2">
        <f t="shared" si="10"/>
        <v>645.56531437003832</v>
      </c>
      <c r="M16" s="2">
        <f t="shared" si="11"/>
        <v>13565.903655206452</v>
      </c>
      <c r="N16" s="40"/>
      <c r="O16" s="45">
        <f t="shared" si="12"/>
        <v>20229.162419556225</v>
      </c>
      <c r="P16" s="2">
        <f t="shared" si="3"/>
        <v>2400</v>
      </c>
      <c r="Q16" s="2">
        <v>0</v>
      </c>
      <c r="R16" s="2">
        <f t="shared" si="4"/>
        <v>1241.3332322337737</v>
      </c>
      <c r="S16" s="13">
        <f t="shared" si="5"/>
        <v>23870.495651789999</v>
      </c>
      <c r="T16" s="40"/>
    </row>
    <row r="17" spans="2:20" x14ac:dyDescent="0.3">
      <c r="B17" s="27">
        <f t="shared" si="6"/>
        <v>9</v>
      </c>
      <c r="C17" s="45">
        <f t="shared" si="14"/>
        <v>36848</v>
      </c>
      <c r="D17" s="2">
        <f t="shared" si="2"/>
        <v>2400</v>
      </c>
      <c r="E17" s="2">
        <v>0</v>
      </c>
      <c r="F17" s="2">
        <f t="shared" si="0"/>
        <v>2261.124113429978</v>
      </c>
      <c r="G17" s="2">
        <f t="shared" si="1"/>
        <v>41509.124113429978</v>
      </c>
      <c r="H17" s="46"/>
      <c r="I17" s="31">
        <f t="shared" si="13"/>
        <v>13565.903655206452</v>
      </c>
      <c r="J17" s="2">
        <f t="shared" si="9"/>
        <v>2400</v>
      </c>
      <c r="K17" s="2">
        <v>0</v>
      </c>
      <c r="L17" s="2">
        <f t="shared" si="10"/>
        <v>832.45201572012593</v>
      </c>
      <c r="M17" s="2">
        <f t="shared" si="11"/>
        <v>16798.355670926576</v>
      </c>
      <c r="N17" s="40"/>
      <c r="O17" s="45">
        <f t="shared" si="12"/>
        <v>23870.495651789999</v>
      </c>
      <c r="P17" s="2">
        <f t="shared" si="3"/>
        <v>2400</v>
      </c>
      <c r="Q17" s="2">
        <v>0</v>
      </c>
      <c r="R17" s="2">
        <f t="shared" si="4"/>
        <v>1464.7783683724447</v>
      </c>
      <c r="S17" s="13">
        <f t="shared" si="5"/>
        <v>27735.274020162444</v>
      </c>
      <c r="T17" s="40"/>
    </row>
    <row r="18" spans="2:20" x14ac:dyDescent="0.3">
      <c r="B18" s="27">
        <f t="shared" si="6"/>
        <v>10</v>
      </c>
      <c r="C18" s="45">
        <f t="shared" si="14"/>
        <v>41509.124113429978</v>
      </c>
      <c r="D18" s="2">
        <f t="shared" si="2"/>
        <v>2400</v>
      </c>
      <c r="E18" s="2">
        <v>0</v>
      </c>
      <c r="F18" s="2">
        <f t="shared" si="0"/>
        <v>2547.1472389338451</v>
      </c>
      <c r="G18" s="2">
        <f t="shared" si="1"/>
        <v>46456.271352363823</v>
      </c>
      <c r="H18" s="46"/>
      <c r="I18" s="31">
        <f t="shared" si="13"/>
        <v>16798.355670926576</v>
      </c>
      <c r="J18" s="2">
        <f t="shared" si="9"/>
        <v>2400</v>
      </c>
      <c r="K18" s="2">
        <v>0</v>
      </c>
      <c r="L18" s="2">
        <f t="shared" si="10"/>
        <v>1030.8067486296495</v>
      </c>
      <c r="M18" s="2">
        <f t="shared" si="11"/>
        <v>20229.162419556225</v>
      </c>
      <c r="N18" s="40"/>
      <c r="O18" s="45">
        <f t="shared" si="12"/>
        <v>27735.274020162444</v>
      </c>
      <c r="P18" s="2">
        <f t="shared" si="3"/>
        <v>2400</v>
      </c>
      <c r="Q18" s="2">
        <v>0</v>
      </c>
      <c r="R18" s="2">
        <f t="shared" si="4"/>
        <v>1701.93489143447</v>
      </c>
      <c r="S18" s="13">
        <f t="shared" si="5"/>
        <v>31837.208911596914</v>
      </c>
      <c r="T18" s="40"/>
    </row>
    <row r="19" spans="2:20" x14ac:dyDescent="0.3">
      <c r="B19" s="27">
        <f t="shared" si="6"/>
        <v>11</v>
      </c>
      <c r="C19" s="45">
        <f t="shared" si="14"/>
        <v>46456.271352363823</v>
      </c>
      <c r="D19" s="2">
        <f t="shared" si="2"/>
        <v>2400</v>
      </c>
      <c r="E19" s="2">
        <v>0</v>
      </c>
      <c r="F19" s="2">
        <f t="shared" si="0"/>
        <v>2850.7217589794891</v>
      </c>
      <c r="G19" s="2">
        <f t="shared" si="1"/>
        <v>51706.993111343312</v>
      </c>
      <c r="H19" s="46"/>
      <c r="I19" s="31">
        <f t="shared" si="13"/>
        <v>20229.162419556225</v>
      </c>
      <c r="J19" s="2">
        <f t="shared" si="9"/>
        <v>2400</v>
      </c>
      <c r="K19" s="2">
        <v>0</v>
      </c>
      <c r="L19" s="2">
        <f t="shared" si="10"/>
        <v>1241.3332322337737</v>
      </c>
      <c r="M19" s="2">
        <f t="shared" si="11"/>
        <v>23870.495651789999</v>
      </c>
      <c r="N19" s="40"/>
      <c r="O19" s="45">
        <f t="shared" si="12"/>
        <v>31837.208911596914</v>
      </c>
      <c r="P19" s="2">
        <f t="shared" si="3"/>
        <v>2400</v>
      </c>
      <c r="Q19" s="2">
        <v>0</v>
      </c>
      <c r="R19" s="2">
        <f t="shared" si="4"/>
        <v>1953.6441808054587</v>
      </c>
      <c r="S19" s="13">
        <f t="shared" si="5"/>
        <v>36190.853092402373</v>
      </c>
      <c r="T19" s="40"/>
    </row>
    <row r="20" spans="2:20" x14ac:dyDescent="0.3">
      <c r="B20" s="27">
        <f t="shared" si="6"/>
        <v>12</v>
      </c>
      <c r="C20" s="45">
        <f t="shared" si="14"/>
        <v>51706.993111343312</v>
      </c>
      <c r="D20" s="2">
        <f t="shared" si="2"/>
        <v>2400</v>
      </c>
      <c r="E20" s="2">
        <v>0</v>
      </c>
      <c r="F20" s="2">
        <f t="shared" si="0"/>
        <v>3172.9246894544121</v>
      </c>
      <c r="G20" s="2">
        <f t="shared" si="1"/>
        <v>57279.917800797724</v>
      </c>
      <c r="H20" s="46"/>
      <c r="I20" s="31">
        <f t="shared" si="13"/>
        <v>23870.495651789999</v>
      </c>
      <c r="J20" s="2">
        <f t="shared" si="9"/>
        <v>2400</v>
      </c>
      <c r="K20" s="2">
        <v>0</v>
      </c>
      <c r="L20" s="2">
        <f t="shared" si="10"/>
        <v>1464.7783683724447</v>
      </c>
      <c r="M20" s="2">
        <f t="shared" si="11"/>
        <v>27735.274020162444</v>
      </c>
      <c r="N20" s="40"/>
      <c r="O20" s="45">
        <f t="shared" si="12"/>
        <v>36190.853092402373</v>
      </c>
      <c r="P20" s="2">
        <f t="shared" si="3"/>
        <v>2400</v>
      </c>
      <c r="Q20" s="2">
        <v>0</v>
      </c>
      <c r="R20" s="2">
        <f t="shared" si="4"/>
        <v>2220.7992458975496</v>
      </c>
      <c r="S20" s="13">
        <f t="shared" si="5"/>
        <v>40811.652338299922</v>
      </c>
      <c r="T20" s="40"/>
    </row>
    <row r="21" spans="2:20" x14ac:dyDescent="0.3">
      <c r="B21" s="27">
        <f t="shared" si="6"/>
        <v>13</v>
      </c>
      <c r="C21" s="45">
        <f t="shared" si="14"/>
        <v>57279.917800797724</v>
      </c>
      <c r="D21" s="2">
        <f t="shared" si="2"/>
        <v>2400</v>
      </c>
      <c r="E21" s="2">
        <v>0</v>
      </c>
      <c r="F21" s="2">
        <f t="shared" si="0"/>
        <v>3514.8991357650593</v>
      </c>
      <c r="G21" s="2">
        <f t="shared" si="1"/>
        <v>63194.816936562784</v>
      </c>
      <c r="H21" s="46"/>
      <c r="I21" s="31">
        <f t="shared" si="13"/>
        <v>27735.274020162444</v>
      </c>
      <c r="J21" s="2">
        <f t="shared" si="9"/>
        <v>2400</v>
      </c>
      <c r="K21" s="2">
        <v>0</v>
      </c>
      <c r="L21" s="2">
        <f t="shared" si="10"/>
        <v>1701.93489143447</v>
      </c>
      <c r="M21" s="2">
        <f t="shared" si="11"/>
        <v>31837.208911596914</v>
      </c>
      <c r="N21" s="40"/>
      <c r="O21" s="45">
        <f t="shared" si="12"/>
        <v>40811.652338299922</v>
      </c>
      <c r="P21" s="2">
        <f t="shared" si="3"/>
        <v>2400</v>
      </c>
      <c r="Q21" s="2">
        <v>0</v>
      </c>
      <c r="R21" s="2">
        <f t="shared" si="4"/>
        <v>2504.3478943511436</v>
      </c>
      <c r="S21" s="13">
        <f t="shared" si="5"/>
        <v>45716.000232651066</v>
      </c>
      <c r="T21" s="40"/>
    </row>
    <row r="22" spans="2:20" x14ac:dyDescent="0.3">
      <c r="B22" s="27">
        <f t="shared" si="6"/>
        <v>14</v>
      </c>
      <c r="C22" s="45">
        <f t="shared" si="14"/>
        <v>63194.816936562784</v>
      </c>
      <c r="D22" s="2">
        <f t="shared" si="2"/>
        <v>2400</v>
      </c>
      <c r="E22" s="2">
        <v>0</v>
      </c>
      <c r="F22" s="2">
        <f t="shared" si="0"/>
        <v>3877.8583483243419</v>
      </c>
      <c r="G22" s="2">
        <f t="shared" si="1"/>
        <v>69472.675284887126</v>
      </c>
      <c r="H22" s="46"/>
      <c r="I22" s="31">
        <f t="shared" si="13"/>
        <v>31837.208911596914</v>
      </c>
      <c r="J22" s="2">
        <f t="shared" si="9"/>
        <v>2400</v>
      </c>
      <c r="K22" s="2">
        <v>0</v>
      </c>
      <c r="L22" s="2">
        <f t="shared" si="10"/>
        <v>1953.6441808054587</v>
      </c>
      <c r="M22" s="2">
        <f t="shared" si="11"/>
        <v>36190.853092402373</v>
      </c>
      <c r="N22" s="40"/>
      <c r="O22" s="45">
        <f t="shared" si="12"/>
        <v>45716.000232651066</v>
      </c>
      <c r="P22" s="2">
        <f t="shared" si="3"/>
        <v>2400</v>
      </c>
      <c r="Q22" s="2">
        <v>0</v>
      </c>
      <c r="R22" s="2">
        <f t="shared" si="4"/>
        <v>2805.2960946487729</v>
      </c>
      <c r="S22" s="13">
        <f t="shared" si="5"/>
        <v>50921.296327299839</v>
      </c>
      <c r="T22" s="40"/>
    </row>
    <row r="23" spans="2:20" x14ac:dyDescent="0.3">
      <c r="B23" s="27">
        <f t="shared" si="6"/>
        <v>15</v>
      </c>
      <c r="C23" s="45">
        <f t="shared" si="14"/>
        <v>69472.675284887126</v>
      </c>
      <c r="D23" s="2">
        <f t="shared" si="2"/>
        <v>2400</v>
      </c>
      <c r="E23" s="2">
        <v>0</v>
      </c>
      <c r="F23" s="2">
        <f t="shared" si="0"/>
        <v>4263.0900268983241</v>
      </c>
      <c r="G23" s="2">
        <f t="shared" si="1"/>
        <v>76135.76531178545</v>
      </c>
      <c r="H23" s="46"/>
      <c r="I23" s="31">
        <f t="shared" si="13"/>
        <v>36190.853092402373</v>
      </c>
      <c r="J23" s="2">
        <f t="shared" si="9"/>
        <v>2400</v>
      </c>
      <c r="K23" s="2">
        <v>0</v>
      </c>
      <c r="L23" s="2">
        <f t="shared" si="10"/>
        <v>2220.7992458975496</v>
      </c>
      <c r="M23" s="2">
        <f t="shared" si="11"/>
        <v>40811.652338299922</v>
      </c>
      <c r="N23" s="40"/>
      <c r="O23" s="45">
        <f t="shared" si="12"/>
        <v>50921.296327299839</v>
      </c>
      <c r="P23" s="2">
        <f t="shared" si="3"/>
        <v>2400</v>
      </c>
      <c r="Q23" s="2">
        <v>0</v>
      </c>
      <c r="R23" s="2">
        <f t="shared" si="4"/>
        <v>3124.7115450708588</v>
      </c>
      <c r="S23" s="13">
        <f t="shared" si="5"/>
        <v>56446.007872370697</v>
      </c>
      <c r="T23" s="40"/>
    </row>
    <row r="24" spans="2:20" x14ac:dyDescent="0.3">
      <c r="B24" s="27">
        <f t="shared" si="6"/>
        <v>16</v>
      </c>
      <c r="C24" s="45">
        <f t="shared" si="14"/>
        <v>76135.76531178545</v>
      </c>
      <c r="D24" s="2">
        <f t="shared" si="2"/>
        <v>2400</v>
      </c>
      <c r="E24" s="2">
        <v>0</v>
      </c>
      <c r="F24" s="2">
        <f t="shared" si="0"/>
        <v>4671.960889082824</v>
      </c>
      <c r="G24" s="2">
        <f t="shared" si="1"/>
        <v>83207.726200868274</v>
      </c>
      <c r="H24" s="46"/>
      <c r="I24" s="31">
        <f t="shared" si="13"/>
        <v>40811.652338299922</v>
      </c>
      <c r="J24" s="2">
        <f t="shared" si="9"/>
        <v>2400</v>
      </c>
      <c r="K24" s="2">
        <v>0</v>
      </c>
      <c r="L24" s="2">
        <f t="shared" si="10"/>
        <v>2504.3478943511436</v>
      </c>
      <c r="M24" s="2">
        <f t="shared" si="11"/>
        <v>45716.000232651066</v>
      </c>
      <c r="N24" s="40"/>
      <c r="O24" s="45">
        <f t="shared" si="12"/>
        <v>56446.007872370697</v>
      </c>
      <c r="P24" s="2">
        <f t="shared" si="3"/>
        <v>2400</v>
      </c>
      <c r="Q24" s="2">
        <v>0</v>
      </c>
      <c r="R24" s="2">
        <f t="shared" si="4"/>
        <v>3463.7274616553332</v>
      </c>
      <c r="S24" s="13">
        <f t="shared" si="5"/>
        <v>62309.735334026031</v>
      </c>
      <c r="T24" s="40"/>
    </row>
    <row r="25" spans="2:20" x14ac:dyDescent="0.3">
      <c r="B25" s="27">
        <f t="shared" si="6"/>
        <v>17</v>
      </c>
      <c r="C25" s="45">
        <f t="shared" si="14"/>
        <v>83207.726200868274</v>
      </c>
      <c r="D25" s="2">
        <f t="shared" si="2"/>
        <v>2400</v>
      </c>
      <c r="E25" s="2">
        <v>0</v>
      </c>
      <c r="F25" s="2">
        <f t="shared" si="0"/>
        <v>5105.9215191180701</v>
      </c>
      <c r="G25" s="2">
        <f t="shared" si="1"/>
        <v>90713.647719986344</v>
      </c>
      <c r="H25" s="46"/>
      <c r="I25" s="31">
        <f t="shared" si="13"/>
        <v>45716.000232651066</v>
      </c>
      <c r="J25" s="2">
        <f t="shared" si="9"/>
        <v>2400</v>
      </c>
      <c r="K25" s="2">
        <v>0</v>
      </c>
      <c r="L25" s="2">
        <f t="shared" si="10"/>
        <v>2805.2960946487729</v>
      </c>
      <c r="M25" s="2">
        <f t="shared" si="11"/>
        <v>50921.296327299839</v>
      </c>
      <c r="N25" s="40"/>
      <c r="O25" s="45">
        <f t="shared" si="12"/>
        <v>62309.735334026031</v>
      </c>
      <c r="P25" s="2">
        <f t="shared" si="3"/>
        <v>2400</v>
      </c>
      <c r="Q25" s="2">
        <v>0</v>
      </c>
      <c r="R25" s="2">
        <f t="shared" si="4"/>
        <v>3823.5465985998162</v>
      </c>
      <c r="S25" s="13">
        <f t="shared" si="5"/>
        <v>68533.281932625847</v>
      </c>
      <c r="T25" s="40"/>
    </row>
    <row r="26" spans="2:20" x14ac:dyDescent="0.3">
      <c r="B26" s="27">
        <f t="shared" si="6"/>
        <v>18</v>
      </c>
      <c r="C26" s="45">
        <f t="shared" si="14"/>
        <v>90713.647719986344</v>
      </c>
      <c r="D26" s="2">
        <f t="shared" si="2"/>
        <v>2400</v>
      </c>
      <c r="E26" s="2">
        <v>0</v>
      </c>
      <c r="F26" s="2">
        <f t="shared" si="0"/>
        <v>5566.5115142437426</v>
      </c>
      <c r="G26" s="2">
        <f t="shared" si="1"/>
        <v>98680.159234230086</v>
      </c>
      <c r="H26" s="46"/>
      <c r="I26" s="31">
        <f t="shared" si="13"/>
        <v>50921.296327299839</v>
      </c>
      <c r="J26" s="2">
        <f t="shared" si="9"/>
        <v>2400</v>
      </c>
      <c r="K26" s="2">
        <f>$C$4</f>
        <v>25000</v>
      </c>
      <c r="L26" s="2">
        <f t="shared" si="10"/>
        <v>3124.7115450708588</v>
      </c>
      <c r="M26" s="2">
        <f t="shared" si="11"/>
        <v>31446.007872370697</v>
      </c>
      <c r="N26" s="40"/>
      <c r="O26" s="45">
        <f t="shared" si="12"/>
        <v>68533.281932625847</v>
      </c>
      <c r="P26" s="2">
        <f t="shared" si="3"/>
        <v>2400</v>
      </c>
      <c r="Q26" s="2">
        <f>$C$4</f>
        <v>25000</v>
      </c>
      <c r="R26" s="2">
        <f t="shared" si="4"/>
        <v>4205.4455153700401</v>
      </c>
      <c r="S26" s="13">
        <f t="shared" si="5"/>
        <v>50138.727447995887</v>
      </c>
      <c r="T26" s="40"/>
    </row>
    <row r="27" spans="2:20" x14ac:dyDescent="0.3">
      <c r="B27" s="27">
        <f t="shared" si="6"/>
        <v>19</v>
      </c>
      <c r="C27" s="45">
        <f t="shared" si="14"/>
        <v>98680.159234230086</v>
      </c>
      <c r="D27" s="2">
        <f t="shared" si="2"/>
        <v>2400</v>
      </c>
      <c r="E27" s="2">
        <f>$C$4</f>
        <v>25000</v>
      </c>
      <c r="F27" s="2">
        <f t="shared" si="0"/>
        <v>6055.3649468526855</v>
      </c>
      <c r="G27" s="2">
        <f>F27+D27+C27-E27</f>
        <v>82135.524181082772</v>
      </c>
      <c r="H27" s="46"/>
      <c r="I27" s="31">
        <f t="shared" si="13"/>
        <v>31446.007872370697</v>
      </c>
      <c r="J27" s="2">
        <f t="shared" si="9"/>
        <v>2400</v>
      </c>
      <c r="K27" s="2">
        <f>$C$4</f>
        <v>25000</v>
      </c>
      <c r="L27" s="2">
        <f t="shared" si="10"/>
        <v>1929.6386960303498</v>
      </c>
      <c r="M27" s="2">
        <f t="shared" si="11"/>
        <v>10775.646568401047</v>
      </c>
      <c r="N27" s="50"/>
      <c r="O27" s="45">
        <f t="shared" si="12"/>
        <v>50138.727447995887</v>
      </c>
      <c r="P27" s="2">
        <f t="shared" si="3"/>
        <v>2400</v>
      </c>
      <c r="Q27" s="2">
        <f>$C$4</f>
        <v>25000</v>
      </c>
      <c r="R27" s="2">
        <f t="shared" si="4"/>
        <v>3076.6903400281444</v>
      </c>
      <c r="S27" s="13">
        <f t="shared" si="5"/>
        <v>30615.417788024031</v>
      </c>
      <c r="T27" s="40"/>
    </row>
    <row r="28" spans="2:20" x14ac:dyDescent="0.3">
      <c r="B28" s="27">
        <f t="shared" si="6"/>
        <v>20</v>
      </c>
      <c r="C28" s="45">
        <f t="shared" si="14"/>
        <v>82135.524181082772</v>
      </c>
      <c r="D28" s="2">
        <f t="shared" si="2"/>
        <v>2400</v>
      </c>
      <c r="E28" s="2">
        <f t="shared" ref="E28:E30" si="15">$C$4</f>
        <v>25000</v>
      </c>
      <c r="F28" s="2">
        <f t="shared" si="0"/>
        <v>5040.1273961967381</v>
      </c>
      <c r="G28" s="2">
        <f t="shared" ref="G28:G29" si="16">F28+D28+C28-E28</f>
        <v>64575.65157727951</v>
      </c>
      <c r="H28" s="46"/>
      <c r="I28" s="31">
        <f t="shared" si="13"/>
        <v>10775.646568401047</v>
      </c>
      <c r="J28" s="2">
        <f t="shared" si="9"/>
        <v>2400</v>
      </c>
      <c r="K28" s="2">
        <f t="shared" ref="K28:K30" si="17">$C$4</f>
        <v>25000</v>
      </c>
      <c r="L28" s="2">
        <f t="shared" si="10"/>
        <v>661.23193371717934</v>
      </c>
      <c r="M28" s="2">
        <f t="shared" si="11"/>
        <v>-11163.121497881773</v>
      </c>
      <c r="N28" s="50">
        <f>G30</f>
        <v>26157.176532241851</v>
      </c>
      <c r="O28" s="45">
        <f t="shared" si="12"/>
        <v>30615.417788024031</v>
      </c>
      <c r="P28" s="2">
        <f t="shared" si="3"/>
        <v>2400</v>
      </c>
      <c r="Q28" s="2">
        <f t="shared" ref="Q28:Q30" si="18">$C$4</f>
        <v>25000</v>
      </c>
      <c r="R28" s="2">
        <f t="shared" si="4"/>
        <v>1878.6707393409197</v>
      </c>
      <c r="S28" s="13">
        <f t="shared" si="5"/>
        <v>9894.0885273649474</v>
      </c>
      <c r="T28" s="40"/>
    </row>
    <row r="29" spans="2:20" x14ac:dyDescent="0.3">
      <c r="B29" s="27">
        <f t="shared" si="6"/>
        <v>21</v>
      </c>
      <c r="C29" s="45">
        <f t="shared" si="14"/>
        <v>64575.65157727951</v>
      </c>
      <c r="D29" s="2">
        <f t="shared" si="2"/>
        <v>2400</v>
      </c>
      <c r="E29" s="2">
        <f t="shared" si="15"/>
        <v>25000</v>
      </c>
      <c r="F29" s="2">
        <f t="shared" si="0"/>
        <v>3962.5912647047226</v>
      </c>
      <c r="G29" s="2">
        <f t="shared" si="16"/>
        <v>45938.242841984233</v>
      </c>
      <c r="H29" s="46"/>
      <c r="I29" s="31">
        <f>IF(N28&gt;M28,N28,M28)</f>
        <v>26157.176532241851</v>
      </c>
      <c r="J29" s="2">
        <f t="shared" si="9"/>
        <v>2400</v>
      </c>
      <c r="K29" s="2">
        <f t="shared" si="17"/>
        <v>25000</v>
      </c>
      <c r="L29" s="2">
        <f>I29*(1+($C$2/$C$5))^($C$5*$C$6)-I29</f>
        <v>1605.0972263432704</v>
      </c>
      <c r="M29" s="2">
        <f t="shared" si="11"/>
        <v>5162.273758585121</v>
      </c>
      <c r="N29" s="50"/>
      <c r="O29" s="45">
        <f t="shared" si="12"/>
        <v>9894.0885273649474</v>
      </c>
      <c r="P29" s="2">
        <f t="shared" si="3"/>
        <v>2400</v>
      </c>
      <c r="Q29" s="2">
        <f t="shared" si="18"/>
        <v>25000</v>
      </c>
      <c r="R29" s="2">
        <f t="shared" si="4"/>
        <v>607.13640223718539</v>
      </c>
      <c r="S29" s="13">
        <f t="shared" si="5"/>
        <v>-12098.775070397867</v>
      </c>
      <c r="T29" s="40"/>
    </row>
    <row r="30" spans="2:20" x14ac:dyDescent="0.3">
      <c r="B30" s="27">
        <f t="shared" si="6"/>
        <v>22</v>
      </c>
      <c r="C30" s="45">
        <f t="shared" si="14"/>
        <v>45938.242841984233</v>
      </c>
      <c r="D30" s="2">
        <f t="shared" si="2"/>
        <v>2400</v>
      </c>
      <c r="E30" s="2">
        <f t="shared" si="15"/>
        <v>25000</v>
      </c>
      <c r="F30" s="2">
        <f t="shared" si="0"/>
        <v>2818.9336902576179</v>
      </c>
      <c r="G30" s="2">
        <f>F30+D30+C30-E30</f>
        <v>26157.176532241851</v>
      </c>
      <c r="H30" s="46"/>
      <c r="I30" s="31">
        <f t="shared" si="13"/>
        <v>5162.273758585121</v>
      </c>
      <c r="J30" s="2">
        <f t="shared" si="9"/>
        <v>2400</v>
      </c>
      <c r="K30" s="2">
        <f t="shared" si="17"/>
        <v>25000</v>
      </c>
      <c r="L30" s="2">
        <f t="shared" si="10"/>
        <v>316.77544712504459</v>
      </c>
      <c r="M30" s="2">
        <f t="shared" si="11"/>
        <v>-17120.950794289834</v>
      </c>
      <c r="N30" s="50"/>
      <c r="O30" s="45">
        <f t="shared" si="12"/>
        <v>0</v>
      </c>
      <c r="P30" s="2">
        <f t="shared" si="3"/>
        <v>2400</v>
      </c>
      <c r="Q30" s="2">
        <f t="shared" si="18"/>
        <v>25000</v>
      </c>
      <c r="R30" s="2">
        <f t="shared" si="4"/>
        <v>0</v>
      </c>
      <c r="S30" s="13">
        <f t="shared" si="5"/>
        <v>-22600</v>
      </c>
      <c r="T30" s="40"/>
    </row>
    <row r="31" spans="2:20" x14ac:dyDescent="0.3">
      <c r="B31" s="27">
        <f t="shared" si="6"/>
        <v>23</v>
      </c>
      <c r="C31" s="45">
        <f t="shared" si="14"/>
        <v>26157.176532241851</v>
      </c>
      <c r="D31" s="2"/>
      <c r="E31" s="2"/>
      <c r="F31" s="2"/>
      <c r="G31" s="2"/>
      <c r="H31" s="46"/>
      <c r="I31" s="31">
        <f t="shared" si="13"/>
        <v>0</v>
      </c>
      <c r="J31" s="2"/>
      <c r="K31" s="2"/>
      <c r="L31" s="2">
        <f t="shared" si="10"/>
        <v>0</v>
      </c>
      <c r="M31" s="2">
        <f t="shared" si="11"/>
        <v>0</v>
      </c>
      <c r="N31" s="50"/>
      <c r="O31" s="45">
        <f t="shared" si="12"/>
        <v>0</v>
      </c>
      <c r="P31" s="2"/>
      <c r="Q31" s="2"/>
      <c r="R31" s="2">
        <f t="shared" si="4"/>
        <v>0</v>
      </c>
      <c r="S31" s="13">
        <f t="shared" si="5"/>
        <v>0</v>
      </c>
      <c r="T31" s="40"/>
    </row>
    <row r="32" spans="2:20" x14ac:dyDescent="0.3">
      <c r="B32" s="27">
        <f t="shared" si="6"/>
        <v>24</v>
      </c>
      <c r="C32" s="45">
        <f t="shared" si="14"/>
        <v>0</v>
      </c>
      <c r="D32" s="2"/>
      <c r="E32" s="2"/>
      <c r="F32" s="2"/>
      <c r="G32" s="2"/>
      <c r="H32" s="46"/>
      <c r="I32" s="31">
        <f t="shared" si="13"/>
        <v>0</v>
      </c>
      <c r="J32" s="2"/>
      <c r="K32" s="2"/>
      <c r="L32" s="2">
        <f t="shared" si="10"/>
        <v>0</v>
      </c>
      <c r="M32" s="2">
        <f t="shared" si="11"/>
        <v>0</v>
      </c>
      <c r="N32" s="50"/>
      <c r="O32" s="45">
        <f t="shared" si="12"/>
        <v>0</v>
      </c>
      <c r="P32" s="2"/>
      <c r="Q32" s="2"/>
      <c r="R32" s="2">
        <f t="shared" si="4"/>
        <v>0</v>
      </c>
      <c r="S32" s="13">
        <f t="shared" si="5"/>
        <v>0</v>
      </c>
      <c r="T32" s="40"/>
    </row>
    <row r="33" spans="2:20" x14ac:dyDescent="0.3">
      <c r="B33" s="27">
        <f t="shared" si="6"/>
        <v>25</v>
      </c>
      <c r="C33" s="45">
        <f t="shared" si="14"/>
        <v>0</v>
      </c>
      <c r="D33" s="2"/>
      <c r="E33" s="2"/>
      <c r="F33" s="2"/>
      <c r="G33" s="2"/>
      <c r="H33" s="46"/>
      <c r="I33" s="31">
        <f t="shared" si="13"/>
        <v>0</v>
      </c>
      <c r="J33" s="2"/>
      <c r="K33" s="2"/>
      <c r="L33" s="2">
        <f t="shared" si="10"/>
        <v>0</v>
      </c>
      <c r="M33" s="2">
        <f t="shared" si="11"/>
        <v>0</v>
      </c>
      <c r="N33" s="50"/>
      <c r="O33" s="45">
        <f t="shared" si="12"/>
        <v>0</v>
      </c>
      <c r="P33" s="2"/>
      <c r="Q33" s="2"/>
      <c r="R33" s="2">
        <f t="shared" si="4"/>
        <v>0</v>
      </c>
      <c r="S33" s="13">
        <f t="shared" si="5"/>
        <v>0</v>
      </c>
      <c r="T33" s="40"/>
    </row>
    <row r="34" spans="2:20" ht="15" thickBot="1" x14ac:dyDescent="0.35">
      <c r="B34" s="27">
        <f t="shared" si="6"/>
        <v>26</v>
      </c>
      <c r="C34" s="45">
        <f t="shared" si="14"/>
        <v>0</v>
      </c>
      <c r="D34" s="48"/>
      <c r="E34" s="48"/>
      <c r="F34" s="48"/>
      <c r="G34" s="48"/>
      <c r="H34" s="49"/>
      <c r="I34" s="31">
        <f t="shared" si="13"/>
        <v>0</v>
      </c>
      <c r="J34" s="48"/>
      <c r="K34" s="48"/>
      <c r="L34" s="48">
        <f t="shared" si="10"/>
        <v>0</v>
      </c>
      <c r="M34" s="48">
        <f t="shared" si="11"/>
        <v>0</v>
      </c>
      <c r="N34" s="42"/>
      <c r="O34" s="45">
        <f t="shared" si="12"/>
        <v>0</v>
      </c>
      <c r="P34" s="48"/>
      <c r="Q34" s="48"/>
      <c r="R34" s="48">
        <f t="shared" si="4"/>
        <v>0</v>
      </c>
      <c r="S34" s="51">
        <f t="shared" si="5"/>
        <v>0</v>
      </c>
      <c r="T34" s="42"/>
    </row>
  </sheetData>
  <conditionalFormatting sqref="G9:G34">
    <cfRule type="cellIs" dxfId="2" priority="1" operator="lessThan">
      <formula>0</formula>
    </cfRule>
  </conditionalFormatting>
  <conditionalFormatting sqref="M12:M34">
    <cfRule type="cellIs" dxfId="1" priority="3" operator="lessThan">
      <formula>0</formula>
    </cfRule>
  </conditionalFormatting>
  <conditionalFormatting sqref="S9:S34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Katy (Old) House Pay Off</vt:lpstr>
      <vt:lpstr>Jordan IRA Projection</vt:lpstr>
      <vt:lpstr>Matt IRA Projection</vt:lpstr>
      <vt:lpstr>Matt 401K Projection</vt:lpstr>
      <vt:lpstr>Combined Accounts Estimate</vt:lpstr>
      <vt:lpstr>Net Worth</vt:lpstr>
      <vt:lpstr>Projection College Cost by year</vt:lpstr>
      <vt:lpstr>Projection College Cost Per Kid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Smith</dc:creator>
  <cp:lastModifiedBy>Matt Smith</cp:lastModifiedBy>
  <dcterms:created xsi:type="dcterms:W3CDTF">2017-03-12T01:27:28Z</dcterms:created>
  <dcterms:modified xsi:type="dcterms:W3CDTF">2025-09-14T20:45:03Z</dcterms:modified>
</cp:coreProperties>
</file>