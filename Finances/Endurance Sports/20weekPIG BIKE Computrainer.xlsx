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600" windowWidth="20730" windowHeight="11760" activeTab="2"/>
  </bookViews>
  <sheets>
    <sheet name="Program Notes" sheetId="1" r:id="rId1"/>
    <sheet name="TEST SET" sheetId="2" r:id="rId2"/>
    <sheet name="Wks 1-5" sheetId="3" r:id="rId3"/>
    <sheet name="Wks 6-10" sheetId="4" r:id="rId4"/>
    <sheet name="Wks 11-15" sheetId="5" r:id="rId5"/>
    <sheet name="Wks 16-20" sheetId="6" r:id="rId6"/>
    <sheet name="Abstract" sheetId="7" r:id="rId7"/>
  </sheets>
  <calcPr calcId="144525"/>
</workbook>
</file>

<file path=xl/calcChain.xml><?xml version="1.0" encoding="utf-8"?>
<calcChain xmlns="http://schemas.openxmlformats.org/spreadsheetml/2006/main">
  <c r="C45" i="6" l="1"/>
  <c r="AL37" i="6" s="1"/>
  <c r="N37" i="6"/>
  <c r="V32" i="6"/>
  <c r="AD31" i="6"/>
  <c r="AL30" i="6"/>
  <c r="F30" i="6"/>
  <c r="F25" i="6"/>
  <c r="F24" i="6"/>
  <c r="F23" i="6"/>
  <c r="F18" i="6"/>
  <c r="N17" i="6"/>
  <c r="V16" i="6"/>
  <c r="AD15" i="6"/>
  <c r="AD10" i="6"/>
  <c r="AD9" i="6"/>
  <c r="AD8" i="6"/>
  <c r="AD7" i="6"/>
  <c r="AD6" i="6"/>
  <c r="AL5" i="6"/>
  <c r="F5" i="6"/>
  <c r="C45" i="5"/>
  <c r="AL37" i="5" s="1"/>
  <c r="C44" i="4"/>
  <c r="AL36" i="4" s="1"/>
  <c r="C46" i="3"/>
  <c r="AD38" i="3" s="1"/>
  <c r="U34" i="3"/>
  <c r="M34" i="3"/>
  <c r="AC20" i="3"/>
  <c r="U20" i="3"/>
  <c r="M20" i="3"/>
  <c r="D8" i="2"/>
  <c r="N6" i="3" l="1"/>
  <c r="F18" i="3"/>
  <c r="AD24" i="3"/>
  <c r="V38" i="3"/>
  <c r="F10" i="3"/>
  <c r="AD18" i="3"/>
  <c r="AD25" i="3"/>
  <c r="N5" i="3"/>
  <c r="F8" i="3"/>
  <c r="N10" i="3"/>
  <c r="F17" i="3"/>
  <c r="V19" i="3"/>
  <c r="V26" i="3"/>
  <c r="V32" i="3"/>
  <c r="F9" i="3"/>
  <c r="F12" i="3"/>
  <c r="AD31" i="3"/>
  <c r="AL33" i="3"/>
  <c r="F7" i="3"/>
  <c r="N12" i="3"/>
  <c r="N32" i="3"/>
  <c r="F6" i="3"/>
  <c r="N8" i="3"/>
  <c r="F11" i="3"/>
  <c r="AL17" i="3"/>
  <c r="AD19" i="3"/>
  <c r="V24" i="3"/>
  <c r="AD26" i="3"/>
  <c r="N33" i="3"/>
  <c r="N38" i="3"/>
  <c r="V5" i="3"/>
  <c r="N7" i="3"/>
  <c r="N9" i="3"/>
  <c r="N11" i="3"/>
  <c r="N17" i="3"/>
  <c r="AL18" i="3"/>
  <c r="V25" i="3"/>
  <c r="V31" i="3"/>
  <c r="F33" i="3"/>
  <c r="V36" i="4"/>
  <c r="F8" i="5"/>
  <c r="AL15" i="5"/>
  <c r="N23" i="5"/>
  <c r="F31" i="5"/>
  <c r="AD7" i="5"/>
  <c r="AD15" i="5"/>
  <c r="F23" i="5"/>
  <c r="AL30" i="5"/>
  <c r="AL5" i="5"/>
  <c r="AD9" i="5"/>
  <c r="N17" i="5"/>
  <c r="F25" i="5"/>
  <c r="V32" i="5"/>
  <c r="F6" i="5"/>
  <c r="F10" i="5"/>
  <c r="V17" i="5"/>
  <c r="N25" i="5"/>
  <c r="AD32" i="5"/>
  <c r="F5" i="5"/>
  <c r="AD6" i="5"/>
  <c r="AD8" i="5"/>
  <c r="AD10" i="5"/>
  <c r="V16" i="5"/>
  <c r="F18" i="5"/>
  <c r="F24" i="5"/>
  <c r="F30" i="5"/>
  <c r="AD31" i="5"/>
  <c r="N37" i="5"/>
  <c r="N5" i="5"/>
  <c r="F7" i="5"/>
  <c r="F9" i="5"/>
  <c r="F15" i="5"/>
  <c r="AD16" i="5"/>
  <c r="N18" i="5"/>
  <c r="N24" i="5"/>
  <c r="N30" i="5"/>
  <c r="AL31" i="5"/>
  <c r="V37" i="5"/>
  <c r="F5" i="4"/>
  <c r="F6" i="4"/>
  <c r="N7" i="4"/>
  <c r="AD8" i="4"/>
  <c r="F10" i="4"/>
  <c r="N15" i="4"/>
  <c r="V16" i="4"/>
  <c r="V17" i="4"/>
  <c r="F23" i="4"/>
  <c r="V24" i="4"/>
  <c r="N30" i="4"/>
  <c r="AD31" i="4"/>
  <c r="N5" i="4"/>
  <c r="N6" i="4"/>
  <c r="AD7" i="4"/>
  <c r="F9" i="4"/>
  <c r="N10" i="4"/>
  <c r="AD15" i="4"/>
  <c r="AD16" i="4"/>
  <c r="AD17" i="4"/>
  <c r="N23" i="4"/>
  <c r="N29" i="4"/>
  <c r="AD30" i="4"/>
  <c r="AL31" i="4"/>
  <c r="V5" i="4"/>
  <c r="AD6" i="4"/>
  <c r="F8" i="4"/>
  <c r="N9" i="4"/>
  <c r="AD10" i="4"/>
  <c r="AL15" i="4"/>
  <c r="AL16" i="4"/>
  <c r="F22" i="4"/>
  <c r="F24" i="4"/>
  <c r="V29" i="4"/>
  <c r="AL30" i="4"/>
  <c r="AL5" i="4"/>
  <c r="F7" i="4"/>
  <c r="N8" i="4"/>
  <c r="AD9" i="4"/>
  <c r="F15" i="4"/>
  <c r="F16" i="4"/>
  <c r="N17" i="4"/>
  <c r="V22" i="4"/>
  <c r="N24" i="4"/>
  <c r="AL29" i="4"/>
  <c r="V31" i="4"/>
  <c r="AD36" i="4"/>
  <c r="AD5" i="3"/>
  <c r="V7" i="3"/>
  <c r="V9" i="3"/>
  <c r="V11" i="3"/>
  <c r="F5" i="3"/>
  <c r="AL5" i="3"/>
  <c r="AD6" i="3"/>
  <c r="AD7" i="3"/>
  <c r="AD8" i="3"/>
  <c r="AD9" i="3"/>
  <c r="AD10" i="3"/>
  <c r="AD11" i="3"/>
  <c r="AD12" i="3"/>
  <c r="AD17" i="3"/>
  <c r="V18" i="3"/>
  <c r="N19" i="3"/>
  <c r="N24" i="3"/>
  <c r="N25" i="3"/>
  <c r="N26" i="3"/>
  <c r="N31" i="3"/>
  <c r="F32" i="3"/>
  <c r="AL32" i="3"/>
  <c r="AD33" i="3"/>
  <c r="F38" i="3"/>
  <c r="AL38" i="3"/>
  <c r="N22" i="4"/>
  <c r="V23" i="4"/>
  <c r="F29" i="4"/>
  <c r="F30" i="4"/>
  <c r="F31" i="4"/>
  <c r="N36" i="4"/>
  <c r="V6" i="3"/>
  <c r="V8" i="3"/>
  <c r="V10" i="3"/>
  <c r="V12" i="3"/>
  <c r="V17" i="3"/>
  <c r="N18" i="3"/>
  <c r="F19" i="3"/>
  <c r="AL19" i="3"/>
  <c r="F24" i="3"/>
  <c r="F25" i="3"/>
  <c r="F26" i="3"/>
  <c r="F31" i="3"/>
  <c r="AL31" i="3"/>
  <c r="AD32" i="3"/>
  <c r="V33" i="3"/>
  <c r="AD5" i="4"/>
  <c r="V6" i="4"/>
  <c r="V7" i="4"/>
  <c r="V8" i="4"/>
  <c r="V9" i="4"/>
  <c r="V10" i="4"/>
  <c r="V15" i="4"/>
  <c r="N16" i="4"/>
  <c r="F17" i="4"/>
  <c r="AL17" i="4"/>
  <c r="AD22" i="4"/>
  <c r="AD23" i="4"/>
  <c r="AD24" i="4"/>
  <c r="AD29" i="4"/>
  <c r="V30" i="4"/>
  <c r="N31" i="4"/>
  <c r="F36" i="4"/>
  <c r="V5" i="5"/>
  <c r="N6" i="5"/>
  <c r="N7" i="5"/>
  <c r="N8" i="5"/>
  <c r="N9" i="5"/>
  <c r="N10" i="5"/>
  <c r="N15" i="5"/>
  <c r="F16" i="5"/>
  <c r="AL16" i="5"/>
  <c r="AD17" i="5"/>
  <c r="V18" i="5"/>
  <c r="V23" i="5"/>
  <c r="V24" i="5"/>
  <c r="V25" i="5"/>
  <c r="V30" i="5"/>
  <c r="N31" i="5"/>
  <c r="F32" i="5"/>
  <c r="AL32" i="5"/>
  <c r="AD37" i="5"/>
  <c r="N5" i="6"/>
  <c r="F6" i="6"/>
  <c r="F7" i="6"/>
  <c r="F8" i="6"/>
  <c r="F9" i="6"/>
  <c r="F10" i="6"/>
  <c r="F15" i="6"/>
  <c r="AL15" i="6"/>
  <c r="AD16" i="6"/>
  <c r="V17" i="6"/>
  <c r="N18" i="6"/>
  <c r="N23" i="6"/>
  <c r="N24" i="6"/>
  <c r="N25" i="6"/>
  <c r="N30" i="6"/>
  <c r="F31" i="6"/>
  <c r="AL31" i="6"/>
  <c r="AD32" i="6"/>
  <c r="V37" i="6"/>
  <c r="AD5" i="5"/>
  <c r="V6" i="5"/>
  <c r="V7" i="5"/>
  <c r="V8" i="5"/>
  <c r="V9" i="5"/>
  <c r="V10" i="5"/>
  <c r="V15" i="5"/>
  <c r="N16" i="5"/>
  <c r="F17" i="5"/>
  <c r="AL17" i="5"/>
  <c r="AD18" i="5"/>
  <c r="AD23" i="5"/>
  <c r="AD24" i="5"/>
  <c r="AD25" i="5"/>
  <c r="AD30" i="5"/>
  <c r="V31" i="5"/>
  <c r="N32" i="5"/>
  <c r="F37" i="5"/>
  <c r="V5" i="6"/>
  <c r="N6" i="6"/>
  <c r="N7" i="6"/>
  <c r="N8" i="6"/>
  <c r="N9" i="6"/>
  <c r="N10" i="6"/>
  <c r="N15" i="6"/>
  <c r="F16" i="6"/>
  <c r="AL16" i="6"/>
  <c r="AD17" i="6"/>
  <c r="V18" i="6"/>
  <c r="V23" i="6"/>
  <c r="V24" i="6"/>
  <c r="V25" i="6"/>
  <c r="V30" i="6"/>
  <c r="N31" i="6"/>
  <c r="F32" i="6"/>
  <c r="AL32" i="6"/>
  <c r="AD37" i="6"/>
  <c r="AD5" i="6"/>
  <c r="V6" i="6"/>
  <c r="V7" i="6"/>
  <c r="V8" i="6"/>
  <c r="V9" i="6"/>
  <c r="V10" i="6"/>
  <c r="V15" i="6"/>
  <c r="N16" i="6"/>
  <c r="F17" i="6"/>
  <c r="AL17" i="6"/>
  <c r="AD18" i="6"/>
  <c r="AD23" i="6"/>
  <c r="AD24" i="6"/>
  <c r="AD25" i="6"/>
  <c r="AD30" i="6"/>
  <c r="V31" i="6"/>
  <c r="N32" i="6"/>
  <c r="F37" i="6"/>
</calcChain>
</file>

<file path=xl/sharedStrings.xml><?xml version="1.0" encoding="utf-8"?>
<sst xmlns="http://schemas.openxmlformats.org/spreadsheetml/2006/main" count="2229" uniqueCount="244">
  <si>
    <t>20 weeks to 10% - Performance.Improvement.Guarantee</t>
  </si>
  <si>
    <t>By Simon Ward</t>
  </si>
  <si>
    <t>Triathlon Coach, Leeds, UK</t>
  </si>
  <si>
    <r>
      <rPr>
        <u/>
        <sz val="10"/>
        <color indexed="11"/>
        <rFont val="Arial"/>
      </rPr>
      <t>simon@thetriathloncoach.com</t>
    </r>
  </si>
  <si>
    <t>CompuTrainer guarantees that you can improve your bike performance by 10% in 20 weeks.</t>
  </si>
  <si>
    <t>This program is designed to help you achieve that goal.</t>
  </si>
  <si>
    <t xml:space="preserve">It won't be easy, but then nothing worth having comes easy!!!. </t>
  </si>
  <si>
    <t>But I know from experiences from some of the athletes that I coach that 10% is possible in this time and not just</t>
  </si>
  <si>
    <t>from novice riders. Now its your turn to see what you can do</t>
  </si>
  <si>
    <t>This workout is not for the faint hearted. If you don’t like hard work and pain, then this is not for you!</t>
  </si>
  <si>
    <t>If you want to be a faster cyclist then this is where you start!!</t>
  </si>
  <si>
    <t>Do Not start this program unless you are fit and have been training consistently for at least 6 months</t>
  </si>
  <si>
    <t xml:space="preserve">Always consult your Physician before you begin a new exercise program especially if you are over 35 </t>
  </si>
  <si>
    <t>and or have not exercised for 6 months</t>
  </si>
  <si>
    <t>To get the most from this test you must complete a CP30 test before you start</t>
  </si>
  <si>
    <t>Click on the "TEST SET" tab below for details of how to do this</t>
  </si>
  <si>
    <t>What is a CP 30 test</t>
  </si>
  <si>
    <t xml:space="preserve">The CP30 test is simply a 30 minute Time Trial. </t>
  </si>
  <si>
    <t>The goal of this test is to establish the average power that you can hold over this duration.</t>
  </si>
  <si>
    <t>CP is shorthand for Critical Power and the 30 relates to the duration, hence CP30.</t>
  </si>
  <si>
    <t>As far as this program is concerned it serves as:</t>
  </si>
  <si>
    <t>1. A benchmark for measuring future improvements.</t>
  </si>
  <si>
    <t>2. The start point for setting your program training levels.</t>
  </si>
  <si>
    <t>How can I relate this to my racing</t>
  </si>
  <si>
    <t>If you use a Power Meter then this wattage is similar to that which you can hold for a 10 mile time trial.</t>
  </si>
  <si>
    <t>If you multiply the result by 0.93 then it is similar to the power you can hold for 1hr (roughly 25m TT distance)</t>
  </si>
  <si>
    <t>If you multiply by 0.65 then you should be able to hold this power for an Ironman distance race</t>
  </si>
  <si>
    <t>What if I can't do all of the workouts in a week</t>
  </si>
  <si>
    <t>Over the 20 week duration of this program there will undoubtedly be times when it's not possible for you</t>
  </si>
  <si>
    <t xml:space="preserve">to complete all of the sessions. The key sessions are highlighted with *1, *2 etc. *1 is the highest priority </t>
  </si>
  <si>
    <t>session. Make sure that you do the key sessions each week.</t>
  </si>
  <si>
    <t>Getting the most from the program</t>
  </si>
  <si>
    <t>Training is only half of the equation. In order for you to get the optimal results from your training you also need</t>
  </si>
  <si>
    <t>to recover. You must have a good warm up and cool down before and after each session.</t>
  </si>
  <si>
    <t>Stay hydrated by drinking water or a sports drink during the longer workouts</t>
  </si>
  <si>
    <t>You should aim to consume a small carbohydrate/protein meal after each session and then a larger meal within 2 hours.</t>
  </si>
  <si>
    <t>How do I monitor my progress</t>
  </si>
  <si>
    <t>At the end of every 5 week cycle there is a recovery week. The key session of this week is a repeat CP30 test.</t>
  </si>
  <si>
    <t xml:space="preserve">You MUST make sure that every session in the week is of a low enough intensity to allow full recovery before </t>
  </si>
  <si>
    <t>you do this test…otherwise the result could be lower than it should be.</t>
  </si>
  <si>
    <t xml:space="preserve">Planning your training week is the key to good progress. </t>
  </si>
  <si>
    <t xml:space="preserve">Session #1 &amp; #2 are the toughest so they should be planned with at least 72 hours between them.  If you are a </t>
  </si>
  <si>
    <t xml:space="preserve">triathlete, then don’t forget about the toll from your other training as well. A tough track session the day before </t>
  </si>
  <si>
    <t>the #1 Intervals program is not the most sensible route.</t>
  </si>
  <si>
    <t>Course Recommendations</t>
  </si>
  <si>
    <r>
      <rPr>
        <sz val="10"/>
        <color indexed="8"/>
        <rFont val="Tahoma"/>
      </rPr>
      <t xml:space="preserve">For </t>
    </r>
    <r>
      <rPr>
        <b/>
        <sz val="10"/>
        <color indexed="8"/>
        <rFont val="Tahoma"/>
      </rPr>
      <t>Tempo</t>
    </r>
    <r>
      <rPr>
        <sz val="10"/>
        <color indexed="8"/>
        <rFont val="Tahoma"/>
      </rPr>
      <t xml:space="preserve"> rides you are looking for a course with varied elevation, but mild grades, and it needs to be long enough </t>
    </r>
  </si>
  <si>
    <t>that it doesn't end before your workout is over.  A list of reccomendations is available from the free courses area</t>
  </si>
  <si>
    <t>of the Racermate Website (www.racermateinc.com)</t>
  </si>
  <si>
    <r>
      <rPr>
        <sz val="10"/>
        <color indexed="8"/>
        <rFont val="Tahoma"/>
      </rPr>
      <t xml:space="preserve">For </t>
    </r>
    <r>
      <rPr>
        <b/>
        <sz val="10"/>
        <color indexed="8"/>
        <rFont val="Tahoma"/>
      </rPr>
      <t>Endurance</t>
    </r>
    <r>
      <rPr>
        <sz val="10"/>
        <color indexed="8"/>
        <rFont val="Tahoma"/>
      </rPr>
      <t xml:space="preserve"> rides any full or half Ironman length course will work just fine.  </t>
    </r>
  </si>
  <si>
    <t xml:space="preserve"> </t>
  </si>
  <si>
    <t>CompuTrainer Session 1 - TEST SET</t>
  </si>
  <si>
    <t>Set</t>
  </si>
  <si>
    <t>Duration</t>
  </si>
  <si>
    <t xml:space="preserve">Instructions - Use a flat course of 15 miles length. </t>
  </si>
  <si>
    <t>Warm up</t>
  </si>
  <si>
    <t>progressive</t>
  </si>
  <si>
    <t>Progressively build intensity up to approximately 90% MHR (Max Heart Rate) for 4-5 minutes between minutes 20-25 then ride very EZ for 5 minutes</t>
  </si>
  <si>
    <t>Set 1</t>
  </si>
  <si>
    <t xml:space="preserve">Continuous set </t>
  </si>
  <si>
    <t xml:space="preserve">Ride this course as hard as you can. At the end of the ride save the performance and note the average wattage for the entire ride. This will be the basis for your training during the next 5 weeks &amp; is known as CP30.  Also record the average HR especially for the last 20 mins </t>
  </si>
  <si>
    <t>Cool Down</t>
  </si>
  <si>
    <t>reducing</t>
  </si>
  <si>
    <t>From gear that you finish main set. Change down every 1 min</t>
  </si>
  <si>
    <t>Total (mins)</t>
  </si>
  <si>
    <t>&lt;&lt;&lt; ENTER RESULT HERE</t>
  </si>
  <si>
    <t>Week 1</t>
  </si>
  <si>
    <t>Week 2</t>
  </si>
  <si>
    <t>Week 3</t>
  </si>
  <si>
    <t>Week 4</t>
  </si>
  <si>
    <t>Week 5</t>
  </si>
  <si>
    <t>CompuTrainer Session 1 - Intervals</t>
  </si>
  <si>
    <t>CompuTrainer Session 1- Active Recovery</t>
  </si>
  <si>
    <t>Sets</t>
  </si>
  <si>
    <t>Intensity (% CP 30)</t>
  </si>
  <si>
    <t>Actual Watts</t>
  </si>
  <si>
    <t>Instructions - Construct an interval workout using Coaching Software</t>
  </si>
  <si>
    <t>Instructions - Choose any 3D course that isn't too hilly</t>
  </si>
  <si>
    <t>Warm Up</t>
  </si>
  <si>
    <t>10m00s</t>
  </si>
  <si>
    <t>up to 70%</t>
  </si>
  <si>
    <t>Progressive build to prescribed wattage by minute 7. HOLD this for 2 minutes, then ride easy for the last minute.</t>
  </si>
  <si>
    <t>Progressive</t>
  </si>
  <si>
    <t>45m00s</t>
  </si>
  <si>
    <t xml:space="preserve">up to 60% </t>
  </si>
  <si>
    <t>This is an active recovery ride.  Make sure that you stay under 60%CP30 for the whole ride</t>
  </si>
  <si>
    <t>30s</t>
  </si>
  <si>
    <t>A series of 30s intervals to continue raising the HR</t>
  </si>
  <si>
    <t>Set 2</t>
  </si>
  <si>
    <t>A series of intervals designed to help you improve your CP30 score</t>
  </si>
  <si>
    <t>20m00s</t>
  </si>
  <si>
    <t>5m00s</t>
  </si>
  <si>
    <t>Set 3</t>
  </si>
  <si>
    <t>2m30s</t>
  </si>
  <si>
    <t>1m15s</t>
  </si>
  <si>
    <t>EZ spin @ &lt;50%CP30</t>
  </si>
  <si>
    <t xml:space="preserve">EZ spin </t>
  </si>
  <si>
    <t>1hr25m</t>
  </si>
  <si>
    <t>1hr20m</t>
  </si>
  <si>
    <t>1hr15m</t>
  </si>
  <si>
    <t>CompuTrainer Session 2- Tempo</t>
  </si>
  <si>
    <t>CompuTrainer Session 2- Endurance</t>
  </si>
  <si>
    <t>Instructions - Run the Tempo course of your choice in the 3D software</t>
  </si>
  <si>
    <t>Instructions - Run the Endurance course of your choice in the 3D Software</t>
  </si>
  <si>
    <t>15m00s</t>
  </si>
  <si>
    <t>up to 75%</t>
  </si>
  <si>
    <t xml:space="preserve">Ride the first 15 mins of the course and build avge watts to 75% CP </t>
  </si>
  <si>
    <t>up to 50%</t>
  </si>
  <si>
    <t xml:space="preserve">Ride the first 15 mins of the course and build avge watts to 50% CP </t>
  </si>
  <si>
    <t>Reset the course and then hold the prescribed wattage for the duration of the ride. On hills you can push up to 20 watts higher than prescribed and on the descents go 20 watts under prescribed level. By the time you reach the cool down your average watts should read +/- 2 watts from that shown.</t>
  </si>
  <si>
    <t>50m00s</t>
  </si>
  <si>
    <t>Reset the course and then hold the prescribed wattage for the duration of the ride. On hills you can push up to 20 watts higher than prescribed and on the descents go 20 watts under prescribed level. By the time you reach the cool down your avge watts should read +/- 2 watts from that shown.</t>
  </si>
  <si>
    <t>55m00s</t>
  </si>
  <si>
    <t>40m00s</t>
  </si>
  <si>
    <t>Reducing</t>
  </si>
  <si>
    <t>1hr00m</t>
  </si>
  <si>
    <t>Road Ride- Endurance</t>
  </si>
  <si>
    <t>CompuTrainer Session 3 - TEST SET</t>
  </si>
  <si>
    <t>Instructions - Use a flat course of 15 miles length</t>
  </si>
  <si>
    <t>up to 60%</t>
  </si>
  <si>
    <t>Ride the first 15 mins of the course and build to 60% CP 30</t>
  </si>
  <si>
    <t>30m00s</t>
  </si>
  <si>
    <t>progressively build intensity up to approximately 90% of your current CP30 for 4-5 minutes, between minutes 20-25,  then ride very EZ for 5 minutes</t>
  </si>
  <si>
    <t>90m00s</t>
  </si>
  <si>
    <t>Ride steady for this section  aiming to average approx 65-70% CP30</t>
  </si>
  <si>
    <t>105m00s</t>
  </si>
  <si>
    <t>120m00s</t>
  </si>
  <si>
    <t>135m00s</t>
  </si>
  <si>
    <t>2hr00m</t>
  </si>
  <si>
    <t>2hr15m</t>
  </si>
  <si>
    <t>2hr30m</t>
  </si>
  <si>
    <t>2hr45m</t>
  </si>
  <si>
    <t>CompuTrainer Session 3- Tempo</t>
  </si>
  <si>
    <t xml:space="preserve">Ride the first 15 mins of the course and build avge watts to 70% CP </t>
  </si>
  <si>
    <t>60m00s</t>
  </si>
  <si>
    <t>Ride steady for this section  aiming to average approx 70% CP30</t>
  </si>
  <si>
    <t>1hr30m</t>
  </si>
  <si>
    <t>CompuTrainer Session 4 - Active Recovery</t>
  </si>
  <si>
    <t>Use spin scan throughout. Aim to be 50/50 leg power and try to get pink scores as high as possible. This is especially important during the latter part of the session when you are getting tired!!</t>
  </si>
  <si>
    <t>Date</t>
  </si>
  <si>
    <t>CP30</t>
  </si>
  <si>
    <t>Week 6</t>
  </si>
  <si>
    <t>Week 7</t>
  </si>
  <si>
    <t>Week 8</t>
  </si>
  <si>
    <t>Week 9</t>
  </si>
  <si>
    <t>Week 10</t>
  </si>
  <si>
    <t xml:space="preserve">up to 75% </t>
  </si>
  <si>
    <t xml:space="preserve">up to 50% </t>
  </si>
  <si>
    <t>65m00s</t>
  </si>
  <si>
    <t>70m00s</t>
  </si>
  <si>
    <t>75m00s</t>
  </si>
  <si>
    <t xml:space="preserve">up to 70% </t>
  </si>
  <si>
    <t>1hr35m</t>
  </si>
  <si>
    <t>1hr40m</t>
  </si>
  <si>
    <t>1hr45m</t>
  </si>
  <si>
    <t>Week 11</t>
  </si>
  <si>
    <t>Week 12</t>
  </si>
  <si>
    <t>Week 13</t>
  </si>
  <si>
    <t>Week 14</t>
  </si>
  <si>
    <t>Week 15</t>
  </si>
  <si>
    <t>6m00s</t>
  </si>
  <si>
    <t>3m00s</t>
  </si>
  <si>
    <t>1hr18m</t>
  </si>
  <si>
    <t>1hr22m</t>
  </si>
  <si>
    <t>1hr24m</t>
  </si>
  <si>
    <t>CompuTrainer Session 2- Long Intervals</t>
  </si>
  <si>
    <t>Instructions - Consturct an interval workout using Coaching Software</t>
  </si>
  <si>
    <t xml:space="preserve">up to 90% </t>
  </si>
  <si>
    <t xml:space="preserve">Ride the first 15 mins of the course and build avge watts to 90% CP </t>
  </si>
  <si>
    <t>up to 90%</t>
  </si>
  <si>
    <t>Hold prescribed wattage for 20 mins. Its important NOT to go too hard even if you feel good</t>
  </si>
  <si>
    <t>EZ spin recovery</t>
  </si>
  <si>
    <t>150m00s</t>
  </si>
  <si>
    <t>165m00s</t>
  </si>
  <si>
    <t>180m00s</t>
  </si>
  <si>
    <t>195m00s</t>
  </si>
  <si>
    <t>3hr00m</t>
  </si>
  <si>
    <t>3hr15m</t>
  </si>
  <si>
    <t>3hr30m</t>
  </si>
  <si>
    <t>3hr45m</t>
  </si>
  <si>
    <t>Week 16</t>
  </si>
  <si>
    <t>Week 17</t>
  </si>
  <si>
    <t>Week 18</t>
  </si>
  <si>
    <t>Week 19</t>
  </si>
  <si>
    <t>Week 20</t>
  </si>
  <si>
    <t xml:space="preserve"> Progressive build to prescribed wattage by minute 7. HOLD this for 2 minutes, then ride easy for the last minute.</t>
  </si>
  <si>
    <t>2m40s</t>
  </si>
  <si>
    <t>2m20s</t>
  </si>
  <si>
    <t>2m00s</t>
  </si>
  <si>
    <t>210m00s</t>
  </si>
  <si>
    <t>225m00s</t>
  </si>
  <si>
    <t xml:space="preserve">Ride this course as hard as you can. At the end of the ride save the performance and note the average wattage for the entire ride. Also record the average HR especially for the last 20 mins </t>
  </si>
  <si>
    <t>4hr00m</t>
  </si>
  <si>
    <t>4hr15m</t>
  </si>
  <si>
    <t>PROGRAM ABSTRACT</t>
  </si>
  <si>
    <t>To help you reach your goal of a 10% improvement in 20 weeks we have put together a series of sessions for you to do each week.</t>
  </si>
  <si>
    <t xml:space="preserve">The program is divided into 4 x 5 week programs. Thes have been shaded below a) to indicate the change of phase &amp; b) to indicate that with each phase the </t>
  </si>
  <si>
    <t xml:space="preserve">intensity gets a bit hotter - hence the RED HOT final phase. You can view the 4 phases by clicking the tab at the bottom of the page </t>
  </si>
  <si>
    <t>All sessions are based on your CP30 score so you will need to do this tests before you start week 1 - click the "TEST SET" tab at the bottom of the page</t>
  </si>
  <si>
    <t xml:space="preserve">When you have finished the CP30 just take your average wattage and type into the orange box at the bottom of the test set. This will </t>
  </si>
  <si>
    <t>the calculate all of your wattages for every session</t>
  </si>
  <si>
    <t>Thee are 5 session per week for 20 weeks. Ideally you will be able to complete them all, but triathletes (with Swim &amp; Run sessions to do as well) may struggle. If</t>
  </si>
  <si>
    <t xml:space="preserve">you do need to cut some sessions then start with those at the bottom of the list (#5 &amp; #4) and work upwards </t>
  </si>
  <si>
    <t>You should keep in the intervals, tempo ride &amp; endurance road ride (although you could do this on the CT if the weather is bad)</t>
  </si>
  <si>
    <t xml:space="preserve">WEEK  </t>
  </si>
  <si>
    <t>Session</t>
  </si>
  <si>
    <t>Zone</t>
  </si>
  <si>
    <t>4 or 5</t>
  </si>
  <si>
    <t>Type</t>
  </si>
  <si>
    <t>Long Int</t>
  </si>
  <si>
    <t>TEST</t>
  </si>
  <si>
    <t>Short Int</t>
  </si>
  <si>
    <t>Cont</t>
  </si>
  <si>
    <t>1 or 2</t>
  </si>
  <si>
    <t>Road</t>
  </si>
  <si>
    <t>3 or 4</t>
  </si>
  <si>
    <t>AR</t>
  </si>
  <si>
    <t>TRAINING ZONES</t>
  </si>
  <si>
    <t>Different components of fitness are best developed at different intensities of rtaining. In order to help the athlete determine these intensities we can define them as</t>
  </si>
  <si>
    <t>training zones based on anumber of parameters - Rate of Percieved Exertion(RPE), Heart Rate, Power Output</t>
  </si>
  <si>
    <t>You can use all 3 during these sessions although if you are using a CompuTrainer then you will probably find this the most accurate</t>
  </si>
  <si>
    <t>The Training Zones are highlighted below</t>
  </si>
  <si>
    <t>Type of session</t>
  </si>
  <si>
    <t>%CP30</t>
  </si>
  <si>
    <t>Description</t>
  </si>
  <si>
    <t>Active Recovery</t>
  </si>
  <si>
    <t>&lt;55%</t>
  </si>
  <si>
    <t>Very EZ spin to assist recovery. That’s All!!</t>
  </si>
  <si>
    <t>Endurance</t>
  </si>
  <si>
    <t>55-75%</t>
  </si>
  <si>
    <t>Long steady ride. You should finish feeling pleasantly tired. Not exhausted!!</t>
  </si>
  <si>
    <t>Tempo</t>
  </si>
  <si>
    <t>75-90%</t>
  </si>
  <si>
    <t>30-90 minutes in this Zone with padding at Z2. Requires some concentration</t>
  </si>
  <si>
    <t>Threshold</t>
  </si>
  <si>
    <t>90-105%</t>
  </si>
  <si>
    <t>This is about your Max sustainable effort for 20 mins. Make sure you are fresh for this set</t>
  </si>
  <si>
    <t>Vo2max</t>
  </si>
  <si>
    <t>105-120%</t>
  </si>
  <si>
    <t>Expect Pain!!. You are about to enter the RED zone. These sets require EZ days before &amp; after!!</t>
  </si>
  <si>
    <t>Anaerobic Power</t>
  </si>
  <si>
    <t>&gt;120%</t>
  </si>
  <si>
    <t>All out efforts. Use Power Not HR as the reps are too short. Take long rests so you can repeat the effort</t>
  </si>
  <si>
    <t>Bike B47965</t>
  </si>
  <si>
    <t>Bike B47963</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</si>
</sst>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indexed="8"/>
      <name val="Arial"/>
    </font>
    <font>
      <sz val="18"/>
      <color indexed="8"/>
      <name val="Tahoma"/>
    </font>
    <font>
      <b/>
      <sz val="10"/>
      <color indexed="8"/>
      <name val="Tahoma"/>
    </font>
    <font>
      <u/>
      <sz val="10"/>
      <color indexed="11"/>
      <name val="Arial"/>
    </font>
    <font>
      <sz val="10"/>
      <color indexed="8"/>
      <name val="Tahoma"/>
    </font>
    <font>
      <sz val="14"/>
      <color indexed="8"/>
      <name val="Arial"/>
    </font>
    <font>
      <b/>
      <sz val="16"/>
      <color indexed="13"/>
      <name val="Tahoma"/>
    </font>
    <font>
      <b/>
      <sz val="14"/>
      <color indexed="8"/>
      <name val="Tahoma"/>
    </font>
    <font>
      <b/>
      <sz val="14"/>
      <color indexed="8"/>
      <name val="Arial"/>
    </font>
    <font>
      <b/>
      <sz val="12"/>
      <color indexed="8"/>
      <name val="Arial"/>
    </font>
    <font>
      <sz val="12"/>
      <color indexed="8"/>
      <name val="Arial"/>
    </font>
    <font>
      <b/>
      <sz val="20"/>
      <color indexed="8"/>
      <name val="Arial"/>
    </font>
    <font>
      <sz val="12"/>
      <color indexed="11"/>
      <name val="Arial"/>
    </font>
    <font>
      <b/>
      <sz val="12"/>
      <color indexed="8"/>
      <name val="Tahoma"/>
    </font>
    <font>
      <sz val="16"/>
      <color indexed="8"/>
      <name val="Tahoma"/>
    </font>
    <font>
      <b/>
      <sz val="16"/>
      <color indexed="8"/>
      <name val="Tahoma"/>
    </font>
    <font>
      <sz val="12"/>
      <color indexed="8"/>
      <name val="Tahoma"/>
    </font>
    <font>
      <sz val="20"/>
      <color indexed="8"/>
      <name val="Tahoma"/>
    </font>
  </fonts>
  <fills count="11">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13"/>
        <bgColor auto="1"/>
      </patternFill>
    </fill>
  </fills>
  <borders count="5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medium">
        <color indexed="8"/>
      </left>
      <right/>
      <top style="medium">
        <color indexed="8"/>
      </top>
      <bottom/>
      <diagonal/>
    </border>
    <border>
      <left/>
      <right/>
      <top style="medium">
        <color indexed="8"/>
      </top>
      <bottom style="medium">
        <color indexed="8"/>
      </bottom>
      <diagonal/>
    </border>
    <border>
      <left/>
      <right style="medium">
        <color indexed="8"/>
      </right>
      <top style="medium">
        <color indexed="8"/>
      </top>
      <bottom/>
      <diagonal/>
    </border>
    <border>
      <left style="medium">
        <color indexed="8"/>
      </left>
      <right style="medium">
        <color indexed="8"/>
      </right>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bottom/>
      <diagonal/>
    </border>
    <border>
      <left style="thin">
        <color indexed="8"/>
      </left>
      <right style="thin">
        <color indexed="8"/>
      </right>
      <top style="thin">
        <color indexed="8"/>
      </top>
      <bottom style="thin">
        <color indexed="8"/>
      </bottom>
      <diagonal/>
    </border>
    <border>
      <left style="medium">
        <color indexed="8"/>
      </left>
      <right/>
      <top/>
      <bottom/>
      <diagonal/>
    </border>
    <border>
      <left/>
      <right/>
      <top style="thin">
        <color indexed="8"/>
      </top>
      <bottom/>
      <diagonal/>
    </border>
    <border>
      <left/>
      <right style="medium">
        <color indexed="8"/>
      </right>
      <top/>
      <bottom/>
      <diagonal/>
    </border>
    <border>
      <left/>
      <right/>
      <top/>
      <bottom/>
      <diagonal/>
    </border>
    <border>
      <left style="medium">
        <color indexed="8"/>
      </left>
      <right/>
      <top/>
      <bottom style="thin">
        <color indexed="10"/>
      </bottom>
      <diagonal/>
    </border>
    <border>
      <left/>
      <right/>
      <top/>
      <bottom style="thin">
        <color indexed="10"/>
      </bottom>
      <diagonal/>
    </border>
    <border>
      <left/>
      <right style="medium">
        <color indexed="8"/>
      </right>
      <top/>
      <bottom style="thin">
        <color indexed="10"/>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right/>
      <top style="thin">
        <color indexed="8"/>
      </top>
      <bottom style="medium">
        <color indexed="8"/>
      </bottom>
      <diagonal/>
    </border>
    <border>
      <left/>
      <right/>
      <top/>
      <bottom style="medium">
        <color indexed="8"/>
      </bottom>
      <diagonal/>
    </border>
    <border>
      <left/>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medium">
        <color indexed="8"/>
      </right>
      <top style="medium">
        <color indexed="8"/>
      </top>
      <bottom/>
      <diagonal/>
    </border>
    <border>
      <left style="medium">
        <color indexed="8"/>
      </left>
      <right style="thin">
        <color indexed="10"/>
      </right>
      <top style="thin">
        <color indexed="10"/>
      </top>
      <bottom style="thin">
        <color indexed="10"/>
      </bottom>
      <diagonal/>
    </border>
    <border>
      <left style="thin">
        <color indexed="10"/>
      </left>
      <right style="medium">
        <color indexed="8"/>
      </right>
      <top/>
      <bottom/>
      <diagonal/>
    </border>
    <border>
      <left style="medium">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style="thin">
        <color indexed="8"/>
      </top>
      <bottom style="medium">
        <color indexed="8"/>
      </bottom>
      <diagonal/>
    </border>
    <border>
      <left style="thin">
        <color indexed="10"/>
      </left>
      <right style="medium">
        <color indexed="8"/>
      </right>
      <top/>
      <bottom style="medium">
        <color indexed="8"/>
      </bottom>
      <diagonal/>
    </border>
    <border>
      <left style="thin">
        <color indexed="10"/>
      </left>
      <right style="thin">
        <color indexed="10"/>
      </right>
      <top/>
      <bottom style="thin">
        <color indexed="10"/>
      </bottom>
      <diagonal/>
    </border>
    <border>
      <left style="medium">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10"/>
      </left>
      <right style="medium">
        <color indexed="8"/>
      </right>
      <top style="thin">
        <color indexed="10"/>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10"/>
      </right>
      <top style="medium">
        <color indexed="8"/>
      </top>
      <bottom style="thin">
        <color indexed="10"/>
      </bottom>
      <diagonal/>
    </border>
    <border>
      <left style="thin">
        <color indexed="10"/>
      </left>
      <right style="medium">
        <color indexed="8"/>
      </right>
      <top style="medium">
        <color indexed="8"/>
      </top>
      <bottom style="thin">
        <color indexed="10"/>
      </bottom>
      <diagonal/>
    </border>
    <border>
      <left style="thin">
        <color indexed="8"/>
      </left>
      <right style="medium">
        <color indexed="8"/>
      </right>
      <top style="medium">
        <color indexed="8"/>
      </top>
      <bottom style="thin">
        <color indexed="8"/>
      </bottom>
      <diagonal/>
    </border>
    <border>
      <left style="thin">
        <color indexed="10"/>
      </left>
      <right style="medium">
        <color indexed="8"/>
      </right>
      <top style="thin">
        <color indexed="10"/>
      </top>
      <bottom style="thin">
        <color indexed="10"/>
      </bottom>
      <diagonal/>
    </border>
    <border>
      <left style="thin">
        <color indexed="8"/>
      </left>
      <right style="medium">
        <color indexed="8"/>
      </right>
      <top style="thin">
        <color indexed="8"/>
      </top>
      <bottom style="thin">
        <color indexed="8"/>
      </bottom>
      <diagonal/>
    </border>
    <border>
      <left style="medium">
        <color indexed="8"/>
      </left>
      <right style="thin">
        <color indexed="10"/>
      </right>
      <top style="thin">
        <color indexed="10"/>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8"/>
      </right>
      <top/>
      <bottom style="thin">
        <color indexed="8"/>
      </bottom>
      <diagonal/>
    </border>
    <border>
      <left style="thin">
        <color indexed="8"/>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289">
    <xf numFmtId="0" fontId="0" fillId="0" borderId="0" xfId="0" applyFont="1" applyAlignment="1"/>
    <xf numFmtId="0" fontId="0" fillId="0" borderId="0" xfId="0" applyNumberFormat="1" applyFont="1" applyAlignment="1"/>
    <xf numFmtId="0" fontId="0" fillId="2" borderId="1" xfId="0" applyFont="1" applyFill="1" applyBorder="1" applyAlignment="1"/>
    <xf numFmtId="49" fontId="1" fillId="2" borderId="1" xfId="0" applyNumberFormat="1" applyFont="1" applyFill="1" applyBorder="1" applyAlignment="1">
      <alignment horizontal="center"/>
    </xf>
    <xf numFmtId="0" fontId="1" fillId="2" borderId="1" xfId="0" applyNumberFormat="1" applyFont="1" applyFill="1" applyBorder="1" applyAlignment="1"/>
    <xf numFmtId="49" fontId="2" fillId="2" borderId="1" xfId="0" applyNumberFormat="1" applyFont="1" applyFill="1" applyBorder="1" applyAlignment="1"/>
    <xf numFmtId="0" fontId="2" fillId="2" borderId="1" xfId="0" applyNumberFormat="1" applyFont="1" applyFill="1" applyBorder="1" applyAlignment="1"/>
    <xf numFmtId="49" fontId="0" fillId="2" borderId="1" xfId="0" applyNumberFormat="1" applyFont="1" applyFill="1" applyBorder="1" applyAlignment="1"/>
    <xf numFmtId="0" fontId="0" fillId="0" borderId="0" xfId="0" applyNumberFormat="1" applyFont="1" applyAlignment="1"/>
    <xf numFmtId="0" fontId="0" fillId="2" borderId="2" xfId="0" applyFont="1" applyFill="1" applyBorder="1" applyAlignment="1"/>
    <xf numFmtId="0" fontId="0" fillId="2" borderId="2" xfId="0" applyFont="1" applyFill="1" applyBorder="1" applyAlignment="1">
      <alignment wrapText="1"/>
    </xf>
    <xf numFmtId="0" fontId="0" fillId="3" borderId="3" xfId="0" applyNumberFormat="1" applyFont="1" applyFill="1" applyBorder="1" applyAlignment="1"/>
    <xf numFmtId="49" fontId="0" fillId="3" borderId="4" xfId="0" applyNumberFormat="1" applyFont="1" applyFill="1" applyBorder="1" applyAlignment="1"/>
    <xf numFmtId="0" fontId="0" fillId="3" borderId="4" xfId="0" applyNumberFormat="1" applyFont="1" applyFill="1" applyBorder="1" applyAlignment="1">
      <alignment wrapText="1"/>
    </xf>
    <xf numFmtId="0" fontId="0" fillId="3" borderId="4" xfId="0" applyNumberFormat="1" applyFont="1" applyFill="1" applyBorder="1" applyAlignment="1"/>
    <xf numFmtId="0" fontId="0" fillId="3" borderId="5" xfId="0" applyNumberFormat="1" applyFont="1" applyFill="1" applyBorder="1" applyAlignment="1"/>
    <xf numFmtId="0" fontId="5" fillId="3" borderId="6" xfId="0" applyNumberFormat="1" applyFont="1" applyFill="1" applyBorder="1" applyAlignment="1">
      <alignment horizontal="center"/>
    </xf>
    <xf numFmtId="0" fontId="7" fillId="3" borderId="6" xfId="0" applyNumberFormat="1" applyFont="1" applyFill="1" applyBorder="1" applyAlignment="1">
      <alignment horizontal="center"/>
    </xf>
    <xf numFmtId="0" fontId="8" fillId="3" borderId="9" xfId="0" applyNumberFormat="1" applyFont="1" applyFill="1" applyBorder="1" applyAlignment="1">
      <alignment horizontal="center"/>
    </xf>
    <xf numFmtId="0" fontId="8" fillId="5" borderId="10" xfId="0" applyNumberFormat="1" applyFont="1" applyFill="1" applyBorder="1" applyAlignment="1">
      <alignment horizontal="center" vertical="top"/>
    </xf>
    <xf numFmtId="49" fontId="8" fillId="5" borderId="10" xfId="0" applyNumberFormat="1" applyFont="1" applyFill="1" applyBorder="1" applyAlignment="1">
      <alignment horizontal="center" vertical="top" wrapText="1"/>
    </xf>
    <xf numFmtId="49" fontId="8" fillId="5" borderId="10" xfId="0" applyNumberFormat="1" applyFont="1" applyFill="1" applyBorder="1" applyAlignment="1">
      <alignment horizontal="center" vertical="top"/>
    </xf>
    <xf numFmtId="0" fontId="8" fillId="3" borderId="11" xfId="0" applyNumberFormat="1" applyFont="1" applyFill="1" applyBorder="1" applyAlignment="1">
      <alignment horizontal="center"/>
    </xf>
    <xf numFmtId="0" fontId="0" fillId="3" borderId="9" xfId="0" applyNumberFormat="1" applyFont="1" applyFill="1" applyBorder="1" applyAlignment="1"/>
    <xf numFmtId="49" fontId="9" fillId="5" borderId="12" xfId="0" applyNumberFormat="1" applyFont="1" applyFill="1" applyBorder="1" applyAlignment="1">
      <alignment horizontal="center" vertical="top"/>
    </xf>
    <xf numFmtId="49" fontId="10" fillId="5" borderId="12" xfId="0" applyNumberFormat="1" applyFont="1" applyFill="1" applyBorder="1" applyAlignment="1">
      <alignment horizontal="center" vertical="top" wrapText="1"/>
    </xf>
    <xf numFmtId="20" fontId="10" fillId="5" borderId="12" xfId="0" applyNumberFormat="1" applyFont="1" applyFill="1" applyBorder="1" applyAlignment="1">
      <alignment horizontal="center" vertical="top"/>
    </xf>
    <xf numFmtId="0" fontId="0" fillId="3" borderId="11" xfId="0" applyNumberFormat="1" applyFont="1" applyFill="1" applyBorder="1" applyAlignment="1"/>
    <xf numFmtId="0" fontId="9" fillId="5" borderId="12" xfId="0" applyNumberFormat="1" applyFont="1" applyFill="1" applyBorder="1" applyAlignment="1">
      <alignment horizontal="center" vertical="top"/>
    </xf>
    <xf numFmtId="1" fontId="10" fillId="6" borderId="12" xfId="0" applyNumberFormat="1" applyFont="1" applyFill="1" applyBorder="1" applyAlignment="1">
      <alignment horizontal="center" vertical="top"/>
    </xf>
    <xf numFmtId="0" fontId="0" fillId="3" borderId="13" xfId="0" applyNumberFormat="1" applyFont="1" applyFill="1" applyBorder="1" applyAlignment="1"/>
    <xf numFmtId="0" fontId="9" fillId="3" borderId="14" xfId="0" applyNumberFormat="1" applyFont="1" applyFill="1" applyBorder="1" applyAlignment="1">
      <alignment horizontal="center" vertical="top"/>
    </xf>
    <xf numFmtId="0" fontId="10" fillId="3" borderId="14" xfId="0" applyNumberFormat="1" applyFont="1" applyFill="1" applyBorder="1" applyAlignment="1">
      <alignment horizontal="center" vertical="top" wrapText="1"/>
    </xf>
    <xf numFmtId="20" fontId="10" fillId="3" borderId="14" xfId="0" applyNumberFormat="1" applyFont="1" applyFill="1" applyBorder="1" applyAlignment="1">
      <alignment horizontal="center" vertical="top"/>
    </xf>
    <xf numFmtId="0" fontId="0" fillId="3" borderId="15" xfId="0" applyNumberFormat="1" applyFont="1" applyFill="1" applyBorder="1" applyAlignment="1"/>
    <xf numFmtId="0" fontId="0" fillId="3" borderId="16" xfId="0" applyNumberFormat="1" applyFont="1" applyFill="1" applyBorder="1" applyAlignment="1"/>
    <xf numFmtId="0" fontId="0" fillId="3" borderId="16" xfId="0" applyNumberFormat="1" applyFont="1" applyFill="1" applyBorder="1" applyAlignment="1">
      <alignment wrapText="1"/>
    </xf>
    <xf numFmtId="0" fontId="5" fillId="3" borderId="13" xfId="0" applyNumberFormat="1" applyFont="1" applyFill="1" applyBorder="1" applyAlignment="1">
      <alignment horizontal="center"/>
    </xf>
    <xf numFmtId="0" fontId="5" fillId="3" borderId="16" xfId="0" applyNumberFormat="1" applyFont="1" applyFill="1" applyBorder="1" applyAlignment="1">
      <alignment horizontal="center"/>
    </xf>
    <xf numFmtId="0" fontId="7" fillId="3" borderId="15" xfId="0" applyNumberFormat="1" applyFont="1" applyFill="1" applyBorder="1" applyAlignment="1">
      <alignment horizontal="center"/>
    </xf>
    <xf numFmtId="0" fontId="8" fillId="3" borderId="13" xfId="0" applyNumberFormat="1" applyFont="1" applyFill="1" applyBorder="1" applyAlignment="1">
      <alignment horizontal="center"/>
    </xf>
    <xf numFmtId="0" fontId="8" fillId="3" borderId="16" xfId="0" applyNumberFormat="1" applyFont="1" applyFill="1" applyBorder="1" applyAlignment="1">
      <alignment horizontal="center"/>
    </xf>
    <xf numFmtId="0" fontId="8" fillId="3" borderId="15" xfId="0" applyNumberFormat="1" applyFont="1" applyFill="1" applyBorder="1" applyAlignment="1">
      <alignment horizontal="center"/>
    </xf>
    <xf numFmtId="0" fontId="0" fillId="3" borderId="17" xfId="0" applyNumberFormat="1" applyFont="1" applyFill="1" applyBorder="1" applyAlignment="1"/>
    <xf numFmtId="0" fontId="0" fillId="3" borderId="18" xfId="0" applyNumberFormat="1" applyFont="1" applyFill="1" applyBorder="1" applyAlignment="1"/>
    <xf numFmtId="0" fontId="0" fillId="3" borderId="18" xfId="0" applyNumberFormat="1" applyFont="1" applyFill="1" applyBorder="1" applyAlignment="1">
      <alignment wrapText="1"/>
    </xf>
    <xf numFmtId="0" fontId="0" fillId="3" borderId="19" xfId="0" applyNumberFormat="1" applyFont="1" applyFill="1" applyBorder="1" applyAlignment="1"/>
    <xf numFmtId="0" fontId="0" fillId="0" borderId="0" xfId="0" applyNumberFormat="1" applyFont="1" applyAlignment="1"/>
    <xf numFmtId="0" fontId="0" fillId="2" borderId="2" xfId="0" applyFont="1" applyFill="1" applyBorder="1" applyAlignment="1">
      <alignment vertical="top" wrapText="1"/>
    </xf>
    <xf numFmtId="0" fontId="0" fillId="3" borderId="3" xfId="0" applyNumberFormat="1" applyFont="1" applyFill="1" applyBorder="1" applyAlignment="1">
      <alignment vertical="top" wrapText="1"/>
    </xf>
    <xf numFmtId="49" fontId="0" fillId="3" borderId="4" xfId="0" applyNumberFormat="1" applyFont="1" applyFill="1" applyBorder="1" applyAlignment="1">
      <alignment vertical="top" wrapText="1"/>
    </xf>
    <xf numFmtId="0" fontId="0" fillId="3" borderId="4" xfId="0" applyNumberFormat="1" applyFont="1" applyFill="1" applyBorder="1" applyAlignment="1">
      <alignment vertical="top" wrapText="1"/>
    </xf>
    <xf numFmtId="0" fontId="0" fillId="3" borderId="5" xfId="0" applyNumberFormat="1" applyFont="1" applyFill="1" applyBorder="1" applyAlignment="1">
      <alignment vertical="top" wrapText="1"/>
    </xf>
    <xf numFmtId="0" fontId="0" fillId="3" borderId="6" xfId="0" applyNumberFormat="1" applyFont="1" applyFill="1" applyBorder="1" applyAlignment="1">
      <alignment vertical="top" wrapText="1"/>
    </xf>
    <xf numFmtId="0" fontId="0" fillId="3" borderId="9" xfId="0" applyNumberFormat="1" applyFont="1" applyFill="1" applyBorder="1" applyAlignment="1">
      <alignment vertical="top" wrapText="1"/>
    </xf>
    <xf numFmtId="0" fontId="8" fillId="5" borderId="10" xfId="0" applyNumberFormat="1" applyFont="1" applyFill="1" applyBorder="1" applyAlignment="1">
      <alignment horizontal="center" vertical="top" wrapText="1"/>
    </xf>
    <xf numFmtId="0" fontId="0" fillId="3" borderId="11" xfId="0" applyNumberFormat="1" applyFont="1" applyFill="1" applyBorder="1" applyAlignment="1">
      <alignment vertical="top" wrapText="1"/>
    </xf>
    <xf numFmtId="49" fontId="9" fillId="5" borderId="12" xfId="0" applyNumberFormat="1" applyFont="1" applyFill="1" applyBorder="1" applyAlignment="1">
      <alignment horizontal="center" vertical="top" wrapText="1"/>
    </xf>
    <xf numFmtId="0" fontId="10" fillId="5" borderId="12" xfId="0" applyNumberFormat="1" applyFont="1" applyFill="1" applyBorder="1" applyAlignment="1">
      <alignment horizontal="center" vertical="top" wrapText="1"/>
    </xf>
    <xf numFmtId="1" fontId="10" fillId="5" borderId="12" xfId="0" applyNumberFormat="1" applyFont="1" applyFill="1" applyBorder="1" applyAlignment="1">
      <alignment horizontal="center" vertical="top" wrapText="1"/>
    </xf>
    <xf numFmtId="9" fontId="10" fillId="5" borderId="12" xfId="0" applyNumberFormat="1" applyFont="1" applyFill="1" applyBorder="1" applyAlignment="1">
      <alignment horizontal="center" vertical="top" wrapText="1"/>
    </xf>
    <xf numFmtId="49" fontId="10" fillId="5" borderId="20" xfId="0" applyNumberFormat="1" applyFont="1" applyFill="1" applyBorder="1" applyAlignment="1">
      <alignment horizontal="center" vertical="top" wrapText="1"/>
    </xf>
    <xf numFmtId="0" fontId="0" fillId="3" borderId="13" xfId="0" applyNumberFormat="1" applyFont="1" applyFill="1" applyBorder="1" applyAlignment="1">
      <alignment vertical="top" wrapText="1"/>
    </xf>
    <xf numFmtId="0" fontId="9" fillId="3" borderId="14" xfId="0" applyNumberFormat="1" applyFont="1" applyFill="1" applyBorder="1" applyAlignment="1">
      <alignment horizontal="center" vertical="top" wrapText="1"/>
    </xf>
    <xf numFmtId="20" fontId="10" fillId="3" borderId="14" xfId="0" applyNumberFormat="1" applyFont="1" applyFill="1" applyBorder="1" applyAlignment="1">
      <alignment horizontal="center" vertical="top" wrapText="1"/>
    </xf>
    <xf numFmtId="9" fontId="10" fillId="3" borderId="14" xfId="0" applyNumberFormat="1" applyFont="1" applyFill="1" applyBorder="1" applyAlignment="1">
      <alignment horizontal="center" vertical="top" wrapText="1"/>
    </xf>
    <xf numFmtId="1" fontId="10" fillId="3" borderId="14" xfId="0" applyNumberFormat="1" applyFont="1" applyFill="1" applyBorder="1" applyAlignment="1">
      <alignment horizontal="center" vertical="top" wrapText="1"/>
    </xf>
    <xf numFmtId="0" fontId="0" fillId="3" borderId="15" xfId="0" applyNumberFormat="1" applyFont="1" applyFill="1" applyBorder="1" applyAlignment="1">
      <alignment vertical="top" wrapText="1"/>
    </xf>
    <xf numFmtId="0" fontId="9" fillId="5" borderId="12" xfId="0" applyNumberFormat="1" applyFont="1" applyFill="1" applyBorder="1" applyAlignment="1">
      <alignment horizontal="center" vertical="top" wrapText="1"/>
    </xf>
    <xf numFmtId="0" fontId="10" fillId="5" borderId="21" xfId="0" applyNumberFormat="1" applyFont="1" applyFill="1" applyBorder="1" applyAlignment="1">
      <alignment horizontal="center" vertical="top" wrapText="1"/>
    </xf>
    <xf numFmtId="0" fontId="9" fillId="3" borderId="16" xfId="0" applyNumberFormat="1" applyFont="1" applyFill="1" applyBorder="1" applyAlignment="1">
      <alignment horizontal="center" vertical="top" wrapText="1"/>
    </xf>
    <xf numFmtId="0" fontId="10" fillId="3" borderId="16" xfId="0" applyNumberFormat="1" applyFont="1" applyFill="1" applyBorder="1" applyAlignment="1">
      <alignment horizontal="center" vertical="top" wrapText="1"/>
    </xf>
    <xf numFmtId="20" fontId="10" fillId="3" borderId="16" xfId="0" applyNumberFormat="1" applyFont="1" applyFill="1" applyBorder="1" applyAlignment="1">
      <alignment horizontal="center" vertical="top" wrapText="1"/>
    </xf>
    <xf numFmtId="9" fontId="10" fillId="3" borderId="16" xfId="0" applyNumberFormat="1" applyFont="1" applyFill="1" applyBorder="1" applyAlignment="1">
      <alignment horizontal="center" vertical="top" wrapText="1"/>
    </xf>
    <xf numFmtId="1" fontId="10" fillId="3" borderId="16" xfId="0" applyNumberFormat="1" applyFont="1" applyFill="1" applyBorder="1" applyAlignment="1">
      <alignment horizontal="center" vertical="top" wrapText="1"/>
    </xf>
    <xf numFmtId="20" fontId="9" fillId="3" borderId="16" xfId="0" applyNumberFormat="1" applyFont="1" applyFill="1" applyBorder="1" applyAlignment="1">
      <alignment horizontal="center" vertical="top" wrapText="1"/>
    </xf>
    <xf numFmtId="20" fontId="10" fillId="5" borderId="12" xfId="0" applyNumberFormat="1" applyFont="1" applyFill="1" applyBorder="1" applyAlignment="1">
      <alignment horizontal="center" vertical="top" wrapText="1"/>
    </xf>
    <xf numFmtId="0" fontId="5" fillId="3" borderId="13" xfId="0" applyNumberFormat="1" applyFont="1" applyFill="1" applyBorder="1" applyAlignment="1">
      <alignment horizontal="center" vertical="top" wrapText="1"/>
    </xf>
    <xf numFmtId="0" fontId="0" fillId="3" borderId="23" xfId="0" applyNumberFormat="1" applyFont="1" applyFill="1" applyBorder="1" applyAlignment="1">
      <alignment vertical="top" wrapText="1"/>
    </xf>
    <xf numFmtId="0" fontId="7" fillId="3" borderId="15" xfId="0" applyNumberFormat="1" applyFont="1" applyFill="1" applyBorder="1" applyAlignment="1">
      <alignment horizontal="center" vertical="top" wrapText="1"/>
    </xf>
    <xf numFmtId="0" fontId="9" fillId="3" borderId="24" xfId="0" applyNumberFormat="1" applyFont="1" applyFill="1" applyBorder="1" applyAlignment="1">
      <alignment horizontal="center" vertical="top" wrapText="1"/>
    </xf>
    <xf numFmtId="0" fontId="10" fillId="3" borderId="24" xfId="0" applyNumberFormat="1" applyFont="1" applyFill="1" applyBorder="1" applyAlignment="1">
      <alignment horizontal="center" vertical="top" wrapText="1"/>
    </xf>
    <xf numFmtId="20" fontId="10" fillId="3" borderId="24" xfId="0" applyNumberFormat="1" applyFont="1" applyFill="1" applyBorder="1" applyAlignment="1">
      <alignment horizontal="center" vertical="top" wrapText="1"/>
    </xf>
    <xf numFmtId="0" fontId="8" fillId="3" borderId="9" xfId="0" applyNumberFormat="1" applyFont="1" applyFill="1" applyBorder="1" applyAlignment="1">
      <alignment horizontal="center" vertical="top" wrapText="1"/>
    </xf>
    <xf numFmtId="0" fontId="8" fillId="3" borderId="11" xfId="0" applyNumberFormat="1" applyFont="1" applyFill="1" applyBorder="1" applyAlignment="1">
      <alignment horizontal="center" vertical="top" wrapText="1"/>
    </xf>
    <xf numFmtId="0" fontId="9" fillId="3" borderId="23" xfId="0" applyNumberFormat="1" applyFont="1" applyFill="1" applyBorder="1" applyAlignment="1">
      <alignment horizontal="center" vertical="top" wrapText="1"/>
    </xf>
    <xf numFmtId="0" fontId="10" fillId="3" borderId="23" xfId="0" applyNumberFormat="1" applyFont="1" applyFill="1" applyBorder="1" applyAlignment="1">
      <alignment horizontal="center" vertical="top" wrapText="1"/>
    </xf>
    <xf numFmtId="20" fontId="10" fillId="3" borderId="23" xfId="0" applyNumberFormat="1" applyFont="1" applyFill="1" applyBorder="1" applyAlignment="1">
      <alignment horizontal="center" vertical="top" wrapText="1"/>
    </xf>
    <xf numFmtId="0" fontId="8" fillId="7" borderId="10" xfId="0" applyNumberFormat="1" applyFont="1" applyFill="1" applyBorder="1" applyAlignment="1">
      <alignment horizontal="center" vertical="top" wrapText="1"/>
    </xf>
    <xf numFmtId="49" fontId="8" fillId="7" borderId="10" xfId="0" applyNumberFormat="1" applyFont="1" applyFill="1" applyBorder="1" applyAlignment="1">
      <alignment horizontal="center" vertical="top" wrapText="1"/>
    </xf>
    <xf numFmtId="49" fontId="9" fillId="7" borderId="12" xfId="0" applyNumberFormat="1" applyFont="1" applyFill="1" applyBorder="1" applyAlignment="1">
      <alignment horizontal="center" vertical="top" wrapText="1"/>
    </xf>
    <xf numFmtId="49" fontId="10" fillId="7" borderId="12" xfId="0" applyNumberFormat="1" applyFont="1" applyFill="1" applyBorder="1" applyAlignment="1">
      <alignment horizontal="center" vertical="top" wrapText="1"/>
    </xf>
    <xf numFmtId="20" fontId="10" fillId="7" borderId="12" xfId="0" applyNumberFormat="1" applyFont="1" applyFill="1" applyBorder="1" applyAlignment="1">
      <alignment horizontal="center" vertical="top" wrapText="1"/>
    </xf>
    <xf numFmtId="0" fontId="5" fillId="3" borderId="9" xfId="0" applyNumberFormat="1" applyFont="1" applyFill="1" applyBorder="1" applyAlignment="1">
      <alignment horizontal="center" vertical="top" wrapText="1"/>
    </xf>
    <xf numFmtId="0" fontId="7" fillId="3" borderId="11" xfId="0" applyNumberFormat="1" applyFont="1" applyFill="1" applyBorder="1" applyAlignment="1">
      <alignment horizontal="center" vertical="top" wrapText="1"/>
    </xf>
    <xf numFmtId="0" fontId="9" fillId="7" borderId="12" xfId="0" applyNumberFormat="1" applyFont="1" applyFill="1" applyBorder="1" applyAlignment="1">
      <alignment horizontal="center" vertical="top" wrapText="1"/>
    </xf>
    <xf numFmtId="49" fontId="12" fillId="7" borderId="12" xfId="0" applyNumberFormat="1" applyFont="1" applyFill="1" applyBorder="1" applyAlignment="1">
      <alignment horizontal="center" vertical="top" wrapText="1"/>
    </xf>
    <xf numFmtId="0" fontId="5" fillId="3" borderId="6" xfId="0" applyNumberFormat="1" applyFont="1" applyFill="1" applyBorder="1" applyAlignment="1">
      <alignment horizontal="center" vertical="top" wrapText="1"/>
    </xf>
    <xf numFmtId="0" fontId="7" fillId="3" borderId="6" xfId="0" applyNumberFormat="1" applyFont="1" applyFill="1" applyBorder="1" applyAlignment="1">
      <alignment horizontal="center" vertical="top" wrapText="1"/>
    </xf>
    <xf numFmtId="0" fontId="8" fillId="3" borderId="6" xfId="0" applyNumberFormat="1" applyFont="1" applyFill="1" applyBorder="1" applyAlignment="1">
      <alignment horizontal="center" vertical="top" wrapText="1"/>
    </xf>
    <xf numFmtId="0" fontId="8" fillId="3" borderId="13" xfId="0" applyNumberFormat="1" applyFont="1" applyFill="1" applyBorder="1" applyAlignment="1">
      <alignment horizontal="center" vertical="top" wrapText="1"/>
    </xf>
    <xf numFmtId="0" fontId="8" fillId="3" borderId="25" xfId="0" applyNumberFormat="1" applyFont="1" applyFill="1" applyBorder="1" applyAlignment="1">
      <alignment horizontal="center" vertical="top" wrapText="1"/>
    </xf>
    <xf numFmtId="0" fontId="8" fillId="3" borderId="15" xfId="0" applyNumberFormat="1" applyFont="1" applyFill="1" applyBorder="1" applyAlignment="1">
      <alignment horizontal="center" vertical="top" wrapText="1"/>
    </xf>
    <xf numFmtId="0" fontId="0" fillId="3" borderId="26" xfId="0" applyNumberFormat="1" applyFont="1" applyFill="1" applyBorder="1" applyAlignment="1">
      <alignment vertical="top" wrapText="1"/>
    </xf>
    <xf numFmtId="0" fontId="0" fillId="3" borderId="24" xfId="0" applyNumberFormat="1" applyFont="1" applyFill="1" applyBorder="1" applyAlignment="1">
      <alignment vertical="top" wrapText="1"/>
    </xf>
    <xf numFmtId="0" fontId="0" fillId="3" borderId="27" xfId="0" applyNumberFormat="1" applyFont="1" applyFill="1" applyBorder="1" applyAlignment="1">
      <alignment vertical="top" wrapText="1"/>
    </xf>
    <xf numFmtId="0" fontId="0" fillId="2" borderId="28" xfId="0" applyFont="1" applyFill="1" applyBorder="1" applyAlignment="1">
      <alignment vertical="top" wrapText="1"/>
    </xf>
    <xf numFmtId="0" fontId="0" fillId="2" borderId="1" xfId="0" applyFont="1" applyFill="1" applyBorder="1" applyAlignment="1">
      <alignment vertical="top" wrapText="1"/>
    </xf>
    <xf numFmtId="49" fontId="14" fillId="2" borderId="1" xfId="0" applyNumberFormat="1" applyFont="1" applyFill="1" applyBorder="1" applyAlignment="1">
      <alignment horizontal="center" vertical="top" wrapText="1"/>
    </xf>
    <xf numFmtId="0" fontId="14" fillId="2" borderId="29" xfId="0" applyNumberFormat="1" applyFont="1" applyFill="1" applyBorder="1" applyAlignment="1">
      <alignment horizontal="center" vertical="top" wrapText="1"/>
    </xf>
    <xf numFmtId="49" fontId="15" fillId="2" borderId="30" xfId="0" applyNumberFormat="1" applyFont="1" applyFill="1" applyBorder="1" applyAlignment="1">
      <alignment horizontal="center" vertical="top" wrapText="1"/>
    </xf>
    <xf numFmtId="1" fontId="15" fillId="6" borderId="16" xfId="0" applyNumberFormat="1" applyFont="1" applyFill="1" applyBorder="1" applyAlignment="1">
      <alignment horizontal="center" vertical="top" wrapText="1"/>
    </xf>
    <xf numFmtId="0" fontId="0" fillId="2" borderId="31" xfId="0" applyFont="1" applyFill="1" applyBorder="1" applyAlignment="1">
      <alignment vertical="top" wrapText="1"/>
    </xf>
    <xf numFmtId="0" fontId="0" fillId="2" borderId="1" xfId="0" applyNumberFormat="1" applyFont="1" applyFill="1" applyBorder="1" applyAlignment="1">
      <alignment vertical="top" wrapText="1"/>
    </xf>
    <xf numFmtId="0" fontId="14" fillId="2" borderId="1" xfId="0" applyNumberFormat="1" applyFont="1" applyFill="1" applyBorder="1" applyAlignment="1">
      <alignment horizontal="center" vertical="top" wrapText="1"/>
    </xf>
    <xf numFmtId="0" fontId="16" fillId="2" borderId="1" xfId="0" applyNumberFormat="1" applyFont="1" applyFill="1" applyBorder="1" applyAlignment="1">
      <alignment horizontal="center" vertical="top" wrapText="1"/>
    </xf>
    <xf numFmtId="0" fontId="10" fillId="2" borderId="1" xfId="0" applyNumberFormat="1" applyFont="1" applyFill="1" applyBorder="1" applyAlignment="1">
      <alignment horizontal="center" vertical="top" wrapText="1"/>
    </xf>
    <xf numFmtId="0" fontId="13" fillId="2" borderId="1" xfId="0" applyNumberFormat="1" applyFont="1" applyFill="1" applyBorder="1" applyAlignment="1">
      <alignment horizontal="center" vertical="top" wrapText="1"/>
    </xf>
    <xf numFmtId="9" fontId="14" fillId="2" borderId="1" xfId="0" applyNumberFormat="1" applyFont="1" applyFill="1" applyBorder="1" applyAlignment="1">
      <alignment horizontal="center" vertical="top" wrapText="1"/>
    </xf>
    <xf numFmtId="1" fontId="14" fillId="2" borderId="1" xfId="0" applyNumberFormat="1" applyFont="1" applyFill="1" applyBorder="1" applyAlignment="1">
      <alignment horizontal="center" vertical="top" wrapText="1"/>
    </xf>
    <xf numFmtId="0" fontId="0" fillId="0" borderId="0" xfId="0" applyNumberFormat="1" applyFont="1" applyAlignment="1"/>
    <xf numFmtId="0" fontId="0" fillId="3" borderId="32" xfId="0" applyNumberFormat="1" applyFont="1" applyFill="1" applyBorder="1" applyAlignment="1">
      <alignment vertical="top" wrapText="1"/>
    </xf>
    <xf numFmtId="49" fontId="0" fillId="3" borderId="7" xfId="0" applyNumberFormat="1" applyFont="1" applyFill="1" applyBorder="1" applyAlignment="1">
      <alignment vertical="top" wrapText="1"/>
    </xf>
    <xf numFmtId="0" fontId="0" fillId="2" borderId="33" xfId="0" applyFont="1" applyFill="1" applyBorder="1" applyAlignment="1"/>
    <xf numFmtId="0" fontId="0" fillId="3" borderId="34" xfId="0" applyNumberFormat="1" applyFont="1" applyFill="1" applyBorder="1" applyAlignment="1">
      <alignment vertical="top" wrapText="1"/>
    </xf>
    <xf numFmtId="0" fontId="10" fillId="3" borderId="34" xfId="0" applyNumberFormat="1" applyFont="1" applyFill="1" applyBorder="1" applyAlignment="1">
      <alignment horizontal="center" vertical="top" wrapText="1"/>
    </xf>
    <xf numFmtId="0" fontId="8" fillId="5" borderId="35" xfId="0" applyNumberFormat="1" applyFont="1" applyFill="1" applyBorder="1" applyAlignment="1">
      <alignment horizontal="center" vertical="top" wrapText="1"/>
    </xf>
    <xf numFmtId="0" fontId="10" fillId="3" borderId="11" xfId="0" applyNumberFormat="1" applyFont="1" applyFill="1" applyBorder="1" applyAlignment="1">
      <alignment horizontal="center" vertical="top" wrapText="1"/>
    </xf>
    <xf numFmtId="0" fontId="0" fillId="3" borderId="9" xfId="0" applyNumberFormat="1" applyFont="1" applyFill="1" applyBorder="1" applyAlignment="1">
      <alignment horizontal="center" vertical="top" wrapText="1"/>
    </xf>
    <xf numFmtId="0" fontId="0" fillId="2" borderId="33" xfId="0" applyNumberFormat="1" applyFont="1" applyFill="1" applyBorder="1" applyAlignment="1">
      <alignment horizontal="center"/>
    </xf>
    <xf numFmtId="0" fontId="0" fillId="2" borderId="1" xfId="0" applyNumberFormat="1" applyFont="1" applyFill="1" applyBorder="1" applyAlignment="1">
      <alignment horizontal="center"/>
    </xf>
    <xf numFmtId="49" fontId="9" fillId="5" borderId="36" xfId="0" applyNumberFormat="1" applyFont="1" applyFill="1" applyBorder="1" applyAlignment="1">
      <alignment horizontal="center" vertical="top" wrapText="1"/>
    </xf>
    <xf numFmtId="0" fontId="9" fillId="5" borderId="36" xfId="0" applyNumberFormat="1" applyFont="1" applyFill="1" applyBorder="1" applyAlignment="1">
      <alignment horizontal="center" vertical="top" wrapText="1"/>
    </xf>
    <xf numFmtId="0" fontId="7" fillId="3" borderId="34" xfId="0" applyNumberFormat="1" applyFont="1" applyFill="1" applyBorder="1" applyAlignment="1">
      <alignment horizontal="center" vertical="top" wrapText="1"/>
    </xf>
    <xf numFmtId="0" fontId="0" fillId="3" borderId="37" xfId="0" applyNumberFormat="1" applyFont="1" applyFill="1" applyBorder="1" applyAlignment="1">
      <alignment vertical="top" wrapText="1"/>
    </xf>
    <xf numFmtId="0" fontId="0" fillId="5" borderId="35" xfId="0" applyNumberFormat="1" applyFont="1" applyFill="1" applyBorder="1" applyAlignment="1">
      <alignment vertical="top" wrapText="1"/>
    </xf>
    <xf numFmtId="49" fontId="0" fillId="5" borderId="10" xfId="0" applyNumberFormat="1" applyFont="1" applyFill="1" applyBorder="1" applyAlignment="1">
      <alignment vertical="top" wrapText="1"/>
    </xf>
    <xf numFmtId="0" fontId="0" fillId="5" borderId="10" xfId="0" applyNumberFormat="1" applyFont="1" applyFill="1" applyBorder="1" applyAlignment="1">
      <alignment vertical="top" wrapText="1"/>
    </xf>
    <xf numFmtId="0" fontId="9" fillId="3" borderId="37" xfId="0" applyNumberFormat="1" applyFont="1" applyFill="1" applyBorder="1" applyAlignment="1">
      <alignment horizontal="center" vertical="top" wrapText="1"/>
    </xf>
    <xf numFmtId="0" fontId="8" fillId="3" borderId="34" xfId="0" applyNumberFormat="1" applyFont="1" applyFill="1" applyBorder="1" applyAlignment="1">
      <alignment horizontal="center" vertical="top" wrapText="1"/>
    </xf>
    <xf numFmtId="0" fontId="13" fillId="3" borderId="37" xfId="0" applyNumberFormat="1" applyFont="1" applyFill="1" applyBorder="1" applyAlignment="1">
      <alignment horizontal="center" vertical="top" wrapText="1"/>
    </xf>
    <xf numFmtId="0" fontId="16" fillId="3" borderId="23" xfId="0" applyNumberFormat="1" applyFont="1" applyFill="1" applyBorder="1" applyAlignment="1">
      <alignment horizontal="center" vertical="top" wrapText="1"/>
    </xf>
    <xf numFmtId="0" fontId="10" fillId="3" borderId="15" xfId="0" applyNumberFormat="1" applyFont="1" applyFill="1" applyBorder="1" applyAlignment="1">
      <alignment horizontal="center" vertical="top" wrapText="1"/>
    </xf>
    <xf numFmtId="0" fontId="0" fillId="3" borderId="13" xfId="0" applyNumberFormat="1" applyFont="1" applyFill="1" applyBorder="1" applyAlignment="1">
      <alignment horizontal="center" vertical="top" wrapText="1"/>
    </xf>
    <xf numFmtId="0" fontId="13" fillId="3" borderId="23" xfId="0" applyNumberFormat="1" applyFont="1" applyFill="1" applyBorder="1" applyAlignment="1">
      <alignment horizontal="center" vertical="top" wrapText="1"/>
    </xf>
    <xf numFmtId="0" fontId="10" fillId="3" borderId="6" xfId="0" applyNumberFormat="1" applyFont="1" applyFill="1" applyBorder="1" applyAlignment="1">
      <alignment horizontal="center" vertical="top" wrapText="1"/>
    </xf>
    <xf numFmtId="0" fontId="0" fillId="3" borderId="6" xfId="0" applyNumberFormat="1" applyFont="1" applyFill="1" applyBorder="1" applyAlignment="1">
      <alignment horizontal="center" vertical="top" wrapText="1"/>
    </xf>
    <xf numFmtId="0" fontId="8" fillId="3" borderId="3" xfId="0" applyNumberFormat="1" applyFont="1" applyFill="1" applyBorder="1" applyAlignment="1">
      <alignment horizontal="center" vertical="top" wrapText="1"/>
    </xf>
    <xf numFmtId="0" fontId="0" fillId="3" borderId="38" xfId="0" applyNumberFormat="1" applyFont="1" applyFill="1" applyBorder="1" applyAlignment="1">
      <alignment vertical="top" wrapText="1"/>
    </xf>
    <xf numFmtId="0" fontId="16" fillId="2" borderId="31" xfId="0" applyNumberFormat="1" applyFont="1" applyFill="1" applyBorder="1" applyAlignment="1">
      <alignment horizontal="center" vertical="top" wrapText="1"/>
    </xf>
    <xf numFmtId="0" fontId="14" fillId="2" borderId="39" xfId="0" applyNumberFormat="1" applyFont="1" applyFill="1" applyBorder="1" applyAlignment="1">
      <alignment horizontal="center" vertical="top" wrapText="1"/>
    </xf>
    <xf numFmtId="0" fontId="0" fillId="0" borderId="0" xfId="0" applyNumberFormat="1" applyFont="1" applyAlignment="1"/>
    <xf numFmtId="20" fontId="9" fillId="3" borderId="24" xfId="0" applyNumberFormat="1" applyFont="1" applyFill="1" applyBorder="1" applyAlignment="1">
      <alignment horizontal="center" vertical="top" wrapText="1"/>
    </xf>
    <xf numFmtId="1" fontId="10" fillId="3" borderId="24" xfId="0" applyNumberFormat="1" applyFont="1" applyFill="1" applyBorder="1" applyAlignment="1">
      <alignment horizontal="center" vertical="top" wrapText="1"/>
    </xf>
    <xf numFmtId="20" fontId="9" fillId="3" borderId="14" xfId="0" applyNumberFormat="1" applyFont="1" applyFill="1" applyBorder="1" applyAlignment="1">
      <alignment horizontal="center" vertical="top" wrapText="1"/>
    </xf>
    <xf numFmtId="0" fontId="0" fillId="0" borderId="0" xfId="0" applyNumberFormat="1" applyFont="1" applyAlignment="1"/>
    <xf numFmtId="0" fontId="0" fillId="0" borderId="0" xfId="0" applyNumberFormat="1" applyFont="1" applyAlignment="1"/>
    <xf numFmtId="0" fontId="13" fillId="8" borderId="43" xfId="0" applyNumberFormat="1" applyFont="1" applyFill="1" applyBorder="1" applyAlignment="1">
      <alignment horizontal="center" wrapText="1"/>
    </xf>
    <xf numFmtId="0" fontId="13" fillId="8" borderId="44" xfId="0" applyNumberFormat="1" applyFont="1" applyFill="1" applyBorder="1" applyAlignment="1">
      <alignment horizontal="center" wrapText="1"/>
    </xf>
    <xf numFmtId="0" fontId="13" fillId="8" borderId="45" xfId="0" applyNumberFormat="1" applyFont="1" applyFill="1" applyBorder="1" applyAlignment="1">
      <alignment horizontal="center" wrapText="1"/>
    </xf>
    <xf numFmtId="0" fontId="13" fillId="6" borderId="43" xfId="0" applyNumberFormat="1" applyFont="1" applyFill="1" applyBorder="1" applyAlignment="1">
      <alignment horizontal="center" wrapText="1"/>
    </xf>
    <xf numFmtId="0" fontId="13" fillId="6" borderId="44" xfId="0" applyNumberFormat="1" applyFont="1" applyFill="1" applyBorder="1" applyAlignment="1">
      <alignment horizontal="center" wrapText="1"/>
    </xf>
    <xf numFmtId="0" fontId="13" fillId="6" borderId="45" xfId="0" applyNumberFormat="1" applyFont="1" applyFill="1" applyBorder="1" applyAlignment="1">
      <alignment horizontal="center" wrapText="1"/>
    </xf>
    <xf numFmtId="0" fontId="13" fillId="9" borderId="43" xfId="0" applyNumberFormat="1" applyFont="1" applyFill="1" applyBorder="1" applyAlignment="1">
      <alignment horizontal="center" wrapText="1"/>
    </xf>
    <xf numFmtId="0" fontId="13" fillId="9" borderId="44" xfId="0" applyNumberFormat="1" applyFont="1" applyFill="1" applyBorder="1" applyAlignment="1">
      <alignment horizontal="center" wrapText="1"/>
    </xf>
    <xf numFmtId="0" fontId="13" fillId="9" borderId="45" xfId="0" applyNumberFormat="1" applyFont="1" applyFill="1" applyBorder="1" applyAlignment="1">
      <alignment horizontal="center" wrapText="1"/>
    </xf>
    <xf numFmtId="0" fontId="13" fillId="10" borderId="43" xfId="0" applyNumberFormat="1" applyFont="1" applyFill="1" applyBorder="1" applyAlignment="1">
      <alignment horizontal="center" wrapText="1"/>
    </xf>
    <xf numFmtId="0" fontId="13" fillId="10" borderId="44" xfId="0" applyNumberFormat="1" applyFont="1" applyFill="1" applyBorder="1" applyAlignment="1">
      <alignment horizontal="center" wrapText="1"/>
    </xf>
    <xf numFmtId="0" fontId="13" fillId="10" borderId="45" xfId="0" applyNumberFormat="1" applyFont="1" applyFill="1" applyBorder="1" applyAlignment="1">
      <alignment horizontal="center" wrapText="1"/>
    </xf>
    <xf numFmtId="0" fontId="4" fillId="2" borderId="33" xfId="0" applyNumberFormat="1" applyFont="1" applyFill="1" applyBorder="1" applyAlignment="1"/>
    <xf numFmtId="0" fontId="2" fillId="2" borderId="46" xfId="0" applyNumberFormat="1" applyFont="1" applyFill="1" applyBorder="1" applyAlignment="1"/>
    <xf numFmtId="49" fontId="0" fillId="2" borderId="47" xfId="0" applyNumberFormat="1" applyFont="1" applyFill="1" applyBorder="1" applyAlignment="1"/>
    <xf numFmtId="0" fontId="0" fillId="8" borderId="35" xfId="0" applyNumberFormat="1" applyFont="1" applyFill="1" applyBorder="1" applyAlignment="1"/>
    <xf numFmtId="0" fontId="0" fillId="8" borderId="10" xfId="0" applyNumberFormat="1" applyFont="1" applyFill="1" applyBorder="1" applyAlignment="1"/>
    <xf numFmtId="0" fontId="2" fillId="8" borderId="48" xfId="0" applyNumberFormat="1" applyFont="1" applyFill="1" applyBorder="1" applyAlignment="1">
      <alignment horizontal="center"/>
    </xf>
    <xf numFmtId="49" fontId="0" fillId="6" borderId="35" xfId="0" applyNumberFormat="1" applyFont="1" applyFill="1" applyBorder="1" applyAlignment="1"/>
    <xf numFmtId="49" fontId="0" fillId="6" borderId="10" xfId="0" applyNumberFormat="1" applyFont="1" applyFill="1" applyBorder="1" applyAlignment="1"/>
    <xf numFmtId="0" fontId="2" fillId="6" borderId="48" xfId="0" applyNumberFormat="1" applyFont="1" applyFill="1" applyBorder="1" applyAlignment="1">
      <alignment horizontal="center"/>
    </xf>
    <xf numFmtId="49" fontId="0" fillId="9" borderId="35" xfId="0" applyNumberFormat="1" applyFont="1" applyFill="1" applyBorder="1" applyAlignment="1"/>
    <xf numFmtId="49" fontId="0" fillId="9" borderId="10" xfId="0" applyNumberFormat="1" applyFont="1" applyFill="1" applyBorder="1" applyAlignment="1"/>
    <xf numFmtId="0" fontId="2" fillId="9" borderId="48" xfId="0" applyNumberFormat="1" applyFont="1" applyFill="1" applyBorder="1" applyAlignment="1">
      <alignment horizontal="center"/>
    </xf>
    <xf numFmtId="0" fontId="0" fillId="10" borderId="35" xfId="0" applyNumberFormat="1" applyFont="1" applyFill="1" applyBorder="1" applyAlignment="1"/>
    <xf numFmtId="0" fontId="0" fillId="10" borderId="10" xfId="0" applyNumberFormat="1" applyFont="1" applyFill="1" applyBorder="1" applyAlignment="1"/>
    <xf numFmtId="0" fontId="2" fillId="10" borderId="48" xfId="0" applyNumberFormat="1" applyFont="1" applyFill="1" applyBorder="1" applyAlignment="1">
      <alignment horizontal="center"/>
    </xf>
    <xf numFmtId="0" fontId="0" fillId="2" borderId="33" xfId="0" applyNumberFormat="1" applyFont="1" applyFill="1" applyBorder="1" applyAlignment="1"/>
    <xf numFmtId="49" fontId="0" fillId="2" borderId="49" xfId="0" applyNumberFormat="1" applyFont="1" applyFill="1" applyBorder="1" applyAlignment="1"/>
    <xf numFmtId="0" fontId="0" fillId="8" borderId="36" xfId="0" applyNumberFormat="1" applyFont="1" applyFill="1" applyBorder="1" applyAlignment="1"/>
    <xf numFmtId="0" fontId="0" fillId="8" borderId="12" xfId="0" applyNumberFormat="1" applyFont="1" applyFill="1" applyBorder="1" applyAlignment="1"/>
    <xf numFmtId="0" fontId="2" fillId="8" borderId="50" xfId="0" applyNumberFormat="1" applyFont="1" applyFill="1" applyBorder="1" applyAlignment="1">
      <alignment horizontal="center"/>
    </xf>
    <xf numFmtId="0" fontId="0" fillId="6" borderId="36" xfId="0" applyNumberFormat="1" applyFont="1" applyFill="1" applyBorder="1" applyAlignment="1"/>
    <xf numFmtId="0" fontId="0" fillId="6" borderId="12" xfId="0" applyNumberFormat="1" applyFont="1" applyFill="1" applyBorder="1" applyAlignment="1"/>
    <xf numFmtId="0" fontId="2" fillId="6" borderId="50" xfId="0" applyNumberFormat="1" applyFont="1" applyFill="1" applyBorder="1" applyAlignment="1">
      <alignment horizontal="center"/>
    </xf>
    <xf numFmtId="0" fontId="0" fillId="9" borderId="36" xfId="0" applyNumberFormat="1" applyFont="1" applyFill="1" applyBorder="1" applyAlignment="1"/>
    <xf numFmtId="0" fontId="0" fillId="9" borderId="12" xfId="0" applyNumberFormat="1" applyFont="1" applyFill="1" applyBorder="1" applyAlignment="1"/>
    <xf numFmtId="0" fontId="2" fillId="9" borderId="50" xfId="0" applyNumberFormat="1" applyFont="1" applyFill="1" applyBorder="1" applyAlignment="1">
      <alignment horizontal="center"/>
    </xf>
    <xf numFmtId="0" fontId="0" fillId="10" borderId="36" xfId="0" applyNumberFormat="1" applyFont="1" applyFill="1" applyBorder="1" applyAlignment="1"/>
    <xf numFmtId="0" fontId="0" fillId="10" borderId="12" xfId="0" applyNumberFormat="1" applyFont="1" applyFill="1" applyBorder="1" applyAlignment="1"/>
    <xf numFmtId="0" fontId="2" fillId="10" borderId="50" xfId="0" applyNumberFormat="1" applyFont="1" applyFill="1" applyBorder="1" applyAlignment="1">
      <alignment horizontal="center"/>
    </xf>
    <xf numFmtId="0" fontId="4" fillId="2" borderId="51" xfId="0" applyNumberFormat="1" applyFont="1" applyFill="1" applyBorder="1" applyAlignment="1"/>
    <xf numFmtId="49" fontId="4" fillId="2" borderId="42" xfId="0" applyNumberFormat="1" applyFont="1" applyFill="1" applyBorder="1" applyAlignment="1"/>
    <xf numFmtId="49" fontId="4" fillId="8" borderId="52" xfId="0" applyNumberFormat="1" applyFont="1" applyFill="1" applyBorder="1" applyAlignment="1">
      <alignment horizontal="center" wrapText="1"/>
    </xf>
    <xf numFmtId="49" fontId="4" fillId="8" borderId="53" xfId="0" applyNumberFormat="1" applyFont="1" applyFill="1" applyBorder="1" applyAlignment="1">
      <alignment horizontal="center" wrapText="1"/>
    </xf>
    <xf numFmtId="49" fontId="2" fillId="8" borderId="54" xfId="0" applyNumberFormat="1" applyFont="1" applyFill="1" applyBorder="1" applyAlignment="1">
      <alignment horizontal="center" wrapText="1"/>
    </xf>
    <xf numFmtId="49" fontId="4" fillId="6" borderId="52" xfId="0" applyNumberFormat="1" applyFont="1" applyFill="1" applyBorder="1" applyAlignment="1">
      <alignment horizontal="center" wrapText="1"/>
    </xf>
    <xf numFmtId="49" fontId="4" fillId="6" borderId="53" xfId="0" applyNumberFormat="1" applyFont="1" applyFill="1" applyBorder="1" applyAlignment="1">
      <alignment horizontal="center" wrapText="1"/>
    </xf>
    <xf numFmtId="49" fontId="2" fillId="6" borderId="54" xfId="0" applyNumberFormat="1" applyFont="1" applyFill="1" applyBorder="1" applyAlignment="1">
      <alignment horizontal="center" wrapText="1"/>
    </xf>
    <xf numFmtId="49" fontId="4" fillId="9" borderId="52" xfId="0" applyNumberFormat="1" applyFont="1" applyFill="1" applyBorder="1" applyAlignment="1">
      <alignment horizontal="center" wrapText="1"/>
    </xf>
    <xf numFmtId="49" fontId="4" fillId="9" borderId="53" xfId="0" applyNumberFormat="1" applyFont="1" applyFill="1" applyBorder="1" applyAlignment="1">
      <alignment horizontal="center" wrapText="1"/>
    </xf>
    <xf numFmtId="49" fontId="2" fillId="9" borderId="54" xfId="0" applyNumberFormat="1" applyFont="1" applyFill="1" applyBorder="1" applyAlignment="1">
      <alignment horizontal="center" wrapText="1"/>
    </xf>
    <xf numFmtId="49" fontId="4" fillId="10" borderId="52" xfId="0" applyNumberFormat="1" applyFont="1" applyFill="1" applyBorder="1" applyAlignment="1">
      <alignment horizontal="center" wrapText="1"/>
    </xf>
    <xf numFmtId="49" fontId="4" fillId="10" borderId="53" xfId="0" applyNumberFormat="1" applyFont="1" applyFill="1" applyBorder="1" applyAlignment="1">
      <alignment horizontal="center" wrapText="1"/>
    </xf>
    <xf numFmtId="49" fontId="2" fillId="10" borderId="54" xfId="0" applyNumberFormat="1" applyFont="1" applyFill="1" applyBorder="1" applyAlignment="1">
      <alignment horizontal="center" wrapText="1"/>
    </xf>
    <xf numFmtId="0" fontId="0" fillId="8" borderId="48" xfId="0" applyNumberFormat="1" applyFont="1" applyFill="1" applyBorder="1" applyAlignment="1"/>
    <xf numFmtId="0" fontId="0" fillId="6" borderId="35" xfId="0" applyNumberFormat="1" applyFont="1" applyFill="1" applyBorder="1" applyAlignment="1"/>
    <xf numFmtId="0" fontId="0" fillId="6" borderId="10" xfId="0" applyNumberFormat="1" applyFont="1" applyFill="1" applyBorder="1" applyAlignment="1"/>
    <xf numFmtId="0" fontId="0" fillId="6" borderId="48" xfId="0" applyNumberFormat="1" applyFont="1" applyFill="1" applyBorder="1" applyAlignment="1"/>
    <xf numFmtId="0" fontId="0" fillId="9" borderId="35" xfId="0" applyNumberFormat="1" applyFont="1" applyFill="1" applyBorder="1" applyAlignment="1"/>
    <xf numFmtId="0" fontId="0" fillId="9" borderId="10" xfId="0" applyNumberFormat="1" applyFont="1" applyFill="1" applyBorder="1" applyAlignment="1"/>
    <xf numFmtId="0" fontId="0" fillId="9" borderId="48" xfId="0" applyNumberFormat="1" applyFont="1" applyFill="1" applyBorder="1" applyAlignment="1"/>
    <xf numFmtId="0" fontId="0" fillId="10" borderId="48" xfId="0" applyNumberFormat="1" applyFont="1" applyFill="1" applyBorder="1" applyAlignment="1"/>
    <xf numFmtId="0" fontId="0" fillId="8" borderId="50" xfId="0" applyNumberFormat="1" applyFont="1" applyFill="1" applyBorder="1" applyAlignment="1"/>
    <xf numFmtId="0" fontId="0" fillId="6" borderId="50" xfId="0" applyNumberFormat="1" applyFont="1" applyFill="1" applyBorder="1" applyAlignment="1"/>
    <xf numFmtId="0" fontId="0" fillId="9" borderId="50" xfId="0" applyNumberFormat="1" applyFont="1" applyFill="1" applyBorder="1" applyAlignment="1"/>
    <xf numFmtId="0" fontId="0" fillId="10" borderId="50" xfId="0" applyNumberFormat="1" applyFont="1" applyFill="1" applyBorder="1" applyAlignment="1"/>
    <xf numFmtId="0" fontId="0" fillId="2" borderId="51" xfId="0" applyNumberFormat="1" applyFont="1" applyFill="1" applyBorder="1" applyAlignment="1"/>
    <xf numFmtId="49" fontId="0" fillId="2" borderId="42" xfId="0" applyNumberFormat="1" applyFont="1" applyFill="1" applyBorder="1" applyAlignment="1"/>
    <xf numFmtId="49" fontId="0" fillId="8" borderId="52" xfId="0" applyNumberFormat="1" applyFont="1" applyFill="1" applyBorder="1" applyAlignment="1"/>
    <xf numFmtId="49" fontId="0" fillId="8" borderId="53" xfId="0" applyNumberFormat="1" applyFont="1" applyFill="1" applyBorder="1" applyAlignment="1"/>
    <xf numFmtId="49" fontId="0" fillId="8" borderId="54" xfId="0" applyNumberFormat="1" applyFont="1" applyFill="1" applyBorder="1" applyAlignment="1"/>
    <xf numFmtId="49" fontId="0" fillId="6" borderId="52" xfId="0" applyNumberFormat="1" applyFont="1" applyFill="1" applyBorder="1" applyAlignment="1"/>
    <xf numFmtId="49" fontId="0" fillId="6" borderId="53" xfId="0" applyNumberFormat="1" applyFont="1" applyFill="1" applyBorder="1" applyAlignment="1"/>
    <xf numFmtId="49" fontId="0" fillId="6" borderId="54" xfId="0" applyNumberFormat="1" applyFont="1" applyFill="1" applyBorder="1" applyAlignment="1"/>
    <xf numFmtId="49" fontId="0" fillId="9" borderId="52" xfId="0" applyNumberFormat="1" applyFont="1" applyFill="1" applyBorder="1" applyAlignment="1"/>
    <xf numFmtId="49" fontId="0" fillId="9" borderId="53" xfId="0" applyNumberFormat="1" applyFont="1" applyFill="1" applyBorder="1" applyAlignment="1"/>
    <xf numFmtId="49" fontId="0" fillId="9" borderId="54" xfId="0" applyNumberFormat="1" applyFont="1" applyFill="1" applyBorder="1" applyAlignment="1"/>
    <xf numFmtId="49" fontId="0" fillId="10" borderId="52" xfId="0" applyNumberFormat="1" applyFont="1" applyFill="1" applyBorder="1" applyAlignment="1"/>
    <xf numFmtId="49" fontId="0" fillId="10" borderId="53" xfId="0" applyNumberFormat="1" applyFont="1" applyFill="1" applyBorder="1" applyAlignment="1"/>
    <xf numFmtId="49" fontId="0" fillId="10" borderId="54" xfId="0" applyNumberFormat="1" applyFont="1" applyFill="1" applyBorder="1" applyAlignment="1"/>
    <xf numFmtId="49" fontId="0" fillId="8" borderId="48" xfId="0" applyNumberFormat="1" applyFont="1" applyFill="1" applyBorder="1" applyAlignment="1"/>
    <xf numFmtId="49" fontId="0" fillId="6" borderId="48" xfId="0" applyNumberFormat="1" applyFont="1" applyFill="1" applyBorder="1" applyAlignment="1"/>
    <xf numFmtId="49" fontId="0" fillId="9" borderId="48" xfId="0" applyNumberFormat="1" applyFont="1" applyFill="1" applyBorder="1" applyAlignment="1"/>
    <xf numFmtId="49" fontId="0" fillId="10" borderId="48" xfId="0" applyNumberFormat="1" applyFont="1" applyFill="1" applyBorder="1" applyAlignment="1"/>
    <xf numFmtId="49" fontId="4" fillId="8" borderId="54" xfId="0" applyNumberFormat="1" applyFont="1" applyFill="1" applyBorder="1" applyAlignment="1">
      <alignment horizontal="center" wrapText="1"/>
    </xf>
    <xf numFmtId="49" fontId="4" fillId="6" borderId="54" xfId="0" applyNumberFormat="1" applyFont="1" applyFill="1" applyBorder="1" applyAlignment="1">
      <alignment horizontal="center" wrapText="1"/>
    </xf>
    <xf numFmtId="49" fontId="4" fillId="9" borderId="54" xfId="0" applyNumberFormat="1" applyFont="1" applyFill="1" applyBorder="1" applyAlignment="1">
      <alignment horizontal="center" wrapText="1"/>
    </xf>
    <xf numFmtId="49" fontId="4" fillId="10" borderId="54" xfId="0" applyNumberFormat="1" applyFont="1" applyFill="1" applyBorder="1" applyAlignment="1">
      <alignment horizontal="center" wrapText="1"/>
    </xf>
    <xf numFmtId="0" fontId="0" fillId="2" borderId="28" xfId="0" applyFont="1" applyFill="1" applyBorder="1" applyAlignment="1"/>
    <xf numFmtId="0" fontId="0" fillId="7" borderId="56" xfId="0" applyNumberFormat="1" applyFont="1" applyFill="1" applyBorder="1" applyAlignment="1"/>
    <xf numFmtId="0" fontId="0" fillId="7" borderId="12" xfId="0" applyNumberFormat="1" applyFont="1" applyFill="1" applyBorder="1" applyAlignment="1"/>
    <xf numFmtId="0" fontId="0" fillId="2" borderId="57" xfId="0" applyFont="1" applyFill="1" applyBorder="1" applyAlignment="1"/>
    <xf numFmtId="49" fontId="6" fillId="4" borderId="7" xfId="0" applyNumberFormat="1" applyFont="1" applyFill="1" applyBorder="1" applyAlignment="1">
      <alignment horizontal="center"/>
    </xf>
    <xf numFmtId="0" fontId="6" fillId="4" borderId="4" xfId="0" applyNumberFormat="1" applyFont="1" applyFill="1" applyBorder="1" applyAlignment="1">
      <alignment horizontal="center"/>
    </xf>
    <xf numFmtId="0" fontId="6" fillId="4" borderId="8" xfId="0" applyNumberFormat="1" applyFont="1" applyFill="1" applyBorder="1" applyAlignment="1">
      <alignment horizontal="center"/>
    </xf>
    <xf numFmtId="49" fontId="11" fillId="2" borderId="2" xfId="0" applyNumberFormat="1" applyFont="1" applyFill="1" applyBorder="1" applyAlignment="1">
      <alignment horizontal="center" vertical="top" wrapText="1"/>
    </xf>
    <xf numFmtId="0" fontId="11" fillId="2" borderId="2" xfId="0" applyNumberFormat="1" applyFont="1" applyFill="1" applyBorder="1" applyAlignment="1">
      <alignment horizontal="center" vertical="top" wrapText="1"/>
    </xf>
    <xf numFmtId="49" fontId="6" fillId="4" borderId="7" xfId="0" applyNumberFormat="1" applyFont="1" applyFill="1" applyBorder="1" applyAlignment="1">
      <alignment horizontal="center" vertical="top" wrapText="1"/>
    </xf>
    <xf numFmtId="0" fontId="6" fillId="4" borderId="4" xfId="0" applyNumberFormat="1" applyFont="1" applyFill="1" applyBorder="1" applyAlignment="1">
      <alignment horizontal="center" vertical="top" wrapText="1"/>
    </xf>
    <xf numFmtId="0" fontId="6" fillId="4" borderId="8" xfId="0" applyNumberFormat="1" applyFont="1" applyFill="1" applyBorder="1" applyAlignment="1">
      <alignment horizontal="center" vertical="top" wrapText="1"/>
    </xf>
    <xf numFmtId="49" fontId="10" fillId="5" borderId="20" xfId="0" applyNumberFormat="1" applyFont="1" applyFill="1" applyBorder="1" applyAlignment="1">
      <alignment horizontal="center" vertical="top" wrapText="1"/>
    </xf>
    <xf numFmtId="0" fontId="10" fillId="5" borderId="21" xfId="0" applyNumberFormat="1" applyFont="1" applyFill="1" applyBorder="1" applyAlignment="1">
      <alignment horizontal="center" vertical="top" wrapText="1"/>
    </xf>
    <xf numFmtId="0" fontId="10" fillId="5" borderId="20" xfId="0" applyNumberFormat="1" applyFont="1" applyFill="1" applyBorder="1" applyAlignment="1">
      <alignment horizontal="center" vertical="top" wrapText="1"/>
    </xf>
    <xf numFmtId="49" fontId="0" fillId="8" borderId="7" xfId="0" applyNumberFormat="1" applyFont="1" applyFill="1" applyBorder="1" applyAlignment="1">
      <alignment vertical="top" wrapText="1"/>
    </xf>
    <xf numFmtId="0" fontId="13" fillId="8" borderId="4" xfId="0" applyNumberFormat="1" applyFont="1" applyFill="1" applyBorder="1" applyAlignment="1">
      <alignment horizontal="center" vertical="top" wrapText="1"/>
    </xf>
    <xf numFmtId="0" fontId="13" fillId="8" borderId="8" xfId="0" applyNumberFormat="1" applyFont="1" applyFill="1" applyBorder="1" applyAlignment="1">
      <alignment horizontal="center" vertical="top" wrapText="1"/>
    </xf>
    <xf numFmtId="0" fontId="10" fillId="5" borderId="22" xfId="0" applyNumberFormat="1" applyFont="1" applyFill="1" applyBorder="1" applyAlignment="1">
      <alignment horizontal="center" vertical="top" wrapText="1"/>
    </xf>
    <xf numFmtId="49" fontId="6" fillId="7" borderId="7" xfId="0" applyNumberFormat="1" applyFont="1" applyFill="1" applyBorder="1" applyAlignment="1">
      <alignment horizontal="center" vertical="top" wrapText="1"/>
    </xf>
    <xf numFmtId="0" fontId="6" fillId="7" borderId="4" xfId="0" applyNumberFormat="1" applyFont="1" applyFill="1" applyBorder="1" applyAlignment="1">
      <alignment horizontal="center" vertical="top" wrapText="1"/>
    </xf>
    <xf numFmtId="0" fontId="6" fillId="7" borderId="8" xfId="0" applyNumberFormat="1" applyFont="1" applyFill="1" applyBorder="1" applyAlignment="1">
      <alignment horizontal="center" vertical="top" wrapText="1"/>
    </xf>
    <xf numFmtId="49" fontId="13" fillId="8" borderId="7" xfId="0" applyNumberFormat="1" applyFont="1" applyFill="1" applyBorder="1" applyAlignment="1">
      <alignment horizontal="center" vertical="top" wrapText="1"/>
    </xf>
    <xf numFmtId="49" fontId="9" fillId="5" borderId="40" xfId="0" applyNumberFormat="1" applyFont="1" applyFill="1" applyBorder="1" applyAlignment="1">
      <alignment horizontal="center" vertical="top" wrapText="1"/>
    </xf>
    <xf numFmtId="0" fontId="9" fillId="5" borderId="41" xfId="0" applyNumberFormat="1" applyFont="1" applyFill="1" applyBorder="1" applyAlignment="1">
      <alignment horizontal="center" vertical="top" wrapText="1"/>
    </xf>
    <xf numFmtId="49" fontId="9" fillId="5" borderId="20" xfId="0" applyNumberFormat="1" applyFont="1" applyFill="1" applyBorder="1" applyAlignment="1">
      <alignment horizontal="center" vertical="top" wrapText="1"/>
    </xf>
    <xf numFmtId="0" fontId="9" fillId="5" borderId="21" xfId="0" applyNumberFormat="1" applyFont="1" applyFill="1" applyBorder="1" applyAlignment="1">
      <alignment horizontal="center" vertical="top" wrapText="1"/>
    </xf>
    <xf numFmtId="49" fontId="4" fillId="2" borderId="1" xfId="0" applyNumberFormat="1" applyFont="1" applyFill="1" applyBorder="1" applyAlignment="1">
      <alignment horizontal="left"/>
    </xf>
    <xf numFmtId="0" fontId="4" fillId="2" borderId="1" xfId="0" applyNumberFormat="1" applyFont="1" applyFill="1" applyBorder="1" applyAlignment="1">
      <alignment horizontal="left"/>
    </xf>
    <xf numFmtId="49" fontId="4" fillId="7" borderId="12" xfId="0" applyNumberFormat="1" applyFont="1" applyFill="1" applyBorder="1" applyAlignment="1">
      <alignment horizontal="center"/>
    </xf>
    <xf numFmtId="0" fontId="0" fillId="7" borderId="12" xfId="0" applyNumberFormat="1" applyFont="1" applyFill="1" applyBorder="1" applyAlignment="1"/>
    <xf numFmtId="49" fontId="0" fillId="7" borderId="12" xfId="0" applyNumberFormat="1" applyFont="1" applyFill="1" applyBorder="1" applyAlignment="1"/>
    <xf numFmtId="49" fontId="4" fillId="7" borderId="12" xfId="0" applyNumberFormat="1" applyFont="1" applyFill="1" applyBorder="1" applyAlignment="1">
      <alignment horizontal="left"/>
    </xf>
    <xf numFmtId="0" fontId="4" fillId="7" borderId="12" xfId="0" applyNumberFormat="1" applyFont="1" applyFill="1" applyBorder="1" applyAlignment="1">
      <alignment horizontal="left"/>
    </xf>
    <xf numFmtId="49" fontId="17" fillId="2" borderId="1" xfId="0" applyNumberFormat="1" applyFont="1" applyFill="1" applyBorder="1" applyAlignment="1">
      <alignment horizontal="center"/>
    </xf>
    <xf numFmtId="0" fontId="17" fillId="2" borderId="1" xfId="0" applyNumberFormat="1" applyFont="1" applyFill="1" applyBorder="1" applyAlignment="1">
      <alignment horizontal="center"/>
    </xf>
    <xf numFmtId="0" fontId="17" fillId="2" borderId="2" xfId="0" applyNumberFormat="1" applyFont="1" applyFill="1" applyBorder="1" applyAlignment="1">
      <alignment horizontal="center"/>
    </xf>
    <xf numFmtId="49" fontId="2" fillId="2" borderId="1" xfId="0" applyNumberFormat="1" applyFont="1" applyFill="1" applyBorder="1" applyAlignment="1">
      <alignment horizontal="left"/>
    </xf>
    <xf numFmtId="0" fontId="2" fillId="2" borderId="1" xfId="0" applyNumberFormat="1" applyFont="1" applyFill="1" applyBorder="1" applyAlignment="1">
      <alignment horizontal="left"/>
    </xf>
    <xf numFmtId="49" fontId="4" fillId="2" borderId="29" xfId="0" applyNumberFormat="1" applyFont="1" applyFill="1" applyBorder="1" applyAlignment="1">
      <alignment horizontal="left"/>
    </xf>
    <xf numFmtId="0" fontId="4" fillId="2" borderId="55" xfId="0" applyNumberFormat="1" applyFont="1" applyFill="1" applyBorder="1" applyAlignment="1">
      <alignment horizontal="left"/>
    </xf>
    <xf numFmtId="49" fontId="4" fillId="2" borderId="2" xfId="0" applyNumberFormat="1" applyFont="1" applyFill="1" applyBorder="1" applyAlignment="1">
      <alignment horizontal="center"/>
    </xf>
    <xf numFmtId="0" fontId="4" fillId="2" borderId="42" xfId="0" applyNumberFormat="1" applyFont="1" applyFill="1" applyBorder="1" applyAlignment="1">
      <alignment horizont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FFFF99"/>
      <rgbColor rgb="FFFF0000"/>
      <rgbColor rgb="FF969696"/>
      <rgbColor rgb="FFC0C0C0"/>
      <rgbColor rgb="FFFF9900"/>
      <rgbColor rgb="FFFF99CC"/>
      <rgbColor rgb="FFFFCC00"/>
      <rgbColor rgb="FFFF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imon@thetriathloncoach.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1"/>
  <sheetViews>
    <sheetView showGridLines="0" workbookViewId="0">
      <selection activeCell="A14" sqref="A14"/>
    </sheetView>
  </sheetViews>
  <sheetFormatPr defaultColWidth="8.85546875" defaultRowHeight="12.75" customHeight="1" x14ac:dyDescent="0.2"/>
  <cols>
    <col min="1" max="1" width="115.7109375" style="1" customWidth="1"/>
    <col min="2" max="9" width="9.140625" style="1" customWidth="1"/>
    <col min="10" max="10" width="11.140625" style="1" customWidth="1"/>
    <col min="11" max="256" width="8.85546875" style="1" customWidth="1"/>
  </cols>
  <sheetData>
    <row r="1" spans="1:10" ht="13.7" customHeight="1" x14ac:dyDescent="0.2">
      <c r="A1" s="2"/>
      <c r="B1" s="2"/>
      <c r="C1" s="2"/>
      <c r="D1" s="2"/>
      <c r="E1" s="2"/>
      <c r="F1" s="2"/>
      <c r="G1" s="2"/>
      <c r="H1" s="2"/>
      <c r="I1" s="2"/>
      <c r="J1" s="2"/>
    </row>
    <row r="2" spans="1:10" ht="26.25" customHeight="1" x14ac:dyDescent="0.3">
      <c r="A2" s="3" t="s">
        <v>0</v>
      </c>
      <c r="B2" s="4"/>
      <c r="C2" s="4"/>
      <c r="D2" s="4"/>
      <c r="E2" s="4"/>
      <c r="F2" s="4"/>
      <c r="G2" s="4"/>
      <c r="H2" s="4"/>
      <c r="I2" s="4"/>
      <c r="J2" s="4"/>
    </row>
    <row r="3" spans="1:10" ht="15" customHeight="1" x14ac:dyDescent="0.2">
      <c r="A3" s="5" t="s">
        <v>1</v>
      </c>
      <c r="B3" s="6"/>
      <c r="C3" s="6"/>
      <c r="D3" s="6"/>
      <c r="E3" s="6"/>
      <c r="F3" s="6"/>
      <c r="G3" s="6"/>
      <c r="H3" s="6"/>
      <c r="I3" s="6"/>
      <c r="J3" s="6"/>
    </row>
    <row r="4" spans="1:10" ht="15" customHeight="1" x14ac:dyDescent="0.2">
      <c r="A4" s="5" t="s">
        <v>2</v>
      </c>
      <c r="B4" s="6"/>
      <c r="C4" s="6"/>
      <c r="D4" s="6"/>
      <c r="E4" s="6"/>
      <c r="F4" s="6"/>
      <c r="G4" s="6"/>
      <c r="H4" s="6"/>
      <c r="I4" s="6"/>
      <c r="J4" s="6"/>
    </row>
    <row r="5" spans="1:10" ht="15" customHeight="1" x14ac:dyDescent="0.2">
      <c r="A5" s="7" t="s">
        <v>3</v>
      </c>
      <c r="B5" s="6"/>
      <c r="C5" s="6"/>
      <c r="D5" s="6"/>
      <c r="E5" s="6"/>
      <c r="F5" s="6"/>
      <c r="G5" s="6"/>
      <c r="H5" s="6"/>
      <c r="I5" s="6"/>
      <c r="J5" s="6"/>
    </row>
    <row r="6" spans="1:10" ht="13.7" customHeight="1" x14ac:dyDescent="0.2">
      <c r="A6" s="2"/>
      <c r="B6" s="2"/>
      <c r="C6" s="2"/>
      <c r="D6" s="2"/>
      <c r="E6" s="2"/>
      <c r="F6" s="2"/>
      <c r="G6" s="2"/>
      <c r="H6" s="2"/>
      <c r="I6" s="2"/>
      <c r="J6" s="2"/>
    </row>
    <row r="7" spans="1:10" ht="15" customHeight="1" x14ac:dyDescent="0.2">
      <c r="A7" s="7" t="s">
        <v>4</v>
      </c>
      <c r="B7" s="2"/>
      <c r="C7" s="2"/>
      <c r="D7" s="2"/>
      <c r="E7" s="2"/>
      <c r="F7" s="2"/>
      <c r="G7" s="2"/>
      <c r="H7" s="2"/>
      <c r="I7" s="2"/>
      <c r="J7" s="2"/>
    </row>
    <row r="8" spans="1:10" ht="15" customHeight="1" x14ac:dyDescent="0.2">
      <c r="A8" s="7" t="s">
        <v>5</v>
      </c>
      <c r="B8" s="2"/>
      <c r="C8" s="2"/>
      <c r="D8" s="2"/>
      <c r="E8" s="2"/>
      <c r="F8" s="2"/>
      <c r="G8" s="2"/>
      <c r="H8" s="2"/>
      <c r="I8" s="2"/>
      <c r="J8" s="2"/>
    </row>
    <row r="9" spans="1:10" ht="15" customHeight="1" x14ac:dyDescent="0.2">
      <c r="A9" s="7" t="s">
        <v>6</v>
      </c>
      <c r="B9" s="2"/>
      <c r="C9" s="2"/>
      <c r="D9" s="2"/>
      <c r="E9" s="2"/>
      <c r="F9" s="2"/>
      <c r="G9" s="2"/>
      <c r="H9" s="2"/>
      <c r="I9" s="2"/>
      <c r="J9" s="2"/>
    </row>
    <row r="10" spans="1:10" ht="15" customHeight="1" x14ac:dyDescent="0.2">
      <c r="A10" s="7" t="s">
        <v>7</v>
      </c>
      <c r="B10" s="2"/>
      <c r="C10" s="2"/>
      <c r="D10" s="2"/>
      <c r="E10" s="2"/>
      <c r="F10" s="2"/>
      <c r="G10" s="2"/>
      <c r="H10" s="2"/>
      <c r="I10" s="2"/>
      <c r="J10" s="2"/>
    </row>
    <row r="11" spans="1:10" ht="15" customHeight="1" x14ac:dyDescent="0.2">
      <c r="A11" s="7" t="s">
        <v>8</v>
      </c>
      <c r="B11" s="2"/>
      <c r="C11" s="2"/>
      <c r="D11" s="2"/>
      <c r="E11" s="2"/>
      <c r="F11" s="2"/>
      <c r="G11" s="2"/>
      <c r="H11" s="2"/>
      <c r="I11" s="2"/>
      <c r="J11" s="2"/>
    </row>
    <row r="12" spans="1:10" ht="15" customHeight="1" x14ac:dyDescent="0.2">
      <c r="A12" s="7" t="s">
        <v>9</v>
      </c>
      <c r="B12" s="2"/>
      <c r="C12" s="2"/>
      <c r="D12" s="2"/>
      <c r="E12" s="2"/>
      <c r="F12" s="2"/>
      <c r="G12" s="2"/>
      <c r="H12" s="2"/>
      <c r="I12" s="2"/>
      <c r="J12" s="2"/>
    </row>
    <row r="13" spans="1:10" ht="15" customHeight="1" x14ac:dyDescent="0.2">
      <c r="A13" s="7" t="s">
        <v>10</v>
      </c>
      <c r="B13" s="2"/>
      <c r="C13" s="2"/>
      <c r="D13" s="2"/>
      <c r="E13" s="2"/>
      <c r="F13" s="2"/>
      <c r="G13" s="2"/>
      <c r="H13" s="2"/>
      <c r="I13" s="2"/>
      <c r="J13" s="2"/>
    </row>
    <row r="14" spans="1:10" ht="13.7" customHeight="1" x14ac:dyDescent="0.2">
      <c r="A14" s="2"/>
      <c r="B14" s="2"/>
      <c r="C14" s="2"/>
      <c r="D14" s="2"/>
      <c r="E14" s="2"/>
      <c r="F14" s="2"/>
      <c r="G14" s="2"/>
      <c r="H14" s="2"/>
      <c r="I14" s="2"/>
      <c r="J14" s="2"/>
    </row>
    <row r="15" spans="1:10" ht="15" customHeight="1" x14ac:dyDescent="0.2">
      <c r="A15" s="5" t="s">
        <v>11</v>
      </c>
      <c r="B15" s="6"/>
      <c r="C15" s="6"/>
      <c r="D15" s="6"/>
      <c r="E15" s="6"/>
      <c r="F15" s="6"/>
      <c r="G15" s="6"/>
      <c r="H15" s="6"/>
      <c r="I15" s="6"/>
      <c r="J15" s="6"/>
    </row>
    <row r="16" spans="1:10" ht="15" customHeight="1" x14ac:dyDescent="0.2">
      <c r="A16" s="6"/>
      <c r="B16" s="6"/>
      <c r="C16" s="6"/>
      <c r="D16" s="6"/>
      <c r="E16" s="6"/>
      <c r="F16" s="6"/>
      <c r="G16" s="6"/>
      <c r="H16" s="6"/>
      <c r="I16" s="6"/>
      <c r="J16" s="6"/>
    </row>
    <row r="17" spans="1:10" ht="15" customHeight="1" x14ac:dyDescent="0.2">
      <c r="A17" s="5" t="s">
        <v>12</v>
      </c>
      <c r="B17" s="6"/>
      <c r="C17" s="6"/>
      <c r="D17" s="6"/>
      <c r="E17" s="6"/>
      <c r="F17" s="6"/>
      <c r="G17" s="6"/>
      <c r="H17" s="6"/>
      <c r="I17" s="6"/>
      <c r="J17" s="6"/>
    </row>
    <row r="18" spans="1:10" ht="15" customHeight="1" x14ac:dyDescent="0.2">
      <c r="A18" s="5" t="s">
        <v>13</v>
      </c>
      <c r="B18" s="6"/>
      <c r="C18" s="6"/>
      <c r="D18" s="6"/>
      <c r="E18" s="6"/>
      <c r="F18" s="6"/>
      <c r="G18" s="6"/>
      <c r="H18" s="6"/>
      <c r="I18" s="6"/>
      <c r="J18" s="6"/>
    </row>
    <row r="19" spans="1:10" ht="15" customHeight="1" x14ac:dyDescent="0.2">
      <c r="A19" s="6"/>
      <c r="B19" s="6"/>
      <c r="C19" s="6"/>
      <c r="D19" s="6"/>
      <c r="E19" s="6"/>
      <c r="F19" s="6"/>
      <c r="G19" s="6"/>
      <c r="H19" s="6"/>
      <c r="I19" s="6"/>
      <c r="J19" s="6"/>
    </row>
    <row r="20" spans="1:10" ht="15" customHeight="1" x14ac:dyDescent="0.2">
      <c r="A20" s="5" t="s">
        <v>14</v>
      </c>
      <c r="B20" s="6"/>
      <c r="C20" s="6"/>
      <c r="D20" s="6"/>
      <c r="E20" s="6"/>
      <c r="F20" s="6"/>
      <c r="G20" s="6"/>
      <c r="H20" s="6"/>
      <c r="I20" s="6"/>
      <c r="J20" s="6"/>
    </row>
    <row r="21" spans="1:10" ht="15" customHeight="1" x14ac:dyDescent="0.2">
      <c r="A21" s="7" t="s">
        <v>15</v>
      </c>
      <c r="B21" s="2"/>
      <c r="C21" s="2"/>
      <c r="D21" s="2"/>
      <c r="E21" s="2"/>
      <c r="F21" s="2"/>
      <c r="G21" s="2"/>
      <c r="H21" s="2"/>
      <c r="I21" s="2"/>
      <c r="J21" s="2"/>
    </row>
    <row r="22" spans="1:10" ht="13.7" customHeight="1" x14ac:dyDescent="0.2">
      <c r="A22" s="2"/>
      <c r="B22" s="2"/>
      <c r="C22" s="2"/>
      <c r="D22" s="2"/>
      <c r="E22" s="2"/>
      <c r="F22" s="2"/>
      <c r="G22" s="2"/>
      <c r="H22" s="2"/>
      <c r="I22" s="2"/>
      <c r="J22" s="2"/>
    </row>
    <row r="23" spans="1:10" ht="15" customHeight="1" x14ac:dyDescent="0.2">
      <c r="A23" s="5" t="s">
        <v>16</v>
      </c>
      <c r="B23" s="6"/>
      <c r="C23" s="6"/>
      <c r="D23" s="6"/>
      <c r="E23" s="6"/>
      <c r="F23" s="6"/>
      <c r="G23" s="6"/>
      <c r="H23" s="6"/>
      <c r="I23" s="6"/>
      <c r="J23" s="6"/>
    </row>
    <row r="24" spans="1:10" ht="15" customHeight="1" x14ac:dyDescent="0.2">
      <c r="A24" s="7" t="s">
        <v>17</v>
      </c>
      <c r="B24" s="2"/>
      <c r="C24" s="2"/>
      <c r="D24" s="2"/>
      <c r="E24" s="2"/>
      <c r="F24" s="2"/>
      <c r="G24" s="2"/>
      <c r="H24" s="2"/>
      <c r="I24" s="2"/>
      <c r="J24" s="2"/>
    </row>
    <row r="25" spans="1:10" ht="15" customHeight="1" x14ac:dyDescent="0.2">
      <c r="A25" s="7" t="s">
        <v>18</v>
      </c>
      <c r="B25" s="2"/>
      <c r="C25" s="2"/>
      <c r="D25" s="2"/>
      <c r="E25" s="2"/>
      <c r="F25" s="2"/>
      <c r="G25" s="2"/>
      <c r="H25" s="2"/>
      <c r="I25" s="2"/>
      <c r="J25" s="2"/>
    </row>
    <row r="26" spans="1:10" ht="15" customHeight="1" x14ac:dyDescent="0.2">
      <c r="A26" s="7" t="s">
        <v>19</v>
      </c>
      <c r="B26" s="2"/>
      <c r="C26" s="2"/>
      <c r="D26" s="2"/>
      <c r="E26" s="2"/>
      <c r="F26" s="2"/>
      <c r="G26" s="2"/>
      <c r="H26" s="2"/>
      <c r="I26" s="2"/>
      <c r="J26" s="2"/>
    </row>
    <row r="27" spans="1:10" ht="15" customHeight="1" x14ac:dyDescent="0.2">
      <c r="A27" s="7" t="s">
        <v>20</v>
      </c>
      <c r="B27" s="2"/>
      <c r="C27" s="2"/>
      <c r="D27" s="2"/>
      <c r="E27" s="2"/>
      <c r="F27" s="2"/>
      <c r="G27" s="2"/>
      <c r="H27" s="2"/>
      <c r="I27" s="2"/>
      <c r="J27" s="2"/>
    </row>
    <row r="28" spans="1:10" ht="15" customHeight="1" x14ac:dyDescent="0.2">
      <c r="A28" s="7" t="s">
        <v>21</v>
      </c>
      <c r="B28" s="2"/>
      <c r="C28" s="2"/>
      <c r="D28" s="2"/>
      <c r="E28" s="2"/>
      <c r="F28" s="2"/>
      <c r="G28" s="2"/>
      <c r="H28" s="2"/>
      <c r="I28" s="2"/>
      <c r="J28" s="2"/>
    </row>
    <row r="29" spans="1:10" ht="15" customHeight="1" x14ac:dyDescent="0.2">
      <c r="A29" s="7" t="s">
        <v>22</v>
      </c>
      <c r="B29" s="2"/>
      <c r="C29" s="2"/>
      <c r="D29" s="2"/>
      <c r="E29" s="2"/>
      <c r="F29" s="2"/>
      <c r="G29" s="2"/>
      <c r="H29" s="2"/>
      <c r="I29" s="2"/>
      <c r="J29" s="2"/>
    </row>
    <row r="30" spans="1:10" ht="13.7" customHeight="1" x14ac:dyDescent="0.2">
      <c r="A30" s="2"/>
      <c r="B30" s="2"/>
      <c r="C30" s="2"/>
      <c r="D30" s="2"/>
      <c r="E30" s="2"/>
      <c r="F30" s="2"/>
      <c r="G30" s="2"/>
      <c r="H30" s="2"/>
      <c r="I30" s="2"/>
      <c r="J30" s="2"/>
    </row>
    <row r="31" spans="1:10" ht="15" customHeight="1" x14ac:dyDescent="0.2">
      <c r="A31" s="5" t="s">
        <v>23</v>
      </c>
      <c r="B31" s="6"/>
      <c r="C31" s="6"/>
      <c r="D31" s="6"/>
      <c r="E31" s="6"/>
      <c r="F31" s="6"/>
      <c r="G31" s="6"/>
      <c r="H31" s="6"/>
      <c r="I31" s="6"/>
      <c r="J31" s="6"/>
    </row>
    <row r="32" spans="1:10" ht="15" customHeight="1" x14ac:dyDescent="0.2">
      <c r="A32" s="7" t="s">
        <v>24</v>
      </c>
      <c r="B32" s="2"/>
      <c r="C32" s="2"/>
      <c r="D32" s="2"/>
      <c r="E32" s="2"/>
      <c r="F32" s="2"/>
      <c r="G32" s="2"/>
      <c r="H32" s="2"/>
      <c r="I32" s="2"/>
      <c r="J32" s="2"/>
    </row>
    <row r="33" spans="1:10" ht="15" customHeight="1" x14ac:dyDescent="0.2">
      <c r="A33" s="7" t="s">
        <v>25</v>
      </c>
      <c r="B33" s="2"/>
      <c r="C33" s="2"/>
      <c r="D33" s="2"/>
      <c r="E33" s="2"/>
      <c r="F33" s="2"/>
      <c r="G33" s="2"/>
      <c r="H33" s="2"/>
      <c r="I33" s="2"/>
      <c r="J33" s="2"/>
    </row>
    <row r="34" spans="1:10" ht="15" customHeight="1" x14ac:dyDescent="0.2">
      <c r="A34" s="7" t="s">
        <v>26</v>
      </c>
      <c r="B34" s="2"/>
      <c r="C34" s="2"/>
      <c r="D34" s="2"/>
      <c r="E34" s="2"/>
      <c r="F34" s="2"/>
      <c r="G34" s="2"/>
      <c r="H34" s="2"/>
      <c r="I34" s="2"/>
      <c r="J34" s="2"/>
    </row>
    <row r="35" spans="1:10" ht="13.7" customHeight="1" x14ac:dyDescent="0.2">
      <c r="A35" s="2"/>
      <c r="B35" s="2"/>
      <c r="C35" s="2"/>
      <c r="D35" s="2"/>
      <c r="E35" s="2"/>
      <c r="F35" s="2"/>
      <c r="G35" s="2"/>
      <c r="H35" s="2"/>
      <c r="I35" s="2"/>
      <c r="J35" s="2"/>
    </row>
    <row r="36" spans="1:10" ht="15" customHeight="1" x14ac:dyDescent="0.2">
      <c r="A36" s="5" t="s">
        <v>27</v>
      </c>
      <c r="B36" s="6"/>
      <c r="C36" s="6"/>
      <c r="D36" s="6"/>
      <c r="E36" s="6"/>
      <c r="F36" s="6"/>
      <c r="G36" s="6"/>
      <c r="H36" s="6"/>
      <c r="I36" s="6"/>
      <c r="J36" s="6"/>
    </row>
    <row r="37" spans="1:10" ht="15" customHeight="1" x14ac:dyDescent="0.2">
      <c r="A37" s="7" t="s">
        <v>28</v>
      </c>
      <c r="B37" s="2"/>
      <c r="C37" s="2"/>
      <c r="D37" s="2"/>
      <c r="E37" s="2"/>
      <c r="F37" s="2"/>
      <c r="G37" s="2"/>
      <c r="H37" s="2"/>
      <c r="I37" s="2"/>
      <c r="J37" s="2"/>
    </row>
    <row r="38" spans="1:10" ht="15" customHeight="1" x14ac:dyDescent="0.2">
      <c r="A38" s="7" t="s">
        <v>29</v>
      </c>
      <c r="B38" s="2"/>
      <c r="C38" s="2"/>
      <c r="D38" s="2"/>
      <c r="E38" s="2"/>
      <c r="F38" s="2"/>
      <c r="G38" s="2"/>
      <c r="H38" s="2"/>
      <c r="I38" s="2"/>
      <c r="J38" s="2"/>
    </row>
    <row r="39" spans="1:10" ht="15" customHeight="1" x14ac:dyDescent="0.2">
      <c r="A39" s="7" t="s">
        <v>30</v>
      </c>
      <c r="B39" s="2"/>
      <c r="C39" s="2"/>
      <c r="D39" s="2"/>
      <c r="E39" s="2"/>
      <c r="F39" s="2"/>
      <c r="G39" s="2"/>
      <c r="H39" s="2"/>
      <c r="I39" s="2"/>
      <c r="J39" s="2"/>
    </row>
    <row r="40" spans="1:10" ht="13.7" customHeight="1" x14ac:dyDescent="0.2">
      <c r="A40" s="2"/>
      <c r="B40" s="2"/>
      <c r="C40" s="2"/>
      <c r="D40" s="2"/>
      <c r="E40" s="2"/>
      <c r="F40" s="2"/>
      <c r="G40" s="2"/>
      <c r="H40" s="2"/>
      <c r="I40" s="2"/>
      <c r="J40" s="2"/>
    </row>
    <row r="41" spans="1:10" ht="15" customHeight="1" x14ac:dyDescent="0.2">
      <c r="A41" s="5" t="s">
        <v>31</v>
      </c>
      <c r="B41" s="6"/>
      <c r="C41" s="6"/>
      <c r="D41" s="6"/>
      <c r="E41" s="6"/>
      <c r="F41" s="6"/>
      <c r="G41" s="6"/>
      <c r="H41" s="6"/>
      <c r="I41" s="6"/>
      <c r="J41" s="6"/>
    </row>
    <row r="42" spans="1:10" ht="15" customHeight="1" x14ac:dyDescent="0.2">
      <c r="A42" s="7" t="s">
        <v>32</v>
      </c>
      <c r="B42" s="2"/>
      <c r="C42" s="2"/>
      <c r="D42" s="2"/>
      <c r="E42" s="2"/>
      <c r="F42" s="2"/>
      <c r="G42" s="2"/>
      <c r="H42" s="2"/>
      <c r="I42" s="2"/>
      <c r="J42" s="2"/>
    </row>
    <row r="43" spans="1:10" ht="15" customHeight="1" x14ac:dyDescent="0.2">
      <c r="A43" s="7" t="s">
        <v>33</v>
      </c>
      <c r="B43" s="2"/>
      <c r="C43" s="2"/>
      <c r="D43" s="2"/>
      <c r="E43" s="2"/>
      <c r="F43" s="2"/>
      <c r="G43" s="2"/>
      <c r="H43" s="2"/>
      <c r="I43" s="2"/>
      <c r="J43" s="2"/>
    </row>
    <row r="44" spans="1:10" ht="15" customHeight="1" x14ac:dyDescent="0.2">
      <c r="A44" s="7" t="s">
        <v>34</v>
      </c>
      <c r="B44" s="2"/>
      <c r="C44" s="2"/>
      <c r="D44" s="2"/>
      <c r="E44" s="2"/>
      <c r="F44" s="2"/>
      <c r="G44" s="2"/>
      <c r="H44" s="2"/>
      <c r="I44" s="2"/>
      <c r="J44" s="2"/>
    </row>
    <row r="45" spans="1:10" ht="15" customHeight="1" x14ac:dyDescent="0.2">
      <c r="A45" s="7" t="s">
        <v>35</v>
      </c>
      <c r="B45" s="2"/>
      <c r="C45" s="2"/>
      <c r="D45" s="2"/>
      <c r="E45" s="2"/>
      <c r="F45" s="2"/>
      <c r="G45" s="2"/>
      <c r="H45" s="2"/>
      <c r="I45" s="2"/>
      <c r="J45" s="2"/>
    </row>
    <row r="46" spans="1:10" ht="13.7" customHeight="1" x14ac:dyDescent="0.2">
      <c r="A46" s="2"/>
      <c r="B46" s="2"/>
      <c r="C46" s="2"/>
      <c r="D46" s="2"/>
      <c r="E46" s="2"/>
      <c r="F46" s="2"/>
      <c r="G46" s="2"/>
      <c r="H46" s="2"/>
      <c r="I46" s="2"/>
      <c r="J46" s="2"/>
    </row>
    <row r="47" spans="1:10" ht="15" customHeight="1" x14ac:dyDescent="0.2">
      <c r="A47" s="5" t="s">
        <v>36</v>
      </c>
      <c r="B47" s="6"/>
      <c r="C47" s="6"/>
      <c r="D47" s="6"/>
      <c r="E47" s="6"/>
      <c r="F47" s="6"/>
      <c r="G47" s="6"/>
      <c r="H47" s="6"/>
      <c r="I47" s="6"/>
      <c r="J47" s="6"/>
    </row>
    <row r="48" spans="1:10" ht="15" customHeight="1" x14ac:dyDescent="0.2">
      <c r="A48" s="7" t="s">
        <v>37</v>
      </c>
      <c r="B48" s="2"/>
      <c r="C48" s="2"/>
      <c r="D48" s="2"/>
      <c r="E48" s="2"/>
      <c r="F48" s="2"/>
      <c r="G48" s="2"/>
      <c r="H48" s="2"/>
      <c r="I48" s="2"/>
      <c r="J48" s="2"/>
    </row>
    <row r="49" spans="1:10" ht="15" customHeight="1" x14ac:dyDescent="0.2">
      <c r="A49" s="7" t="s">
        <v>38</v>
      </c>
      <c r="B49" s="2"/>
      <c r="C49" s="2"/>
      <c r="D49" s="2"/>
      <c r="E49" s="2"/>
      <c r="F49" s="2"/>
      <c r="G49" s="2"/>
      <c r="H49" s="2"/>
      <c r="I49" s="2"/>
      <c r="J49" s="2"/>
    </row>
    <row r="50" spans="1:10" ht="15" customHeight="1" x14ac:dyDescent="0.2">
      <c r="A50" s="7" t="s">
        <v>39</v>
      </c>
      <c r="B50" s="2"/>
      <c r="C50" s="2"/>
      <c r="D50" s="2"/>
      <c r="E50" s="2"/>
      <c r="F50" s="2"/>
      <c r="G50" s="2"/>
      <c r="H50" s="2"/>
      <c r="I50" s="2"/>
      <c r="J50" s="2"/>
    </row>
    <row r="51" spans="1:10" ht="13.7" customHeight="1" x14ac:dyDescent="0.2">
      <c r="A51" s="2"/>
      <c r="B51" s="2"/>
      <c r="C51" s="2"/>
      <c r="D51" s="2"/>
      <c r="E51" s="2"/>
      <c r="F51" s="2"/>
      <c r="G51" s="2"/>
      <c r="H51" s="2"/>
      <c r="I51" s="2"/>
      <c r="J51" s="2"/>
    </row>
    <row r="52" spans="1:10" ht="15" customHeight="1" x14ac:dyDescent="0.2">
      <c r="A52" s="5" t="s">
        <v>40</v>
      </c>
      <c r="B52" s="2"/>
      <c r="C52" s="2"/>
      <c r="D52" s="2"/>
      <c r="E52" s="2"/>
      <c r="F52" s="2"/>
      <c r="G52" s="2"/>
      <c r="H52" s="2"/>
      <c r="I52" s="2"/>
      <c r="J52" s="2"/>
    </row>
    <row r="53" spans="1:10" ht="15" customHeight="1" x14ac:dyDescent="0.2">
      <c r="A53" s="7" t="s">
        <v>41</v>
      </c>
      <c r="B53" s="2"/>
      <c r="C53" s="2"/>
      <c r="D53" s="2"/>
      <c r="E53" s="2"/>
      <c r="F53" s="2"/>
      <c r="G53" s="2"/>
      <c r="H53" s="2"/>
      <c r="I53" s="2"/>
      <c r="J53" s="2"/>
    </row>
    <row r="54" spans="1:10" ht="15" customHeight="1" x14ac:dyDescent="0.2">
      <c r="A54" s="7" t="s">
        <v>42</v>
      </c>
      <c r="B54" s="2"/>
      <c r="C54" s="2"/>
      <c r="D54" s="2"/>
      <c r="E54" s="2"/>
      <c r="F54" s="2"/>
      <c r="G54" s="2"/>
      <c r="H54" s="2"/>
      <c r="I54" s="2"/>
      <c r="J54" s="2"/>
    </row>
    <row r="55" spans="1:10" ht="15" customHeight="1" x14ac:dyDescent="0.2">
      <c r="A55" s="7" t="s">
        <v>43</v>
      </c>
      <c r="B55" s="2"/>
      <c r="C55" s="2"/>
      <c r="D55" s="2"/>
      <c r="E55" s="2"/>
      <c r="F55" s="2"/>
      <c r="G55" s="2"/>
      <c r="H55" s="2"/>
      <c r="I55" s="2"/>
      <c r="J55" s="2"/>
    </row>
    <row r="56" spans="1:10" ht="13.7" customHeight="1" x14ac:dyDescent="0.2">
      <c r="A56" s="2"/>
      <c r="B56" s="2"/>
      <c r="C56" s="2"/>
      <c r="D56" s="2"/>
      <c r="E56" s="2"/>
      <c r="F56" s="2"/>
      <c r="G56" s="2"/>
      <c r="H56" s="2"/>
      <c r="I56" s="2"/>
      <c r="J56" s="2"/>
    </row>
    <row r="57" spans="1:10" ht="15" customHeight="1" x14ac:dyDescent="0.2">
      <c r="A57" s="5" t="s">
        <v>44</v>
      </c>
      <c r="B57" s="2"/>
      <c r="C57" s="2"/>
      <c r="D57" s="2"/>
      <c r="E57" s="2"/>
      <c r="F57" s="2"/>
      <c r="G57" s="2"/>
      <c r="H57" s="2"/>
      <c r="I57" s="2"/>
      <c r="J57" s="2"/>
    </row>
    <row r="58" spans="1:10" ht="15" customHeight="1" x14ac:dyDescent="0.2">
      <c r="A58" s="7" t="s">
        <v>45</v>
      </c>
      <c r="B58" s="2"/>
      <c r="C58" s="2"/>
      <c r="D58" s="2"/>
      <c r="E58" s="2"/>
      <c r="F58" s="2"/>
      <c r="G58" s="2"/>
      <c r="H58" s="2"/>
      <c r="I58" s="2"/>
      <c r="J58" s="2"/>
    </row>
    <row r="59" spans="1:10" ht="15" customHeight="1" x14ac:dyDescent="0.2">
      <c r="A59" s="7" t="s">
        <v>46</v>
      </c>
      <c r="B59" s="2"/>
      <c r="C59" s="2"/>
      <c r="D59" s="2"/>
      <c r="E59" s="2"/>
      <c r="F59" s="2"/>
      <c r="G59" s="2"/>
      <c r="H59" s="2"/>
      <c r="I59" s="2"/>
      <c r="J59" s="2"/>
    </row>
    <row r="60" spans="1:10" ht="15" customHeight="1" x14ac:dyDescent="0.2">
      <c r="A60" s="7" t="s">
        <v>47</v>
      </c>
      <c r="B60" s="2"/>
      <c r="C60" s="2"/>
      <c r="D60" s="2"/>
      <c r="E60" s="2"/>
      <c r="F60" s="2"/>
      <c r="G60" s="2"/>
      <c r="H60" s="2"/>
      <c r="I60" s="2"/>
      <c r="J60" s="2"/>
    </row>
    <row r="61" spans="1:10" ht="15" customHeight="1" x14ac:dyDescent="0.2">
      <c r="A61" s="7" t="s">
        <v>48</v>
      </c>
      <c r="B61" s="2"/>
      <c r="C61" s="2"/>
      <c r="D61" s="2"/>
      <c r="E61" s="2"/>
      <c r="F61" s="2"/>
      <c r="G61" s="2"/>
      <c r="H61" s="2"/>
      <c r="I61" s="2"/>
      <c r="J61" s="2"/>
    </row>
  </sheetData>
  <hyperlinks>
    <hyperlink ref="A5" r:id="rId1"/>
  </hyperlinks>
  <pageMargins left="0" right="0" top="0" bottom="0" header="0.51181100000000002" footer="0.51181100000000002"/>
  <pageSetup scale="53" orientation="portrait" r:id="rId2"/>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13"/>
  <sheetViews>
    <sheetView showGridLines="0" workbookViewId="0">
      <selection activeCell="E8" sqref="E8"/>
    </sheetView>
  </sheetViews>
  <sheetFormatPr defaultColWidth="8.85546875" defaultRowHeight="15" customHeight="1" x14ac:dyDescent="0.2"/>
  <cols>
    <col min="1" max="1" width="9.140625" style="8" customWidth="1"/>
    <col min="2" max="2" width="13.140625" style="8" customWidth="1"/>
    <col min="3" max="4" width="14" style="8" customWidth="1"/>
    <col min="5" max="5" width="18" style="8" customWidth="1"/>
    <col min="6" max="6" width="56.85546875" style="8" customWidth="1"/>
    <col min="7" max="7" width="9.140625" style="8" customWidth="1"/>
    <col min="8" max="256" width="8.85546875" style="8" customWidth="1"/>
  </cols>
  <sheetData>
    <row r="1" spans="1:7" ht="15.75" customHeight="1" x14ac:dyDescent="0.2">
      <c r="A1" s="9"/>
      <c r="B1" s="9"/>
      <c r="C1" s="10"/>
      <c r="D1" s="10"/>
      <c r="E1" s="9"/>
      <c r="F1" s="10"/>
      <c r="G1" s="9"/>
    </row>
    <row r="2" spans="1:7" ht="15.75" customHeight="1" x14ac:dyDescent="0.2">
      <c r="A2" s="11"/>
      <c r="B2" s="12" t="s">
        <v>49</v>
      </c>
      <c r="C2" s="13"/>
      <c r="D2" s="13"/>
      <c r="E2" s="14"/>
      <c r="F2" s="13"/>
      <c r="G2" s="15"/>
    </row>
    <row r="3" spans="1:7" ht="20.25" customHeight="1" x14ac:dyDescent="0.25">
      <c r="A3" s="16"/>
      <c r="B3" s="250" t="s">
        <v>50</v>
      </c>
      <c r="C3" s="251"/>
      <c r="D3" s="251"/>
      <c r="E3" s="251"/>
      <c r="F3" s="252"/>
      <c r="G3" s="17"/>
    </row>
    <row r="4" spans="1:7" ht="36" customHeight="1" x14ac:dyDescent="0.25">
      <c r="A4" s="18"/>
      <c r="B4" s="19"/>
      <c r="C4" s="20" t="s">
        <v>51</v>
      </c>
      <c r="D4" s="21" t="s">
        <v>52</v>
      </c>
      <c r="E4" s="19"/>
      <c r="F4" s="20" t="s">
        <v>53</v>
      </c>
      <c r="G4" s="22"/>
    </row>
    <row r="5" spans="1:7" ht="45" customHeight="1" x14ac:dyDescent="0.2">
      <c r="A5" s="23"/>
      <c r="B5" s="24" t="s">
        <v>54</v>
      </c>
      <c r="C5" s="25" t="s">
        <v>55</v>
      </c>
      <c r="D5" s="26">
        <v>2.083333333333337E-2</v>
      </c>
      <c r="E5" s="26"/>
      <c r="F5" s="25" t="s">
        <v>56</v>
      </c>
      <c r="G5" s="27"/>
    </row>
    <row r="6" spans="1:7" ht="90" customHeight="1" x14ac:dyDescent="0.2">
      <c r="A6" s="23"/>
      <c r="B6" s="24" t="s">
        <v>57</v>
      </c>
      <c r="C6" s="25" t="s">
        <v>58</v>
      </c>
      <c r="D6" s="26">
        <v>2.083333333333337E-2</v>
      </c>
      <c r="E6" s="26"/>
      <c r="F6" s="25" t="s">
        <v>59</v>
      </c>
      <c r="G6" s="27"/>
    </row>
    <row r="7" spans="1:7" ht="30" customHeight="1" x14ac:dyDescent="0.2">
      <c r="A7" s="23"/>
      <c r="B7" s="24" t="s">
        <v>60</v>
      </c>
      <c r="C7" s="25" t="s">
        <v>61</v>
      </c>
      <c r="D7" s="26">
        <v>1.041666666666663E-2</v>
      </c>
      <c r="E7" s="26"/>
      <c r="F7" s="25" t="s">
        <v>62</v>
      </c>
      <c r="G7" s="27"/>
    </row>
    <row r="8" spans="1:7" ht="15.75" customHeight="1" x14ac:dyDescent="0.2">
      <c r="A8" s="23"/>
      <c r="B8" s="28"/>
      <c r="C8" s="25" t="s">
        <v>63</v>
      </c>
      <c r="D8" s="26">
        <f>SUM(D5:D7)</f>
        <v>5.208333333333337E-2</v>
      </c>
      <c r="E8" s="29">
        <v>218</v>
      </c>
      <c r="F8" s="25" t="s">
        <v>64</v>
      </c>
      <c r="G8" s="27"/>
    </row>
    <row r="9" spans="1:7" ht="15.75" customHeight="1" x14ac:dyDescent="0.2">
      <c r="A9" s="30"/>
      <c r="B9" s="31"/>
      <c r="C9" s="32"/>
      <c r="D9" s="33"/>
      <c r="E9" s="33"/>
      <c r="F9" s="32"/>
      <c r="G9" s="34"/>
    </row>
    <row r="10" spans="1:7" ht="17.100000000000001" customHeight="1" x14ac:dyDescent="0.2">
      <c r="A10" s="30"/>
      <c r="B10" s="35"/>
      <c r="C10" s="36"/>
      <c r="D10" s="36"/>
      <c r="E10" s="35" t="s">
        <v>242</v>
      </c>
      <c r="F10" s="36"/>
      <c r="G10" s="34"/>
    </row>
    <row r="11" spans="1:7" ht="18" customHeight="1" x14ac:dyDescent="0.25">
      <c r="A11" s="37"/>
      <c r="B11" s="38"/>
      <c r="C11" s="38"/>
      <c r="D11" s="38"/>
      <c r="E11" s="38"/>
      <c r="F11" s="38"/>
      <c r="G11" s="39"/>
    </row>
    <row r="12" spans="1:7" ht="18" customHeight="1" x14ac:dyDescent="0.25">
      <c r="A12" s="40"/>
      <c r="B12" s="41"/>
      <c r="C12" s="41"/>
      <c r="D12" s="41"/>
      <c r="E12" s="41"/>
      <c r="F12" s="41"/>
      <c r="G12" s="42"/>
    </row>
    <row r="13" spans="1:7" ht="17.100000000000001" customHeight="1" x14ac:dyDescent="0.2">
      <c r="A13" s="43"/>
      <c r="B13" s="44"/>
      <c r="C13" s="45"/>
      <c r="D13" s="45"/>
      <c r="E13" s="44"/>
      <c r="F13" s="45"/>
      <c r="G13" s="46"/>
    </row>
  </sheetData>
  <mergeCells count="1">
    <mergeCell ref="B3:F3"/>
  </mergeCells>
  <pageMargins left="0.75" right="0.75" top="1" bottom="1" header="0.5" footer="0.5"/>
  <pageSetup scale="92" orientation="landscape" r:id="rId1"/>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6"/>
  <sheetViews>
    <sheetView showGridLines="0" tabSelected="1" topLeftCell="A10" zoomScale="60" zoomScaleNormal="60" workbookViewId="0">
      <selection activeCell="AL27" sqref="AL27"/>
    </sheetView>
  </sheetViews>
  <sheetFormatPr defaultColWidth="8.85546875" defaultRowHeight="15" customHeight="1" x14ac:dyDescent="0.2"/>
  <cols>
    <col min="1" max="1" width="5.7109375" style="47" customWidth="1"/>
    <col min="2" max="6" width="16" style="47" customWidth="1"/>
    <col min="7" max="7" width="60.7109375" style="47" customWidth="1"/>
    <col min="8" max="9" width="5.7109375" style="47" customWidth="1"/>
    <col min="10" max="14" width="16" style="47" customWidth="1"/>
    <col min="15" max="15" width="60.7109375" style="47" customWidth="1"/>
    <col min="16" max="17" width="5.7109375" style="47" customWidth="1"/>
    <col min="18" max="22" width="16" style="47" customWidth="1"/>
    <col min="23" max="23" width="60.7109375" style="47" customWidth="1"/>
    <col min="24" max="25" width="5.7109375" style="47" customWidth="1"/>
    <col min="26" max="30" width="16" style="47" customWidth="1"/>
    <col min="31" max="31" width="60.7109375" style="47" customWidth="1"/>
    <col min="32" max="33" width="5.7109375" style="47" customWidth="1"/>
    <col min="34" max="38" width="16" style="47" customWidth="1"/>
    <col min="39" max="39" width="60.7109375" style="47" customWidth="1"/>
    <col min="40" max="40" width="5.7109375" style="47" customWidth="1"/>
    <col min="41" max="256" width="8.85546875" style="47" customWidth="1"/>
  </cols>
  <sheetData>
    <row r="1" spans="1:40" ht="27" customHeight="1" x14ac:dyDescent="0.2">
      <c r="A1" s="48"/>
      <c r="B1" s="253" t="s">
        <v>65</v>
      </c>
      <c r="C1" s="254"/>
      <c r="D1" s="254"/>
      <c r="E1" s="254"/>
      <c r="F1" s="254"/>
      <c r="G1" s="254"/>
      <c r="H1" s="254"/>
      <c r="I1" s="253" t="s">
        <v>66</v>
      </c>
      <c r="J1" s="254"/>
      <c r="K1" s="254"/>
      <c r="L1" s="254"/>
      <c r="M1" s="254"/>
      <c r="N1" s="254"/>
      <c r="O1" s="254"/>
      <c r="P1" s="254"/>
      <c r="Q1" s="253" t="s">
        <v>67</v>
      </c>
      <c r="R1" s="254"/>
      <c r="S1" s="254"/>
      <c r="T1" s="254"/>
      <c r="U1" s="254"/>
      <c r="V1" s="254"/>
      <c r="W1" s="254"/>
      <c r="X1" s="254"/>
      <c r="Y1" s="253" t="s">
        <v>68</v>
      </c>
      <c r="Z1" s="254"/>
      <c r="AA1" s="254"/>
      <c r="AB1" s="254"/>
      <c r="AC1" s="254"/>
      <c r="AD1" s="254"/>
      <c r="AE1" s="254"/>
      <c r="AF1" s="254"/>
      <c r="AG1" s="253" t="s">
        <v>69</v>
      </c>
      <c r="AH1" s="254"/>
      <c r="AI1" s="254"/>
      <c r="AJ1" s="254"/>
      <c r="AK1" s="254"/>
      <c r="AL1" s="254"/>
      <c r="AM1" s="254"/>
      <c r="AN1" s="254"/>
    </row>
    <row r="2" spans="1:40" ht="15.75" customHeight="1" x14ac:dyDescent="0.2">
      <c r="A2" s="49"/>
      <c r="B2" s="50" t="s">
        <v>49</v>
      </c>
      <c r="C2" s="51"/>
      <c r="D2" s="51"/>
      <c r="E2" s="51"/>
      <c r="F2" s="51"/>
      <c r="G2" s="51"/>
      <c r="H2" s="52"/>
      <c r="I2" s="49"/>
      <c r="J2" s="50" t="s">
        <v>49</v>
      </c>
      <c r="K2" s="51"/>
      <c r="L2" s="51"/>
      <c r="M2" s="51"/>
      <c r="N2" s="51"/>
      <c r="O2" s="51"/>
      <c r="P2" s="52"/>
      <c r="Q2" s="49"/>
      <c r="R2" s="50" t="s">
        <v>49</v>
      </c>
      <c r="S2" s="51"/>
      <c r="T2" s="51"/>
      <c r="U2" s="51"/>
      <c r="V2" s="51"/>
      <c r="W2" s="51"/>
      <c r="X2" s="52"/>
      <c r="Y2" s="49"/>
      <c r="Z2" s="50" t="s">
        <v>49</v>
      </c>
      <c r="AA2" s="51"/>
      <c r="AB2" s="51"/>
      <c r="AC2" s="51"/>
      <c r="AD2" s="51"/>
      <c r="AE2" s="51"/>
      <c r="AF2" s="52"/>
      <c r="AG2" s="49"/>
      <c r="AH2" s="50" t="s">
        <v>49</v>
      </c>
      <c r="AI2" s="51"/>
      <c r="AJ2" s="51"/>
      <c r="AK2" s="51"/>
      <c r="AL2" s="51"/>
      <c r="AM2" s="51"/>
      <c r="AN2" s="52"/>
    </row>
    <row r="3" spans="1:40" ht="20.25" customHeight="1" x14ac:dyDescent="0.2">
      <c r="A3" s="53"/>
      <c r="B3" s="255" t="s">
        <v>70</v>
      </c>
      <c r="C3" s="256"/>
      <c r="D3" s="256"/>
      <c r="E3" s="256"/>
      <c r="F3" s="256"/>
      <c r="G3" s="257"/>
      <c r="H3" s="53"/>
      <c r="I3" s="53"/>
      <c r="J3" s="255" t="s">
        <v>70</v>
      </c>
      <c r="K3" s="256"/>
      <c r="L3" s="256"/>
      <c r="M3" s="256"/>
      <c r="N3" s="256"/>
      <c r="O3" s="257"/>
      <c r="P3" s="53"/>
      <c r="Q3" s="53"/>
      <c r="R3" s="255" t="s">
        <v>70</v>
      </c>
      <c r="S3" s="256"/>
      <c r="T3" s="256"/>
      <c r="U3" s="256"/>
      <c r="V3" s="256"/>
      <c r="W3" s="257"/>
      <c r="X3" s="53"/>
      <c r="Y3" s="53"/>
      <c r="Z3" s="255" t="s">
        <v>70</v>
      </c>
      <c r="AA3" s="256"/>
      <c r="AB3" s="256"/>
      <c r="AC3" s="256"/>
      <c r="AD3" s="256"/>
      <c r="AE3" s="257"/>
      <c r="AF3" s="53"/>
      <c r="AG3" s="53"/>
      <c r="AH3" s="255" t="s">
        <v>71</v>
      </c>
      <c r="AI3" s="256"/>
      <c r="AJ3" s="256"/>
      <c r="AK3" s="256"/>
      <c r="AL3" s="256"/>
      <c r="AM3" s="257"/>
      <c r="AN3" s="53"/>
    </row>
    <row r="4" spans="1:40" ht="36" customHeight="1" x14ac:dyDescent="0.2">
      <c r="A4" s="54"/>
      <c r="B4" s="55"/>
      <c r="C4" s="20" t="s">
        <v>72</v>
      </c>
      <c r="D4" s="20" t="s">
        <v>52</v>
      </c>
      <c r="E4" s="20" t="s">
        <v>73</v>
      </c>
      <c r="F4" s="20" t="s">
        <v>74</v>
      </c>
      <c r="G4" s="20" t="s">
        <v>75</v>
      </c>
      <c r="H4" s="56"/>
      <c r="I4" s="54"/>
      <c r="J4" s="55"/>
      <c r="K4" s="20" t="s">
        <v>72</v>
      </c>
      <c r="L4" s="20" t="s">
        <v>52</v>
      </c>
      <c r="M4" s="20" t="s">
        <v>73</v>
      </c>
      <c r="N4" s="20" t="s">
        <v>74</v>
      </c>
      <c r="O4" s="20" t="s">
        <v>75</v>
      </c>
      <c r="P4" s="56"/>
      <c r="Q4" s="54"/>
      <c r="R4" s="55"/>
      <c r="S4" s="20" t="s">
        <v>72</v>
      </c>
      <c r="T4" s="20" t="s">
        <v>52</v>
      </c>
      <c r="U4" s="20" t="s">
        <v>73</v>
      </c>
      <c r="V4" s="20" t="s">
        <v>74</v>
      </c>
      <c r="W4" s="20" t="s">
        <v>75</v>
      </c>
      <c r="X4" s="56"/>
      <c r="Y4" s="54"/>
      <c r="Z4" s="55"/>
      <c r="AA4" s="20" t="s">
        <v>72</v>
      </c>
      <c r="AB4" s="20" t="s">
        <v>52</v>
      </c>
      <c r="AC4" s="20" t="s">
        <v>73</v>
      </c>
      <c r="AD4" s="20" t="s">
        <v>74</v>
      </c>
      <c r="AE4" s="20" t="s">
        <v>75</v>
      </c>
      <c r="AF4" s="56"/>
      <c r="AG4" s="54"/>
      <c r="AH4" s="55"/>
      <c r="AI4" s="20" t="s">
        <v>51</v>
      </c>
      <c r="AJ4" s="20" t="s">
        <v>52</v>
      </c>
      <c r="AK4" s="20" t="s">
        <v>73</v>
      </c>
      <c r="AL4" s="20" t="s">
        <v>74</v>
      </c>
      <c r="AM4" s="20" t="s">
        <v>76</v>
      </c>
      <c r="AN4" s="56"/>
    </row>
    <row r="5" spans="1:40" ht="30" customHeight="1" x14ac:dyDescent="0.2">
      <c r="A5" s="54"/>
      <c r="B5" s="57" t="s">
        <v>77</v>
      </c>
      <c r="C5" s="58">
        <v>1</v>
      </c>
      <c r="D5" s="25" t="s">
        <v>78</v>
      </c>
      <c r="E5" s="25" t="s">
        <v>79</v>
      </c>
      <c r="F5" s="59">
        <f t="shared" ref="F5:AD5" si="0">$C$46*0.7</f>
        <v>152.6</v>
      </c>
      <c r="G5" s="25" t="s">
        <v>80</v>
      </c>
      <c r="H5" s="56"/>
      <c r="I5" s="54"/>
      <c r="J5" s="57" t="s">
        <v>77</v>
      </c>
      <c r="K5" s="58">
        <v>1</v>
      </c>
      <c r="L5" s="25" t="s">
        <v>78</v>
      </c>
      <c r="M5" s="25" t="s">
        <v>79</v>
      </c>
      <c r="N5" s="59">
        <f t="shared" si="0"/>
        <v>152.6</v>
      </c>
      <c r="O5" s="25" t="s">
        <v>80</v>
      </c>
      <c r="P5" s="56"/>
      <c r="Q5" s="54"/>
      <c r="R5" s="57" t="s">
        <v>77</v>
      </c>
      <c r="S5" s="58">
        <v>1</v>
      </c>
      <c r="T5" s="25" t="s">
        <v>78</v>
      </c>
      <c r="U5" s="25" t="s">
        <v>79</v>
      </c>
      <c r="V5" s="59">
        <f t="shared" si="0"/>
        <v>152.6</v>
      </c>
      <c r="W5" s="25" t="s">
        <v>80</v>
      </c>
      <c r="X5" s="56"/>
      <c r="Y5" s="54"/>
      <c r="Z5" s="57" t="s">
        <v>77</v>
      </c>
      <c r="AA5" s="58">
        <v>1</v>
      </c>
      <c r="AB5" s="25" t="s">
        <v>78</v>
      </c>
      <c r="AC5" s="25" t="s">
        <v>79</v>
      </c>
      <c r="AD5" s="59">
        <f t="shared" si="0"/>
        <v>152.6</v>
      </c>
      <c r="AE5" s="25" t="s">
        <v>80</v>
      </c>
      <c r="AF5" s="56"/>
      <c r="AG5" s="54"/>
      <c r="AH5" s="57" t="s">
        <v>77</v>
      </c>
      <c r="AI5" s="25" t="s">
        <v>81</v>
      </c>
      <c r="AJ5" s="25" t="s">
        <v>82</v>
      </c>
      <c r="AK5" s="25" t="s">
        <v>83</v>
      </c>
      <c r="AL5" s="59">
        <f t="shared" ref="AL5:AL38" si="1">$C$46*0.6</f>
        <v>130.79999999999998</v>
      </c>
      <c r="AM5" s="25" t="s">
        <v>84</v>
      </c>
      <c r="AN5" s="56"/>
    </row>
    <row r="6" spans="1:40" ht="30" customHeight="1" x14ac:dyDescent="0.2">
      <c r="A6" s="54"/>
      <c r="B6" s="57" t="s">
        <v>57</v>
      </c>
      <c r="C6" s="260">
        <v>5</v>
      </c>
      <c r="D6" s="25" t="s">
        <v>85</v>
      </c>
      <c r="E6" s="60">
        <v>1</v>
      </c>
      <c r="F6" s="59">
        <f t="shared" ref="F6:AD10" si="2">$C$46*1</f>
        <v>218</v>
      </c>
      <c r="G6" s="258" t="s">
        <v>86</v>
      </c>
      <c r="H6" s="56"/>
      <c r="I6" s="54"/>
      <c r="J6" s="57" t="s">
        <v>57</v>
      </c>
      <c r="K6" s="260">
        <v>5</v>
      </c>
      <c r="L6" s="25" t="s">
        <v>85</v>
      </c>
      <c r="M6" s="60">
        <v>1</v>
      </c>
      <c r="N6" s="59">
        <f t="shared" si="2"/>
        <v>218</v>
      </c>
      <c r="O6" s="258" t="s">
        <v>86</v>
      </c>
      <c r="P6" s="56"/>
      <c r="Q6" s="54"/>
      <c r="R6" s="57" t="s">
        <v>57</v>
      </c>
      <c r="S6" s="260">
        <v>5</v>
      </c>
      <c r="T6" s="25" t="s">
        <v>85</v>
      </c>
      <c r="U6" s="60">
        <v>1</v>
      </c>
      <c r="V6" s="59">
        <f t="shared" si="2"/>
        <v>218</v>
      </c>
      <c r="W6" s="258" t="s">
        <v>86</v>
      </c>
      <c r="X6" s="56"/>
      <c r="Y6" s="54"/>
      <c r="Z6" s="57" t="s">
        <v>57</v>
      </c>
      <c r="AA6" s="260">
        <v>5</v>
      </c>
      <c r="AB6" s="25" t="s">
        <v>85</v>
      </c>
      <c r="AC6" s="60">
        <v>1</v>
      </c>
      <c r="AD6" s="59">
        <f t="shared" si="2"/>
        <v>218</v>
      </c>
      <c r="AE6" s="258" t="s">
        <v>86</v>
      </c>
      <c r="AF6" s="56"/>
      <c r="AG6" s="62"/>
      <c r="AH6" s="63"/>
      <c r="AI6" s="32"/>
      <c r="AJ6" s="64"/>
      <c r="AK6" s="65"/>
      <c r="AL6" s="66"/>
      <c r="AM6" s="32"/>
      <c r="AN6" s="67"/>
    </row>
    <row r="7" spans="1:40" ht="15.75" customHeight="1" x14ac:dyDescent="0.2">
      <c r="A7" s="54"/>
      <c r="B7" s="68"/>
      <c r="C7" s="259"/>
      <c r="D7" s="25" t="s">
        <v>85</v>
      </c>
      <c r="E7" s="60">
        <v>0.5</v>
      </c>
      <c r="F7" s="59">
        <f t="shared" ref="F7:AD12" si="3">$C$46*0.5</f>
        <v>109</v>
      </c>
      <c r="G7" s="259"/>
      <c r="H7" s="56"/>
      <c r="I7" s="54"/>
      <c r="J7" s="68"/>
      <c r="K7" s="259"/>
      <c r="L7" s="25" t="s">
        <v>85</v>
      </c>
      <c r="M7" s="60">
        <v>0.5</v>
      </c>
      <c r="N7" s="59">
        <f t="shared" si="3"/>
        <v>109</v>
      </c>
      <c r="O7" s="259"/>
      <c r="P7" s="56"/>
      <c r="Q7" s="54"/>
      <c r="R7" s="68"/>
      <c r="S7" s="259"/>
      <c r="T7" s="25" t="s">
        <v>85</v>
      </c>
      <c r="U7" s="60">
        <v>0.5</v>
      </c>
      <c r="V7" s="59">
        <f t="shared" si="3"/>
        <v>109</v>
      </c>
      <c r="W7" s="259"/>
      <c r="X7" s="56"/>
      <c r="Y7" s="54"/>
      <c r="Z7" s="68"/>
      <c r="AA7" s="259"/>
      <c r="AB7" s="25" t="s">
        <v>85</v>
      </c>
      <c r="AC7" s="60">
        <v>0.5</v>
      </c>
      <c r="AD7" s="59">
        <f t="shared" si="3"/>
        <v>109</v>
      </c>
      <c r="AE7" s="259"/>
      <c r="AF7" s="56"/>
      <c r="AG7" s="62"/>
      <c r="AH7" s="70"/>
      <c r="AI7" s="71"/>
      <c r="AJ7" s="72"/>
      <c r="AK7" s="73"/>
      <c r="AL7" s="74"/>
      <c r="AM7" s="71"/>
      <c r="AN7" s="67"/>
    </row>
    <row r="8" spans="1:40" ht="15.75" customHeight="1" x14ac:dyDescent="0.2">
      <c r="A8" s="54"/>
      <c r="B8" s="57" t="s">
        <v>87</v>
      </c>
      <c r="C8" s="260">
        <v>2</v>
      </c>
      <c r="D8" s="25" t="s">
        <v>78</v>
      </c>
      <c r="E8" s="60">
        <v>0.9</v>
      </c>
      <c r="F8" s="59">
        <f t="shared" ref="F8:AD18" si="4">$C$46*0.9</f>
        <v>196.20000000000002</v>
      </c>
      <c r="G8" s="258" t="s">
        <v>88</v>
      </c>
      <c r="H8" s="56"/>
      <c r="I8" s="54"/>
      <c r="J8" s="57" t="s">
        <v>87</v>
      </c>
      <c r="K8" s="260">
        <v>2</v>
      </c>
      <c r="L8" s="25" t="s">
        <v>78</v>
      </c>
      <c r="M8" s="60">
        <v>1</v>
      </c>
      <c r="N8" s="59">
        <f t="shared" si="2"/>
        <v>218</v>
      </c>
      <c r="O8" s="258" t="s">
        <v>88</v>
      </c>
      <c r="P8" s="56"/>
      <c r="Q8" s="54"/>
      <c r="R8" s="57" t="s">
        <v>87</v>
      </c>
      <c r="S8" s="260">
        <v>1</v>
      </c>
      <c r="T8" s="25" t="s">
        <v>89</v>
      </c>
      <c r="U8" s="60">
        <v>0.95</v>
      </c>
      <c r="V8" s="59">
        <f>$C$46*0.95</f>
        <v>207.1</v>
      </c>
      <c r="W8" s="258" t="s">
        <v>88</v>
      </c>
      <c r="X8" s="56"/>
      <c r="Y8" s="54"/>
      <c r="Z8" s="57" t="s">
        <v>87</v>
      </c>
      <c r="AA8" s="260">
        <v>1</v>
      </c>
      <c r="AB8" s="25" t="s">
        <v>89</v>
      </c>
      <c r="AC8" s="60">
        <v>1</v>
      </c>
      <c r="AD8" s="59">
        <f t="shared" si="2"/>
        <v>218</v>
      </c>
      <c r="AE8" s="258" t="s">
        <v>88</v>
      </c>
      <c r="AF8" s="56"/>
      <c r="AG8" s="62"/>
      <c r="AH8" s="70"/>
      <c r="AI8" s="71"/>
      <c r="AJ8" s="72"/>
      <c r="AK8" s="72"/>
      <c r="AL8" s="72"/>
      <c r="AM8" s="71"/>
      <c r="AN8" s="67"/>
    </row>
    <row r="9" spans="1:40" ht="15.75" customHeight="1" x14ac:dyDescent="0.2">
      <c r="A9" s="54"/>
      <c r="B9" s="68"/>
      <c r="C9" s="259"/>
      <c r="D9" s="25" t="s">
        <v>90</v>
      </c>
      <c r="E9" s="60">
        <v>0.5</v>
      </c>
      <c r="F9" s="59">
        <f t="shared" si="3"/>
        <v>109</v>
      </c>
      <c r="G9" s="264"/>
      <c r="H9" s="56"/>
      <c r="I9" s="54"/>
      <c r="J9" s="68"/>
      <c r="K9" s="259"/>
      <c r="L9" s="25" t="s">
        <v>90</v>
      </c>
      <c r="M9" s="60">
        <v>0.5</v>
      </c>
      <c r="N9" s="59">
        <f t="shared" si="3"/>
        <v>109</v>
      </c>
      <c r="O9" s="264"/>
      <c r="P9" s="56"/>
      <c r="Q9" s="54"/>
      <c r="R9" s="68"/>
      <c r="S9" s="259"/>
      <c r="T9" s="25" t="s">
        <v>90</v>
      </c>
      <c r="U9" s="60">
        <v>0.5</v>
      </c>
      <c r="V9" s="59">
        <f t="shared" si="3"/>
        <v>109</v>
      </c>
      <c r="W9" s="264"/>
      <c r="X9" s="56"/>
      <c r="Y9" s="54"/>
      <c r="Z9" s="68"/>
      <c r="AA9" s="259"/>
      <c r="AB9" s="25" t="s">
        <v>90</v>
      </c>
      <c r="AC9" s="60">
        <v>0.5</v>
      </c>
      <c r="AD9" s="59">
        <f t="shared" si="3"/>
        <v>109</v>
      </c>
      <c r="AE9" s="264"/>
      <c r="AF9" s="56"/>
      <c r="AG9" s="62"/>
      <c r="AH9" s="70"/>
      <c r="AI9" s="71"/>
      <c r="AJ9" s="72"/>
      <c r="AK9" s="72"/>
      <c r="AL9" s="72"/>
      <c r="AM9" s="71"/>
      <c r="AN9" s="67"/>
    </row>
    <row r="10" spans="1:40" ht="15.75" customHeight="1" x14ac:dyDescent="0.2">
      <c r="A10" s="54"/>
      <c r="B10" s="57" t="s">
        <v>91</v>
      </c>
      <c r="C10" s="260">
        <v>4</v>
      </c>
      <c r="D10" s="25" t="s">
        <v>90</v>
      </c>
      <c r="E10" s="60">
        <v>1</v>
      </c>
      <c r="F10" s="59">
        <f t="shared" si="2"/>
        <v>218</v>
      </c>
      <c r="G10" s="264"/>
      <c r="H10" s="56"/>
      <c r="I10" s="54"/>
      <c r="J10" s="57" t="s">
        <v>91</v>
      </c>
      <c r="K10" s="260">
        <v>4</v>
      </c>
      <c r="L10" s="25" t="s">
        <v>90</v>
      </c>
      <c r="M10" s="60">
        <v>1.05</v>
      </c>
      <c r="N10" s="59">
        <f t="shared" ref="N10:AD10" si="5">$C$46*1.05</f>
        <v>228.9</v>
      </c>
      <c r="O10" s="264"/>
      <c r="P10" s="56"/>
      <c r="Q10" s="54"/>
      <c r="R10" s="57" t="s">
        <v>91</v>
      </c>
      <c r="S10" s="260">
        <v>2</v>
      </c>
      <c r="T10" s="25" t="s">
        <v>78</v>
      </c>
      <c r="U10" s="60">
        <v>1</v>
      </c>
      <c r="V10" s="59">
        <f t="shared" si="2"/>
        <v>218</v>
      </c>
      <c r="W10" s="264"/>
      <c r="X10" s="56"/>
      <c r="Y10" s="54"/>
      <c r="Z10" s="57" t="s">
        <v>91</v>
      </c>
      <c r="AA10" s="260">
        <v>2</v>
      </c>
      <c r="AB10" s="25" t="s">
        <v>78</v>
      </c>
      <c r="AC10" s="60">
        <v>1.05</v>
      </c>
      <c r="AD10" s="59">
        <f t="shared" si="5"/>
        <v>228.9</v>
      </c>
      <c r="AE10" s="264"/>
      <c r="AF10" s="56"/>
      <c r="AG10" s="62"/>
      <c r="AH10" s="70"/>
      <c r="AI10" s="70"/>
      <c r="AJ10" s="75"/>
      <c r="AK10" s="72"/>
      <c r="AL10" s="74"/>
      <c r="AM10" s="71"/>
      <c r="AN10" s="67"/>
    </row>
    <row r="11" spans="1:40" ht="15.75" customHeight="1" x14ac:dyDescent="0.2">
      <c r="A11" s="54"/>
      <c r="B11" s="68"/>
      <c r="C11" s="259"/>
      <c r="D11" s="25" t="s">
        <v>92</v>
      </c>
      <c r="E11" s="60">
        <v>0.5</v>
      </c>
      <c r="F11" s="59">
        <f t="shared" si="3"/>
        <v>109</v>
      </c>
      <c r="G11" s="259"/>
      <c r="H11" s="56"/>
      <c r="I11" s="54"/>
      <c r="J11" s="68"/>
      <c r="K11" s="259"/>
      <c r="L11" s="25" t="s">
        <v>93</v>
      </c>
      <c r="M11" s="60">
        <v>0.5</v>
      </c>
      <c r="N11" s="59">
        <f t="shared" si="3"/>
        <v>109</v>
      </c>
      <c r="O11" s="259"/>
      <c r="P11" s="56"/>
      <c r="Q11" s="54"/>
      <c r="R11" s="68"/>
      <c r="S11" s="259"/>
      <c r="T11" s="25" t="s">
        <v>92</v>
      </c>
      <c r="U11" s="60">
        <v>0.5</v>
      </c>
      <c r="V11" s="59">
        <f t="shared" si="3"/>
        <v>109</v>
      </c>
      <c r="W11" s="259"/>
      <c r="X11" s="56"/>
      <c r="Y11" s="54"/>
      <c r="Z11" s="68"/>
      <c r="AA11" s="259"/>
      <c r="AB11" s="25" t="s">
        <v>92</v>
      </c>
      <c r="AC11" s="60">
        <v>0.5</v>
      </c>
      <c r="AD11" s="59">
        <f t="shared" si="3"/>
        <v>109</v>
      </c>
      <c r="AE11" s="259"/>
      <c r="AF11" s="56"/>
      <c r="AG11" s="62"/>
      <c r="AH11" s="70"/>
      <c r="AI11" s="70"/>
      <c r="AJ11" s="75"/>
      <c r="AK11" s="72"/>
      <c r="AL11" s="74"/>
      <c r="AM11" s="71"/>
      <c r="AN11" s="67"/>
    </row>
    <row r="12" spans="1:40" ht="15.75" customHeight="1" x14ac:dyDescent="0.2">
      <c r="A12" s="54"/>
      <c r="B12" s="57" t="s">
        <v>60</v>
      </c>
      <c r="C12" s="58">
        <v>1</v>
      </c>
      <c r="D12" s="25" t="s">
        <v>78</v>
      </c>
      <c r="E12" s="60">
        <v>0.5</v>
      </c>
      <c r="F12" s="59">
        <f t="shared" si="3"/>
        <v>109</v>
      </c>
      <c r="G12" s="25" t="s">
        <v>94</v>
      </c>
      <c r="H12" s="56"/>
      <c r="I12" s="54"/>
      <c r="J12" s="57" t="s">
        <v>60</v>
      </c>
      <c r="K12" s="58">
        <v>1</v>
      </c>
      <c r="L12" s="25" t="s">
        <v>78</v>
      </c>
      <c r="M12" s="60">
        <v>0.5</v>
      </c>
      <c r="N12" s="59">
        <f t="shared" si="3"/>
        <v>109</v>
      </c>
      <c r="O12" s="25" t="s">
        <v>94</v>
      </c>
      <c r="P12" s="56"/>
      <c r="Q12" s="54"/>
      <c r="R12" s="57" t="s">
        <v>60</v>
      </c>
      <c r="S12" s="58">
        <v>1</v>
      </c>
      <c r="T12" s="25" t="s">
        <v>78</v>
      </c>
      <c r="U12" s="60">
        <v>0.5</v>
      </c>
      <c r="V12" s="59">
        <f t="shared" si="3"/>
        <v>109</v>
      </c>
      <c r="W12" s="25" t="s">
        <v>94</v>
      </c>
      <c r="X12" s="56"/>
      <c r="Y12" s="54"/>
      <c r="Z12" s="57" t="s">
        <v>60</v>
      </c>
      <c r="AA12" s="58">
        <v>1</v>
      </c>
      <c r="AB12" s="25" t="s">
        <v>78</v>
      </c>
      <c r="AC12" s="60">
        <v>0.5</v>
      </c>
      <c r="AD12" s="59">
        <f t="shared" si="3"/>
        <v>109</v>
      </c>
      <c r="AE12" s="25" t="s">
        <v>95</v>
      </c>
      <c r="AF12" s="56"/>
      <c r="AG12" s="62"/>
      <c r="AH12" s="70"/>
      <c r="AI12" s="70"/>
      <c r="AJ12" s="75"/>
      <c r="AK12" s="72"/>
      <c r="AL12" s="74"/>
      <c r="AM12" s="71"/>
      <c r="AN12" s="67"/>
    </row>
    <row r="13" spans="1:40" ht="15.75" customHeight="1" x14ac:dyDescent="0.2">
      <c r="A13" s="54"/>
      <c r="B13" s="68"/>
      <c r="C13" s="25" t="s">
        <v>63</v>
      </c>
      <c r="D13" s="25" t="s">
        <v>96</v>
      </c>
      <c r="E13" s="76"/>
      <c r="F13" s="76"/>
      <c r="G13" s="58"/>
      <c r="H13" s="56"/>
      <c r="I13" s="54"/>
      <c r="J13" s="68"/>
      <c r="K13" s="25" t="s">
        <v>63</v>
      </c>
      <c r="L13" s="25" t="s">
        <v>97</v>
      </c>
      <c r="M13" s="76"/>
      <c r="N13" s="76"/>
      <c r="O13" s="58"/>
      <c r="P13" s="56"/>
      <c r="Q13" s="54"/>
      <c r="R13" s="68"/>
      <c r="S13" s="25" t="s">
        <v>63</v>
      </c>
      <c r="T13" s="57" t="s">
        <v>98</v>
      </c>
      <c r="U13" s="76"/>
      <c r="V13" s="76"/>
      <c r="W13" s="58"/>
      <c r="X13" s="56"/>
      <c r="Y13" s="54"/>
      <c r="Z13" s="68"/>
      <c r="AA13" s="25" t="s">
        <v>63</v>
      </c>
      <c r="AB13" s="57" t="s">
        <v>98</v>
      </c>
      <c r="AC13" s="76"/>
      <c r="AD13" s="76"/>
      <c r="AE13" s="58"/>
      <c r="AF13" s="56"/>
      <c r="AG13" s="62"/>
      <c r="AH13" s="70"/>
      <c r="AI13" s="70"/>
      <c r="AJ13" s="75"/>
      <c r="AK13" s="72"/>
      <c r="AL13" s="74"/>
      <c r="AM13" s="71"/>
      <c r="AN13" s="67"/>
    </row>
    <row r="14" spans="1:40" ht="18.75" customHeight="1" x14ac:dyDescent="0.2">
      <c r="A14" s="77"/>
      <c r="B14" s="78"/>
      <c r="C14" s="78"/>
      <c r="D14" s="78"/>
      <c r="E14" s="78"/>
      <c r="F14" s="78"/>
      <c r="G14" s="78"/>
      <c r="H14" s="79"/>
      <c r="I14" s="77"/>
      <c r="J14" s="78"/>
      <c r="K14" s="78"/>
      <c r="L14" s="78"/>
      <c r="M14" s="78"/>
      <c r="N14" s="78"/>
      <c r="O14" s="78"/>
      <c r="P14" s="79"/>
      <c r="Q14" s="77"/>
      <c r="R14" s="78"/>
      <c r="S14" s="78"/>
      <c r="T14" s="78"/>
      <c r="U14" s="78"/>
      <c r="V14" s="78"/>
      <c r="W14" s="78"/>
      <c r="X14" s="79"/>
      <c r="Y14" s="77"/>
      <c r="Z14" s="78"/>
      <c r="AA14" s="78"/>
      <c r="AB14" s="78"/>
      <c r="AC14" s="78"/>
      <c r="AD14" s="78"/>
      <c r="AE14" s="78"/>
      <c r="AF14" s="79"/>
      <c r="AG14" s="77"/>
      <c r="AH14" s="80"/>
      <c r="AI14" s="81"/>
      <c r="AJ14" s="82"/>
      <c r="AK14" s="82"/>
      <c r="AL14" s="82"/>
      <c r="AM14" s="81"/>
      <c r="AN14" s="79"/>
    </row>
    <row r="15" spans="1:40" ht="20.25" customHeight="1" x14ac:dyDescent="0.2">
      <c r="A15" s="53"/>
      <c r="B15" s="255" t="s">
        <v>99</v>
      </c>
      <c r="C15" s="256"/>
      <c r="D15" s="256"/>
      <c r="E15" s="256"/>
      <c r="F15" s="256"/>
      <c r="G15" s="257"/>
      <c r="H15" s="53"/>
      <c r="I15" s="53"/>
      <c r="J15" s="255" t="s">
        <v>99</v>
      </c>
      <c r="K15" s="256"/>
      <c r="L15" s="256"/>
      <c r="M15" s="256"/>
      <c r="N15" s="256"/>
      <c r="O15" s="257"/>
      <c r="P15" s="53"/>
      <c r="Q15" s="53"/>
      <c r="R15" s="255" t="s">
        <v>99</v>
      </c>
      <c r="S15" s="256"/>
      <c r="T15" s="256"/>
      <c r="U15" s="256"/>
      <c r="V15" s="256"/>
      <c r="W15" s="257"/>
      <c r="X15" s="53"/>
      <c r="Y15" s="53"/>
      <c r="Z15" s="255" t="s">
        <v>99</v>
      </c>
      <c r="AA15" s="256"/>
      <c r="AB15" s="256"/>
      <c r="AC15" s="256"/>
      <c r="AD15" s="256"/>
      <c r="AE15" s="257"/>
      <c r="AF15" s="53"/>
      <c r="AG15" s="53"/>
      <c r="AH15" s="255" t="s">
        <v>100</v>
      </c>
      <c r="AI15" s="256"/>
      <c r="AJ15" s="256"/>
      <c r="AK15" s="256"/>
      <c r="AL15" s="256"/>
      <c r="AM15" s="257"/>
      <c r="AN15" s="53"/>
    </row>
    <row r="16" spans="1:40" ht="36" customHeight="1" x14ac:dyDescent="0.2">
      <c r="A16" s="83"/>
      <c r="B16" s="55"/>
      <c r="C16" s="20" t="s">
        <v>51</v>
      </c>
      <c r="D16" s="20" t="s">
        <v>52</v>
      </c>
      <c r="E16" s="20" t="s">
        <v>73</v>
      </c>
      <c r="F16" s="20" t="s">
        <v>74</v>
      </c>
      <c r="G16" s="20" t="s">
        <v>101</v>
      </c>
      <c r="H16" s="84"/>
      <c r="I16" s="83"/>
      <c r="J16" s="55"/>
      <c r="K16" s="20" t="s">
        <v>51</v>
      </c>
      <c r="L16" s="20" t="s">
        <v>52</v>
      </c>
      <c r="M16" s="20" t="s">
        <v>73</v>
      </c>
      <c r="N16" s="20" t="s">
        <v>74</v>
      </c>
      <c r="O16" s="20" t="s">
        <v>101</v>
      </c>
      <c r="P16" s="84"/>
      <c r="Q16" s="83"/>
      <c r="R16" s="55"/>
      <c r="S16" s="20" t="s">
        <v>51</v>
      </c>
      <c r="T16" s="20" t="s">
        <v>52</v>
      </c>
      <c r="U16" s="20" t="s">
        <v>73</v>
      </c>
      <c r="V16" s="20" t="s">
        <v>74</v>
      </c>
      <c r="W16" s="20" t="s">
        <v>101</v>
      </c>
      <c r="X16" s="84"/>
      <c r="Y16" s="83"/>
      <c r="Z16" s="55"/>
      <c r="AA16" s="20" t="s">
        <v>51</v>
      </c>
      <c r="AB16" s="20" t="s">
        <v>52</v>
      </c>
      <c r="AC16" s="20" t="s">
        <v>73</v>
      </c>
      <c r="AD16" s="20" t="s">
        <v>74</v>
      </c>
      <c r="AE16" s="20" t="s">
        <v>101</v>
      </c>
      <c r="AF16" s="84"/>
      <c r="AG16" s="83"/>
      <c r="AH16" s="55"/>
      <c r="AI16" s="20" t="s">
        <v>51</v>
      </c>
      <c r="AJ16" s="20" t="s">
        <v>52</v>
      </c>
      <c r="AK16" s="20" t="s">
        <v>73</v>
      </c>
      <c r="AL16" s="20" t="s">
        <v>74</v>
      </c>
      <c r="AM16" s="20" t="s">
        <v>102</v>
      </c>
      <c r="AN16" s="84"/>
    </row>
    <row r="17" spans="1:40" ht="30" customHeight="1" x14ac:dyDescent="0.2">
      <c r="A17" s="54"/>
      <c r="B17" s="57" t="s">
        <v>77</v>
      </c>
      <c r="C17" s="25" t="s">
        <v>55</v>
      </c>
      <c r="D17" s="25" t="s">
        <v>103</v>
      </c>
      <c r="E17" s="25" t="s">
        <v>104</v>
      </c>
      <c r="F17" s="59">
        <f t="shared" ref="F17:AD25" si="6">$C$46*0.75</f>
        <v>163.5</v>
      </c>
      <c r="G17" s="25" t="s">
        <v>105</v>
      </c>
      <c r="H17" s="56"/>
      <c r="I17" s="54"/>
      <c r="J17" s="57" t="s">
        <v>77</v>
      </c>
      <c r="K17" s="25" t="s">
        <v>81</v>
      </c>
      <c r="L17" s="25" t="s">
        <v>103</v>
      </c>
      <c r="M17" s="25" t="s">
        <v>104</v>
      </c>
      <c r="N17" s="59">
        <f t="shared" si="6"/>
        <v>163.5</v>
      </c>
      <c r="O17" s="25" t="s">
        <v>105</v>
      </c>
      <c r="P17" s="56"/>
      <c r="Q17" s="54"/>
      <c r="R17" s="57" t="s">
        <v>77</v>
      </c>
      <c r="S17" s="25" t="s">
        <v>81</v>
      </c>
      <c r="T17" s="25" t="s">
        <v>103</v>
      </c>
      <c r="U17" s="25" t="s">
        <v>104</v>
      </c>
      <c r="V17" s="59">
        <f t="shared" si="6"/>
        <v>163.5</v>
      </c>
      <c r="W17" s="25" t="s">
        <v>105</v>
      </c>
      <c r="X17" s="56"/>
      <c r="Y17" s="54"/>
      <c r="Z17" s="57" t="s">
        <v>77</v>
      </c>
      <c r="AA17" s="25" t="s">
        <v>81</v>
      </c>
      <c r="AB17" s="57" t="s">
        <v>78</v>
      </c>
      <c r="AC17" s="25" t="s">
        <v>104</v>
      </c>
      <c r="AD17" s="59">
        <f t="shared" si="6"/>
        <v>163.5</v>
      </c>
      <c r="AE17" s="25" t="s">
        <v>105</v>
      </c>
      <c r="AF17" s="56"/>
      <c r="AG17" s="54"/>
      <c r="AH17" s="57" t="s">
        <v>77</v>
      </c>
      <c r="AI17" s="25" t="s">
        <v>81</v>
      </c>
      <c r="AJ17" s="25" t="s">
        <v>78</v>
      </c>
      <c r="AK17" s="25" t="s">
        <v>106</v>
      </c>
      <c r="AL17" s="59">
        <f t="shared" ref="AL17:AL33" si="7">$C$46*0.5</f>
        <v>109</v>
      </c>
      <c r="AM17" s="25" t="s">
        <v>107</v>
      </c>
      <c r="AN17" s="56"/>
    </row>
    <row r="18" spans="1:40" ht="90" customHeight="1" x14ac:dyDescent="0.2">
      <c r="A18" s="54"/>
      <c r="B18" s="57" t="s">
        <v>57</v>
      </c>
      <c r="C18" s="25" t="s">
        <v>58</v>
      </c>
      <c r="D18" s="25" t="s">
        <v>82</v>
      </c>
      <c r="E18" s="60">
        <v>0.85</v>
      </c>
      <c r="F18" s="59">
        <f t="shared" ref="F18:AD32" si="8">$C$46*0.85</f>
        <v>185.29999999999998</v>
      </c>
      <c r="G18" s="25" t="s">
        <v>108</v>
      </c>
      <c r="H18" s="56"/>
      <c r="I18" s="54"/>
      <c r="J18" s="57" t="s">
        <v>57</v>
      </c>
      <c r="K18" s="25" t="s">
        <v>58</v>
      </c>
      <c r="L18" s="25" t="s">
        <v>109</v>
      </c>
      <c r="M18" s="60">
        <v>0.85</v>
      </c>
      <c r="N18" s="59">
        <f t="shared" si="8"/>
        <v>185.29999999999998</v>
      </c>
      <c r="O18" s="25" t="s">
        <v>110</v>
      </c>
      <c r="P18" s="56"/>
      <c r="Q18" s="54"/>
      <c r="R18" s="57" t="s">
        <v>57</v>
      </c>
      <c r="S18" s="25" t="s">
        <v>58</v>
      </c>
      <c r="T18" s="25" t="s">
        <v>82</v>
      </c>
      <c r="U18" s="60">
        <v>0.9</v>
      </c>
      <c r="V18" s="59">
        <f t="shared" si="4"/>
        <v>196.20000000000002</v>
      </c>
      <c r="W18" s="25" t="s">
        <v>108</v>
      </c>
      <c r="X18" s="56"/>
      <c r="Y18" s="54"/>
      <c r="Z18" s="57" t="s">
        <v>57</v>
      </c>
      <c r="AA18" s="25" t="s">
        <v>58</v>
      </c>
      <c r="AB18" s="57" t="s">
        <v>111</v>
      </c>
      <c r="AC18" s="60">
        <v>0.9</v>
      </c>
      <c r="AD18" s="59">
        <f t="shared" si="4"/>
        <v>196.20000000000002</v>
      </c>
      <c r="AE18" s="25" t="s">
        <v>108</v>
      </c>
      <c r="AF18" s="56"/>
      <c r="AG18" s="54"/>
      <c r="AH18" s="57" t="s">
        <v>57</v>
      </c>
      <c r="AI18" s="25" t="s">
        <v>58</v>
      </c>
      <c r="AJ18" s="25" t="s">
        <v>112</v>
      </c>
      <c r="AK18" s="60">
        <v>0.6</v>
      </c>
      <c r="AL18" s="59">
        <f t="shared" si="1"/>
        <v>130.79999999999998</v>
      </c>
      <c r="AM18" s="25" t="s">
        <v>108</v>
      </c>
      <c r="AN18" s="56"/>
    </row>
    <row r="19" spans="1:40" ht="15.75" customHeight="1" x14ac:dyDescent="0.2">
      <c r="A19" s="54"/>
      <c r="B19" s="57" t="s">
        <v>60</v>
      </c>
      <c r="C19" s="25" t="s">
        <v>61</v>
      </c>
      <c r="D19" s="25" t="s">
        <v>103</v>
      </c>
      <c r="E19" s="60">
        <v>0.5</v>
      </c>
      <c r="F19" s="59">
        <f>$C$46*0.5</f>
        <v>109</v>
      </c>
      <c r="G19" s="25" t="s">
        <v>94</v>
      </c>
      <c r="H19" s="56"/>
      <c r="I19" s="54"/>
      <c r="J19" s="57" t="s">
        <v>60</v>
      </c>
      <c r="K19" s="25" t="s">
        <v>113</v>
      </c>
      <c r="L19" s="25" t="s">
        <v>103</v>
      </c>
      <c r="M19" s="60">
        <v>0.5</v>
      </c>
      <c r="N19" s="59">
        <f>$C$46*0.5</f>
        <v>109</v>
      </c>
      <c r="O19" s="25" t="s">
        <v>94</v>
      </c>
      <c r="P19" s="56"/>
      <c r="Q19" s="54"/>
      <c r="R19" s="57" t="s">
        <v>60</v>
      </c>
      <c r="S19" s="25" t="s">
        <v>113</v>
      </c>
      <c r="T19" s="25" t="s">
        <v>103</v>
      </c>
      <c r="U19" s="60">
        <v>0.5</v>
      </c>
      <c r="V19" s="59">
        <f>$C$46*0.5</f>
        <v>109</v>
      </c>
      <c r="W19" s="25" t="s">
        <v>94</v>
      </c>
      <c r="X19" s="56"/>
      <c r="Y19" s="54"/>
      <c r="Z19" s="57" t="s">
        <v>60</v>
      </c>
      <c r="AA19" s="25" t="s">
        <v>113</v>
      </c>
      <c r="AB19" s="57" t="s">
        <v>78</v>
      </c>
      <c r="AC19" s="60">
        <v>0.5</v>
      </c>
      <c r="AD19" s="59">
        <f>$C$46*0.5</f>
        <v>109</v>
      </c>
      <c r="AE19" s="25" t="s">
        <v>94</v>
      </c>
      <c r="AF19" s="56"/>
      <c r="AG19" s="54"/>
      <c r="AH19" s="57" t="s">
        <v>60</v>
      </c>
      <c r="AI19" s="25" t="s">
        <v>113</v>
      </c>
      <c r="AJ19" s="25" t="s">
        <v>78</v>
      </c>
      <c r="AK19" s="60">
        <v>0.5</v>
      </c>
      <c r="AL19" s="59">
        <f t="shared" si="7"/>
        <v>109</v>
      </c>
      <c r="AM19" s="25" t="s">
        <v>94</v>
      </c>
      <c r="AN19" s="56"/>
    </row>
    <row r="20" spans="1:40" ht="15.75" customHeight="1" x14ac:dyDescent="0.2">
      <c r="A20" s="54"/>
      <c r="B20" s="68"/>
      <c r="C20" s="25" t="s">
        <v>63</v>
      </c>
      <c r="D20" s="25" t="s">
        <v>98</v>
      </c>
      <c r="E20" s="76"/>
      <c r="F20" s="76"/>
      <c r="G20" s="58"/>
      <c r="H20" s="56"/>
      <c r="I20" s="54"/>
      <c r="J20" s="68"/>
      <c r="K20" s="25" t="s">
        <v>63</v>
      </c>
      <c r="L20" s="25" t="s">
        <v>97</v>
      </c>
      <c r="M20" s="76">
        <f>(DATE(1899,12,31)+TIME(0,0,0)+(0*7+IF(SUM(M17:M19)&gt;60,SUM(M17:M19)-1,SUM(M17:M19))))</f>
        <v>693963.35</v>
      </c>
      <c r="N20" s="76"/>
      <c r="O20" s="58"/>
      <c r="P20" s="56"/>
      <c r="Q20" s="54"/>
      <c r="R20" s="68"/>
      <c r="S20" s="25" t="s">
        <v>63</v>
      </c>
      <c r="T20" s="25" t="s">
        <v>98</v>
      </c>
      <c r="U20" s="76">
        <f>(DATE(1899,12,31)+(0*7+IF(SUM(U17:U19)&gt;60,SUM(U17:U19)-1,SUM(U17:U19))))</f>
        <v>693963.4</v>
      </c>
      <c r="V20" s="76"/>
      <c r="W20" s="58"/>
      <c r="X20" s="56"/>
      <c r="Y20" s="54"/>
      <c r="Z20" s="68"/>
      <c r="AA20" s="25" t="s">
        <v>63</v>
      </c>
      <c r="AB20" s="57" t="s">
        <v>98</v>
      </c>
      <c r="AC20" s="76">
        <f>(DATE(1899,12,31)+(0*7+IF(SUM(AC17:AC19)&gt;60,SUM(AC17:AC19)-1,SUM(AC17:AC19))))</f>
        <v>693963.4</v>
      </c>
      <c r="AD20" s="76"/>
      <c r="AE20" s="58"/>
      <c r="AF20" s="56"/>
      <c r="AG20" s="54"/>
      <c r="AH20" s="68"/>
      <c r="AI20" s="25" t="s">
        <v>63</v>
      </c>
      <c r="AJ20" s="25" t="s">
        <v>114</v>
      </c>
      <c r="AK20" s="76"/>
      <c r="AL20" s="76"/>
      <c r="AM20" s="58"/>
      <c r="AN20" s="56"/>
    </row>
    <row r="21" spans="1:40" ht="16.5" customHeight="1" x14ac:dyDescent="0.2">
      <c r="A21" s="62"/>
      <c r="B21" s="85"/>
      <c r="C21" s="86"/>
      <c r="D21" s="87"/>
      <c r="E21" s="87"/>
      <c r="F21" s="87"/>
      <c r="G21" s="86"/>
      <c r="H21" s="67"/>
      <c r="I21" s="62"/>
      <c r="J21" s="85"/>
      <c r="K21" s="86"/>
      <c r="L21" s="87"/>
      <c r="M21" s="87"/>
      <c r="N21" s="87"/>
      <c r="O21" s="86"/>
      <c r="P21" s="67"/>
      <c r="Q21" s="62"/>
      <c r="R21" s="85"/>
      <c r="S21" s="86"/>
      <c r="T21" s="87"/>
      <c r="U21" s="87"/>
      <c r="V21" s="87"/>
      <c r="W21" s="86"/>
      <c r="X21" s="67"/>
      <c r="Y21" s="62"/>
      <c r="Z21" s="85"/>
      <c r="AA21" s="86"/>
      <c r="AB21" s="87"/>
      <c r="AC21" s="87"/>
      <c r="AD21" s="87"/>
      <c r="AE21" s="86"/>
      <c r="AF21" s="67"/>
      <c r="AG21" s="62"/>
      <c r="AH21" s="78"/>
      <c r="AI21" s="78"/>
      <c r="AJ21" s="78"/>
      <c r="AK21" s="78"/>
      <c r="AL21" s="78"/>
      <c r="AM21" s="78"/>
      <c r="AN21" s="67"/>
    </row>
    <row r="22" spans="1:40" ht="20.25" customHeight="1" x14ac:dyDescent="0.2">
      <c r="A22" s="53"/>
      <c r="B22" s="255" t="s">
        <v>115</v>
      </c>
      <c r="C22" s="256"/>
      <c r="D22" s="256"/>
      <c r="E22" s="256"/>
      <c r="F22" s="256"/>
      <c r="G22" s="257"/>
      <c r="H22" s="53"/>
      <c r="I22" s="53"/>
      <c r="J22" s="255" t="s">
        <v>115</v>
      </c>
      <c r="K22" s="256"/>
      <c r="L22" s="256"/>
      <c r="M22" s="256"/>
      <c r="N22" s="256"/>
      <c r="O22" s="257"/>
      <c r="P22" s="53"/>
      <c r="Q22" s="53"/>
      <c r="R22" s="255" t="s">
        <v>115</v>
      </c>
      <c r="S22" s="256"/>
      <c r="T22" s="256"/>
      <c r="U22" s="256"/>
      <c r="V22" s="256"/>
      <c r="W22" s="257"/>
      <c r="X22" s="53"/>
      <c r="Y22" s="53"/>
      <c r="Z22" s="255" t="s">
        <v>115</v>
      </c>
      <c r="AA22" s="256"/>
      <c r="AB22" s="256"/>
      <c r="AC22" s="256"/>
      <c r="AD22" s="256"/>
      <c r="AE22" s="257"/>
      <c r="AF22" s="53"/>
      <c r="AG22" s="53"/>
      <c r="AH22" s="265" t="s">
        <v>116</v>
      </c>
      <c r="AI22" s="266"/>
      <c r="AJ22" s="266"/>
      <c r="AK22" s="266"/>
      <c r="AL22" s="266"/>
      <c r="AM22" s="267"/>
      <c r="AN22" s="53"/>
    </row>
    <row r="23" spans="1:40" ht="33.75" customHeight="1" x14ac:dyDescent="0.2">
      <c r="A23" s="54"/>
      <c r="B23" s="55"/>
      <c r="C23" s="20" t="s">
        <v>51</v>
      </c>
      <c r="D23" s="20" t="s">
        <v>52</v>
      </c>
      <c r="E23" s="20" t="s">
        <v>73</v>
      </c>
      <c r="F23" s="20" t="s">
        <v>74</v>
      </c>
      <c r="G23" s="20" t="s">
        <v>102</v>
      </c>
      <c r="H23" s="56"/>
      <c r="I23" s="54"/>
      <c r="J23" s="55"/>
      <c r="K23" s="20" t="s">
        <v>51</v>
      </c>
      <c r="L23" s="20" t="s">
        <v>52</v>
      </c>
      <c r="M23" s="20" t="s">
        <v>73</v>
      </c>
      <c r="N23" s="20" t="s">
        <v>74</v>
      </c>
      <c r="O23" s="20" t="s">
        <v>102</v>
      </c>
      <c r="P23" s="56"/>
      <c r="Q23" s="54"/>
      <c r="R23" s="55"/>
      <c r="S23" s="20" t="s">
        <v>51</v>
      </c>
      <c r="T23" s="20" t="s">
        <v>52</v>
      </c>
      <c r="U23" s="20" t="s">
        <v>73</v>
      </c>
      <c r="V23" s="20" t="s">
        <v>74</v>
      </c>
      <c r="W23" s="20" t="s">
        <v>102</v>
      </c>
      <c r="X23" s="56"/>
      <c r="Y23" s="54"/>
      <c r="Z23" s="55"/>
      <c r="AA23" s="20" t="s">
        <v>51</v>
      </c>
      <c r="AB23" s="20" t="s">
        <v>52</v>
      </c>
      <c r="AC23" s="20" t="s">
        <v>73</v>
      </c>
      <c r="AD23" s="20" t="s">
        <v>74</v>
      </c>
      <c r="AE23" s="20" t="s">
        <v>102</v>
      </c>
      <c r="AF23" s="56"/>
      <c r="AG23" s="54"/>
      <c r="AH23" s="88"/>
      <c r="AI23" s="89" t="s">
        <v>51</v>
      </c>
      <c r="AJ23" s="89" t="s">
        <v>52</v>
      </c>
      <c r="AK23" s="88"/>
      <c r="AL23" s="88"/>
      <c r="AM23" s="89" t="s">
        <v>117</v>
      </c>
      <c r="AN23" s="56"/>
    </row>
    <row r="24" spans="1:40" ht="45" customHeight="1" x14ac:dyDescent="0.2">
      <c r="A24" s="54"/>
      <c r="B24" s="57" t="s">
        <v>77</v>
      </c>
      <c r="C24" s="25" t="s">
        <v>55</v>
      </c>
      <c r="D24" s="25" t="s">
        <v>103</v>
      </c>
      <c r="E24" s="25" t="s">
        <v>118</v>
      </c>
      <c r="F24" s="59">
        <f>$C$46*0.6</f>
        <v>130.79999999999998</v>
      </c>
      <c r="G24" s="25" t="s">
        <v>119</v>
      </c>
      <c r="H24" s="56"/>
      <c r="I24" s="54"/>
      <c r="J24" s="57" t="s">
        <v>77</v>
      </c>
      <c r="K24" s="25" t="s">
        <v>81</v>
      </c>
      <c r="L24" s="25" t="s">
        <v>103</v>
      </c>
      <c r="M24" s="25" t="s">
        <v>118</v>
      </c>
      <c r="N24" s="59">
        <f>$C$46*0.6</f>
        <v>130.79999999999998</v>
      </c>
      <c r="O24" s="25" t="s">
        <v>119</v>
      </c>
      <c r="P24" s="56"/>
      <c r="Q24" s="54"/>
      <c r="R24" s="57" t="s">
        <v>77</v>
      </c>
      <c r="S24" s="25" t="s">
        <v>81</v>
      </c>
      <c r="T24" s="25" t="s">
        <v>103</v>
      </c>
      <c r="U24" s="25" t="s">
        <v>118</v>
      </c>
      <c r="V24" s="59">
        <f>$C$46*0.6</f>
        <v>130.79999999999998</v>
      </c>
      <c r="W24" s="25" t="s">
        <v>119</v>
      </c>
      <c r="X24" s="56"/>
      <c r="Y24" s="54"/>
      <c r="Z24" s="57" t="s">
        <v>77</v>
      </c>
      <c r="AA24" s="25" t="s">
        <v>81</v>
      </c>
      <c r="AB24" s="57" t="s">
        <v>103</v>
      </c>
      <c r="AC24" s="25" t="s">
        <v>118</v>
      </c>
      <c r="AD24" s="59">
        <f>$C$46*0.6</f>
        <v>130.79999999999998</v>
      </c>
      <c r="AE24" s="25" t="s">
        <v>119</v>
      </c>
      <c r="AF24" s="56"/>
      <c r="AG24" s="54"/>
      <c r="AH24" s="90" t="s">
        <v>77</v>
      </c>
      <c r="AI24" s="91" t="s">
        <v>81</v>
      </c>
      <c r="AJ24" s="91" t="s">
        <v>120</v>
      </c>
      <c r="AK24" s="92"/>
      <c r="AL24" s="92"/>
      <c r="AM24" s="91" t="s">
        <v>121</v>
      </c>
      <c r="AN24" s="56"/>
    </row>
    <row r="25" spans="1:40" ht="75" customHeight="1" x14ac:dyDescent="0.2">
      <c r="A25" s="54"/>
      <c r="B25" s="57" t="s">
        <v>57</v>
      </c>
      <c r="C25" s="25" t="s">
        <v>58</v>
      </c>
      <c r="D25" s="25" t="s">
        <v>122</v>
      </c>
      <c r="E25" s="25" t="s">
        <v>104</v>
      </c>
      <c r="F25" s="59">
        <f t="shared" si="6"/>
        <v>163.5</v>
      </c>
      <c r="G25" s="25" t="s">
        <v>123</v>
      </c>
      <c r="H25" s="56"/>
      <c r="I25" s="54"/>
      <c r="J25" s="57" t="s">
        <v>57</v>
      </c>
      <c r="K25" s="25" t="s">
        <v>58</v>
      </c>
      <c r="L25" s="25" t="s">
        <v>124</v>
      </c>
      <c r="M25" s="25" t="s">
        <v>104</v>
      </c>
      <c r="N25" s="59">
        <f t="shared" si="6"/>
        <v>163.5</v>
      </c>
      <c r="O25" s="25" t="s">
        <v>123</v>
      </c>
      <c r="P25" s="56"/>
      <c r="Q25" s="54"/>
      <c r="R25" s="57" t="s">
        <v>57</v>
      </c>
      <c r="S25" s="25" t="s">
        <v>58</v>
      </c>
      <c r="T25" s="25" t="s">
        <v>125</v>
      </c>
      <c r="U25" s="25" t="s">
        <v>104</v>
      </c>
      <c r="V25" s="59">
        <f t="shared" si="6"/>
        <v>163.5</v>
      </c>
      <c r="W25" s="25" t="s">
        <v>123</v>
      </c>
      <c r="X25" s="56"/>
      <c r="Y25" s="54"/>
      <c r="Z25" s="57" t="s">
        <v>57</v>
      </c>
      <c r="AA25" s="25" t="s">
        <v>58</v>
      </c>
      <c r="AB25" s="57" t="s">
        <v>126</v>
      </c>
      <c r="AC25" s="25" t="s">
        <v>104</v>
      </c>
      <c r="AD25" s="59">
        <f t="shared" si="6"/>
        <v>163.5</v>
      </c>
      <c r="AE25" s="25" t="s">
        <v>123</v>
      </c>
      <c r="AF25" s="56"/>
      <c r="AG25" s="54"/>
      <c r="AH25" s="90" t="s">
        <v>57</v>
      </c>
      <c r="AI25" s="91" t="s">
        <v>58</v>
      </c>
      <c r="AJ25" s="91" t="s">
        <v>120</v>
      </c>
      <c r="AK25" s="92"/>
      <c r="AL25" s="92"/>
      <c r="AM25" s="91" t="s">
        <v>59</v>
      </c>
      <c r="AN25" s="56"/>
    </row>
    <row r="26" spans="1:40" ht="30" customHeight="1" x14ac:dyDescent="0.2">
      <c r="A26" s="93"/>
      <c r="B26" s="57" t="s">
        <v>60</v>
      </c>
      <c r="C26" s="25" t="s">
        <v>61</v>
      </c>
      <c r="D26" s="25" t="s">
        <v>103</v>
      </c>
      <c r="E26" s="60">
        <v>0.5</v>
      </c>
      <c r="F26" s="59">
        <f>$C$46*0.5</f>
        <v>109</v>
      </c>
      <c r="G26" s="25" t="s">
        <v>94</v>
      </c>
      <c r="H26" s="94"/>
      <c r="I26" s="93"/>
      <c r="J26" s="57" t="s">
        <v>60</v>
      </c>
      <c r="K26" s="25" t="s">
        <v>113</v>
      </c>
      <c r="L26" s="25" t="s">
        <v>103</v>
      </c>
      <c r="M26" s="60">
        <v>0.5</v>
      </c>
      <c r="N26" s="59">
        <f>$C$46*0.5</f>
        <v>109</v>
      </c>
      <c r="O26" s="25" t="s">
        <v>94</v>
      </c>
      <c r="P26" s="94"/>
      <c r="Q26" s="93"/>
      <c r="R26" s="57" t="s">
        <v>60</v>
      </c>
      <c r="S26" s="25" t="s">
        <v>113</v>
      </c>
      <c r="T26" s="25" t="s">
        <v>103</v>
      </c>
      <c r="U26" s="60">
        <v>0.5</v>
      </c>
      <c r="V26" s="59">
        <f>$C$46*0.5</f>
        <v>109</v>
      </c>
      <c r="W26" s="25" t="s">
        <v>94</v>
      </c>
      <c r="X26" s="94"/>
      <c r="Y26" s="93"/>
      <c r="Z26" s="57" t="s">
        <v>60</v>
      </c>
      <c r="AA26" s="25" t="s">
        <v>113</v>
      </c>
      <c r="AB26" s="57" t="s">
        <v>103</v>
      </c>
      <c r="AC26" s="60">
        <v>0.5</v>
      </c>
      <c r="AD26" s="59">
        <f>$C$46*0.5</f>
        <v>109</v>
      </c>
      <c r="AE26" s="25" t="s">
        <v>94</v>
      </c>
      <c r="AF26" s="94"/>
      <c r="AG26" s="93"/>
      <c r="AH26" s="90" t="s">
        <v>60</v>
      </c>
      <c r="AI26" s="91" t="s">
        <v>113</v>
      </c>
      <c r="AJ26" s="91" t="s">
        <v>103</v>
      </c>
      <c r="AK26" s="92"/>
      <c r="AL26" s="92"/>
      <c r="AM26" s="91" t="s">
        <v>62</v>
      </c>
      <c r="AN26" s="94"/>
    </row>
    <row r="27" spans="1:40" ht="18" customHeight="1" x14ac:dyDescent="0.2">
      <c r="A27" s="83"/>
      <c r="B27" s="68"/>
      <c r="C27" s="25" t="s">
        <v>63</v>
      </c>
      <c r="D27" s="25" t="s">
        <v>127</v>
      </c>
      <c r="E27" s="76"/>
      <c r="F27" s="76"/>
      <c r="G27" s="58"/>
      <c r="H27" s="84"/>
      <c r="I27" s="83"/>
      <c r="J27" s="68"/>
      <c r="K27" s="25" t="s">
        <v>63</v>
      </c>
      <c r="L27" s="25" t="s">
        <v>128</v>
      </c>
      <c r="M27" s="76"/>
      <c r="N27" s="76"/>
      <c r="O27" s="58"/>
      <c r="P27" s="84"/>
      <c r="Q27" s="83"/>
      <c r="R27" s="68"/>
      <c r="S27" s="25" t="s">
        <v>63</v>
      </c>
      <c r="T27" s="25" t="s">
        <v>129</v>
      </c>
      <c r="U27" s="76"/>
      <c r="V27" s="76"/>
      <c r="W27" s="58"/>
      <c r="X27" s="84"/>
      <c r="Y27" s="83"/>
      <c r="Z27" s="68"/>
      <c r="AA27" s="25" t="s">
        <v>63</v>
      </c>
      <c r="AB27" s="57" t="s">
        <v>130</v>
      </c>
      <c r="AC27" s="76"/>
      <c r="AD27" s="76"/>
      <c r="AE27" s="58"/>
      <c r="AF27" s="84"/>
      <c r="AG27" s="83"/>
      <c r="AH27" s="95"/>
      <c r="AI27" s="91" t="s">
        <v>63</v>
      </c>
      <c r="AJ27" s="91" t="s">
        <v>98</v>
      </c>
      <c r="AK27" s="92"/>
      <c r="AL27" s="29"/>
      <c r="AM27" s="96" t="s">
        <v>64</v>
      </c>
      <c r="AN27" s="84"/>
    </row>
    <row r="28" spans="1:40" ht="15.75" customHeight="1" x14ac:dyDescent="0.2">
      <c r="A28" s="62"/>
      <c r="B28" s="78"/>
      <c r="C28" s="78"/>
      <c r="D28" s="78"/>
      <c r="E28" s="78"/>
      <c r="F28" s="78"/>
      <c r="G28" s="78"/>
      <c r="H28" s="67"/>
      <c r="I28" s="62"/>
      <c r="J28" s="78"/>
      <c r="K28" s="78"/>
      <c r="L28" s="78"/>
      <c r="M28" s="78"/>
      <c r="N28" s="78"/>
      <c r="O28" s="78"/>
      <c r="P28" s="67"/>
      <c r="Q28" s="62"/>
      <c r="R28" s="78"/>
      <c r="S28" s="78"/>
      <c r="T28" s="78"/>
      <c r="U28" s="78"/>
      <c r="V28" s="78"/>
      <c r="W28" s="78"/>
      <c r="X28" s="67"/>
      <c r="Y28" s="62"/>
      <c r="Z28" s="78"/>
      <c r="AA28" s="78"/>
      <c r="AB28" s="78"/>
      <c r="AC28" s="78"/>
      <c r="AD28" s="78"/>
      <c r="AE28" s="78"/>
      <c r="AF28" s="67"/>
      <c r="AG28" s="62"/>
      <c r="AH28" s="78"/>
      <c r="AI28" s="78"/>
      <c r="AJ28" s="78"/>
      <c r="AK28" s="78"/>
      <c r="AL28" s="78" t="s">
        <v>242</v>
      </c>
      <c r="AM28" s="78"/>
      <c r="AN28" s="67"/>
    </row>
    <row r="29" spans="1:40" ht="20.25" customHeight="1" x14ac:dyDescent="0.2">
      <c r="A29" s="97"/>
      <c r="B29" s="255" t="s">
        <v>131</v>
      </c>
      <c r="C29" s="256"/>
      <c r="D29" s="256"/>
      <c r="E29" s="256"/>
      <c r="F29" s="256"/>
      <c r="G29" s="257"/>
      <c r="H29" s="98"/>
      <c r="I29" s="97"/>
      <c r="J29" s="255" t="s">
        <v>131</v>
      </c>
      <c r="K29" s="256"/>
      <c r="L29" s="256"/>
      <c r="M29" s="256"/>
      <c r="N29" s="256"/>
      <c r="O29" s="257"/>
      <c r="P29" s="98"/>
      <c r="Q29" s="97"/>
      <c r="R29" s="255" t="s">
        <v>131</v>
      </c>
      <c r="S29" s="256"/>
      <c r="T29" s="256"/>
      <c r="U29" s="256"/>
      <c r="V29" s="256"/>
      <c r="W29" s="257"/>
      <c r="X29" s="98"/>
      <c r="Y29" s="97"/>
      <c r="Z29" s="255" t="s">
        <v>131</v>
      </c>
      <c r="AA29" s="256"/>
      <c r="AB29" s="256"/>
      <c r="AC29" s="256"/>
      <c r="AD29" s="256"/>
      <c r="AE29" s="257"/>
      <c r="AF29" s="98"/>
      <c r="AG29" s="97"/>
      <c r="AH29" s="255" t="s">
        <v>115</v>
      </c>
      <c r="AI29" s="256"/>
      <c r="AJ29" s="256"/>
      <c r="AK29" s="256"/>
      <c r="AL29" s="256"/>
      <c r="AM29" s="257"/>
      <c r="AN29" s="98"/>
    </row>
    <row r="30" spans="1:40" ht="36" customHeight="1" x14ac:dyDescent="0.2">
      <c r="A30" s="54"/>
      <c r="B30" s="55"/>
      <c r="C30" s="20" t="s">
        <v>51</v>
      </c>
      <c r="D30" s="20" t="s">
        <v>52</v>
      </c>
      <c r="E30" s="20" t="s">
        <v>73</v>
      </c>
      <c r="F30" s="20" t="s">
        <v>74</v>
      </c>
      <c r="G30" s="20" t="s">
        <v>101</v>
      </c>
      <c r="H30" s="56"/>
      <c r="I30" s="54"/>
      <c r="J30" s="55"/>
      <c r="K30" s="20" t="s">
        <v>51</v>
      </c>
      <c r="L30" s="20" t="s">
        <v>52</v>
      </c>
      <c r="M30" s="20" t="s">
        <v>73</v>
      </c>
      <c r="N30" s="20" t="s">
        <v>74</v>
      </c>
      <c r="O30" s="20" t="s">
        <v>101</v>
      </c>
      <c r="P30" s="56"/>
      <c r="Q30" s="54"/>
      <c r="R30" s="55"/>
      <c r="S30" s="20" t="s">
        <v>51</v>
      </c>
      <c r="T30" s="20" t="s">
        <v>52</v>
      </c>
      <c r="U30" s="20" t="s">
        <v>73</v>
      </c>
      <c r="V30" s="20" t="s">
        <v>74</v>
      </c>
      <c r="W30" s="20" t="s">
        <v>101</v>
      </c>
      <c r="X30" s="56"/>
      <c r="Y30" s="54"/>
      <c r="Z30" s="55"/>
      <c r="AA30" s="20" t="s">
        <v>51</v>
      </c>
      <c r="AB30" s="20" t="s">
        <v>52</v>
      </c>
      <c r="AC30" s="20" t="s">
        <v>73</v>
      </c>
      <c r="AD30" s="20" t="s">
        <v>74</v>
      </c>
      <c r="AE30" s="20" t="s">
        <v>101</v>
      </c>
      <c r="AF30" s="56"/>
      <c r="AG30" s="54"/>
      <c r="AH30" s="55"/>
      <c r="AI30" s="20" t="s">
        <v>51</v>
      </c>
      <c r="AJ30" s="20" t="s">
        <v>52</v>
      </c>
      <c r="AK30" s="20" t="s">
        <v>73</v>
      </c>
      <c r="AL30" s="20" t="s">
        <v>74</v>
      </c>
      <c r="AM30" s="20" t="s">
        <v>102</v>
      </c>
      <c r="AN30" s="56"/>
    </row>
    <row r="31" spans="1:40" ht="30" customHeight="1" x14ac:dyDescent="0.2">
      <c r="A31" s="54"/>
      <c r="B31" s="57" t="s">
        <v>77</v>
      </c>
      <c r="C31" s="25" t="s">
        <v>55</v>
      </c>
      <c r="D31" s="25" t="s">
        <v>103</v>
      </c>
      <c r="E31" s="25" t="s">
        <v>79</v>
      </c>
      <c r="F31" s="59">
        <f t="shared" ref="F31:AL32" si="9">$C$46*0.7</f>
        <v>152.6</v>
      </c>
      <c r="G31" s="25" t="s">
        <v>132</v>
      </c>
      <c r="H31" s="56"/>
      <c r="I31" s="54"/>
      <c r="J31" s="57" t="s">
        <v>77</v>
      </c>
      <c r="K31" s="25" t="s">
        <v>81</v>
      </c>
      <c r="L31" s="25" t="s">
        <v>78</v>
      </c>
      <c r="M31" s="25" t="s">
        <v>79</v>
      </c>
      <c r="N31" s="59">
        <f t="shared" si="9"/>
        <v>152.6</v>
      </c>
      <c r="O31" s="25" t="s">
        <v>132</v>
      </c>
      <c r="P31" s="56"/>
      <c r="Q31" s="54"/>
      <c r="R31" s="57" t="s">
        <v>77</v>
      </c>
      <c r="S31" s="25" t="s">
        <v>81</v>
      </c>
      <c r="T31" s="25" t="s">
        <v>103</v>
      </c>
      <c r="U31" s="25" t="s">
        <v>79</v>
      </c>
      <c r="V31" s="59">
        <f t="shared" si="9"/>
        <v>152.6</v>
      </c>
      <c r="W31" s="25" t="s">
        <v>132</v>
      </c>
      <c r="X31" s="56"/>
      <c r="Y31" s="54"/>
      <c r="Z31" s="57" t="s">
        <v>77</v>
      </c>
      <c r="AA31" s="25" t="s">
        <v>81</v>
      </c>
      <c r="AB31" s="57" t="s">
        <v>78</v>
      </c>
      <c r="AC31" s="25" t="s">
        <v>79</v>
      </c>
      <c r="AD31" s="59">
        <f t="shared" si="9"/>
        <v>152.6</v>
      </c>
      <c r="AE31" s="25" t="s">
        <v>132</v>
      </c>
      <c r="AF31" s="56"/>
      <c r="AG31" s="54"/>
      <c r="AH31" s="57" t="s">
        <v>77</v>
      </c>
      <c r="AI31" s="25" t="s">
        <v>81</v>
      </c>
      <c r="AJ31" s="25" t="s">
        <v>103</v>
      </c>
      <c r="AK31" s="25" t="s">
        <v>118</v>
      </c>
      <c r="AL31" s="59">
        <f t="shared" si="1"/>
        <v>130.79999999999998</v>
      </c>
      <c r="AM31" s="25" t="s">
        <v>119</v>
      </c>
      <c r="AN31" s="56"/>
    </row>
    <row r="32" spans="1:40" ht="90" customHeight="1" x14ac:dyDescent="0.2">
      <c r="A32" s="54"/>
      <c r="B32" s="57" t="s">
        <v>57</v>
      </c>
      <c r="C32" s="25" t="s">
        <v>58</v>
      </c>
      <c r="D32" s="25" t="s">
        <v>82</v>
      </c>
      <c r="E32" s="60">
        <v>0.8</v>
      </c>
      <c r="F32" s="59">
        <f t="shared" ref="F32:N32" si="10">$C$46*0.8</f>
        <v>174.4</v>
      </c>
      <c r="G32" s="25" t="s">
        <v>108</v>
      </c>
      <c r="H32" s="56"/>
      <c r="I32" s="54"/>
      <c r="J32" s="57" t="s">
        <v>57</v>
      </c>
      <c r="K32" s="25" t="s">
        <v>58</v>
      </c>
      <c r="L32" s="25" t="s">
        <v>111</v>
      </c>
      <c r="M32" s="60">
        <v>0.8</v>
      </c>
      <c r="N32" s="59">
        <f t="shared" si="10"/>
        <v>174.4</v>
      </c>
      <c r="O32" s="25" t="s">
        <v>110</v>
      </c>
      <c r="P32" s="56"/>
      <c r="Q32" s="54"/>
      <c r="R32" s="57" t="s">
        <v>57</v>
      </c>
      <c r="S32" s="25" t="s">
        <v>58</v>
      </c>
      <c r="T32" s="25" t="s">
        <v>82</v>
      </c>
      <c r="U32" s="60">
        <v>0.85</v>
      </c>
      <c r="V32" s="59">
        <f t="shared" si="8"/>
        <v>185.29999999999998</v>
      </c>
      <c r="W32" s="25" t="s">
        <v>108</v>
      </c>
      <c r="X32" s="56"/>
      <c r="Y32" s="54"/>
      <c r="Z32" s="57" t="s">
        <v>57</v>
      </c>
      <c r="AA32" s="25" t="s">
        <v>58</v>
      </c>
      <c r="AB32" s="57" t="s">
        <v>111</v>
      </c>
      <c r="AC32" s="60">
        <v>0.85</v>
      </c>
      <c r="AD32" s="59">
        <f t="shared" si="8"/>
        <v>185.29999999999998</v>
      </c>
      <c r="AE32" s="25" t="s">
        <v>108</v>
      </c>
      <c r="AF32" s="56"/>
      <c r="AG32" s="54"/>
      <c r="AH32" s="57" t="s">
        <v>57</v>
      </c>
      <c r="AI32" s="25" t="s">
        <v>58</v>
      </c>
      <c r="AJ32" s="25" t="s">
        <v>133</v>
      </c>
      <c r="AK32" s="25" t="s">
        <v>79</v>
      </c>
      <c r="AL32" s="59">
        <f t="shared" si="9"/>
        <v>152.6</v>
      </c>
      <c r="AM32" s="25" t="s">
        <v>134</v>
      </c>
      <c r="AN32" s="56"/>
    </row>
    <row r="33" spans="1:40" ht="18" customHeight="1" x14ac:dyDescent="0.2">
      <c r="A33" s="93"/>
      <c r="B33" s="57" t="s">
        <v>60</v>
      </c>
      <c r="C33" s="25" t="s">
        <v>61</v>
      </c>
      <c r="D33" s="25" t="s">
        <v>103</v>
      </c>
      <c r="E33" s="60">
        <v>0.5</v>
      </c>
      <c r="F33" s="59">
        <f>$C$46*0.5</f>
        <v>109</v>
      </c>
      <c r="G33" s="25" t="s">
        <v>94</v>
      </c>
      <c r="H33" s="94"/>
      <c r="I33" s="93"/>
      <c r="J33" s="57" t="s">
        <v>60</v>
      </c>
      <c r="K33" s="25" t="s">
        <v>113</v>
      </c>
      <c r="L33" s="25" t="s">
        <v>78</v>
      </c>
      <c r="M33" s="60">
        <v>0.5</v>
      </c>
      <c r="N33" s="59">
        <f>$C$46*0.5</f>
        <v>109</v>
      </c>
      <c r="O33" s="25" t="s">
        <v>94</v>
      </c>
      <c r="P33" s="94"/>
      <c r="Q33" s="93"/>
      <c r="R33" s="57" t="s">
        <v>60</v>
      </c>
      <c r="S33" s="25" t="s">
        <v>113</v>
      </c>
      <c r="T33" s="25" t="s">
        <v>103</v>
      </c>
      <c r="U33" s="60">
        <v>0.5</v>
      </c>
      <c r="V33" s="59">
        <f>$C$46*0.5</f>
        <v>109</v>
      </c>
      <c r="W33" s="25" t="s">
        <v>94</v>
      </c>
      <c r="X33" s="94"/>
      <c r="Y33" s="93"/>
      <c r="Z33" s="57" t="s">
        <v>60</v>
      </c>
      <c r="AA33" s="25" t="s">
        <v>113</v>
      </c>
      <c r="AB33" s="57" t="s">
        <v>78</v>
      </c>
      <c r="AC33" s="60">
        <v>0.5</v>
      </c>
      <c r="AD33" s="59">
        <f>$C$46*0.5</f>
        <v>109</v>
      </c>
      <c r="AE33" s="25" t="s">
        <v>94</v>
      </c>
      <c r="AF33" s="94"/>
      <c r="AG33" s="93"/>
      <c r="AH33" s="57" t="s">
        <v>60</v>
      </c>
      <c r="AI33" s="25" t="s">
        <v>113</v>
      </c>
      <c r="AJ33" s="25" t="s">
        <v>103</v>
      </c>
      <c r="AK33" s="60">
        <v>0.5</v>
      </c>
      <c r="AL33" s="59">
        <f t="shared" si="7"/>
        <v>109</v>
      </c>
      <c r="AM33" s="25" t="s">
        <v>94</v>
      </c>
      <c r="AN33" s="94"/>
    </row>
    <row r="34" spans="1:40" ht="18" customHeight="1" x14ac:dyDescent="0.2">
      <c r="A34" s="83"/>
      <c r="B34" s="68"/>
      <c r="C34" s="25" t="s">
        <v>63</v>
      </c>
      <c r="D34" s="25" t="s">
        <v>98</v>
      </c>
      <c r="E34" s="76"/>
      <c r="F34" s="76"/>
      <c r="G34" s="58"/>
      <c r="H34" s="84"/>
      <c r="I34" s="83"/>
      <c r="J34" s="68"/>
      <c r="K34" s="25" t="s">
        <v>63</v>
      </c>
      <c r="L34" s="25" t="s">
        <v>98</v>
      </c>
      <c r="M34" s="76">
        <f>(DATE(1899,12,31)+(0*7+IF(SUM(M31:M33)&gt;60,SUM(M31:M33)-1,SUM(M31:M33))))</f>
        <v>693963.3</v>
      </c>
      <c r="N34" s="76"/>
      <c r="O34" s="58"/>
      <c r="P34" s="84"/>
      <c r="Q34" s="83"/>
      <c r="R34" s="68"/>
      <c r="S34" s="25" t="s">
        <v>63</v>
      </c>
      <c r="T34" s="25" t="s">
        <v>98</v>
      </c>
      <c r="U34" s="76">
        <f>(DATE(1899,12,31)+(0*7+IF(SUM(U31:U33)&gt;60,SUM(U31:U33)-1,SUM(U31:U33))))</f>
        <v>693963.35</v>
      </c>
      <c r="V34" s="76"/>
      <c r="W34" s="58"/>
      <c r="X34" s="84"/>
      <c r="Y34" s="83"/>
      <c r="Z34" s="68"/>
      <c r="AA34" s="25" t="s">
        <v>63</v>
      </c>
      <c r="AB34" s="25" t="s">
        <v>98</v>
      </c>
      <c r="AC34" s="76"/>
      <c r="AD34" s="76"/>
      <c r="AE34" s="58"/>
      <c r="AF34" s="84"/>
      <c r="AG34" s="83"/>
      <c r="AH34" s="68"/>
      <c r="AI34" s="25" t="s">
        <v>63</v>
      </c>
      <c r="AJ34" s="25" t="s">
        <v>135</v>
      </c>
      <c r="AK34" s="76"/>
      <c r="AL34" s="76"/>
      <c r="AM34" s="58"/>
      <c r="AN34" s="84"/>
    </row>
    <row r="35" spans="1:40" ht="15.75" customHeight="1" x14ac:dyDescent="0.2">
      <c r="A35" s="62"/>
      <c r="B35" s="78"/>
      <c r="C35" s="78"/>
      <c r="D35" s="78"/>
      <c r="E35" s="78"/>
      <c r="F35" s="78"/>
      <c r="G35" s="78"/>
      <c r="H35" s="67"/>
      <c r="I35" s="62"/>
      <c r="J35" s="78"/>
      <c r="K35" s="78"/>
      <c r="L35" s="78"/>
      <c r="M35" s="78"/>
      <c r="N35" s="78"/>
      <c r="O35" s="78"/>
      <c r="P35" s="67"/>
      <c r="Q35" s="62"/>
      <c r="R35" s="78"/>
      <c r="S35" s="78"/>
      <c r="T35" s="78"/>
      <c r="U35" s="78"/>
      <c r="V35" s="78"/>
      <c r="W35" s="78"/>
      <c r="X35" s="67"/>
      <c r="Y35" s="62"/>
      <c r="Z35" s="78"/>
      <c r="AA35" s="78"/>
      <c r="AB35" s="78"/>
      <c r="AC35" s="78"/>
      <c r="AD35" s="78"/>
      <c r="AE35" s="78"/>
      <c r="AF35" s="67"/>
      <c r="AG35" s="62"/>
      <c r="AH35" s="78"/>
      <c r="AI35" s="78"/>
      <c r="AJ35" s="78"/>
      <c r="AK35" s="78"/>
      <c r="AL35" s="78"/>
      <c r="AM35" s="78"/>
      <c r="AN35" s="67"/>
    </row>
    <row r="36" spans="1:40" ht="20.25" customHeight="1" x14ac:dyDescent="0.2">
      <c r="A36" s="99"/>
      <c r="B36" s="255" t="s">
        <v>136</v>
      </c>
      <c r="C36" s="256"/>
      <c r="D36" s="256"/>
      <c r="E36" s="256"/>
      <c r="F36" s="256"/>
      <c r="G36" s="257"/>
      <c r="H36" s="99"/>
      <c r="I36" s="99"/>
      <c r="J36" s="255" t="s">
        <v>136</v>
      </c>
      <c r="K36" s="256"/>
      <c r="L36" s="256"/>
      <c r="M36" s="256"/>
      <c r="N36" s="256"/>
      <c r="O36" s="257"/>
      <c r="P36" s="99"/>
      <c r="Q36" s="99"/>
      <c r="R36" s="255" t="s">
        <v>136</v>
      </c>
      <c r="S36" s="256"/>
      <c r="T36" s="256"/>
      <c r="U36" s="256"/>
      <c r="V36" s="256"/>
      <c r="W36" s="257"/>
      <c r="X36" s="99"/>
      <c r="Y36" s="99"/>
      <c r="Z36" s="255" t="s">
        <v>136</v>
      </c>
      <c r="AA36" s="256"/>
      <c r="AB36" s="256"/>
      <c r="AC36" s="256"/>
      <c r="AD36" s="256"/>
      <c r="AE36" s="257"/>
      <c r="AF36" s="99"/>
      <c r="AG36" s="99"/>
      <c r="AH36" s="255" t="s">
        <v>136</v>
      </c>
      <c r="AI36" s="256"/>
      <c r="AJ36" s="256"/>
      <c r="AK36" s="256"/>
      <c r="AL36" s="256"/>
      <c r="AM36" s="257"/>
      <c r="AN36" s="99"/>
    </row>
    <row r="37" spans="1:40" ht="36" customHeight="1" x14ac:dyDescent="0.2">
      <c r="A37" s="54"/>
      <c r="B37" s="55"/>
      <c r="C37" s="20" t="s">
        <v>51</v>
      </c>
      <c r="D37" s="20" t="s">
        <v>52</v>
      </c>
      <c r="E37" s="20" t="s">
        <v>73</v>
      </c>
      <c r="F37" s="20" t="s">
        <v>74</v>
      </c>
      <c r="G37" s="20" t="s">
        <v>76</v>
      </c>
      <c r="H37" s="56"/>
      <c r="I37" s="54"/>
      <c r="J37" s="55"/>
      <c r="K37" s="20" t="s">
        <v>51</v>
      </c>
      <c r="L37" s="20" t="s">
        <v>52</v>
      </c>
      <c r="M37" s="20" t="s">
        <v>73</v>
      </c>
      <c r="N37" s="20" t="s">
        <v>74</v>
      </c>
      <c r="O37" s="20" t="s">
        <v>76</v>
      </c>
      <c r="P37" s="56"/>
      <c r="Q37" s="54"/>
      <c r="R37" s="55"/>
      <c r="S37" s="20" t="s">
        <v>51</v>
      </c>
      <c r="T37" s="20" t="s">
        <v>52</v>
      </c>
      <c r="U37" s="20" t="s">
        <v>73</v>
      </c>
      <c r="V37" s="20" t="s">
        <v>74</v>
      </c>
      <c r="W37" s="20" t="s">
        <v>76</v>
      </c>
      <c r="X37" s="56"/>
      <c r="Y37" s="54"/>
      <c r="Z37" s="55"/>
      <c r="AA37" s="20" t="s">
        <v>51</v>
      </c>
      <c r="AB37" s="20" t="s">
        <v>52</v>
      </c>
      <c r="AC37" s="20" t="s">
        <v>73</v>
      </c>
      <c r="AD37" s="20" t="s">
        <v>74</v>
      </c>
      <c r="AE37" s="20" t="s">
        <v>76</v>
      </c>
      <c r="AF37" s="56"/>
      <c r="AG37" s="54"/>
      <c r="AH37" s="55"/>
      <c r="AI37" s="20" t="s">
        <v>51</v>
      </c>
      <c r="AJ37" s="20" t="s">
        <v>52</v>
      </c>
      <c r="AK37" s="20" t="s">
        <v>73</v>
      </c>
      <c r="AL37" s="20" t="s">
        <v>74</v>
      </c>
      <c r="AM37" s="20" t="s">
        <v>76</v>
      </c>
      <c r="AN37" s="56"/>
    </row>
    <row r="38" spans="1:40" ht="30" customHeight="1" x14ac:dyDescent="0.2">
      <c r="A38" s="54"/>
      <c r="B38" s="57" t="s">
        <v>77</v>
      </c>
      <c r="C38" s="25" t="s">
        <v>55</v>
      </c>
      <c r="D38" s="25" t="s">
        <v>133</v>
      </c>
      <c r="E38" s="25" t="s">
        <v>118</v>
      </c>
      <c r="F38" s="59">
        <f>$C$46*0.6</f>
        <v>130.79999999999998</v>
      </c>
      <c r="G38" s="25" t="s">
        <v>84</v>
      </c>
      <c r="H38" s="56"/>
      <c r="I38" s="54"/>
      <c r="J38" s="57" t="s">
        <v>77</v>
      </c>
      <c r="K38" s="25" t="s">
        <v>81</v>
      </c>
      <c r="L38" s="25" t="s">
        <v>133</v>
      </c>
      <c r="M38" s="25" t="s">
        <v>118</v>
      </c>
      <c r="N38" s="59">
        <f>$C$46*0.6</f>
        <v>130.79999999999998</v>
      </c>
      <c r="O38" s="25" t="s">
        <v>84</v>
      </c>
      <c r="P38" s="56"/>
      <c r="Q38" s="54"/>
      <c r="R38" s="57" t="s">
        <v>77</v>
      </c>
      <c r="S38" s="25" t="s">
        <v>81</v>
      </c>
      <c r="T38" s="25" t="s">
        <v>133</v>
      </c>
      <c r="U38" s="25" t="s">
        <v>118</v>
      </c>
      <c r="V38" s="59">
        <f>$C$46*0.6</f>
        <v>130.79999999999998</v>
      </c>
      <c r="W38" s="25" t="s">
        <v>84</v>
      </c>
      <c r="X38" s="56"/>
      <c r="Y38" s="54"/>
      <c r="Z38" s="57" t="s">
        <v>77</v>
      </c>
      <c r="AA38" s="25" t="s">
        <v>81</v>
      </c>
      <c r="AB38" s="57" t="s">
        <v>133</v>
      </c>
      <c r="AC38" s="25" t="s">
        <v>118</v>
      </c>
      <c r="AD38" s="59">
        <f>$C$46*0.6</f>
        <v>130.79999999999998</v>
      </c>
      <c r="AE38" s="25" t="s">
        <v>84</v>
      </c>
      <c r="AF38" s="56"/>
      <c r="AG38" s="54"/>
      <c r="AH38" s="57" t="s">
        <v>77</v>
      </c>
      <c r="AI38" s="25" t="s">
        <v>81</v>
      </c>
      <c r="AJ38" s="25" t="s">
        <v>82</v>
      </c>
      <c r="AK38" s="25" t="s">
        <v>118</v>
      </c>
      <c r="AL38" s="59">
        <f t="shared" si="1"/>
        <v>130.79999999999998</v>
      </c>
      <c r="AM38" s="25" t="s">
        <v>84</v>
      </c>
      <c r="AN38" s="56"/>
    </row>
    <row r="39" spans="1:40" ht="15.75" customHeight="1" x14ac:dyDescent="0.2">
      <c r="A39" s="62"/>
      <c r="B39" s="78"/>
      <c r="C39" s="78"/>
      <c r="D39" s="78"/>
      <c r="E39" s="78"/>
      <c r="F39" s="78"/>
      <c r="G39" s="78"/>
      <c r="H39" s="67"/>
      <c r="I39" s="62"/>
      <c r="J39" s="78"/>
      <c r="K39" s="78"/>
      <c r="L39" s="78"/>
      <c r="M39" s="78"/>
      <c r="N39" s="78"/>
      <c r="O39" s="78"/>
      <c r="P39" s="67"/>
      <c r="Q39" s="62"/>
      <c r="R39" s="78"/>
      <c r="S39" s="78"/>
      <c r="T39" s="78"/>
      <c r="U39" s="78"/>
      <c r="V39" s="78"/>
      <c r="W39" s="78"/>
      <c r="X39" s="67"/>
      <c r="Y39" s="62"/>
      <c r="Z39" s="78"/>
      <c r="AA39" s="78"/>
      <c r="AB39" s="78"/>
      <c r="AC39" s="78"/>
      <c r="AD39" s="78"/>
      <c r="AE39" s="78"/>
      <c r="AF39" s="67"/>
      <c r="AG39" s="62"/>
      <c r="AH39" s="78"/>
      <c r="AI39" s="78"/>
      <c r="AJ39" s="78"/>
      <c r="AK39" s="78"/>
      <c r="AL39" s="78"/>
      <c r="AM39" s="78"/>
      <c r="AN39" s="67"/>
    </row>
    <row r="40" spans="1:40" ht="32.25" customHeight="1" x14ac:dyDescent="0.2">
      <c r="A40" s="53"/>
      <c r="B40" s="261" t="s">
        <v>137</v>
      </c>
      <c r="C40" s="262"/>
      <c r="D40" s="262"/>
      <c r="E40" s="262"/>
      <c r="F40" s="262"/>
      <c r="G40" s="263"/>
      <c r="H40" s="53"/>
      <c r="I40" s="53"/>
      <c r="J40" s="261" t="s">
        <v>137</v>
      </c>
      <c r="K40" s="262"/>
      <c r="L40" s="262"/>
      <c r="M40" s="262"/>
      <c r="N40" s="262"/>
      <c r="O40" s="263"/>
      <c r="P40" s="53"/>
      <c r="Q40" s="53"/>
      <c r="R40" s="261" t="s">
        <v>137</v>
      </c>
      <c r="S40" s="262"/>
      <c r="T40" s="262"/>
      <c r="U40" s="262"/>
      <c r="V40" s="262"/>
      <c r="W40" s="263"/>
      <c r="X40" s="53"/>
      <c r="Y40" s="53"/>
      <c r="Z40" s="261" t="s">
        <v>137</v>
      </c>
      <c r="AA40" s="262"/>
      <c r="AB40" s="262"/>
      <c r="AC40" s="262"/>
      <c r="AD40" s="262"/>
      <c r="AE40" s="263"/>
      <c r="AF40" s="53"/>
      <c r="AG40" s="53"/>
      <c r="AH40" s="261" t="s">
        <v>137</v>
      </c>
      <c r="AI40" s="262"/>
      <c r="AJ40" s="262"/>
      <c r="AK40" s="262"/>
      <c r="AL40" s="262"/>
      <c r="AM40" s="263"/>
      <c r="AN40" s="53"/>
    </row>
    <row r="41" spans="1:40" ht="18" customHeight="1" x14ac:dyDescent="0.2">
      <c r="A41" s="100"/>
      <c r="B41" s="101"/>
      <c r="C41" s="101"/>
      <c r="D41" s="101"/>
      <c r="E41" s="101"/>
      <c r="F41" s="101"/>
      <c r="G41" s="101"/>
      <c r="H41" s="102"/>
      <c r="I41" s="100"/>
      <c r="J41" s="101"/>
      <c r="K41" s="101"/>
      <c r="L41" s="101"/>
      <c r="M41" s="101"/>
      <c r="N41" s="101"/>
      <c r="O41" s="101"/>
      <c r="P41" s="102"/>
      <c r="Q41" s="100"/>
      <c r="R41" s="101"/>
      <c r="S41" s="101"/>
      <c r="T41" s="101"/>
      <c r="U41" s="101"/>
      <c r="V41" s="101"/>
      <c r="W41" s="101"/>
      <c r="X41" s="102"/>
      <c r="Y41" s="100"/>
      <c r="Z41" s="101"/>
      <c r="AA41" s="101"/>
      <c r="AB41" s="101"/>
      <c r="AC41" s="101"/>
      <c r="AD41" s="101"/>
      <c r="AE41" s="101"/>
      <c r="AF41" s="102"/>
      <c r="AG41" s="100"/>
      <c r="AH41" s="101"/>
      <c r="AI41" s="101"/>
      <c r="AJ41" s="101"/>
      <c r="AK41" s="101"/>
      <c r="AL41" s="101"/>
      <c r="AM41" s="101"/>
      <c r="AN41" s="102"/>
    </row>
    <row r="42" spans="1:40" ht="15.75" customHeight="1" x14ac:dyDescent="0.2">
      <c r="A42" s="103"/>
      <c r="B42" s="104"/>
      <c r="C42" s="104"/>
      <c r="D42" s="104"/>
      <c r="E42" s="104"/>
      <c r="F42" s="104"/>
      <c r="G42" s="104"/>
      <c r="H42" s="105"/>
      <c r="I42" s="103"/>
      <c r="J42" s="104"/>
      <c r="K42" s="104"/>
      <c r="L42" s="104"/>
      <c r="M42" s="104"/>
      <c r="N42" s="104"/>
      <c r="O42" s="104"/>
      <c r="P42" s="105"/>
      <c r="Q42" s="103"/>
      <c r="R42" s="104"/>
      <c r="S42" s="104"/>
      <c r="T42" s="104"/>
      <c r="U42" s="104"/>
      <c r="V42" s="104"/>
      <c r="W42" s="104"/>
      <c r="X42" s="105"/>
      <c r="Y42" s="103"/>
      <c r="Z42" s="104"/>
      <c r="AA42" s="104"/>
      <c r="AB42" s="104"/>
      <c r="AC42" s="104"/>
      <c r="AD42" s="104"/>
      <c r="AE42" s="104"/>
      <c r="AF42" s="105"/>
      <c r="AG42" s="103"/>
      <c r="AH42" s="104"/>
      <c r="AI42" s="104"/>
      <c r="AJ42" s="104"/>
      <c r="AK42" s="104"/>
      <c r="AL42" s="104"/>
      <c r="AM42" s="104"/>
      <c r="AN42" s="105"/>
    </row>
    <row r="43" spans="1:40" ht="14.1" customHeight="1" x14ac:dyDescent="0.2">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row>
    <row r="44" spans="1:40" ht="13.7" customHeight="1"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row>
    <row r="45" spans="1:40" ht="19.5" hidden="1" customHeight="1" x14ac:dyDescent="0.2">
      <c r="A45" s="107"/>
      <c r="B45" s="108" t="s">
        <v>138</v>
      </c>
      <c r="C45" s="109"/>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row>
    <row r="46" spans="1:40" ht="19.5" hidden="1" customHeight="1" x14ac:dyDescent="0.2">
      <c r="A46" s="107"/>
      <c r="B46" s="110" t="s">
        <v>139</v>
      </c>
      <c r="C46" s="111">
        <f>'TEST SET'!E8</f>
        <v>218</v>
      </c>
      <c r="D46" s="112"/>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07"/>
    </row>
  </sheetData>
  <mergeCells count="55">
    <mergeCell ref="B36:G36"/>
    <mergeCell ref="G8:G11"/>
    <mergeCell ref="Q1:X1"/>
    <mergeCell ref="Y1:AF1"/>
    <mergeCell ref="R29:W29"/>
    <mergeCell ref="Z22:AE22"/>
    <mergeCell ref="R3:W3"/>
    <mergeCell ref="R22:W22"/>
    <mergeCell ref="J15:O15"/>
    <mergeCell ref="B22:G22"/>
    <mergeCell ref="G6:G7"/>
    <mergeCell ref="C6:C7"/>
    <mergeCell ref="B1:H1"/>
    <mergeCell ref="J22:O22"/>
    <mergeCell ref="I1:P1"/>
    <mergeCell ref="W6:W7"/>
    <mergeCell ref="AH15:AM15"/>
    <mergeCell ref="B40:G40"/>
    <mergeCell ref="J3:O3"/>
    <mergeCell ref="Z36:AE36"/>
    <mergeCell ref="AE6:AE7"/>
    <mergeCell ref="J29:O29"/>
    <mergeCell ref="AA8:AA9"/>
    <mergeCell ref="B15:G15"/>
    <mergeCell ref="R40:W40"/>
    <mergeCell ref="AA6:AA7"/>
    <mergeCell ref="C8:C9"/>
    <mergeCell ref="B29:G29"/>
    <mergeCell ref="S8:S9"/>
    <mergeCell ref="C10:C11"/>
    <mergeCell ref="Z15:AE15"/>
    <mergeCell ref="AA10:AA11"/>
    <mergeCell ref="J40:O40"/>
    <mergeCell ref="J36:O36"/>
    <mergeCell ref="Z40:AE40"/>
    <mergeCell ref="AH40:AM40"/>
    <mergeCell ref="AE8:AE11"/>
    <mergeCell ref="K10:K11"/>
    <mergeCell ref="K8:K9"/>
    <mergeCell ref="W8:W11"/>
    <mergeCell ref="AH22:AM22"/>
    <mergeCell ref="Z29:AE29"/>
    <mergeCell ref="S10:S11"/>
    <mergeCell ref="R36:W36"/>
    <mergeCell ref="AH36:AM36"/>
    <mergeCell ref="AH29:AM29"/>
    <mergeCell ref="O8:O11"/>
    <mergeCell ref="R15:W15"/>
    <mergeCell ref="AG1:AN1"/>
    <mergeCell ref="B3:G3"/>
    <mergeCell ref="O6:O7"/>
    <mergeCell ref="Z3:AE3"/>
    <mergeCell ref="AH3:AM3"/>
    <mergeCell ref="K6:K7"/>
    <mergeCell ref="S6:S7"/>
  </mergeCells>
  <pageMargins left="0" right="0" top="0" bottom="0" header="0.51181100000000002" footer="0.51181100000000002"/>
  <pageSetup scale="67" orientation="portrait" r:id="rId1"/>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00"/>
  <sheetViews>
    <sheetView showGridLines="0" zoomScale="70" zoomScaleNormal="70" workbookViewId="0">
      <selection activeCell="AL25" sqref="AL25"/>
    </sheetView>
  </sheetViews>
  <sheetFormatPr defaultColWidth="8.85546875" defaultRowHeight="15" customHeight="1" x14ac:dyDescent="0.2"/>
  <cols>
    <col min="1" max="1" width="5.7109375" style="120" customWidth="1"/>
    <col min="2" max="6" width="16" style="120" customWidth="1"/>
    <col min="7" max="7" width="60.7109375" style="120" customWidth="1"/>
    <col min="8" max="9" width="5.7109375" style="120" customWidth="1"/>
    <col min="10" max="14" width="16" style="120" customWidth="1"/>
    <col min="15" max="15" width="60.7109375" style="120" customWidth="1"/>
    <col min="16" max="17" width="5.7109375" style="120" customWidth="1"/>
    <col min="18" max="22" width="16" style="120" customWidth="1"/>
    <col min="23" max="23" width="60.7109375" style="120" customWidth="1"/>
    <col min="24" max="25" width="5.7109375" style="120" customWidth="1"/>
    <col min="26" max="30" width="16" style="120" customWidth="1"/>
    <col min="31" max="31" width="60.7109375" style="120" customWidth="1"/>
    <col min="32" max="33" width="5.7109375" style="120" customWidth="1"/>
    <col min="34" max="38" width="16" style="120" customWidth="1"/>
    <col min="39" max="39" width="60.7109375" style="120" customWidth="1"/>
    <col min="40" max="40" width="5.7109375" style="120" customWidth="1"/>
    <col min="41" max="42" width="9.140625" style="120" customWidth="1"/>
    <col min="43" max="256" width="8.85546875" style="120" customWidth="1"/>
  </cols>
  <sheetData>
    <row r="1" spans="1:42" ht="26.25" customHeight="1" x14ac:dyDescent="0.2">
      <c r="A1" s="48"/>
      <c r="B1" s="253" t="s">
        <v>140</v>
      </c>
      <c r="C1" s="254"/>
      <c r="D1" s="254"/>
      <c r="E1" s="254"/>
      <c r="F1" s="254"/>
      <c r="G1" s="254"/>
      <c r="H1" s="254"/>
      <c r="I1" s="253" t="s">
        <v>141</v>
      </c>
      <c r="J1" s="254"/>
      <c r="K1" s="254"/>
      <c r="L1" s="254"/>
      <c r="M1" s="254"/>
      <c r="N1" s="254"/>
      <c r="O1" s="254"/>
      <c r="P1" s="254"/>
      <c r="Q1" s="253" t="s">
        <v>142</v>
      </c>
      <c r="R1" s="254"/>
      <c r="S1" s="254"/>
      <c r="T1" s="254"/>
      <c r="U1" s="254"/>
      <c r="V1" s="254"/>
      <c r="W1" s="254"/>
      <c r="X1" s="254"/>
      <c r="Y1" s="253" t="s">
        <v>143</v>
      </c>
      <c r="Z1" s="254"/>
      <c r="AA1" s="254"/>
      <c r="AB1" s="254"/>
      <c r="AC1" s="254"/>
      <c r="AD1" s="254"/>
      <c r="AE1" s="254"/>
      <c r="AF1" s="254"/>
      <c r="AG1" s="253" t="s">
        <v>144</v>
      </c>
      <c r="AH1" s="254"/>
      <c r="AI1" s="254"/>
      <c r="AJ1" s="254"/>
      <c r="AK1" s="254"/>
      <c r="AL1" s="254"/>
      <c r="AM1" s="254"/>
      <c r="AN1" s="254"/>
      <c r="AO1" s="2"/>
      <c r="AP1" s="2"/>
    </row>
    <row r="2" spans="1:42" ht="15.75" customHeight="1" x14ac:dyDescent="0.2">
      <c r="A2" s="121"/>
      <c r="B2" s="122" t="s">
        <v>49</v>
      </c>
      <c r="C2" s="51"/>
      <c r="D2" s="51"/>
      <c r="E2" s="51"/>
      <c r="F2" s="51"/>
      <c r="G2" s="51"/>
      <c r="H2" s="52"/>
      <c r="I2" s="49"/>
      <c r="J2" s="50" t="s">
        <v>49</v>
      </c>
      <c r="K2" s="51"/>
      <c r="L2" s="51"/>
      <c r="M2" s="51"/>
      <c r="N2" s="51"/>
      <c r="O2" s="51"/>
      <c r="P2" s="52"/>
      <c r="Q2" s="49"/>
      <c r="R2" s="50" t="s">
        <v>49</v>
      </c>
      <c r="S2" s="51"/>
      <c r="T2" s="51"/>
      <c r="U2" s="51"/>
      <c r="V2" s="51"/>
      <c r="W2" s="51"/>
      <c r="X2" s="52"/>
      <c r="Y2" s="49"/>
      <c r="Z2" s="50" t="s">
        <v>49</v>
      </c>
      <c r="AA2" s="51"/>
      <c r="AB2" s="51"/>
      <c r="AC2" s="51"/>
      <c r="AD2" s="51"/>
      <c r="AE2" s="51"/>
      <c r="AF2" s="52"/>
      <c r="AG2" s="49"/>
      <c r="AH2" s="50" t="s">
        <v>49</v>
      </c>
      <c r="AI2" s="51"/>
      <c r="AJ2" s="51"/>
      <c r="AK2" s="51"/>
      <c r="AL2" s="51"/>
      <c r="AM2" s="51"/>
      <c r="AN2" s="52"/>
      <c r="AO2" s="123"/>
      <c r="AP2" s="2"/>
    </row>
    <row r="3" spans="1:42" ht="20.25" customHeight="1" x14ac:dyDescent="0.2">
      <c r="A3" s="124"/>
      <c r="B3" s="255" t="s">
        <v>70</v>
      </c>
      <c r="C3" s="256"/>
      <c r="D3" s="256"/>
      <c r="E3" s="256"/>
      <c r="F3" s="256"/>
      <c r="G3" s="257"/>
      <c r="H3" s="53"/>
      <c r="I3" s="53"/>
      <c r="J3" s="255" t="s">
        <v>70</v>
      </c>
      <c r="K3" s="256"/>
      <c r="L3" s="256"/>
      <c r="M3" s="256"/>
      <c r="N3" s="256"/>
      <c r="O3" s="257"/>
      <c r="P3" s="53"/>
      <c r="Q3" s="53"/>
      <c r="R3" s="255" t="s">
        <v>70</v>
      </c>
      <c r="S3" s="256"/>
      <c r="T3" s="256"/>
      <c r="U3" s="256"/>
      <c r="V3" s="256"/>
      <c r="W3" s="257"/>
      <c r="X3" s="53"/>
      <c r="Y3" s="53"/>
      <c r="Z3" s="255" t="s">
        <v>70</v>
      </c>
      <c r="AA3" s="256"/>
      <c r="AB3" s="256"/>
      <c r="AC3" s="256"/>
      <c r="AD3" s="256"/>
      <c r="AE3" s="257"/>
      <c r="AF3" s="53"/>
      <c r="AG3" s="53"/>
      <c r="AH3" s="255" t="s">
        <v>71</v>
      </c>
      <c r="AI3" s="256"/>
      <c r="AJ3" s="256"/>
      <c r="AK3" s="256"/>
      <c r="AL3" s="256"/>
      <c r="AM3" s="257"/>
      <c r="AN3" s="53"/>
      <c r="AO3" s="123"/>
      <c r="AP3" s="2"/>
    </row>
    <row r="4" spans="1:42" ht="36" customHeight="1" x14ac:dyDescent="0.2">
      <c r="A4" s="125"/>
      <c r="B4" s="126"/>
      <c r="C4" s="20" t="s">
        <v>72</v>
      </c>
      <c r="D4" s="20" t="s">
        <v>52</v>
      </c>
      <c r="E4" s="20" t="s">
        <v>73</v>
      </c>
      <c r="F4" s="20" t="s">
        <v>74</v>
      </c>
      <c r="G4" s="20" t="s">
        <v>75</v>
      </c>
      <c r="H4" s="127"/>
      <c r="I4" s="128"/>
      <c r="J4" s="55"/>
      <c r="K4" s="20" t="s">
        <v>72</v>
      </c>
      <c r="L4" s="20" t="s">
        <v>52</v>
      </c>
      <c r="M4" s="20" t="s">
        <v>73</v>
      </c>
      <c r="N4" s="20" t="s">
        <v>74</v>
      </c>
      <c r="O4" s="20" t="s">
        <v>75</v>
      </c>
      <c r="P4" s="127"/>
      <c r="Q4" s="128"/>
      <c r="R4" s="55"/>
      <c r="S4" s="20" t="s">
        <v>72</v>
      </c>
      <c r="T4" s="20" t="s">
        <v>52</v>
      </c>
      <c r="U4" s="20" t="s">
        <v>73</v>
      </c>
      <c r="V4" s="20" t="s">
        <v>74</v>
      </c>
      <c r="W4" s="20" t="s">
        <v>75</v>
      </c>
      <c r="X4" s="127"/>
      <c r="Y4" s="128"/>
      <c r="Z4" s="55"/>
      <c r="AA4" s="20" t="s">
        <v>72</v>
      </c>
      <c r="AB4" s="20" t="s">
        <v>52</v>
      </c>
      <c r="AC4" s="20" t="s">
        <v>73</v>
      </c>
      <c r="AD4" s="20" t="s">
        <v>74</v>
      </c>
      <c r="AE4" s="20" t="s">
        <v>75</v>
      </c>
      <c r="AF4" s="127"/>
      <c r="AG4" s="128"/>
      <c r="AH4" s="55"/>
      <c r="AI4" s="20" t="s">
        <v>51</v>
      </c>
      <c r="AJ4" s="20" t="s">
        <v>52</v>
      </c>
      <c r="AK4" s="20" t="s">
        <v>73</v>
      </c>
      <c r="AL4" s="20" t="s">
        <v>74</v>
      </c>
      <c r="AM4" s="20" t="s">
        <v>76</v>
      </c>
      <c r="AN4" s="127"/>
      <c r="AO4" s="129"/>
      <c r="AP4" s="130"/>
    </row>
    <row r="5" spans="1:42" ht="30" customHeight="1" x14ac:dyDescent="0.2">
      <c r="A5" s="125"/>
      <c r="B5" s="131" t="s">
        <v>77</v>
      </c>
      <c r="C5" s="58">
        <v>1</v>
      </c>
      <c r="D5" s="25" t="s">
        <v>78</v>
      </c>
      <c r="E5" s="25" t="s">
        <v>79</v>
      </c>
      <c r="F5" s="59">
        <f t="shared" ref="F5:AD5" si="0">$C$44*0.7</f>
        <v>0</v>
      </c>
      <c r="G5" s="25" t="s">
        <v>80</v>
      </c>
      <c r="H5" s="127"/>
      <c r="I5" s="128"/>
      <c r="J5" s="57" t="s">
        <v>77</v>
      </c>
      <c r="K5" s="58">
        <v>1</v>
      </c>
      <c r="L5" s="25" t="s">
        <v>78</v>
      </c>
      <c r="M5" s="25" t="s">
        <v>79</v>
      </c>
      <c r="N5" s="59">
        <f t="shared" si="0"/>
        <v>0</v>
      </c>
      <c r="O5" s="25" t="s">
        <v>80</v>
      </c>
      <c r="P5" s="127"/>
      <c r="Q5" s="128"/>
      <c r="R5" s="57" t="s">
        <v>77</v>
      </c>
      <c r="S5" s="58">
        <v>1</v>
      </c>
      <c r="T5" s="25" t="s">
        <v>78</v>
      </c>
      <c r="U5" s="25" t="s">
        <v>79</v>
      </c>
      <c r="V5" s="59">
        <f t="shared" si="0"/>
        <v>0</v>
      </c>
      <c r="W5" s="25" t="s">
        <v>80</v>
      </c>
      <c r="X5" s="127"/>
      <c r="Y5" s="128"/>
      <c r="Z5" s="57" t="s">
        <v>77</v>
      </c>
      <c r="AA5" s="58">
        <v>1</v>
      </c>
      <c r="AB5" s="25" t="s">
        <v>78</v>
      </c>
      <c r="AC5" s="25" t="s">
        <v>79</v>
      </c>
      <c r="AD5" s="59">
        <f t="shared" si="0"/>
        <v>0</v>
      </c>
      <c r="AE5" s="25" t="s">
        <v>80</v>
      </c>
      <c r="AF5" s="127"/>
      <c r="AG5" s="128"/>
      <c r="AH5" s="57" t="s">
        <v>77</v>
      </c>
      <c r="AI5" s="25" t="s">
        <v>81</v>
      </c>
      <c r="AJ5" s="25" t="s">
        <v>82</v>
      </c>
      <c r="AK5" s="25" t="s">
        <v>83</v>
      </c>
      <c r="AL5" s="59">
        <f t="shared" ref="AL5:AL36" si="1">$C$44*0.6</f>
        <v>0</v>
      </c>
      <c r="AM5" s="25" t="s">
        <v>84</v>
      </c>
      <c r="AN5" s="127"/>
      <c r="AO5" s="129"/>
      <c r="AP5" s="130"/>
    </row>
    <row r="6" spans="1:42" ht="15.75" customHeight="1" x14ac:dyDescent="0.2">
      <c r="A6" s="124"/>
      <c r="B6" s="131" t="s">
        <v>57</v>
      </c>
      <c r="C6" s="260">
        <v>5</v>
      </c>
      <c r="D6" s="25" t="s">
        <v>85</v>
      </c>
      <c r="E6" s="60">
        <v>1</v>
      </c>
      <c r="F6" s="59">
        <f t="shared" ref="F6:AD6" si="2">$C$44*1</f>
        <v>0</v>
      </c>
      <c r="G6" s="61" t="s">
        <v>86</v>
      </c>
      <c r="H6" s="56"/>
      <c r="I6" s="54"/>
      <c r="J6" s="57" t="s">
        <v>57</v>
      </c>
      <c r="K6" s="260">
        <v>5</v>
      </c>
      <c r="L6" s="25" t="s">
        <v>85</v>
      </c>
      <c r="M6" s="60">
        <v>1</v>
      </c>
      <c r="N6" s="59">
        <f t="shared" si="2"/>
        <v>0</v>
      </c>
      <c r="O6" s="61" t="s">
        <v>86</v>
      </c>
      <c r="P6" s="56"/>
      <c r="Q6" s="54"/>
      <c r="R6" s="57" t="s">
        <v>57</v>
      </c>
      <c r="S6" s="260">
        <v>5</v>
      </c>
      <c r="T6" s="25" t="s">
        <v>85</v>
      </c>
      <c r="U6" s="60">
        <v>1</v>
      </c>
      <c r="V6" s="59">
        <f t="shared" si="2"/>
        <v>0</v>
      </c>
      <c r="W6" s="61" t="s">
        <v>86</v>
      </c>
      <c r="X6" s="56"/>
      <c r="Y6" s="54"/>
      <c r="Z6" s="57" t="s">
        <v>57</v>
      </c>
      <c r="AA6" s="260">
        <v>5</v>
      </c>
      <c r="AB6" s="25" t="s">
        <v>85</v>
      </c>
      <c r="AC6" s="60">
        <v>1</v>
      </c>
      <c r="AD6" s="59">
        <f t="shared" si="2"/>
        <v>0</v>
      </c>
      <c r="AE6" s="61" t="s">
        <v>86</v>
      </c>
      <c r="AF6" s="56"/>
      <c r="AG6" s="62"/>
      <c r="AH6" s="63"/>
      <c r="AI6" s="32"/>
      <c r="AJ6" s="64"/>
      <c r="AK6" s="65"/>
      <c r="AL6" s="66"/>
      <c r="AM6" s="32"/>
      <c r="AN6" s="67"/>
      <c r="AO6" s="123"/>
      <c r="AP6" s="2"/>
    </row>
    <row r="7" spans="1:42" ht="15.75" customHeight="1" x14ac:dyDescent="0.2">
      <c r="A7" s="124"/>
      <c r="B7" s="132"/>
      <c r="C7" s="259"/>
      <c r="D7" s="25" t="s">
        <v>85</v>
      </c>
      <c r="E7" s="60">
        <v>0.5</v>
      </c>
      <c r="F7" s="59">
        <f t="shared" ref="F7:AL15" si="3">$C$44*0.5</f>
        <v>0</v>
      </c>
      <c r="G7" s="69"/>
      <c r="H7" s="56"/>
      <c r="I7" s="54"/>
      <c r="J7" s="68"/>
      <c r="K7" s="259"/>
      <c r="L7" s="25" t="s">
        <v>85</v>
      </c>
      <c r="M7" s="60">
        <v>0.5</v>
      </c>
      <c r="N7" s="59">
        <f t="shared" si="3"/>
        <v>0</v>
      </c>
      <c r="O7" s="69"/>
      <c r="P7" s="56"/>
      <c r="Q7" s="54"/>
      <c r="R7" s="68"/>
      <c r="S7" s="259"/>
      <c r="T7" s="25" t="s">
        <v>85</v>
      </c>
      <c r="U7" s="60">
        <v>0.5</v>
      </c>
      <c r="V7" s="59">
        <f t="shared" si="3"/>
        <v>0</v>
      </c>
      <c r="W7" s="69"/>
      <c r="X7" s="56"/>
      <c r="Y7" s="54"/>
      <c r="Z7" s="68"/>
      <c r="AA7" s="259"/>
      <c r="AB7" s="25" t="s">
        <v>85</v>
      </c>
      <c r="AC7" s="60">
        <v>0.5</v>
      </c>
      <c r="AD7" s="59">
        <f t="shared" si="3"/>
        <v>0</v>
      </c>
      <c r="AE7" s="69"/>
      <c r="AF7" s="56"/>
      <c r="AG7" s="62"/>
      <c r="AH7" s="70"/>
      <c r="AI7" s="71"/>
      <c r="AJ7" s="72"/>
      <c r="AK7" s="73"/>
      <c r="AL7" s="74"/>
      <c r="AM7" s="71"/>
      <c r="AN7" s="67"/>
      <c r="AO7" s="123"/>
      <c r="AP7" s="2"/>
    </row>
    <row r="8" spans="1:42" ht="19.5" customHeight="1" x14ac:dyDescent="0.2">
      <c r="A8" s="124"/>
      <c r="B8" s="131" t="s">
        <v>87</v>
      </c>
      <c r="C8" s="260">
        <v>3</v>
      </c>
      <c r="D8" s="25" t="s">
        <v>78</v>
      </c>
      <c r="E8" s="60">
        <v>1.02</v>
      </c>
      <c r="F8" s="59">
        <f>$C$44*1.02</f>
        <v>0</v>
      </c>
      <c r="G8" s="258" t="s">
        <v>88</v>
      </c>
      <c r="H8" s="56"/>
      <c r="I8" s="54"/>
      <c r="J8" s="57" t="s">
        <v>87</v>
      </c>
      <c r="K8" s="260">
        <v>3</v>
      </c>
      <c r="L8" s="25" t="s">
        <v>78</v>
      </c>
      <c r="M8" s="60">
        <v>1.04</v>
      </c>
      <c r="N8" s="59">
        <f>$C$44*1.04</f>
        <v>0</v>
      </c>
      <c r="O8" s="258" t="s">
        <v>88</v>
      </c>
      <c r="P8" s="56"/>
      <c r="Q8" s="54"/>
      <c r="R8" s="57" t="s">
        <v>87</v>
      </c>
      <c r="S8" s="260">
        <v>3</v>
      </c>
      <c r="T8" s="25" t="s">
        <v>78</v>
      </c>
      <c r="U8" s="60">
        <v>1.06</v>
      </c>
      <c r="V8" s="59">
        <f>$C$44*1.06</f>
        <v>0</v>
      </c>
      <c r="W8" s="258" t="s">
        <v>88</v>
      </c>
      <c r="X8" s="56"/>
      <c r="Y8" s="54"/>
      <c r="Z8" s="57" t="s">
        <v>87</v>
      </c>
      <c r="AA8" s="260">
        <v>3</v>
      </c>
      <c r="AB8" s="25" t="s">
        <v>78</v>
      </c>
      <c r="AC8" s="60">
        <v>1.08</v>
      </c>
      <c r="AD8" s="59">
        <f>$C$44*1.08</f>
        <v>0</v>
      </c>
      <c r="AE8" s="258" t="s">
        <v>88</v>
      </c>
      <c r="AF8" s="56"/>
      <c r="AG8" s="62"/>
      <c r="AH8" s="70"/>
      <c r="AI8" s="71"/>
      <c r="AJ8" s="72"/>
      <c r="AK8" s="72"/>
      <c r="AL8" s="72"/>
      <c r="AM8" s="71"/>
      <c r="AN8" s="67"/>
      <c r="AO8" s="123"/>
      <c r="AP8" s="2"/>
    </row>
    <row r="9" spans="1:42" ht="15.75" customHeight="1" x14ac:dyDescent="0.2">
      <c r="A9" s="124"/>
      <c r="B9" s="132"/>
      <c r="C9" s="259"/>
      <c r="D9" s="25" t="s">
        <v>90</v>
      </c>
      <c r="E9" s="60">
        <v>0.5</v>
      </c>
      <c r="F9" s="59">
        <f t="shared" si="3"/>
        <v>0</v>
      </c>
      <c r="G9" s="259"/>
      <c r="H9" s="56"/>
      <c r="I9" s="54"/>
      <c r="J9" s="68"/>
      <c r="K9" s="259"/>
      <c r="L9" s="25" t="s">
        <v>90</v>
      </c>
      <c r="M9" s="60">
        <v>0.5</v>
      </c>
      <c r="N9" s="59">
        <f t="shared" si="3"/>
        <v>0</v>
      </c>
      <c r="O9" s="259"/>
      <c r="P9" s="56"/>
      <c r="Q9" s="54"/>
      <c r="R9" s="68"/>
      <c r="S9" s="259"/>
      <c r="T9" s="25" t="s">
        <v>90</v>
      </c>
      <c r="U9" s="60">
        <v>0.5</v>
      </c>
      <c r="V9" s="59">
        <f t="shared" si="3"/>
        <v>0</v>
      </c>
      <c r="W9" s="259"/>
      <c r="X9" s="56"/>
      <c r="Y9" s="54"/>
      <c r="Z9" s="68"/>
      <c r="AA9" s="259"/>
      <c r="AB9" s="25" t="s">
        <v>90</v>
      </c>
      <c r="AC9" s="60">
        <v>0.5</v>
      </c>
      <c r="AD9" s="59">
        <f t="shared" si="3"/>
        <v>0</v>
      </c>
      <c r="AE9" s="259"/>
      <c r="AF9" s="56"/>
      <c r="AG9" s="62"/>
      <c r="AH9" s="70"/>
      <c r="AI9" s="71"/>
      <c r="AJ9" s="72"/>
      <c r="AK9" s="72"/>
      <c r="AL9" s="72"/>
      <c r="AM9" s="71"/>
      <c r="AN9" s="67"/>
      <c r="AO9" s="123"/>
      <c r="AP9" s="2"/>
    </row>
    <row r="10" spans="1:42" ht="15.75" customHeight="1" x14ac:dyDescent="0.2">
      <c r="A10" s="124"/>
      <c r="B10" s="131" t="s">
        <v>60</v>
      </c>
      <c r="C10" s="58">
        <v>1</v>
      </c>
      <c r="D10" s="25" t="s">
        <v>103</v>
      </c>
      <c r="E10" s="60">
        <v>0.5</v>
      </c>
      <c r="F10" s="59">
        <f t="shared" si="3"/>
        <v>0</v>
      </c>
      <c r="G10" s="25" t="s">
        <v>94</v>
      </c>
      <c r="H10" s="56"/>
      <c r="I10" s="54"/>
      <c r="J10" s="57" t="s">
        <v>60</v>
      </c>
      <c r="K10" s="58">
        <v>1</v>
      </c>
      <c r="L10" s="25" t="s">
        <v>103</v>
      </c>
      <c r="M10" s="60">
        <v>0.5</v>
      </c>
      <c r="N10" s="59">
        <f t="shared" si="3"/>
        <v>0</v>
      </c>
      <c r="O10" s="25" t="s">
        <v>94</v>
      </c>
      <c r="P10" s="56"/>
      <c r="Q10" s="54"/>
      <c r="R10" s="57" t="s">
        <v>60</v>
      </c>
      <c r="S10" s="58">
        <v>1</v>
      </c>
      <c r="T10" s="25" t="s">
        <v>103</v>
      </c>
      <c r="U10" s="60">
        <v>0.5</v>
      </c>
      <c r="V10" s="59">
        <f t="shared" si="3"/>
        <v>0</v>
      </c>
      <c r="W10" s="25" t="s">
        <v>94</v>
      </c>
      <c r="X10" s="56"/>
      <c r="Y10" s="54"/>
      <c r="Z10" s="57" t="s">
        <v>60</v>
      </c>
      <c r="AA10" s="58">
        <v>1</v>
      </c>
      <c r="AB10" s="25" t="s">
        <v>103</v>
      </c>
      <c r="AC10" s="60">
        <v>0.5</v>
      </c>
      <c r="AD10" s="59">
        <f t="shared" si="3"/>
        <v>0</v>
      </c>
      <c r="AE10" s="25" t="s">
        <v>95</v>
      </c>
      <c r="AF10" s="56"/>
      <c r="AG10" s="62"/>
      <c r="AH10" s="70"/>
      <c r="AI10" s="70"/>
      <c r="AJ10" s="75"/>
      <c r="AK10" s="72"/>
      <c r="AL10" s="74"/>
      <c r="AM10" s="71"/>
      <c r="AN10" s="67"/>
      <c r="AO10" s="123"/>
      <c r="AP10" s="2"/>
    </row>
    <row r="11" spans="1:42" ht="15.75" customHeight="1" x14ac:dyDescent="0.2">
      <c r="A11" s="124"/>
      <c r="B11" s="132"/>
      <c r="C11" s="25" t="s">
        <v>63</v>
      </c>
      <c r="D11" s="25" t="s">
        <v>98</v>
      </c>
      <c r="E11" s="76"/>
      <c r="F11" s="76"/>
      <c r="G11" s="58"/>
      <c r="H11" s="56"/>
      <c r="I11" s="54"/>
      <c r="J11" s="68"/>
      <c r="K11" s="25" t="s">
        <v>63</v>
      </c>
      <c r="L11" s="25" t="s">
        <v>98</v>
      </c>
      <c r="M11" s="76"/>
      <c r="N11" s="76"/>
      <c r="O11" s="58"/>
      <c r="P11" s="56"/>
      <c r="Q11" s="54"/>
      <c r="R11" s="68"/>
      <c r="S11" s="25" t="s">
        <v>63</v>
      </c>
      <c r="T11" s="25" t="s">
        <v>98</v>
      </c>
      <c r="U11" s="76"/>
      <c r="V11" s="76"/>
      <c r="W11" s="58"/>
      <c r="X11" s="56"/>
      <c r="Y11" s="54"/>
      <c r="Z11" s="68"/>
      <c r="AA11" s="25" t="s">
        <v>63</v>
      </c>
      <c r="AB11" s="25" t="s">
        <v>98</v>
      </c>
      <c r="AC11" s="76"/>
      <c r="AD11" s="76"/>
      <c r="AE11" s="58"/>
      <c r="AF11" s="56"/>
      <c r="AG11" s="62"/>
      <c r="AH11" s="70"/>
      <c r="AI11" s="70"/>
      <c r="AJ11" s="75"/>
      <c r="AK11" s="72"/>
      <c r="AL11" s="74"/>
      <c r="AM11" s="71"/>
      <c r="AN11" s="67"/>
      <c r="AO11" s="123"/>
      <c r="AP11" s="2"/>
    </row>
    <row r="12" spans="1:42" ht="18.75" customHeight="1" x14ac:dyDescent="0.2">
      <c r="A12" s="133"/>
      <c r="B12" s="134"/>
      <c r="C12" s="78"/>
      <c r="D12" s="78"/>
      <c r="E12" s="78"/>
      <c r="F12" s="78"/>
      <c r="G12" s="78"/>
      <c r="H12" s="79"/>
      <c r="I12" s="77"/>
      <c r="J12" s="78"/>
      <c r="K12" s="78"/>
      <c r="L12" s="78"/>
      <c r="M12" s="78"/>
      <c r="N12" s="78"/>
      <c r="O12" s="78"/>
      <c r="P12" s="79"/>
      <c r="Q12" s="77"/>
      <c r="R12" s="78"/>
      <c r="S12" s="78"/>
      <c r="T12" s="78"/>
      <c r="U12" s="78"/>
      <c r="V12" s="78"/>
      <c r="W12" s="78"/>
      <c r="X12" s="79"/>
      <c r="Y12" s="77"/>
      <c r="Z12" s="78"/>
      <c r="AA12" s="78"/>
      <c r="AB12" s="78"/>
      <c r="AC12" s="78"/>
      <c r="AD12" s="78"/>
      <c r="AE12" s="78"/>
      <c r="AF12" s="79"/>
      <c r="AG12" s="77"/>
      <c r="AH12" s="80"/>
      <c r="AI12" s="81"/>
      <c r="AJ12" s="82"/>
      <c r="AK12" s="82"/>
      <c r="AL12" s="82"/>
      <c r="AM12" s="81"/>
      <c r="AN12" s="79"/>
      <c r="AO12" s="123"/>
      <c r="AP12" s="2"/>
    </row>
    <row r="13" spans="1:42" ht="20.25" customHeight="1" x14ac:dyDescent="0.2">
      <c r="A13" s="124"/>
      <c r="B13" s="255" t="s">
        <v>99</v>
      </c>
      <c r="C13" s="256"/>
      <c r="D13" s="256"/>
      <c r="E13" s="256"/>
      <c r="F13" s="256"/>
      <c r="G13" s="257"/>
      <c r="H13" s="53"/>
      <c r="I13" s="53"/>
      <c r="J13" s="255" t="s">
        <v>99</v>
      </c>
      <c r="K13" s="256"/>
      <c r="L13" s="256"/>
      <c r="M13" s="256"/>
      <c r="N13" s="256"/>
      <c r="O13" s="257"/>
      <c r="P13" s="53"/>
      <c r="Q13" s="53"/>
      <c r="R13" s="255" t="s">
        <v>99</v>
      </c>
      <c r="S13" s="256"/>
      <c r="T13" s="256"/>
      <c r="U13" s="256"/>
      <c r="V13" s="256"/>
      <c r="W13" s="257"/>
      <c r="X13" s="53"/>
      <c r="Y13" s="53"/>
      <c r="Z13" s="255" t="s">
        <v>99</v>
      </c>
      <c r="AA13" s="256"/>
      <c r="AB13" s="256"/>
      <c r="AC13" s="256"/>
      <c r="AD13" s="256"/>
      <c r="AE13" s="257"/>
      <c r="AF13" s="53"/>
      <c r="AG13" s="53"/>
      <c r="AH13" s="255" t="s">
        <v>100</v>
      </c>
      <c r="AI13" s="256"/>
      <c r="AJ13" s="256"/>
      <c r="AK13" s="256"/>
      <c r="AL13" s="256"/>
      <c r="AM13" s="257"/>
      <c r="AN13" s="53"/>
      <c r="AO13" s="123"/>
      <c r="AP13" s="2"/>
    </row>
    <row r="14" spans="1:42" ht="36" customHeight="1" x14ac:dyDescent="0.2">
      <c r="A14" s="124"/>
      <c r="B14" s="135"/>
      <c r="C14" s="136" t="s">
        <v>51</v>
      </c>
      <c r="D14" s="136" t="s">
        <v>52</v>
      </c>
      <c r="E14" s="136" t="s">
        <v>73</v>
      </c>
      <c r="F14" s="136" t="s">
        <v>74</v>
      </c>
      <c r="G14" s="136" t="s">
        <v>101</v>
      </c>
      <c r="H14" s="56"/>
      <c r="I14" s="54"/>
      <c r="J14" s="137"/>
      <c r="K14" s="136" t="s">
        <v>51</v>
      </c>
      <c r="L14" s="136" t="s">
        <v>52</v>
      </c>
      <c r="M14" s="136" t="s">
        <v>73</v>
      </c>
      <c r="N14" s="136" t="s">
        <v>74</v>
      </c>
      <c r="O14" s="136" t="s">
        <v>101</v>
      </c>
      <c r="P14" s="56"/>
      <c r="Q14" s="54"/>
      <c r="R14" s="137"/>
      <c r="S14" s="136" t="s">
        <v>51</v>
      </c>
      <c r="T14" s="136" t="s">
        <v>52</v>
      </c>
      <c r="U14" s="136" t="s">
        <v>73</v>
      </c>
      <c r="V14" s="136" t="s">
        <v>74</v>
      </c>
      <c r="W14" s="136" t="s">
        <v>101</v>
      </c>
      <c r="X14" s="56"/>
      <c r="Y14" s="54"/>
      <c r="Z14" s="137"/>
      <c r="AA14" s="136" t="s">
        <v>51</v>
      </c>
      <c r="AB14" s="136" t="s">
        <v>52</v>
      </c>
      <c r="AC14" s="136" t="s">
        <v>73</v>
      </c>
      <c r="AD14" s="136" t="s">
        <v>74</v>
      </c>
      <c r="AE14" s="136" t="s">
        <v>101</v>
      </c>
      <c r="AF14" s="56"/>
      <c r="AG14" s="54"/>
      <c r="AH14" s="137"/>
      <c r="AI14" s="136" t="s">
        <v>51</v>
      </c>
      <c r="AJ14" s="136" t="s">
        <v>52</v>
      </c>
      <c r="AK14" s="136" t="s">
        <v>73</v>
      </c>
      <c r="AL14" s="136" t="s">
        <v>74</v>
      </c>
      <c r="AM14" s="136" t="s">
        <v>102</v>
      </c>
      <c r="AN14" s="56"/>
      <c r="AO14" s="129"/>
      <c r="AP14" s="130"/>
    </row>
    <row r="15" spans="1:42" ht="30" customHeight="1" x14ac:dyDescent="0.2">
      <c r="A15" s="124"/>
      <c r="B15" s="131" t="s">
        <v>77</v>
      </c>
      <c r="C15" s="25" t="s">
        <v>81</v>
      </c>
      <c r="D15" s="25" t="s">
        <v>103</v>
      </c>
      <c r="E15" s="25" t="s">
        <v>145</v>
      </c>
      <c r="F15" s="59">
        <f t="shared" ref="F15:AD23" si="4">$C$44*0.75</f>
        <v>0</v>
      </c>
      <c r="G15" s="25" t="s">
        <v>105</v>
      </c>
      <c r="H15" s="56"/>
      <c r="I15" s="54"/>
      <c r="J15" s="57" t="s">
        <v>77</v>
      </c>
      <c r="K15" s="25" t="s">
        <v>81</v>
      </c>
      <c r="L15" s="25" t="s">
        <v>103</v>
      </c>
      <c r="M15" s="25" t="s">
        <v>145</v>
      </c>
      <c r="N15" s="59">
        <f t="shared" si="4"/>
        <v>0</v>
      </c>
      <c r="O15" s="25" t="s">
        <v>105</v>
      </c>
      <c r="P15" s="56"/>
      <c r="Q15" s="54"/>
      <c r="R15" s="57" t="s">
        <v>77</v>
      </c>
      <c r="S15" s="25" t="s">
        <v>81</v>
      </c>
      <c r="T15" s="25" t="s">
        <v>103</v>
      </c>
      <c r="U15" s="25" t="s">
        <v>145</v>
      </c>
      <c r="V15" s="59">
        <f t="shared" si="4"/>
        <v>0</v>
      </c>
      <c r="W15" s="25" t="s">
        <v>105</v>
      </c>
      <c r="X15" s="56"/>
      <c r="Y15" s="54"/>
      <c r="Z15" s="57" t="s">
        <v>77</v>
      </c>
      <c r="AA15" s="25" t="s">
        <v>81</v>
      </c>
      <c r="AB15" s="25" t="s">
        <v>103</v>
      </c>
      <c r="AC15" s="25" t="s">
        <v>145</v>
      </c>
      <c r="AD15" s="59">
        <f t="shared" si="4"/>
        <v>0</v>
      </c>
      <c r="AE15" s="25" t="s">
        <v>105</v>
      </c>
      <c r="AF15" s="56"/>
      <c r="AG15" s="54"/>
      <c r="AH15" s="57" t="s">
        <v>77</v>
      </c>
      <c r="AI15" s="25" t="s">
        <v>81</v>
      </c>
      <c r="AJ15" s="25" t="s">
        <v>78</v>
      </c>
      <c r="AK15" s="25" t="s">
        <v>146</v>
      </c>
      <c r="AL15" s="59">
        <f t="shared" si="3"/>
        <v>0</v>
      </c>
      <c r="AM15" s="25" t="s">
        <v>107</v>
      </c>
      <c r="AN15" s="56"/>
      <c r="AO15" s="123"/>
      <c r="AP15" s="2"/>
    </row>
    <row r="16" spans="1:42" ht="90" customHeight="1" x14ac:dyDescent="0.2">
      <c r="A16" s="124"/>
      <c r="B16" s="131" t="s">
        <v>57</v>
      </c>
      <c r="C16" s="25" t="s">
        <v>58</v>
      </c>
      <c r="D16" s="25" t="s">
        <v>82</v>
      </c>
      <c r="E16" s="60">
        <v>0.85</v>
      </c>
      <c r="F16" s="59">
        <f t="shared" ref="F16:N16" si="5">$C$44*0.85</f>
        <v>0</v>
      </c>
      <c r="G16" s="25" t="s">
        <v>108</v>
      </c>
      <c r="H16" s="56"/>
      <c r="I16" s="54"/>
      <c r="J16" s="57" t="s">
        <v>57</v>
      </c>
      <c r="K16" s="25" t="s">
        <v>58</v>
      </c>
      <c r="L16" s="25" t="s">
        <v>109</v>
      </c>
      <c r="M16" s="60">
        <v>0.85</v>
      </c>
      <c r="N16" s="59">
        <f t="shared" si="5"/>
        <v>0</v>
      </c>
      <c r="O16" s="25" t="s">
        <v>108</v>
      </c>
      <c r="P16" s="56"/>
      <c r="Q16" s="54"/>
      <c r="R16" s="57" t="s">
        <v>57</v>
      </c>
      <c r="S16" s="25" t="s">
        <v>58</v>
      </c>
      <c r="T16" s="25" t="s">
        <v>82</v>
      </c>
      <c r="U16" s="60">
        <v>0.9</v>
      </c>
      <c r="V16" s="59">
        <f t="shared" ref="V16:AD16" si="6">$C$44*0.9</f>
        <v>0</v>
      </c>
      <c r="W16" s="25" t="s">
        <v>108</v>
      </c>
      <c r="X16" s="56"/>
      <c r="Y16" s="54"/>
      <c r="Z16" s="57" t="s">
        <v>57</v>
      </c>
      <c r="AA16" s="25" t="s">
        <v>58</v>
      </c>
      <c r="AB16" s="25" t="s">
        <v>109</v>
      </c>
      <c r="AC16" s="60">
        <v>0.9</v>
      </c>
      <c r="AD16" s="59">
        <f t="shared" si="6"/>
        <v>0</v>
      </c>
      <c r="AE16" s="25" t="s">
        <v>108</v>
      </c>
      <c r="AF16" s="56"/>
      <c r="AG16" s="54"/>
      <c r="AH16" s="57" t="s">
        <v>57</v>
      </c>
      <c r="AI16" s="25" t="s">
        <v>58</v>
      </c>
      <c r="AJ16" s="25" t="s">
        <v>112</v>
      </c>
      <c r="AK16" s="60">
        <v>0.6</v>
      </c>
      <c r="AL16" s="59">
        <f t="shared" si="1"/>
        <v>0</v>
      </c>
      <c r="AM16" s="25" t="s">
        <v>108</v>
      </c>
      <c r="AN16" s="56"/>
      <c r="AO16" s="123"/>
      <c r="AP16" s="2"/>
    </row>
    <row r="17" spans="1:42" ht="15.75" customHeight="1" x14ac:dyDescent="0.2">
      <c r="A17" s="124"/>
      <c r="B17" s="131" t="s">
        <v>60</v>
      </c>
      <c r="C17" s="25" t="s">
        <v>113</v>
      </c>
      <c r="D17" s="25" t="s">
        <v>103</v>
      </c>
      <c r="E17" s="60">
        <v>0.5</v>
      </c>
      <c r="F17" s="59">
        <f t="shared" ref="F17:AL17" si="7">$C$44*0.5</f>
        <v>0</v>
      </c>
      <c r="G17" s="25" t="s">
        <v>94</v>
      </c>
      <c r="H17" s="56"/>
      <c r="I17" s="54"/>
      <c r="J17" s="57" t="s">
        <v>60</v>
      </c>
      <c r="K17" s="25" t="s">
        <v>113</v>
      </c>
      <c r="L17" s="25" t="s">
        <v>103</v>
      </c>
      <c r="M17" s="60">
        <v>0.5</v>
      </c>
      <c r="N17" s="59">
        <f t="shared" si="7"/>
        <v>0</v>
      </c>
      <c r="O17" s="25" t="s">
        <v>94</v>
      </c>
      <c r="P17" s="56"/>
      <c r="Q17" s="54"/>
      <c r="R17" s="57" t="s">
        <v>60</v>
      </c>
      <c r="S17" s="25" t="s">
        <v>113</v>
      </c>
      <c r="T17" s="25" t="s">
        <v>103</v>
      </c>
      <c r="U17" s="60">
        <v>0.5</v>
      </c>
      <c r="V17" s="59">
        <f t="shared" si="7"/>
        <v>0</v>
      </c>
      <c r="W17" s="25" t="s">
        <v>94</v>
      </c>
      <c r="X17" s="56"/>
      <c r="Y17" s="54"/>
      <c r="Z17" s="57" t="s">
        <v>60</v>
      </c>
      <c r="AA17" s="25" t="s">
        <v>113</v>
      </c>
      <c r="AB17" s="25" t="s">
        <v>103</v>
      </c>
      <c r="AC17" s="60">
        <v>0.5</v>
      </c>
      <c r="AD17" s="59">
        <f t="shared" si="7"/>
        <v>0</v>
      </c>
      <c r="AE17" s="25" t="s">
        <v>94</v>
      </c>
      <c r="AF17" s="56"/>
      <c r="AG17" s="54"/>
      <c r="AH17" s="57" t="s">
        <v>60</v>
      </c>
      <c r="AI17" s="25" t="s">
        <v>113</v>
      </c>
      <c r="AJ17" s="25" t="s">
        <v>78</v>
      </c>
      <c r="AK17" s="60">
        <v>0.5</v>
      </c>
      <c r="AL17" s="59">
        <f t="shared" si="7"/>
        <v>0</v>
      </c>
      <c r="AM17" s="25" t="s">
        <v>94</v>
      </c>
      <c r="AN17" s="56"/>
      <c r="AO17" s="123"/>
      <c r="AP17" s="2"/>
    </row>
    <row r="18" spans="1:42" ht="15.75" customHeight="1" x14ac:dyDescent="0.2">
      <c r="A18" s="124"/>
      <c r="B18" s="132"/>
      <c r="C18" s="25" t="s">
        <v>63</v>
      </c>
      <c r="D18" s="25" t="s">
        <v>98</v>
      </c>
      <c r="E18" s="76"/>
      <c r="F18" s="76"/>
      <c r="G18" s="58"/>
      <c r="H18" s="56"/>
      <c r="I18" s="54"/>
      <c r="J18" s="68"/>
      <c r="K18" s="25" t="s">
        <v>63</v>
      </c>
      <c r="L18" s="25" t="s">
        <v>97</v>
      </c>
      <c r="M18" s="76"/>
      <c r="N18" s="76"/>
      <c r="O18" s="58"/>
      <c r="P18" s="56"/>
      <c r="Q18" s="54"/>
      <c r="R18" s="68"/>
      <c r="S18" s="25" t="s">
        <v>63</v>
      </c>
      <c r="T18" s="25" t="s">
        <v>98</v>
      </c>
      <c r="U18" s="76"/>
      <c r="V18" s="76"/>
      <c r="W18" s="58"/>
      <c r="X18" s="56"/>
      <c r="Y18" s="54"/>
      <c r="Z18" s="68"/>
      <c r="AA18" s="25" t="s">
        <v>63</v>
      </c>
      <c r="AB18" s="57" t="s">
        <v>97</v>
      </c>
      <c r="AC18" s="76"/>
      <c r="AD18" s="76"/>
      <c r="AE18" s="58"/>
      <c r="AF18" s="56"/>
      <c r="AG18" s="54"/>
      <c r="AH18" s="68"/>
      <c r="AI18" s="25" t="s">
        <v>63</v>
      </c>
      <c r="AJ18" s="25" t="s">
        <v>114</v>
      </c>
      <c r="AK18" s="76"/>
      <c r="AL18" s="76"/>
      <c r="AM18" s="58"/>
      <c r="AN18" s="56"/>
      <c r="AO18" s="123"/>
      <c r="AP18" s="2"/>
    </row>
    <row r="19" spans="1:42" ht="16.5" customHeight="1" x14ac:dyDescent="0.2">
      <c r="A19" s="124"/>
      <c r="B19" s="138"/>
      <c r="C19" s="86"/>
      <c r="D19" s="87"/>
      <c r="E19" s="87"/>
      <c r="F19" s="87"/>
      <c r="G19" s="86"/>
      <c r="H19" s="67"/>
      <c r="I19" s="62"/>
      <c r="J19" s="85"/>
      <c r="K19" s="86"/>
      <c r="L19" s="87"/>
      <c r="M19" s="87"/>
      <c r="N19" s="87"/>
      <c r="O19" s="86"/>
      <c r="P19" s="67"/>
      <c r="Q19" s="62"/>
      <c r="R19" s="85"/>
      <c r="S19" s="86"/>
      <c r="T19" s="87"/>
      <c r="U19" s="87"/>
      <c r="V19" s="87"/>
      <c r="W19" s="86"/>
      <c r="X19" s="67"/>
      <c r="Y19" s="62"/>
      <c r="Z19" s="85"/>
      <c r="AA19" s="86"/>
      <c r="AB19" s="87"/>
      <c r="AC19" s="87"/>
      <c r="AD19" s="87"/>
      <c r="AE19" s="86"/>
      <c r="AF19" s="67"/>
      <c r="AG19" s="62"/>
      <c r="AH19" s="78"/>
      <c r="AI19" s="78"/>
      <c r="AJ19" s="78"/>
      <c r="AK19" s="78"/>
      <c r="AL19" s="78"/>
      <c r="AM19" s="78"/>
      <c r="AN19" s="67"/>
      <c r="AO19" s="123"/>
      <c r="AP19" s="2"/>
    </row>
    <row r="20" spans="1:42" ht="20.25" customHeight="1" x14ac:dyDescent="0.2">
      <c r="A20" s="124"/>
      <c r="B20" s="255" t="s">
        <v>115</v>
      </c>
      <c r="C20" s="256"/>
      <c r="D20" s="256"/>
      <c r="E20" s="256"/>
      <c r="F20" s="256"/>
      <c r="G20" s="257"/>
      <c r="H20" s="53"/>
      <c r="I20" s="53"/>
      <c r="J20" s="255" t="s">
        <v>115</v>
      </c>
      <c r="K20" s="256"/>
      <c r="L20" s="256"/>
      <c r="M20" s="256"/>
      <c r="N20" s="256"/>
      <c r="O20" s="257"/>
      <c r="P20" s="53"/>
      <c r="Q20" s="53"/>
      <c r="R20" s="255" t="s">
        <v>115</v>
      </c>
      <c r="S20" s="256"/>
      <c r="T20" s="256"/>
      <c r="U20" s="256"/>
      <c r="V20" s="256"/>
      <c r="W20" s="257"/>
      <c r="X20" s="53"/>
      <c r="Y20" s="53"/>
      <c r="Z20" s="255" t="s">
        <v>115</v>
      </c>
      <c r="AA20" s="256"/>
      <c r="AB20" s="256"/>
      <c r="AC20" s="256"/>
      <c r="AD20" s="256"/>
      <c r="AE20" s="257"/>
      <c r="AF20" s="53"/>
      <c r="AG20" s="53"/>
      <c r="AH20" s="265" t="s">
        <v>116</v>
      </c>
      <c r="AI20" s="266"/>
      <c r="AJ20" s="266"/>
      <c r="AK20" s="266"/>
      <c r="AL20" s="266"/>
      <c r="AM20" s="267"/>
      <c r="AN20" s="53"/>
      <c r="AO20" s="123"/>
      <c r="AP20" s="2"/>
    </row>
    <row r="21" spans="1:42" ht="36" customHeight="1" x14ac:dyDescent="0.2">
      <c r="A21" s="124"/>
      <c r="B21" s="126"/>
      <c r="C21" s="20" t="s">
        <v>51</v>
      </c>
      <c r="D21" s="20" t="s">
        <v>52</v>
      </c>
      <c r="E21" s="20" t="s">
        <v>73</v>
      </c>
      <c r="F21" s="20" t="s">
        <v>74</v>
      </c>
      <c r="G21" s="20" t="s">
        <v>102</v>
      </c>
      <c r="H21" s="56"/>
      <c r="I21" s="54"/>
      <c r="J21" s="55"/>
      <c r="K21" s="20" t="s">
        <v>51</v>
      </c>
      <c r="L21" s="20" t="s">
        <v>52</v>
      </c>
      <c r="M21" s="20" t="s">
        <v>73</v>
      </c>
      <c r="N21" s="20" t="s">
        <v>74</v>
      </c>
      <c r="O21" s="20" t="s">
        <v>102</v>
      </c>
      <c r="P21" s="56"/>
      <c r="Q21" s="54"/>
      <c r="R21" s="55"/>
      <c r="S21" s="20" t="s">
        <v>51</v>
      </c>
      <c r="T21" s="20" t="s">
        <v>52</v>
      </c>
      <c r="U21" s="20" t="s">
        <v>73</v>
      </c>
      <c r="V21" s="20" t="s">
        <v>74</v>
      </c>
      <c r="W21" s="20" t="s">
        <v>102</v>
      </c>
      <c r="X21" s="56"/>
      <c r="Y21" s="54"/>
      <c r="Z21" s="55"/>
      <c r="AA21" s="20" t="s">
        <v>51</v>
      </c>
      <c r="AB21" s="20" t="s">
        <v>52</v>
      </c>
      <c r="AC21" s="20" t="s">
        <v>73</v>
      </c>
      <c r="AD21" s="20" t="s">
        <v>74</v>
      </c>
      <c r="AE21" s="20" t="s">
        <v>102</v>
      </c>
      <c r="AF21" s="56"/>
      <c r="AG21" s="54"/>
      <c r="AH21" s="88"/>
      <c r="AI21" s="89" t="s">
        <v>51</v>
      </c>
      <c r="AJ21" s="89" t="s">
        <v>52</v>
      </c>
      <c r="AK21" s="88"/>
      <c r="AL21" s="88"/>
      <c r="AM21" s="89" t="s">
        <v>117</v>
      </c>
      <c r="AN21" s="56"/>
      <c r="AO21" s="123"/>
      <c r="AP21" s="2"/>
    </row>
    <row r="22" spans="1:42" ht="45" customHeight="1" x14ac:dyDescent="0.2">
      <c r="A22" s="124"/>
      <c r="B22" s="131" t="s">
        <v>77</v>
      </c>
      <c r="C22" s="25" t="s">
        <v>81</v>
      </c>
      <c r="D22" s="25" t="s">
        <v>103</v>
      </c>
      <c r="E22" s="25" t="s">
        <v>83</v>
      </c>
      <c r="F22" s="59">
        <f>$C$44*0.6</f>
        <v>0</v>
      </c>
      <c r="G22" s="25" t="s">
        <v>119</v>
      </c>
      <c r="H22" s="56"/>
      <c r="I22" s="54"/>
      <c r="J22" s="57" t="s">
        <v>77</v>
      </c>
      <c r="K22" s="25" t="s">
        <v>81</v>
      </c>
      <c r="L22" s="25" t="s">
        <v>103</v>
      </c>
      <c r="M22" s="25" t="s">
        <v>83</v>
      </c>
      <c r="N22" s="59">
        <f>$C$44*0.6</f>
        <v>0</v>
      </c>
      <c r="O22" s="25" t="s">
        <v>119</v>
      </c>
      <c r="P22" s="56"/>
      <c r="Q22" s="54"/>
      <c r="R22" s="57" t="s">
        <v>77</v>
      </c>
      <c r="S22" s="25" t="s">
        <v>81</v>
      </c>
      <c r="T22" s="25" t="s">
        <v>103</v>
      </c>
      <c r="U22" s="25" t="s">
        <v>83</v>
      </c>
      <c r="V22" s="59">
        <f>$C$44*0.6</f>
        <v>0</v>
      </c>
      <c r="W22" s="25" t="s">
        <v>119</v>
      </c>
      <c r="X22" s="56"/>
      <c r="Y22" s="54"/>
      <c r="Z22" s="57" t="s">
        <v>77</v>
      </c>
      <c r="AA22" s="25" t="s">
        <v>81</v>
      </c>
      <c r="AB22" s="57" t="s">
        <v>103</v>
      </c>
      <c r="AC22" s="25" t="s">
        <v>83</v>
      </c>
      <c r="AD22" s="59">
        <f>$C$44*0.6</f>
        <v>0</v>
      </c>
      <c r="AE22" s="25" t="s">
        <v>119</v>
      </c>
      <c r="AF22" s="56"/>
      <c r="AG22" s="54"/>
      <c r="AH22" s="90" t="s">
        <v>77</v>
      </c>
      <c r="AI22" s="91" t="s">
        <v>81</v>
      </c>
      <c r="AJ22" s="91" t="s">
        <v>120</v>
      </c>
      <c r="AK22" s="92"/>
      <c r="AL22" s="92"/>
      <c r="AM22" s="91" t="s">
        <v>121</v>
      </c>
      <c r="AN22" s="56"/>
      <c r="AO22" s="123"/>
      <c r="AP22" s="2"/>
    </row>
    <row r="23" spans="1:42" ht="75" customHeight="1" x14ac:dyDescent="0.2">
      <c r="A23" s="124"/>
      <c r="B23" s="131" t="s">
        <v>57</v>
      </c>
      <c r="C23" s="25" t="s">
        <v>58</v>
      </c>
      <c r="D23" s="25" t="s">
        <v>122</v>
      </c>
      <c r="E23" s="25" t="s">
        <v>145</v>
      </c>
      <c r="F23" s="59">
        <f t="shared" si="4"/>
        <v>0</v>
      </c>
      <c r="G23" s="25" t="s">
        <v>123</v>
      </c>
      <c r="H23" s="56"/>
      <c r="I23" s="54"/>
      <c r="J23" s="57" t="s">
        <v>57</v>
      </c>
      <c r="K23" s="25" t="s">
        <v>58</v>
      </c>
      <c r="L23" s="25" t="s">
        <v>124</v>
      </c>
      <c r="M23" s="25" t="s">
        <v>145</v>
      </c>
      <c r="N23" s="59">
        <f t="shared" si="4"/>
        <v>0</v>
      </c>
      <c r="O23" s="25" t="s">
        <v>123</v>
      </c>
      <c r="P23" s="56"/>
      <c r="Q23" s="54"/>
      <c r="R23" s="57" t="s">
        <v>57</v>
      </c>
      <c r="S23" s="25" t="s">
        <v>58</v>
      </c>
      <c r="T23" s="25" t="s">
        <v>125</v>
      </c>
      <c r="U23" s="25" t="s">
        <v>145</v>
      </c>
      <c r="V23" s="59">
        <f t="shared" si="4"/>
        <v>0</v>
      </c>
      <c r="W23" s="25" t="s">
        <v>123</v>
      </c>
      <c r="X23" s="56"/>
      <c r="Y23" s="54"/>
      <c r="Z23" s="57" t="s">
        <v>57</v>
      </c>
      <c r="AA23" s="25" t="s">
        <v>58</v>
      </c>
      <c r="AB23" s="57" t="s">
        <v>126</v>
      </c>
      <c r="AC23" s="25" t="s">
        <v>145</v>
      </c>
      <c r="AD23" s="59">
        <f t="shared" si="4"/>
        <v>0</v>
      </c>
      <c r="AE23" s="25" t="s">
        <v>123</v>
      </c>
      <c r="AF23" s="56"/>
      <c r="AG23" s="54"/>
      <c r="AH23" s="90" t="s">
        <v>57</v>
      </c>
      <c r="AI23" s="91" t="s">
        <v>58</v>
      </c>
      <c r="AJ23" s="91" t="s">
        <v>120</v>
      </c>
      <c r="AK23" s="92"/>
      <c r="AL23" s="92"/>
      <c r="AM23" s="91" t="s">
        <v>59</v>
      </c>
      <c r="AN23" s="56"/>
      <c r="AO23" s="123"/>
      <c r="AP23" s="2"/>
    </row>
    <row r="24" spans="1:42" ht="30" customHeight="1" x14ac:dyDescent="0.2">
      <c r="A24" s="133"/>
      <c r="B24" s="131" t="s">
        <v>60</v>
      </c>
      <c r="C24" s="25" t="s">
        <v>113</v>
      </c>
      <c r="D24" s="25" t="s">
        <v>103</v>
      </c>
      <c r="E24" s="60">
        <v>0.5</v>
      </c>
      <c r="F24" s="59">
        <f t="shared" ref="F24:AL31" si="8">$C$44*0.5</f>
        <v>0</v>
      </c>
      <c r="G24" s="25" t="s">
        <v>94</v>
      </c>
      <c r="H24" s="94"/>
      <c r="I24" s="93"/>
      <c r="J24" s="57" t="s">
        <v>60</v>
      </c>
      <c r="K24" s="25" t="s">
        <v>113</v>
      </c>
      <c r="L24" s="25" t="s">
        <v>103</v>
      </c>
      <c r="M24" s="60">
        <v>0.5</v>
      </c>
      <c r="N24" s="59">
        <f t="shared" si="8"/>
        <v>0</v>
      </c>
      <c r="O24" s="25" t="s">
        <v>94</v>
      </c>
      <c r="P24" s="94"/>
      <c r="Q24" s="93"/>
      <c r="R24" s="57" t="s">
        <v>60</v>
      </c>
      <c r="S24" s="25" t="s">
        <v>113</v>
      </c>
      <c r="T24" s="25" t="s">
        <v>103</v>
      </c>
      <c r="U24" s="60">
        <v>0.5</v>
      </c>
      <c r="V24" s="59">
        <f t="shared" si="8"/>
        <v>0</v>
      </c>
      <c r="W24" s="25" t="s">
        <v>94</v>
      </c>
      <c r="X24" s="94"/>
      <c r="Y24" s="93"/>
      <c r="Z24" s="57" t="s">
        <v>60</v>
      </c>
      <c r="AA24" s="25" t="s">
        <v>113</v>
      </c>
      <c r="AB24" s="57" t="s">
        <v>103</v>
      </c>
      <c r="AC24" s="60">
        <v>0.5</v>
      </c>
      <c r="AD24" s="59">
        <f t="shared" si="8"/>
        <v>0</v>
      </c>
      <c r="AE24" s="25" t="s">
        <v>94</v>
      </c>
      <c r="AF24" s="94"/>
      <c r="AG24" s="93"/>
      <c r="AH24" s="90" t="s">
        <v>60</v>
      </c>
      <c r="AI24" s="91" t="s">
        <v>113</v>
      </c>
      <c r="AJ24" s="91" t="s">
        <v>103</v>
      </c>
      <c r="AK24" s="92"/>
      <c r="AL24" s="92"/>
      <c r="AM24" s="91" t="s">
        <v>62</v>
      </c>
      <c r="AN24" s="94"/>
      <c r="AO24" s="123"/>
      <c r="AP24" s="2"/>
    </row>
    <row r="25" spans="1:42" ht="18" customHeight="1" x14ac:dyDescent="0.2">
      <c r="A25" s="139"/>
      <c r="B25" s="132"/>
      <c r="C25" s="25" t="s">
        <v>63</v>
      </c>
      <c r="D25" s="25" t="s">
        <v>127</v>
      </c>
      <c r="E25" s="76"/>
      <c r="F25" s="76"/>
      <c r="G25" s="58"/>
      <c r="H25" s="84"/>
      <c r="I25" s="83"/>
      <c r="J25" s="68"/>
      <c r="K25" s="25" t="s">
        <v>63</v>
      </c>
      <c r="L25" s="25" t="s">
        <v>128</v>
      </c>
      <c r="M25" s="76"/>
      <c r="N25" s="76"/>
      <c r="O25" s="58"/>
      <c r="P25" s="84"/>
      <c r="Q25" s="83"/>
      <c r="R25" s="68"/>
      <c r="S25" s="25" t="s">
        <v>63</v>
      </c>
      <c r="T25" s="25" t="s">
        <v>129</v>
      </c>
      <c r="U25" s="76"/>
      <c r="V25" s="76"/>
      <c r="W25" s="58"/>
      <c r="X25" s="84"/>
      <c r="Y25" s="83"/>
      <c r="Z25" s="68"/>
      <c r="AA25" s="25" t="s">
        <v>63</v>
      </c>
      <c r="AB25" s="57" t="s">
        <v>130</v>
      </c>
      <c r="AC25" s="76"/>
      <c r="AD25" s="76"/>
      <c r="AE25" s="58"/>
      <c r="AF25" s="84"/>
      <c r="AG25" s="83"/>
      <c r="AH25" s="95"/>
      <c r="AI25" s="91" t="s">
        <v>63</v>
      </c>
      <c r="AJ25" s="91" t="s">
        <v>98</v>
      </c>
      <c r="AK25" s="92"/>
      <c r="AL25" s="29"/>
      <c r="AM25" s="96" t="s">
        <v>64</v>
      </c>
      <c r="AN25" s="84"/>
      <c r="AO25" s="123"/>
      <c r="AP25" s="2"/>
    </row>
    <row r="26" spans="1:42" ht="15.75" customHeight="1" x14ac:dyDescent="0.2">
      <c r="A26" s="124"/>
      <c r="B26" s="134"/>
      <c r="C26" s="78"/>
      <c r="D26" s="78"/>
      <c r="E26" s="78"/>
      <c r="F26" s="78"/>
      <c r="G26" s="78"/>
      <c r="H26" s="67"/>
      <c r="I26" s="62"/>
      <c r="J26" s="78"/>
      <c r="K26" s="78"/>
      <c r="L26" s="78"/>
      <c r="M26" s="78"/>
      <c r="N26" s="78"/>
      <c r="O26" s="78"/>
      <c r="P26" s="67"/>
      <c r="Q26" s="62"/>
      <c r="R26" s="78"/>
      <c r="S26" s="78"/>
      <c r="T26" s="78"/>
      <c r="U26" s="78"/>
      <c r="V26" s="78"/>
      <c r="W26" s="78"/>
      <c r="X26" s="67"/>
      <c r="Y26" s="62"/>
      <c r="Z26" s="78"/>
      <c r="AA26" s="78"/>
      <c r="AB26" s="78"/>
      <c r="AC26" s="78"/>
      <c r="AD26" s="78"/>
      <c r="AE26" s="78"/>
      <c r="AF26" s="67"/>
      <c r="AG26" s="62"/>
      <c r="AH26" s="78"/>
      <c r="AI26" s="78"/>
      <c r="AJ26" s="78"/>
      <c r="AK26" s="78"/>
      <c r="AL26" s="78" t="s">
        <v>243</v>
      </c>
      <c r="AM26" s="78"/>
      <c r="AN26" s="67"/>
      <c r="AO26" s="123"/>
      <c r="AP26" s="2"/>
    </row>
    <row r="27" spans="1:42" ht="20.25" customHeight="1" x14ac:dyDescent="0.2">
      <c r="A27" s="133"/>
      <c r="B27" s="255" t="s">
        <v>131</v>
      </c>
      <c r="C27" s="256"/>
      <c r="D27" s="256"/>
      <c r="E27" s="256"/>
      <c r="F27" s="256"/>
      <c r="G27" s="257"/>
      <c r="H27" s="98"/>
      <c r="I27" s="97"/>
      <c r="J27" s="255" t="s">
        <v>131</v>
      </c>
      <c r="K27" s="256"/>
      <c r="L27" s="256"/>
      <c r="M27" s="256"/>
      <c r="N27" s="256"/>
      <c r="O27" s="257"/>
      <c r="P27" s="98"/>
      <c r="Q27" s="97"/>
      <c r="R27" s="255" t="s">
        <v>131</v>
      </c>
      <c r="S27" s="256"/>
      <c r="T27" s="256"/>
      <c r="U27" s="256"/>
      <c r="V27" s="256"/>
      <c r="W27" s="257"/>
      <c r="X27" s="98"/>
      <c r="Y27" s="97"/>
      <c r="Z27" s="255" t="s">
        <v>131</v>
      </c>
      <c r="AA27" s="256"/>
      <c r="AB27" s="256"/>
      <c r="AC27" s="256"/>
      <c r="AD27" s="256"/>
      <c r="AE27" s="257"/>
      <c r="AF27" s="98"/>
      <c r="AG27" s="97"/>
      <c r="AH27" s="255" t="s">
        <v>115</v>
      </c>
      <c r="AI27" s="256"/>
      <c r="AJ27" s="256"/>
      <c r="AK27" s="256"/>
      <c r="AL27" s="256"/>
      <c r="AM27" s="257"/>
      <c r="AN27" s="98"/>
      <c r="AO27" s="123"/>
      <c r="AP27" s="2"/>
    </row>
    <row r="28" spans="1:42" ht="36" customHeight="1" x14ac:dyDescent="0.2">
      <c r="A28" s="125"/>
      <c r="B28" s="126"/>
      <c r="C28" s="20" t="s">
        <v>51</v>
      </c>
      <c r="D28" s="20" t="s">
        <v>52</v>
      </c>
      <c r="E28" s="20" t="s">
        <v>73</v>
      </c>
      <c r="F28" s="20" t="s">
        <v>74</v>
      </c>
      <c r="G28" s="20" t="s">
        <v>101</v>
      </c>
      <c r="H28" s="127"/>
      <c r="I28" s="128"/>
      <c r="J28" s="55"/>
      <c r="K28" s="20" t="s">
        <v>51</v>
      </c>
      <c r="L28" s="20" t="s">
        <v>52</v>
      </c>
      <c r="M28" s="20" t="s">
        <v>73</v>
      </c>
      <c r="N28" s="20" t="s">
        <v>74</v>
      </c>
      <c r="O28" s="20" t="s">
        <v>101</v>
      </c>
      <c r="P28" s="127"/>
      <c r="Q28" s="128"/>
      <c r="R28" s="55"/>
      <c r="S28" s="20" t="s">
        <v>51</v>
      </c>
      <c r="T28" s="20" t="s">
        <v>52</v>
      </c>
      <c r="U28" s="20" t="s">
        <v>73</v>
      </c>
      <c r="V28" s="20" t="s">
        <v>74</v>
      </c>
      <c r="W28" s="20" t="s">
        <v>101</v>
      </c>
      <c r="X28" s="127"/>
      <c r="Y28" s="128"/>
      <c r="Z28" s="55"/>
      <c r="AA28" s="20" t="s">
        <v>51</v>
      </c>
      <c r="AB28" s="20" t="s">
        <v>52</v>
      </c>
      <c r="AC28" s="20" t="s">
        <v>73</v>
      </c>
      <c r="AD28" s="20" t="s">
        <v>74</v>
      </c>
      <c r="AE28" s="20" t="s">
        <v>101</v>
      </c>
      <c r="AF28" s="127"/>
      <c r="AG28" s="128"/>
      <c r="AH28" s="55"/>
      <c r="AI28" s="20" t="s">
        <v>51</v>
      </c>
      <c r="AJ28" s="20" t="s">
        <v>52</v>
      </c>
      <c r="AK28" s="20" t="s">
        <v>73</v>
      </c>
      <c r="AL28" s="20" t="s">
        <v>74</v>
      </c>
      <c r="AM28" s="20" t="s">
        <v>102</v>
      </c>
      <c r="AN28" s="127"/>
      <c r="AO28" s="129"/>
      <c r="AP28" s="130"/>
    </row>
    <row r="29" spans="1:42" ht="30" customHeight="1" x14ac:dyDescent="0.2">
      <c r="A29" s="125"/>
      <c r="B29" s="131" t="s">
        <v>77</v>
      </c>
      <c r="C29" s="25" t="s">
        <v>81</v>
      </c>
      <c r="D29" s="25" t="s">
        <v>103</v>
      </c>
      <c r="E29" s="25" t="s">
        <v>79</v>
      </c>
      <c r="F29" s="59">
        <f t="shared" ref="F29:AL30" si="9">$C$44*0.7</f>
        <v>0</v>
      </c>
      <c r="G29" s="25" t="s">
        <v>132</v>
      </c>
      <c r="H29" s="127"/>
      <c r="I29" s="128"/>
      <c r="J29" s="57" t="s">
        <v>77</v>
      </c>
      <c r="K29" s="25" t="s">
        <v>81</v>
      </c>
      <c r="L29" s="25" t="s">
        <v>103</v>
      </c>
      <c r="M29" s="25" t="s">
        <v>79</v>
      </c>
      <c r="N29" s="59">
        <f t="shared" si="9"/>
        <v>0</v>
      </c>
      <c r="O29" s="25" t="s">
        <v>132</v>
      </c>
      <c r="P29" s="127"/>
      <c r="Q29" s="128"/>
      <c r="R29" s="57" t="s">
        <v>77</v>
      </c>
      <c r="S29" s="25" t="s">
        <v>81</v>
      </c>
      <c r="T29" s="25" t="s">
        <v>103</v>
      </c>
      <c r="U29" s="25" t="s">
        <v>79</v>
      </c>
      <c r="V29" s="59">
        <f t="shared" si="9"/>
        <v>0</v>
      </c>
      <c r="W29" s="25" t="s">
        <v>132</v>
      </c>
      <c r="X29" s="127"/>
      <c r="Y29" s="128"/>
      <c r="Z29" s="57" t="s">
        <v>77</v>
      </c>
      <c r="AA29" s="25" t="s">
        <v>81</v>
      </c>
      <c r="AB29" s="25" t="s">
        <v>103</v>
      </c>
      <c r="AC29" s="25" t="s">
        <v>79</v>
      </c>
      <c r="AD29" s="59">
        <f t="shared" si="9"/>
        <v>0</v>
      </c>
      <c r="AE29" s="25" t="s">
        <v>132</v>
      </c>
      <c r="AF29" s="127"/>
      <c r="AG29" s="128"/>
      <c r="AH29" s="57" t="s">
        <v>77</v>
      </c>
      <c r="AI29" s="25" t="s">
        <v>81</v>
      </c>
      <c r="AJ29" s="25" t="s">
        <v>103</v>
      </c>
      <c r="AK29" s="25" t="s">
        <v>83</v>
      </c>
      <c r="AL29" s="59">
        <f t="shared" si="1"/>
        <v>0</v>
      </c>
      <c r="AM29" s="25" t="s">
        <v>119</v>
      </c>
      <c r="AN29" s="127"/>
      <c r="AO29" s="129"/>
      <c r="AP29" s="130"/>
    </row>
    <row r="30" spans="1:42" ht="79.5" customHeight="1" x14ac:dyDescent="0.2">
      <c r="A30" s="124"/>
      <c r="B30" s="131" t="s">
        <v>57</v>
      </c>
      <c r="C30" s="25" t="s">
        <v>58</v>
      </c>
      <c r="D30" s="25" t="s">
        <v>133</v>
      </c>
      <c r="E30" s="60">
        <v>0.8</v>
      </c>
      <c r="F30" s="59">
        <f t="shared" ref="F30:AD30" si="10">$C$44*0.8</f>
        <v>0</v>
      </c>
      <c r="G30" s="25" t="s">
        <v>108</v>
      </c>
      <c r="H30" s="56"/>
      <c r="I30" s="54"/>
      <c r="J30" s="57" t="s">
        <v>57</v>
      </c>
      <c r="K30" s="25" t="s">
        <v>58</v>
      </c>
      <c r="L30" s="25" t="s">
        <v>147</v>
      </c>
      <c r="M30" s="60">
        <v>0.8</v>
      </c>
      <c r="N30" s="59">
        <f t="shared" si="10"/>
        <v>0</v>
      </c>
      <c r="O30" s="25" t="s">
        <v>108</v>
      </c>
      <c r="P30" s="56"/>
      <c r="Q30" s="54"/>
      <c r="R30" s="57" t="s">
        <v>57</v>
      </c>
      <c r="S30" s="25" t="s">
        <v>58</v>
      </c>
      <c r="T30" s="25" t="s">
        <v>148</v>
      </c>
      <c r="U30" s="60">
        <v>0.8</v>
      </c>
      <c r="V30" s="59">
        <f t="shared" si="10"/>
        <v>0</v>
      </c>
      <c r="W30" s="25" t="s">
        <v>108</v>
      </c>
      <c r="X30" s="56"/>
      <c r="Y30" s="54"/>
      <c r="Z30" s="57" t="s">
        <v>57</v>
      </c>
      <c r="AA30" s="25" t="s">
        <v>58</v>
      </c>
      <c r="AB30" s="25" t="s">
        <v>149</v>
      </c>
      <c r="AC30" s="60">
        <v>0.8</v>
      </c>
      <c r="AD30" s="59">
        <f t="shared" si="10"/>
        <v>0</v>
      </c>
      <c r="AE30" s="25" t="s">
        <v>108</v>
      </c>
      <c r="AF30" s="56"/>
      <c r="AG30" s="54"/>
      <c r="AH30" s="57" t="s">
        <v>57</v>
      </c>
      <c r="AI30" s="25" t="s">
        <v>58</v>
      </c>
      <c r="AJ30" s="25" t="s">
        <v>133</v>
      </c>
      <c r="AK30" s="25" t="s">
        <v>150</v>
      </c>
      <c r="AL30" s="59">
        <f t="shared" si="9"/>
        <v>0</v>
      </c>
      <c r="AM30" s="25" t="s">
        <v>134</v>
      </c>
      <c r="AN30" s="56"/>
      <c r="AO30" s="123"/>
      <c r="AP30" s="2"/>
    </row>
    <row r="31" spans="1:42" ht="18" customHeight="1" x14ac:dyDescent="0.2">
      <c r="A31" s="133"/>
      <c r="B31" s="131" t="s">
        <v>60</v>
      </c>
      <c r="C31" s="25" t="s">
        <v>113</v>
      </c>
      <c r="D31" s="25" t="s">
        <v>103</v>
      </c>
      <c r="E31" s="60">
        <v>0.5</v>
      </c>
      <c r="F31" s="59">
        <f t="shared" si="8"/>
        <v>0</v>
      </c>
      <c r="G31" s="25" t="s">
        <v>94</v>
      </c>
      <c r="H31" s="94"/>
      <c r="I31" s="93"/>
      <c r="J31" s="57" t="s">
        <v>60</v>
      </c>
      <c r="K31" s="25" t="s">
        <v>113</v>
      </c>
      <c r="L31" s="25" t="s">
        <v>103</v>
      </c>
      <c r="M31" s="60">
        <v>0.5</v>
      </c>
      <c r="N31" s="59">
        <f t="shared" si="8"/>
        <v>0</v>
      </c>
      <c r="O31" s="25" t="s">
        <v>94</v>
      </c>
      <c r="P31" s="94"/>
      <c r="Q31" s="93"/>
      <c r="R31" s="57" t="s">
        <v>60</v>
      </c>
      <c r="S31" s="25" t="s">
        <v>113</v>
      </c>
      <c r="T31" s="25" t="s">
        <v>103</v>
      </c>
      <c r="U31" s="60">
        <v>0.5</v>
      </c>
      <c r="V31" s="59">
        <f t="shared" si="8"/>
        <v>0</v>
      </c>
      <c r="W31" s="25" t="s">
        <v>94</v>
      </c>
      <c r="X31" s="94"/>
      <c r="Y31" s="93"/>
      <c r="Z31" s="57" t="s">
        <v>60</v>
      </c>
      <c r="AA31" s="25" t="s">
        <v>113</v>
      </c>
      <c r="AB31" s="25" t="s">
        <v>103</v>
      </c>
      <c r="AC31" s="60">
        <v>0.5</v>
      </c>
      <c r="AD31" s="59">
        <f t="shared" si="8"/>
        <v>0</v>
      </c>
      <c r="AE31" s="25" t="s">
        <v>94</v>
      </c>
      <c r="AF31" s="94"/>
      <c r="AG31" s="93"/>
      <c r="AH31" s="57" t="s">
        <v>60</v>
      </c>
      <c r="AI31" s="25" t="s">
        <v>113</v>
      </c>
      <c r="AJ31" s="25" t="s">
        <v>103</v>
      </c>
      <c r="AK31" s="60">
        <v>0.5</v>
      </c>
      <c r="AL31" s="59">
        <f t="shared" si="8"/>
        <v>0</v>
      </c>
      <c r="AM31" s="25" t="s">
        <v>94</v>
      </c>
      <c r="AN31" s="94"/>
      <c r="AO31" s="123"/>
      <c r="AP31" s="2"/>
    </row>
    <row r="32" spans="1:42" ht="18" customHeight="1" x14ac:dyDescent="0.2">
      <c r="A32" s="139"/>
      <c r="B32" s="132"/>
      <c r="C32" s="25" t="s">
        <v>63</v>
      </c>
      <c r="D32" s="25" t="s">
        <v>135</v>
      </c>
      <c r="E32" s="76"/>
      <c r="F32" s="76"/>
      <c r="G32" s="58"/>
      <c r="H32" s="84"/>
      <c r="I32" s="83"/>
      <c r="J32" s="68"/>
      <c r="K32" s="25" t="s">
        <v>63</v>
      </c>
      <c r="L32" s="25" t="s">
        <v>151</v>
      </c>
      <c r="M32" s="76"/>
      <c r="N32" s="76"/>
      <c r="O32" s="58"/>
      <c r="P32" s="84"/>
      <c r="Q32" s="83"/>
      <c r="R32" s="68"/>
      <c r="S32" s="25" t="s">
        <v>63</v>
      </c>
      <c r="T32" s="25" t="s">
        <v>152</v>
      </c>
      <c r="U32" s="76"/>
      <c r="V32" s="76"/>
      <c r="W32" s="58"/>
      <c r="X32" s="84"/>
      <c r="Y32" s="83"/>
      <c r="Z32" s="68"/>
      <c r="AA32" s="25" t="s">
        <v>63</v>
      </c>
      <c r="AB32" s="25" t="s">
        <v>153</v>
      </c>
      <c r="AC32" s="76"/>
      <c r="AD32" s="76"/>
      <c r="AE32" s="58"/>
      <c r="AF32" s="84"/>
      <c r="AG32" s="83"/>
      <c r="AH32" s="68"/>
      <c r="AI32" s="25" t="s">
        <v>63</v>
      </c>
      <c r="AJ32" s="25" t="s">
        <v>135</v>
      </c>
      <c r="AK32" s="76"/>
      <c r="AL32" s="76"/>
      <c r="AM32" s="58"/>
      <c r="AN32" s="84"/>
      <c r="AO32" s="123"/>
      <c r="AP32" s="2"/>
    </row>
    <row r="33" spans="1:42" ht="15.75" customHeight="1" x14ac:dyDescent="0.2">
      <c r="A33" s="124"/>
      <c r="B33" s="134"/>
      <c r="C33" s="78"/>
      <c r="D33" s="78"/>
      <c r="E33" s="78"/>
      <c r="F33" s="78"/>
      <c r="G33" s="78"/>
      <c r="H33" s="67"/>
      <c r="I33" s="62"/>
      <c r="J33" s="78"/>
      <c r="K33" s="78"/>
      <c r="L33" s="78"/>
      <c r="M33" s="78"/>
      <c r="N33" s="78"/>
      <c r="O33" s="78"/>
      <c r="P33" s="67"/>
      <c r="Q33" s="62"/>
      <c r="R33" s="78"/>
      <c r="S33" s="78"/>
      <c r="T33" s="78"/>
      <c r="U33" s="78"/>
      <c r="V33" s="78"/>
      <c r="W33" s="78"/>
      <c r="X33" s="67"/>
      <c r="Y33" s="62"/>
      <c r="Z33" s="78"/>
      <c r="AA33" s="78"/>
      <c r="AB33" s="78"/>
      <c r="AC33" s="78"/>
      <c r="AD33" s="78"/>
      <c r="AE33" s="78"/>
      <c r="AF33" s="67"/>
      <c r="AG33" s="62"/>
      <c r="AH33" s="78"/>
      <c r="AI33" s="78"/>
      <c r="AJ33" s="78"/>
      <c r="AK33" s="78"/>
      <c r="AL33" s="78"/>
      <c r="AM33" s="78"/>
      <c r="AN33" s="67"/>
      <c r="AO33" s="123"/>
      <c r="AP33" s="2"/>
    </row>
    <row r="34" spans="1:42" ht="20.25" customHeight="1" x14ac:dyDescent="0.2">
      <c r="A34" s="139"/>
      <c r="B34" s="255" t="s">
        <v>136</v>
      </c>
      <c r="C34" s="256"/>
      <c r="D34" s="256"/>
      <c r="E34" s="256"/>
      <c r="F34" s="256"/>
      <c r="G34" s="257"/>
      <c r="H34" s="99"/>
      <c r="I34" s="99"/>
      <c r="J34" s="255" t="s">
        <v>136</v>
      </c>
      <c r="K34" s="256"/>
      <c r="L34" s="256"/>
      <c r="M34" s="256"/>
      <c r="N34" s="256"/>
      <c r="O34" s="257"/>
      <c r="P34" s="99"/>
      <c r="Q34" s="99"/>
      <c r="R34" s="255" t="s">
        <v>136</v>
      </c>
      <c r="S34" s="256"/>
      <c r="T34" s="256"/>
      <c r="U34" s="256"/>
      <c r="V34" s="256"/>
      <c r="W34" s="257"/>
      <c r="X34" s="99"/>
      <c r="Y34" s="99"/>
      <c r="Z34" s="255" t="s">
        <v>136</v>
      </c>
      <c r="AA34" s="256"/>
      <c r="AB34" s="256"/>
      <c r="AC34" s="256"/>
      <c r="AD34" s="256"/>
      <c r="AE34" s="257"/>
      <c r="AF34" s="99"/>
      <c r="AG34" s="99"/>
      <c r="AH34" s="255" t="s">
        <v>136</v>
      </c>
      <c r="AI34" s="256"/>
      <c r="AJ34" s="256"/>
      <c r="AK34" s="256"/>
      <c r="AL34" s="256"/>
      <c r="AM34" s="257"/>
      <c r="AN34" s="99"/>
      <c r="AO34" s="123"/>
      <c r="AP34" s="2"/>
    </row>
    <row r="35" spans="1:42" ht="36" customHeight="1" x14ac:dyDescent="0.2">
      <c r="A35" s="124"/>
      <c r="B35" s="126"/>
      <c r="C35" s="20" t="s">
        <v>51</v>
      </c>
      <c r="D35" s="20" t="s">
        <v>52</v>
      </c>
      <c r="E35" s="20" t="s">
        <v>73</v>
      </c>
      <c r="F35" s="20" t="s">
        <v>74</v>
      </c>
      <c r="G35" s="20" t="s">
        <v>76</v>
      </c>
      <c r="H35" s="56"/>
      <c r="I35" s="54"/>
      <c r="J35" s="55"/>
      <c r="K35" s="20" t="s">
        <v>51</v>
      </c>
      <c r="L35" s="20" t="s">
        <v>52</v>
      </c>
      <c r="M35" s="20" t="s">
        <v>73</v>
      </c>
      <c r="N35" s="20" t="s">
        <v>74</v>
      </c>
      <c r="O35" s="20" t="s">
        <v>76</v>
      </c>
      <c r="P35" s="56"/>
      <c r="Q35" s="54"/>
      <c r="R35" s="55"/>
      <c r="S35" s="20" t="s">
        <v>51</v>
      </c>
      <c r="T35" s="20" t="s">
        <v>52</v>
      </c>
      <c r="U35" s="20" t="s">
        <v>73</v>
      </c>
      <c r="V35" s="20" t="s">
        <v>74</v>
      </c>
      <c r="W35" s="20" t="s">
        <v>76</v>
      </c>
      <c r="X35" s="56"/>
      <c r="Y35" s="54"/>
      <c r="Z35" s="55"/>
      <c r="AA35" s="20" t="s">
        <v>51</v>
      </c>
      <c r="AB35" s="20" t="s">
        <v>52</v>
      </c>
      <c r="AC35" s="20" t="s">
        <v>73</v>
      </c>
      <c r="AD35" s="20" t="s">
        <v>74</v>
      </c>
      <c r="AE35" s="20" t="s">
        <v>76</v>
      </c>
      <c r="AF35" s="56"/>
      <c r="AG35" s="54"/>
      <c r="AH35" s="55"/>
      <c r="AI35" s="20" t="s">
        <v>51</v>
      </c>
      <c r="AJ35" s="20" t="s">
        <v>52</v>
      </c>
      <c r="AK35" s="20" t="s">
        <v>73</v>
      </c>
      <c r="AL35" s="20" t="s">
        <v>74</v>
      </c>
      <c r="AM35" s="20" t="s">
        <v>76</v>
      </c>
      <c r="AN35" s="56"/>
      <c r="AO35" s="123"/>
      <c r="AP35" s="2"/>
    </row>
    <row r="36" spans="1:42" ht="30" customHeight="1" x14ac:dyDescent="0.2">
      <c r="A36" s="124"/>
      <c r="B36" s="131" t="s">
        <v>77</v>
      </c>
      <c r="C36" s="25" t="s">
        <v>81</v>
      </c>
      <c r="D36" s="25" t="s">
        <v>133</v>
      </c>
      <c r="E36" s="25" t="s">
        <v>83</v>
      </c>
      <c r="F36" s="59">
        <f>$C$44*0.6</f>
        <v>0</v>
      </c>
      <c r="G36" s="25" t="s">
        <v>84</v>
      </c>
      <c r="H36" s="56"/>
      <c r="I36" s="54"/>
      <c r="J36" s="57" t="s">
        <v>77</v>
      </c>
      <c r="K36" s="25" t="s">
        <v>81</v>
      </c>
      <c r="L36" s="25" t="s">
        <v>133</v>
      </c>
      <c r="M36" s="25" t="s">
        <v>118</v>
      </c>
      <c r="N36" s="59">
        <f>$C$44*0.6</f>
        <v>0</v>
      </c>
      <c r="O36" s="25" t="s">
        <v>84</v>
      </c>
      <c r="P36" s="56"/>
      <c r="Q36" s="54"/>
      <c r="R36" s="57" t="s">
        <v>77</v>
      </c>
      <c r="S36" s="25" t="s">
        <v>81</v>
      </c>
      <c r="T36" s="25" t="s">
        <v>133</v>
      </c>
      <c r="U36" s="25" t="s">
        <v>118</v>
      </c>
      <c r="V36" s="59">
        <f>$C$44*0.6</f>
        <v>0</v>
      </c>
      <c r="W36" s="25" t="s">
        <v>84</v>
      </c>
      <c r="X36" s="56"/>
      <c r="Y36" s="54"/>
      <c r="Z36" s="57" t="s">
        <v>77</v>
      </c>
      <c r="AA36" s="25" t="s">
        <v>81</v>
      </c>
      <c r="AB36" s="57" t="s">
        <v>133</v>
      </c>
      <c r="AC36" s="25" t="s">
        <v>118</v>
      </c>
      <c r="AD36" s="59">
        <f>$C$44*0.6</f>
        <v>0</v>
      </c>
      <c r="AE36" s="25" t="s">
        <v>84</v>
      </c>
      <c r="AF36" s="56"/>
      <c r="AG36" s="54"/>
      <c r="AH36" s="57" t="s">
        <v>77</v>
      </c>
      <c r="AI36" s="25" t="s">
        <v>81</v>
      </c>
      <c r="AJ36" s="25" t="s">
        <v>82</v>
      </c>
      <c r="AK36" s="25" t="s">
        <v>83</v>
      </c>
      <c r="AL36" s="59">
        <f t="shared" si="1"/>
        <v>0</v>
      </c>
      <c r="AM36" s="25" t="s">
        <v>84</v>
      </c>
      <c r="AN36" s="56"/>
      <c r="AO36" s="123"/>
      <c r="AP36" s="2"/>
    </row>
    <row r="37" spans="1:42" ht="18.75" customHeight="1" x14ac:dyDescent="0.2">
      <c r="A37" s="125"/>
      <c r="B37" s="140"/>
      <c r="C37" s="141"/>
      <c r="D37" s="141"/>
      <c r="E37" s="141"/>
      <c r="F37" s="141"/>
      <c r="G37" s="141"/>
      <c r="H37" s="142"/>
      <c r="I37" s="143"/>
      <c r="J37" s="144"/>
      <c r="K37" s="141"/>
      <c r="L37" s="141"/>
      <c r="M37" s="141"/>
      <c r="N37" s="141"/>
      <c r="O37" s="141"/>
      <c r="P37" s="142"/>
      <c r="Q37" s="143"/>
      <c r="R37" s="144"/>
      <c r="S37" s="141"/>
      <c r="T37" s="141"/>
      <c r="U37" s="141"/>
      <c r="V37" s="141"/>
      <c r="W37" s="141"/>
      <c r="X37" s="142"/>
      <c r="Y37" s="143"/>
      <c r="Z37" s="144"/>
      <c r="AA37" s="141"/>
      <c r="AB37" s="141"/>
      <c r="AC37" s="141"/>
      <c r="AD37" s="141"/>
      <c r="AE37" s="141"/>
      <c r="AF37" s="142"/>
      <c r="AG37" s="143"/>
      <c r="AH37" s="144"/>
      <c r="AI37" s="141"/>
      <c r="AJ37" s="141"/>
      <c r="AK37" s="141"/>
      <c r="AL37" s="141"/>
      <c r="AM37" s="141"/>
      <c r="AN37" s="142"/>
      <c r="AO37" s="129"/>
      <c r="AP37" s="130"/>
    </row>
    <row r="38" spans="1:42" ht="32.25" customHeight="1" x14ac:dyDescent="0.2">
      <c r="A38" s="125"/>
      <c r="B38" s="268" t="s">
        <v>137</v>
      </c>
      <c r="C38" s="262"/>
      <c r="D38" s="262"/>
      <c r="E38" s="262"/>
      <c r="F38" s="262"/>
      <c r="G38" s="263"/>
      <c r="H38" s="145"/>
      <c r="I38" s="146"/>
      <c r="J38" s="268" t="s">
        <v>137</v>
      </c>
      <c r="K38" s="262"/>
      <c r="L38" s="262"/>
      <c r="M38" s="262"/>
      <c r="N38" s="262"/>
      <c r="O38" s="263"/>
      <c r="P38" s="145"/>
      <c r="Q38" s="146"/>
      <c r="R38" s="268" t="s">
        <v>137</v>
      </c>
      <c r="S38" s="262"/>
      <c r="T38" s="262"/>
      <c r="U38" s="262"/>
      <c r="V38" s="262"/>
      <c r="W38" s="263"/>
      <c r="X38" s="145"/>
      <c r="Y38" s="146"/>
      <c r="Z38" s="268" t="s">
        <v>137</v>
      </c>
      <c r="AA38" s="262"/>
      <c r="AB38" s="262"/>
      <c r="AC38" s="262"/>
      <c r="AD38" s="262"/>
      <c r="AE38" s="263"/>
      <c r="AF38" s="145"/>
      <c r="AG38" s="146"/>
      <c r="AH38" s="268" t="s">
        <v>137</v>
      </c>
      <c r="AI38" s="262"/>
      <c r="AJ38" s="262"/>
      <c r="AK38" s="262"/>
      <c r="AL38" s="262"/>
      <c r="AM38" s="263"/>
      <c r="AN38" s="145"/>
      <c r="AO38" s="129"/>
      <c r="AP38" s="130"/>
    </row>
    <row r="39" spans="1:42" ht="18" customHeight="1" x14ac:dyDescent="0.2">
      <c r="A39" s="139"/>
      <c r="B39" s="147"/>
      <c r="C39" s="101"/>
      <c r="D39" s="101"/>
      <c r="E39" s="101"/>
      <c r="F39" s="101"/>
      <c r="G39" s="101"/>
      <c r="H39" s="102"/>
      <c r="I39" s="100"/>
      <c r="J39" s="101"/>
      <c r="K39" s="101"/>
      <c r="L39" s="101"/>
      <c r="M39" s="101"/>
      <c r="N39" s="101"/>
      <c r="O39" s="101"/>
      <c r="P39" s="102"/>
      <c r="Q39" s="100"/>
      <c r="R39" s="101"/>
      <c r="S39" s="101"/>
      <c r="T39" s="101"/>
      <c r="U39" s="101"/>
      <c r="V39" s="101"/>
      <c r="W39" s="101"/>
      <c r="X39" s="102"/>
      <c r="Y39" s="100"/>
      <c r="Z39" s="101"/>
      <c r="AA39" s="101"/>
      <c r="AB39" s="101"/>
      <c r="AC39" s="101"/>
      <c r="AD39" s="101"/>
      <c r="AE39" s="101"/>
      <c r="AF39" s="102"/>
      <c r="AG39" s="100"/>
      <c r="AH39" s="101"/>
      <c r="AI39" s="101"/>
      <c r="AJ39" s="101"/>
      <c r="AK39" s="101"/>
      <c r="AL39" s="101"/>
      <c r="AM39" s="101"/>
      <c r="AN39" s="102"/>
      <c r="AO39" s="123"/>
      <c r="AP39" s="2"/>
    </row>
    <row r="40" spans="1:42" ht="15.75" customHeight="1" x14ac:dyDescent="0.2">
      <c r="A40" s="148"/>
      <c r="B40" s="103"/>
      <c r="C40" s="104"/>
      <c r="D40" s="104"/>
      <c r="E40" s="104"/>
      <c r="F40" s="104"/>
      <c r="G40" s="104"/>
      <c r="H40" s="105"/>
      <c r="I40" s="103"/>
      <c r="J40" s="104"/>
      <c r="K40" s="104"/>
      <c r="L40" s="104"/>
      <c r="M40" s="104"/>
      <c r="N40" s="104"/>
      <c r="O40" s="104"/>
      <c r="P40" s="105"/>
      <c r="Q40" s="103"/>
      <c r="R40" s="104"/>
      <c r="S40" s="104"/>
      <c r="T40" s="104"/>
      <c r="U40" s="104"/>
      <c r="V40" s="104"/>
      <c r="W40" s="104"/>
      <c r="X40" s="105"/>
      <c r="Y40" s="103"/>
      <c r="Z40" s="104"/>
      <c r="AA40" s="104"/>
      <c r="AB40" s="104"/>
      <c r="AC40" s="104"/>
      <c r="AD40" s="104"/>
      <c r="AE40" s="104"/>
      <c r="AF40" s="105"/>
      <c r="AG40" s="103"/>
      <c r="AH40" s="104"/>
      <c r="AI40" s="104"/>
      <c r="AJ40" s="104"/>
      <c r="AK40" s="104"/>
      <c r="AL40" s="104"/>
      <c r="AM40" s="104"/>
      <c r="AN40" s="105"/>
      <c r="AO40" s="123"/>
      <c r="AP40" s="2"/>
    </row>
    <row r="41" spans="1:42" ht="14.1" customHeight="1" x14ac:dyDescent="0.2">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2"/>
      <c r="AP41" s="2"/>
    </row>
    <row r="42" spans="1:42" ht="15" hidden="1" customHeight="1" x14ac:dyDescent="0.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2"/>
      <c r="AP42" s="2"/>
    </row>
    <row r="43" spans="1:42" ht="19.5" hidden="1" customHeight="1" x14ac:dyDescent="0.2">
      <c r="A43" s="116"/>
      <c r="B43" s="108" t="s">
        <v>138</v>
      </c>
      <c r="C43" s="109"/>
      <c r="D43" s="115"/>
      <c r="E43" s="115"/>
      <c r="F43" s="115"/>
      <c r="G43" s="115"/>
      <c r="H43" s="116"/>
      <c r="I43" s="113"/>
      <c r="J43" s="117"/>
      <c r="K43" s="115"/>
      <c r="L43" s="115"/>
      <c r="M43" s="115"/>
      <c r="N43" s="115"/>
      <c r="O43" s="115"/>
      <c r="P43" s="116"/>
      <c r="Q43" s="113"/>
      <c r="R43" s="117"/>
      <c r="S43" s="115"/>
      <c r="T43" s="115"/>
      <c r="U43" s="115"/>
      <c r="V43" s="115"/>
      <c r="W43" s="115"/>
      <c r="X43" s="116"/>
      <c r="Y43" s="113"/>
      <c r="Z43" s="117"/>
      <c r="AA43" s="115"/>
      <c r="AB43" s="115"/>
      <c r="AC43" s="115"/>
      <c r="AD43" s="115"/>
      <c r="AE43" s="115"/>
      <c r="AF43" s="116"/>
      <c r="AG43" s="113"/>
      <c r="AH43" s="117"/>
      <c r="AI43" s="115"/>
      <c r="AJ43" s="115"/>
      <c r="AK43" s="115"/>
      <c r="AL43" s="115"/>
      <c r="AM43" s="115"/>
      <c r="AN43" s="116"/>
      <c r="AO43" s="2"/>
      <c r="AP43" s="2"/>
    </row>
    <row r="44" spans="1:42" ht="19.5" hidden="1" customHeight="1" x14ac:dyDescent="0.2">
      <c r="A44" s="116"/>
      <c r="B44" s="110" t="s">
        <v>139</v>
      </c>
      <c r="C44" s="111">
        <f>'Wks 1-5'!AL27</f>
        <v>0</v>
      </c>
      <c r="D44" s="149"/>
      <c r="E44" s="115"/>
      <c r="F44" s="115"/>
      <c r="G44" s="115"/>
      <c r="H44" s="116"/>
      <c r="I44" s="113"/>
      <c r="J44" s="117"/>
      <c r="K44" s="115"/>
      <c r="L44" s="115"/>
      <c r="M44" s="115"/>
      <c r="N44" s="115"/>
      <c r="O44" s="115"/>
      <c r="P44" s="116"/>
      <c r="Q44" s="113"/>
      <c r="R44" s="117"/>
      <c r="S44" s="115"/>
      <c r="T44" s="115"/>
      <c r="U44" s="115"/>
      <c r="V44" s="115"/>
      <c r="W44" s="115"/>
      <c r="X44" s="116"/>
      <c r="Y44" s="113"/>
      <c r="Z44" s="117"/>
      <c r="AA44" s="115"/>
      <c r="AB44" s="115"/>
      <c r="AC44" s="115"/>
      <c r="AD44" s="115"/>
      <c r="AE44" s="115"/>
      <c r="AF44" s="116"/>
      <c r="AG44" s="113"/>
      <c r="AH44" s="117"/>
      <c r="AI44" s="115"/>
      <c r="AJ44" s="115"/>
      <c r="AK44" s="115"/>
      <c r="AL44" s="115"/>
      <c r="AM44" s="115"/>
      <c r="AN44" s="116"/>
      <c r="AO44" s="2"/>
      <c r="AP44" s="2"/>
    </row>
    <row r="45" spans="1:42" ht="19.5" hidden="1" customHeight="1" x14ac:dyDescent="0.2">
      <c r="A45" s="116"/>
      <c r="B45" s="114"/>
      <c r="C45" s="150"/>
      <c r="D45" s="115"/>
      <c r="E45" s="115"/>
      <c r="F45" s="115"/>
      <c r="G45" s="115"/>
      <c r="H45" s="116"/>
      <c r="I45" s="113"/>
      <c r="J45" s="117"/>
      <c r="K45" s="115"/>
      <c r="L45" s="115"/>
      <c r="M45" s="115"/>
      <c r="N45" s="115"/>
      <c r="O45" s="115"/>
      <c r="P45" s="116"/>
      <c r="Q45" s="113"/>
      <c r="R45" s="117"/>
      <c r="S45" s="115"/>
      <c r="T45" s="115"/>
      <c r="U45" s="115"/>
      <c r="V45" s="115"/>
      <c r="W45" s="115"/>
      <c r="X45" s="116"/>
      <c r="Y45" s="113"/>
      <c r="Z45" s="117"/>
      <c r="AA45" s="115"/>
      <c r="AB45" s="115"/>
      <c r="AC45" s="115"/>
      <c r="AD45" s="115"/>
      <c r="AE45" s="115"/>
      <c r="AF45" s="116"/>
      <c r="AG45" s="113"/>
      <c r="AH45" s="117"/>
      <c r="AI45" s="115"/>
      <c r="AJ45" s="115"/>
      <c r="AK45" s="115"/>
      <c r="AL45" s="115"/>
      <c r="AM45" s="115"/>
      <c r="AN45" s="116"/>
      <c r="AO45" s="2"/>
      <c r="AP45" s="2"/>
    </row>
    <row r="46" spans="1:42" ht="19.5" customHeight="1" x14ac:dyDescent="0.2">
      <c r="A46" s="116"/>
      <c r="B46" s="118"/>
      <c r="C46" s="119"/>
      <c r="D46" s="115"/>
      <c r="E46" s="115"/>
      <c r="F46" s="115"/>
      <c r="G46" s="115"/>
      <c r="H46" s="116"/>
      <c r="I46" s="113"/>
      <c r="J46" s="117"/>
      <c r="K46" s="115"/>
      <c r="L46" s="115"/>
      <c r="M46" s="115"/>
      <c r="N46" s="115"/>
      <c r="O46" s="115"/>
      <c r="P46" s="116"/>
      <c r="Q46" s="113"/>
      <c r="R46" s="117"/>
      <c r="S46" s="115"/>
      <c r="T46" s="115"/>
      <c r="U46" s="115"/>
      <c r="V46" s="115"/>
      <c r="W46" s="115"/>
      <c r="X46" s="116"/>
      <c r="Y46" s="113"/>
      <c r="Z46" s="117"/>
      <c r="AA46" s="115"/>
      <c r="AB46" s="115"/>
      <c r="AC46" s="115"/>
      <c r="AD46" s="115"/>
      <c r="AE46" s="115"/>
      <c r="AF46" s="116"/>
      <c r="AG46" s="113"/>
      <c r="AH46" s="117"/>
      <c r="AI46" s="115"/>
      <c r="AJ46" s="115"/>
      <c r="AK46" s="115"/>
      <c r="AL46" s="115"/>
      <c r="AM46" s="115"/>
      <c r="AN46" s="116"/>
      <c r="AO46" s="2"/>
      <c r="AP46" s="2"/>
    </row>
    <row r="47" spans="1:42" ht="19.5" customHeight="1" x14ac:dyDescent="0.2">
      <c r="A47" s="116"/>
      <c r="B47" s="118"/>
      <c r="C47" s="119"/>
      <c r="D47" s="117"/>
      <c r="E47" s="117"/>
      <c r="F47" s="117"/>
      <c r="G47" s="117"/>
      <c r="H47" s="116"/>
      <c r="I47" s="113"/>
      <c r="J47" s="117"/>
      <c r="K47" s="117"/>
      <c r="L47" s="117"/>
      <c r="M47" s="117"/>
      <c r="N47" s="117"/>
      <c r="O47" s="117"/>
      <c r="P47" s="116"/>
      <c r="Q47" s="113"/>
      <c r="R47" s="117"/>
      <c r="S47" s="117"/>
      <c r="T47" s="117"/>
      <c r="U47" s="117"/>
      <c r="V47" s="117"/>
      <c r="W47" s="117"/>
      <c r="X47" s="116"/>
      <c r="Y47" s="113"/>
      <c r="Z47" s="117"/>
      <c r="AA47" s="117"/>
      <c r="AB47" s="117"/>
      <c r="AC47" s="117"/>
      <c r="AD47" s="117"/>
      <c r="AE47" s="117"/>
      <c r="AF47" s="116"/>
      <c r="AG47" s="113"/>
      <c r="AH47" s="117"/>
      <c r="AI47" s="117"/>
      <c r="AJ47" s="117"/>
      <c r="AK47" s="117"/>
      <c r="AL47" s="117"/>
      <c r="AM47" s="117"/>
      <c r="AN47" s="116"/>
      <c r="AO47" s="2"/>
      <c r="AP47" s="2"/>
    </row>
    <row r="48" spans="1:42" ht="19.5" customHeight="1" x14ac:dyDescent="0.2">
      <c r="A48" s="116"/>
      <c r="B48" s="118"/>
      <c r="C48" s="119"/>
      <c r="D48" s="117"/>
      <c r="E48" s="117"/>
      <c r="F48" s="117"/>
      <c r="G48" s="117"/>
      <c r="H48" s="116"/>
      <c r="I48" s="113"/>
      <c r="J48" s="117"/>
      <c r="K48" s="117"/>
      <c r="L48" s="117"/>
      <c r="M48" s="117"/>
      <c r="N48" s="117"/>
      <c r="O48" s="117"/>
      <c r="P48" s="116"/>
      <c r="Q48" s="113"/>
      <c r="R48" s="117"/>
      <c r="S48" s="117"/>
      <c r="T48" s="117"/>
      <c r="U48" s="117"/>
      <c r="V48" s="117"/>
      <c r="W48" s="117"/>
      <c r="X48" s="116"/>
      <c r="Y48" s="113"/>
      <c r="Z48" s="117"/>
      <c r="AA48" s="117"/>
      <c r="AB48" s="117"/>
      <c r="AC48" s="117"/>
      <c r="AD48" s="117"/>
      <c r="AE48" s="117"/>
      <c r="AF48" s="116"/>
      <c r="AG48" s="113"/>
      <c r="AH48" s="117"/>
      <c r="AI48" s="117"/>
      <c r="AJ48" s="117"/>
      <c r="AK48" s="117"/>
      <c r="AL48" s="117"/>
      <c r="AM48" s="117"/>
      <c r="AN48" s="116"/>
      <c r="AO48" s="2"/>
      <c r="AP48" s="2"/>
    </row>
    <row r="49" spans="1:42" ht="19.5" customHeight="1" x14ac:dyDescent="0.2">
      <c r="A49" s="116"/>
      <c r="B49" s="118"/>
      <c r="C49" s="119"/>
      <c r="D49" s="115"/>
      <c r="E49" s="115"/>
      <c r="F49" s="115"/>
      <c r="G49" s="115"/>
      <c r="H49" s="116"/>
      <c r="I49" s="113"/>
      <c r="J49" s="117"/>
      <c r="K49" s="115"/>
      <c r="L49" s="115"/>
      <c r="M49" s="115"/>
      <c r="N49" s="115"/>
      <c r="O49" s="115"/>
      <c r="P49" s="116"/>
      <c r="Q49" s="113"/>
      <c r="R49" s="117"/>
      <c r="S49" s="115"/>
      <c r="T49" s="115"/>
      <c r="U49" s="115"/>
      <c r="V49" s="115"/>
      <c r="W49" s="115"/>
      <c r="X49" s="116"/>
      <c r="Y49" s="113"/>
      <c r="Z49" s="117"/>
      <c r="AA49" s="115"/>
      <c r="AB49" s="115"/>
      <c r="AC49" s="115"/>
      <c r="AD49" s="115"/>
      <c r="AE49" s="115"/>
      <c r="AF49" s="116"/>
      <c r="AG49" s="113"/>
      <c r="AH49" s="117"/>
      <c r="AI49" s="115"/>
      <c r="AJ49" s="115"/>
      <c r="AK49" s="115"/>
      <c r="AL49" s="115"/>
      <c r="AM49" s="115"/>
      <c r="AN49" s="116"/>
      <c r="AO49" s="2"/>
      <c r="AP49" s="2"/>
    </row>
    <row r="50" spans="1:42" ht="19.5" customHeight="1" x14ac:dyDescent="0.2">
      <c r="A50" s="116"/>
      <c r="B50" s="118"/>
      <c r="C50" s="119"/>
      <c r="D50" s="115"/>
      <c r="E50" s="115"/>
      <c r="F50" s="115"/>
      <c r="G50" s="115"/>
      <c r="H50" s="116"/>
      <c r="I50" s="113"/>
      <c r="J50" s="117"/>
      <c r="K50" s="115"/>
      <c r="L50" s="115"/>
      <c r="M50" s="115"/>
      <c r="N50" s="115"/>
      <c r="O50" s="115"/>
      <c r="P50" s="116"/>
      <c r="Q50" s="113"/>
      <c r="R50" s="117"/>
      <c r="S50" s="115"/>
      <c r="T50" s="115"/>
      <c r="U50" s="115"/>
      <c r="V50" s="115"/>
      <c r="W50" s="115"/>
      <c r="X50" s="116"/>
      <c r="Y50" s="113"/>
      <c r="Z50" s="117"/>
      <c r="AA50" s="115"/>
      <c r="AB50" s="115"/>
      <c r="AC50" s="115"/>
      <c r="AD50" s="115"/>
      <c r="AE50" s="115"/>
      <c r="AF50" s="116"/>
      <c r="AG50" s="113"/>
      <c r="AH50" s="117"/>
      <c r="AI50" s="115"/>
      <c r="AJ50" s="115"/>
      <c r="AK50" s="115"/>
      <c r="AL50" s="115"/>
      <c r="AM50" s="115"/>
      <c r="AN50" s="116"/>
      <c r="AO50" s="2"/>
      <c r="AP50" s="2"/>
    </row>
    <row r="51" spans="1:42" ht="19.5" customHeight="1" x14ac:dyDescent="0.2">
      <c r="A51" s="116"/>
      <c r="B51" s="118"/>
      <c r="C51" s="119"/>
      <c r="D51" s="115"/>
      <c r="E51" s="115"/>
      <c r="F51" s="115"/>
      <c r="G51" s="115"/>
      <c r="H51" s="116"/>
      <c r="I51" s="113"/>
      <c r="J51" s="117"/>
      <c r="K51" s="115"/>
      <c r="L51" s="115"/>
      <c r="M51" s="115"/>
      <c r="N51" s="115"/>
      <c r="O51" s="115"/>
      <c r="P51" s="116"/>
      <c r="Q51" s="113"/>
      <c r="R51" s="117"/>
      <c r="S51" s="115"/>
      <c r="T51" s="115"/>
      <c r="U51" s="115"/>
      <c r="V51" s="115"/>
      <c r="W51" s="115"/>
      <c r="X51" s="116"/>
      <c r="Y51" s="113"/>
      <c r="Z51" s="117"/>
      <c r="AA51" s="115"/>
      <c r="AB51" s="115"/>
      <c r="AC51" s="115"/>
      <c r="AD51" s="115"/>
      <c r="AE51" s="115"/>
      <c r="AF51" s="116"/>
      <c r="AG51" s="113"/>
      <c r="AH51" s="117"/>
      <c r="AI51" s="115"/>
      <c r="AJ51" s="115"/>
      <c r="AK51" s="115"/>
      <c r="AL51" s="115"/>
      <c r="AM51" s="115"/>
      <c r="AN51" s="116"/>
      <c r="AO51" s="2"/>
      <c r="AP51" s="2"/>
    </row>
    <row r="52" spans="1:42" ht="19.5" customHeight="1" x14ac:dyDescent="0.2">
      <c r="A52" s="117"/>
      <c r="B52" s="118"/>
      <c r="C52" s="119"/>
      <c r="D52" s="115"/>
      <c r="E52" s="115"/>
      <c r="F52" s="115"/>
      <c r="G52" s="115"/>
      <c r="H52" s="117"/>
      <c r="I52" s="113"/>
      <c r="J52" s="117"/>
      <c r="K52" s="115"/>
      <c r="L52" s="115"/>
      <c r="M52" s="115"/>
      <c r="N52" s="115"/>
      <c r="O52" s="115"/>
      <c r="P52" s="117"/>
      <c r="Q52" s="113"/>
      <c r="R52" s="117"/>
      <c r="S52" s="115"/>
      <c r="T52" s="115"/>
      <c r="U52" s="115"/>
      <c r="V52" s="115"/>
      <c r="W52" s="115"/>
      <c r="X52" s="117"/>
      <c r="Y52" s="113"/>
      <c r="Z52" s="117"/>
      <c r="AA52" s="115"/>
      <c r="AB52" s="115"/>
      <c r="AC52" s="115"/>
      <c r="AD52" s="115"/>
      <c r="AE52" s="115"/>
      <c r="AF52" s="117"/>
      <c r="AG52" s="113"/>
      <c r="AH52" s="117"/>
      <c r="AI52" s="115"/>
      <c r="AJ52" s="115"/>
      <c r="AK52" s="115"/>
      <c r="AL52" s="115"/>
      <c r="AM52" s="115"/>
      <c r="AN52" s="117"/>
      <c r="AO52" s="2"/>
      <c r="AP52" s="2"/>
    </row>
    <row r="53" spans="1:42" ht="19.5" customHeight="1" x14ac:dyDescent="0.2">
      <c r="A53" s="117"/>
      <c r="B53" s="118"/>
      <c r="C53" s="119"/>
      <c r="D53" s="115"/>
      <c r="E53" s="115"/>
      <c r="F53" s="115"/>
      <c r="G53" s="115"/>
      <c r="H53" s="117"/>
      <c r="I53" s="113"/>
      <c r="J53" s="117"/>
      <c r="K53" s="115"/>
      <c r="L53" s="115"/>
      <c r="M53" s="115"/>
      <c r="N53" s="115"/>
      <c r="O53" s="115"/>
      <c r="P53" s="117"/>
      <c r="Q53" s="113"/>
      <c r="R53" s="117"/>
      <c r="S53" s="115"/>
      <c r="T53" s="115"/>
      <c r="U53" s="115"/>
      <c r="V53" s="115"/>
      <c r="W53" s="115"/>
      <c r="X53" s="117"/>
      <c r="Y53" s="113"/>
      <c r="Z53" s="117"/>
      <c r="AA53" s="115"/>
      <c r="AB53" s="115"/>
      <c r="AC53" s="115"/>
      <c r="AD53" s="115"/>
      <c r="AE53" s="115"/>
      <c r="AF53" s="117"/>
      <c r="AG53" s="113"/>
      <c r="AH53" s="117"/>
      <c r="AI53" s="115"/>
      <c r="AJ53" s="115"/>
      <c r="AK53" s="115"/>
      <c r="AL53" s="115"/>
      <c r="AM53" s="115"/>
      <c r="AN53" s="117"/>
      <c r="AO53" s="2"/>
      <c r="AP53" s="2"/>
    </row>
    <row r="54" spans="1:42" ht="19.5" customHeight="1" x14ac:dyDescent="0.2">
      <c r="A54" s="116"/>
      <c r="B54" s="118"/>
      <c r="C54" s="119"/>
      <c r="D54" s="115"/>
      <c r="E54" s="115"/>
      <c r="F54" s="115"/>
      <c r="G54" s="115"/>
      <c r="H54" s="116"/>
      <c r="I54" s="113"/>
      <c r="J54" s="117"/>
      <c r="K54" s="115"/>
      <c r="L54" s="115"/>
      <c r="M54" s="115"/>
      <c r="N54" s="115"/>
      <c r="O54" s="115"/>
      <c r="P54" s="116"/>
      <c r="Q54" s="113"/>
      <c r="R54" s="117"/>
      <c r="S54" s="115"/>
      <c r="T54" s="115"/>
      <c r="U54" s="115"/>
      <c r="V54" s="115"/>
      <c r="W54" s="115"/>
      <c r="X54" s="116"/>
      <c r="Y54" s="113"/>
      <c r="Z54" s="117"/>
      <c r="AA54" s="115"/>
      <c r="AB54" s="115"/>
      <c r="AC54" s="115"/>
      <c r="AD54" s="115"/>
      <c r="AE54" s="115"/>
      <c r="AF54" s="116"/>
      <c r="AG54" s="113"/>
      <c r="AH54" s="117"/>
      <c r="AI54" s="115"/>
      <c r="AJ54" s="115"/>
      <c r="AK54" s="115"/>
      <c r="AL54" s="115"/>
      <c r="AM54" s="115"/>
      <c r="AN54" s="116"/>
      <c r="AO54" s="2"/>
      <c r="AP54" s="2"/>
    </row>
    <row r="55" spans="1:42" ht="19.5" customHeight="1" x14ac:dyDescent="0.2">
      <c r="A55" s="116"/>
      <c r="B55" s="118"/>
      <c r="C55" s="119"/>
      <c r="D55" s="115"/>
      <c r="E55" s="115"/>
      <c r="F55" s="115"/>
      <c r="G55" s="115"/>
      <c r="H55" s="116"/>
      <c r="I55" s="113"/>
      <c r="J55" s="117"/>
      <c r="K55" s="115"/>
      <c r="L55" s="115"/>
      <c r="M55" s="115"/>
      <c r="N55" s="115"/>
      <c r="O55" s="115"/>
      <c r="P55" s="116"/>
      <c r="Q55" s="113"/>
      <c r="R55" s="117"/>
      <c r="S55" s="115"/>
      <c r="T55" s="115"/>
      <c r="U55" s="115"/>
      <c r="V55" s="115"/>
      <c r="W55" s="115"/>
      <c r="X55" s="116"/>
      <c r="Y55" s="113"/>
      <c r="Z55" s="117"/>
      <c r="AA55" s="115"/>
      <c r="AB55" s="115"/>
      <c r="AC55" s="115"/>
      <c r="AD55" s="115"/>
      <c r="AE55" s="115"/>
      <c r="AF55" s="116"/>
      <c r="AG55" s="113"/>
      <c r="AH55" s="117"/>
      <c r="AI55" s="115"/>
      <c r="AJ55" s="115"/>
      <c r="AK55" s="115"/>
      <c r="AL55" s="115"/>
      <c r="AM55" s="115"/>
      <c r="AN55" s="116"/>
      <c r="AO55" s="2"/>
      <c r="AP55" s="2"/>
    </row>
    <row r="56" spans="1:42" ht="19.5" customHeight="1" x14ac:dyDescent="0.2">
      <c r="A56" s="116"/>
      <c r="B56" s="118"/>
      <c r="C56" s="119"/>
      <c r="D56" s="115"/>
      <c r="E56" s="115"/>
      <c r="F56" s="115"/>
      <c r="G56" s="115"/>
      <c r="H56" s="116"/>
      <c r="I56" s="113"/>
      <c r="J56" s="117"/>
      <c r="K56" s="115"/>
      <c r="L56" s="115"/>
      <c r="M56" s="115"/>
      <c r="N56" s="115"/>
      <c r="O56" s="115"/>
      <c r="P56" s="116"/>
      <c r="Q56" s="113"/>
      <c r="R56" s="117"/>
      <c r="S56" s="115"/>
      <c r="T56" s="115"/>
      <c r="U56" s="115"/>
      <c r="V56" s="115"/>
      <c r="W56" s="115"/>
      <c r="X56" s="116"/>
      <c r="Y56" s="113"/>
      <c r="Z56" s="117"/>
      <c r="AA56" s="115"/>
      <c r="AB56" s="115"/>
      <c r="AC56" s="115"/>
      <c r="AD56" s="115"/>
      <c r="AE56" s="115"/>
      <c r="AF56" s="116"/>
      <c r="AG56" s="113"/>
      <c r="AH56" s="117"/>
      <c r="AI56" s="115"/>
      <c r="AJ56" s="115"/>
      <c r="AK56" s="115"/>
      <c r="AL56" s="115"/>
      <c r="AM56" s="115"/>
      <c r="AN56" s="116"/>
      <c r="AO56" s="2"/>
      <c r="AP56" s="2"/>
    </row>
    <row r="57" spans="1:42" ht="19.5" customHeight="1" x14ac:dyDescent="0.2">
      <c r="A57" s="116"/>
      <c r="B57" s="118"/>
      <c r="C57" s="119"/>
      <c r="D57" s="115"/>
      <c r="E57" s="115"/>
      <c r="F57" s="115"/>
      <c r="G57" s="115"/>
      <c r="H57" s="116"/>
      <c r="I57" s="113"/>
      <c r="J57" s="117"/>
      <c r="K57" s="115"/>
      <c r="L57" s="115"/>
      <c r="M57" s="115"/>
      <c r="N57" s="115"/>
      <c r="O57" s="115"/>
      <c r="P57" s="116"/>
      <c r="Q57" s="113"/>
      <c r="R57" s="117"/>
      <c r="S57" s="115"/>
      <c r="T57" s="115"/>
      <c r="U57" s="115"/>
      <c r="V57" s="115"/>
      <c r="W57" s="115"/>
      <c r="X57" s="116"/>
      <c r="Y57" s="113"/>
      <c r="Z57" s="117"/>
      <c r="AA57" s="115"/>
      <c r="AB57" s="115"/>
      <c r="AC57" s="115"/>
      <c r="AD57" s="115"/>
      <c r="AE57" s="115"/>
      <c r="AF57" s="116"/>
      <c r="AG57" s="113"/>
      <c r="AH57" s="117"/>
      <c r="AI57" s="115"/>
      <c r="AJ57" s="115"/>
      <c r="AK57" s="115"/>
      <c r="AL57" s="115"/>
      <c r="AM57" s="115"/>
      <c r="AN57" s="116"/>
      <c r="AO57" s="2"/>
      <c r="AP57" s="2"/>
    </row>
    <row r="58" spans="1:42" ht="19.5" customHeight="1" x14ac:dyDescent="0.2">
      <c r="A58" s="116"/>
      <c r="B58" s="118"/>
      <c r="C58" s="119"/>
      <c r="D58" s="115"/>
      <c r="E58" s="115"/>
      <c r="F58" s="115"/>
      <c r="G58" s="115"/>
      <c r="H58" s="116"/>
      <c r="I58" s="113"/>
      <c r="J58" s="117"/>
      <c r="K58" s="115"/>
      <c r="L58" s="115"/>
      <c r="M58" s="115"/>
      <c r="N58" s="115"/>
      <c r="O58" s="115"/>
      <c r="P58" s="116"/>
      <c r="Q58" s="113"/>
      <c r="R58" s="117"/>
      <c r="S58" s="115"/>
      <c r="T58" s="115"/>
      <c r="U58" s="115"/>
      <c r="V58" s="115"/>
      <c r="W58" s="115"/>
      <c r="X58" s="116"/>
      <c r="Y58" s="113"/>
      <c r="Z58" s="117"/>
      <c r="AA58" s="115"/>
      <c r="AB58" s="115"/>
      <c r="AC58" s="115"/>
      <c r="AD58" s="115"/>
      <c r="AE58" s="115"/>
      <c r="AF58" s="116"/>
      <c r="AG58" s="113"/>
      <c r="AH58" s="117"/>
      <c r="AI58" s="115"/>
      <c r="AJ58" s="115"/>
      <c r="AK58" s="115"/>
      <c r="AL58" s="115"/>
      <c r="AM58" s="115"/>
      <c r="AN58" s="116"/>
      <c r="AO58" s="2"/>
      <c r="AP58" s="2"/>
    </row>
    <row r="59" spans="1:42" ht="19.5" customHeight="1" x14ac:dyDescent="0.2">
      <c r="A59" s="116"/>
      <c r="B59" s="118"/>
      <c r="C59" s="119"/>
      <c r="D59" s="115"/>
      <c r="E59" s="115"/>
      <c r="F59" s="115"/>
      <c r="G59" s="115"/>
      <c r="H59" s="116"/>
      <c r="I59" s="113"/>
      <c r="J59" s="117"/>
      <c r="K59" s="115"/>
      <c r="L59" s="115"/>
      <c r="M59" s="115"/>
      <c r="N59" s="115"/>
      <c r="O59" s="115"/>
      <c r="P59" s="116"/>
      <c r="Q59" s="113"/>
      <c r="R59" s="117"/>
      <c r="S59" s="115"/>
      <c r="T59" s="115"/>
      <c r="U59" s="115"/>
      <c r="V59" s="115"/>
      <c r="W59" s="115"/>
      <c r="X59" s="116"/>
      <c r="Y59" s="113"/>
      <c r="Z59" s="117"/>
      <c r="AA59" s="115"/>
      <c r="AB59" s="115"/>
      <c r="AC59" s="115"/>
      <c r="AD59" s="115"/>
      <c r="AE59" s="115"/>
      <c r="AF59" s="116"/>
      <c r="AG59" s="113"/>
      <c r="AH59" s="117"/>
      <c r="AI59" s="115"/>
      <c r="AJ59" s="115"/>
      <c r="AK59" s="115"/>
      <c r="AL59" s="115"/>
      <c r="AM59" s="115"/>
      <c r="AN59" s="116"/>
      <c r="AO59" s="2"/>
      <c r="AP59" s="2"/>
    </row>
    <row r="60" spans="1:42" ht="19.5" customHeight="1" x14ac:dyDescent="0.2">
      <c r="A60" s="116"/>
      <c r="B60" s="118"/>
      <c r="C60" s="119"/>
      <c r="D60" s="115"/>
      <c r="E60" s="115"/>
      <c r="F60" s="115"/>
      <c r="G60" s="115"/>
      <c r="H60" s="116"/>
      <c r="I60" s="113"/>
      <c r="J60" s="117"/>
      <c r="K60" s="115"/>
      <c r="L60" s="115"/>
      <c r="M60" s="115"/>
      <c r="N60" s="115"/>
      <c r="O60" s="115"/>
      <c r="P60" s="116"/>
      <c r="Q60" s="113"/>
      <c r="R60" s="117"/>
      <c r="S60" s="115"/>
      <c r="T60" s="115"/>
      <c r="U60" s="115"/>
      <c r="V60" s="115"/>
      <c r="W60" s="115"/>
      <c r="X60" s="116"/>
      <c r="Y60" s="113"/>
      <c r="Z60" s="117"/>
      <c r="AA60" s="115"/>
      <c r="AB60" s="115"/>
      <c r="AC60" s="115"/>
      <c r="AD60" s="115"/>
      <c r="AE60" s="115"/>
      <c r="AF60" s="116"/>
      <c r="AG60" s="113"/>
      <c r="AH60" s="117"/>
      <c r="AI60" s="115"/>
      <c r="AJ60" s="115"/>
      <c r="AK60" s="115"/>
      <c r="AL60" s="115"/>
      <c r="AM60" s="115"/>
      <c r="AN60" s="116"/>
      <c r="AO60" s="2"/>
      <c r="AP60" s="2"/>
    </row>
    <row r="61" spans="1:42" ht="17.100000000000001" customHeight="1" x14ac:dyDescent="0.2">
      <c r="A61" s="116"/>
      <c r="B61" s="117"/>
      <c r="C61" s="115"/>
      <c r="D61" s="115"/>
      <c r="E61" s="115"/>
      <c r="F61" s="115"/>
      <c r="G61" s="115"/>
      <c r="H61" s="116"/>
      <c r="I61" s="113"/>
      <c r="J61" s="117"/>
      <c r="K61" s="115"/>
      <c r="L61" s="115"/>
      <c r="M61" s="115"/>
      <c r="N61" s="115"/>
      <c r="O61" s="115"/>
      <c r="P61" s="116"/>
      <c r="Q61" s="113"/>
      <c r="R61" s="117"/>
      <c r="S61" s="115"/>
      <c r="T61" s="115"/>
      <c r="U61" s="115"/>
      <c r="V61" s="115"/>
      <c r="W61" s="115"/>
      <c r="X61" s="116"/>
      <c r="Y61" s="113"/>
      <c r="Z61" s="117"/>
      <c r="AA61" s="115"/>
      <c r="AB61" s="115"/>
      <c r="AC61" s="115"/>
      <c r="AD61" s="115"/>
      <c r="AE61" s="115"/>
      <c r="AF61" s="116"/>
      <c r="AG61" s="113"/>
      <c r="AH61" s="117"/>
      <c r="AI61" s="115"/>
      <c r="AJ61" s="115"/>
      <c r="AK61" s="115"/>
      <c r="AL61" s="115"/>
      <c r="AM61" s="115"/>
      <c r="AN61" s="116"/>
      <c r="AO61" s="2"/>
      <c r="AP61" s="2"/>
    </row>
    <row r="62" spans="1:42" ht="17.100000000000001" customHeight="1" x14ac:dyDescent="0.2">
      <c r="A62" s="116"/>
      <c r="B62" s="117"/>
      <c r="C62" s="115"/>
      <c r="D62" s="115"/>
      <c r="E62" s="115"/>
      <c r="F62" s="115"/>
      <c r="G62" s="115"/>
      <c r="H62" s="116"/>
      <c r="I62" s="113"/>
      <c r="J62" s="117"/>
      <c r="K62" s="115"/>
      <c r="L62" s="115"/>
      <c r="M62" s="115"/>
      <c r="N62" s="115"/>
      <c r="O62" s="115"/>
      <c r="P62" s="116"/>
      <c r="Q62" s="113"/>
      <c r="R62" s="117"/>
      <c r="S62" s="115"/>
      <c r="T62" s="115"/>
      <c r="U62" s="115"/>
      <c r="V62" s="115"/>
      <c r="W62" s="115"/>
      <c r="X62" s="116"/>
      <c r="Y62" s="113"/>
      <c r="Z62" s="117"/>
      <c r="AA62" s="115"/>
      <c r="AB62" s="115"/>
      <c r="AC62" s="115"/>
      <c r="AD62" s="115"/>
      <c r="AE62" s="115"/>
      <c r="AF62" s="116"/>
      <c r="AG62" s="113"/>
      <c r="AH62" s="117"/>
      <c r="AI62" s="115"/>
      <c r="AJ62" s="115"/>
      <c r="AK62" s="115"/>
      <c r="AL62" s="115"/>
      <c r="AM62" s="115"/>
      <c r="AN62" s="116"/>
      <c r="AO62" s="2"/>
      <c r="AP62" s="2"/>
    </row>
    <row r="63" spans="1:42" ht="17.100000000000001" customHeight="1" x14ac:dyDescent="0.2">
      <c r="A63" s="116"/>
      <c r="B63" s="117"/>
      <c r="C63" s="115"/>
      <c r="D63" s="115"/>
      <c r="E63" s="115"/>
      <c r="F63" s="115"/>
      <c r="G63" s="115"/>
      <c r="H63" s="116"/>
      <c r="I63" s="113"/>
      <c r="J63" s="117"/>
      <c r="K63" s="115"/>
      <c r="L63" s="115"/>
      <c r="M63" s="115"/>
      <c r="N63" s="115"/>
      <c r="O63" s="115"/>
      <c r="P63" s="116"/>
      <c r="Q63" s="113"/>
      <c r="R63" s="117"/>
      <c r="S63" s="115"/>
      <c r="T63" s="115"/>
      <c r="U63" s="115"/>
      <c r="V63" s="115"/>
      <c r="W63" s="115"/>
      <c r="X63" s="116"/>
      <c r="Y63" s="113"/>
      <c r="Z63" s="117"/>
      <c r="AA63" s="115"/>
      <c r="AB63" s="115"/>
      <c r="AC63" s="115"/>
      <c r="AD63" s="115"/>
      <c r="AE63" s="115"/>
      <c r="AF63" s="116"/>
      <c r="AG63" s="113"/>
      <c r="AH63" s="117"/>
      <c r="AI63" s="115"/>
      <c r="AJ63" s="115"/>
      <c r="AK63" s="115"/>
      <c r="AL63" s="115"/>
      <c r="AM63" s="115"/>
      <c r="AN63" s="116"/>
      <c r="AO63" s="2"/>
      <c r="AP63" s="2"/>
    </row>
    <row r="64" spans="1:42" ht="17.100000000000001" customHeight="1" x14ac:dyDescent="0.2">
      <c r="A64" s="116"/>
      <c r="B64" s="117"/>
      <c r="C64" s="115"/>
      <c r="D64" s="115"/>
      <c r="E64" s="115"/>
      <c r="F64" s="115"/>
      <c r="G64" s="115"/>
      <c r="H64" s="116"/>
      <c r="I64" s="113"/>
      <c r="J64" s="117"/>
      <c r="K64" s="115"/>
      <c r="L64" s="115"/>
      <c r="M64" s="115"/>
      <c r="N64" s="115"/>
      <c r="O64" s="115"/>
      <c r="P64" s="116"/>
      <c r="Q64" s="113"/>
      <c r="R64" s="117"/>
      <c r="S64" s="115"/>
      <c r="T64" s="115"/>
      <c r="U64" s="115"/>
      <c r="V64" s="115"/>
      <c r="W64" s="115"/>
      <c r="X64" s="116"/>
      <c r="Y64" s="113"/>
      <c r="Z64" s="117"/>
      <c r="AA64" s="115"/>
      <c r="AB64" s="115"/>
      <c r="AC64" s="115"/>
      <c r="AD64" s="115"/>
      <c r="AE64" s="115"/>
      <c r="AF64" s="116"/>
      <c r="AG64" s="113"/>
      <c r="AH64" s="117"/>
      <c r="AI64" s="115"/>
      <c r="AJ64" s="115"/>
      <c r="AK64" s="115"/>
      <c r="AL64" s="115"/>
      <c r="AM64" s="115"/>
      <c r="AN64" s="116"/>
      <c r="AO64" s="2"/>
      <c r="AP64" s="2"/>
    </row>
    <row r="65" spans="1:42" ht="17.100000000000001" customHeight="1" x14ac:dyDescent="0.2">
      <c r="A65" s="116"/>
      <c r="B65" s="117"/>
      <c r="C65" s="115"/>
      <c r="D65" s="115"/>
      <c r="E65" s="115"/>
      <c r="F65" s="115"/>
      <c r="G65" s="115"/>
      <c r="H65" s="116"/>
      <c r="I65" s="113"/>
      <c r="J65" s="117"/>
      <c r="K65" s="115"/>
      <c r="L65" s="115"/>
      <c r="M65" s="115"/>
      <c r="N65" s="115"/>
      <c r="O65" s="115"/>
      <c r="P65" s="116"/>
      <c r="Q65" s="113"/>
      <c r="R65" s="117"/>
      <c r="S65" s="115"/>
      <c r="T65" s="115"/>
      <c r="U65" s="115"/>
      <c r="V65" s="115"/>
      <c r="W65" s="115"/>
      <c r="X65" s="116"/>
      <c r="Y65" s="113"/>
      <c r="Z65" s="117"/>
      <c r="AA65" s="115"/>
      <c r="AB65" s="115"/>
      <c r="AC65" s="115"/>
      <c r="AD65" s="115"/>
      <c r="AE65" s="115"/>
      <c r="AF65" s="116"/>
      <c r="AG65" s="113"/>
      <c r="AH65" s="117"/>
      <c r="AI65" s="115"/>
      <c r="AJ65" s="115"/>
      <c r="AK65" s="115"/>
      <c r="AL65" s="115"/>
      <c r="AM65" s="115"/>
      <c r="AN65" s="116"/>
      <c r="AO65" s="2"/>
      <c r="AP65" s="2"/>
    </row>
    <row r="66" spans="1:42" ht="17.100000000000001" customHeight="1" x14ac:dyDescent="0.2">
      <c r="A66" s="116"/>
      <c r="B66" s="117"/>
      <c r="C66" s="115"/>
      <c r="D66" s="115"/>
      <c r="E66" s="115"/>
      <c r="F66" s="115"/>
      <c r="G66" s="115"/>
      <c r="H66" s="116"/>
      <c r="I66" s="113"/>
      <c r="J66" s="117"/>
      <c r="K66" s="115"/>
      <c r="L66" s="115"/>
      <c r="M66" s="115"/>
      <c r="N66" s="115"/>
      <c r="O66" s="115"/>
      <c r="P66" s="116"/>
      <c r="Q66" s="113"/>
      <c r="R66" s="117"/>
      <c r="S66" s="115"/>
      <c r="T66" s="115"/>
      <c r="U66" s="115"/>
      <c r="V66" s="115"/>
      <c r="W66" s="115"/>
      <c r="X66" s="116"/>
      <c r="Y66" s="113"/>
      <c r="Z66" s="117"/>
      <c r="AA66" s="115"/>
      <c r="AB66" s="115"/>
      <c r="AC66" s="115"/>
      <c r="AD66" s="115"/>
      <c r="AE66" s="115"/>
      <c r="AF66" s="116"/>
      <c r="AG66" s="113"/>
      <c r="AH66" s="117"/>
      <c r="AI66" s="115"/>
      <c r="AJ66" s="115"/>
      <c r="AK66" s="115"/>
      <c r="AL66" s="115"/>
      <c r="AM66" s="115"/>
      <c r="AN66" s="116"/>
      <c r="AO66" s="2"/>
      <c r="AP66" s="2"/>
    </row>
    <row r="67" spans="1:42" ht="17.100000000000001" customHeight="1" x14ac:dyDescent="0.2">
      <c r="A67" s="116"/>
      <c r="B67" s="117"/>
      <c r="C67" s="115"/>
      <c r="D67" s="115"/>
      <c r="E67" s="115"/>
      <c r="F67" s="115"/>
      <c r="G67" s="115"/>
      <c r="H67" s="116"/>
      <c r="I67" s="113"/>
      <c r="J67" s="117"/>
      <c r="K67" s="115"/>
      <c r="L67" s="115"/>
      <c r="M67" s="115"/>
      <c r="N67" s="115"/>
      <c r="O67" s="115"/>
      <c r="P67" s="116"/>
      <c r="Q67" s="113"/>
      <c r="R67" s="117"/>
      <c r="S67" s="115"/>
      <c r="T67" s="115"/>
      <c r="U67" s="115"/>
      <c r="V67" s="115"/>
      <c r="W67" s="115"/>
      <c r="X67" s="116"/>
      <c r="Y67" s="113"/>
      <c r="Z67" s="117"/>
      <c r="AA67" s="115"/>
      <c r="AB67" s="115"/>
      <c r="AC67" s="115"/>
      <c r="AD67" s="115"/>
      <c r="AE67" s="115"/>
      <c r="AF67" s="116"/>
      <c r="AG67" s="113"/>
      <c r="AH67" s="117"/>
      <c r="AI67" s="115"/>
      <c r="AJ67" s="115"/>
      <c r="AK67" s="115"/>
      <c r="AL67" s="115"/>
      <c r="AM67" s="115"/>
      <c r="AN67" s="116"/>
      <c r="AO67" s="2"/>
      <c r="AP67" s="2"/>
    </row>
    <row r="68" spans="1:42" ht="17.100000000000001" customHeight="1" x14ac:dyDescent="0.2">
      <c r="A68" s="116"/>
      <c r="B68" s="117"/>
      <c r="C68" s="115"/>
      <c r="D68" s="115"/>
      <c r="E68" s="115"/>
      <c r="F68" s="115"/>
      <c r="G68" s="115"/>
      <c r="H68" s="116"/>
      <c r="I68" s="113"/>
      <c r="J68" s="117"/>
      <c r="K68" s="115"/>
      <c r="L68" s="115"/>
      <c r="M68" s="115"/>
      <c r="N68" s="115"/>
      <c r="O68" s="115"/>
      <c r="P68" s="116"/>
      <c r="Q68" s="113"/>
      <c r="R68" s="117"/>
      <c r="S68" s="115"/>
      <c r="T68" s="115"/>
      <c r="U68" s="115"/>
      <c r="V68" s="115"/>
      <c r="W68" s="115"/>
      <c r="X68" s="116"/>
      <c r="Y68" s="113"/>
      <c r="Z68" s="117"/>
      <c r="AA68" s="115"/>
      <c r="AB68" s="115"/>
      <c r="AC68" s="115"/>
      <c r="AD68" s="115"/>
      <c r="AE68" s="115"/>
      <c r="AF68" s="116"/>
      <c r="AG68" s="113"/>
      <c r="AH68" s="117"/>
      <c r="AI68" s="115"/>
      <c r="AJ68" s="115"/>
      <c r="AK68" s="115"/>
      <c r="AL68" s="115"/>
      <c r="AM68" s="115"/>
      <c r="AN68" s="116"/>
      <c r="AO68" s="2"/>
      <c r="AP68" s="2"/>
    </row>
    <row r="69" spans="1:42" ht="17.100000000000001" customHeight="1" x14ac:dyDescent="0.2">
      <c r="A69" s="116"/>
      <c r="B69" s="117"/>
      <c r="C69" s="115"/>
      <c r="D69" s="115"/>
      <c r="E69" s="115"/>
      <c r="F69" s="115"/>
      <c r="G69" s="115"/>
      <c r="H69" s="116"/>
      <c r="I69" s="113"/>
      <c r="J69" s="117"/>
      <c r="K69" s="115"/>
      <c r="L69" s="115"/>
      <c r="M69" s="115"/>
      <c r="N69" s="115"/>
      <c r="O69" s="115"/>
      <c r="P69" s="116"/>
      <c r="Q69" s="113"/>
      <c r="R69" s="117"/>
      <c r="S69" s="115"/>
      <c r="T69" s="115"/>
      <c r="U69" s="115"/>
      <c r="V69" s="115"/>
      <c r="W69" s="115"/>
      <c r="X69" s="116"/>
      <c r="Y69" s="113"/>
      <c r="Z69" s="117"/>
      <c r="AA69" s="115"/>
      <c r="AB69" s="115"/>
      <c r="AC69" s="115"/>
      <c r="AD69" s="115"/>
      <c r="AE69" s="115"/>
      <c r="AF69" s="116"/>
      <c r="AG69" s="113"/>
      <c r="AH69" s="117"/>
      <c r="AI69" s="115"/>
      <c r="AJ69" s="115"/>
      <c r="AK69" s="115"/>
      <c r="AL69" s="115"/>
      <c r="AM69" s="115"/>
      <c r="AN69" s="116"/>
      <c r="AO69" s="2"/>
      <c r="AP69" s="2"/>
    </row>
    <row r="70" spans="1:42" ht="17.100000000000001" customHeight="1" x14ac:dyDescent="0.2">
      <c r="A70" s="116"/>
      <c r="B70" s="117"/>
      <c r="C70" s="115"/>
      <c r="D70" s="115"/>
      <c r="E70" s="115"/>
      <c r="F70" s="115"/>
      <c r="G70" s="115"/>
      <c r="H70" s="116"/>
      <c r="I70" s="113"/>
      <c r="J70" s="117"/>
      <c r="K70" s="115"/>
      <c r="L70" s="115"/>
      <c r="M70" s="115"/>
      <c r="N70" s="115"/>
      <c r="O70" s="115"/>
      <c r="P70" s="116"/>
      <c r="Q70" s="113"/>
      <c r="R70" s="117"/>
      <c r="S70" s="115"/>
      <c r="T70" s="115"/>
      <c r="U70" s="115"/>
      <c r="V70" s="115"/>
      <c r="W70" s="115"/>
      <c r="X70" s="116"/>
      <c r="Y70" s="113"/>
      <c r="Z70" s="117"/>
      <c r="AA70" s="115"/>
      <c r="AB70" s="115"/>
      <c r="AC70" s="115"/>
      <c r="AD70" s="115"/>
      <c r="AE70" s="115"/>
      <c r="AF70" s="116"/>
      <c r="AG70" s="113"/>
      <c r="AH70" s="117"/>
      <c r="AI70" s="115"/>
      <c r="AJ70" s="115"/>
      <c r="AK70" s="115"/>
      <c r="AL70" s="115"/>
      <c r="AM70" s="115"/>
      <c r="AN70" s="116"/>
      <c r="AO70" s="2"/>
      <c r="AP70" s="2"/>
    </row>
    <row r="71" spans="1:42" ht="17.100000000000001" customHeight="1" x14ac:dyDescent="0.2">
      <c r="A71" s="116"/>
      <c r="B71" s="117"/>
      <c r="C71" s="115"/>
      <c r="D71" s="115"/>
      <c r="E71" s="115"/>
      <c r="F71" s="115"/>
      <c r="G71" s="115"/>
      <c r="H71" s="116"/>
      <c r="I71" s="113"/>
      <c r="J71" s="117"/>
      <c r="K71" s="115"/>
      <c r="L71" s="115"/>
      <c r="M71" s="115"/>
      <c r="N71" s="115"/>
      <c r="O71" s="115"/>
      <c r="P71" s="116"/>
      <c r="Q71" s="113"/>
      <c r="R71" s="117"/>
      <c r="S71" s="115"/>
      <c r="T71" s="115"/>
      <c r="U71" s="115"/>
      <c r="V71" s="115"/>
      <c r="W71" s="115"/>
      <c r="X71" s="116"/>
      <c r="Y71" s="113"/>
      <c r="Z71" s="117"/>
      <c r="AA71" s="115"/>
      <c r="AB71" s="115"/>
      <c r="AC71" s="115"/>
      <c r="AD71" s="115"/>
      <c r="AE71" s="115"/>
      <c r="AF71" s="116"/>
      <c r="AG71" s="113"/>
      <c r="AH71" s="117"/>
      <c r="AI71" s="115"/>
      <c r="AJ71" s="115"/>
      <c r="AK71" s="115"/>
      <c r="AL71" s="115"/>
      <c r="AM71" s="115"/>
      <c r="AN71" s="116"/>
      <c r="AO71" s="2"/>
      <c r="AP71" s="2"/>
    </row>
    <row r="72" spans="1:42" ht="17.100000000000001" customHeight="1" x14ac:dyDescent="0.2">
      <c r="A72" s="116"/>
      <c r="B72" s="117"/>
      <c r="C72" s="115"/>
      <c r="D72" s="115"/>
      <c r="E72" s="115"/>
      <c r="F72" s="115"/>
      <c r="G72" s="115"/>
      <c r="H72" s="116"/>
      <c r="I72" s="113"/>
      <c r="J72" s="117"/>
      <c r="K72" s="115"/>
      <c r="L72" s="115"/>
      <c r="M72" s="115"/>
      <c r="N72" s="115"/>
      <c r="O72" s="115"/>
      <c r="P72" s="116"/>
      <c r="Q72" s="113"/>
      <c r="R72" s="117"/>
      <c r="S72" s="115"/>
      <c r="T72" s="115"/>
      <c r="U72" s="115"/>
      <c r="V72" s="115"/>
      <c r="W72" s="115"/>
      <c r="X72" s="116"/>
      <c r="Y72" s="113"/>
      <c r="Z72" s="117"/>
      <c r="AA72" s="115"/>
      <c r="AB72" s="115"/>
      <c r="AC72" s="115"/>
      <c r="AD72" s="115"/>
      <c r="AE72" s="115"/>
      <c r="AF72" s="116"/>
      <c r="AG72" s="113"/>
      <c r="AH72" s="117"/>
      <c r="AI72" s="115"/>
      <c r="AJ72" s="115"/>
      <c r="AK72" s="115"/>
      <c r="AL72" s="115"/>
      <c r="AM72" s="115"/>
      <c r="AN72" s="116"/>
      <c r="AO72" s="2"/>
      <c r="AP72" s="2"/>
    </row>
    <row r="73" spans="1:42" ht="17.100000000000001" customHeight="1" x14ac:dyDescent="0.2">
      <c r="A73" s="116"/>
      <c r="B73" s="117"/>
      <c r="C73" s="115"/>
      <c r="D73" s="115"/>
      <c r="E73" s="115"/>
      <c r="F73" s="115"/>
      <c r="G73" s="115"/>
      <c r="H73" s="116"/>
      <c r="I73" s="113"/>
      <c r="J73" s="117"/>
      <c r="K73" s="115"/>
      <c r="L73" s="115"/>
      <c r="M73" s="115"/>
      <c r="N73" s="115"/>
      <c r="O73" s="115"/>
      <c r="P73" s="116"/>
      <c r="Q73" s="113"/>
      <c r="R73" s="117"/>
      <c r="S73" s="115"/>
      <c r="T73" s="115"/>
      <c r="U73" s="115"/>
      <c r="V73" s="115"/>
      <c r="W73" s="115"/>
      <c r="X73" s="116"/>
      <c r="Y73" s="113"/>
      <c r="Z73" s="117"/>
      <c r="AA73" s="115"/>
      <c r="AB73" s="115"/>
      <c r="AC73" s="115"/>
      <c r="AD73" s="115"/>
      <c r="AE73" s="115"/>
      <c r="AF73" s="116"/>
      <c r="AG73" s="113"/>
      <c r="AH73" s="117"/>
      <c r="AI73" s="115"/>
      <c r="AJ73" s="115"/>
      <c r="AK73" s="115"/>
      <c r="AL73" s="115"/>
      <c r="AM73" s="115"/>
      <c r="AN73" s="116"/>
      <c r="AO73" s="2"/>
      <c r="AP73" s="2"/>
    </row>
    <row r="74" spans="1:42" ht="17.100000000000001" customHeight="1" x14ac:dyDescent="0.2">
      <c r="A74" s="116"/>
      <c r="B74" s="117"/>
      <c r="C74" s="115"/>
      <c r="D74" s="115"/>
      <c r="E74" s="115"/>
      <c r="F74" s="115"/>
      <c r="G74" s="115"/>
      <c r="H74" s="116"/>
      <c r="I74" s="113"/>
      <c r="J74" s="117"/>
      <c r="K74" s="115"/>
      <c r="L74" s="115"/>
      <c r="M74" s="115"/>
      <c r="N74" s="115"/>
      <c r="O74" s="115"/>
      <c r="P74" s="116"/>
      <c r="Q74" s="113"/>
      <c r="R74" s="117"/>
      <c r="S74" s="115"/>
      <c r="T74" s="115"/>
      <c r="U74" s="115"/>
      <c r="V74" s="115"/>
      <c r="W74" s="115"/>
      <c r="X74" s="116"/>
      <c r="Y74" s="113"/>
      <c r="Z74" s="117"/>
      <c r="AA74" s="115"/>
      <c r="AB74" s="115"/>
      <c r="AC74" s="115"/>
      <c r="AD74" s="115"/>
      <c r="AE74" s="115"/>
      <c r="AF74" s="116"/>
      <c r="AG74" s="113"/>
      <c r="AH74" s="117"/>
      <c r="AI74" s="115"/>
      <c r="AJ74" s="115"/>
      <c r="AK74" s="115"/>
      <c r="AL74" s="115"/>
      <c r="AM74" s="115"/>
      <c r="AN74" s="116"/>
      <c r="AO74" s="2"/>
      <c r="AP74" s="2"/>
    </row>
    <row r="75" spans="1:42" ht="17.100000000000001" customHeight="1" x14ac:dyDescent="0.2">
      <c r="A75" s="116"/>
      <c r="B75" s="117"/>
      <c r="C75" s="115"/>
      <c r="D75" s="115"/>
      <c r="E75" s="115"/>
      <c r="F75" s="115"/>
      <c r="G75" s="115"/>
      <c r="H75" s="116"/>
      <c r="I75" s="113"/>
      <c r="J75" s="117"/>
      <c r="K75" s="115"/>
      <c r="L75" s="115"/>
      <c r="M75" s="115"/>
      <c r="N75" s="115"/>
      <c r="O75" s="115"/>
      <c r="P75" s="116"/>
      <c r="Q75" s="113"/>
      <c r="R75" s="117"/>
      <c r="S75" s="115"/>
      <c r="T75" s="115"/>
      <c r="U75" s="115"/>
      <c r="V75" s="115"/>
      <c r="W75" s="115"/>
      <c r="X75" s="116"/>
      <c r="Y75" s="113"/>
      <c r="Z75" s="117"/>
      <c r="AA75" s="115"/>
      <c r="AB75" s="115"/>
      <c r="AC75" s="115"/>
      <c r="AD75" s="115"/>
      <c r="AE75" s="115"/>
      <c r="AF75" s="116"/>
      <c r="AG75" s="113"/>
      <c r="AH75" s="117"/>
      <c r="AI75" s="115"/>
      <c r="AJ75" s="115"/>
      <c r="AK75" s="115"/>
      <c r="AL75" s="115"/>
      <c r="AM75" s="115"/>
      <c r="AN75" s="116"/>
      <c r="AO75" s="2"/>
      <c r="AP75" s="2"/>
    </row>
    <row r="76" spans="1:42" ht="17.100000000000001" customHeight="1" x14ac:dyDescent="0.2">
      <c r="A76" s="116"/>
      <c r="B76" s="117"/>
      <c r="C76" s="115"/>
      <c r="D76" s="115"/>
      <c r="E76" s="115"/>
      <c r="F76" s="115"/>
      <c r="G76" s="115"/>
      <c r="H76" s="116"/>
      <c r="I76" s="113"/>
      <c r="J76" s="117"/>
      <c r="K76" s="115"/>
      <c r="L76" s="115"/>
      <c r="M76" s="115"/>
      <c r="N76" s="115"/>
      <c r="O76" s="115"/>
      <c r="P76" s="116"/>
      <c r="Q76" s="113"/>
      <c r="R76" s="117"/>
      <c r="S76" s="115"/>
      <c r="T76" s="115"/>
      <c r="U76" s="115"/>
      <c r="V76" s="115"/>
      <c r="W76" s="115"/>
      <c r="X76" s="116"/>
      <c r="Y76" s="113"/>
      <c r="Z76" s="117"/>
      <c r="AA76" s="115"/>
      <c r="AB76" s="115"/>
      <c r="AC76" s="115"/>
      <c r="AD76" s="115"/>
      <c r="AE76" s="115"/>
      <c r="AF76" s="116"/>
      <c r="AG76" s="113"/>
      <c r="AH76" s="117"/>
      <c r="AI76" s="115"/>
      <c r="AJ76" s="115"/>
      <c r="AK76" s="115"/>
      <c r="AL76" s="115"/>
      <c r="AM76" s="115"/>
      <c r="AN76" s="116"/>
      <c r="AO76" s="2"/>
      <c r="AP76" s="2"/>
    </row>
    <row r="77" spans="1:42" ht="17.100000000000001" customHeight="1" x14ac:dyDescent="0.2">
      <c r="A77" s="116"/>
      <c r="B77" s="117"/>
      <c r="C77" s="115"/>
      <c r="D77" s="115"/>
      <c r="E77" s="115"/>
      <c r="F77" s="115"/>
      <c r="G77" s="115"/>
      <c r="H77" s="116"/>
      <c r="I77" s="113"/>
      <c r="J77" s="117"/>
      <c r="K77" s="115"/>
      <c r="L77" s="115"/>
      <c r="M77" s="115"/>
      <c r="N77" s="115"/>
      <c r="O77" s="115"/>
      <c r="P77" s="116"/>
      <c r="Q77" s="113"/>
      <c r="R77" s="117"/>
      <c r="S77" s="115"/>
      <c r="T77" s="115"/>
      <c r="U77" s="115"/>
      <c r="V77" s="115"/>
      <c r="W77" s="115"/>
      <c r="X77" s="116"/>
      <c r="Y77" s="113"/>
      <c r="Z77" s="117"/>
      <c r="AA77" s="115"/>
      <c r="AB77" s="115"/>
      <c r="AC77" s="115"/>
      <c r="AD77" s="115"/>
      <c r="AE77" s="115"/>
      <c r="AF77" s="116"/>
      <c r="AG77" s="113"/>
      <c r="AH77" s="117"/>
      <c r="AI77" s="115"/>
      <c r="AJ77" s="115"/>
      <c r="AK77" s="115"/>
      <c r="AL77" s="115"/>
      <c r="AM77" s="115"/>
      <c r="AN77" s="116"/>
      <c r="AO77" s="2"/>
      <c r="AP77" s="2"/>
    </row>
    <row r="78" spans="1:42" ht="17.100000000000001" customHeight="1" x14ac:dyDescent="0.2">
      <c r="A78" s="116"/>
      <c r="B78" s="117"/>
      <c r="C78" s="115"/>
      <c r="D78" s="115"/>
      <c r="E78" s="115"/>
      <c r="F78" s="115"/>
      <c r="G78" s="115"/>
      <c r="H78" s="116"/>
      <c r="I78" s="113"/>
      <c r="J78" s="117"/>
      <c r="K78" s="115"/>
      <c r="L78" s="115"/>
      <c r="M78" s="115"/>
      <c r="N78" s="115"/>
      <c r="O78" s="115"/>
      <c r="P78" s="116"/>
      <c r="Q78" s="113"/>
      <c r="R78" s="117"/>
      <c r="S78" s="115"/>
      <c r="T78" s="115"/>
      <c r="U78" s="115"/>
      <c r="V78" s="115"/>
      <c r="W78" s="115"/>
      <c r="X78" s="116"/>
      <c r="Y78" s="113"/>
      <c r="Z78" s="117"/>
      <c r="AA78" s="115"/>
      <c r="AB78" s="115"/>
      <c r="AC78" s="115"/>
      <c r="AD78" s="115"/>
      <c r="AE78" s="115"/>
      <c r="AF78" s="116"/>
      <c r="AG78" s="113"/>
      <c r="AH78" s="117"/>
      <c r="AI78" s="115"/>
      <c r="AJ78" s="115"/>
      <c r="AK78" s="115"/>
      <c r="AL78" s="115"/>
      <c r="AM78" s="115"/>
      <c r="AN78" s="116"/>
      <c r="AO78" s="2"/>
      <c r="AP78" s="2"/>
    </row>
    <row r="79" spans="1:42" ht="17.100000000000001" customHeight="1" x14ac:dyDescent="0.2">
      <c r="A79" s="116"/>
      <c r="B79" s="117"/>
      <c r="C79" s="115"/>
      <c r="D79" s="115"/>
      <c r="E79" s="115"/>
      <c r="F79" s="115"/>
      <c r="G79" s="115"/>
      <c r="H79" s="116"/>
      <c r="I79" s="113"/>
      <c r="J79" s="117"/>
      <c r="K79" s="115"/>
      <c r="L79" s="115"/>
      <c r="M79" s="115"/>
      <c r="N79" s="115"/>
      <c r="O79" s="115"/>
      <c r="P79" s="116"/>
      <c r="Q79" s="113"/>
      <c r="R79" s="117"/>
      <c r="S79" s="115"/>
      <c r="T79" s="115"/>
      <c r="U79" s="115"/>
      <c r="V79" s="115"/>
      <c r="W79" s="115"/>
      <c r="X79" s="116"/>
      <c r="Y79" s="113"/>
      <c r="Z79" s="117"/>
      <c r="AA79" s="115"/>
      <c r="AB79" s="115"/>
      <c r="AC79" s="115"/>
      <c r="AD79" s="115"/>
      <c r="AE79" s="115"/>
      <c r="AF79" s="116"/>
      <c r="AG79" s="113"/>
      <c r="AH79" s="117"/>
      <c r="AI79" s="115"/>
      <c r="AJ79" s="115"/>
      <c r="AK79" s="115"/>
      <c r="AL79" s="115"/>
      <c r="AM79" s="115"/>
      <c r="AN79" s="116"/>
      <c r="AO79" s="2"/>
      <c r="AP79" s="2"/>
    </row>
    <row r="80" spans="1:42" ht="17.100000000000001" customHeight="1" x14ac:dyDescent="0.2">
      <c r="A80" s="116"/>
      <c r="B80" s="117"/>
      <c r="C80" s="115"/>
      <c r="D80" s="115"/>
      <c r="E80" s="115"/>
      <c r="F80" s="115"/>
      <c r="G80" s="115"/>
      <c r="H80" s="116"/>
      <c r="I80" s="113"/>
      <c r="J80" s="117"/>
      <c r="K80" s="115"/>
      <c r="L80" s="115"/>
      <c r="M80" s="115"/>
      <c r="N80" s="115"/>
      <c r="O80" s="115"/>
      <c r="P80" s="116"/>
      <c r="Q80" s="113"/>
      <c r="R80" s="117"/>
      <c r="S80" s="115"/>
      <c r="T80" s="115"/>
      <c r="U80" s="115"/>
      <c r="V80" s="115"/>
      <c r="W80" s="115"/>
      <c r="X80" s="116"/>
      <c r="Y80" s="113"/>
      <c r="Z80" s="117"/>
      <c r="AA80" s="115"/>
      <c r="AB80" s="115"/>
      <c r="AC80" s="115"/>
      <c r="AD80" s="115"/>
      <c r="AE80" s="115"/>
      <c r="AF80" s="116"/>
      <c r="AG80" s="113"/>
      <c r="AH80" s="117"/>
      <c r="AI80" s="115"/>
      <c r="AJ80" s="115"/>
      <c r="AK80" s="115"/>
      <c r="AL80" s="115"/>
      <c r="AM80" s="115"/>
      <c r="AN80" s="116"/>
      <c r="AO80" s="2"/>
      <c r="AP80" s="2"/>
    </row>
    <row r="81" spans="1:42" ht="17.100000000000001" customHeight="1" x14ac:dyDescent="0.2">
      <c r="A81" s="116"/>
      <c r="B81" s="117"/>
      <c r="C81" s="115"/>
      <c r="D81" s="115"/>
      <c r="E81" s="115"/>
      <c r="F81" s="115"/>
      <c r="G81" s="115"/>
      <c r="H81" s="116"/>
      <c r="I81" s="113"/>
      <c r="J81" s="117"/>
      <c r="K81" s="115"/>
      <c r="L81" s="115"/>
      <c r="M81" s="115"/>
      <c r="N81" s="115"/>
      <c r="O81" s="115"/>
      <c r="P81" s="116"/>
      <c r="Q81" s="113"/>
      <c r="R81" s="117"/>
      <c r="S81" s="115"/>
      <c r="T81" s="115"/>
      <c r="U81" s="115"/>
      <c r="V81" s="115"/>
      <c r="W81" s="115"/>
      <c r="X81" s="116"/>
      <c r="Y81" s="113"/>
      <c r="Z81" s="117"/>
      <c r="AA81" s="115"/>
      <c r="AB81" s="115"/>
      <c r="AC81" s="115"/>
      <c r="AD81" s="115"/>
      <c r="AE81" s="115"/>
      <c r="AF81" s="116"/>
      <c r="AG81" s="113"/>
      <c r="AH81" s="117"/>
      <c r="AI81" s="115"/>
      <c r="AJ81" s="115"/>
      <c r="AK81" s="115"/>
      <c r="AL81" s="115"/>
      <c r="AM81" s="115"/>
      <c r="AN81" s="116"/>
      <c r="AO81" s="2"/>
      <c r="AP81" s="2"/>
    </row>
    <row r="82" spans="1:42" ht="17.100000000000001" customHeight="1" x14ac:dyDescent="0.2">
      <c r="A82" s="116"/>
      <c r="B82" s="117"/>
      <c r="C82" s="115"/>
      <c r="D82" s="115"/>
      <c r="E82" s="115"/>
      <c r="F82" s="115"/>
      <c r="G82" s="115"/>
      <c r="H82" s="116"/>
      <c r="I82" s="113"/>
      <c r="J82" s="117"/>
      <c r="K82" s="115"/>
      <c r="L82" s="115"/>
      <c r="M82" s="115"/>
      <c r="N82" s="115"/>
      <c r="O82" s="115"/>
      <c r="P82" s="116"/>
      <c r="Q82" s="113"/>
      <c r="R82" s="117"/>
      <c r="S82" s="115"/>
      <c r="T82" s="115"/>
      <c r="U82" s="115"/>
      <c r="V82" s="115"/>
      <c r="W82" s="115"/>
      <c r="X82" s="116"/>
      <c r="Y82" s="113"/>
      <c r="Z82" s="117"/>
      <c r="AA82" s="115"/>
      <c r="AB82" s="115"/>
      <c r="AC82" s="115"/>
      <c r="AD82" s="115"/>
      <c r="AE82" s="115"/>
      <c r="AF82" s="116"/>
      <c r="AG82" s="113"/>
      <c r="AH82" s="117"/>
      <c r="AI82" s="115"/>
      <c r="AJ82" s="115"/>
      <c r="AK82" s="115"/>
      <c r="AL82" s="115"/>
      <c r="AM82" s="115"/>
      <c r="AN82" s="116"/>
      <c r="AO82" s="2"/>
      <c r="AP82" s="2"/>
    </row>
    <row r="83" spans="1:42" ht="17.100000000000001" customHeight="1" x14ac:dyDescent="0.2">
      <c r="A83" s="116"/>
      <c r="B83" s="117"/>
      <c r="C83" s="115"/>
      <c r="D83" s="115"/>
      <c r="E83" s="115"/>
      <c r="F83" s="115"/>
      <c r="G83" s="115"/>
      <c r="H83" s="116"/>
      <c r="I83" s="113"/>
      <c r="J83" s="117"/>
      <c r="K83" s="115"/>
      <c r="L83" s="115"/>
      <c r="M83" s="115"/>
      <c r="N83" s="115"/>
      <c r="O83" s="115"/>
      <c r="P83" s="116"/>
      <c r="Q83" s="113"/>
      <c r="R83" s="117"/>
      <c r="S83" s="115"/>
      <c r="T83" s="115"/>
      <c r="U83" s="115"/>
      <c r="V83" s="115"/>
      <c r="W83" s="115"/>
      <c r="X83" s="116"/>
      <c r="Y83" s="113"/>
      <c r="Z83" s="117"/>
      <c r="AA83" s="115"/>
      <c r="AB83" s="115"/>
      <c r="AC83" s="115"/>
      <c r="AD83" s="115"/>
      <c r="AE83" s="115"/>
      <c r="AF83" s="116"/>
      <c r="AG83" s="113"/>
      <c r="AH83" s="117"/>
      <c r="AI83" s="115"/>
      <c r="AJ83" s="115"/>
      <c r="AK83" s="115"/>
      <c r="AL83" s="115"/>
      <c r="AM83" s="115"/>
      <c r="AN83" s="116"/>
      <c r="AO83" s="2"/>
      <c r="AP83" s="2"/>
    </row>
    <row r="84" spans="1:42" ht="17.100000000000001" customHeight="1" x14ac:dyDescent="0.2">
      <c r="A84" s="116"/>
      <c r="B84" s="117"/>
      <c r="C84" s="115"/>
      <c r="D84" s="115"/>
      <c r="E84" s="115"/>
      <c r="F84" s="115"/>
      <c r="G84" s="115"/>
      <c r="H84" s="116"/>
      <c r="I84" s="113"/>
      <c r="J84" s="117"/>
      <c r="K84" s="115"/>
      <c r="L84" s="115"/>
      <c r="M84" s="115"/>
      <c r="N84" s="115"/>
      <c r="O84" s="115"/>
      <c r="P84" s="116"/>
      <c r="Q84" s="113"/>
      <c r="R84" s="117"/>
      <c r="S84" s="115"/>
      <c r="T84" s="115"/>
      <c r="U84" s="115"/>
      <c r="V84" s="115"/>
      <c r="W84" s="115"/>
      <c r="X84" s="116"/>
      <c r="Y84" s="113"/>
      <c r="Z84" s="117"/>
      <c r="AA84" s="115"/>
      <c r="AB84" s="115"/>
      <c r="AC84" s="115"/>
      <c r="AD84" s="115"/>
      <c r="AE84" s="115"/>
      <c r="AF84" s="116"/>
      <c r="AG84" s="113"/>
      <c r="AH84" s="117"/>
      <c r="AI84" s="115"/>
      <c r="AJ84" s="115"/>
      <c r="AK84" s="115"/>
      <c r="AL84" s="115"/>
      <c r="AM84" s="115"/>
      <c r="AN84" s="116"/>
      <c r="AO84" s="2"/>
      <c r="AP84" s="2"/>
    </row>
    <row r="85" spans="1:42" ht="17.100000000000001" customHeight="1" x14ac:dyDescent="0.2">
      <c r="A85" s="116"/>
      <c r="B85" s="117"/>
      <c r="C85" s="115"/>
      <c r="D85" s="115"/>
      <c r="E85" s="115"/>
      <c r="F85" s="115"/>
      <c r="G85" s="115"/>
      <c r="H85" s="116"/>
      <c r="I85" s="113"/>
      <c r="J85" s="117"/>
      <c r="K85" s="115"/>
      <c r="L85" s="115"/>
      <c r="M85" s="115"/>
      <c r="N85" s="115"/>
      <c r="O85" s="115"/>
      <c r="P85" s="116"/>
      <c r="Q85" s="113"/>
      <c r="R85" s="117"/>
      <c r="S85" s="115"/>
      <c r="T85" s="115"/>
      <c r="U85" s="115"/>
      <c r="V85" s="115"/>
      <c r="W85" s="115"/>
      <c r="X85" s="116"/>
      <c r="Y85" s="113"/>
      <c r="Z85" s="117"/>
      <c r="AA85" s="115"/>
      <c r="AB85" s="115"/>
      <c r="AC85" s="115"/>
      <c r="AD85" s="115"/>
      <c r="AE85" s="115"/>
      <c r="AF85" s="116"/>
      <c r="AG85" s="113"/>
      <c r="AH85" s="117"/>
      <c r="AI85" s="115"/>
      <c r="AJ85" s="115"/>
      <c r="AK85" s="115"/>
      <c r="AL85" s="115"/>
      <c r="AM85" s="115"/>
      <c r="AN85" s="116"/>
      <c r="AO85" s="2"/>
      <c r="AP85" s="2"/>
    </row>
    <row r="86" spans="1:42" ht="17.100000000000001" customHeight="1" x14ac:dyDescent="0.2">
      <c r="A86" s="116"/>
      <c r="B86" s="117"/>
      <c r="C86" s="115"/>
      <c r="D86" s="115"/>
      <c r="E86" s="115"/>
      <c r="F86" s="115"/>
      <c r="G86" s="115"/>
      <c r="H86" s="116"/>
      <c r="I86" s="113"/>
      <c r="J86" s="117"/>
      <c r="K86" s="115"/>
      <c r="L86" s="115"/>
      <c r="M86" s="115"/>
      <c r="N86" s="115"/>
      <c r="O86" s="115"/>
      <c r="P86" s="116"/>
      <c r="Q86" s="113"/>
      <c r="R86" s="117"/>
      <c r="S86" s="115"/>
      <c r="T86" s="115"/>
      <c r="U86" s="115"/>
      <c r="V86" s="115"/>
      <c r="W86" s="115"/>
      <c r="X86" s="116"/>
      <c r="Y86" s="113"/>
      <c r="Z86" s="117"/>
      <c r="AA86" s="115"/>
      <c r="AB86" s="115"/>
      <c r="AC86" s="115"/>
      <c r="AD86" s="115"/>
      <c r="AE86" s="115"/>
      <c r="AF86" s="116"/>
      <c r="AG86" s="113"/>
      <c r="AH86" s="117"/>
      <c r="AI86" s="115"/>
      <c r="AJ86" s="115"/>
      <c r="AK86" s="115"/>
      <c r="AL86" s="115"/>
      <c r="AM86" s="115"/>
      <c r="AN86" s="116"/>
      <c r="AO86" s="2"/>
      <c r="AP86" s="2"/>
    </row>
    <row r="87" spans="1:42" ht="17.100000000000001" customHeight="1" x14ac:dyDescent="0.2">
      <c r="A87" s="116"/>
      <c r="B87" s="117"/>
      <c r="C87" s="115"/>
      <c r="D87" s="115"/>
      <c r="E87" s="115"/>
      <c r="F87" s="115"/>
      <c r="G87" s="115"/>
      <c r="H87" s="116"/>
      <c r="I87" s="113"/>
      <c r="J87" s="117"/>
      <c r="K87" s="115"/>
      <c r="L87" s="115"/>
      <c r="M87" s="115"/>
      <c r="N87" s="115"/>
      <c r="O87" s="115"/>
      <c r="P87" s="116"/>
      <c r="Q87" s="113"/>
      <c r="R87" s="117"/>
      <c r="S87" s="115"/>
      <c r="T87" s="115"/>
      <c r="U87" s="115"/>
      <c r="V87" s="115"/>
      <c r="W87" s="115"/>
      <c r="X87" s="116"/>
      <c r="Y87" s="113"/>
      <c r="Z87" s="117"/>
      <c r="AA87" s="115"/>
      <c r="AB87" s="115"/>
      <c r="AC87" s="115"/>
      <c r="AD87" s="115"/>
      <c r="AE87" s="115"/>
      <c r="AF87" s="116"/>
      <c r="AG87" s="113"/>
      <c r="AH87" s="117"/>
      <c r="AI87" s="115"/>
      <c r="AJ87" s="115"/>
      <c r="AK87" s="115"/>
      <c r="AL87" s="115"/>
      <c r="AM87" s="115"/>
      <c r="AN87" s="116"/>
      <c r="AO87" s="2"/>
      <c r="AP87" s="2"/>
    </row>
    <row r="88" spans="1:42" ht="17.100000000000001" customHeight="1" x14ac:dyDescent="0.2">
      <c r="A88" s="116"/>
      <c r="B88" s="117"/>
      <c r="C88" s="115"/>
      <c r="D88" s="115"/>
      <c r="E88" s="115"/>
      <c r="F88" s="115"/>
      <c r="G88" s="115"/>
      <c r="H88" s="116"/>
      <c r="I88" s="113"/>
      <c r="J88" s="117"/>
      <c r="K88" s="115"/>
      <c r="L88" s="115"/>
      <c r="M88" s="115"/>
      <c r="N88" s="115"/>
      <c r="O88" s="115"/>
      <c r="P88" s="116"/>
      <c r="Q88" s="113"/>
      <c r="R88" s="117"/>
      <c r="S88" s="115"/>
      <c r="T88" s="115"/>
      <c r="U88" s="115"/>
      <c r="V88" s="115"/>
      <c r="W88" s="115"/>
      <c r="X88" s="116"/>
      <c r="Y88" s="113"/>
      <c r="Z88" s="117"/>
      <c r="AA88" s="115"/>
      <c r="AB88" s="115"/>
      <c r="AC88" s="115"/>
      <c r="AD88" s="115"/>
      <c r="AE88" s="115"/>
      <c r="AF88" s="116"/>
      <c r="AG88" s="113"/>
      <c r="AH88" s="117"/>
      <c r="AI88" s="115"/>
      <c r="AJ88" s="115"/>
      <c r="AK88" s="115"/>
      <c r="AL88" s="115"/>
      <c r="AM88" s="115"/>
      <c r="AN88" s="116"/>
      <c r="AO88" s="2"/>
      <c r="AP88" s="2"/>
    </row>
    <row r="89" spans="1:42" ht="17.100000000000001" customHeight="1" x14ac:dyDescent="0.2">
      <c r="A89" s="116"/>
      <c r="B89" s="117"/>
      <c r="C89" s="115"/>
      <c r="D89" s="115"/>
      <c r="E89" s="115"/>
      <c r="F89" s="115"/>
      <c r="G89" s="115"/>
      <c r="H89" s="116"/>
      <c r="I89" s="113"/>
      <c r="J89" s="117"/>
      <c r="K89" s="115"/>
      <c r="L89" s="115"/>
      <c r="M89" s="115"/>
      <c r="N89" s="115"/>
      <c r="O89" s="115"/>
      <c r="P89" s="116"/>
      <c r="Q89" s="113"/>
      <c r="R89" s="117"/>
      <c r="S89" s="115"/>
      <c r="T89" s="115"/>
      <c r="U89" s="115"/>
      <c r="V89" s="115"/>
      <c r="W89" s="115"/>
      <c r="X89" s="116"/>
      <c r="Y89" s="113"/>
      <c r="Z89" s="117"/>
      <c r="AA89" s="115"/>
      <c r="AB89" s="115"/>
      <c r="AC89" s="115"/>
      <c r="AD89" s="115"/>
      <c r="AE89" s="115"/>
      <c r="AF89" s="116"/>
      <c r="AG89" s="113"/>
      <c r="AH89" s="117"/>
      <c r="AI89" s="115"/>
      <c r="AJ89" s="115"/>
      <c r="AK89" s="115"/>
      <c r="AL89" s="115"/>
      <c r="AM89" s="115"/>
      <c r="AN89" s="116"/>
      <c r="AO89" s="2"/>
      <c r="AP89" s="2"/>
    </row>
    <row r="90" spans="1:42" ht="17.100000000000001" customHeight="1" x14ac:dyDescent="0.2">
      <c r="A90" s="116"/>
      <c r="B90" s="117"/>
      <c r="C90" s="115"/>
      <c r="D90" s="115"/>
      <c r="E90" s="115"/>
      <c r="F90" s="115"/>
      <c r="G90" s="115"/>
      <c r="H90" s="116"/>
      <c r="I90" s="113"/>
      <c r="J90" s="117"/>
      <c r="K90" s="115"/>
      <c r="L90" s="115"/>
      <c r="M90" s="115"/>
      <c r="N90" s="115"/>
      <c r="O90" s="115"/>
      <c r="P90" s="116"/>
      <c r="Q90" s="113"/>
      <c r="R90" s="117"/>
      <c r="S90" s="115"/>
      <c r="T90" s="115"/>
      <c r="U90" s="115"/>
      <c r="V90" s="115"/>
      <c r="W90" s="115"/>
      <c r="X90" s="116"/>
      <c r="Y90" s="113"/>
      <c r="Z90" s="117"/>
      <c r="AA90" s="115"/>
      <c r="AB90" s="115"/>
      <c r="AC90" s="115"/>
      <c r="AD90" s="115"/>
      <c r="AE90" s="115"/>
      <c r="AF90" s="116"/>
      <c r="AG90" s="113"/>
      <c r="AH90" s="117"/>
      <c r="AI90" s="115"/>
      <c r="AJ90" s="115"/>
      <c r="AK90" s="115"/>
      <c r="AL90" s="115"/>
      <c r="AM90" s="115"/>
      <c r="AN90" s="116"/>
      <c r="AO90" s="2"/>
      <c r="AP90" s="2"/>
    </row>
    <row r="91" spans="1:42" ht="17.100000000000001" customHeight="1" x14ac:dyDescent="0.2">
      <c r="A91" s="116"/>
      <c r="B91" s="117"/>
      <c r="C91" s="115"/>
      <c r="D91" s="115"/>
      <c r="E91" s="115"/>
      <c r="F91" s="115"/>
      <c r="G91" s="115"/>
      <c r="H91" s="116"/>
      <c r="I91" s="113"/>
      <c r="J91" s="117"/>
      <c r="K91" s="115"/>
      <c r="L91" s="115"/>
      <c r="M91" s="115"/>
      <c r="N91" s="115"/>
      <c r="O91" s="115"/>
      <c r="P91" s="116"/>
      <c r="Q91" s="113"/>
      <c r="R91" s="117"/>
      <c r="S91" s="115"/>
      <c r="T91" s="115"/>
      <c r="U91" s="115"/>
      <c r="V91" s="115"/>
      <c r="W91" s="115"/>
      <c r="X91" s="116"/>
      <c r="Y91" s="113"/>
      <c r="Z91" s="117"/>
      <c r="AA91" s="115"/>
      <c r="AB91" s="115"/>
      <c r="AC91" s="115"/>
      <c r="AD91" s="115"/>
      <c r="AE91" s="115"/>
      <c r="AF91" s="116"/>
      <c r="AG91" s="113"/>
      <c r="AH91" s="117"/>
      <c r="AI91" s="115"/>
      <c r="AJ91" s="115"/>
      <c r="AK91" s="115"/>
      <c r="AL91" s="115"/>
      <c r="AM91" s="115"/>
      <c r="AN91" s="116"/>
      <c r="AO91" s="2"/>
      <c r="AP91" s="2"/>
    </row>
    <row r="92" spans="1:42" ht="17.100000000000001" customHeight="1" x14ac:dyDescent="0.2">
      <c r="A92" s="116"/>
      <c r="B92" s="117"/>
      <c r="C92" s="115"/>
      <c r="D92" s="115"/>
      <c r="E92" s="115"/>
      <c r="F92" s="115"/>
      <c r="G92" s="115"/>
      <c r="H92" s="116"/>
      <c r="I92" s="113"/>
      <c r="J92" s="117"/>
      <c r="K92" s="115"/>
      <c r="L92" s="115"/>
      <c r="M92" s="115"/>
      <c r="N92" s="115"/>
      <c r="O92" s="115"/>
      <c r="P92" s="116"/>
      <c r="Q92" s="113"/>
      <c r="R92" s="117"/>
      <c r="S92" s="115"/>
      <c r="T92" s="115"/>
      <c r="U92" s="115"/>
      <c r="V92" s="115"/>
      <c r="W92" s="115"/>
      <c r="X92" s="116"/>
      <c r="Y92" s="113"/>
      <c r="Z92" s="117"/>
      <c r="AA92" s="115"/>
      <c r="AB92" s="115"/>
      <c r="AC92" s="115"/>
      <c r="AD92" s="115"/>
      <c r="AE92" s="115"/>
      <c r="AF92" s="116"/>
      <c r="AG92" s="113"/>
      <c r="AH92" s="117"/>
      <c r="AI92" s="115"/>
      <c r="AJ92" s="115"/>
      <c r="AK92" s="115"/>
      <c r="AL92" s="115"/>
      <c r="AM92" s="115"/>
      <c r="AN92" s="116"/>
      <c r="AO92" s="2"/>
      <c r="AP92" s="2"/>
    </row>
    <row r="93" spans="1:42" ht="17.100000000000001" customHeight="1" x14ac:dyDescent="0.2">
      <c r="A93" s="116"/>
      <c r="B93" s="117"/>
      <c r="C93" s="115"/>
      <c r="D93" s="115"/>
      <c r="E93" s="115"/>
      <c r="F93" s="115"/>
      <c r="G93" s="115"/>
      <c r="H93" s="116"/>
      <c r="I93" s="113"/>
      <c r="J93" s="117"/>
      <c r="K93" s="115"/>
      <c r="L93" s="115"/>
      <c r="M93" s="115"/>
      <c r="N93" s="115"/>
      <c r="O93" s="115"/>
      <c r="P93" s="116"/>
      <c r="Q93" s="113"/>
      <c r="R93" s="117"/>
      <c r="S93" s="115"/>
      <c r="T93" s="115"/>
      <c r="U93" s="115"/>
      <c r="V93" s="115"/>
      <c r="W93" s="115"/>
      <c r="X93" s="116"/>
      <c r="Y93" s="113"/>
      <c r="Z93" s="117"/>
      <c r="AA93" s="115"/>
      <c r="AB93" s="115"/>
      <c r="AC93" s="115"/>
      <c r="AD93" s="115"/>
      <c r="AE93" s="115"/>
      <c r="AF93" s="116"/>
      <c r="AG93" s="113"/>
      <c r="AH93" s="117"/>
      <c r="AI93" s="115"/>
      <c r="AJ93" s="115"/>
      <c r="AK93" s="115"/>
      <c r="AL93" s="115"/>
      <c r="AM93" s="115"/>
      <c r="AN93" s="116"/>
      <c r="AO93" s="2"/>
      <c r="AP93" s="2"/>
    </row>
    <row r="94" spans="1:42" ht="17.100000000000001" customHeight="1" x14ac:dyDescent="0.2">
      <c r="A94" s="116"/>
      <c r="B94" s="117"/>
      <c r="C94" s="115"/>
      <c r="D94" s="115"/>
      <c r="E94" s="115"/>
      <c r="F94" s="115"/>
      <c r="G94" s="115"/>
      <c r="H94" s="116"/>
      <c r="I94" s="113"/>
      <c r="J94" s="117"/>
      <c r="K94" s="115"/>
      <c r="L94" s="115"/>
      <c r="M94" s="115"/>
      <c r="N94" s="115"/>
      <c r="O94" s="115"/>
      <c r="P94" s="116"/>
      <c r="Q94" s="113"/>
      <c r="R94" s="117"/>
      <c r="S94" s="115"/>
      <c r="T94" s="115"/>
      <c r="U94" s="115"/>
      <c r="V94" s="115"/>
      <c r="W94" s="115"/>
      <c r="X94" s="116"/>
      <c r="Y94" s="113"/>
      <c r="Z94" s="117"/>
      <c r="AA94" s="115"/>
      <c r="AB94" s="115"/>
      <c r="AC94" s="115"/>
      <c r="AD94" s="115"/>
      <c r="AE94" s="115"/>
      <c r="AF94" s="116"/>
      <c r="AG94" s="113"/>
      <c r="AH94" s="117"/>
      <c r="AI94" s="115"/>
      <c r="AJ94" s="115"/>
      <c r="AK94" s="115"/>
      <c r="AL94" s="115"/>
      <c r="AM94" s="115"/>
      <c r="AN94" s="116"/>
      <c r="AO94" s="2"/>
      <c r="AP94" s="2"/>
    </row>
    <row r="95" spans="1:42" ht="17.100000000000001" customHeight="1" x14ac:dyDescent="0.2">
      <c r="A95" s="116"/>
      <c r="B95" s="117"/>
      <c r="C95" s="115"/>
      <c r="D95" s="115"/>
      <c r="E95" s="115"/>
      <c r="F95" s="115"/>
      <c r="G95" s="115"/>
      <c r="H95" s="116"/>
      <c r="I95" s="113"/>
      <c r="J95" s="117"/>
      <c r="K95" s="115"/>
      <c r="L95" s="115"/>
      <c r="M95" s="115"/>
      <c r="N95" s="115"/>
      <c r="O95" s="115"/>
      <c r="P95" s="116"/>
      <c r="Q95" s="113"/>
      <c r="R95" s="117"/>
      <c r="S95" s="115"/>
      <c r="T95" s="115"/>
      <c r="U95" s="115"/>
      <c r="V95" s="115"/>
      <c r="W95" s="115"/>
      <c r="X95" s="116"/>
      <c r="Y95" s="113"/>
      <c r="Z95" s="117"/>
      <c r="AA95" s="115"/>
      <c r="AB95" s="115"/>
      <c r="AC95" s="115"/>
      <c r="AD95" s="115"/>
      <c r="AE95" s="115"/>
      <c r="AF95" s="116"/>
      <c r="AG95" s="113"/>
      <c r="AH95" s="117"/>
      <c r="AI95" s="115"/>
      <c r="AJ95" s="115"/>
      <c r="AK95" s="115"/>
      <c r="AL95" s="115"/>
      <c r="AM95" s="115"/>
      <c r="AN95" s="116"/>
      <c r="AO95" s="2"/>
      <c r="AP95" s="2"/>
    </row>
    <row r="96" spans="1:42" ht="17.100000000000001" customHeight="1" x14ac:dyDescent="0.2">
      <c r="A96" s="116"/>
      <c r="B96" s="117"/>
      <c r="C96" s="115"/>
      <c r="D96" s="115"/>
      <c r="E96" s="115"/>
      <c r="F96" s="115"/>
      <c r="G96" s="115"/>
      <c r="H96" s="116"/>
      <c r="I96" s="113"/>
      <c r="J96" s="117"/>
      <c r="K96" s="115"/>
      <c r="L96" s="115"/>
      <c r="M96" s="115"/>
      <c r="N96" s="115"/>
      <c r="O96" s="115"/>
      <c r="P96" s="116"/>
      <c r="Q96" s="113"/>
      <c r="R96" s="117"/>
      <c r="S96" s="115"/>
      <c r="T96" s="115"/>
      <c r="U96" s="115"/>
      <c r="V96" s="115"/>
      <c r="W96" s="115"/>
      <c r="X96" s="116"/>
      <c r="Y96" s="113"/>
      <c r="Z96" s="117"/>
      <c r="AA96" s="115"/>
      <c r="AB96" s="115"/>
      <c r="AC96" s="115"/>
      <c r="AD96" s="115"/>
      <c r="AE96" s="115"/>
      <c r="AF96" s="116"/>
      <c r="AG96" s="113"/>
      <c r="AH96" s="117"/>
      <c r="AI96" s="115"/>
      <c r="AJ96" s="115"/>
      <c r="AK96" s="115"/>
      <c r="AL96" s="115"/>
      <c r="AM96" s="115"/>
      <c r="AN96" s="116"/>
      <c r="AO96" s="2"/>
      <c r="AP96" s="2"/>
    </row>
    <row r="97" spans="1:42" ht="17.100000000000001" customHeight="1" x14ac:dyDescent="0.2">
      <c r="A97" s="116"/>
      <c r="B97" s="117"/>
      <c r="C97" s="115"/>
      <c r="D97" s="115"/>
      <c r="E97" s="115"/>
      <c r="F97" s="115"/>
      <c r="G97" s="115"/>
      <c r="H97" s="116"/>
      <c r="I97" s="113"/>
      <c r="J97" s="117"/>
      <c r="K97" s="115"/>
      <c r="L97" s="115"/>
      <c r="M97" s="115"/>
      <c r="N97" s="115"/>
      <c r="O97" s="115"/>
      <c r="P97" s="116"/>
      <c r="Q97" s="113"/>
      <c r="R97" s="117"/>
      <c r="S97" s="115"/>
      <c r="T97" s="115"/>
      <c r="U97" s="115"/>
      <c r="V97" s="115"/>
      <c r="W97" s="115"/>
      <c r="X97" s="116"/>
      <c r="Y97" s="113"/>
      <c r="Z97" s="117"/>
      <c r="AA97" s="115"/>
      <c r="AB97" s="115"/>
      <c r="AC97" s="115"/>
      <c r="AD97" s="115"/>
      <c r="AE97" s="115"/>
      <c r="AF97" s="116"/>
      <c r="AG97" s="113"/>
      <c r="AH97" s="117"/>
      <c r="AI97" s="115"/>
      <c r="AJ97" s="115"/>
      <c r="AK97" s="115"/>
      <c r="AL97" s="115"/>
      <c r="AM97" s="115"/>
      <c r="AN97" s="116"/>
      <c r="AO97" s="2"/>
      <c r="AP97" s="2"/>
    </row>
    <row r="98" spans="1:42" ht="17.100000000000001" customHeight="1" x14ac:dyDescent="0.2">
      <c r="A98" s="116"/>
      <c r="B98" s="117"/>
      <c r="C98" s="115"/>
      <c r="D98" s="115"/>
      <c r="E98" s="115"/>
      <c r="F98" s="115"/>
      <c r="G98" s="115"/>
      <c r="H98" s="116"/>
      <c r="I98" s="113"/>
      <c r="J98" s="117"/>
      <c r="K98" s="115"/>
      <c r="L98" s="115"/>
      <c r="M98" s="115"/>
      <c r="N98" s="115"/>
      <c r="O98" s="115"/>
      <c r="P98" s="116"/>
      <c r="Q98" s="113"/>
      <c r="R98" s="117"/>
      <c r="S98" s="115"/>
      <c r="T98" s="115"/>
      <c r="U98" s="115"/>
      <c r="V98" s="115"/>
      <c r="W98" s="115"/>
      <c r="X98" s="116"/>
      <c r="Y98" s="113"/>
      <c r="Z98" s="117"/>
      <c r="AA98" s="115"/>
      <c r="AB98" s="115"/>
      <c r="AC98" s="115"/>
      <c r="AD98" s="115"/>
      <c r="AE98" s="115"/>
      <c r="AF98" s="116"/>
      <c r="AG98" s="113"/>
      <c r="AH98" s="117"/>
      <c r="AI98" s="115"/>
      <c r="AJ98" s="115"/>
      <c r="AK98" s="115"/>
      <c r="AL98" s="115"/>
      <c r="AM98" s="115"/>
      <c r="AN98" s="116"/>
      <c r="AO98" s="2"/>
      <c r="AP98" s="2"/>
    </row>
    <row r="99" spans="1:42" ht="17.100000000000001" customHeight="1" x14ac:dyDescent="0.2">
      <c r="A99" s="116"/>
      <c r="B99" s="117"/>
      <c r="C99" s="115"/>
      <c r="D99" s="115"/>
      <c r="E99" s="115"/>
      <c r="F99" s="115"/>
      <c r="G99" s="115"/>
      <c r="H99" s="116"/>
      <c r="I99" s="113"/>
      <c r="J99" s="117"/>
      <c r="K99" s="115"/>
      <c r="L99" s="115"/>
      <c r="M99" s="115"/>
      <c r="N99" s="115"/>
      <c r="O99" s="115"/>
      <c r="P99" s="116"/>
      <c r="Q99" s="113"/>
      <c r="R99" s="117"/>
      <c r="S99" s="115"/>
      <c r="T99" s="115"/>
      <c r="U99" s="115"/>
      <c r="V99" s="115"/>
      <c r="W99" s="115"/>
      <c r="X99" s="116"/>
      <c r="Y99" s="113"/>
      <c r="Z99" s="117"/>
      <c r="AA99" s="115"/>
      <c r="AB99" s="115"/>
      <c r="AC99" s="115"/>
      <c r="AD99" s="115"/>
      <c r="AE99" s="115"/>
      <c r="AF99" s="116"/>
      <c r="AG99" s="113"/>
      <c r="AH99" s="117"/>
      <c r="AI99" s="115"/>
      <c r="AJ99" s="115"/>
      <c r="AK99" s="115"/>
      <c r="AL99" s="115"/>
      <c r="AM99" s="115"/>
      <c r="AN99" s="116"/>
      <c r="AO99" s="2"/>
      <c r="AP99" s="2"/>
    </row>
    <row r="100" spans="1:42" ht="17.100000000000001" customHeight="1" x14ac:dyDescent="0.2">
      <c r="A100" s="116"/>
      <c r="B100" s="117"/>
      <c r="C100" s="115"/>
      <c r="D100" s="115"/>
      <c r="E100" s="115"/>
      <c r="F100" s="115"/>
      <c r="G100" s="115"/>
      <c r="H100" s="116"/>
      <c r="I100" s="113"/>
      <c r="J100" s="117"/>
      <c r="K100" s="115"/>
      <c r="L100" s="115"/>
      <c r="M100" s="115"/>
      <c r="N100" s="115"/>
      <c r="O100" s="115"/>
      <c r="P100" s="116"/>
      <c r="Q100" s="113"/>
      <c r="R100" s="117"/>
      <c r="S100" s="115"/>
      <c r="T100" s="115"/>
      <c r="U100" s="115"/>
      <c r="V100" s="115"/>
      <c r="W100" s="115"/>
      <c r="X100" s="116"/>
      <c r="Y100" s="113"/>
      <c r="Z100" s="117"/>
      <c r="AA100" s="115"/>
      <c r="AB100" s="115"/>
      <c r="AC100" s="115"/>
      <c r="AD100" s="115"/>
      <c r="AE100" s="115"/>
      <c r="AF100" s="116"/>
      <c r="AG100" s="113"/>
      <c r="AH100" s="117"/>
      <c r="AI100" s="115"/>
      <c r="AJ100" s="115"/>
      <c r="AK100" s="115"/>
      <c r="AL100" s="115"/>
      <c r="AM100" s="115"/>
      <c r="AN100" s="116"/>
      <c r="AO100" s="2"/>
      <c r="AP100" s="2"/>
    </row>
  </sheetData>
  <mergeCells count="47">
    <mergeCell ref="I1:P1"/>
    <mergeCell ref="S8:S9"/>
    <mergeCell ref="Z27:AE27"/>
    <mergeCell ref="Q1:X1"/>
    <mergeCell ref="AA8:AA9"/>
    <mergeCell ref="Z13:AE13"/>
    <mergeCell ref="Y1:AF1"/>
    <mergeCell ref="AH38:AM38"/>
    <mergeCell ref="AH34:AM34"/>
    <mergeCell ref="Z20:AE20"/>
    <mergeCell ref="J38:O38"/>
    <mergeCell ref="AH20:AM20"/>
    <mergeCell ref="R38:W38"/>
    <mergeCell ref="Z38:AE38"/>
    <mergeCell ref="AH27:AM27"/>
    <mergeCell ref="B38:G38"/>
    <mergeCell ref="G8:G9"/>
    <mergeCell ref="J27:O27"/>
    <mergeCell ref="C8:C9"/>
    <mergeCell ref="AA6:AA7"/>
    <mergeCell ref="J13:O13"/>
    <mergeCell ref="W8:W9"/>
    <mergeCell ref="B13:G13"/>
    <mergeCell ref="O8:O9"/>
    <mergeCell ref="R27:W27"/>
    <mergeCell ref="K8:K9"/>
    <mergeCell ref="B20:G20"/>
    <mergeCell ref="J20:O20"/>
    <mergeCell ref="R20:W20"/>
    <mergeCell ref="Z34:AE34"/>
    <mergeCell ref="R13:W13"/>
    <mergeCell ref="B1:H1"/>
    <mergeCell ref="AG1:AN1"/>
    <mergeCell ref="B3:G3"/>
    <mergeCell ref="R34:W34"/>
    <mergeCell ref="J34:O34"/>
    <mergeCell ref="B34:G34"/>
    <mergeCell ref="S6:S7"/>
    <mergeCell ref="B27:G27"/>
    <mergeCell ref="C6:C7"/>
    <mergeCell ref="J3:O3"/>
    <mergeCell ref="R3:W3"/>
    <mergeCell ref="Z3:AE3"/>
    <mergeCell ref="AH3:AM3"/>
    <mergeCell ref="AE8:AE9"/>
    <mergeCell ref="K6:K7"/>
    <mergeCell ref="AH13:AM13"/>
  </mergeCells>
  <pageMargins left="0.75" right="0.75" top="1" bottom="1" header="0.5" footer="0.5"/>
  <pageSetup scale="57" pageOrder="overThenDown" orientation="portrait" r:id="rId1"/>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81"/>
  <sheetViews>
    <sheetView showGridLines="0" zoomScale="70" zoomScaleNormal="70" workbookViewId="0">
      <selection activeCell="E6" sqref="E6"/>
    </sheetView>
  </sheetViews>
  <sheetFormatPr defaultColWidth="8.85546875" defaultRowHeight="15" customHeight="1" x14ac:dyDescent="0.2"/>
  <cols>
    <col min="1" max="1" width="5.7109375" style="151" customWidth="1"/>
    <col min="2" max="6" width="16" style="151" customWidth="1"/>
    <col min="7" max="7" width="60.7109375" style="151" customWidth="1"/>
    <col min="8" max="9" width="5.7109375" style="151" customWidth="1"/>
    <col min="10" max="14" width="16" style="151" customWidth="1"/>
    <col min="15" max="15" width="60.7109375" style="151" customWidth="1"/>
    <col min="16" max="17" width="5.7109375" style="151" customWidth="1"/>
    <col min="18" max="22" width="16" style="151" customWidth="1"/>
    <col min="23" max="23" width="60.7109375" style="151" customWidth="1"/>
    <col min="24" max="25" width="5.7109375" style="151" customWidth="1"/>
    <col min="26" max="30" width="16" style="151" customWidth="1"/>
    <col min="31" max="31" width="60.7109375" style="151" customWidth="1"/>
    <col min="32" max="33" width="5.7109375" style="151" customWidth="1"/>
    <col min="34" max="38" width="16" style="151" customWidth="1"/>
    <col min="39" max="39" width="60.7109375" style="151" customWidth="1"/>
    <col min="40" max="40" width="5.7109375" style="151" customWidth="1"/>
    <col min="41" max="256" width="8.85546875" style="151" customWidth="1"/>
  </cols>
  <sheetData>
    <row r="1" spans="1:40" ht="26.25" customHeight="1" x14ac:dyDescent="0.2">
      <c r="A1" s="48"/>
      <c r="B1" s="253" t="s">
        <v>154</v>
      </c>
      <c r="C1" s="254"/>
      <c r="D1" s="254"/>
      <c r="E1" s="254"/>
      <c r="F1" s="254"/>
      <c r="G1" s="254"/>
      <c r="H1" s="254"/>
      <c r="I1" s="253" t="s">
        <v>155</v>
      </c>
      <c r="J1" s="254"/>
      <c r="K1" s="254"/>
      <c r="L1" s="254"/>
      <c r="M1" s="254"/>
      <c r="N1" s="254"/>
      <c r="O1" s="254"/>
      <c r="P1" s="254"/>
      <c r="Q1" s="253" t="s">
        <v>156</v>
      </c>
      <c r="R1" s="254"/>
      <c r="S1" s="254"/>
      <c r="T1" s="254"/>
      <c r="U1" s="254"/>
      <c r="V1" s="254"/>
      <c r="W1" s="254"/>
      <c r="X1" s="254"/>
      <c r="Y1" s="253" t="s">
        <v>157</v>
      </c>
      <c r="Z1" s="254"/>
      <c r="AA1" s="254"/>
      <c r="AB1" s="254"/>
      <c r="AC1" s="254"/>
      <c r="AD1" s="254"/>
      <c r="AE1" s="254"/>
      <c r="AF1" s="254"/>
      <c r="AG1" s="253" t="s">
        <v>158</v>
      </c>
      <c r="AH1" s="254"/>
      <c r="AI1" s="254"/>
      <c r="AJ1" s="254"/>
      <c r="AK1" s="254"/>
      <c r="AL1" s="254"/>
      <c r="AM1" s="254"/>
      <c r="AN1" s="254"/>
    </row>
    <row r="2" spans="1:40" ht="15.75" customHeight="1" x14ac:dyDescent="0.2">
      <c r="A2" s="121"/>
      <c r="B2" s="122" t="s">
        <v>49</v>
      </c>
      <c r="C2" s="51"/>
      <c r="D2" s="51"/>
      <c r="E2" s="51"/>
      <c r="F2" s="51"/>
      <c r="G2" s="51"/>
      <c r="H2" s="52"/>
      <c r="I2" s="49"/>
      <c r="J2" s="50" t="s">
        <v>49</v>
      </c>
      <c r="K2" s="51"/>
      <c r="L2" s="51"/>
      <c r="M2" s="51"/>
      <c r="N2" s="51"/>
      <c r="O2" s="51"/>
      <c r="P2" s="52"/>
      <c r="Q2" s="49"/>
      <c r="R2" s="50" t="s">
        <v>49</v>
      </c>
      <c r="S2" s="51"/>
      <c r="T2" s="51"/>
      <c r="U2" s="51"/>
      <c r="V2" s="51"/>
      <c r="W2" s="51"/>
      <c r="X2" s="52"/>
      <c r="Y2" s="49"/>
      <c r="Z2" s="50" t="s">
        <v>49</v>
      </c>
      <c r="AA2" s="51"/>
      <c r="AB2" s="51"/>
      <c r="AC2" s="51"/>
      <c r="AD2" s="51"/>
      <c r="AE2" s="51"/>
      <c r="AF2" s="52"/>
      <c r="AG2" s="49"/>
      <c r="AH2" s="50" t="s">
        <v>49</v>
      </c>
      <c r="AI2" s="51"/>
      <c r="AJ2" s="51"/>
      <c r="AK2" s="51"/>
      <c r="AL2" s="51"/>
      <c r="AM2" s="51"/>
      <c r="AN2" s="52"/>
    </row>
    <row r="3" spans="1:40" ht="20.25" customHeight="1" x14ac:dyDescent="0.2">
      <c r="A3" s="124"/>
      <c r="B3" s="255" t="s">
        <v>70</v>
      </c>
      <c r="C3" s="256"/>
      <c r="D3" s="256"/>
      <c r="E3" s="256"/>
      <c r="F3" s="256"/>
      <c r="G3" s="257"/>
      <c r="H3" s="53"/>
      <c r="I3" s="53"/>
      <c r="J3" s="255" t="s">
        <v>70</v>
      </c>
      <c r="K3" s="256"/>
      <c r="L3" s="256"/>
      <c r="M3" s="256"/>
      <c r="N3" s="256"/>
      <c r="O3" s="257"/>
      <c r="P3" s="53"/>
      <c r="Q3" s="53"/>
      <c r="R3" s="255" t="s">
        <v>70</v>
      </c>
      <c r="S3" s="256"/>
      <c r="T3" s="256"/>
      <c r="U3" s="256"/>
      <c r="V3" s="256"/>
      <c r="W3" s="257"/>
      <c r="X3" s="53"/>
      <c r="Y3" s="53"/>
      <c r="Z3" s="255" t="s">
        <v>70</v>
      </c>
      <c r="AA3" s="256"/>
      <c r="AB3" s="256"/>
      <c r="AC3" s="256"/>
      <c r="AD3" s="256"/>
      <c r="AE3" s="257"/>
      <c r="AF3" s="53"/>
      <c r="AG3" s="53"/>
      <c r="AH3" s="255" t="s">
        <v>71</v>
      </c>
      <c r="AI3" s="256"/>
      <c r="AJ3" s="256"/>
      <c r="AK3" s="256"/>
      <c r="AL3" s="256"/>
      <c r="AM3" s="257"/>
      <c r="AN3" s="53"/>
    </row>
    <row r="4" spans="1:40" ht="36" customHeight="1" x14ac:dyDescent="0.2">
      <c r="A4" s="124"/>
      <c r="B4" s="126"/>
      <c r="C4" s="20" t="s">
        <v>72</v>
      </c>
      <c r="D4" s="20" t="s">
        <v>52</v>
      </c>
      <c r="E4" s="20" t="s">
        <v>73</v>
      </c>
      <c r="F4" s="20" t="s">
        <v>74</v>
      </c>
      <c r="G4" s="20" t="s">
        <v>75</v>
      </c>
      <c r="H4" s="56"/>
      <c r="I4" s="54"/>
      <c r="J4" s="55"/>
      <c r="K4" s="20" t="s">
        <v>72</v>
      </c>
      <c r="L4" s="20" t="s">
        <v>52</v>
      </c>
      <c r="M4" s="20" t="s">
        <v>73</v>
      </c>
      <c r="N4" s="20" t="s">
        <v>74</v>
      </c>
      <c r="O4" s="20" t="s">
        <v>75</v>
      </c>
      <c r="P4" s="56"/>
      <c r="Q4" s="54"/>
      <c r="R4" s="55"/>
      <c r="S4" s="20" t="s">
        <v>72</v>
      </c>
      <c r="T4" s="20" t="s">
        <v>52</v>
      </c>
      <c r="U4" s="20" t="s">
        <v>73</v>
      </c>
      <c r="V4" s="20" t="s">
        <v>74</v>
      </c>
      <c r="W4" s="20" t="s">
        <v>75</v>
      </c>
      <c r="X4" s="56"/>
      <c r="Y4" s="54"/>
      <c r="Z4" s="55"/>
      <c r="AA4" s="20" t="s">
        <v>72</v>
      </c>
      <c r="AB4" s="20" t="s">
        <v>52</v>
      </c>
      <c r="AC4" s="20" t="s">
        <v>73</v>
      </c>
      <c r="AD4" s="20" t="s">
        <v>74</v>
      </c>
      <c r="AE4" s="20" t="s">
        <v>75</v>
      </c>
      <c r="AF4" s="56"/>
      <c r="AG4" s="54"/>
      <c r="AH4" s="55"/>
      <c r="AI4" s="20" t="s">
        <v>51</v>
      </c>
      <c r="AJ4" s="20" t="s">
        <v>52</v>
      </c>
      <c r="AK4" s="20" t="s">
        <v>73</v>
      </c>
      <c r="AL4" s="20" t="s">
        <v>74</v>
      </c>
      <c r="AM4" s="20" t="s">
        <v>76</v>
      </c>
      <c r="AN4" s="56"/>
    </row>
    <row r="5" spans="1:40" ht="30" customHeight="1" x14ac:dyDescent="0.2">
      <c r="A5" s="124"/>
      <c r="B5" s="131" t="s">
        <v>77</v>
      </c>
      <c r="C5" s="58">
        <v>1</v>
      </c>
      <c r="D5" s="25" t="s">
        <v>78</v>
      </c>
      <c r="E5" s="25" t="s">
        <v>79</v>
      </c>
      <c r="F5" s="59">
        <f t="shared" ref="F5:AD5" si="0">$C$45*0.7</f>
        <v>0</v>
      </c>
      <c r="G5" s="25" t="s">
        <v>80</v>
      </c>
      <c r="H5" s="56"/>
      <c r="I5" s="54"/>
      <c r="J5" s="57" t="s">
        <v>77</v>
      </c>
      <c r="K5" s="58">
        <v>1</v>
      </c>
      <c r="L5" s="25" t="s">
        <v>78</v>
      </c>
      <c r="M5" s="25" t="s">
        <v>79</v>
      </c>
      <c r="N5" s="59">
        <f t="shared" si="0"/>
        <v>0</v>
      </c>
      <c r="O5" s="25" t="s">
        <v>80</v>
      </c>
      <c r="P5" s="56"/>
      <c r="Q5" s="54"/>
      <c r="R5" s="57" t="s">
        <v>77</v>
      </c>
      <c r="S5" s="58">
        <v>1</v>
      </c>
      <c r="T5" s="25" t="s">
        <v>78</v>
      </c>
      <c r="U5" s="25" t="s">
        <v>79</v>
      </c>
      <c r="V5" s="59">
        <f t="shared" si="0"/>
        <v>0</v>
      </c>
      <c r="W5" s="25" t="s">
        <v>80</v>
      </c>
      <c r="X5" s="56"/>
      <c r="Y5" s="54"/>
      <c r="Z5" s="57" t="s">
        <v>77</v>
      </c>
      <c r="AA5" s="58">
        <v>1</v>
      </c>
      <c r="AB5" s="25" t="s">
        <v>78</v>
      </c>
      <c r="AC5" s="25" t="s">
        <v>79</v>
      </c>
      <c r="AD5" s="59">
        <f t="shared" si="0"/>
        <v>0</v>
      </c>
      <c r="AE5" s="25" t="s">
        <v>80</v>
      </c>
      <c r="AF5" s="56"/>
      <c r="AG5" s="54"/>
      <c r="AH5" s="57" t="s">
        <v>77</v>
      </c>
      <c r="AI5" s="25" t="s">
        <v>81</v>
      </c>
      <c r="AJ5" s="25" t="s">
        <v>82</v>
      </c>
      <c r="AK5" s="25" t="s">
        <v>83</v>
      </c>
      <c r="AL5" s="59">
        <f t="shared" ref="AL5:AL37" si="1">$C$45*0.6</f>
        <v>0</v>
      </c>
      <c r="AM5" s="25" t="s">
        <v>84</v>
      </c>
      <c r="AN5" s="56"/>
    </row>
    <row r="6" spans="1:40" ht="30" customHeight="1" x14ac:dyDescent="0.2">
      <c r="A6" s="124"/>
      <c r="B6" s="131" t="s">
        <v>57</v>
      </c>
      <c r="C6" s="260">
        <v>5</v>
      </c>
      <c r="D6" s="25" t="s">
        <v>85</v>
      </c>
      <c r="E6" s="60">
        <v>1</v>
      </c>
      <c r="F6" s="59">
        <f t="shared" ref="F6:V6" si="2">$C$45*1</f>
        <v>0</v>
      </c>
      <c r="G6" s="61" t="s">
        <v>86</v>
      </c>
      <c r="H6" s="56"/>
      <c r="I6" s="54"/>
      <c r="J6" s="57" t="s">
        <v>57</v>
      </c>
      <c r="K6" s="260">
        <v>5</v>
      </c>
      <c r="L6" s="25" t="s">
        <v>85</v>
      </c>
      <c r="M6" s="60">
        <v>1</v>
      </c>
      <c r="N6" s="59">
        <f t="shared" si="2"/>
        <v>0</v>
      </c>
      <c r="O6" s="61" t="s">
        <v>86</v>
      </c>
      <c r="P6" s="56"/>
      <c r="Q6" s="54"/>
      <c r="R6" s="57" t="s">
        <v>57</v>
      </c>
      <c r="S6" s="260">
        <v>5</v>
      </c>
      <c r="T6" s="25" t="s">
        <v>85</v>
      </c>
      <c r="U6" s="60">
        <v>1</v>
      </c>
      <c r="V6" s="59">
        <f t="shared" si="2"/>
        <v>0</v>
      </c>
      <c r="W6" s="61" t="s">
        <v>86</v>
      </c>
      <c r="X6" s="56"/>
      <c r="Y6" s="54"/>
      <c r="Z6" s="57" t="s">
        <v>57</v>
      </c>
      <c r="AA6" s="260">
        <v>5</v>
      </c>
      <c r="AB6" s="25" t="s">
        <v>85</v>
      </c>
      <c r="AC6" s="60">
        <v>1</v>
      </c>
      <c r="AD6" s="59">
        <f>$C$45*100</f>
        <v>0</v>
      </c>
      <c r="AE6" s="61" t="s">
        <v>86</v>
      </c>
      <c r="AF6" s="56"/>
      <c r="AG6" s="62"/>
      <c r="AH6" s="63"/>
      <c r="AI6" s="32"/>
      <c r="AJ6" s="64"/>
      <c r="AK6" s="65"/>
      <c r="AL6" s="66"/>
      <c r="AM6" s="32"/>
      <c r="AN6" s="67"/>
    </row>
    <row r="7" spans="1:40" ht="15.75" customHeight="1" x14ac:dyDescent="0.2">
      <c r="A7" s="124"/>
      <c r="B7" s="132"/>
      <c r="C7" s="259"/>
      <c r="D7" s="25" t="s">
        <v>85</v>
      </c>
      <c r="E7" s="60">
        <v>0.5</v>
      </c>
      <c r="F7" s="59">
        <f t="shared" ref="F7:AL15" si="3">$C$45*0.5</f>
        <v>0</v>
      </c>
      <c r="G7" s="69"/>
      <c r="H7" s="56"/>
      <c r="I7" s="54"/>
      <c r="J7" s="68"/>
      <c r="K7" s="259"/>
      <c r="L7" s="25" t="s">
        <v>85</v>
      </c>
      <c r="M7" s="60">
        <v>0.5</v>
      </c>
      <c r="N7" s="59">
        <f t="shared" si="3"/>
        <v>0</v>
      </c>
      <c r="O7" s="69"/>
      <c r="P7" s="56"/>
      <c r="Q7" s="54"/>
      <c r="R7" s="68"/>
      <c r="S7" s="259"/>
      <c r="T7" s="25" t="s">
        <v>85</v>
      </c>
      <c r="U7" s="60">
        <v>0.5</v>
      </c>
      <c r="V7" s="59">
        <f t="shared" si="3"/>
        <v>0</v>
      </c>
      <c r="W7" s="69"/>
      <c r="X7" s="56"/>
      <c r="Y7" s="54"/>
      <c r="Z7" s="68"/>
      <c r="AA7" s="259"/>
      <c r="AB7" s="25" t="s">
        <v>85</v>
      </c>
      <c r="AC7" s="60">
        <v>0.5</v>
      </c>
      <c r="AD7" s="59">
        <f t="shared" si="3"/>
        <v>0</v>
      </c>
      <c r="AE7" s="69"/>
      <c r="AF7" s="56"/>
      <c r="AG7" s="62"/>
      <c r="AH7" s="70"/>
      <c r="AI7" s="71"/>
      <c r="AJ7" s="72"/>
      <c r="AK7" s="73"/>
      <c r="AL7" s="74"/>
      <c r="AM7" s="71"/>
      <c r="AN7" s="67"/>
    </row>
    <row r="8" spans="1:40" ht="19.5" customHeight="1" x14ac:dyDescent="0.2">
      <c r="A8" s="124"/>
      <c r="B8" s="131" t="s">
        <v>87</v>
      </c>
      <c r="C8" s="260">
        <v>6</v>
      </c>
      <c r="D8" s="25" t="s">
        <v>159</v>
      </c>
      <c r="E8" s="60">
        <v>1.05</v>
      </c>
      <c r="F8" s="59">
        <f>$C$45*1.05</f>
        <v>0</v>
      </c>
      <c r="G8" s="258" t="s">
        <v>88</v>
      </c>
      <c r="H8" s="56"/>
      <c r="I8" s="54"/>
      <c r="J8" s="57" t="s">
        <v>87</v>
      </c>
      <c r="K8" s="260">
        <v>6</v>
      </c>
      <c r="L8" s="25" t="s">
        <v>159</v>
      </c>
      <c r="M8" s="60">
        <v>1.06</v>
      </c>
      <c r="N8" s="59">
        <f>$C$45*1.06</f>
        <v>0</v>
      </c>
      <c r="O8" s="258" t="s">
        <v>88</v>
      </c>
      <c r="P8" s="56"/>
      <c r="Q8" s="54"/>
      <c r="R8" s="57" t="s">
        <v>87</v>
      </c>
      <c r="S8" s="260">
        <v>6</v>
      </c>
      <c r="T8" s="25" t="s">
        <v>159</v>
      </c>
      <c r="U8" s="60">
        <v>1.07</v>
      </c>
      <c r="V8" s="59">
        <f>$C$45*1.07</f>
        <v>0</v>
      </c>
      <c r="W8" s="258" t="s">
        <v>88</v>
      </c>
      <c r="X8" s="56"/>
      <c r="Y8" s="54"/>
      <c r="Z8" s="57" t="s">
        <v>87</v>
      </c>
      <c r="AA8" s="260">
        <v>6</v>
      </c>
      <c r="AB8" s="25" t="s">
        <v>159</v>
      </c>
      <c r="AC8" s="60">
        <v>1.08</v>
      </c>
      <c r="AD8" s="59">
        <f>$C$45*1.08</f>
        <v>0</v>
      </c>
      <c r="AE8" s="258" t="s">
        <v>88</v>
      </c>
      <c r="AF8" s="56"/>
      <c r="AG8" s="62"/>
      <c r="AH8" s="70"/>
      <c r="AI8" s="71"/>
      <c r="AJ8" s="72"/>
      <c r="AK8" s="72"/>
      <c r="AL8" s="72"/>
      <c r="AM8" s="71"/>
      <c r="AN8" s="67"/>
    </row>
    <row r="9" spans="1:40" ht="15.75" customHeight="1" x14ac:dyDescent="0.2">
      <c r="A9" s="124"/>
      <c r="B9" s="132"/>
      <c r="C9" s="259"/>
      <c r="D9" s="25" t="s">
        <v>160</v>
      </c>
      <c r="E9" s="60">
        <v>0.5</v>
      </c>
      <c r="F9" s="59">
        <f t="shared" si="3"/>
        <v>0</v>
      </c>
      <c r="G9" s="259"/>
      <c r="H9" s="56"/>
      <c r="I9" s="54"/>
      <c r="J9" s="68"/>
      <c r="K9" s="259"/>
      <c r="L9" s="25" t="s">
        <v>160</v>
      </c>
      <c r="M9" s="60">
        <v>0.5</v>
      </c>
      <c r="N9" s="59">
        <f t="shared" si="3"/>
        <v>0</v>
      </c>
      <c r="O9" s="259"/>
      <c r="P9" s="56"/>
      <c r="Q9" s="54"/>
      <c r="R9" s="68"/>
      <c r="S9" s="259"/>
      <c r="T9" s="25" t="s">
        <v>160</v>
      </c>
      <c r="U9" s="60">
        <v>0.5</v>
      </c>
      <c r="V9" s="59">
        <f t="shared" si="3"/>
        <v>0</v>
      </c>
      <c r="W9" s="259"/>
      <c r="X9" s="56"/>
      <c r="Y9" s="54"/>
      <c r="Z9" s="68"/>
      <c r="AA9" s="259"/>
      <c r="AB9" s="25" t="s">
        <v>160</v>
      </c>
      <c r="AC9" s="60">
        <v>0.5</v>
      </c>
      <c r="AD9" s="59">
        <f t="shared" si="3"/>
        <v>0</v>
      </c>
      <c r="AE9" s="259"/>
      <c r="AF9" s="56"/>
      <c r="AG9" s="62"/>
      <c r="AH9" s="70"/>
      <c r="AI9" s="71"/>
      <c r="AJ9" s="72"/>
      <c r="AK9" s="72"/>
      <c r="AL9" s="72"/>
      <c r="AM9" s="71"/>
      <c r="AN9" s="67"/>
    </row>
    <row r="10" spans="1:40" ht="15.75" customHeight="1" x14ac:dyDescent="0.2">
      <c r="A10" s="124"/>
      <c r="B10" s="131" t="s">
        <v>60</v>
      </c>
      <c r="C10" s="58">
        <v>1</v>
      </c>
      <c r="D10" s="25" t="s">
        <v>103</v>
      </c>
      <c r="E10" s="60">
        <v>0.5</v>
      </c>
      <c r="F10" s="59">
        <f t="shared" si="3"/>
        <v>0</v>
      </c>
      <c r="G10" s="25" t="s">
        <v>94</v>
      </c>
      <c r="H10" s="56"/>
      <c r="I10" s="54"/>
      <c r="J10" s="57" t="s">
        <v>60</v>
      </c>
      <c r="K10" s="58">
        <v>1</v>
      </c>
      <c r="L10" s="25" t="s">
        <v>103</v>
      </c>
      <c r="M10" s="60">
        <v>0.5</v>
      </c>
      <c r="N10" s="59">
        <f t="shared" si="3"/>
        <v>0</v>
      </c>
      <c r="O10" s="25" t="s">
        <v>94</v>
      </c>
      <c r="P10" s="56"/>
      <c r="Q10" s="54"/>
      <c r="R10" s="57" t="s">
        <v>60</v>
      </c>
      <c r="S10" s="58">
        <v>1</v>
      </c>
      <c r="T10" s="25" t="s">
        <v>103</v>
      </c>
      <c r="U10" s="60">
        <v>0.5</v>
      </c>
      <c r="V10" s="59">
        <f t="shared" si="3"/>
        <v>0</v>
      </c>
      <c r="W10" s="25" t="s">
        <v>94</v>
      </c>
      <c r="X10" s="56"/>
      <c r="Y10" s="54"/>
      <c r="Z10" s="57" t="s">
        <v>60</v>
      </c>
      <c r="AA10" s="58">
        <v>1</v>
      </c>
      <c r="AB10" s="25" t="s">
        <v>103</v>
      </c>
      <c r="AC10" s="60">
        <v>0.5</v>
      </c>
      <c r="AD10" s="59">
        <f t="shared" si="3"/>
        <v>0</v>
      </c>
      <c r="AE10" s="25" t="s">
        <v>95</v>
      </c>
      <c r="AF10" s="56"/>
      <c r="AG10" s="62"/>
      <c r="AH10" s="70"/>
      <c r="AI10" s="70"/>
      <c r="AJ10" s="75"/>
      <c r="AK10" s="72"/>
      <c r="AL10" s="74"/>
      <c r="AM10" s="71"/>
      <c r="AN10" s="67"/>
    </row>
    <row r="11" spans="1:40" ht="20.25" customHeight="1" x14ac:dyDescent="0.2">
      <c r="A11" s="124"/>
      <c r="B11" s="132"/>
      <c r="C11" s="25" t="s">
        <v>63</v>
      </c>
      <c r="D11" s="25" t="s">
        <v>98</v>
      </c>
      <c r="E11" s="76"/>
      <c r="F11" s="76"/>
      <c r="G11" s="58"/>
      <c r="H11" s="56"/>
      <c r="I11" s="54"/>
      <c r="J11" s="68"/>
      <c r="K11" s="25" t="s">
        <v>63</v>
      </c>
      <c r="L11" s="25" t="s">
        <v>161</v>
      </c>
      <c r="M11" s="76"/>
      <c r="N11" s="76"/>
      <c r="O11" s="58"/>
      <c r="P11" s="56"/>
      <c r="Q11" s="54"/>
      <c r="R11" s="68"/>
      <c r="S11" s="25" t="s">
        <v>63</v>
      </c>
      <c r="T11" s="25" t="s">
        <v>162</v>
      </c>
      <c r="U11" s="76"/>
      <c r="V11" s="76"/>
      <c r="W11" s="58"/>
      <c r="X11" s="56"/>
      <c r="Y11" s="54"/>
      <c r="Z11" s="68"/>
      <c r="AA11" s="25" t="s">
        <v>63</v>
      </c>
      <c r="AB11" s="25" t="s">
        <v>163</v>
      </c>
      <c r="AC11" s="76"/>
      <c r="AD11" s="76"/>
      <c r="AE11" s="58"/>
      <c r="AF11" s="56"/>
      <c r="AG11" s="62"/>
      <c r="AH11" s="70"/>
      <c r="AI11" s="70"/>
      <c r="AJ11" s="75"/>
      <c r="AK11" s="72"/>
      <c r="AL11" s="74"/>
      <c r="AM11" s="71"/>
      <c r="AN11" s="67"/>
    </row>
    <row r="12" spans="1:40" ht="18.75" customHeight="1" x14ac:dyDescent="0.2">
      <c r="A12" s="133"/>
      <c r="B12" s="134"/>
      <c r="C12" s="78"/>
      <c r="D12" s="78"/>
      <c r="E12" s="78"/>
      <c r="F12" s="78"/>
      <c r="G12" s="78"/>
      <c r="H12" s="79"/>
      <c r="I12" s="77"/>
      <c r="J12" s="78"/>
      <c r="K12" s="78"/>
      <c r="L12" s="78"/>
      <c r="M12" s="78"/>
      <c r="N12" s="78"/>
      <c r="O12" s="78"/>
      <c r="P12" s="79"/>
      <c r="Q12" s="77"/>
      <c r="R12" s="78"/>
      <c r="S12" s="78"/>
      <c r="T12" s="78"/>
      <c r="U12" s="78"/>
      <c r="V12" s="78"/>
      <c r="W12" s="78"/>
      <c r="X12" s="79"/>
      <c r="Y12" s="77"/>
      <c r="Z12" s="78"/>
      <c r="AA12" s="78"/>
      <c r="AB12" s="78"/>
      <c r="AC12" s="78"/>
      <c r="AD12" s="78"/>
      <c r="AE12" s="78"/>
      <c r="AF12" s="79"/>
      <c r="AG12" s="62"/>
      <c r="AH12" s="80"/>
      <c r="AI12" s="80"/>
      <c r="AJ12" s="152"/>
      <c r="AK12" s="82"/>
      <c r="AL12" s="153"/>
      <c r="AM12" s="81"/>
      <c r="AN12" s="67"/>
    </row>
    <row r="13" spans="1:40" ht="20.25" customHeight="1" x14ac:dyDescent="0.2">
      <c r="A13" s="124"/>
      <c r="B13" s="255" t="s">
        <v>164</v>
      </c>
      <c r="C13" s="256"/>
      <c r="D13" s="256"/>
      <c r="E13" s="256"/>
      <c r="F13" s="256"/>
      <c r="G13" s="257"/>
      <c r="H13" s="53"/>
      <c r="I13" s="53"/>
      <c r="J13" s="255" t="s">
        <v>99</v>
      </c>
      <c r="K13" s="256"/>
      <c r="L13" s="256"/>
      <c r="M13" s="256"/>
      <c r="N13" s="256"/>
      <c r="O13" s="257"/>
      <c r="P13" s="53"/>
      <c r="Q13" s="53"/>
      <c r="R13" s="255" t="s">
        <v>99</v>
      </c>
      <c r="S13" s="256"/>
      <c r="T13" s="256"/>
      <c r="U13" s="256"/>
      <c r="V13" s="256"/>
      <c r="W13" s="257"/>
      <c r="X13" s="53"/>
      <c r="Y13" s="53"/>
      <c r="Z13" s="255" t="s">
        <v>99</v>
      </c>
      <c r="AA13" s="256"/>
      <c r="AB13" s="256"/>
      <c r="AC13" s="256"/>
      <c r="AD13" s="256"/>
      <c r="AE13" s="257"/>
      <c r="AF13" s="53"/>
      <c r="AG13" s="53"/>
      <c r="AH13" s="255" t="s">
        <v>100</v>
      </c>
      <c r="AI13" s="256"/>
      <c r="AJ13" s="256"/>
      <c r="AK13" s="256"/>
      <c r="AL13" s="256"/>
      <c r="AM13" s="257"/>
      <c r="AN13" s="53"/>
    </row>
    <row r="14" spans="1:40" ht="36" customHeight="1" x14ac:dyDescent="0.2">
      <c r="A14" s="124"/>
      <c r="B14" s="126"/>
      <c r="C14" s="20" t="s">
        <v>51</v>
      </c>
      <c r="D14" s="20" t="s">
        <v>52</v>
      </c>
      <c r="E14" s="20" t="s">
        <v>73</v>
      </c>
      <c r="F14" s="20" t="s">
        <v>74</v>
      </c>
      <c r="G14" s="20" t="s">
        <v>165</v>
      </c>
      <c r="H14" s="56"/>
      <c r="I14" s="54"/>
      <c r="J14" s="55"/>
      <c r="K14" s="20" t="s">
        <v>51</v>
      </c>
      <c r="L14" s="20" t="s">
        <v>52</v>
      </c>
      <c r="M14" s="20" t="s">
        <v>73</v>
      </c>
      <c r="N14" s="20" t="s">
        <v>74</v>
      </c>
      <c r="O14" s="20" t="s">
        <v>101</v>
      </c>
      <c r="P14" s="56"/>
      <c r="Q14" s="54"/>
      <c r="R14" s="55"/>
      <c r="S14" s="20" t="s">
        <v>51</v>
      </c>
      <c r="T14" s="20" t="s">
        <v>52</v>
      </c>
      <c r="U14" s="20" t="s">
        <v>73</v>
      </c>
      <c r="V14" s="20" t="s">
        <v>74</v>
      </c>
      <c r="W14" s="20" t="s">
        <v>101</v>
      </c>
      <c r="X14" s="56"/>
      <c r="Y14" s="54"/>
      <c r="Z14" s="55"/>
      <c r="AA14" s="20" t="s">
        <v>51</v>
      </c>
      <c r="AB14" s="20" t="s">
        <v>52</v>
      </c>
      <c r="AC14" s="20" t="s">
        <v>73</v>
      </c>
      <c r="AD14" s="20" t="s">
        <v>74</v>
      </c>
      <c r="AE14" s="20" t="s">
        <v>101</v>
      </c>
      <c r="AF14" s="56"/>
      <c r="AG14" s="54"/>
      <c r="AH14" s="55"/>
      <c r="AI14" s="20" t="s">
        <v>51</v>
      </c>
      <c r="AJ14" s="20" t="s">
        <v>52</v>
      </c>
      <c r="AK14" s="20" t="s">
        <v>73</v>
      </c>
      <c r="AL14" s="20" t="s">
        <v>74</v>
      </c>
      <c r="AM14" s="20" t="s">
        <v>102</v>
      </c>
      <c r="AN14" s="56"/>
    </row>
    <row r="15" spans="1:40" ht="30" customHeight="1" x14ac:dyDescent="0.2">
      <c r="A15" s="124"/>
      <c r="B15" s="131" t="s">
        <v>77</v>
      </c>
      <c r="C15" s="25" t="s">
        <v>81</v>
      </c>
      <c r="D15" s="25" t="s">
        <v>103</v>
      </c>
      <c r="E15" s="25" t="s">
        <v>166</v>
      </c>
      <c r="F15" s="59">
        <f t="shared" ref="F15:AD15" si="4">$C$45*0.9</f>
        <v>0</v>
      </c>
      <c r="G15" s="25" t="s">
        <v>167</v>
      </c>
      <c r="H15" s="56"/>
      <c r="I15" s="54"/>
      <c r="J15" s="57" t="s">
        <v>77</v>
      </c>
      <c r="K15" s="25" t="s">
        <v>81</v>
      </c>
      <c r="L15" s="25" t="s">
        <v>103</v>
      </c>
      <c r="M15" s="25" t="s">
        <v>168</v>
      </c>
      <c r="N15" s="59">
        <f t="shared" si="4"/>
        <v>0</v>
      </c>
      <c r="O15" s="25" t="s">
        <v>167</v>
      </c>
      <c r="P15" s="56"/>
      <c r="Q15" s="54"/>
      <c r="R15" s="57" t="s">
        <v>77</v>
      </c>
      <c r="S15" s="25" t="s">
        <v>81</v>
      </c>
      <c r="T15" s="25" t="s">
        <v>103</v>
      </c>
      <c r="U15" s="25" t="s">
        <v>168</v>
      </c>
      <c r="V15" s="59">
        <f t="shared" si="4"/>
        <v>0</v>
      </c>
      <c r="W15" s="25" t="s">
        <v>167</v>
      </c>
      <c r="X15" s="56"/>
      <c r="Y15" s="54"/>
      <c r="Z15" s="57" t="s">
        <v>77</v>
      </c>
      <c r="AA15" s="25" t="s">
        <v>81</v>
      </c>
      <c r="AB15" s="25" t="s">
        <v>103</v>
      </c>
      <c r="AC15" s="25" t="s">
        <v>168</v>
      </c>
      <c r="AD15" s="59">
        <f t="shared" si="4"/>
        <v>0</v>
      </c>
      <c r="AE15" s="25" t="s">
        <v>167</v>
      </c>
      <c r="AF15" s="56"/>
      <c r="AG15" s="54"/>
      <c r="AH15" s="57" t="s">
        <v>77</v>
      </c>
      <c r="AI15" s="25" t="s">
        <v>81</v>
      </c>
      <c r="AJ15" s="25" t="s">
        <v>78</v>
      </c>
      <c r="AK15" s="25" t="s">
        <v>106</v>
      </c>
      <c r="AL15" s="59">
        <f t="shared" si="3"/>
        <v>0</v>
      </c>
      <c r="AM15" s="25" t="s">
        <v>107</v>
      </c>
      <c r="AN15" s="56"/>
    </row>
    <row r="16" spans="1:40" ht="78.75" customHeight="1" x14ac:dyDescent="0.2">
      <c r="A16" s="124"/>
      <c r="B16" s="269" t="s">
        <v>57</v>
      </c>
      <c r="C16" s="260">
        <v>2</v>
      </c>
      <c r="D16" s="25" t="s">
        <v>89</v>
      </c>
      <c r="E16" s="60">
        <v>0.95</v>
      </c>
      <c r="F16" s="59">
        <f t="shared" ref="F16:N16" si="5">$C$45*0.95</f>
        <v>0</v>
      </c>
      <c r="G16" s="25" t="s">
        <v>169</v>
      </c>
      <c r="H16" s="56"/>
      <c r="I16" s="54"/>
      <c r="J16" s="271" t="s">
        <v>57</v>
      </c>
      <c r="K16" s="260">
        <v>2</v>
      </c>
      <c r="L16" s="25" t="s">
        <v>89</v>
      </c>
      <c r="M16" s="60">
        <v>0.95</v>
      </c>
      <c r="N16" s="59">
        <f t="shared" si="5"/>
        <v>0</v>
      </c>
      <c r="O16" s="25" t="s">
        <v>169</v>
      </c>
      <c r="P16" s="56"/>
      <c r="Q16" s="54"/>
      <c r="R16" s="271" t="s">
        <v>57</v>
      </c>
      <c r="S16" s="260">
        <v>2</v>
      </c>
      <c r="T16" s="25" t="s">
        <v>89</v>
      </c>
      <c r="U16" s="60">
        <v>0.97499999999999998</v>
      </c>
      <c r="V16" s="59">
        <f t="shared" ref="V16:AD16" si="6">$C$45*0.98</f>
        <v>0</v>
      </c>
      <c r="W16" s="25" t="s">
        <v>169</v>
      </c>
      <c r="X16" s="56"/>
      <c r="Y16" s="54"/>
      <c r="Z16" s="271" t="s">
        <v>57</v>
      </c>
      <c r="AA16" s="260">
        <v>2</v>
      </c>
      <c r="AB16" s="25" t="s">
        <v>89</v>
      </c>
      <c r="AC16" s="60">
        <v>0.97499999999999998</v>
      </c>
      <c r="AD16" s="59">
        <f t="shared" si="6"/>
        <v>0</v>
      </c>
      <c r="AE16" s="25" t="s">
        <v>169</v>
      </c>
      <c r="AF16" s="56"/>
      <c r="AG16" s="54"/>
      <c r="AH16" s="57" t="s">
        <v>57</v>
      </c>
      <c r="AI16" s="25" t="s">
        <v>58</v>
      </c>
      <c r="AJ16" s="25" t="s">
        <v>112</v>
      </c>
      <c r="AK16" s="60">
        <v>0.6</v>
      </c>
      <c r="AL16" s="59">
        <f t="shared" si="1"/>
        <v>0</v>
      </c>
      <c r="AM16" s="25" t="s">
        <v>108</v>
      </c>
      <c r="AN16" s="56"/>
    </row>
    <row r="17" spans="1:40" ht="15" customHeight="1" x14ac:dyDescent="0.2">
      <c r="A17" s="124"/>
      <c r="B17" s="270"/>
      <c r="C17" s="259"/>
      <c r="D17" s="25" t="s">
        <v>78</v>
      </c>
      <c r="E17" s="60">
        <v>0.5</v>
      </c>
      <c r="F17" s="59">
        <f t="shared" ref="F17:AL18" si="7">$C$45*0.5</f>
        <v>0</v>
      </c>
      <c r="G17" s="25" t="s">
        <v>170</v>
      </c>
      <c r="H17" s="56"/>
      <c r="I17" s="54"/>
      <c r="J17" s="272"/>
      <c r="K17" s="259"/>
      <c r="L17" s="25" t="s">
        <v>90</v>
      </c>
      <c r="M17" s="60">
        <v>0.5</v>
      </c>
      <c r="N17" s="59">
        <f t="shared" si="7"/>
        <v>0</v>
      </c>
      <c r="O17" s="25" t="s">
        <v>170</v>
      </c>
      <c r="P17" s="56"/>
      <c r="Q17" s="54"/>
      <c r="R17" s="272"/>
      <c r="S17" s="259"/>
      <c r="T17" s="25" t="s">
        <v>78</v>
      </c>
      <c r="U17" s="60">
        <v>0.5</v>
      </c>
      <c r="V17" s="59">
        <f t="shared" si="7"/>
        <v>0</v>
      </c>
      <c r="W17" s="25" t="s">
        <v>170</v>
      </c>
      <c r="X17" s="56"/>
      <c r="Y17" s="54"/>
      <c r="Z17" s="272"/>
      <c r="AA17" s="259"/>
      <c r="AB17" s="25" t="s">
        <v>90</v>
      </c>
      <c r="AC17" s="60">
        <v>0.5</v>
      </c>
      <c r="AD17" s="59">
        <f t="shared" si="7"/>
        <v>0</v>
      </c>
      <c r="AE17" s="25" t="s">
        <v>170</v>
      </c>
      <c r="AF17" s="56"/>
      <c r="AG17" s="54"/>
      <c r="AH17" s="57" t="s">
        <v>60</v>
      </c>
      <c r="AI17" s="25" t="s">
        <v>113</v>
      </c>
      <c r="AJ17" s="25" t="s">
        <v>78</v>
      </c>
      <c r="AK17" s="60">
        <v>0.5</v>
      </c>
      <c r="AL17" s="59">
        <f t="shared" si="7"/>
        <v>0</v>
      </c>
      <c r="AM17" s="25" t="s">
        <v>94</v>
      </c>
      <c r="AN17" s="56"/>
    </row>
    <row r="18" spans="1:40" ht="18" customHeight="1" x14ac:dyDescent="0.2">
      <c r="A18" s="133"/>
      <c r="B18" s="131" t="s">
        <v>60</v>
      </c>
      <c r="C18" s="25" t="s">
        <v>113</v>
      </c>
      <c r="D18" s="25" t="s">
        <v>103</v>
      </c>
      <c r="E18" s="60">
        <v>0.5</v>
      </c>
      <c r="F18" s="59">
        <f t="shared" si="7"/>
        <v>0</v>
      </c>
      <c r="G18" s="25" t="s">
        <v>94</v>
      </c>
      <c r="H18" s="94"/>
      <c r="I18" s="93"/>
      <c r="J18" s="57" t="s">
        <v>60</v>
      </c>
      <c r="K18" s="25" t="s">
        <v>113</v>
      </c>
      <c r="L18" s="25" t="s">
        <v>103</v>
      </c>
      <c r="M18" s="60">
        <v>0.5</v>
      </c>
      <c r="N18" s="59">
        <f t="shared" si="7"/>
        <v>0</v>
      </c>
      <c r="O18" s="25" t="s">
        <v>94</v>
      </c>
      <c r="P18" s="94"/>
      <c r="Q18" s="93"/>
      <c r="R18" s="57" t="s">
        <v>60</v>
      </c>
      <c r="S18" s="25" t="s">
        <v>113</v>
      </c>
      <c r="T18" s="25" t="s">
        <v>103</v>
      </c>
      <c r="U18" s="60">
        <v>0.5</v>
      </c>
      <c r="V18" s="59">
        <f t="shared" si="7"/>
        <v>0</v>
      </c>
      <c r="W18" s="25" t="s">
        <v>94</v>
      </c>
      <c r="X18" s="94"/>
      <c r="Y18" s="93"/>
      <c r="Z18" s="57" t="s">
        <v>60</v>
      </c>
      <c r="AA18" s="25" t="s">
        <v>113</v>
      </c>
      <c r="AB18" s="25" t="s">
        <v>103</v>
      </c>
      <c r="AC18" s="60">
        <v>0.5</v>
      </c>
      <c r="AD18" s="59">
        <f t="shared" si="7"/>
        <v>0</v>
      </c>
      <c r="AE18" s="25" t="s">
        <v>94</v>
      </c>
      <c r="AF18" s="94"/>
      <c r="AG18" s="54"/>
      <c r="AH18" s="68"/>
      <c r="AI18" s="25" t="s">
        <v>63</v>
      </c>
      <c r="AJ18" s="25" t="s">
        <v>114</v>
      </c>
      <c r="AK18" s="76"/>
      <c r="AL18" s="76"/>
      <c r="AM18" s="58"/>
      <c r="AN18" s="56"/>
    </row>
    <row r="19" spans="1:40" ht="20.25" customHeight="1" x14ac:dyDescent="0.2">
      <c r="A19" s="139"/>
      <c r="B19" s="132"/>
      <c r="C19" s="25" t="s">
        <v>63</v>
      </c>
      <c r="D19" s="25" t="s">
        <v>97</v>
      </c>
      <c r="E19" s="76"/>
      <c r="F19" s="76"/>
      <c r="G19" s="58"/>
      <c r="H19" s="84"/>
      <c r="I19" s="83"/>
      <c r="J19" s="68"/>
      <c r="K19" s="25" t="s">
        <v>63</v>
      </c>
      <c r="L19" s="25" t="s">
        <v>97</v>
      </c>
      <c r="M19" s="76"/>
      <c r="N19" s="76"/>
      <c r="O19" s="58"/>
      <c r="P19" s="84"/>
      <c r="Q19" s="83"/>
      <c r="R19" s="68"/>
      <c r="S19" s="25" t="s">
        <v>63</v>
      </c>
      <c r="T19" s="25" t="s">
        <v>97</v>
      </c>
      <c r="U19" s="76"/>
      <c r="V19" s="76"/>
      <c r="W19" s="58"/>
      <c r="X19" s="84"/>
      <c r="Y19" s="83"/>
      <c r="Z19" s="68"/>
      <c r="AA19" s="25" t="s">
        <v>63</v>
      </c>
      <c r="AB19" s="25" t="s">
        <v>97</v>
      </c>
      <c r="AC19" s="76"/>
      <c r="AD19" s="76"/>
      <c r="AE19" s="58"/>
      <c r="AF19" s="84"/>
      <c r="AG19" s="100"/>
      <c r="AH19" s="63"/>
      <c r="AI19" s="63"/>
      <c r="AJ19" s="154"/>
      <c r="AK19" s="64"/>
      <c r="AL19" s="66"/>
      <c r="AM19" s="32"/>
      <c r="AN19" s="102"/>
    </row>
    <row r="20" spans="1:40" ht="16.5" customHeight="1" x14ac:dyDescent="0.2">
      <c r="A20" s="124"/>
      <c r="B20" s="138"/>
      <c r="C20" s="86"/>
      <c r="D20" s="87"/>
      <c r="E20" s="87"/>
      <c r="F20" s="87"/>
      <c r="G20" s="86"/>
      <c r="H20" s="67"/>
      <c r="I20" s="62"/>
      <c r="J20" s="85"/>
      <c r="K20" s="86"/>
      <c r="L20" s="87"/>
      <c r="M20" s="87"/>
      <c r="N20" s="87"/>
      <c r="O20" s="86"/>
      <c r="P20" s="67"/>
      <c r="Q20" s="62"/>
      <c r="R20" s="85"/>
      <c r="S20" s="86"/>
      <c r="T20" s="87"/>
      <c r="U20" s="87"/>
      <c r="V20" s="87"/>
      <c r="W20" s="86"/>
      <c r="X20" s="67"/>
      <c r="Y20" s="62"/>
      <c r="Z20" s="85"/>
      <c r="AA20" s="86"/>
      <c r="AB20" s="87"/>
      <c r="AC20" s="87"/>
      <c r="AD20" s="87"/>
      <c r="AE20" s="86"/>
      <c r="AF20" s="67"/>
      <c r="AG20" s="62"/>
      <c r="AH20" s="104"/>
      <c r="AI20" s="104"/>
      <c r="AJ20" s="104"/>
      <c r="AK20" s="104"/>
      <c r="AL20" s="104"/>
      <c r="AM20" s="104"/>
      <c r="AN20" s="67"/>
    </row>
    <row r="21" spans="1:40" ht="20.25" customHeight="1" x14ac:dyDescent="0.2">
      <c r="A21" s="124"/>
      <c r="B21" s="255" t="s">
        <v>115</v>
      </c>
      <c r="C21" s="256"/>
      <c r="D21" s="256"/>
      <c r="E21" s="256"/>
      <c r="F21" s="256"/>
      <c r="G21" s="257"/>
      <c r="H21" s="53"/>
      <c r="I21" s="53"/>
      <c r="J21" s="255" t="s">
        <v>115</v>
      </c>
      <c r="K21" s="256"/>
      <c r="L21" s="256"/>
      <c r="M21" s="256"/>
      <c r="N21" s="256"/>
      <c r="O21" s="257"/>
      <c r="P21" s="53"/>
      <c r="Q21" s="53"/>
      <c r="R21" s="255" t="s">
        <v>115</v>
      </c>
      <c r="S21" s="256"/>
      <c r="T21" s="256"/>
      <c r="U21" s="256"/>
      <c r="V21" s="256"/>
      <c r="W21" s="257"/>
      <c r="X21" s="53"/>
      <c r="Y21" s="53"/>
      <c r="Z21" s="255" t="s">
        <v>115</v>
      </c>
      <c r="AA21" s="256"/>
      <c r="AB21" s="256"/>
      <c r="AC21" s="256"/>
      <c r="AD21" s="256"/>
      <c r="AE21" s="257"/>
      <c r="AF21" s="53"/>
      <c r="AG21" s="53"/>
      <c r="AH21" s="265" t="s">
        <v>116</v>
      </c>
      <c r="AI21" s="266"/>
      <c r="AJ21" s="266"/>
      <c r="AK21" s="266"/>
      <c r="AL21" s="266"/>
      <c r="AM21" s="267"/>
      <c r="AN21" s="53"/>
    </row>
    <row r="22" spans="1:40" ht="36" customHeight="1" x14ac:dyDescent="0.2">
      <c r="A22" s="124"/>
      <c r="B22" s="126"/>
      <c r="C22" s="20" t="s">
        <v>51</v>
      </c>
      <c r="D22" s="20" t="s">
        <v>52</v>
      </c>
      <c r="E22" s="20" t="s">
        <v>73</v>
      </c>
      <c r="F22" s="20" t="s">
        <v>74</v>
      </c>
      <c r="G22" s="20" t="s">
        <v>102</v>
      </c>
      <c r="H22" s="56"/>
      <c r="I22" s="54"/>
      <c r="J22" s="55"/>
      <c r="K22" s="20" t="s">
        <v>51</v>
      </c>
      <c r="L22" s="20" t="s">
        <v>52</v>
      </c>
      <c r="M22" s="20" t="s">
        <v>73</v>
      </c>
      <c r="N22" s="20" t="s">
        <v>74</v>
      </c>
      <c r="O22" s="20" t="s">
        <v>102</v>
      </c>
      <c r="P22" s="56"/>
      <c r="Q22" s="54"/>
      <c r="R22" s="55"/>
      <c r="S22" s="20" t="s">
        <v>51</v>
      </c>
      <c r="T22" s="20" t="s">
        <v>52</v>
      </c>
      <c r="U22" s="20" t="s">
        <v>73</v>
      </c>
      <c r="V22" s="20" t="s">
        <v>74</v>
      </c>
      <c r="W22" s="20" t="s">
        <v>102</v>
      </c>
      <c r="X22" s="56"/>
      <c r="Y22" s="54"/>
      <c r="Z22" s="55"/>
      <c r="AA22" s="20" t="s">
        <v>51</v>
      </c>
      <c r="AB22" s="20" t="s">
        <v>52</v>
      </c>
      <c r="AC22" s="20" t="s">
        <v>73</v>
      </c>
      <c r="AD22" s="20" t="s">
        <v>74</v>
      </c>
      <c r="AE22" s="20" t="s">
        <v>102</v>
      </c>
      <c r="AF22" s="56"/>
      <c r="AG22" s="54"/>
      <c r="AH22" s="88"/>
      <c r="AI22" s="89" t="s">
        <v>51</v>
      </c>
      <c r="AJ22" s="89" t="s">
        <v>52</v>
      </c>
      <c r="AK22" s="88"/>
      <c r="AL22" s="88"/>
      <c r="AM22" s="89" t="s">
        <v>117</v>
      </c>
      <c r="AN22" s="56"/>
    </row>
    <row r="23" spans="1:40" ht="45" customHeight="1" x14ac:dyDescent="0.2">
      <c r="A23" s="124"/>
      <c r="B23" s="131" t="s">
        <v>77</v>
      </c>
      <c r="C23" s="25" t="s">
        <v>81</v>
      </c>
      <c r="D23" s="25" t="s">
        <v>103</v>
      </c>
      <c r="E23" s="25" t="s">
        <v>83</v>
      </c>
      <c r="F23" s="59">
        <f>$C$45*0.6</f>
        <v>0</v>
      </c>
      <c r="G23" s="25" t="s">
        <v>119</v>
      </c>
      <c r="H23" s="56"/>
      <c r="I23" s="54"/>
      <c r="J23" s="57" t="s">
        <v>77</v>
      </c>
      <c r="K23" s="25" t="s">
        <v>81</v>
      </c>
      <c r="L23" s="57" t="s">
        <v>103</v>
      </c>
      <c r="M23" s="25" t="s">
        <v>83</v>
      </c>
      <c r="N23" s="59">
        <f>$C$45*0.6</f>
        <v>0</v>
      </c>
      <c r="O23" s="25" t="s">
        <v>119</v>
      </c>
      <c r="P23" s="56"/>
      <c r="Q23" s="54"/>
      <c r="R23" s="57" t="s">
        <v>77</v>
      </c>
      <c r="S23" s="25" t="s">
        <v>81</v>
      </c>
      <c r="T23" s="25" t="s">
        <v>103</v>
      </c>
      <c r="U23" s="25" t="s">
        <v>83</v>
      </c>
      <c r="V23" s="59">
        <f>$C$45*0.6</f>
        <v>0</v>
      </c>
      <c r="W23" s="25" t="s">
        <v>119</v>
      </c>
      <c r="X23" s="56"/>
      <c r="Y23" s="54"/>
      <c r="Z23" s="57" t="s">
        <v>77</v>
      </c>
      <c r="AA23" s="25" t="s">
        <v>81</v>
      </c>
      <c r="AB23" s="57" t="s">
        <v>103</v>
      </c>
      <c r="AC23" s="25" t="s">
        <v>83</v>
      </c>
      <c r="AD23" s="59">
        <f>$C$45*0.6</f>
        <v>0</v>
      </c>
      <c r="AE23" s="25" t="s">
        <v>119</v>
      </c>
      <c r="AF23" s="56"/>
      <c r="AG23" s="54"/>
      <c r="AH23" s="90" t="s">
        <v>77</v>
      </c>
      <c r="AI23" s="91" t="s">
        <v>81</v>
      </c>
      <c r="AJ23" s="91" t="s">
        <v>120</v>
      </c>
      <c r="AK23" s="92"/>
      <c r="AL23" s="92"/>
      <c r="AM23" s="91" t="s">
        <v>121</v>
      </c>
      <c r="AN23" s="56"/>
    </row>
    <row r="24" spans="1:40" ht="75" customHeight="1" x14ac:dyDescent="0.2">
      <c r="A24" s="124"/>
      <c r="B24" s="131" t="s">
        <v>57</v>
      </c>
      <c r="C24" s="25" t="s">
        <v>58</v>
      </c>
      <c r="D24" s="25" t="s">
        <v>171</v>
      </c>
      <c r="E24" s="25" t="s">
        <v>145</v>
      </c>
      <c r="F24" s="59">
        <f t="shared" ref="F24:AD24" si="8">$C$45*0.75</f>
        <v>0</v>
      </c>
      <c r="G24" s="25" t="s">
        <v>123</v>
      </c>
      <c r="H24" s="56"/>
      <c r="I24" s="54"/>
      <c r="J24" s="57" t="s">
        <v>57</v>
      </c>
      <c r="K24" s="25" t="s">
        <v>58</v>
      </c>
      <c r="L24" s="57" t="s">
        <v>172</v>
      </c>
      <c r="M24" s="25" t="s">
        <v>145</v>
      </c>
      <c r="N24" s="59">
        <f t="shared" si="8"/>
        <v>0</v>
      </c>
      <c r="O24" s="25" t="s">
        <v>123</v>
      </c>
      <c r="P24" s="56"/>
      <c r="Q24" s="54"/>
      <c r="R24" s="57" t="s">
        <v>57</v>
      </c>
      <c r="S24" s="25" t="s">
        <v>58</v>
      </c>
      <c r="T24" s="25" t="s">
        <v>173</v>
      </c>
      <c r="U24" s="25" t="s">
        <v>145</v>
      </c>
      <c r="V24" s="59">
        <f t="shared" si="8"/>
        <v>0</v>
      </c>
      <c r="W24" s="25" t="s">
        <v>123</v>
      </c>
      <c r="X24" s="56"/>
      <c r="Y24" s="54"/>
      <c r="Z24" s="57" t="s">
        <v>57</v>
      </c>
      <c r="AA24" s="25" t="s">
        <v>58</v>
      </c>
      <c r="AB24" s="57" t="s">
        <v>174</v>
      </c>
      <c r="AC24" s="25" t="s">
        <v>145</v>
      </c>
      <c r="AD24" s="59">
        <f t="shared" si="8"/>
        <v>0</v>
      </c>
      <c r="AE24" s="25" t="s">
        <v>123</v>
      </c>
      <c r="AF24" s="56"/>
      <c r="AG24" s="54"/>
      <c r="AH24" s="90" t="s">
        <v>57</v>
      </c>
      <c r="AI24" s="91" t="s">
        <v>58</v>
      </c>
      <c r="AJ24" s="91" t="s">
        <v>120</v>
      </c>
      <c r="AK24" s="92"/>
      <c r="AL24" s="92"/>
      <c r="AM24" s="91" t="s">
        <v>59</v>
      </c>
      <c r="AN24" s="56"/>
    </row>
    <row r="25" spans="1:40" ht="30" customHeight="1" x14ac:dyDescent="0.2">
      <c r="A25" s="133"/>
      <c r="B25" s="131" t="s">
        <v>60</v>
      </c>
      <c r="C25" s="25" t="s">
        <v>113</v>
      </c>
      <c r="D25" s="25" t="s">
        <v>103</v>
      </c>
      <c r="E25" s="60">
        <v>0.5</v>
      </c>
      <c r="F25" s="59">
        <f t="shared" ref="F25:AL32" si="9">$C$45*0.5</f>
        <v>0</v>
      </c>
      <c r="G25" s="25" t="s">
        <v>94</v>
      </c>
      <c r="H25" s="94"/>
      <c r="I25" s="93"/>
      <c r="J25" s="57" t="s">
        <v>60</v>
      </c>
      <c r="K25" s="25" t="s">
        <v>113</v>
      </c>
      <c r="L25" s="57" t="s">
        <v>103</v>
      </c>
      <c r="M25" s="60">
        <v>0.5</v>
      </c>
      <c r="N25" s="59">
        <f t="shared" si="9"/>
        <v>0</v>
      </c>
      <c r="O25" s="25" t="s">
        <v>94</v>
      </c>
      <c r="P25" s="94"/>
      <c r="Q25" s="93"/>
      <c r="R25" s="57" t="s">
        <v>60</v>
      </c>
      <c r="S25" s="25" t="s">
        <v>113</v>
      </c>
      <c r="T25" s="25" t="s">
        <v>103</v>
      </c>
      <c r="U25" s="60">
        <v>0.5</v>
      </c>
      <c r="V25" s="59">
        <f t="shared" si="9"/>
        <v>0</v>
      </c>
      <c r="W25" s="25" t="s">
        <v>94</v>
      </c>
      <c r="X25" s="94"/>
      <c r="Y25" s="93"/>
      <c r="Z25" s="57" t="s">
        <v>60</v>
      </c>
      <c r="AA25" s="25" t="s">
        <v>113</v>
      </c>
      <c r="AB25" s="57" t="s">
        <v>103</v>
      </c>
      <c r="AC25" s="60">
        <v>0.5</v>
      </c>
      <c r="AD25" s="59">
        <f t="shared" si="9"/>
        <v>0</v>
      </c>
      <c r="AE25" s="25" t="s">
        <v>94</v>
      </c>
      <c r="AF25" s="94"/>
      <c r="AG25" s="93"/>
      <c r="AH25" s="90" t="s">
        <v>60</v>
      </c>
      <c r="AI25" s="91" t="s">
        <v>113</v>
      </c>
      <c r="AJ25" s="91" t="s">
        <v>103</v>
      </c>
      <c r="AK25" s="92"/>
      <c r="AL25" s="92"/>
      <c r="AM25" s="91" t="s">
        <v>62</v>
      </c>
      <c r="AN25" s="94"/>
    </row>
    <row r="26" spans="1:40" ht="20.25" customHeight="1" x14ac:dyDescent="0.2">
      <c r="A26" s="139"/>
      <c r="B26" s="132"/>
      <c r="C26" s="25" t="s">
        <v>63</v>
      </c>
      <c r="D26" s="25" t="s">
        <v>175</v>
      </c>
      <c r="E26" s="76"/>
      <c r="F26" s="76"/>
      <c r="G26" s="58"/>
      <c r="H26" s="84"/>
      <c r="I26" s="83"/>
      <c r="J26" s="68"/>
      <c r="K26" s="25" t="s">
        <v>63</v>
      </c>
      <c r="L26" s="57" t="s">
        <v>176</v>
      </c>
      <c r="M26" s="76"/>
      <c r="N26" s="76"/>
      <c r="O26" s="58"/>
      <c r="P26" s="84"/>
      <c r="Q26" s="83"/>
      <c r="R26" s="68"/>
      <c r="S26" s="25" t="s">
        <v>63</v>
      </c>
      <c r="T26" s="25" t="s">
        <v>177</v>
      </c>
      <c r="U26" s="76"/>
      <c r="V26" s="76"/>
      <c r="W26" s="58"/>
      <c r="X26" s="84"/>
      <c r="Y26" s="83"/>
      <c r="Z26" s="68"/>
      <c r="AA26" s="25" t="s">
        <v>63</v>
      </c>
      <c r="AB26" s="57" t="s">
        <v>178</v>
      </c>
      <c r="AC26" s="76"/>
      <c r="AD26" s="76"/>
      <c r="AE26" s="58"/>
      <c r="AF26" s="84"/>
      <c r="AG26" s="83"/>
      <c r="AH26" s="95"/>
      <c r="AI26" s="91" t="s">
        <v>63</v>
      </c>
      <c r="AJ26" s="91" t="s">
        <v>98</v>
      </c>
      <c r="AK26" s="92"/>
      <c r="AL26" s="29"/>
      <c r="AM26" s="96" t="s">
        <v>64</v>
      </c>
      <c r="AN26" s="84"/>
    </row>
    <row r="27" spans="1:40" ht="15.75" customHeight="1" x14ac:dyDescent="0.2">
      <c r="A27" s="124"/>
      <c r="B27" s="134"/>
      <c r="C27" s="78"/>
      <c r="D27" s="78"/>
      <c r="E27" s="78"/>
      <c r="F27" s="78"/>
      <c r="G27" s="78"/>
      <c r="H27" s="67"/>
      <c r="I27" s="62"/>
      <c r="J27" s="78"/>
      <c r="K27" s="78"/>
      <c r="L27" s="78"/>
      <c r="M27" s="78"/>
      <c r="N27" s="78"/>
      <c r="O27" s="78"/>
      <c r="P27" s="67"/>
      <c r="Q27" s="62"/>
      <c r="R27" s="78"/>
      <c r="S27" s="78"/>
      <c r="T27" s="78"/>
      <c r="U27" s="78"/>
      <c r="V27" s="78"/>
      <c r="W27" s="78"/>
      <c r="X27" s="67"/>
      <c r="Y27" s="62"/>
      <c r="Z27" s="78"/>
      <c r="AA27" s="78"/>
      <c r="AB27" s="78"/>
      <c r="AC27" s="78"/>
      <c r="AD27" s="78"/>
      <c r="AE27" s="78"/>
      <c r="AF27" s="67"/>
      <c r="AG27" s="62"/>
      <c r="AH27" s="78"/>
      <c r="AI27" s="78"/>
      <c r="AJ27" s="78"/>
      <c r="AK27" s="78"/>
      <c r="AL27" s="78"/>
      <c r="AM27" s="78"/>
      <c r="AN27" s="67"/>
    </row>
    <row r="28" spans="1:40" ht="20.25" customHeight="1" x14ac:dyDescent="0.2">
      <c r="A28" s="133"/>
      <c r="B28" s="255" t="s">
        <v>131</v>
      </c>
      <c r="C28" s="256"/>
      <c r="D28" s="256"/>
      <c r="E28" s="256"/>
      <c r="F28" s="256"/>
      <c r="G28" s="257"/>
      <c r="H28" s="98"/>
      <c r="I28" s="97"/>
      <c r="J28" s="255" t="s">
        <v>131</v>
      </c>
      <c r="K28" s="256"/>
      <c r="L28" s="256"/>
      <c r="M28" s="256"/>
      <c r="N28" s="256"/>
      <c r="O28" s="257"/>
      <c r="P28" s="98"/>
      <c r="Q28" s="97"/>
      <c r="R28" s="255" t="s">
        <v>131</v>
      </c>
      <c r="S28" s="256"/>
      <c r="T28" s="256"/>
      <c r="U28" s="256"/>
      <c r="V28" s="256"/>
      <c r="W28" s="257"/>
      <c r="X28" s="98"/>
      <c r="Y28" s="97"/>
      <c r="Z28" s="255" t="s">
        <v>131</v>
      </c>
      <c r="AA28" s="256"/>
      <c r="AB28" s="256"/>
      <c r="AC28" s="256"/>
      <c r="AD28" s="256"/>
      <c r="AE28" s="257"/>
      <c r="AF28" s="98"/>
      <c r="AG28" s="97"/>
      <c r="AH28" s="255" t="s">
        <v>115</v>
      </c>
      <c r="AI28" s="256"/>
      <c r="AJ28" s="256"/>
      <c r="AK28" s="256"/>
      <c r="AL28" s="256"/>
      <c r="AM28" s="257"/>
      <c r="AN28" s="98"/>
    </row>
    <row r="29" spans="1:40" ht="36" customHeight="1" x14ac:dyDescent="0.2">
      <c r="A29" s="124"/>
      <c r="B29" s="126"/>
      <c r="C29" s="20" t="s">
        <v>51</v>
      </c>
      <c r="D29" s="20" t="s">
        <v>52</v>
      </c>
      <c r="E29" s="20" t="s">
        <v>73</v>
      </c>
      <c r="F29" s="20" t="s">
        <v>74</v>
      </c>
      <c r="G29" s="20" t="s">
        <v>101</v>
      </c>
      <c r="H29" s="56"/>
      <c r="I29" s="54"/>
      <c r="J29" s="55"/>
      <c r="K29" s="20" t="s">
        <v>51</v>
      </c>
      <c r="L29" s="20" t="s">
        <v>52</v>
      </c>
      <c r="M29" s="20" t="s">
        <v>73</v>
      </c>
      <c r="N29" s="20" t="s">
        <v>74</v>
      </c>
      <c r="O29" s="20" t="s">
        <v>101</v>
      </c>
      <c r="P29" s="56"/>
      <c r="Q29" s="54"/>
      <c r="R29" s="55"/>
      <c r="S29" s="20" t="s">
        <v>51</v>
      </c>
      <c r="T29" s="20" t="s">
        <v>52</v>
      </c>
      <c r="U29" s="20" t="s">
        <v>73</v>
      </c>
      <c r="V29" s="20" t="s">
        <v>74</v>
      </c>
      <c r="W29" s="20" t="s">
        <v>101</v>
      </c>
      <c r="X29" s="56"/>
      <c r="Y29" s="54"/>
      <c r="Z29" s="55"/>
      <c r="AA29" s="20" t="s">
        <v>51</v>
      </c>
      <c r="AB29" s="20" t="s">
        <v>52</v>
      </c>
      <c r="AC29" s="20" t="s">
        <v>73</v>
      </c>
      <c r="AD29" s="20" t="s">
        <v>74</v>
      </c>
      <c r="AE29" s="20" t="s">
        <v>101</v>
      </c>
      <c r="AF29" s="56"/>
      <c r="AG29" s="54"/>
      <c r="AH29" s="55"/>
      <c r="AI29" s="20" t="s">
        <v>51</v>
      </c>
      <c r="AJ29" s="20" t="s">
        <v>52</v>
      </c>
      <c r="AK29" s="20" t="s">
        <v>73</v>
      </c>
      <c r="AL29" s="20" t="s">
        <v>74</v>
      </c>
      <c r="AM29" s="20" t="s">
        <v>102</v>
      </c>
      <c r="AN29" s="56"/>
    </row>
    <row r="30" spans="1:40" ht="30" customHeight="1" x14ac:dyDescent="0.2">
      <c r="A30" s="124"/>
      <c r="B30" s="131" t="s">
        <v>77</v>
      </c>
      <c r="C30" s="25" t="s">
        <v>81</v>
      </c>
      <c r="D30" s="25" t="s">
        <v>103</v>
      </c>
      <c r="E30" s="25" t="s">
        <v>79</v>
      </c>
      <c r="F30" s="59">
        <f t="shared" ref="F30:AL31" si="10">$C$45*0.7</f>
        <v>0</v>
      </c>
      <c r="G30" s="25" t="s">
        <v>132</v>
      </c>
      <c r="H30" s="56"/>
      <c r="I30" s="54"/>
      <c r="J30" s="57" t="s">
        <v>77</v>
      </c>
      <c r="K30" s="25" t="s">
        <v>81</v>
      </c>
      <c r="L30" s="25" t="s">
        <v>103</v>
      </c>
      <c r="M30" s="25" t="s">
        <v>79</v>
      </c>
      <c r="N30" s="59">
        <f t="shared" si="10"/>
        <v>0</v>
      </c>
      <c r="O30" s="25" t="s">
        <v>132</v>
      </c>
      <c r="P30" s="56"/>
      <c r="Q30" s="54"/>
      <c r="R30" s="57" t="s">
        <v>77</v>
      </c>
      <c r="S30" s="25" t="s">
        <v>81</v>
      </c>
      <c r="T30" s="25" t="s">
        <v>103</v>
      </c>
      <c r="U30" s="25" t="s">
        <v>79</v>
      </c>
      <c r="V30" s="59">
        <f t="shared" si="10"/>
        <v>0</v>
      </c>
      <c r="W30" s="25" t="s">
        <v>132</v>
      </c>
      <c r="X30" s="56"/>
      <c r="Y30" s="54"/>
      <c r="Z30" s="57" t="s">
        <v>77</v>
      </c>
      <c r="AA30" s="25" t="s">
        <v>81</v>
      </c>
      <c r="AB30" s="25" t="s">
        <v>103</v>
      </c>
      <c r="AC30" s="25" t="s">
        <v>79</v>
      </c>
      <c r="AD30" s="59">
        <f t="shared" si="10"/>
        <v>0</v>
      </c>
      <c r="AE30" s="25" t="s">
        <v>132</v>
      </c>
      <c r="AF30" s="56"/>
      <c r="AG30" s="54"/>
      <c r="AH30" s="57" t="s">
        <v>77</v>
      </c>
      <c r="AI30" s="25" t="s">
        <v>81</v>
      </c>
      <c r="AJ30" s="25" t="s">
        <v>103</v>
      </c>
      <c r="AK30" s="25" t="s">
        <v>83</v>
      </c>
      <c r="AL30" s="59">
        <f t="shared" si="1"/>
        <v>0</v>
      </c>
      <c r="AM30" s="25" t="s">
        <v>119</v>
      </c>
      <c r="AN30" s="56"/>
    </row>
    <row r="31" spans="1:40" ht="77.25" customHeight="1" x14ac:dyDescent="0.2">
      <c r="A31" s="124"/>
      <c r="B31" s="131" t="s">
        <v>57</v>
      </c>
      <c r="C31" s="25" t="s">
        <v>58</v>
      </c>
      <c r="D31" s="25" t="s">
        <v>133</v>
      </c>
      <c r="E31" s="60">
        <v>0.82499999999999996</v>
      </c>
      <c r="F31" s="59">
        <f t="shared" ref="F31:AD31" si="11">$C$45*0.83</f>
        <v>0</v>
      </c>
      <c r="G31" s="25" t="s">
        <v>108</v>
      </c>
      <c r="H31" s="56"/>
      <c r="I31" s="54"/>
      <c r="J31" s="57" t="s">
        <v>57</v>
      </c>
      <c r="K31" s="25" t="s">
        <v>58</v>
      </c>
      <c r="L31" s="25" t="s">
        <v>147</v>
      </c>
      <c r="M31" s="60">
        <v>0.82499999999999996</v>
      </c>
      <c r="N31" s="59">
        <f t="shared" si="11"/>
        <v>0</v>
      </c>
      <c r="O31" s="25" t="s">
        <v>108</v>
      </c>
      <c r="P31" s="56"/>
      <c r="Q31" s="54"/>
      <c r="R31" s="57" t="s">
        <v>57</v>
      </c>
      <c r="S31" s="25" t="s">
        <v>58</v>
      </c>
      <c r="T31" s="25" t="s">
        <v>148</v>
      </c>
      <c r="U31" s="60">
        <v>0.82499999999999996</v>
      </c>
      <c r="V31" s="59">
        <f t="shared" si="11"/>
        <v>0</v>
      </c>
      <c r="W31" s="25" t="s">
        <v>108</v>
      </c>
      <c r="X31" s="56"/>
      <c r="Y31" s="54"/>
      <c r="Z31" s="57" t="s">
        <v>57</v>
      </c>
      <c r="AA31" s="25" t="s">
        <v>58</v>
      </c>
      <c r="AB31" s="25" t="s">
        <v>149</v>
      </c>
      <c r="AC31" s="60">
        <v>0.82499999999999996</v>
      </c>
      <c r="AD31" s="59">
        <f t="shared" si="11"/>
        <v>0</v>
      </c>
      <c r="AE31" s="25" t="s">
        <v>108</v>
      </c>
      <c r="AF31" s="56"/>
      <c r="AG31" s="54"/>
      <c r="AH31" s="57" t="s">
        <v>57</v>
      </c>
      <c r="AI31" s="25" t="s">
        <v>58</v>
      </c>
      <c r="AJ31" s="25" t="s">
        <v>133</v>
      </c>
      <c r="AK31" s="25" t="s">
        <v>150</v>
      </c>
      <c r="AL31" s="59">
        <f t="shared" si="10"/>
        <v>0</v>
      </c>
      <c r="AM31" s="25" t="s">
        <v>134</v>
      </c>
      <c r="AN31" s="56"/>
    </row>
    <row r="32" spans="1:40" ht="18" customHeight="1" x14ac:dyDescent="0.2">
      <c r="A32" s="133"/>
      <c r="B32" s="131" t="s">
        <v>60</v>
      </c>
      <c r="C32" s="25" t="s">
        <v>113</v>
      </c>
      <c r="D32" s="25" t="s">
        <v>103</v>
      </c>
      <c r="E32" s="60">
        <v>0.5</v>
      </c>
      <c r="F32" s="59">
        <f t="shared" si="9"/>
        <v>0</v>
      </c>
      <c r="G32" s="25" t="s">
        <v>94</v>
      </c>
      <c r="H32" s="94"/>
      <c r="I32" s="93"/>
      <c r="J32" s="57" t="s">
        <v>60</v>
      </c>
      <c r="K32" s="25" t="s">
        <v>113</v>
      </c>
      <c r="L32" s="25" t="s">
        <v>103</v>
      </c>
      <c r="M32" s="60">
        <v>0.5</v>
      </c>
      <c r="N32" s="59">
        <f t="shared" si="9"/>
        <v>0</v>
      </c>
      <c r="O32" s="25" t="s">
        <v>94</v>
      </c>
      <c r="P32" s="94"/>
      <c r="Q32" s="93"/>
      <c r="R32" s="57" t="s">
        <v>60</v>
      </c>
      <c r="S32" s="25" t="s">
        <v>113</v>
      </c>
      <c r="T32" s="25" t="s">
        <v>103</v>
      </c>
      <c r="U32" s="60">
        <v>0.5</v>
      </c>
      <c r="V32" s="59">
        <f t="shared" si="9"/>
        <v>0</v>
      </c>
      <c r="W32" s="25" t="s">
        <v>94</v>
      </c>
      <c r="X32" s="94"/>
      <c r="Y32" s="93"/>
      <c r="Z32" s="57" t="s">
        <v>60</v>
      </c>
      <c r="AA32" s="25" t="s">
        <v>113</v>
      </c>
      <c r="AB32" s="25" t="s">
        <v>103</v>
      </c>
      <c r="AC32" s="60">
        <v>0.5</v>
      </c>
      <c r="AD32" s="59">
        <f t="shared" si="9"/>
        <v>0</v>
      </c>
      <c r="AE32" s="25" t="s">
        <v>94</v>
      </c>
      <c r="AF32" s="94"/>
      <c r="AG32" s="93"/>
      <c r="AH32" s="57" t="s">
        <v>60</v>
      </c>
      <c r="AI32" s="25" t="s">
        <v>113</v>
      </c>
      <c r="AJ32" s="25" t="s">
        <v>103</v>
      </c>
      <c r="AK32" s="60">
        <v>0.5</v>
      </c>
      <c r="AL32" s="59">
        <f t="shared" si="9"/>
        <v>0</v>
      </c>
      <c r="AM32" s="25" t="s">
        <v>94</v>
      </c>
      <c r="AN32" s="94"/>
    </row>
    <row r="33" spans="1:40" ht="20.25" customHeight="1" x14ac:dyDescent="0.2">
      <c r="A33" s="139"/>
      <c r="B33" s="132"/>
      <c r="C33" s="25" t="s">
        <v>63</v>
      </c>
      <c r="D33" s="25" t="s">
        <v>135</v>
      </c>
      <c r="E33" s="76"/>
      <c r="F33" s="76"/>
      <c r="G33" s="58"/>
      <c r="H33" s="84"/>
      <c r="I33" s="83"/>
      <c r="J33" s="68"/>
      <c r="K33" s="25" t="s">
        <v>63</v>
      </c>
      <c r="L33" s="25" t="s">
        <v>151</v>
      </c>
      <c r="M33" s="76"/>
      <c r="N33" s="76"/>
      <c r="O33" s="58"/>
      <c r="P33" s="84"/>
      <c r="Q33" s="83"/>
      <c r="R33" s="68"/>
      <c r="S33" s="25" t="s">
        <v>63</v>
      </c>
      <c r="T33" s="25" t="s">
        <v>152</v>
      </c>
      <c r="U33" s="76"/>
      <c r="V33" s="76"/>
      <c r="W33" s="58"/>
      <c r="X33" s="84"/>
      <c r="Y33" s="83"/>
      <c r="Z33" s="68"/>
      <c r="AA33" s="25" t="s">
        <v>63</v>
      </c>
      <c r="AB33" s="25" t="s">
        <v>153</v>
      </c>
      <c r="AC33" s="76"/>
      <c r="AD33" s="76"/>
      <c r="AE33" s="58"/>
      <c r="AF33" s="84"/>
      <c r="AG33" s="83"/>
      <c r="AH33" s="68"/>
      <c r="AI33" s="25" t="s">
        <v>63</v>
      </c>
      <c r="AJ33" s="25" t="s">
        <v>135</v>
      </c>
      <c r="AK33" s="76"/>
      <c r="AL33" s="76"/>
      <c r="AM33" s="58"/>
      <c r="AN33" s="84"/>
    </row>
    <row r="34" spans="1:40" ht="15.75" customHeight="1" x14ac:dyDescent="0.2">
      <c r="A34" s="124"/>
      <c r="B34" s="134"/>
      <c r="C34" s="78"/>
      <c r="D34" s="78"/>
      <c r="E34" s="78"/>
      <c r="F34" s="78"/>
      <c r="G34" s="78"/>
      <c r="H34" s="67"/>
      <c r="I34" s="62"/>
      <c r="J34" s="78"/>
      <c r="K34" s="78"/>
      <c r="L34" s="78"/>
      <c r="M34" s="78"/>
      <c r="N34" s="78"/>
      <c r="O34" s="78"/>
      <c r="P34" s="67"/>
      <c r="Q34" s="62"/>
      <c r="R34" s="78"/>
      <c r="S34" s="78"/>
      <c r="T34" s="78"/>
      <c r="U34" s="78"/>
      <c r="V34" s="78"/>
      <c r="W34" s="78"/>
      <c r="X34" s="67"/>
      <c r="Y34" s="62"/>
      <c r="Z34" s="78"/>
      <c r="AA34" s="78"/>
      <c r="AB34" s="78"/>
      <c r="AC34" s="78"/>
      <c r="AD34" s="78"/>
      <c r="AE34" s="78"/>
      <c r="AF34" s="67"/>
      <c r="AG34" s="62"/>
      <c r="AH34" s="78"/>
      <c r="AI34" s="78"/>
      <c r="AJ34" s="78"/>
      <c r="AK34" s="78"/>
      <c r="AL34" s="78"/>
      <c r="AM34" s="78"/>
      <c r="AN34" s="67"/>
    </row>
    <row r="35" spans="1:40" ht="20.25" customHeight="1" x14ac:dyDescent="0.2">
      <c r="A35" s="139"/>
      <c r="B35" s="255" t="s">
        <v>136</v>
      </c>
      <c r="C35" s="256"/>
      <c r="D35" s="256"/>
      <c r="E35" s="256"/>
      <c r="F35" s="256"/>
      <c r="G35" s="257"/>
      <c r="H35" s="99"/>
      <c r="I35" s="99"/>
      <c r="J35" s="255" t="s">
        <v>136</v>
      </c>
      <c r="K35" s="256"/>
      <c r="L35" s="256"/>
      <c r="M35" s="256"/>
      <c r="N35" s="256"/>
      <c r="O35" s="257"/>
      <c r="P35" s="99"/>
      <c r="Q35" s="99"/>
      <c r="R35" s="255" t="s">
        <v>136</v>
      </c>
      <c r="S35" s="256"/>
      <c r="T35" s="256"/>
      <c r="U35" s="256"/>
      <c r="V35" s="256"/>
      <c r="W35" s="257"/>
      <c r="X35" s="99"/>
      <c r="Y35" s="99"/>
      <c r="Z35" s="255" t="s">
        <v>136</v>
      </c>
      <c r="AA35" s="256"/>
      <c r="AB35" s="256"/>
      <c r="AC35" s="256"/>
      <c r="AD35" s="256"/>
      <c r="AE35" s="257"/>
      <c r="AF35" s="99"/>
      <c r="AG35" s="99"/>
      <c r="AH35" s="255" t="s">
        <v>136</v>
      </c>
      <c r="AI35" s="256"/>
      <c r="AJ35" s="256"/>
      <c r="AK35" s="256"/>
      <c r="AL35" s="256"/>
      <c r="AM35" s="257"/>
      <c r="AN35" s="99"/>
    </row>
    <row r="36" spans="1:40" ht="36" customHeight="1" x14ac:dyDescent="0.2">
      <c r="A36" s="124"/>
      <c r="B36" s="126"/>
      <c r="C36" s="20" t="s">
        <v>51</v>
      </c>
      <c r="D36" s="20" t="s">
        <v>52</v>
      </c>
      <c r="E36" s="20" t="s">
        <v>73</v>
      </c>
      <c r="F36" s="20" t="s">
        <v>74</v>
      </c>
      <c r="G36" s="20" t="s">
        <v>76</v>
      </c>
      <c r="H36" s="56"/>
      <c r="I36" s="54"/>
      <c r="J36" s="55"/>
      <c r="K36" s="20" t="s">
        <v>51</v>
      </c>
      <c r="L36" s="20" t="s">
        <v>52</v>
      </c>
      <c r="M36" s="20" t="s">
        <v>73</v>
      </c>
      <c r="N36" s="20" t="s">
        <v>74</v>
      </c>
      <c r="O36" s="20" t="s">
        <v>76</v>
      </c>
      <c r="P36" s="56"/>
      <c r="Q36" s="54"/>
      <c r="R36" s="55"/>
      <c r="S36" s="20" t="s">
        <v>51</v>
      </c>
      <c r="T36" s="20" t="s">
        <v>52</v>
      </c>
      <c r="U36" s="20" t="s">
        <v>73</v>
      </c>
      <c r="V36" s="20" t="s">
        <v>74</v>
      </c>
      <c r="W36" s="20" t="s">
        <v>76</v>
      </c>
      <c r="X36" s="56"/>
      <c r="Y36" s="54"/>
      <c r="Z36" s="55"/>
      <c r="AA36" s="20" t="s">
        <v>51</v>
      </c>
      <c r="AB36" s="20" t="s">
        <v>52</v>
      </c>
      <c r="AC36" s="20" t="s">
        <v>73</v>
      </c>
      <c r="AD36" s="20" t="s">
        <v>74</v>
      </c>
      <c r="AE36" s="20" t="s">
        <v>76</v>
      </c>
      <c r="AF36" s="56"/>
      <c r="AG36" s="54"/>
      <c r="AH36" s="55"/>
      <c r="AI36" s="20" t="s">
        <v>51</v>
      </c>
      <c r="AJ36" s="20" t="s">
        <v>52</v>
      </c>
      <c r="AK36" s="20" t="s">
        <v>73</v>
      </c>
      <c r="AL36" s="20" t="s">
        <v>74</v>
      </c>
      <c r="AM36" s="20" t="s">
        <v>76</v>
      </c>
      <c r="AN36" s="56"/>
    </row>
    <row r="37" spans="1:40" ht="30" customHeight="1" x14ac:dyDescent="0.2">
      <c r="A37" s="124"/>
      <c r="B37" s="131" t="s">
        <v>77</v>
      </c>
      <c r="C37" s="25" t="s">
        <v>81</v>
      </c>
      <c r="D37" s="25" t="s">
        <v>133</v>
      </c>
      <c r="E37" s="25" t="s">
        <v>83</v>
      </c>
      <c r="F37" s="59">
        <f>$C$45*0.6</f>
        <v>0</v>
      </c>
      <c r="G37" s="25" t="s">
        <v>84</v>
      </c>
      <c r="H37" s="56"/>
      <c r="I37" s="54"/>
      <c r="J37" s="57" t="s">
        <v>77</v>
      </c>
      <c r="K37" s="25" t="s">
        <v>81</v>
      </c>
      <c r="L37" s="25" t="s">
        <v>133</v>
      </c>
      <c r="M37" s="25" t="s">
        <v>118</v>
      </c>
      <c r="N37" s="59">
        <f>$C$45*0.6</f>
        <v>0</v>
      </c>
      <c r="O37" s="25" t="s">
        <v>84</v>
      </c>
      <c r="P37" s="56"/>
      <c r="Q37" s="54"/>
      <c r="R37" s="57" t="s">
        <v>77</v>
      </c>
      <c r="S37" s="25" t="s">
        <v>81</v>
      </c>
      <c r="T37" s="25" t="s">
        <v>133</v>
      </c>
      <c r="U37" s="25" t="s">
        <v>118</v>
      </c>
      <c r="V37" s="59">
        <f>$C$45*0.6</f>
        <v>0</v>
      </c>
      <c r="W37" s="25" t="s">
        <v>84</v>
      </c>
      <c r="X37" s="56"/>
      <c r="Y37" s="54"/>
      <c r="Z37" s="57" t="s">
        <v>77</v>
      </c>
      <c r="AA37" s="25" t="s">
        <v>81</v>
      </c>
      <c r="AB37" s="57" t="s">
        <v>133</v>
      </c>
      <c r="AC37" s="25" t="s">
        <v>118</v>
      </c>
      <c r="AD37" s="59">
        <f>$C$45*0.6</f>
        <v>0</v>
      </c>
      <c r="AE37" s="25" t="s">
        <v>84</v>
      </c>
      <c r="AF37" s="56"/>
      <c r="AG37" s="54"/>
      <c r="AH37" s="57" t="s">
        <v>77</v>
      </c>
      <c r="AI37" s="25" t="s">
        <v>81</v>
      </c>
      <c r="AJ37" s="25" t="s">
        <v>82</v>
      </c>
      <c r="AK37" s="25" t="s">
        <v>83</v>
      </c>
      <c r="AL37" s="59">
        <f t="shared" si="1"/>
        <v>0</v>
      </c>
      <c r="AM37" s="25" t="s">
        <v>84</v>
      </c>
      <c r="AN37" s="56"/>
    </row>
    <row r="38" spans="1:40" ht="20.25" customHeight="1" x14ac:dyDescent="0.2">
      <c r="A38" s="124"/>
      <c r="B38" s="134"/>
      <c r="C38" s="78"/>
      <c r="D38" s="78"/>
      <c r="E38" s="78"/>
      <c r="F38" s="78"/>
      <c r="G38" s="78"/>
      <c r="H38" s="67"/>
      <c r="I38" s="62"/>
      <c r="J38" s="78"/>
      <c r="K38" s="78"/>
      <c r="L38" s="78"/>
      <c r="M38" s="78"/>
      <c r="N38" s="78"/>
      <c r="O38" s="78"/>
      <c r="P38" s="67"/>
      <c r="Q38" s="62"/>
      <c r="R38" s="78"/>
      <c r="S38" s="78"/>
      <c r="T38" s="78"/>
      <c r="U38" s="78"/>
      <c r="V38" s="78"/>
      <c r="W38" s="78"/>
      <c r="X38" s="67"/>
      <c r="Y38" s="62"/>
      <c r="Z38" s="78"/>
      <c r="AA38" s="78"/>
      <c r="AB38" s="78"/>
      <c r="AC38" s="78"/>
      <c r="AD38" s="78"/>
      <c r="AE38" s="78"/>
      <c r="AF38" s="67"/>
      <c r="AG38" s="62"/>
      <c r="AH38" s="78"/>
      <c r="AI38" s="78"/>
      <c r="AJ38" s="78"/>
      <c r="AK38" s="78"/>
      <c r="AL38" s="78"/>
      <c r="AM38" s="78"/>
      <c r="AN38" s="67"/>
    </row>
    <row r="39" spans="1:40" ht="32.25" customHeight="1" x14ac:dyDescent="0.2">
      <c r="A39" s="125"/>
      <c r="B39" s="268" t="s">
        <v>137</v>
      </c>
      <c r="C39" s="262"/>
      <c r="D39" s="262"/>
      <c r="E39" s="262"/>
      <c r="F39" s="262"/>
      <c r="G39" s="263"/>
      <c r="H39" s="145"/>
      <c r="I39" s="53"/>
      <c r="J39" s="268" t="s">
        <v>137</v>
      </c>
      <c r="K39" s="262"/>
      <c r="L39" s="262"/>
      <c r="M39" s="262"/>
      <c r="N39" s="262"/>
      <c r="O39" s="263"/>
      <c r="P39" s="145"/>
      <c r="Q39" s="53"/>
      <c r="R39" s="268" t="s">
        <v>137</v>
      </c>
      <c r="S39" s="262"/>
      <c r="T39" s="262"/>
      <c r="U39" s="262"/>
      <c r="V39" s="262"/>
      <c r="W39" s="263"/>
      <c r="X39" s="145"/>
      <c r="Y39" s="53"/>
      <c r="Z39" s="268" t="s">
        <v>137</v>
      </c>
      <c r="AA39" s="262"/>
      <c r="AB39" s="262"/>
      <c r="AC39" s="262"/>
      <c r="AD39" s="262"/>
      <c r="AE39" s="263"/>
      <c r="AF39" s="145"/>
      <c r="AG39" s="53"/>
      <c r="AH39" s="268" t="s">
        <v>137</v>
      </c>
      <c r="AI39" s="262"/>
      <c r="AJ39" s="262"/>
      <c r="AK39" s="262"/>
      <c r="AL39" s="262"/>
      <c r="AM39" s="263"/>
      <c r="AN39" s="145"/>
    </row>
    <row r="40" spans="1:40" ht="18" customHeight="1" x14ac:dyDescent="0.2">
      <c r="A40" s="139"/>
      <c r="B40" s="147"/>
      <c r="C40" s="101"/>
      <c r="D40" s="101"/>
      <c r="E40" s="101"/>
      <c r="F40" s="101"/>
      <c r="G40" s="101"/>
      <c r="H40" s="102"/>
      <c r="I40" s="100"/>
      <c r="J40" s="101"/>
      <c r="K40" s="101"/>
      <c r="L40" s="101"/>
      <c r="M40" s="101"/>
      <c r="N40" s="101"/>
      <c r="O40" s="101"/>
      <c r="P40" s="102"/>
      <c r="Q40" s="100"/>
      <c r="R40" s="101"/>
      <c r="S40" s="101"/>
      <c r="T40" s="101"/>
      <c r="U40" s="101"/>
      <c r="V40" s="101"/>
      <c r="W40" s="101"/>
      <c r="X40" s="102"/>
      <c r="Y40" s="100"/>
      <c r="Z40" s="101"/>
      <c r="AA40" s="101"/>
      <c r="AB40" s="101"/>
      <c r="AC40" s="101"/>
      <c r="AD40" s="101"/>
      <c r="AE40" s="101"/>
      <c r="AF40" s="102"/>
      <c r="AG40" s="100"/>
      <c r="AH40" s="101"/>
      <c r="AI40" s="101"/>
      <c r="AJ40" s="101"/>
      <c r="AK40" s="101"/>
      <c r="AL40" s="101"/>
      <c r="AM40" s="101"/>
      <c r="AN40" s="102"/>
    </row>
    <row r="41" spans="1:40" ht="15.75" customHeight="1" x14ac:dyDescent="0.2">
      <c r="A41" s="148"/>
      <c r="B41" s="103"/>
      <c r="C41" s="104"/>
      <c r="D41" s="104"/>
      <c r="E41" s="104"/>
      <c r="F41" s="104"/>
      <c r="G41" s="104"/>
      <c r="H41" s="105"/>
      <c r="I41" s="103"/>
      <c r="J41" s="104"/>
      <c r="K41" s="104"/>
      <c r="L41" s="104"/>
      <c r="M41" s="104"/>
      <c r="N41" s="104"/>
      <c r="O41" s="104"/>
      <c r="P41" s="105"/>
      <c r="Q41" s="103"/>
      <c r="R41" s="104"/>
      <c r="S41" s="104"/>
      <c r="T41" s="104"/>
      <c r="U41" s="104"/>
      <c r="V41" s="104"/>
      <c r="W41" s="104"/>
      <c r="X41" s="105"/>
      <c r="Y41" s="103"/>
      <c r="Z41" s="104"/>
      <c r="AA41" s="104"/>
      <c r="AB41" s="104"/>
      <c r="AC41" s="104"/>
      <c r="AD41" s="104"/>
      <c r="AE41" s="104"/>
      <c r="AF41" s="105"/>
      <c r="AG41" s="103"/>
      <c r="AH41" s="104"/>
      <c r="AI41" s="104"/>
      <c r="AJ41" s="104"/>
      <c r="AK41" s="104"/>
      <c r="AL41" s="104"/>
      <c r="AM41" s="104"/>
      <c r="AN41" s="105"/>
    </row>
    <row r="42" spans="1:40" ht="14.1" customHeight="1" x14ac:dyDescent="0.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row>
    <row r="43" spans="1:40" ht="13.7" customHeight="1" x14ac:dyDescent="0.2">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row>
    <row r="44" spans="1:40" ht="19.5" hidden="1" customHeight="1" x14ac:dyDescent="0.2">
      <c r="A44" s="107"/>
      <c r="B44" s="108" t="s">
        <v>138</v>
      </c>
      <c r="C44" s="109"/>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row>
    <row r="45" spans="1:40" ht="19.5" hidden="1" customHeight="1" x14ac:dyDescent="0.2">
      <c r="A45" s="107"/>
      <c r="B45" s="110" t="s">
        <v>139</v>
      </c>
      <c r="C45" s="111">
        <f>'Wks 6-10'!AL25</f>
        <v>0</v>
      </c>
      <c r="D45" s="112"/>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07"/>
    </row>
    <row r="46" spans="1:40" ht="19.5" customHeight="1" x14ac:dyDescent="0.2">
      <c r="A46" s="116"/>
      <c r="B46" s="114"/>
      <c r="C46" s="114"/>
      <c r="D46" s="115"/>
      <c r="E46" s="115"/>
      <c r="F46" s="115"/>
      <c r="G46" s="115"/>
      <c r="H46" s="116"/>
      <c r="I46" s="113"/>
      <c r="J46" s="117"/>
      <c r="K46" s="115"/>
      <c r="L46" s="115"/>
      <c r="M46" s="115"/>
      <c r="N46" s="115"/>
      <c r="O46" s="115"/>
      <c r="P46" s="116"/>
      <c r="Q46" s="113"/>
      <c r="R46" s="117"/>
      <c r="S46" s="115"/>
      <c r="T46" s="115"/>
      <c r="U46" s="115"/>
      <c r="V46" s="115"/>
      <c r="W46" s="115"/>
      <c r="X46" s="116"/>
      <c r="Y46" s="113"/>
      <c r="Z46" s="117"/>
      <c r="AA46" s="115"/>
      <c r="AB46" s="115"/>
      <c r="AC46" s="115"/>
      <c r="AD46" s="115"/>
      <c r="AE46" s="115"/>
      <c r="AF46" s="116"/>
      <c r="AG46" s="113"/>
      <c r="AH46" s="117"/>
      <c r="AI46" s="115"/>
      <c r="AJ46" s="115"/>
      <c r="AK46" s="115"/>
      <c r="AL46" s="115"/>
      <c r="AM46" s="115"/>
      <c r="AN46" s="116"/>
    </row>
    <row r="47" spans="1:40" ht="19.5" customHeight="1" x14ac:dyDescent="0.2">
      <c r="A47" s="116"/>
      <c r="B47" s="118"/>
      <c r="C47" s="119"/>
      <c r="D47" s="115"/>
      <c r="E47" s="115"/>
      <c r="F47" s="115"/>
      <c r="G47" s="115"/>
      <c r="H47" s="116"/>
      <c r="I47" s="113"/>
      <c r="J47" s="117"/>
      <c r="K47" s="115"/>
      <c r="L47" s="115"/>
      <c r="M47" s="115"/>
      <c r="N47" s="115"/>
      <c r="O47" s="115"/>
      <c r="P47" s="116"/>
      <c r="Q47" s="113"/>
      <c r="R47" s="117"/>
      <c r="S47" s="115"/>
      <c r="T47" s="115"/>
      <c r="U47" s="115"/>
      <c r="V47" s="115"/>
      <c r="W47" s="115"/>
      <c r="X47" s="116"/>
      <c r="Y47" s="113"/>
      <c r="Z47" s="117"/>
      <c r="AA47" s="115"/>
      <c r="AB47" s="115"/>
      <c r="AC47" s="115"/>
      <c r="AD47" s="115"/>
      <c r="AE47" s="115"/>
      <c r="AF47" s="116"/>
      <c r="AG47" s="113"/>
      <c r="AH47" s="117"/>
      <c r="AI47" s="115"/>
      <c r="AJ47" s="115"/>
      <c r="AK47" s="115"/>
      <c r="AL47" s="115"/>
      <c r="AM47" s="115"/>
      <c r="AN47" s="116"/>
    </row>
    <row r="48" spans="1:40" ht="19.5" customHeight="1" x14ac:dyDescent="0.2">
      <c r="A48" s="116"/>
      <c r="B48" s="118"/>
      <c r="C48" s="119"/>
      <c r="D48" s="117"/>
      <c r="E48" s="117"/>
      <c r="F48" s="117"/>
      <c r="G48" s="117"/>
      <c r="H48" s="116"/>
      <c r="I48" s="113"/>
      <c r="J48" s="117"/>
      <c r="K48" s="117"/>
      <c r="L48" s="117"/>
      <c r="M48" s="117"/>
      <c r="N48" s="117"/>
      <c r="O48" s="117"/>
      <c r="P48" s="116"/>
      <c r="Q48" s="113"/>
      <c r="R48" s="117"/>
      <c r="S48" s="117"/>
      <c r="T48" s="117"/>
      <c r="U48" s="117"/>
      <c r="V48" s="117"/>
      <c r="W48" s="117"/>
      <c r="X48" s="116"/>
      <c r="Y48" s="113"/>
      <c r="Z48" s="117"/>
      <c r="AA48" s="117"/>
      <c r="AB48" s="117"/>
      <c r="AC48" s="117"/>
      <c r="AD48" s="117"/>
      <c r="AE48" s="117"/>
      <c r="AF48" s="116"/>
      <c r="AG48" s="113"/>
      <c r="AH48" s="117"/>
      <c r="AI48" s="117"/>
      <c r="AJ48" s="117"/>
      <c r="AK48" s="117"/>
      <c r="AL48" s="117"/>
      <c r="AM48" s="117"/>
      <c r="AN48" s="116"/>
    </row>
    <row r="49" spans="1:40" ht="19.5" customHeight="1" x14ac:dyDescent="0.2">
      <c r="A49" s="116"/>
      <c r="B49" s="118"/>
      <c r="C49" s="119"/>
      <c r="D49" s="117"/>
      <c r="E49" s="117"/>
      <c r="F49" s="117"/>
      <c r="G49" s="117"/>
      <c r="H49" s="116"/>
      <c r="I49" s="113"/>
      <c r="J49" s="117"/>
      <c r="K49" s="117"/>
      <c r="L49" s="117"/>
      <c r="M49" s="117"/>
      <c r="N49" s="117"/>
      <c r="O49" s="117"/>
      <c r="P49" s="116"/>
      <c r="Q49" s="113"/>
      <c r="R49" s="117"/>
      <c r="S49" s="117"/>
      <c r="T49" s="117"/>
      <c r="U49" s="117"/>
      <c r="V49" s="117"/>
      <c r="W49" s="117"/>
      <c r="X49" s="116"/>
      <c r="Y49" s="113"/>
      <c r="Z49" s="117"/>
      <c r="AA49" s="117"/>
      <c r="AB49" s="117"/>
      <c r="AC49" s="117"/>
      <c r="AD49" s="117"/>
      <c r="AE49" s="117"/>
      <c r="AF49" s="116"/>
      <c r="AG49" s="113"/>
      <c r="AH49" s="117"/>
      <c r="AI49" s="117"/>
      <c r="AJ49" s="117"/>
      <c r="AK49" s="117"/>
      <c r="AL49" s="117"/>
      <c r="AM49" s="117"/>
      <c r="AN49" s="116"/>
    </row>
    <row r="50" spans="1:40" ht="19.5" customHeight="1" x14ac:dyDescent="0.2">
      <c r="A50" s="116"/>
      <c r="B50" s="118"/>
      <c r="C50" s="119"/>
      <c r="D50" s="115"/>
      <c r="E50" s="115"/>
      <c r="F50" s="115"/>
      <c r="G50" s="115"/>
      <c r="H50" s="116"/>
      <c r="I50" s="113"/>
      <c r="J50" s="117"/>
      <c r="K50" s="115"/>
      <c r="L50" s="115"/>
      <c r="M50" s="115"/>
      <c r="N50" s="115"/>
      <c r="O50" s="115"/>
      <c r="P50" s="116"/>
      <c r="Q50" s="113"/>
      <c r="R50" s="117"/>
      <c r="S50" s="115"/>
      <c r="T50" s="115"/>
      <c r="U50" s="115"/>
      <c r="V50" s="115"/>
      <c r="W50" s="115"/>
      <c r="X50" s="116"/>
      <c r="Y50" s="113"/>
      <c r="Z50" s="117"/>
      <c r="AA50" s="115"/>
      <c r="AB50" s="115"/>
      <c r="AC50" s="115"/>
      <c r="AD50" s="115"/>
      <c r="AE50" s="115"/>
      <c r="AF50" s="116"/>
      <c r="AG50" s="113"/>
      <c r="AH50" s="117"/>
      <c r="AI50" s="115"/>
      <c r="AJ50" s="115"/>
      <c r="AK50" s="115"/>
      <c r="AL50" s="115"/>
      <c r="AM50" s="115"/>
      <c r="AN50" s="116"/>
    </row>
    <row r="51" spans="1:40" ht="19.5" customHeight="1" x14ac:dyDescent="0.2">
      <c r="A51" s="116"/>
      <c r="B51" s="118"/>
      <c r="C51" s="119"/>
      <c r="D51" s="115"/>
      <c r="E51" s="115"/>
      <c r="F51" s="115"/>
      <c r="G51" s="115"/>
      <c r="H51" s="116"/>
      <c r="I51" s="113"/>
      <c r="J51" s="117"/>
      <c r="K51" s="115"/>
      <c r="L51" s="115"/>
      <c r="M51" s="115"/>
      <c r="N51" s="115"/>
      <c r="O51" s="115"/>
      <c r="P51" s="116"/>
      <c r="Q51" s="113"/>
      <c r="R51" s="117"/>
      <c r="S51" s="115"/>
      <c r="T51" s="115"/>
      <c r="U51" s="115"/>
      <c r="V51" s="115"/>
      <c r="W51" s="115"/>
      <c r="X51" s="116"/>
      <c r="Y51" s="113"/>
      <c r="Z51" s="117"/>
      <c r="AA51" s="115"/>
      <c r="AB51" s="115"/>
      <c r="AC51" s="115"/>
      <c r="AD51" s="115"/>
      <c r="AE51" s="115"/>
      <c r="AF51" s="116"/>
      <c r="AG51" s="113"/>
      <c r="AH51" s="117"/>
      <c r="AI51" s="115"/>
      <c r="AJ51" s="115"/>
      <c r="AK51" s="115"/>
      <c r="AL51" s="115"/>
      <c r="AM51" s="115"/>
      <c r="AN51" s="116"/>
    </row>
    <row r="52" spans="1:40" ht="19.5" customHeight="1" x14ac:dyDescent="0.2">
      <c r="A52" s="116"/>
      <c r="B52" s="118"/>
      <c r="C52" s="119"/>
      <c r="D52" s="115"/>
      <c r="E52" s="115"/>
      <c r="F52" s="115"/>
      <c r="G52" s="115"/>
      <c r="H52" s="116"/>
      <c r="I52" s="113"/>
      <c r="J52" s="117"/>
      <c r="K52" s="115"/>
      <c r="L52" s="115"/>
      <c r="M52" s="115"/>
      <c r="N52" s="115"/>
      <c r="O52" s="115"/>
      <c r="P52" s="116"/>
      <c r="Q52" s="113"/>
      <c r="R52" s="117"/>
      <c r="S52" s="115"/>
      <c r="T52" s="115"/>
      <c r="U52" s="115"/>
      <c r="V52" s="115"/>
      <c r="W52" s="115"/>
      <c r="X52" s="116"/>
      <c r="Y52" s="113"/>
      <c r="Z52" s="117"/>
      <c r="AA52" s="115"/>
      <c r="AB52" s="115"/>
      <c r="AC52" s="115"/>
      <c r="AD52" s="115"/>
      <c r="AE52" s="115"/>
      <c r="AF52" s="116"/>
      <c r="AG52" s="113"/>
      <c r="AH52" s="117"/>
      <c r="AI52" s="115"/>
      <c r="AJ52" s="115"/>
      <c r="AK52" s="115"/>
      <c r="AL52" s="115"/>
      <c r="AM52" s="115"/>
      <c r="AN52" s="116"/>
    </row>
    <row r="53" spans="1:40" ht="19.5" customHeight="1" x14ac:dyDescent="0.2">
      <c r="A53" s="117"/>
      <c r="B53" s="118"/>
      <c r="C53" s="119"/>
      <c r="D53" s="115"/>
      <c r="E53" s="115"/>
      <c r="F53" s="115"/>
      <c r="G53" s="115"/>
      <c r="H53" s="117"/>
      <c r="I53" s="113"/>
      <c r="J53" s="117"/>
      <c r="K53" s="115"/>
      <c r="L53" s="115"/>
      <c r="M53" s="115"/>
      <c r="N53" s="115"/>
      <c r="O53" s="115"/>
      <c r="P53" s="117"/>
      <c r="Q53" s="113"/>
      <c r="R53" s="117"/>
      <c r="S53" s="115"/>
      <c r="T53" s="115"/>
      <c r="U53" s="115"/>
      <c r="V53" s="115"/>
      <c r="W53" s="115"/>
      <c r="X53" s="117"/>
      <c r="Y53" s="113"/>
      <c r="Z53" s="117"/>
      <c r="AA53" s="115"/>
      <c r="AB53" s="115"/>
      <c r="AC53" s="115"/>
      <c r="AD53" s="115"/>
      <c r="AE53" s="115"/>
      <c r="AF53" s="117"/>
      <c r="AG53" s="113"/>
      <c r="AH53" s="117"/>
      <c r="AI53" s="115"/>
      <c r="AJ53" s="115"/>
      <c r="AK53" s="115"/>
      <c r="AL53" s="115"/>
      <c r="AM53" s="115"/>
      <c r="AN53" s="117"/>
    </row>
    <row r="54" spans="1:40" ht="19.5" customHeight="1" x14ac:dyDescent="0.2">
      <c r="A54" s="117"/>
      <c r="B54" s="118"/>
      <c r="C54" s="119"/>
      <c r="D54" s="115"/>
      <c r="E54" s="115"/>
      <c r="F54" s="115"/>
      <c r="G54" s="115"/>
      <c r="H54" s="117"/>
      <c r="I54" s="113"/>
      <c r="J54" s="117"/>
      <c r="K54" s="115"/>
      <c r="L54" s="115"/>
      <c r="M54" s="115"/>
      <c r="N54" s="115"/>
      <c r="O54" s="115"/>
      <c r="P54" s="117"/>
      <c r="Q54" s="113"/>
      <c r="R54" s="117"/>
      <c r="S54" s="115"/>
      <c r="T54" s="115"/>
      <c r="U54" s="115"/>
      <c r="V54" s="115"/>
      <c r="W54" s="115"/>
      <c r="X54" s="117"/>
      <c r="Y54" s="113"/>
      <c r="Z54" s="117"/>
      <c r="AA54" s="115"/>
      <c r="AB54" s="115"/>
      <c r="AC54" s="115"/>
      <c r="AD54" s="115"/>
      <c r="AE54" s="115"/>
      <c r="AF54" s="117"/>
      <c r="AG54" s="113"/>
      <c r="AH54" s="117"/>
      <c r="AI54" s="115"/>
      <c r="AJ54" s="115"/>
      <c r="AK54" s="115"/>
      <c r="AL54" s="115"/>
      <c r="AM54" s="115"/>
      <c r="AN54" s="117"/>
    </row>
    <row r="55" spans="1:40" ht="19.5" customHeight="1" x14ac:dyDescent="0.2">
      <c r="A55" s="116"/>
      <c r="B55" s="118"/>
      <c r="C55" s="119"/>
      <c r="D55" s="115"/>
      <c r="E55" s="115"/>
      <c r="F55" s="115"/>
      <c r="G55" s="115"/>
      <c r="H55" s="116"/>
      <c r="I55" s="113"/>
      <c r="J55" s="117"/>
      <c r="K55" s="115"/>
      <c r="L55" s="115"/>
      <c r="M55" s="115"/>
      <c r="N55" s="115"/>
      <c r="O55" s="115"/>
      <c r="P55" s="116"/>
      <c r="Q55" s="113"/>
      <c r="R55" s="117"/>
      <c r="S55" s="115"/>
      <c r="T55" s="115"/>
      <c r="U55" s="115"/>
      <c r="V55" s="115"/>
      <c r="W55" s="115"/>
      <c r="X55" s="116"/>
      <c r="Y55" s="113"/>
      <c r="Z55" s="117"/>
      <c r="AA55" s="115"/>
      <c r="AB55" s="115"/>
      <c r="AC55" s="115"/>
      <c r="AD55" s="115"/>
      <c r="AE55" s="115"/>
      <c r="AF55" s="116"/>
      <c r="AG55" s="113"/>
      <c r="AH55" s="117"/>
      <c r="AI55" s="115"/>
      <c r="AJ55" s="115"/>
      <c r="AK55" s="115"/>
      <c r="AL55" s="115"/>
      <c r="AM55" s="115"/>
      <c r="AN55" s="116"/>
    </row>
    <row r="56" spans="1:40" ht="19.5" customHeight="1" x14ac:dyDescent="0.2">
      <c r="A56" s="116"/>
      <c r="B56" s="118"/>
      <c r="C56" s="119"/>
      <c r="D56" s="115"/>
      <c r="E56" s="115"/>
      <c r="F56" s="115"/>
      <c r="G56" s="115"/>
      <c r="H56" s="116"/>
      <c r="I56" s="113"/>
      <c r="J56" s="117"/>
      <c r="K56" s="115"/>
      <c r="L56" s="115"/>
      <c r="M56" s="115"/>
      <c r="N56" s="115"/>
      <c r="O56" s="115"/>
      <c r="P56" s="116"/>
      <c r="Q56" s="113"/>
      <c r="R56" s="117"/>
      <c r="S56" s="115"/>
      <c r="T56" s="115"/>
      <c r="U56" s="115"/>
      <c r="V56" s="115"/>
      <c r="W56" s="115"/>
      <c r="X56" s="116"/>
      <c r="Y56" s="113"/>
      <c r="Z56" s="117"/>
      <c r="AA56" s="115"/>
      <c r="AB56" s="115"/>
      <c r="AC56" s="115"/>
      <c r="AD56" s="115"/>
      <c r="AE56" s="115"/>
      <c r="AF56" s="116"/>
      <c r="AG56" s="113"/>
      <c r="AH56" s="117"/>
      <c r="AI56" s="115"/>
      <c r="AJ56" s="115"/>
      <c r="AK56" s="115"/>
      <c r="AL56" s="115"/>
      <c r="AM56" s="115"/>
      <c r="AN56" s="116"/>
    </row>
    <row r="57" spans="1:40" ht="19.5" customHeight="1" x14ac:dyDescent="0.2">
      <c r="A57" s="116"/>
      <c r="B57" s="118"/>
      <c r="C57" s="119"/>
      <c r="D57" s="115"/>
      <c r="E57" s="115"/>
      <c r="F57" s="115"/>
      <c r="G57" s="115"/>
      <c r="H57" s="116"/>
      <c r="I57" s="113"/>
      <c r="J57" s="117"/>
      <c r="K57" s="115"/>
      <c r="L57" s="115"/>
      <c r="M57" s="115"/>
      <c r="N57" s="115"/>
      <c r="O57" s="115"/>
      <c r="P57" s="116"/>
      <c r="Q57" s="113"/>
      <c r="R57" s="117"/>
      <c r="S57" s="115"/>
      <c r="T57" s="115"/>
      <c r="U57" s="115"/>
      <c r="V57" s="115"/>
      <c r="W57" s="115"/>
      <c r="X57" s="116"/>
      <c r="Y57" s="113"/>
      <c r="Z57" s="117"/>
      <c r="AA57" s="115"/>
      <c r="AB57" s="115"/>
      <c r="AC57" s="115"/>
      <c r="AD57" s="115"/>
      <c r="AE57" s="115"/>
      <c r="AF57" s="116"/>
      <c r="AG57" s="113"/>
      <c r="AH57" s="117"/>
      <c r="AI57" s="115"/>
      <c r="AJ57" s="115"/>
      <c r="AK57" s="115"/>
      <c r="AL57" s="115"/>
      <c r="AM57" s="115"/>
      <c r="AN57" s="116"/>
    </row>
    <row r="58" spans="1:40" ht="19.5" customHeight="1" x14ac:dyDescent="0.2">
      <c r="A58" s="116"/>
      <c r="B58" s="118"/>
      <c r="C58" s="119"/>
      <c r="D58" s="115"/>
      <c r="E58" s="115"/>
      <c r="F58" s="115"/>
      <c r="G58" s="115"/>
      <c r="H58" s="116"/>
      <c r="I58" s="113"/>
      <c r="J58" s="117"/>
      <c r="K58" s="115"/>
      <c r="L58" s="115"/>
      <c r="M58" s="115"/>
      <c r="N58" s="115"/>
      <c r="O58" s="115"/>
      <c r="P58" s="116"/>
      <c r="Q58" s="113"/>
      <c r="R58" s="117"/>
      <c r="S58" s="115"/>
      <c r="T58" s="115"/>
      <c r="U58" s="115"/>
      <c r="V58" s="115"/>
      <c r="W58" s="115"/>
      <c r="X58" s="116"/>
      <c r="Y58" s="113"/>
      <c r="Z58" s="117"/>
      <c r="AA58" s="115"/>
      <c r="AB58" s="115"/>
      <c r="AC58" s="115"/>
      <c r="AD58" s="115"/>
      <c r="AE58" s="115"/>
      <c r="AF58" s="116"/>
      <c r="AG58" s="113"/>
      <c r="AH58" s="117"/>
      <c r="AI58" s="115"/>
      <c r="AJ58" s="115"/>
      <c r="AK58" s="115"/>
      <c r="AL58" s="115"/>
      <c r="AM58" s="115"/>
      <c r="AN58" s="116"/>
    </row>
    <row r="59" spans="1:40" ht="19.5" customHeight="1" x14ac:dyDescent="0.2">
      <c r="A59" s="116"/>
      <c r="B59" s="118"/>
      <c r="C59" s="119"/>
      <c r="D59" s="115"/>
      <c r="E59" s="115"/>
      <c r="F59" s="115"/>
      <c r="G59" s="115"/>
      <c r="H59" s="116"/>
      <c r="I59" s="113"/>
      <c r="J59" s="117"/>
      <c r="K59" s="115"/>
      <c r="L59" s="115"/>
      <c r="M59" s="115"/>
      <c r="N59" s="115"/>
      <c r="O59" s="115"/>
      <c r="P59" s="116"/>
      <c r="Q59" s="113"/>
      <c r="R59" s="117"/>
      <c r="S59" s="115"/>
      <c r="T59" s="115"/>
      <c r="U59" s="115"/>
      <c r="V59" s="115"/>
      <c r="W59" s="115"/>
      <c r="X59" s="116"/>
      <c r="Y59" s="113"/>
      <c r="Z59" s="117"/>
      <c r="AA59" s="115"/>
      <c r="AB59" s="115"/>
      <c r="AC59" s="115"/>
      <c r="AD59" s="115"/>
      <c r="AE59" s="115"/>
      <c r="AF59" s="116"/>
      <c r="AG59" s="113"/>
      <c r="AH59" s="117"/>
      <c r="AI59" s="115"/>
      <c r="AJ59" s="115"/>
      <c r="AK59" s="115"/>
      <c r="AL59" s="115"/>
      <c r="AM59" s="115"/>
      <c r="AN59" s="116"/>
    </row>
    <row r="60" spans="1:40" ht="19.5" customHeight="1" x14ac:dyDescent="0.2">
      <c r="A60" s="116"/>
      <c r="B60" s="118"/>
      <c r="C60" s="119"/>
      <c r="D60" s="115"/>
      <c r="E60" s="115"/>
      <c r="F60" s="115"/>
      <c r="G60" s="115"/>
      <c r="H60" s="116"/>
      <c r="I60" s="113"/>
      <c r="J60" s="117"/>
      <c r="K60" s="115"/>
      <c r="L60" s="115"/>
      <c r="M60" s="115"/>
      <c r="N60" s="115"/>
      <c r="O60" s="115"/>
      <c r="P60" s="116"/>
      <c r="Q60" s="113"/>
      <c r="R60" s="117"/>
      <c r="S60" s="115"/>
      <c r="T60" s="115"/>
      <c r="U60" s="115"/>
      <c r="V60" s="115"/>
      <c r="W60" s="115"/>
      <c r="X60" s="116"/>
      <c r="Y60" s="113"/>
      <c r="Z60" s="117"/>
      <c r="AA60" s="115"/>
      <c r="AB60" s="115"/>
      <c r="AC60" s="115"/>
      <c r="AD60" s="115"/>
      <c r="AE60" s="115"/>
      <c r="AF60" s="116"/>
      <c r="AG60" s="113"/>
      <c r="AH60" s="117"/>
      <c r="AI60" s="115"/>
      <c r="AJ60" s="115"/>
      <c r="AK60" s="115"/>
      <c r="AL60" s="115"/>
      <c r="AM60" s="115"/>
      <c r="AN60" s="116"/>
    </row>
    <row r="61" spans="1:40" ht="19.5" customHeight="1" x14ac:dyDescent="0.2">
      <c r="A61" s="116"/>
      <c r="B61" s="118"/>
      <c r="C61" s="119"/>
      <c r="D61" s="115"/>
      <c r="E61" s="115"/>
      <c r="F61" s="115"/>
      <c r="G61" s="115"/>
      <c r="H61" s="116"/>
      <c r="I61" s="113"/>
      <c r="J61" s="117"/>
      <c r="K61" s="115"/>
      <c r="L61" s="115"/>
      <c r="M61" s="115"/>
      <c r="N61" s="115"/>
      <c r="O61" s="115"/>
      <c r="P61" s="116"/>
      <c r="Q61" s="113"/>
      <c r="R61" s="117"/>
      <c r="S61" s="115"/>
      <c r="T61" s="115"/>
      <c r="U61" s="115"/>
      <c r="V61" s="115"/>
      <c r="W61" s="115"/>
      <c r="X61" s="116"/>
      <c r="Y61" s="113"/>
      <c r="Z61" s="117"/>
      <c r="AA61" s="115"/>
      <c r="AB61" s="115"/>
      <c r="AC61" s="115"/>
      <c r="AD61" s="115"/>
      <c r="AE61" s="115"/>
      <c r="AF61" s="116"/>
      <c r="AG61" s="113"/>
      <c r="AH61" s="117"/>
      <c r="AI61" s="115"/>
      <c r="AJ61" s="115"/>
      <c r="AK61" s="115"/>
      <c r="AL61" s="115"/>
      <c r="AM61" s="115"/>
      <c r="AN61" s="116"/>
    </row>
    <row r="62" spans="1:40" ht="17.100000000000001" customHeight="1" x14ac:dyDescent="0.2">
      <c r="A62" s="116"/>
      <c r="B62" s="117"/>
      <c r="C62" s="115"/>
      <c r="D62" s="115"/>
      <c r="E62" s="115"/>
      <c r="F62" s="115"/>
      <c r="G62" s="115"/>
      <c r="H62" s="116"/>
      <c r="I62" s="113"/>
      <c r="J62" s="117"/>
      <c r="K62" s="115"/>
      <c r="L62" s="115"/>
      <c r="M62" s="115"/>
      <c r="N62" s="115"/>
      <c r="O62" s="115"/>
      <c r="P62" s="116"/>
      <c r="Q62" s="113"/>
      <c r="R62" s="117"/>
      <c r="S62" s="115"/>
      <c r="T62" s="115"/>
      <c r="U62" s="115"/>
      <c r="V62" s="115"/>
      <c r="W62" s="115"/>
      <c r="X62" s="116"/>
      <c r="Y62" s="113"/>
      <c r="Z62" s="117"/>
      <c r="AA62" s="115"/>
      <c r="AB62" s="115"/>
      <c r="AC62" s="115"/>
      <c r="AD62" s="115"/>
      <c r="AE62" s="115"/>
      <c r="AF62" s="116"/>
      <c r="AG62" s="113"/>
      <c r="AH62" s="117"/>
      <c r="AI62" s="115"/>
      <c r="AJ62" s="115"/>
      <c r="AK62" s="115"/>
      <c r="AL62" s="115"/>
      <c r="AM62" s="115"/>
      <c r="AN62" s="116"/>
    </row>
    <row r="63" spans="1:40" ht="17.100000000000001" customHeight="1" x14ac:dyDescent="0.2">
      <c r="A63" s="116"/>
      <c r="B63" s="117"/>
      <c r="C63" s="115"/>
      <c r="D63" s="115"/>
      <c r="E63" s="115"/>
      <c r="F63" s="115"/>
      <c r="G63" s="115"/>
      <c r="H63" s="116"/>
      <c r="I63" s="113"/>
      <c r="J63" s="117"/>
      <c r="K63" s="115"/>
      <c r="L63" s="115"/>
      <c r="M63" s="115"/>
      <c r="N63" s="115"/>
      <c r="O63" s="115"/>
      <c r="P63" s="116"/>
      <c r="Q63" s="113"/>
      <c r="R63" s="117"/>
      <c r="S63" s="115"/>
      <c r="T63" s="115"/>
      <c r="U63" s="115"/>
      <c r="V63" s="115"/>
      <c r="W63" s="115"/>
      <c r="X63" s="116"/>
      <c r="Y63" s="113"/>
      <c r="Z63" s="117"/>
      <c r="AA63" s="115"/>
      <c r="AB63" s="115"/>
      <c r="AC63" s="115"/>
      <c r="AD63" s="115"/>
      <c r="AE63" s="115"/>
      <c r="AF63" s="116"/>
      <c r="AG63" s="113"/>
      <c r="AH63" s="117"/>
      <c r="AI63" s="115"/>
      <c r="AJ63" s="115"/>
      <c r="AK63" s="115"/>
      <c r="AL63" s="115"/>
      <c r="AM63" s="115"/>
      <c r="AN63" s="116"/>
    </row>
    <row r="64" spans="1:40" ht="17.100000000000001" customHeight="1" x14ac:dyDescent="0.2">
      <c r="A64" s="116"/>
      <c r="B64" s="117"/>
      <c r="C64" s="115"/>
      <c r="D64" s="115"/>
      <c r="E64" s="115"/>
      <c r="F64" s="115"/>
      <c r="G64" s="115"/>
      <c r="H64" s="116"/>
      <c r="I64" s="113"/>
      <c r="J64" s="117"/>
      <c r="K64" s="115"/>
      <c r="L64" s="115"/>
      <c r="M64" s="115"/>
      <c r="N64" s="115"/>
      <c r="O64" s="115"/>
      <c r="P64" s="116"/>
      <c r="Q64" s="113"/>
      <c r="R64" s="117"/>
      <c r="S64" s="115"/>
      <c r="T64" s="115"/>
      <c r="U64" s="115"/>
      <c r="V64" s="115"/>
      <c r="W64" s="115"/>
      <c r="X64" s="116"/>
      <c r="Y64" s="113"/>
      <c r="Z64" s="117"/>
      <c r="AA64" s="115"/>
      <c r="AB64" s="115"/>
      <c r="AC64" s="115"/>
      <c r="AD64" s="115"/>
      <c r="AE64" s="115"/>
      <c r="AF64" s="116"/>
      <c r="AG64" s="113"/>
      <c r="AH64" s="117"/>
      <c r="AI64" s="115"/>
      <c r="AJ64" s="115"/>
      <c r="AK64" s="115"/>
      <c r="AL64" s="115"/>
      <c r="AM64" s="115"/>
      <c r="AN64" s="116"/>
    </row>
    <row r="65" spans="1:40" ht="17.100000000000001" customHeight="1" x14ac:dyDescent="0.2">
      <c r="A65" s="116"/>
      <c r="B65" s="117"/>
      <c r="C65" s="115"/>
      <c r="D65" s="115"/>
      <c r="E65" s="115"/>
      <c r="F65" s="115"/>
      <c r="G65" s="115"/>
      <c r="H65" s="116"/>
      <c r="I65" s="113"/>
      <c r="J65" s="117"/>
      <c r="K65" s="115"/>
      <c r="L65" s="115"/>
      <c r="M65" s="115"/>
      <c r="N65" s="115"/>
      <c r="O65" s="115"/>
      <c r="P65" s="116"/>
      <c r="Q65" s="113"/>
      <c r="R65" s="117"/>
      <c r="S65" s="115"/>
      <c r="T65" s="115"/>
      <c r="U65" s="115"/>
      <c r="V65" s="115"/>
      <c r="W65" s="115"/>
      <c r="X65" s="116"/>
      <c r="Y65" s="113"/>
      <c r="Z65" s="117"/>
      <c r="AA65" s="115"/>
      <c r="AB65" s="115"/>
      <c r="AC65" s="115"/>
      <c r="AD65" s="115"/>
      <c r="AE65" s="115"/>
      <c r="AF65" s="116"/>
      <c r="AG65" s="113"/>
      <c r="AH65" s="117"/>
      <c r="AI65" s="115"/>
      <c r="AJ65" s="115"/>
      <c r="AK65" s="115"/>
      <c r="AL65" s="115"/>
      <c r="AM65" s="115"/>
      <c r="AN65" s="116"/>
    </row>
    <row r="66" spans="1:40" ht="17.100000000000001" customHeight="1" x14ac:dyDescent="0.2">
      <c r="A66" s="116"/>
      <c r="B66" s="117"/>
      <c r="C66" s="115"/>
      <c r="D66" s="115"/>
      <c r="E66" s="115"/>
      <c r="F66" s="115"/>
      <c r="G66" s="115"/>
      <c r="H66" s="116"/>
      <c r="I66" s="113"/>
      <c r="J66" s="117"/>
      <c r="K66" s="115"/>
      <c r="L66" s="115"/>
      <c r="M66" s="115"/>
      <c r="N66" s="115"/>
      <c r="O66" s="115"/>
      <c r="P66" s="116"/>
      <c r="Q66" s="113"/>
      <c r="R66" s="117"/>
      <c r="S66" s="115"/>
      <c r="T66" s="115"/>
      <c r="U66" s="115"/>
      <c r="V66" s="115"/>
      <c r="W66" s="115"/>
      <c r="X66" s="116"/>
      <c r="Y66" s="113"/>
      <c r="Z66" s="117"/>
      <c r="AA66" s="115"/>
      <c r="AB66" s="115"/>
      <c r="AC66" s="115"/>
      <c r="AD66" s="115"/>
      <c r="AE66" s="115"/>
      <c r="AF66" s="116"/>
      <c r="AG66" s="113"/>
      <c r="AH66" s="117"/>
      <c r="AI66" s="115"/>
      <c r="AJ66" s="115"/>
      <c r="AK66" s="115"/>
      <c r="AL66" s="115"/>
      <c r="AM66" s="115"/>
      <c r="AN66" s="116"/>
    </row>
    <row r="67" spans="1:40" ht="17.100000000000001" customHeight="1" x14ac:dyDescent="0.2">
      <c r="A67" s="116"/>
      <c r="B67" s="117"/>
      <c r="C67" s="115"/>
      <c r="D67" s="115"/>
      <c r="E67" s="115"/>
      <c r="F67" s="115"/>
      <c r="G67" s="115"/>
      <c r="H67" s="116"/>
      <c r="I67" s="113"/>
      <c r="J67" s="117"/>
      <c r="K67" s="115"/>
      <c r="L67" s="115"/>
      <c r="M67" s="115"/>
      <c r="N67" s="115"/>
      <c r="O67" s="115"/>
      <c r="P67" s="116"/>
      <c r="Q67" s="113"/>
      <c r="R67" s="117"/>
      <c r="S67" s="115"/>
      <c r="T67" s="115"/>
      <c r="U67" s="115"/>
      <c r="V67" s="115"/>
      <c r="W67" s="115"/>
      <c r="X67" s="116"/>
      <c r="Y67" s="113"/>
      <c r="Z67" s="117"/>
      <c r="AA67" s="115"/>
      <c r="AB67" s="115"/>
      <c r="AC67" s="115"/>
      <c r="AD67" s="115"/>
      <c r="AE67" s="115"/>
      <c r="AF67" s="116"/>
      <c r="AG67" s="113"/>
      <c r="AH67" s="117"/>
      <c r="AI67" s="115"/>
      <c r="AJ67" s="115"/>
      <c r="AK67" s="115"/>
      <c r="AL67" s="115"/>
      <c r="AM67" s="115"/>
      <c r="AN67" s="116"/>
    </row>
    <row r="68" spans="1:40" ht="17.100000000000001" customHeight="1" x14ac:dyDescent="0.2">
      <c r="A68" s="116"/>
      <c r="B68" s="117"/>
      <c r="C68" s="115"/>
      <c r="D68" s="115"/>
      <c r="E68" s="115"/>
      <c r="F68" s="115"/>
      <c r="G68" s="115"/>
      <c r="H68" s="116"/>
      <c r="I68" s="113"/>
      <c r="J68" s="117"/>
      <c r="K68" s="115"/>
      <c r="L68" s="115"/>
      <c r="M68" s="115"/>
      <c r="N68" s="115"/>
      <c r="O68" s="115"/>
      <c r="P68" s="116"/>
      <c r="Q68" s="113"/>
      <c r="R68" s="117"/>
      <c r="S68" s="115"/>
      <c r="T68" s="115"/>
      <c r="U68" s="115"/>
      <c r="V68" s="115"/>
      <c r="W68" s="115"/>
      <c r="X68" s="116"/>
      <c r="Y68" s="113"/>
      <c r="Z68" s="117"/>
      <c r="AA68" s="115"/>
      <c r="AB68" s="115"/>
      <c r="AC68" s="115"/>
      <c r="AD68" s="115"/>
      <c r="AE68" s="115"/>
      <c r="AF68" s="116"/>
      <c r="AG68" s="113"/>
      <c r="AH68" s="117"/>
      <c r="AI68" s="115"/>
      <c r="AJ68" s="115"/>
      <c r="AK68" s="115"/>
      <c r="AL68" s="115"/>
      <c r="AM68" s="115"/>
      <c r="AN68" s="116"/>
    </row>
    <row r="69" spans="1:40" ht="17.100000000000001" customHeight="1" x14ac:dyDescent="0.2">
      <c r="A69" s="116"/>
      <c r="B69" s="117"/>
      <c r="C69" s="115"/>
      <c r="D69" s="115"/>
      <c r="E69" s="115"/>
      <c r="F69" s="115"/>
      <c r="G69" s="115"/>
      <c r="H69" s="116"/>
      <c r="I69" s="113"/>
      <c r="J69" s="117"/>
      <c r="K69" s="115"/>
      <c r="L69" s="115"/>
      <c r="M69" s="115"/>
      <c r="N69" s="115"/>
      <c r="O69" s="115"/>
      <c r="P69" s="116"/>
      <c r="Q69" s="113"/>
      <c r="R69" s="117"/>
      <c r="S69" s="115"/>
      <c r="T69" s="115"/>
      <c r="U69" s="115"/>
      <c r="V69" s="115"/>
      <c r="W69" s="115"/>
      <c r="X69" s="116"/>
      <c r="Y69" s="113"/>
      <c r="Z69" s="117"/>
      <c r="AA69" s="115"/>
      <c r="AB69" s="115"/>
      <c r="AC69" s="115"/>
      <c r="AD69" s="115"/>
      <c r="AE69" s="115"/>
      <c r="AF69" s="116"/>
      <c r="AG69" s="113"/>
      <c r="AH69" s="117"/>
      <c r="AI69" s="115"/>
      <c r="AJ69" s="115"/>
      <c r="AK69" s="115"/>
      <c r="AL69" s="115"/>
      <c r="AM69" s="115"/>
      <c r="AN69" s="116"/>
    </row>
    <row r="70" spans="1:40" ht="17.100000000000001" customHeight="1" x14ac:dyDescent="0.2">
      <c r="A70" s="116"/>
      <c r="B70" s="117"/>
      <c r="C70" s="115"/>
      <c r="D70" s="115"/>
      <c r="E70" s="115"/>
      <c r="F70" s="115"/>
      <c r="G70" s="115"/>
      <c r="H70" s="116"/>
      <c r="I70" s="113"/>
      <c r="J70" s="117"/>
      <c r="K70" s="115"/>
      <c r="L70" s="115"/>
      <c r="M70" s="115"/>
      <c r="N70" s="115"/>
      <c r="O70" s="115"/>
      <c r="P70" s="116"/>
      <c r="Q70" s="113"/>
      <c r="R70" s="117"/>
      <c r="S70" s="115"/>
      <c r="T70" s="115"/>
      <c r="U70" s="115"/>
      <c r="V70" s="115"/>
      <c r="W70" s="115"/>
      <c r="X70" s="116"/>
      <c r="Y70" s="113"/>
      <c r="Z70" s="117"/>
      <c r="AA70" s="115"/>
      <c r="AB70" s="115"/>
      <c r="AC70" s="115"/>
      <c r="AD70" s="115"/>
      <c r="AE70" s="115"/>
      <c r="AF70" s="116"/>
      <c r="AG70" s="113"/>
      <c r="AH70" s="117"/>
      <c r="AI70" s="115"/>
      <c r="AJ70" s="115"/>
      <c r="AK70" s="115"/>
      <c r="AL70" s="115"/>
      <c r="AM70" s="115"/>
      <c r="AN70" s="116"/>
    </row>
    <row r="71" spans="1:40" ht="17.100000000000001" customHeight="1" x14ac:dyDescent="0.2">
      <c r="A71" s="116"/>
      <c r="B71" s="117"/>
      <c r="C71" s="115"/>
      <c r="D71" s="115"/>
      <c r="E71" s="115"/>
      <c r="F71" s="115"/>
      <c r="G71" s="115"/>
      <c r="H71" s="116"/>
      <c r="I71" s="113"/>
      <c r="J71" s="117"/>
      <c r="K71" s="115"/>
      <c r="L71" s="115"/>
      <c r="M71" s="115"/>
      <c r="N71" s="115"/>
      <c r="O71" s="115"/>
      <c r="P71" s="116"/>
      <c r="Q71" s="113"/>
      <c r="R71" s="117"/>
      <c r="S71" s="115"/>
      <c r="T71" s="115"/>
      <c r="U71" s="115"/>
      <c r="V71" s="115"/>
      <c r="W71" s="115"/>
      <c r="X71" s="116"/>
      <c r="Y71" s="113"/>
      <c r="Z71" s="117"/>
      <c r="AA71" s="115"/>
      <c r="AB71" s="115"/>
      <c r="AC71" s="115"/>
      <c r="AD71" s="115"/>
      <c r="AE71" s="115"/>
      <c r="AF71" s="116"/>
      <c r="AG71" s="113"/>
      <c r="AH71" s="117"/>
      <c r="AI71" s="115"/>
      <c r="AJ71" s="115"/>
      <c r="AK71" s="115"/>
      <c r="AL71" s="115"/>
      <c r="AM71" s="115"/>
      <c r="AN71" s="116"/>
    </row>
    <row r="72" spans="1:40" ht="17.100000000000001" customHeight="1" x14ac:dyDescent="0.2">
      <c r="A72" s="116"/>
      <c r="B72" s="117"/>
      <c r="C72" s="115"/>
      <c r="D72" s="115"/>
      <c r="E72" s="115"/>
      <c r="F72" s="115"/>
      <c r="G72" s="115"/>
      <c r="H72" s="116"/>
      <c r="I72" s="113"/>
      <c r="J72" s="117"/>
      <c r="K72" s="115"/>
      <c r="L72" s="115"/>
      <c r="M72" s="115"/>
      <c r="N72" s="115"/>
      <c r="O72" s="115"/>
      <c r="P72" s="116"/>
      <c r="Q72" s="113"/>
      <c r="R72" s="117"/>
      <c r="S72" s="115"/>
      <c r="T72" s="115"/>
      <c r="U72" s="115"/>
      <c r="V72" s="115"/>
      <c r="W72" s="115"/>
      <c r="X72" s="116"/>
      <c r="Y72" s="113"/>
      <c r="Z72" s="117"/>
      <c r="AA72" s="115"/>
      <c r="AB72" s="115"/>
      <c r="AC72" s="115"/>
      <c r="AD72" s="115"/>
      <c r="AE72" s="115"/>
      <c r="AF72" s="116"/>
      <c r="AG72" s="113"/>
      <c r="AH72" s="117"/>
      <c r="AI72" s="115"/>
      <c r="AJ72" s="115"/>
      <c r="AK72" s="115"/>
      <c r="AL72" s="115"/>
      <c r="AM72" s="115"/>
      <c r="AN72" s="116"/>
    </row>
    <row r="73" spans="1:40" ht="17.100000000000001" customHeight="1" x14ac:dyDescent="0.2">
      <c r="A73" s="116"/>
      <c r="B73" s="117"/>
      <c r="C73" s="115"/>
      <c r="D73" s="115"/>
      <c r="E73" s="115"/>
      <c r="F73" s="115"/>
      <c r="G73" s="115"/>
      <c r="H73" s="116"/>
      <c r="I73" s="113"/>
      <c r="J73" s="117"/>
      <c r="K73" s="115"/>
      <c r="L73" s="115"/>
      <c r="M73" s="115"/>
      <c r="N73" s="115"/>
      <c r="O73" s="115"/>
      <c r="P73" s="116"/>
      <c r="Q73" s="113"/>
      <c r="R73" s="117"/>
      <c r="S73" s="115"/>
      <c r="T73" s="115"/>
      <c r="U73" s="115"/>
      <c r="V73" s="115"/>
      <c r="W73" s="115"/>
      <c r="X73" s="116"/>
      <c r="Y73" s="113"/>
      <c r="Z73" s="117"/>
      <c r="AA73" s="115"/>
      <c r="AB73" s="115"/>
      <c r="AC73" s="115"/>
      <c r="AD73" s="115"/>
      <c r="AE73" s="115"/>
      <c r="AF73" s="116"/>
      <c r="AG73" s="113"/>
      <c r="AH73" s="117"/>
      <c r="AI73" s="115"/>
      <c r="AJ73" s="115"/>
      <c r="AK73" s="115"/>
      <c r="AL73" s="115"/>
      <c r="AM73" s="115"/>
      <c r="AN73" s="116"/>
    </row>
    <row r="74" spans="1:40" ht="17.100000000000001" customHeight="1" x14ac:dyDescent="0.2">
      <c r="A74" s="116"/>
      <c r="B74" s="117"/>
      <c r="C74" s="115"/>
      <c r="D74" s="115"/>
      <c r="E74" s="115"/>
      <c r="F74" s="115"/>
      <c r="G74" s="115"/>
      <c r="H74" s="116"/>
      <c r="I74" s="113"/>
      <c r="J74" s="117"/>
      <c r="K74" s="115"/>
      <c r="L74" s="115"/>
      <c r="M74" s="115"/>
      <c r="N74" s="115"/>
      <c r="O74" s="115"/>
      <c r="P74" s="116"/>
      <c r="Q74" s="113"/>
      <c r="R74" s="117"/>
      <c r="S74" s="115"/>
      <c r="T74" s="115"/>
      <c r="U74" s="115"/>
      <c r="V74" s="115"/>
      <c r="W74" s="115"/>
      <c r="X74" s="116"/>
      <c r="Y74" s="113"/>
      <c r="Z74" s="117"/>
      <c r="AA74" s="115"/>
      <c r="AB74" s="115"/>
      <c r="AC74" s="115"/>
      <c r="AD74" s="115"/>
      <c r="AE74" s="115"/>
      <c r="AF74" s="116"/>
      <c r="AG74" s="113"/>
      <c r="AH74" s="117"/>
      <c r="AI74" s="115"/>
      <c r="AJ74" s="115"/>
      <c r="AK74" s="115"/>
      <c r="AL74" s="115"/>
      <c r="AM74" s="115"/>
      <c r="AN74" s="116"/>
    </row>
    <row r="75" spans="1:40" ht="17.100000000000001" customHeight="1" x14ac:dyDescent="0.2">
      <c r="A75" s="116"/>
      <c r="B75" s="117"/>
      <c r="C75" s="115"/>
      <c r="D75" s="115"/>
      <c r="E75" s="115"/>
      <c r="F75" s="115"/>
      <c r="G75" s="115"/>
      <c r="H75" s="116"/>
      <c r="I75" s="113"/>
      <c r="J75" s="117"/>
      <c r="K75" s="115"/>
      <c r="L75" s="115"/>
      <c r="M75" s="115"/>
      <c r="N75" s="115"/>
      <c r="O75" s="115"/>
      <c r="P75" s="116"/>
      <c r="Q75" s="113"/>
      <c r="R75" s="117"/>
      <c r="S75" s="115"/>
      <c r="T75" s="115"/>
      <c r="U75" s="115"/>
      <c r="V75" s="115"/>
      <c r="W75" s="115"/>
      <c r="X75" s="116"/>
      <c r="Y75" s="113"/>
      <c r="Z75" s="117"/>
      <c r="AA75" s="115"/>
      <c r="AB75" s="115"/>
      <c r="AC75" s="115"/>
      <c r="AD75" s="115"/>
      <c r="AE75" s="115"/>
      <c r="AF75" s="116"/>
      <c r="AG75" s="113"/>
      <c r="AH75" s="117"/>
      <c r="AI75" s="115"/>
      <c r="AJ75" s="115"/>
      <c r="AK75" s="115"/>
      <c r="AL75" s="115"/>
      <c r="AM75" s="115"/>
      <c r="AN75" s="116"/>
    </row>
    <row r="76" spans="1:40" ht="17.100000000000001" customHeight="1" x14ac:dyDescent="0.2">
      <c r="A76" s="116"/>
      <c r="B76" s="117"/>
      <c r="C76" s="115"/>
      <c r="D76" s="115"/>
      <c r="E76" s="115"/>
      <c r="F76" s="115"/>
      <c r="G76" s="115"/>
      <c r="H76" s="116"/>
      <c r="I76" s="113"/>
      <c r="J76" s="117"/>
      <c r="K76" s="115"/>
      <c r="L76" s="115"/>
      <c r="M76" s="115"/>
      <c r="N76" s="115"/>
      <c r="O76" s="115"/>
      <c r="P76" s="116"/>
      <c r="Q76" s="113"/>
      <c r="R76" s="117"/>
      <c r="S76" s="115"/>
      <c r="T76" s="115"/>
      <c r="U76" s="115"/>
      <c r="V76" s="115"/>
      <c r="W76" s="115"/>
      <c r="X76" s="116"/>
      <c r="Y76" s="113"/>
      <c r="Z76" s="117"/>
      <c r="AA76" s="115"/>
      <c r="AB76" s="115"/>
      <c r="AC76" s="115"/>
      <c r="AD76" s="115"/>
      <c r="AE76" s="115"/>
      <c r="AF76" s="116"/>
      <c r="AG76" s="113"/>
      <c r="AH76" s="117"/>
      <c r="AI76" s="115"/>
      <c r="AJ76" s="115"/>
      <c r="AK76" s="115"/>
      <c r="AL76" s="115"/>
      <c r="AM76" s="115"/>
      <c r="AN76" s="116"/>
    </row>
    <row r="77" spans="1:40" ht="17.100000000000001" customHeight="1" x14ac:dyDescent="0.2">
      <c r="A77" s="116"/>
      <c r="B77" s="117"/>
      <c r="C77" s="115"/>
      <c r="D77" s="115"/>
      <c r="E77" s="115"/>
      <c r="F77" s="115"/>
      <c r="G77" s="115"/>
      <c r="H77" s="116"/>
      <c r="I77" s="113"/>
      <c r="J77" s="117"/>
      <c r="K77" s="115"/>
      <c r="L77" s="115"/>
      <c r="M77" s="115"/>
      <c r="N77" s="115"/>
      <c r="O77" s="115"/>
      <c r="P77" s="116"/>
      <c r="Q77" s="113"/>
      <c r="R77" s="117"/>
      <c r="S77" s="115"/>
      <c r="T77" s="115"/>
      <c r="U77" s="115"/>
      <c r="V77" s="115"/>
      <c r="W77" s="115"/>
      <c r="X77" s="116"/>
      <c r="Y77" s="113"/>
      <c r="Z77" s="117"/>
      <c r="AA77" s="115"/>
      <c r="AB77" s="115"/>
      <c r="AC77" s="115"/>
      <c r="AD77" s="115"/>
      <c r="AE77" s="115"/>
      <c r="AF77" s="116"/>
      <c r="AG77" s="113"/>
      <c r="AH77" s="117"/>
      <c r="AI77" s="115"/>
      <c r="AJ77" s="115"/>
      <c r="AK77" s="115"/>
      <c r="AL77" s="115"/>
      <c r="AM77" s="115"/>
      <c r="AN77" s="116"/>
    </row>
    <row r="78" spans="1:40" ht="17.100000000000001" customHeight="1" x14ac:dyDescent="0.2">
      <c r="A78" s="116"/>
      <c r="B78" s="117"/>
      <c r="C78" s="115"/>
      <c r="D78" s="115"/>
      <c r="E78" s="115"/>
      <c r="F78" s="115"/>
      <c r="G78" s="115"/>
      <c r="H78" s="116"/>
      <c r="I78" s="113"/>
      <c r="J78" s="117"/>
      <c r="K78" s="115"/>
      <c r="L78" s="115"/>
      <c r="M78" s="115"/>
      <c r="N78" s="115"/>
      <c r="O78" s="115"/>
      <c r="P78" s="116"/>
      <c r="Q78" s="113"/>
      <c r="R78" s="117"/>
      <c r="S78" s="115"/>
      <c r="T78" s="115"/>
      <c r="U78" s="115"/>
      <c r="V78" s="115"/>
      <c r="W78" s="115"/>
      <c r="X78" s="116"/>
      <c r="Y78" s="113"/>
      <c r="Z78" s="117"/>
      <c r="AA78" s="115"/>
      <c r="AB78" s="115"/>
      <c r="AC78" s="115"/>
      <c r="AD78" s="115"/>
      <c r="AE78" s="115"/>
      <c r="AF78" s="116"/>
      <c r="AG78" s="113"/>
      <c r="AH78" s="117"/>
      <c r="AI78" s="115"/>
      <c r="AJ78" s="115"/>
      <c r="AK78" s="115"/>
      <c r="AL78" s="115"/>
      <c r="AM78" s="115"/>
      <c r="AN78" s="116"/>
    </row>
    <row r="79" spans="1:40" ht="17.100000000000001" customHeight="1" x14ac:dyDescent="0.2">
      <c r="A79" s="116"/>
      <c r="B79" s="117"/>
      <c r="C79" s="115"/>
      <c r="D79" s="115"/>
      <c r="E79" s="115"/>
      <c r="F79" s="115"/>
      <c r="G79" s="115"/>
      <c r="H79" s="116"/>
      <c r="I79" s="113"/>
      <c r="J79" s="117"/>
      <c r="K79" s="115"/>
      <c r="L79" s="115"/>
      <c r="M79" s="115"/>
      <c r="N79" s="115"/>
      <c r="O79" s="115"/>
      <c r="P79" s="116"/>
      <c r="Q79" s="113"/>
      <c r="R79" s="117"/>
      <c r="S79" s="115"/>
      <c r="T79" s="115"/>
      <c r="U79" s="115"/>
      <c r="V79" s="115"/>
      <c r="W79" s="115"/>
      <c r="X79" s="116"/>
      <c r="Y79" s="113"/>
      <c r="Z79" s="117"/>
      <c r="AA79" s="115"/>
      <c r="AB79" s="115"/>
      <c r="AC79" s="115"/>
      <c r="AD79" s="115"/>
      <c r="AE79" s="115"/>
      <c r="AF79" s="116"/>
      <c r="AG79" s="113"/>
      <c r="AH79" s="117"/>
      <c r="AI79" s="115"/>
      <c r="AJ79" s="115"/>
      <c r="AK79" s="115"/>
      <c r="AL79" s="115"/>
      <c r="AM79" s="115"/>
      <c r="AN79" s="116"/>
    </row>
    <row r="80" spans="1:40" ht="17.100000000000001" customHeight="1" x14ac:dyDescent="0.2">
      <c r="A80" s="116"/>
      <c r="B80" s="117"/>
      <c r="C80" s="115"/>
      <c r="D80" s="115"/>
      <c r="E80" s="115"/>
      <c r="F80" s="115"/>
      <c r="G80" s="115"/>
      <c r="H80" s="116"/>
      <c r="I80" s="113"/>
      <c r="J80" s="117"/>
      <c r="K80" s="115"/>
      <c r="L80" s="115"/>
      <c r="M80" s="115"/>
      <c r="N80" s="115"/>
      <c r="O80" s="115"/>
      <c r="P80" s="116"/>
      <c r="Q80" s="113"/>
      <c r="R80" s="117"/>
      <c r="S80" s="115"/>
      <c r="T80" s="115"/>
      <c r="U80" s="115"/>
      <c r="V80" s="115"/>
      <c r="W80" s="115"/>
      <c r="X80" s="116"/>
      <c r="Y80" s="113"/>
      <c r="Z80" s="117"/>
      <c r="AA80" s="115"/>
      <c r="AB80" s="115"/>
      <c r="AC80" s="115"/>
      <c r="AD80" s="115"/>
      <c r="AE80" s="115"/>
      <c r="AF80" s="116"/>
      <c r="AG80" s="113"/>
      <c r="AH80" s="117"/>
      <c r="AI80" s="115"/>
      <c r="AJ80" s="115"/>
      <c r="AK80" s="115"/>
      <c r="AL80" s="115"/>
      <c r="AM80" s="115"/>
      <c r="AN80" s="116"/>
    </row>
    <row r="81" spans="1:40" ht="17.100000000000001" customHeight="1" x14ac:dyDescent="0.2">
      <c r="A81" s="116"/>
      <c r="B81" s="117"/>
      <c r="C81" s="115"/>
      <c r="D81" s="115"/>
      <c r="E81" s="115"/>
      <c r="F81" s="115"/>
      <c r="G81" s="115"/>
      <c r="H81" s="116"/>
      <c r="I81" s="113"/>
      <c r="J81" s="117"/>
      <c r="K81" s="115"/>
      <c r="L81" s="115"/>
      <c r="M81" s="115"/>
      <c r="N81" s="115"/>
      <c r="O81" s="115"/>
      <c r="P81" s="116"/>
      <c r="Q81" s="113"/>
      <c r="R81" s="117"/>
      <c r="S81" s="115"/>
      <c r="T81" s="115"/>
      <c r="U81" s="115"/>
      <c r="V81" s="115"/>
      <c r="W81" s="115"/>
      <c r="X81" s="116"/>
      <c r="Y81" s="113"/>
      <c r="Z81" s="117"/>
      <c r="AA81" s="115"/>
      <c r="AB81" s="115"/>
      <c r="AC81" s="115"/>
      <c r="AD81" s="115"/>
      <c r="AE81" s="115"/>
      <c r="AF81" s="116"/>
      <c r="AG81" s="113"/>
      <c r="AH81" s="117"/>
      <c r="AI81" s="115"/>
      <c r="AJ81" s="115"/>
      <c r="AK81" s="115"/>
      <c r="AL81" s="115"/>
      <c r="AM81" s="115"/>
      <c r="AN81" s="116"/>
    </row>
  </sheetData>
  <mergeCells count="55">
    <mergeCell ref="AH35:AM35"/>
    <mergeCell ref="AA16:AA17"/>
    <mergeCell ref="AA8:AA9"/>
    <mergeCell ref="J35:O35"/>
    <mergeCell ref="B21:G21"/>
    <mergeCell ref="AH28:AM28"/>
    <mergeCell ref="AH21:AM21"/>
    <mergeCell ref="Z35:AE35"/>
    <mergeCell ref="R35:W35"/>
    <mergeCell ref="B35:G35"/>
    <mergeCell ref="G8:G9"/>
    <mergeCell ref="Z28:AE28"/>
    <mergeCell ref="AE8:AE9"/>
    <mergeCell ref="R13:W13"/>
    <mergeCell ref="R28:W28"/>
    <mergeCell ref="J13:O13"/>
    <mergeCell ref="R21:W21"/>
    <mergeCell ref="J21:O21"/>
    <mergeCell ref="Z21:AE21"/>
    <mergeCell ref="Z16:Z17"/>
    <mergeCell ref="R16:R17"/>
    <mergeCell ref="S16:S17"/>
    <mergeCell ref="Z3:AE3"/>
    <mergeCell ref="AG1:AN1"/>
    <mergeCell ref="AA6:AA7"/>
    <mergeCell ref="S6:S7"/>
    <mergeCell ref="AH3:AM3"/>
    <mergeCell ref="Y1:AF1"/>
    <mergeCell ref="B1:H1"/>
    <mergeCell ref="K16:K17"/>
    <mergeCell ref="C16:C17"/>
    <mergeCell ref="I1:P1"/>
    <mergeCell ref="S8:S9"/>
    <mergeCell ref="J16:J17"/>
    <mergeCell ref="Q1:X1"/>
    <mergeCell ref="W8:W9"/>
    <mergeCell ref="R3:W3"/>
    <mergeCell ref="J3:O3"/>
    <mergeCell ref="K6:K7"/>
    <mergeCell ref="AH39:AM39"/>
    <mergeCell ref="C6:C7"/>
    <mergeCell ref="B3:G3"/>
    <mergeCell ref="Z39:AE39"/>
    <mergeCell ref="R39:W39"/>
    <mergeCell ref="B16:B17"/>
    <mergeCell ref="J39:O39"/>
    <mergeCell ref="B39:G39"/>
    <mergeCell ref="AH13:AM13"/>
    <mergeCell ref="K8:K9"/>
    <mergeCell ref="B13:G13"/>
    <mergeCell ref="J28:O28"/>
    <mergeCell ref="O8:O9"/>
    <mergeCell ref="C8:C9"/>
    <mergeCell ref="Z13:AE13"/>
    <mergeCell ref="B28:G28"/>
  </mergeCells>
  <pageMargins left="0.75" right="0.75" top="1" bottom="1" header="0.5" footer="0.5"/>
  <pageSetup scale="56" orientation="portrait" r:id="rId1"/>
  <headerFooter>
    <oddFooter>&amp;C&amp;"Helvetica,Regular"&amp;12&amp;K000000&amp;P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88"/>
  <sheetViews>
    <sheetView showGridLines="0" workbookViewId="0"/>
  </sheetViews>
  <sheetFormatPr defaultColWidth="8.85546875" defaultRowHeight="15" customHeight="1" x14ac:dyDescent="0.2"/>
  <cols>
    <col min="1" max="1" width="5.7109375" style="155" customWidth="1"/>
    <col min="2" max="6" width="16" style="155" customWidth="1"/>
    <col min="7" max="7" width="60.7109375" style="155" customWidth="1"/>
    <col min="8" max="9" width="5.7109375" style="155" customWidth="1"/>
    <col min="10" max="14" width="16" style="155" customWidth="1"/>
    <col min="15" max="15" width="60.7109375" style="155" customWidth="1"/>
    <col min="16" max="17" width="5.7109375" style="155" customWidth="1"/>
    <col min="18" max="22" width="16" style="155" customWidth="1"/>
    <col min="23" max="23" width="60.7109375" style="155" customWidth="1"/>
    <col min="24" max="25" width="5.7109375" style="155" customWidth="1"/>
    <col min="26" max="30" width="16" style="155" customWidth="1"/>
    <col min="31" max="31" width="60.7109375" style="155" customWidth="1"/>
    <col min="32" max="33" width="5.7109375" style="155" customWidth="1"/>
    <col min="34" max="38" width="16" style="155" customWidth="1"/>
    <col min="39" max="39" width="60.7109375" style="155" customWidth="1"/>
    <col min="40" max="40" width="5.7109375" style="155" customWidth="1"/>
    <col min="41" max="256" width="8.85546875" style="155" customWidth="1"/>
  </cols>
  <sheetData>
    <row r="1" spans="1:40" ht="26.25" customHeight="1" x14ac:dyDescent="0.2">
      <c r="A1" s="48"/>
      <c r="B1" s="253" t="s">
        <v>179</v>
      </c>
      <c r="C1" s="254"/>
      <c r="D1" s="254"/>
      <c r="E1" s="254"/>
      <c r="F1" s="254"/>
      <c r="G1" s="254"/>
      <c r="H1" s="254"/>
      <c r="I1" s="253" t="s">
        <v>180</v>
      </c>
      <c r="J1" s="254"/>
      <c r="K1" s="254"/>
      <c r="L1" s="254"/>
      <c r="M1" s="254"/>
      <c r="N1" s="254"/>
      <c r="O1" s="254"/>
      <c r="P1" s="254"/>
      <c r="Q1" s="253" t="s">
        <v>181</v>
      </c>
      <c r="R1" s="254"/>
      <c r="S1" s="254"/>
      <c r="T1" s="254"/>
      <c r="U1" s="254"/>
      <c r="V1" s="254"/>
      <c r="W1" s="254"/>
      <c r="X1" s="254"/>
      <c r="Y1" s="253" t="s">
        <v>182</v>
      </c>
      <c r="Z1" s="254"/>
      <c r="AA1" s="254"/>
      <c r="AB1" s="254"/>
      <c r="AC1" s="254"/>
      <c r="AD1" s="254"/>
      <c r="AE1" s="254"/>
      <c r="AF1" s="254"/>
      <c r="AG1" s="253" t="s">
        <v>183</v>
      </c>
      <c r="AH1" s="254"/>
      <c r="AI1" s="254"/>
      <c r="AJ1" s="254"/>
      <c r="AK1" s="254"/>
      <c r="AL1" s="254"/>
      <c r="AM1" s="254"/>
      <c r="AN1" s="254"/>
    </row>
    <row r="2" spans="1:40" ht="15.75" customHeight="1" x14ac:dyDescent="0.2">
      <c r="A2" s="121"/>
      <c r="B2" s="122" t="s">
        <v>49</v>
      </c>
      <c r="C2" s="51"/>
      <c r="D2" s="51"/>
      <c r="E2" s="51"/>
      <c r="F2" s="51"/>
      <c r="G2" s="51"/>
      <c r="H2" s="52"/>
      <c r="I2" s="49"/>
      <c r="J2" s="50" t="s">
        <v>49</v>
      </c>
      <c r="K2" s="51"/>
      <c r="L2" s="51"/>
      <c r="M2" s="51"/>
      <c r="N2" s="51"/>
      <c r="O2" s="51"/>
      <c r="P2" s="52"/>
      <c r="Q2" s="49"/>
      <c r="R2" s="50" t="s">
        <v>49</v>
      </c>
      <c r="S2" s="51"/>
      <c r="T2" s="51"/>
      <c r="U2" s="51"/>
      <c r="V2" s="51"/>
      <c r="W2" s="51"/>
      <c r="X2" s="52"/>
      <c r="Y2" s="49"/>
      <c r="Z2" s="50" t="s">
        <v>49</v>
      </c>
      <c r="AA2" s="51"/>
      <c r="AB2" s="51"/>
      <c r="AC2" s="51"/>
      <c r="AD2" s="51"/>
      <c r="AE2" s="51"/>
      <c r="AF2" s="52"/>
      <c r="AG2" s="49"/>
      <c r="AH2" s="50" t="s">
        <v>49</v>
      </c>
      <c r="AI2" s="51"/>
      <c r="AJ2" s="51"/>
      <c r="AK2" s="51"/>
      <c r="AL2" s="51"/>
      <c r="AM2" s="51"/>
      <c r="AN2" s="52"/>
    </row>
    <row r="3" spans="1:40" ht="20.25" customHeight="1" x14ac:dyDescent="0.2">
      <c r="A3" s="124"/>
      <c r="B3" s="255" t="s">
        <v>70</v>
      </c>
      <c r="C3" s="256"/>
      <c r="D3" s="256"/>
      <c r="E3" s="256"/>
      <c r="F3" s="256"/>
      <c r="G3" s="257"/>
      <c r="H3" s="53"/>
      <c r="I3" s="53"/>
      <c r="J3" s="255" t="s">
        <v>70</v>
      </c>
      <c r="K3" s="256"/>
      <c r="L3" s="256"/>
      <c r="M3" s="256"/>
      <c r="N3" s="256"/>
      <c r="O3" s="257"/>
      <c r="P3" s="53"/>
      <c r="Q3" s="53"/>
      <c r="R3" s="255" t="s">
        <v>70</v>
      </c>
      <c r="S3" s="256"/>
      <c r="T3" s="256"/>
      <c r="U3" s="256"/>
      <c r="V3" s="256"/>
      <c r="W3" s="257"/>
      <c r="X3" s="53"/>
      <c r="Y3" s="53"/>
      <c r="Z3" s="255" t="s">
        <v>70</v>
      </c>
      <c r="AA3" s="256"/>
      <c r="AB3" s="256"/>
      <c r="AC3" s="256"/>
      <c r="AD3" s="256"/>
      <c r="AE3" s="257"/>
      <c r="AF3" s="53"/>
      <c r="AG3" s="53"/>
      <c r="AH3" s="255" t="s">
        <v>71</v>
      </c>
      <c r="AI3" s="256"/>
      <c r="AJ3" s="256"/>
      <c r="AK3" s="256"/>
      <c r="AL3" s="256"/>
      <c r="AM3" s="257"/>
      <c r="AN3" s="53"/>
    </row>
    <row r="4" spans="1:40" ht="36" customHeight="1" x14ac:dyDescent="0.2">
      <c r="A4" s="124"/>
      <c r="B4" s="126"/>
      <c r="C4" s="20" t="s">
        <v>72</v>
      </c>
      <c r="D4" s="20" t="s">
        <v>52</v>
      </c>
      <c r="E4" s="20" t="s">
        <v>73</v>
      </c>
      <c r="F4" s="20" t="s">
        <v>74</v>
      </c>
      <c r="G4" s="20" t="s">
        <v>75</v>
      </c>
      <c r="H4" s="56"/>
      <c r="I4" s="54"/>
      <c r="J4" s="55"/>
      <c r="K4" s="20" t="s">
        <v>72</v>
      </c>
      <c r="L4" s="20" t="s">
        <v>52</v>
      </c>
      <c r="M4" s="20" t="s">
        <v>73</v>
      </c>
      <c r="N4" s="20" t="s">
        <v>74</v>
      </c>
      <c r="O4" s="20" t="s">
        <v>75</v>
      </c>
      <c r="P4" s="56"/>
      <c r="Q4" s="54"/>
      <c r="R4" s="55"/>
      <c r="S4" s="20" t="s">
        <v>72</v>
      </c>
      <c r="T4" s="20" t="s">
        <v>52</v>
      </c>
      <c r="U4" s="20" t="s">
        <v>73</v>
      </c>
      <c r="V4" s="20" t="s">
        <v>74</v>
      </c>
      <c r="W4" s="20" t="s">
        <v>75</v>
      </c>
      <c r="X4" s="56"/>
      <c r="Y4" s="54"/>
      <c r="Z4" s="55"/>
      <c r="AA4" s="20" t="s">
        <v>72</v>
      </c>
      <c r="AB4" s="20" t="s">
        <v>52</v>
      </c>
      <c r="AC4" s="20" t="s">
        <v>73</v>
      </c>
      <c r="AD4" s="20" t="s">
        <v>74</v>
      </c>
      <c r="AE4" s="20" t="s">
        <v>75</v>
      </c>
      <c r="AF4" s="56"/>
      <c r="AG4" s="54"/>
      <c r="AH4" s="55"/>
      <c r="AI4" s="20" t="s">
        <v>51</v>
      </c>
      <c r="AJ4" s="20" t="s">
        <v>52</v>
      </c>
      <c r="AK4" s="20" t="s">
        <v>73</v>
      </c>
      <c r="AL4" s="20" t="s">
        <v>74</v>
      </c>
      <c r="AM4" s="20" t="s">
        <v>76</v>
      </c>
      <c r="AN4" s="56"/>
    </row>
    <row r="5" spans="1:40" ht="30" customHeight="1" x14ac:dyDescent="0.2">
      <c r="A5" s="124"/>
      <c r="B5" s="131" t="s">
        <v>77</v>
      </c>
      <c r="C5" s="58">
        <v>1</v>
      </c>
      <c r="D5" s="25" t="s">
        <v>78</v>
      </c>
      <c r="E5" s="25" t="s">
        <v>79</v>
      </c>
      <c r="F5" s="59">
        <f t="shared" ref="F5:AD5" si="0">$C$45*0.7</f>
        <v>0</v>
      </c>
      <c r="G5" s="25" t="s">
        <v>184</v>
      </c>
      <c r="H5" s="56"/>
      <c r="I5" s="54"/>
      <c r="J5" s="57" t="s">
        <v>77</v>
      </c>
      <c r="K5" s="58">
        <v>1</v>
      </c>
      <c r="L5" s="25" t="s">
        <v>78</v>
      </c>
      <c r="M5" s="25" t="s">
        <v>79</v>
      </c>
      <c r="N5" s="59">
        <f t="shared" si="0"/>
        <v>0</v>
      </c>
      <c r="O5" s="25" t="s">
        <v>184</v>
      </c>
      <c r="P5" s="56"/>
      <c r="Q5" s="54"/>
      <c r="R5" s="57" t="s">
        <v>77</v>
      </c>
      <c r="S5" s="58">
        <v>1</v>
      </c>
      <c r="T5" s="25" t="s">
        <v>78</v>
      </c>
      <c r="U5" s="25" t="s">
        <v>79</v>
      </c>
      <c r="V5" s="59">
        <f t="shared" si="0"/>
        <v>0</v>
      </c>
      <c r="W5" s="25" t="s">
        <v>184</v>
      </c>
      <c r="X5" s="56"/>
      <c r="Y5" s="54"/>
      <c r="Z5" s="57" t="s">
        <v>77</v>
      </c>
      <c r="AA5" s="58">
        <v>1</v>
      </c>
      <c r="AB5" s="25" t="s">
        <v>78</v>
      </c>
      <c r="AC5" s="25" t="s">
        <v>79</v>
      </c>
      <c r="AD5" s="59">
        <f t="shared" si="0"/>
        <v>0</v>
      </c>
      <c r="AE5" s="25" t="s">
        <v>184</v>
      </c>
      <c r="AF5" s="56"/>
      <c r="AG5" s="54"/>
      <c r="AH5" s="57" t="s">
        <v>77</v>
      </c>
      <c r="AI5" s="25" t="s">
        <v>81</v>
      </c>
      <c r="AJ5" s="25" t="s">
        <v>82</v>
      </c>
      <c r="AK5" s="25" t="s">
        <v>83</v>
      </c>
      <c r="AL5" s="59">
        <f t="shared" ref="AL5:AL37" si="1">$C$45*0.6</f>
        <v>0</v>
      </c>
      <c r="AM5" s="25" t="s">
        <v>84</v>
      </c>
      <c r="AN5" s="56"/>
    </row>
    <row r="6" spans="1:40" ht="30" customHeight="1" x14ac:dyDescent="0.2">
      <c r="A6" s="124"/>
      <c r="B6" s="131" t="s">
        <v>57</v>
      </c>
      <c r="C6" s="260">
        <v>5</v>
      </c>
      <c r="D6" s="25" t="s">
        <v>85</v>
      </c>
      <c r="E6" s="60">
        <v>1</v>
      </c>
      <c r="F6" s="59">
        <f t="shared" ref="F6:AD6" si="2">$C$45*1</f>
        <v>0</v>
      </c>
      <c r="G6" s="61" t="s">
        <v>86</v>
      </c>
      <c r="H6" s="56"/>
      <c r="I6" s="54"/>
      <c r="J6" s="57" t="s">
        <v>57</v>
      </c>
      <c r="K6" s="260">
        <v>5</v>
      </c>
      <c r="L6" s="25" t="s">
        <v>85</v>
      </c>
      <c r="M6" s="60">
        <v>1</v>
      </c>
      <c r="N6" s="59">
        <f t="shared" si="2"/>
        <v>0</v>
      </c>
      <c r="O6" s="61" t="s">
        <v>86</v>
      </c>
      <c r="P6" s="56"/>
      <c r="Q6" s="54"/>
      <c r="R6" s="57" t="s">
        <v>57</v>
      </c>
      <c r="S6" s="260">
        <v>5</v>
      </c>
      <c r="T6" s="25" t="s">
        <v>85</v>
      </c>
      <c r="U6" s="60">
        <v>1</v>
      </c>
      <c r="V6" s="59">
        <f t="shared" si="2"/>
        <v>0</v>
      </c>
      <c r="W6" s="61" t="s">
        <v>86</v>
      </c>
      <c r="X6" s="56"/>
      <c r="Y6" s="54"/>
      <c r="Z6" s="57" t="s">
        <v>57</v>
      </c>
      <c r="AA6" s="260">
        <v>5</v>
      </c>
      <c r="AB6" s="25" t="s">
        <v>85</v>
      </c>
      <c r="AC6" s="60">
        <v>1</v>
      </c>
      <c r="AD6" s="59">
        <f t="shared" si="2"/>
        <v>0</v>
      </c>
      <c r="AE6" s="61" t="s">
        <v>86</v>
      </c>
      <c r="AF6" s="56"/>
      <c r="AG6" s="62"/>
      <c r="AH6" s="63"/>
      <c r="AI6" s="32"/>
      <c r="AJ6" s="64"/>
      <c r="AK6" s="65"/>
      <c r="AL6" s="66"/>
      <c r="AM6" s="32"/>
      <c r="AN6" s="67"/>
    </row>
    <row r="7" spans="1:40" ht="15.75" customHeight="1" x14ac:dyDescent="0.2">
      <c r="A7" s="124"/>
      <c r="B7" s="132"/>
      <c r="C7" s="259"/>
      <c r="D7" s="25" t="s">
        <v>85</v>
      </c>
      <c r="E7" s="60">
        <v>0.5</v>
      </c>
      <c r="F7" s="59">
        <f t="shared" ref="F7:AL15" si="3">$C$45*0.5</f>
        <v>0</v>
      </c>
      <c r="G7" s="69"/>
      <c r="H7" s="56"/>
      <c r="I7" s="54"/>
      <c r="J7" s="68"/>
      <c r="K7" s="259"/>
      <c r="L7" s="25" t="s">
        <v>85</v>
      </c>
      <c r="M7" s="60">
        <v>0.5</v>
      </c>
      <c r="N7" s="59">
        <f t="shared" si="3"/>
        <v>0</v>
      </c>
      <c r="O7" s="69"/>
      <c r="P7" s="56"/>
      <c r="Q7" s="54"/>
      <c r="R7" s="68"/>
      <c r="S7" s="259"/>
      <c r="T7" s="25" t="s">
        <v>85</v>
      </c>
      <c r="U7" s="60">
        <v>0.5</v>
      </c>
      <c r="V7" s="59">
        <f t="shared" si="3"/>
        <v>0</v>
      </c>
      <c r="W7" s="69"/>
      <c r="X7" s="56"/>
      <c r="Y7" s="54"/>
      <c r="Z7" s="68"/>
      <c r="AA7" s="259"/>
      <c r="AB7" s="25" t="s">
        <v>85</v>
      </c>
      <c r="AC7" s="60">
        <v>0.5</v>
      </c>
      <c r="AD7" s="59">
        <f t="shared" si="3"/>
        <v>0</v>
      </c>
      <c r="AE7" s="69"/>
      <c r="AF7" s="56"/>
      <c r="AG7" s="62"/>
      <c r="AH7" s="70"/>
      <c r="AI7" s="71"/>
      <c r="AJ7" s="72"/>
      <c r="AK7" s="73"/>
      <c r="AL7" s="74"/>
      <c r="AM7" s="71"/>
      <c r="AN7" s="67"/>
    </row>
    <row r="8" spans="1:40" ht="19.5" customHeight="1" x14ac:dyDescent="0.2">
      <c r="A8" s="124"/>
      <c r="B8" s="131" t="s">
        <v>87</v>
      </c>
      <c r="C8" s="260">
        <v>6</v>
      </c>
      <c r="D8" s="25" t="s">
        <v>159</v>
      </c>
      <c r="E8" s="60">
        <v>1.08</v>
      </c>
      <c r="F8" s="59">
        <f t="shared" ref="F8:AD8" si="4">$C$45*1.08</f>
        <v>0</v>
      </c>
      <c r="G8" s="258" t="s">
        <v>88</v>
      </c>
      <c r="H8" s="56"/>
      <c r="I8" s="54"/>
      <c r="J8" s="57" t="s">
        <v>87</v>
      </c>
      <c r="K8" s="260">
        <v>6</v>
      </c>
      <c r="L8" s="25" t="s">
        <v>159</v>
      </c>
      <c r="M8" s="60">
        <v>1.08</v>
      </c>
      <c r="N8" s="59">
        <f t="shared" si="4"/>
        <v>0</v>
      </c>
      <c r="O8" s="258" t="s">
        <v>88</v>
      </c>
      <c r="P8" s="56"/>
      <c r="Q8" s="54"/>
      <c r="R8" s="57" t="s">
        <v>87</v>
      </c>
      <c r="S8" s="260">
        <v>6</v>
      </c>
      <c r="T8" s="25" t="s">
        <v>159</v>
      </c>
      <c r="U8" s="60">
        <v>1.08</v>
      </c>
      <c r="V8" s="59">
        <f t="shared" si="4"/>
        <v>0</v>
      </c>
      <c r="W8" s="258" t="s">
        <v>88</v>
      </c>
      <c r="X8" s="56"/>
      <c r="Y8" s="54"/>
      <c r="Z8" s="57" t="s">
        <v>87</v>
      </c>
      <c r="AA8" s="260">
        <v>6</v>
      </c>
      <c r="AB8" s="25" t="s">
        <v>159</v>
      </c>
      <c r="AC8" s="60">
        <v>1.08</v>
      </c>
      <c r="AD8" s="59">
        <f t="shared" si="4"/>
        <v>0</v>
      </c>
      <c r="AE8" s="258" t="s">
        <v>88</v>
      </c>
      <c r="AF8" s="56"/>
      <c r="AG8" s="62"/>
      <c r="AH8" s="70"/>
      <c r="AI8" s="71"/>
      <c r="AJ8" s="72"/>
      <c r="AK8" s="72"/>
      <c r="AL8" s="72"/>
      <c r="AM8" s="71"/>
      <c r="AN8" s="67"/>
    </row>
    <row r="9" spans="1:40" ht="15.75" customHeight="1" x14ac:dyDescent="0.2">
      <c r="A9" s="124"/>
      <c r="B9" s="132"/>
      <c r="C9" s="259"/>
      <c r="D9" s="25" t="s">
        <v>160</v>
      </c>
      <c r="E9" s="60">
        <v>0.5</v>
      </c>
      <c r="F9" s="59">
        <f t="shared" si="3"/>
        <v>0</v>
      </c>
      <c r="G9" s="259"/>
      <c r="H9" s="56"/>
      <c r="I9" s="54"/>
      <c r="J9" s="68"/>
      <c r="K9" s="259"/>
      <c r="L9" s="25" t="s">
        <v>185</v>
      </c>
      <c r="M9" s="60">
        <v>0.5</v>
      </c>
      <c r="N9" s="59">
        <f t="shared" si="3"/>
        <v>0</v>
      </c>
      <c r="O9" s="259"/>
      <c r="P9" s="56"/>
      <c r="Q9" s="54"/>
      <c r="R9" s="68"/>
      <c r="S9" s="259"/>
      <c r="T9" s="25" t="s">
        <v>186</v>
      </c>
      <c r="U9" s="60">
        <v>0.5</v>
      </c>
      <c r="V9" s="59">
        <f t="shared" si="3"/>
        <v>0</v>
      </c>
      <c r="W9" s="259"/>
      <c r="X9" s="56"/>
      <c r="Y9" s="54"/>
      <c r="Z9" s="68"/>
      <c r="AA9" s="259"/>
      <c r="AB9" s="25" t="s">
        <v>187</v>
      </c>
      <c r="AC9" s="60">
        <v>0.5</v>
      </c>
      <c r="AD9" s="59">
        <f t="shared" si="3"/>
        <v>0</v>
      </c>
      <c r="AE9" s="259"/>
      <c r="AF9" s="56"/>
      <c r="AG9" s="62"/>
      <c r="AH9" s="70"/>
      <c r="AI9" s="71"/>
      <c r="AJ9" s="72"/>
      <c r="AK9" s="72"/>
      <c r="AL9" s="72"/>
      <c r="AM9" s="71"/>
      <c r="AN9" s="67"/>
    </row>
    <row r="10" spans="1:40" ht="15.75" customHeight="1" x14ac:dyDescent="0.2">
      <c r="A10" s="124"/>
      <c r="B10" s="131" t="s">
        <v>60</v>
      </c>
      <c r="C10" s="58">
        <v>1</v>
      </c>
      <c r="D10" s="25" t="s">
        <v>103</v>
      </c>
      <c r="E10" s="60">
        <v>0.5</v>
      </c>
      <c r="F10" s="59">
        <f t="shared" si="3"/>
        <v>0</v>
      </c>
      <c r="G10" s="25" t="s">
        <v>94</v>
      </c>
      <c r="H10" s="56"/>
      <c r="I10" s="54"/>
      <c r="J10" s="57" t="s">
        <v>60</v>
      </c>
      <c r="K10" s="58">
        <v>1</v>
      </c>
      <c r="L10" s="25" t="s">
        <v>103</v>
      </c>
      <c r="M10" s="60">
        <v>0.5</v>
      </c>
      <c r="N10" s="59">
        <f t="shared" si="3"/>
        <v>0</v>
      </c>
      <c r="O10" s="25" t="s">
        <v>94</v>
      </c>
      <c r="P10" s="56"/>
      <c r="Q10" s="54"/>
      <c r="R10" s="57" t="s">
        <v>60</v>
      </c>
      <c r="S10" s="58">
        <v>1</v>
      </c>
      <c r="T10" s="25" t="s">
        <v>103</v>
      </c>
      <c r="U10" s="60">
        <v>0.5</v>
      </c>
      <c r="V10" s="59">
        <f t="shared" si="3"/>
        <v>0</v>
      </c>
      <c r="W10" s="25" t="s">
        <v>94</v>
      </c>
      <c r="X10" s="56"/>
      <c r="Y10" s="54"/>
      <c r="Z10" s="57" t="s">
        <v>60</v>
      </c>
      <c r="AA10" s="58">
        <v>1</v>
      </c>
      <c r="AB10" s="25" t="s">
        <v>103</v>
      </c>
      <c r="AC10" s="60">
        <v>0.5</v>
      </c>
      <c r="AD10" s="59">
        <f t="shared" si="3"/>
        <v>0</v>
      </c>
      <c r="AE10" s="25" t="s">
        <v>95</v>
      </c>
      <c r="AF10" s="56"/>
      <c r="AG10" s="62"/>
      <c r="AH10" s="70"/>
      <c r="AI10" s="70"/>
      <c r="AJ10" s="75"/>
      <c r="AK10" s="72"/>
      <c r="AL10" s="74"/>
      <c r="AM10" s="71"/>
      <c r="AN10" s="67"/>
    </row>
    <row r="11" spans="1:40" ht="20.25" customHeight="1" x14ac:dyDescent="0.2">
      <c r="A11" s="124"/>
      <c r="B11" s="132"/>
      <c r="C11" s="25" t="s">
        <v>63</v>
      </c>
      <c r="D11" s="25" t="s">
        <v>98</v>
      </c>
      <c r="E11" s="76"/>
      <c r="F11" s="76"/>
      <c r="G11" s="58"/>
      <c r="H11" s="56"/>
      <c r="I11" s="54"/>
      <c r="J11" s="68"/>
      <c r="K11" s="25" t="s">
        <v>63</v>
      </c>
      <c r="L11" s="25" t="s">
        <v>161</v>
      </c>
      <c r="M11" s="76"/>
      <c r="N11" s="76"/>
      <c r="O11" s="58"/>
      <c r="P11" s="56"/>
      <c r="Q11" s="54"/>
      <c r="R11" s="68"/>
      <c r="S11" s="25" t="s">
        <v>63</v>
      </c>
      <c r="T11" s="25" t="s">
        <v>162</v>
      </c>
      <c r="U11" s="76"/>
      <c r="V11" s="76"/>
      <c r="W11" s="58"/>
      <c r="X11" s="56"/>
      <c r="Y11" s="54"/>
      <c r="Z11" s="68"/>
      <c r="AA11" s="25" t="s">
        <v>63</v>
      </c>
      <c r="AB11" s="25" t="s">
        <v>163</v>
      </c>
      <c r="AC11" s="76"/>
      <c r="AD11" s="76"/>
      <c r="AE11" s="58"/>
      <c r="AF11" s="56"/>
      <c r="AG11" s="62"/>
      <c r="AH11" s="70"/>
      <c r="AI11" s="70"/>
      <c r="AJ11" s="75"/>
      <c r="AK11" s="72"/>
      <c r="AL11" s="74"/>
      <c r="AM11" s="71"/>
      <c r="AN11" s="67"/>
    </row>
    <row r="12" spans="1:40" ht="18.75" customHeight="1" x14ac:dyDescent="0.2">
      <c r="A12" s="133"/>
      <c r="B12" s="134"/>
      <c r="C12" s="78"/>
      <c r="D12" s="78"/>
      <c r="E12" s="78"/>
      <c r="F12" s="78"/>
      <c r="G12" s="78"/>
      <c r="H12" s="79"/>
      <c r="I12" s="77"/>
      <c r="J12" s="78"/>
      <c r="K12" s="78"/>
      <c r="L12" s="78"/>
      <c r="M12" s="78"/>
      <c r="N12" s="78"/>
      <c r="O12" s="78"/>
      <c r="P12" s="79"/>
      <c r="Q12" s="77"/>
      <c r="R12" s="78"/>
      <c r="S12" s="78"/>
      <c r="T12" s="78"/>
      <c r="U12" s="78"/>
      <c r="V12" s="78"/>
      <c r="W12" s="78"/>
      <c r="X12" s="79"/>
      <c r="Y12" s="77"/>
      <c r="Z12" s="78"/>
      <c r="AA12" s="78"/>
      <c r="AB12" s="78"/>
      <c r="AC12" s="78"/>
      <c r="AD12" s="78"/>
      <c r="AE12" s="78"/>
      <c r="AF12" s="79"/>
      <c r="AG12" s="62"/>
      <c r="AH12" s="80"/>
      <c r="AI12" s="80"/>
      <c r="AJ12" s="152"/>
      <c r="AK12" s="82"/>
      <c r="AL12" s="153"/>
      <c r="AM12" s="81"/>
      <c r="AN12" s="67"/>
    </row>
    <row r="13" spans="1:40" ht="30.75" customHeight="1" x14ac:dyDescent="0.2">
      <c r="A13" s="124"/>
      <c r="B13" s="255" t="s">
        <v>164</v>
      </c>
      <c r="C13" s="256"/>
      <c r="D13" s="256"/>
      <c r="E13" s="256"/>
      <c r="F13" s="256"/>
      <c r="G13" s="257"/>
      <c r="H13" s="53"/>
      <c r="I13" s="53"/>
      <c r="J13" s="255" t="s">
        <v>99</v>
      </c>
      <c r="K13" s="256"/>
      <c r="L13" s="256"/>
      <c r="M13" s="256"/>
      <c r="N13" s="256"/>
      <c r="O13" s="257"/>
      <c r="P13" s="53"/>
      <c r="Q13" s="53"/>
      <c r="R13" s="255" t="s">
        <v>99</v>
      </c>
      <c r="S13" s="256"/>
      <c r="T13" s="256"/>
      <c r="U13" s="256"/>
      <c r="V13" s="256"/>
      <c r="W13" s="257"/>
      <c r="X13" s="53"/>
      <c r="Y13" s="53"/>
      <c r="Z13" s="255" t="s">
        <v>99</v>
      </c>
      <c r="AA13" s="256"/>
      <c r="AB13" s="256"/>
      <c r="AC13" s="256"/>
      <c r="AD13" s="256"/>
      <c r="AE13" s="257"/>
      <c r="AF13" s="53"/>
      <c r="AG13" s="53"/>
      <c r="AH13" s="255" t="s">
        <v>100</v>
      </c>
      <c r="AI13" s="256"/>
      <c r="AJ13" s="256"/>
      <c r="AK13" s="256"/>
      <c r="AL13" s="256"/>
      <c r="AM13" s="257"/>
      <c r="AN13" s="53"/>
    </row>
    <row r="14" spans="1:40" ht="36" customHeight="1" x14ac:dyDescent="0.2">
      <c r="A14" s="124"/>
      <c r="B14" s="126"/>
      <c r="C14" s="20" t="s">
        <v>51</v>
      </c>
      <c r="D14" s="20" t="s">
        <v>52</v>
      </c>
      <c r="E14" s="20" t="s">
        <v>73</v>
      </c>
      <c r="F14" s="20" t="s">
        <v>74</v>
      </c>
      <c r="G14" s="20" t="s">
        <v>165</v>
      </c>
      <c r="H14" s="56"/>
      <c r="I14" s="54"/>
      <c r="J14" s="55"/>
      <c r="K14" s="20" t="s">
        <v>51</v>
      </c>
      <c r="L14" s="20" t="s">
        <v>52</v>
      </c>
      <c r="M14" s="20" t="s">
        <v>73</v>
      </c>
      <c r="N14" s="20" t="s">
        <v>74</v>
      </c>
      <c r="O14" s="20" t="s">
        <v>101</v>
      </c>
      <c r="P14" s="56"/>
      <c r="Q14" s="54"/>
      <c r="R14" s="55"/>
      <c r="S14" s="20" t="s">
        <v>51</v>
      </c>
      <c r="T14" s="20" t="s">
        <v>52</v>
      </c>
      <c r="U14" s="20" t="s">
        <v>73</v>
      </c>
      <c r="V14" s="20" t="s">
        <v>74</v>
      </c>
      <c r="W14" s="20" t="s">
        <v>101</v>
      </c>
      <c r="X14" s="56"/>
      <c r="Y14" s="54"/>
      <c r="Z14" s="55"/>
      <c r="AA14" s="20" t="s">
        <v>51</v>
      </c>
      <c r="AB14" s="20" t="s">
        <v>52</v>
      </c>
      <c r="AC14" s="20" t="s">
        <v>73</v>
      </c>
      <c r="AD14" s="20" t="s">
        <v>74</v>
      </c>
      <c r="AE14" s="20" t="s">
        <v>101</v>
      </c>
      <c r="AF14" s="56"/>
      <c r="AG14" s="54"/>
      <c r="AH14" s="55"/>
      <c r="AI14" s="20" t="s">
        <v>51</v>
      </c>
      <c r="AJ14" s="20" t="s">
        <v>52</v>
      </c>
      <c r="AK14" s="20" t="s">
        <v>73</v>
      </c>
      <c r="AL14" s="20" t="s">
        <v>74</v>
      </c>
      <c r="AM14" s="20" t="s">
        <v>102</v>
      </c>
      <c r="AN14" s="56"/>
    </row>
    <row r="15" spans="1:40" ht="36" customHeight="1" x14ac:dyDescent="0.2">
      <c r="A15" s="124"/>
      <c r="B15" s="131" t="s">
        <v>77</v>
      </c>
      <c r="C15" s="25" t="s">
        <v>81</v>
      </c>
      <c r="D15" s="25" t="s">
        <v>103</v>
      </c>
      <c r="E15" s="25" t="s">
        <v>166</v>
      </c>
      <c r="F15" s="59">
        <f t="shared" ref="F15:AD15" si="5">$C$45*0.9</f>
        <v>0</v>
      </c>
      <c r="G15" s="25" t="s">
        <v>167</v>
      </c>
      <c r="H15" s="56"/>
      <c r="I15" s="54"/>
      <c r="J15" s="57" t="s">
        <v>77</v>
      </c>
      <c r="K15" s="25" t="s">
        <v>81</v>
      </c>
      <c r="L15" s="25" t="s">
        <v>103</v>
      </c>
      <c r="M15" s="25" t="s">
        <v>168</v>
      </c>
      <c r="N15" s="59">
        <f t="shared" si="5"/>
        <v>0</v>
      </c>
      <c r="O15" s="25" t="s">
        <v>167</v>
      </c>
      <c r="P15" s="56"/>
      <c r="Q15" s="54"/>
      <c r="R15" s="57" t="s">
        <v>77</v>
      </c>
      <c r="S15" s="25" t="s">
        <v>81</v>
      </c>
      <c r="T15" s="25" t="s">
        <v>103</v>
      </c>
      <c r="U15" s="25" t="s">
        <v>168</v>
      </c>
      <c r="V15" s="59">
        <f t="shared" si="5"/>
        <v>0</v>
      </c>
      <c r="W15" s="25" t="s">
        <v>167</v>
      </c>
      <c r="X15" s="56"/>
      <c r="Y15" s="54"/>
      <c r="Z15" s="57" t="s">
        <v>77</v>
      </c>
      <c r="AA15" s="25" t="s">
        <v>81</v>
      </c>
      <c r="AB15" s="25" t="s">
        <v>103</v>
      </c>
      <c r="AC15" s="25" t="s">
        <v>168</v>
      </c>
      <c r="AD15" s="59">
        <f t="shared" si="5"/>
        <v>0</v>
      </c>
      <c r="AE15" s="25" t="s">
        <v>167</v>
      </c>
      <c r="AF15" s="56"/>
      <c r="AG15" s="54"/>
      <c r="AH15" s="57" t="s">
        <v>77</v>
      </c>
      <c r="AI15" s="25" t="s">
        <v>81</v>
      </c>
      <c r="AJ15" s="25" t="s">
        <v>78</v>
      </c>
      <c r="AK15" s="25" t="s">
        <v>106</v>
      </c>
      <c r="AL15" s="59">
        <f t="shared" si="3"/>
        <v>0</v>
      </c>
      <c r="AM15" s="25" t="s">
        <v>107</v>
      </c>
      <c r="AN15" s="56"/>
    </row>
    <row r="16" spans="1:40" ht="79.5" customHeight="1" x14ac:dyDescent="0.2">
      <c r="A16" s="124"/>
      <c r="B16" s="269" t="s">
        <v>57</v>
      </c>
      <c r="C16" s="260">
        <v>2</v>
      </c>
      <c r="D16" s="25" t="s">
        <v>89</v>
      </c>
      <c r="E16" s="60">
        <v>0.97499999999999998</v>
      </c>
      <c r="F16" s="59">
        <f t="shared" ref="F16:N16" si="6">$C$45*0.98</f>
        <v>0</v>
      </c>
      <c r="G16" s="25" t="s">
        <v>169</v>
      </c>
      <c r="H16" s="56"/>
      <c r="I16" s="54"/>
      <c r="J16" s="271" t="s">
        <v>57</v>
      </c>
      <c r="K16" s="260">
        <v>2</v>
      </c>
      <c r="L16" s="25" t="s">
        <v>89</v>
      </c>
      <c r="M16" s="60">
        <v>0.97499999999999998</v>
      </c>
      <c r="N16" s="59">
        <f t="shared" si="6"/>
        <v>0</v>
      </c>
      <c r="O16" s="25" t="s">
        <v>169</v>
      </c>
      <c r="P16" s="56"/>
      <c r="Q16" s="54"/>
      <c r="R16" s="271" t="s">
        <v>57</v>
      </c>
      <c r="S16" s="260">
        <v>2</v>
      </c>
      <c r="T16" s="25" t="s">
        <v>89</v>
      </c>
      <c r="U16" s="60">
        <v>1</v>
      </c>
      <c r="V16" s="59">
        <f t="shared" ref="V16:AD16" si="7">$C$45*1</f>
        <v>0</v>
      </c>
      <c r="W16" s="25" t="s">
        <v>169</v>
      </c>
      <c r="X16" s="56"/>
      <c r="Y16" s="54"/>
      <c r="Z16" s="271" t="s">
        <v>57</v>
      </c>
      <c r="AA16" s="260">
        <v>2</v>
      </c>
      <c r="AB16" s="25" t="s">
        <v>89</v>
      </c>
      <c r="AC16" s="60">
        <v>1</v>
      </c>
      <c r="AD16" s="59">
        <f t="shared" si="7"/>
        <v>0</v>
      </c>
      <c r="AE16" s="25" t="s">
        <v>169</v>
      </c>
      <c r="AF16" s="56"/>
      <c r="AG16" s="54"/>
      <c r="AH16" s="57" t="s">
        <v>57</v>
      </c>
      <c r="AI16" s="25" t="s">
        <v>58</v>
      </c>
      <c r="AJ16" s="25" t="s">
        <v>112</v>
      </c>
      <c r="AK16" s="60">
        <v>0.6</v>
      </c>
      <c r="AL16" s="59">
        <f t="shared" si="1"/>
        <v>0</v>
      </c>
      <c r="AM16" s="25" t="s">
        <v>108</v>
      </c>
      <c r="AN16" s="56"/>
    </row>
    <row r="17" spans="1:40" ht="15" customHeight="1" x14ac:dyDescent="0.2">
      <c r="A17" s="124"/>
      <c r="B17" s="270"/>
      <c r="C17" s="259"/>
      <c r="D17" s="25" t="s">
        <v>78</v>
      </c>
      <c r="E17" s="60">
        <v>0.5</v>
      </c>
      <c r="F17" s="59">
        <f t="shared" ref="F17:AL18" si="8">$C$45*0.5</f>
        <v>0</v>
      </c>
      <c r="G17" s="25" t="s">
        <v>170</v>
      </c>
      <c r="H17" s="56"/>
      <c r="I17" s="54"/>
      <c r="J17" s="272"/>
      <c r="K17" s="259"/>
      <c r="L17" s="25" t="s">
        <v>90</v>
      </c>
      <c r="M17" s="60">
        <v>0.5</v>
      </c>
      <c r="N17" s="59">
        <f t="shared" si="8"/>
        <v>0</v>
      </c>
      <c r="O17" s="25" t="s">
        <v>170</v>
      </c>
      <c r="P17" s="56"/>
      <c r="Q17" s="54"/>
      <c r="R17" s="272"/>
      <c r="S17" s="259"/>
      <c r="T17" s="25" t="s">
        <v>78</v>
      </c>
      <c r="U17" s="60">
        <v>0.5</v>
      </c>
      <c r="V17" s="59">
        <f t="shared" si="8"/>
        <v>0</v>
      </c>
      <c r="W17" s="25" t="s">
        <v>170</v>
      </c>
      <c r="X17" s="56"/>
      <c r="Y17" s="54"/>
      <c r="Z17" s="272"/>
      <c r="AA17" s="259"/>
      <c r="AB17" s="25" t="s">
        <v>90</v>
      </c>
      <c r="AC17" s="60">
        <v>0.5</v>
      </c>
      <c r="AD17" s="59">
        <f t="shared" si="8"/>
        <v>0</v>
      </c>
      <c r="AE17" s="25" t="s">
        <v>170</v>
      </c>
      <c r="AF17" s="56"/>
      <c r="AG17" s="54"/>
      <c r="AH17" s="57" t="s">
        <v>60</v>
      </c>
      <c r="AI17" s="25" t="s">
        <v>113</v>
      </c>
      <c r="AJ17" s="25" t="s">
        <v>78</v>
      </c>
      <c r="AK17" s="60">
        <v>0.5</v>
      </c>
      <c r="AL17" s="59">
        <f t="shared" si="8"/>
        <v>0</v>
      </c>
      <c r="AM17" s="25" t="s">
        <v>94</v>
      </c>
      <c r="AN17" s="56"/>
    </row>
    <row r="18" spans="1:40" ht="20.25" customHeight="1" x14ac:dyDescent="0.2">
      <c r="A18" s="133"/>
      <c r="B18" s="131" t="s">
        <v>60</v>
      </c>
      <c r="C18" s="25" t="s">
        <v>113</v>
      </c>
      <c r="D18" s="25" t="s">
        <v>103</v>
      </c>
      <c r="E18" s="60">
        <v>0.5</v>
      </c>
      <c r="F18" s="59">
        <f t="shared" si="8"/>
        <v>0</v>
      </c>
      <c r="G18" s="25" t="s">
        <v>94</v>
      </c>
      <c r="H18" s="94"/>
      <c r="I18" s="93"/>
      <c r="J18" s="57" t="s">
        <v>60</v>
      </c>
      <c r="K18" s="25" t="s">
        <v>113</v>
      </c>
      <c r="L18" s="25" t="s">
        <v>103</v>
      </c>
      <c r="M18" s="60">
        <v>0.5</v>
      </c>
      <c r="N18" s="59">
        <f t="shared" si="8"/>
        <v>0</v>
      </c>
      <c r="O18" s="25" t="s">
        <v>94</v>
      </c>
      <c r="P18" s="94"/>
      <c r="Q18" s="93"/>
      <c r="R18" s="57" t="s">
        <v>60</v>
      </c>
      <c r="S18" s="25" t="s">
        <v>113</v>
      </c>
      <c r="T18" s="25" t="s">
        <v>103</v>
      </c>
      <c r="U18" s="60">
        <v>0.5</v>
      </c>
      <c r="V18" s="59">
        <f t="shared" si="8"/>
        <v>0</v>
      </c>
      <c r="W18" s="25" t="s">
        <v>94</v>
      </c>
      <c r="X18" s="94"/>
      <c r="Y18" s="93"/>
      <c r="Z18" s="57" t="s">
        <v>60</v>
      </c>
      <c r="AA18" s="25" t="s">
        <v>113</v>
      </c>
      <c r="AB18" s="25" t="s">
        <v>103</v>
      </c>
      <c r="AC18" s="60">
        <v>0.5</v>
      </c>
      <c r="AD18" s="59">
        <f t="shared" si="8"/>
        <v>0</v>
      </c>
      <c r="AE18" s="25" t="s">
        <v>94</v>
      </c>
      <c r="AF18" s="94"/>
      <c r="AG18" s="54"/>
      <c r="AH18" s="68"/>
      <c r="AI18" s="25" t="s">
        <v>63</v>
      </c>
      <c r="AJ18" s="25" t="s">
        <v>114</v>
      </c>
      <c r="AK18" s="76"/>
      <c r="AL18" s="76"/>
      <c r="AM18" s="58"/>
      <c r="AN18" s="56"/>
    </row>
    <row r="19" spans="1:40" ht="20.25" customHeight="1" x14ac:dyDescent="0.2">
      <c r="A19" s="139"/>
      <c r="B19" s="132"/>
      <c r="C19" s="25" t="s">
        <v>63</v>
      </c>
      <c r="D19" s="25" t="s">
        <v>97</v>
      </c>
      <c r="E19" s="76"/>
      <c r="F19" s="76"/>
      <c r="G19" s="58"/>
      <c r="H19" s="84"/>
      <c r="I19" s="83"/>
      <c r="J19" s="68"/>
      <c r="K19" s="25" t="s">
        <v>63</v>
      </c>
      <c r="L19" s="25" t="s">
        <v>97</v>
      </c>
      <c r="M19" s="76"/>
      <c r="N19" s="76"/>
      <c r="O19" s="58"/>
      <c r="P19" s="84"/>
      <c r="Q19" s="83"/>
      <c r="R19" s="68"/>
      <c r="S19" s="25" t="s">
        <v>63</v>
      </c>
      <c r="T19" s="25" t="s">
        <v>97</v>
      </c>
      <c r="U19" s="76"/>
      <c r="V19" s="76"/>
      <c r="W19" s="58"/>
      <c r="X19" s="84"/>
      <c r="Y19" s="83"/>
      <c r="Z19" s="68"/>
      <c r="AA19" s="25" t="s">
        <v>63</v>
      </c>
      <c r="AB19" s="25" t="s">
        <v>97</v>
      </c>
      <c r="AC19" s="76"/>
      <c r="AD19" s="76"/>
      <c r="AE19" s="58"/>
      <c r="AF19" s="84"/>
      <c r="AG19" s="100"/>
      <c r="AH19" s="63"/>
      <c r="AI19" s="63"/>
      <c r="AJ19" s="154"/>
      <c r="AK19" s="64"/>
      <c r="AL19" s="66"/>
      <c r="AM19" s="32"/>
      <c r="AN19" s="102"/>
    </row>
    <row r="20" spans="1:40" ht="16.5" customHeight="1" x14ac:dyDescent="0.2">
      <c r="A20" s="124"/>
      <c r="B20" s="138"/>
      <c r="C20" s="86"/>
      <c r="D20" s="87"/>
      <c r="E20" s="87"/>
      <c r="F20" s="87"/>
      <c r="G20" s="86"/>
      <c r="H20" s="67"/>
      <c r="I20" s="62"/>
      <c r="J20" s="85"/>
      <c r="K20" s="86"/>
      <c r="L20" s="87"/>
      <c r="M20" s="87"/>
      <c r="N20" s="87"/>
      <c r="O20" s="86"/>
      <c r="P20" s="67"/>
      <c r="Q20" s="62"/>
      <c r="R20" s="85"/>
      <c r="S20" s="86"/>
      <c r="T20" s="87"/>
      <c r="U20" s="87"/>
      <c r="V20" s="87"/>
      <c r="W20" s="86"/>
      <c r="X20" s="67"/>
      <c r="Y20" s="62"/>
      <c r="Z20" s="85"/>
      <c r="AA20" s="86"/>
      <c r="AB20" s="87"/>
      <c r="AC20" s="87"/>
      <c r="AD20" s="87"/>
      <c r="AE20" s="86"/>
      <c r="AF20" s="67"/>
      <c r="AG20" s="62"/>
      <c r="AH20" s="104"/>
      <c r="AI20" s="104"/>
      <c r="AJ20" s="104"/>
      <c r="AK20" s="104"/>
      <c r="AL20" s="104"/>
      <c r="AM20" s="104"/>
      <c r="AN20" s="67"/>
    </row>
    <row r="21" spans="1:40" ht="20.25" customHeight="1" x14ac:dyDescent="0.2">
      <c r="A21" s="124"/>
      <c r="B21" s="255" t="s">
        <v>115</v>
      </c>
      <c r="C21" s="256"/>
      <c r="D21" s="256"/>
      <c r="E21" s="256"/>
      <c r="F21" s="256"/>
      <c r="G21" s="257"/>
      <c r="H21" s="53"/>
      <c r="I21" s="53"/>
      <c r="J21" s="255" t="s">
        <v>115</v>
      </c>
      <c r="K21" s="256"/>
      <c r="L21" s="256"/>
      <c r="M21" s="256"/>
      <c r="N21" s="256"/>
      <c r="O21" s="257"/>
      <c r="P21" s="53"/>
      <c r="Q21" s="53"/>
      <c r="R21" s="255" t="s">
        <v>115</v>
      </c>
      <c r="S21" s="256"/>
      <c r="T21" s="256"/>
      <c r="U21" s="256"/>
      <c r="V21" s="256"/>
      <c r="W21" s="257"/>
      <c r="X21" s="53"/>
      <c r="Y21" s="53"/>
      <c r="Z21" s="255" t="s">
        <v>115</v>
      </c>
      <c r="AA21" s="256"/>
      <c r="AB21" s="256"/>
      <c r="AC21" s="256"/>
      <c r="AD21" s="256"/>
      <c r="AE21" s="257"/>
      <c r="AF21" s="53"/>
      <c r="AG21" s="53"/>
      <c r="AH21" s="265" t="s">
        <v>116</v>
      </c>
      <c r="AI21" s="266"/>
      <c r="AJ21" s="266"/>
      <c r="AK21" s="266"/>
      <c r="AL21" s="266"/>
      <c r="AM21" s="267"/>
      <c r="AN21" s="53"/>
    </row>
    <row r="22" spans="1:40" ht="36" customHeight="1" x14ac:dyDescent="0.2">
      <c r="A22" s="124"/>
      <c r="B22" s="126"/>
      <c r="C22" s="20" t="s">
        <v>51</v>
      </c>
      <c r="D22" s="20" t="s">
        <v>52</v>
      </c>
      <c r="E22" s="20" t="s">
        <v>73</v>
      </c>
      <c r="F22" s="20" t="s">
        <v>74</v>
      </c>
      <c r="G22" s="20" t="s">
        <v>102</v>
      </c>
      <c r="H22" s="56"/>
      <c r="I22" s="54"/>
      <c r="J22" s="55"/>
      <c r="K22" s="20" t="s">
        <v>51</v>
      </c>
      <c r="L22" s="20" t="s">
        <v>52</v>
      </c>
      <c r="M22" s="20" t="s">
        <v>73</v>
      </c>
      <c r="N22" s="20" t="s">
        <v>74</v>
      </c>
      <c r="O22" s="20" t="s">
        <v>102</v>
      </c>
      <c r="P22" s="56"/>
      <c r="Q22" s="54"/>
      <c r="R22" s="55"/>
      <c r="S22" s="20" t="s">
        <v>51</v>
      </c>
      <c r="T22" s="20" t="s">
        <v>52</v>
      </c>
      <c r="U22" s="20" t="s">
        <v>73</v>
      </c>
      <c r="V22" s="20" t="s">
        <v>74</v>
      </c>
      <c r="W22" s="20" t="s">
        <v>102</v>
      </c>
      <c r="X22" s="56"/>
      <c r="Y22" s="54"/>
      <c r="Z22" s="55"/>
      <c r="AA22" s="20" t="s">
        <v>51</v>
      </c>
      <c r="AB22" s="20" t="s">
        <v>52</v>
      </c>
      <c r="AC22" s="20" t="s">
        <v>73</v>
      </c>
      <c r="AD22" s="20" t="s">
        <v>74</v>
      </c>
      <c r="AE22" s="20" t="s">
        <v>102</v>
      </c>
      <c r="AF22" s="56"/>
      <c r="AG22" s="54"/>
      <c r="AH22" s="88"/>
      <c r="AI22" s="89" t="s">
        <v>51</v>
      </c>
      <c r="AJ22" s="89" t="s">
        <v>52</v>
      </c>
      <c r="AK22" s="88"/>
      <c r="AL22" s="88"/>
      <c r="AM22" s="89" t="s">
        <v>117</v>
      </c>
      <c r="AN22" s="56"/>
    </row>
    <row r="23" spans="1:40" ht="45" customHeight="1" x14ac:dyDescent="0.2">
      <c r="A23" s="124"/>
      <c r="B23" s="131" t="s">
        <v>77</v>
      </c>
      <c r="C23" s="25" t="s">
        <v>81</v>
      </c>
      <c r="D23" s="25" t="s">
        <v>103</v>
      </c>
      <c r="E23" s="25" t="s">
        <v>83</v>
      </c>
      <c r="F23" s="59">
        <f>$C$45*0.6</f>
        <v>0</v>
      </c>
      <c r="G23" s="25" t="s">
        <v>119</v>
      </c>
      <c r="H23" s="56"/>
      <c r="I23" s="54"/>
      <c r="J23" s="57" t="s">
        <v>77</v>
      </c>
      <c r="K23" s="25" t="s">
        <v>81</v>
      </c>
      <c r="L23" s="57" t="s">
        <v>103</v>
      </c>
      <c r="M23" s="25" t="s">
        <v>83</v>
      </c>
      <c r="N23" s="59">
        <f>$C$45*0.6</f>
        <v>0</v>
      </c>
      <c r="O23" s="25" t="s">
        <v>119</v>
      </c>
      <c r="P23" s="56"/>
      <c r="Q23" s="54"/>
      <c r="R23" s="57" t="s">
        <v>77</v>
      </c>
      <c r="S23" s="25" t="s">
        <v>81</v>
      </c>
      <c r="T23" s="25" t="s">
        <v>103</v>
      </c>
      <c r="U23" s="25" t="s">
        <v>83</v>
      </c>
      <c r="V23" s="59">
        <f>$C$45*0.6</f>
        <v>0</v>
      </c>
      <c r="W23" s="25" t="s">
        <v>119</v>
      </c>
      <c r="X23" s="56"/>
      <c r="Y23" s="54"/>
      <c r="Z23" s="57" t="s">
        <v>77</v>
      </c>
      <c r="AA23" s="25" t="s">
        <v>81</v>
      </c>
      <c r="AB23" s="57" t="s">
        <v>103</v>
      </c>
      <c r="AC23" s="25" t="s">
        <v>83</v>
      </c>
      <c r="AD23" s="59">
        <f>$C$45*0.6</f>
        <v>0</v>
      </c>
      <c r="AE23" s="25" t="s">
        <v>119</v>
      </c>
      <c r="AF23" s="56"/>
      <c r="AG23" s="54"/>
      <c r="AH23" s="90" t="s">
        <v>77</v>
      </c>
      <c r="AI23" s="91" t="s">
        <v>81</v>
      </c>
      <c r="AJ23" s="91" t="s">
        <v>120</v>
      </c>
      <c r="AK23" s="92"/>
      <c r="AL23" s="92"/>
      <c r="AM23" s="91" t="s">
        <v>121</v>
      </c>
      <c r="AN23" s="56"/>
    </row>
    <row r="24" spans="1:40" ht="60" customHeight="1" x14ac:dyDescent="0.2">
      <c r="A24" s="124"/>
      <c r="B24" s="131" t="s">
        <v>57</v>
      </c>
      <c r="C24" s="25" t="s">
        <v>58</v>
      </c>
      <c r="D24" s="25" t="s">
        <v>173</v>
      </c>
      <c r="E24" s="25" t="s">
        <v>145</v>
      </c>
      <c r="F24" s="59">
        <f t="shared" ref="F24:AD24" si="9">$C$45*0.75</f>
        <v>0</v>
      </c>
      <c r="G24" s="25" t="s">
        <v>123</v>
      </c>
      <c r="H24" s="56"/>
      <c r="I24" s="54"/>
      <c r="J24" s="57" t="s">
        <v>57</v>
      </c>
      <c r="K24" s="25" t="s">
        <v>58</v>
      </c>
      <c r="L24" s="57" t="s">
        <v>174</v>
      </c>
      <c r="M24" s="25" t="s">
        <v>145</v>
      </c>
      <c r="N24" s="59">
        <f t="shared" si="9"/>
        <v>0</v>
      </c>
      <c r="O24" s="25" t="s">
        <v>123</v>
      </c>
      <c r="P24" s="56"/>
      <c r="Q24" s="54"/>
      <c r="R24" s="57" t="s">
        <v>57</v>
      </c>
      <c r="S24" s="25" t="s">
        <v>58</v>
      </c>
      <c r="T24" s="25" t="s">
        <v>188</v>
      </c>
      <c r="U24" s="25" t="s">
        <v>145</v>
      </c>
      <c r="V24" s="59">
        <f t="shared" si="9"/>
        <v>0</v>
      </c>
      <c r="W24" s="25" t="s">
        <v>123</v>
      </c>
      <c r="X24" s="56"/>
      <c r="Y24" s="54"/>
      <c r="Z24" s="57" t="s">
        <v>57</v>
      </c>
      <c r="AA24" s="25" t="s">
        <v>58</v>
      </c>
      <c r="AB24" s="57" t="s">
        <v>189</v>
      </c>
      <c r="AC24" s="25" t="s">
        <v>145</v>
      </c>
      <c r="AD24" s="59">
        <f t="shared" si="9"/>
        <v>0</v>
      </c>
      <c r="AE24" s="25" t="s">
        <v>123</v>
      </c>
      <c r="AF24" s="56"/>
      <c r="AG24" s="54"/>
      <c r="AH24" s="90" t="s">
        <v>57</v>
      </c>
      <c r="AI24" s="91" t="s">
        <v>58</v>
      </c>
      <c r="AJ24" s="91" t="s">
        <v>120</v>
      </c>
      <c r="AK24" s="92"/>
      <c r="AL24" s="92"/>
      <c r="AM24" s="91" t="s">
        <v>190</v>
      </c>
      <c r="AN24" s="56"/>
    </row>
    <row r="25" spans="1:40" ht="20.25" customHeight="1" x14ac:dyDescent="0.2">
      <c r="A25" s="133"/>
      <c r="B25" s="131" t="s">
        <v>60</v>
      </c>
      <c r="C25" s="25" t="s">
        <v>113</v>
      </c>
      <c r="D25" s="25" t="s">
        <v>103</v>
      </c>
      <c r="E25" s="60">
        <v>0.5</v>
      </c>
      <c r="F25" s="59">
        <f t="shared" ref="F25:AL31" si="10">$C$45*0.7</f>
        <v>0</v>
      </c>
      <c r="G25" s="25" t="s">
        <v>94</v>
      </c>
      <c r="H25" s="94"/>
      <c r="I25" s="93"/>
      <c r="J25" s="57" t="s">
        <v>60</v>
      </c>
      <c r="K25" s="25" t="s">
        <v>113</v>
      </c>
      <c r="L25" s="57" t="s">
        <v>103</v>
      </c>
      <c r="M25" s="60">
        <v>0.5</v>
      </c>
      <c r="N25" s="59">
        <f t="shared" ref="N25:AL32" si="11">$C$45*0.5</f>
        <v>0</v>
      </c>
      <c r="O25" s="25" t="s">
        <v>94</v>
      </c>
      <c r="P25" s="94"/>
      <c r="Q25" s="93"/>
      <c r="R25" s="57" t="s">
        <v>60</v>
      </c>
      <c r="S25" s="25" t="s">
        <v>113</v>
      </c>
      <c r="T25" s="25" t="s">
        <v>103</v>
      </c>
      <c r="U25" s="60">
        <v>0.5</v>
      </c>
      <c r="V25" s="59">
        <f t="shared" si="11"/>
        <v>0</v>
      </c>
      <c r="W25" s="25" t="s">
        <v>94</v>
      </c>
      <c r="X25" s="94"/>
      <c r="Y25" s="93"/>
      <c r="Z25" s="57" t="s">
        <v>60</v>
      </c>
      <c r="AA25" s="25" t="s">
        <v>113</v>
      </c>
      <c r="AB25" s="57" t="s">
        <v>103</v>
      </c>
      <c r="AC25" s="60">
        <v>0.5</v>
      </c>
      <c r="AD25" s="59">
        <f t="shared" si="11"/>
        <v>0</v>
      </c>
      <c r="AE25" s="25" t="s">
        <v>94</v>
      </c>
      <c r="AF25" s="94"/>
      <c r="AG25" s="93"/>
      <c r="AH25" s="90" t="s">
        <v>60</v>
      </c>
      <c r="AI25" s="91" t="s">
        <v>113</v>
      </c>
      <c r="AJ25" s="91" t="s">
        <v>103</v>
      </c>
      <c r="AK25" s="92"/>
      <c r="AL25" s="92"/>
      <c r="AM25" s="91" t="s">
        <v>62</v>
      </c>
      <c r="AN25" s="94"/>
    </row>
    <row r="26" spans="1:40" ht="20.25" customHeight="1" x14ac:dyDescent="0.2">
      <c r="A26" s="139"/>
      <c r="B26" s="132"/>
      <c r="C26" s="25" t="s">
        <v>63</v>
      </c>
      <c r="D26" s="25" t="s">
        <v>177</v>
      </c>
      <c r="E26" s="76"/>
      <c r="F26" s="76"/>
      <c r="G26" s="58"/>
      <c r="H26" s="84"/>
      <c r="I26" s="83"/>
      <c r="J26" s="68"/>
      <c r="K26" s="25" t="s">
        <v>63</v>
      </c>
      <c r="L26" s="57" t="s">
        <v>178</v>
      </c>
      <c r="M26" s="76"/>
      <c r="N26" s="76"/>
      <c r="O26" s="58"/>
      <c r="P26" s="84"/>
      <c r="Q26" s="83"/>
      <c r="R26" s="68"/>
      <c r="S26" s="25" t="s">
        <v>63</v>
      </c>
      <c r="T26" s="25" t="s">
        <v>191</v>
      </c>
      <c r="U26" s="76"/>
      <c r="V26" s="76"/>
      <c r="W26" s="58"/>
      <c r="X26" s="84"/>
      <c r="Y26" s="83"/>
      <c r="Z26" s="68"/>
      <c r="AA26" s="25" t="s">
        <v>63</v>
      </c>
      <c r="AB26" s="57" t="s">
        <v>192</v>
      </c>
      <c r="AC26" s="76"/>
      <c r="AD26" s="76"/>
      <c r="AE26" s="58"/>
      <c r="AF26" s="84"/>
      <c r="AG26" s="83"/>
      <c r="AH26" s="95"/>
      <c r="AI26" s="91" t="s">
        <v>63</v>
      </c>
      <c r="AJ26" s="91" t="s">
        <v>98</v>
      </c>
      <c r="AK26" s="92"/>
      <c r="AL26" s="29"/>
      <c r="AM26" s="96" t="s">
        <v>64</v>
      </c>
      <c r="AN26" s="84"/>
    </row>
    <row r="27" spans="1:40" ht="15.75" customHeight="1" x14ac:dyDescent="0.2">
      <c r="A27" s="124"/>
      <c r="B27" s="134"/>
      <c r="C27" s="78"/>
      <c r="D27" s="78"/>
      <c r="E27" s="78"/>
      <c r="F27" s="78"/>
      <c r="G27" s="78"/>
      <c r="H27" s="67"/>
      <c r="I27" s="62"/>
      <c r="J27" s="78"/>
      <c r="K27" s="78"/>
      <c r="L27" s="78"/>
      <c r="M27" s="78"/>
      <c r="N27" s="78"/>
      <c r="O27" s="78"/>
      <c r="P27" s="67"/>
      <c r="Q27" s="62"/>
      <c r="R27" s="78"/>
      <c r="S27" s="78"/>
      <c r="T27" s="78"/>
      <c r="U27" s="78"/>
      <c r="V27" s="78"/>
      <c r="W27" s="78"/>
      <c r="X27" s="67"/>
      <c r="Y27" s="62"/>
      <c r="Z27" s="78"/>
      <c r="AA27" s="78"/>
      <c r="AB27" s="78"/>
      <c r="AC27" s="78"/>
      <c r="AD27" s="78"/>
      <c r="AE27" s="78"/>
      <c r="AF27" s="67"/>
      <c r="AG27" s="62"/>
      <c r="AH27" s="78"/>
      <c r="AI27" s="78"/>
      <c r="AJ27" s="78"/>
      <c r="AK27" s="78"/>
      <c r="AL27" s="78"/>
      <c r="AM27" s="78"/>
      <c r="AN27" s="67"/>
    </row>
    <row r="28" spans="1:40" ht="20.25" customHeight="1" x14ac:dyDescent="0.2">
      <c r="A28" s="133"/>
      <c r="B28" s="255" t="s">
        <v>131</v>
      </c>
      <c r="C28" s="256"/>
      <c r="D28" s="256"/>
      <c r="E28" s="256"/>
      <c r="F28" s="256"/>
      <c r="G28" s="257"/>
      <c r="H28" s="98"/>
      <c r="I28" s="97"/>
      <c r="J28" s="255" t="s">
        <v>131</v>
      </c>
      <c r="K28" s="256"/>
      <c r="L28" s="256"/>
      <c r="M28" s="256"/>
      <c r="N28" s="256"/>
      <c r="O28" s="257"/>
      <c r="P28" s="98"/>
      <c r="Q28" s="97"/>
      <c r="R28" s="255" t="s">
        <v>131</v>
      </c>
      <c r="S28" s="256"/>
      <c r="T28" s="256"/>
      <c r="U28" s="256"/>
      <c r="V28" s="256"/>
      <c r="W28" s="257"/>
      <c r="X28" s="98"/>
      <c r="Y28" s="97"/>
      <c r="Z28" s="255" t="s">
        <v>131</v>
      </c>
      <c r="AA28" s="256"/>
      <c r="AB28" s="256"/>
      <c r="AC28" s="256"/>
      <c r="AD28" s="256"/>
      <c r="AE28" s="257"/>
      <c r="AF28" s="98"/>
      <c r="AG28" s="97"/>
      <c r="AH28" s="255" t="s">
        <v>115</v>
      </c>
      <c r="AI28" s="256"/>
      <c r="AJ28" s="256"/>
      <c r="AK28" s="256"/>
      <c r="AL28" s="256"/>
      <c r="AM28" s="257"/>
      <c r="AN28" s="98"/>
    </row>
    <row r="29" spans="1:40" ht="36" customHeight="1" x14ac:dyDescent="0.2">
      <c r="A29" s="124"/>
      <c r="B29" s="126"/>
      <c r="C29" s="20" t="s">
        <v>51</v>
      </c>
      <c r="D29" s="20" t="s">
        <v>52</v>
      </c>
      <c r="E29" s="20" t="s">
        <v>73</v>
      </c>
      <c r="F29" s="20" t="s">
        <v>74</v>
      </c>
      <c r="G29" s="20" t="s">
        <v>101</v>
      </c>
      <c r="H29" s="56"/>
      <c r="I29" s="54"/>
      <c r="J29" s="55"/>
      <c r="K29" s="20" t="s">
        <v>51</v>
      </c>
      <c r="L29" s="20" t="s">
        <v>52</v>
      </c>
      <c r="M29" s="20" t="s">
        <v>73</v>
      </c>
      <c r="N29" s="20" t="s">
        <v>74</v>
      </c>
      <c r="O29" s="20" t="s">
        <v>101</v>
      </c>
      <c r="P29" s="56"/>
      <c r="Q29" s="54"/>
      <c r="R29" s="55"/>
      <c r="S29" s="20" t="s">
        <v>51</v>
      </c>
      <c r="T29" s="20" t="s">
        <v>52</v>
      </c>
      <c r="U29" s="20" t="s">
        <v>73</v>
      </c>
      <c r="V29" s="20" t="s">
        <v>74</v>
      </c>
      <c r="W29" s="20" t="s">
        <v>101</v>
      </c>
      <c r="X29" s="56"/>
      <c r="Y29" s="54"/>
      <c r="Z29" s="55"/>
      <c r="AA29" s="20" t="s">
        <v>51</v>
      </c>
      <c r="AB29" s="20" t="s">
        <v>52</v>
      </c>
      <c r="AC29" s="20" t="s">
        <v>73</v>
      </c>
      <c r="AD29" s="20" t="s">
        <v>74</v>
      </c>
      <c r="AE29" s="20" t="s">
        <v>101</v>
      </c>
      <c r="AF29" s="56"/>
      <c r="AG29" s="54"/>
      <c r="AH29" s="55"/>
      <c r="AI29" s="20" t="s">
        <v>51</v>
      </c>
      <c r="AJ29" s="20" t="s">
        <v>52</v>
      </c>
      <c r="AK29" s="20" t="s">
        <v>73</v>
      </c>
      <c r="AL29" s="20" t="s">
        <v>74</v>
      </c>
      <c r="AM29" s="20" t="s">
        <v>102</v>
      </c>
      <c r="AN29" s="56"/>
    </row>
    <row r="30" spans="1:40" ht="30" customHeight="1" x14ac:dyDescent="0.2">
      <c r="A30" s="124"/>
      <c r="B30" s="131" t="s">
        <v>77</v>
      </c>
      <c r="C30" s="25" t="s">
        <v>81</v>
      </c>
      <c r="D30" s="25" t="s">
        <v>103</v>
      </c>
      <c r="E30" s="25" t="s">
        <v>79</v>
      </c>
      <c r="F30" s="59">
        <f t="shared" si="10"/>
        <v>0</v>
      </c>
      <c r="G30" s="25" t="s">
        <v>132</v>
      </c>
      <c r="H30" s="56"/>
      <c r="I30" s="54"/>
      <c r="J30" s="57" t="s">
        <v>77</v>
      </c>
      <c r="K30" s="25" t="s">
        <v>81</v>
      </c>
      <c r="L30" s="25" t="s">
        <v>103</v>
      </c>
      <c r="M30" s="25" t="s">
        <v>79</v>
      </c>
      <c r="N30" s="59">
        <f t="shared" si="10"/>
        <v>0</v>
      </c>
      <c r="O30" s="25" t="s">
        <v>132</v>
      </c>
      <c r="P30" s="56"/>
      <c r="Q30" s="54"/>
      <c r="R30" s="57" t="s">
        <v>77</v>
      </c>
      <c r="S30" s="25" t="s">
        <v>81</v>
      </c>
      <c r="T30" s="25" t="s">
        <v>103</v>
      </c>
      <c r="U30" s="25" t="s">
        <v>79</v>
      </c>
      <c r="V30" s="59">
        <f t="shared" si="10"/>
        <v>0</v>
      </c>
      <c r="W30" s="25" t="s">
        <v>132</v>
      </c>
      <c r="X30" s="56"/>
      <c r="Y30" s="54"/>
      <c r="Z30" s="57" t="s">
        <v>77</v>
      </c>
      <c r="AA30" s="25" t="s">
        <v>81</v>
      </c>
      <c r="AB30" s="25" t="s">
        <v>103</v>
      </c>
      <c r="AC30" s="25" t="s">
        <v>79</v>
      </c>
      <c r="AD30" s="59">
        <f t="shared" si="10"/>
        <v>0</v>
      </c>
      <c r="AE30" s="25" t="s">
        <v>132</v>
      </c>
      <c r="AF30" s="56"/>
      <c r="AG30" s="54"/>
      <c r="AH30" s="57" t="s">
        <v>77</v>
      </c>
      <c r="AI30" s="25" t="s">
        <v>81</v>
      </c>
      <c r="AJ30" s="25" t="s">
        <v>103</v>
      </c>
      <c r="AK30" s="25" t="s">
        <v>83</v>
      </c>
      <c r="AL30" s="59">
        <f t="shared" si="1"/>
        <v>0</v>
      </c>
      <c r="AM30" s="25" t="s">
        <v>119</v>
      </c>
      <c r="AN30" s="56"/>
    </row>
    <row r="31" spans="1:40" ht="78" customHeight="1" x14ac:dyDescent="0.2">
      <c r="A31" s="124"/>
      <c r="B31" s="131" t="s">
        <v>57</v>
      </c>
      <c r="C31" s="25" t="s">
        <v>58</v>
      </c>
      <c r="D31" s="25" t="s">
        <v>133</v>
      </c>
      <c r="E31" s="60">
        <v>0.85</v>
      </c>
      <c r="F31" s="59">
        <f t="shared" ref="F31:AD31" si="12">$C$45*0.85</f>
        <v>0</v>
      </c>
      <c r="G31" s="25" t="s">
        <v>108</v>
      </c>
      <c r="H31" s="56"/>
      <c r="I31" s="54"/>
      <c r="J31" s="57" t="s">
        <v>57</v>
      </c>
      <c r="K31" s="25" t="s">
        <v>58</v>
      </c>
      <c r="L31" s="25" t="s">
        <v>147</v>
      </c>
      <c r="M31" s="60">
        <v>0.85</v>
      </c>
      <c r="N31" s="59">
        <f t="shared" si="11"/>
        <v>0</v>
      </c>
      <c r="O31" s="25" t="s">
        <v>108</v>
      </c>
      <c r="P31" s="56"/>
      <c r="Q31" s="54"/>
      <c r="R31" s="57" t="s">
        <v>57</v>
      </c>
      <c r="S31" s="25" t="s">
        <v>58</v>
      </c>
      <c r="T31" s="25" t="s">
        <v>148</v>
      </c>
      <c r="U31" s="60">
        <v>0.85</v>
      </c>
      <c r="V31" s="59">
        <f t="shared" si="12"/>
        <v>0</v>
      </c>
      <c r="W31" s="25" t="s">
        <v>108</v>
      </c>
      <c r="X31" s="56"/>
      <c r="Y31" s="54"/>
      <c r="Z31" s="57" t="s">
        <v>57</v>
      </c>
      <c r="AA31" s="25" t="s">
        <v>58</v>
      </c>
      <c r="AB31" s="25" t="s">
        <v>149</v>
      </c>
      <c r="AC31" s="60">
        <v>0.85</v>
      </c>
      <c r="AD31" s="59">
        <f t="shared" si="12"/>
        <v>0</v>
      </c>
      <c r="AE31" s="25" t="s">
        <v>108</v>
      </c>
      <c r="AF31" s="56"/>
      <c r="AG31" s="54"/>
      <c r="AH31" s="57" t="s">
        <v>57</v>
      </c>
      <c r="AI31" s="25" t="s">
        <v>58</v>
      </c>
      <c r="AJ31" s="25" t="s">
        <v>133</v>
      </c>
      <c r="AK31" s="25" t="s">
        <v>150</v>
      </c>
      <c r="AL31" s="59">
        <f t="shared" si="10"/>
        <v>0</v>
      </c>
      <c r="AM31" s="25" t="s">
        <v>134</v>
      </c>
      <c r="AN31" s="56"/>
    </row>
    <row r="32" spans="1:40" ht="20.25" customHeight="1" x14ac:dyDescent="0.2">
      <c r="A32" s="133"/>
      <c r="B32" s="131" t="s">
        <v>60</v>
      </c>
      <c r="C32" s="25" t="s">
        <v>113</v>
      </c>
      <c r="D32" s="25" t="s">
        <v>103</v>
      </c>
      <c r="E32" s="60">
        <v>0.5</v>
      </c>
      <c r="F32" s="59">
        <f>$C$45*0.5</f>
        <v>0</v>
      </c>
      <c r="G32" s="25" t="s">
        <v>94</v>
      </c>
      <c r="H32" s="94"/>
      <c r="I32" s="93"/>
      <c r="J32" s="57" t="s">
        <v>60</v>
      </c>
      <c r="K32" s="25" t="s">
        <v>113</v>
      </c>
      <c r="L32" s="25" t="s">
        <v>103</v>
      </c>
      <c r="M32" s="60">
        <v>0.5</v>
      </c>
      <c r="N32" s="59">
        <f t="shared" si="11"/>
        <v>0</v>
      </c>
      <c r="O32" s="25" t="s">
        <v>94</v>
      </c>
      <c r="P32" s="94"/>
      <c r="Q32" s="93"/>
      <c r="R32" s="57" t="s">
        <v>60</v>
      </c>
      <c r="S32" s="25" t="s">
        <v>113</v>
      </c>
      <c r="T32" s="25" t="s">
        <v>103</v>
      </c>
      <c r="U32" s="60">
        <v>0.5</v>
      </c>
      <c r="V32" s="59">
        <f t="shared" si="11"/>
        <v>0</v>
      </c>
      <c r="W32" s="25" t="s">
        <v>94</v>
      </c>
      <c r="X32" s="94"/>
      <c r="Y32" s="93"/>
      <c r="Z32" s="57" t="s">
        <v>60</v>
      </c>
      <c r="AA32" s="25" t="s">
        <v>113</v>
      </c>
      <c r="AB32" s="25" t="s">
        <v>103</v>
      </c>
      <c r="AC32" s="60">
        <v>0.5</v>
      </c>
      <c r="AD32" s="59">
        <f t="shared" si="11"/>
        <v>0</v>
      </c>
      <c r="AE32" s="25" t="s">
        <v>94</v>
      </c>
      <c r="AF32" s="94"/>
      <c r="AG32" s="93"/>
      <c r="AH32" s="57" t="s">
        <v>60</v>
      </c>
      <c r="AI32" s="25" t="s">
        <v>113</v>
      </c>
      <c r="AJ32" s="25" t="s">
        <v>103</v>
      </c>
      <c r="AK32" s="60">
        <v>0.5</v>
      </c>
      <c r="AL32" s="59">
        <f t="shared" si="11"/>
        <v>0</v>
      </c>
      <c r="AM32" s="25" t="s">
        <v>94</v>
      </c>
      <c r="AN32" s="94"/>
    </row>
    <row r="33" spans="1:40" ht="20.25" customHeight="1" x14ac:dyDescent="0.2">
      <c r="A33" s="139"/>
      <c r="B33" s="132"/>
      <c r="C33" s="25" t="s">
        <v>63</v>
      </c>
      <c r="D33" s="25" t="s">
        <v>135</v>
      </c>
      <c r="E33" s="76"/>
      <c r="F33" s="76"/>
      <c r="G33" s="58"/>
      <c r="H33" s="84"/>
      <c r="I33" s="83"/>
      <c r="J33" s="68"/>
      <c r="K33" s="25" t="s">
        <v>63</v>
      </c>
      <c r="L33" s="25" t="s">
        <v>151</v>
      </c>
      <c r="M33" s="76"/>
      <c r="N33" s="76"/>
      <c r="O33" s="58"/>
      <c r="P33" s="84"/>
      <c r="Q33" s="83"/>
      <c r="R33" s="68"/>
      <c r="S33" s="25" t="s">
        <v>63</v>
      </c>
      <c r="T33" s="25" t="s">
        <v>152</v>
      </c>
      <c r="U33" s="76"/>
      <c r="V33" s="76"/>
      <c r="W33" s="58"/>
      <c r="X33" s="84"/>
      <c r="Y33" s="83"/>
      <c r="Z33" s="68"/>
      <c r="AA33" s="25" t="s">
        <v>63</v>
      </c>
      <c r="AB33" s="25" t="s">
        <v>153</v>
      </c>
      <c r="AC33" s="76"/>
      <c r="AD33" s="76"/>
      <c r="AE33" s="58"/>
      <c r="AF33" s="84"/>
      <c r="AG33" s="83"/>
      <c r="AH33" s="68"/>
      <c r="AI33" s="25" t="s">
        <v>63</v>
      </c>
      <c r="AJ33" s="25" t="s">
        <v>135</v>
      </c>
      <c r="AK33" s="76"/>
      <c r="AL33" s="76"/>
      <c r="AM33" s="58"/>
      <c r="AN33" s="84"/>
    </row>
    <row r="34" spans="1:40" ht="15.75" customHeight="1" x14ac:dyDescent="0.2">
      <c r="A34" s="124"/>
      <c r="B34" s="134"/>
      <c r="C34" s="78"/>
      <c r="D34" s="78"/>
      <c r="E34" s="78"/>
      <c r="F34" s="78"/>
      <c r="G34" s="78"/>
      <c r="H34" s="67"/>
      <c r="I34" s="62"/>
      <c r="J34" s="78"/>
      <c r="K34" s="78"/>
      <c r="L34" s="78"/>
      <c r="M34" s="78"/>
      <c r="N34" s="78"/>
      <c r="O34" s="78"/>
      <c r="P34" s="67"/>
      <c r="Q34" s="62"/>
      <c r="R34" s="78"/>
      <c r="S34" s="78"/>
      <c r="T34" s="78"/>
      <c r="U34" s="78"/>
      <c r="V34" s="78"/>
      <c r="W34" s="78"/>
      <c r="X34" s="67"/>
      <c r="Y34" s="62"/>
      <c r="Z34" s="78"/>
      <c r="AA34" s="78"/>
      <c r="AB34" s="78"/>
      <c r="AC34" s="78"/>
      <c r="AD34" s="78"/>
      <c r="AE34" s="78"/>
      <c r="AF34" s="67"/>
      <c r="AG34" s="62"/>
      <c r="AH34" s="78"/>
      <c r="AI34" s="78"/>
      <c r="AJ34" s="78"/>
      <c r="AK34" s="78"/>
      <c r="AL34" s="78"/>
      <c r="AM34" s="78"/>
      <c r="AN34" s="67"/>
    </row>
    <row r="35" spans="1:40" ht="20.25" customHeight="1" x14ac:dyDescent="0.2">
      <c r="A35" s="139"/>
      <c r="B35" s="255" t="s">
        <v>136</v>
      </c>
      <c r="C35" s="256"/>
      <c r="D35" s="256"/>
      <c r="E35" s="256"/>
      <c r="F35" s="256"/>
      <c r="G35" s="257"/>
      <c r="H35" s="99"/>
      <c r="I35" s="99"/>
      <c r="J35" s="255" t="s">
        <v>136</v>
      </c>
      <c r="K35" s="256"/>
      <c r="L35" s="256"/>
      <c r="M35" s="256"/>
      <c r="N35" s="256"/>
      <c r="O35" s="257"/>
      <c r="P35" s="99"/>
      <c r="Q35" s="99"/>
      <c r="R35" s="255" t="s">
        <v>136</v>
      </c>
      <c r="S35" s="256"/>
      <c r="T35" s="256"/>
      <c r="U35" s="256"/>
      <c r="V35" s="256"/>
      <c r="W35" s="257"/>
      <c r="X35" s="99"/>
      <c r="Y35" s="99"/>
      <c r="Z35" s="255" t="s">
        <v>136</v>
      </c>
      <c r="AA35" s="256"/>
      <c r="AB35" s="256"/>
      <c r="AC35" s="256"/>
      <c r="AD35" s="256"/>
      <c r="AE35" s="257"/>
      <c r="AF35" s="99"/>
      <c r="AG35" s="99"/>
      <c r="AH35" s="255" t="s">
        <v>136</v>
      </c>
      <c r="AI35" s="256"/>
      <c r="AJ35" s="256"/>
      <c r="AK35" s="256"/>
      <c r="AL35" s="256"/>
      <c r="AM35" s="257"/>
      <c r="AN35" s="99"/>
    </row>
    <row r="36" spans="1:40" ht="36" customHeight="1" x14ac:dyDescent="0.2">
      <c r="A36" s="124"/>
      <c r="B36" s="126"/>
      <c r="C36" s="20" t="s">
        <v>51</v>
      </c>
      <c r="D36" s="20" t="s">
        <v>52</v>
      </c>
      <c r="E36" s="20" t="s">
        <v>73</v>
      </c>
      <c r="F36" s="20" t="s">
        <v>74</v>
      </c>
      <c r="G36" s="20" t="s">
        <v>76</v>
      </c>
      <c r="H36" s="56"/>
      <c r="I36" s="54"/>
      <c r="J36" s="55"/>
      <c r="K36" s="20" t="s">
        <v>51</v>
      </c>
      <c r="L36" s="20" t="s">
        <v>52</v>
      </c>
      <c r="M36" s="20" t="s">
        <v>73</v>
      </c>
      <c r="N36" s="20" t="s">
        <v>74</v>
      </c>
      <c r="O36" s="20" t="s">
        <v>76</v>
      </c>
      <c r="P36" s="56"/>
      <c r="Q36" s="54"/>
      <c r="R36" s="55"/>
      <c r="S36" s="20" t="s">
        <v>51</v>
      </c>
      <c r="T36" s="20" t="s">
        <v>52</v>
      </c>
      <c r="U36" s="20" t="s">
        <v>73</v>
      </c>
      <c r="V36" s="20" t="s">
        <v>74</v>
      </c>
      <c r="W36" s="20" t="s">
        <v>76</v>
      </c>
      <c r="X36" s="56"/>
      <c r="Y36" s="54"/>
      <c r="Z36" s="55"/>
      <c r="AA36" s="20" t="s">
        <v>51</v>
      </c>
      <c r="AB36" s="20" t="s">
        <v>52</v>
      </c>
      <c r="AC36" s="20" t="s">
        <v>73</v>
      </c>
      <c r="AD36" s="20" t="s">
        <v>74</v>
      </c>
      <c r="AE36" s="20" t="s">
        <v>76</v>
      </c>
      <c r="AF36" s="56"/>
      <c r="AG36" s="54"/>
      <c r="AH36" s="55"/>
      <c r="AI36" s="20" t="s">
        <v>51</v>
      </c>
      <c r="AJ36" s="20" t="s">
        <v>52</v>
      </c>
      <c r="AK36" s="20" t="s">
        <v>73</v>
      </c>
      <c r="AL36" s="20" t="s">
        <v>74</v>
      </c>
      <c r="AM36" s="20" t="s">
        <v>76</v>
      </c>
      <c r="AN36" s="56"/>
    </row>
    <row r="37" spans="1:40" ht="30" customHeight="1" x14ac:dyDescent="0.2">
      <c r="A37" s="124"/>
      <c r="B37" s="131" t="s">
        <v>77</v>
      </c>
      <c r="C37" s="25" t="s">
        <v>81</v>
      </c>
      <c r="D37" s="25" t="s">
        <v>133</v>
      </c>
      <c r="E37" s="25" t="s">
        <v>83</v>
      </c>
      <c r="F37" s="59">
        <f>$C$45*0.6</f>
        <v>0</v>
      </c>
      <c r="G37" s="25" t="s">
        <v>84</v>
      </c>
      <c r="H37" s="56"/>
      <c r="I37" s="54"/>
      <c r="J37" s="57" t="s">
        <v>77</v>
      </c>
      <c r="K37" s="25" t="s">
        <v>81</v>
      </c>
      <c r="L37" s="25" t="s">
        <v>133</v>
      </c>
      <c r="M37" s="25" t="s">
        <v>118</v>
      </c>
      <c r="N37" s="59">
        <f>$C$45*0.5</f>
        <v>0</v>
      </c>
      <c r="O37" s="25" t="s">
        <v>84</v>
      </c>
      <c r="P37" s="56"/>
      <c r="Q37" s="54"/>
      <c r="R37" s="57" t="s">
        <v>77</v>
      </c>
      <c r="S37" s="25" t="s">
        <v>81</v>
      </c>
      <c r="T37" s="25" t="s">
        <v>133</v>
      </c>
      <c r="U37" s="25" t="s">
        <v>118</v>
      </c>
      <c r="V37" s="59">
        <f>$C$45*0.6</f>
        <v>0</v>
      </c>
      <c r="W37" s="25" t="s">
        <v>84</v>
      </c>
      <c r="X37" s="56"/>
      <c r="Y37" s="54"/>
      <c r="Z37" s="57" t="s">
        <v>77</v>
      </c>
      <c r="AA37" s="25" t="s">
        <v>81</v>
      </c>
      <c r="AB37" s="57" t="s">
        <v>133</v>
      </c>
      <c r="AC37" s="25" t="s">
        <v>118</v>
      </c>
      <c r="AD37" s="59">
        <f>$C$45*0.6</f>
        <v>0</v>
      </c>
      <c r="AE37" s="25" t="s">
        <v>84</v>
      </c>
      <c r="AF37" s="56"/>
      <c r="AG37" s="54"/>
      <c r="AH37" s="57" t="s">
        <v>77</v>
      </c>
      <c r="AI37" s="25" t="s">
        <v>81</v>
      </c>
      <c r="AJ37" s="25" t="s">
        <v>82</v>
      </c>
      <c r="AK37" s="25" t="s">
        <v>83</v>
      </c>
      <c r="AL37" s="59">
        <f t="shared" si="1"/>
        <v>0</v>
      </c>
      <c r="AM37" s="25" t="s">
        <v>84</v>
      </c>
      <c r="AN37" s="56"/>
    </row>
    <row r="38" spans="1:40" ht="15.75" customHeight="1" x14ac:dyDescent="0.2">
      <c r="A38" s="124"/>
      <c r="B38" s="134"/>
      <c r="C38" s="78"/>
      <c r="D38" s="78"/>
      <c r="E38" s="78"/>
      <c r="F38" s="78"/>
      <c r="G38" s="78"/>
      <c r="H38" s="67"/>
      <c r="I38" s="62"/>
      <c r="J38" s="78"/>
      <c r="K38" s="78"/>
      <c r="L38" s="78"/>
      <c r="M38" s="78"/>
      <c r="N38" s="78"/>
      <c r="O38" s="78"/>
      <c r="P38" s="67"/>
      <c r="Q38" s="62"/>
      <c r="R38" s="78"/>
      <c r="S38" s="78"/>
      <c r="T38" s="78"/>
      <c r="U38" s="78"/>
      <c r="V38" s="78"/>
      <c r="W38" s="78"/>
      <c r="X38" s="67"/>
      <c r="Y38" s="62"/>
      <c r="Z38" s="78"/>
      <c r="AA38" s="78"/>
      <c r="AB38" s="78"/>
      <c r="AC38" s="78"/>
      <c r="AD38" s="78"/>
      <c r="AE38" s="78"/>
      <c r="AF38" s="67"/>
      <c r="AG38" s="62"/>
      <c r="AH38" s="78"/>
      <c r="AI38" s="78"/>
      <c r="AJ38" s="78"/>
      <c r="AK38" s="78"/>
      <c r="AL38" s="78"/>
      <c r="AM38" s="78"/>
      <c r="AN38" s="67"/>
    </row>
    <row r="39" spans="1:40" ht="32.25" customHeight="1" x14ac:dyDescent="0.2">
      <c r="A39" s="124"/>
      <c r="B39" s="261" t="s">
        <v>137</v>
      </c>
      <c r="C39" s="262"/>
      <c r="D39" s="262"/>
      <c r="E39" s="262"/>
      <c r="F39" s="262"/>
      <c r="G39" s="263"/>
      <c r="H39" s="53"/>
      <c r="I39" s="53"/>
      <c r="J39" s="261" t="s">
        <v>137</v>
      </c>
      <c r="K39" s="262"/>
      <c r="L39" s="262"/>
      <c r="M39" s="262"/>
      <c r="N39" s="262"/>
      <c r="O39" s="263"/>
      <c r="P39" s="53"/>
      <c r="Q39" s="53"/>
      <c r="R39" s="261" t="s">
        <v>137</v>
      </c>
      <c r="S39" s="262"/>
      <c r="T39" s="262"/>
      <c r="U39" s="262"/>
      <c r="V39" s="262"/>
      <c r="W39" s="263"/>
      <c r="X39" s="53"/>
      <c r="Y39" s="53"/>
      <c r="Z39" s="261" t="s">
        <v>137</v>
      </c>
      <c r="AA39" s="262"/>
      <c r="AB39" s="262"/>
      <c r="AC39" s="262"/>
      <c r="AD39" s="262"/>
      <c r="AE39" s="263"/>
      <c r="AF39" s="53"/>
      <c r="AG39" s="53"/>
      <c r="AH39" s="261" t="s">
        <v>137</v>
      </c>
      <c r="AI39" s="262"/>
      <c r="AJ39" s="262"/>
      <c r="AK39" s="262"/>
      <c r="AL39" s="262"/>
      <c r="AM39" s="263"/>
      <c r="AN39" s="53"/>
    </row>
    <row r="40" spans="1:40" ht="18" customHeight="1" x14ac:dyDescent="0.2">
      <c r="A40" s="139"/>
      <c r="B40" s="147"/>
      <c r="C40" s="101"/>
      <c r="D40" s="101"/>
      <c r="E40" s="101"/>
      <c r="F40" s="101"/>
      <c r="G40" s="101"/>
      <c r="H40" s="102"/>
      <c r="I40" s="100"/>
      <c r="J40" s="101"/>
      <c r="K40" s="101"/>
      <c r="L40" s="101"/>
      <c r="M40" s="101"/>
      <c r="N40" s="101"/>
      <c r="O40" s="101"/>
      <c r="P40" s="102"/>
      <c r="Q40" s="100"/>
      <c r="R40" s="101"/>
      <c r="S40" s="101"/>
      <c r="T40" s="101"/>
      <c r="U40" s="101"/>
      <c r="V40" s="101"/>
      <c r="W40" s="101"/>
      <c r="X40" s="102"/>
      <c r="Y40" s="100"/>
      <c r="Z40" s="101"/>
      <c r="AA40" s="101"/>
      <c r="AB40" s="101"/>
      <c r="AC40" s="101"/>
      <c r="AD40" s="101"/>
      <c r="AE40" s="101"/>
      <c r="AF40" s="102"/>
      <c r="AG40" s="100"/>
      <c r="AH40" s="101"/>
      <c r="AI40" s="101"/>
      <c r="AJ40" s="101"/>
      <c r="AK40" s="101"/>
      <c r="AL40" s="101"/>
      <c r="AM40" s="101"/>
      <c r="AN40" s="102"/>
    </row>
    <row r="41" spans="1:40" ht="15.75" customHeight="1" x14ac:dyDescent="0.2">
      <c r="A41" s="148"/>
      <c r="B41" s="103"/>
      <c r="C41" s="104"/>
      <c r="D41" s="104"/>
      <c r="E41" s="104"/>
      <c r="F41" s="104"/>
      <c r="G41" s="104"/>
      <c r="H41" s="105"/>
      <c r="I41" s="103"/>
      <c r="J41" s="104"/>
      <c r="K41" s="104"/>
      <c r="L41" s="104"/>
      <c r="M41" s="104"/>
      <c r="N41" s="104"/>
      <c r="O41" s="104"/>
      <c r="P41" s="105"/>
      <c r="Q41" s="103"/>
      <c r="R41" s="104"/>
      <c r="S41" s="104"/>
      <c r="T41" s="104"/>
      <c r="U41" s="104"/>
      <c r="V41" s="104"/>
      <c r="W41" s="104"/>
      <c r="X41" s="105"/>
      <c r="Y41" s="103"/>
      <c r="Z41" s="104"/>
      <c r="AA41" s="104"/>
      <c r="AB41" s="104"/>
      <c r="AC41" s="104"/>
      <c r="AD41" s="104"/>
      <c r="AE41" s="104"/>
      <c r="AF41" s="105"/>
      <c r="AG41" s="103"/>
      <c r="AH41" s="104"/>
      <c r="AI41" s="104"/>
      <c r="AJ41" s="104"/>
      <c r="AK41" s="104"/>
      <c r="AL41" s="104"/>
      <c r="AM41" s="104"/>
      <c r="AN41" s="105"/>
    </row>
    <row r="42" spans="1:40" ht="14.1" customHeight="1" x14ac:dyDescent="0.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row>
    <row r="43" spans="1:40" ht="13.7" customHeight="1" x14ac:dyDescent="0.2">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row>
    <row r="44" spans="1:40" ht="42" hidden="1" customHeight="1" x14ac:dyDescent="0.2">
      <c r="A44" s="116"/>
      <c r="B44" s="108" t="s">
        <v>138</v>
      </c>
      <c r="C44" s="109"/>
      <c r="D44" s="115"/>
      <c r="E44" s="115"/>
      <c r="F44" s="115"/>
      <c r="G44" s="115"/>
      <c r="H44" s="116"/>
      <c r="I44" s="113"/>
      <c r="J44" s="117"/>
      <c r="K44" s="115"/>
      <c r="L44" s="115"/>
      <c r="M44" s="115"/>
      <c r="N44" s="115"/>
      <c r="O44" s="115"/>
      <c r="P44" s="116"/>
      <c r="Q44" s="113"/>
      <c r="R44" s="117"/>
      <c r="S44" s="115"/>
      <c r="T44" s="115"/>
      <c r="U44" s="115"/>
      <c r="V44" s="115"/>
      <c r="W44" s="115"/>
      <c r="X44" s="116"/>
      <c r="Y44" s="113"/>
      <c r="Z44" s="117"/>
      <c r="AA44" s="115"/>
      <c r="AB44" s="115"/>
      <c r="AC44" s="115"/>
      <c r="AD44" s="115"/>
      <c r="AE44" s="115"/>
      <c r="AF44" s="116"/>
      <c r="AG44" s="113"/>
      <c r="AH44" s="117"/>
      <c r="AI44" s="115"/>
      <c r="AJ44" s="115"/>
      <c r="AK44" s="115"/>
      <c r="AL44" s="115"/>
      <c r="AM44" s="115"/>
      <c r="AN44" s="116"/>
    </row>
    <row r="45" spans="1:40" ht="19.5" hidden="1" customHeight="1" x14ac:dyDescent="0.2">
      <c r="A45" s="116"/>
      <c r="B45" s="110" t="s">
        <v>139</v>
      </c>
      <c r="C45" s="111">
        <f>'Wks 11-15'!AL26</f>
        <v>0</v>
      </c>
      <c r="D45" s="149"/>
      <c r="E45" s="115"/>
      <c r="F45" s="115"/>
      <c r="G45" s="115"/>
      <c r="H45" s="116"/>
      <c r="I45" s="113"/>
      <c r="J45" s="117"/>
      <c r="K45" s="115"/>
      <c r="L45" s="115"/>
      <c r="M45" s="115"/>
      <c r="N45" s="115"/>
      <c r="O45" s="115"/>
      <c r="P45" s="116"/>
      <c r="Q45" s="113"/>
      <c r="R45" s="117"/>
      <c r="S45" s="115"/>
      <c r="T45" s="115"/>
      <c r="U45" s="115"/>
      <c r="V45" s="115"/>
      <c r="W45" s="115"/>
      <c r="X45" s="116"/>
      <c r="Y45" s="113"/>
      <c r="Z45" s="117"/>
      <c r="AA45" s="115"/>
      <c r="AB45" s="115"/>
      <c r="AC45" s="115"/>
      <c r="AD45" s="115"/>
      <c r="AE45" s="115"/>
      <c r="AF45" s="116"/>
      <c r="AG45" s="113"/>
      <c r="AH45" s="117"/>
      <c r="AI45" s="115"/>
      <c r="AJ45" s="115"/>
      <c r="AK45" s="115"/>
      <c r="AL45" s="115"/>
      <c r="AM45" s="115"/>
      <c r="AN45" s="116"/>
    </row>
    <row r="46" spans="1:40" ht="19.5" customHeight="1" x14ac:dyDescent="0.2">
      <c r="A46" s="116"/>
      <c r="B46" s="114"/>
      <c r="C46" s="114"/>
      <c r="D46" s="115"/>
      <c r="E46" s="115"/>
      <c r="F46" s="115"/>
      <c r="G46" s="115"/>
      <c r="H46" s="116"/>
      <c r="I46" s="113"/>
      <c r="J46" s="117"/>
      <c r="K46" s="115"/>
      <c r="L46" s="115"/>
      <c r="M46" s="115"/>
      <c r="N46" s="115"/>
      <c r="O46" s="115"/>
      <c r="P46" s="116"/>
      <c r="Q46" s="113"/>
      <c r="R46" s="117"/>
      <c r="S46" s="115"/>
      <c r="T46" s="115"/>
      <c r="U46" s="115"/>
      <c r="V46" s="115"/>
      <c r="W46" s="115"/>
      <c r="X46" s="116"/>
      <c r="Y46" s="113"/>
      <c r="Z46" s="117"/>
      <c r="AA46" s="115"/>
      <c r="AB46" s="115"/>
      <c r="AC46" s="115"/>
      <c r="AD46" s="115"/>
      <c r="AE46" s="115"/>
      <c r="AF46" s="116"/>
      <c r="AG46" s="113"/>
      <c r="AH46" s="117"/>
      <c r="AI46" s="115"/>
      <c r="AJ46" s="115"/>
      <c r="AK46" s="115"/>
      <c r="AL46" s="115"/>
      <c r="AM46" s="115"/>
      <c r="AN46" s="116"/>
    </row>
    <row r="47" spans="1:40" ht="19.5" customHeight="1" x14ac:dyDescent="0.2">
      <c r="A47" s="116"/>
      <c r="B47" s="118"/>
      <c r="C47" s="119"/>
      <c r="D47" s="115"/>
      <c r="E47" s="115"/>
      <c r="F47" s="115"/>
      <c r="G47" s="115"/>
      <c r="H47" s="116"/>
      <c r="I47" s="113"/>
      <c r="J47" s="117"/>
      <c r="K47" s="115"/>
      <c r="L47" s="115"/>
      <c r="M47" s="115"/>
      <c r="N47" s="115"/>
      <c r="O47" s="115"/>
      <c r="P47" s="116"/>
      <c r="Q47" s="113"/>
      <c r="R47" s="117"/>
      <c r="S47" s="115"/>
      <c r="T47" s="115"/>
      <c r="U47" s="115"/>
      <c r="V47" s="115"/>
      <c r="W47" s="115"/>
      <c r="X47" s="116"/>
      <c r="Y47" s="113"/>
      <c r="Z47" s="117"/>
      <c r="AA47" s="115"/>
      <c r="AB47" s="115"/>
      <c r="AC47" s="115"/>
      <c r="AD47" s="115"/>
      <c r="AE47" s="115"/>
      <c r="AF47" s="116"/>
      <c r="AG47" s="113"/>
      <c r="AH47" s="117"/>
      <c r="AI47" s="115"/>
      <c r="AJ47" s="115"/>
      <c r="AK47" s="115"/>
      <c r="AL47" s="115"/>
      <c r="AM47" s="115"/>
      <c r="AN47" s="116"/>
    </row>
    <row r="48" spans="1:40" ht="19.5" customHeight="1" x14ac:dyDescent="0.2">
      <c r="A48" s="116"/>
      <c r="B48" s="118"/>
      <c r="C48" s="119"/>
      <c r="D48" s="117"/>
      <c r="E48" s="117"/>
      <c r="F48" s="117"/>
      <c r="G48" s="117"/>
      <c r="H48" s="116"/>
      <c r="I48" s="113"/>
      <c r="J48" s="117"/>
      <c r="K48" s="117"/>
      <c r="L48" s="117"/>
      <c r="M48" s="117"/>
      <c r="N48" s="117"/>
      <c r="O48" s="117"/>
      <c r="P48" s="116"/>
      <c r="Q48" s="113"/>
      <c r="R48" s="117"/>
      <c r="S48" s="117"/>
      <c r="T48" s="117"/>
      <c r="U48" s="117"/>
      <c r="V48" s="117"/>
      <c r="W48" s="117"/>
      <c r="X48" s="116"/>
      <c r="Y48" s="113"/>
      <c r="Z48" s="117"/>
      <c r="AA48" s="117"/>
      <c r="AB48" s="117"/>
      <c r="AC48" s="117"/>
      <c r="AD48" s="117"/>
      <c r="AE48" s="117"/>
      <c r="AF48" s="116"/>
      <c r="AG48" s="113"/>
      <c r="AH48" s="117"/>
      <c r="AI48" s="117"/>
      <c r="AJ48" s="117"/>
      <c r="AK48" s="117"/>
      <c r="AL48" s="117"/>
      <c r="AM48" s="117"/>
      <c r="AN48" s="116"/>
    </row>
    <row r="49" spans="1:40" ht="19.5" customHeight="1" x14ac:dyDescent="0.2">
      <c r="A49" s="116"/>
      <c r="B49" s="118"/>
      <c r="C49" s="119"/>
      <c r="D49" s="117"/>
      <c r="E49" s="117"/>
      <c r="F49" s="117"/>
      <c r="G49" s="117"/>
      <c r="H49" s="116"/>
      <c r="I49" s="113"/>
      <c r="J49" s="117"/>
      <c r="K49" s="117"/>
      <c r="L49" s="117"/>
      <c r="M49" s="117"/>
      <c r="N49" s="117"/>
      <c r="O49" s="117"/>
      <c r="P49" s="116"/>
      <c r="Q49" s="113"/>
      <c r="R49" s="117"/>
      <c r="S49" s="117"/>
      <c r="T49" s="117"/>
      <c r="U49" s="117"/>
      <c r="V49" s="117"/>
      <c r="W49" s="117"/>
      <c r="X49" s="116"/>
      <c r="Y49" s="113"/>
      <c r="Z49" s="117"/>
      <c r="AA49" s="117"/>
      <c r="AB49" s="117"/>
      <c r="AC49" s="117"/>
      <c r="AD49" s="117"/>
      <c r="AE49" s="117"/>
      <c r="AF49" s="116"/>
      <c r="AG49" s="113"/>
      <c r="AH49" s="117"/>
      <c r="AI49" s="117"/>
      <c r="AJ49" s="117"/>
      <c r="AK49" s="117"/>
      <c r="AL49" s="117"/>
      <c r="AM49" s="117"/>
      <c r="AN49" s="116"/>
    </row>
    <row r="50" spans="1:40" ht="19.5" customHeight="1" x14ac:dyDescent="0.2">
      <c r="A50" s="116"/>
      <c r="B50" s="118"/>
      <c r="C50" s="119"/>
      <c r="D50" s="115"/>
      <c r="E50" s="115"/>
      <c r="F50" s="115"/>
      <c r="G50" s="115"/>
      <c r="H50" s="116"/>
      <c r="I50" s="113"/>
      <c r="J50" s="117"/>
      <c r="K50" s="115"/>
      <c r="L50" s="115"/>
      <c r="M50" s="115"/>
      <c r="N50" s="115"/>
      <c r="O50" s="115"/>
      <c r="P50" s="116"/>
      <c r="Q50" s="113"/>
      <c r="R50" s="117"/>
      <c r="S50" s="115"/>
      <c r="T50" s="115"/>
      <c r="U50" s="115"/>
      <c r="V50" s="115"/>
      <c r="W50" s="115"/>
      <c r="X50" s="116"/>
      <c r="Y50" s="113"/>
      <c r="Z50" s="117"/>
      <c r="AA50" s="115"/>
      <c r="AB50" s="115"/>
      <c r="AC50" s="115"/>
      <c r="AD50" s="115"/>
      <c r="AE50" s="115"/>
      <c r="AF50" s="116"/>
      <c r="AG50" s="113"/>
      <c r="AH50" s="117"/>
      <c r="AI50" s="115"/>
      <c r="AJ50" s="115"/>
      <c r="AK50" s="115"/>
      <c r="AL50" s="115"/>
      <c r="AM50" s="115"/>
      <c r="AN50" s="116"/>
    </row>
    <row r="51" spans="1:40" ht="19.5" customHeight="1" x14ac:dyDescent="0.2">
      <c r="A51" s="116"/>
      <c r="B51" s="118"/>
      <c r="C51" s="119"/>
      <c r="D51" s="115"/>
      <c r="E51" s="115"/>
      <c r="F51" s="115"/>
      <c r="G51" s="115"/>
      <c r="H51" s="116"/>
      <c r="I51" s="113"/>
      <c r="J51" s="117"/>
      <c r="K51" s="115"/>
      <c r="L51" s="115"/>
      <c r="M51" s="115"/>
      <c r="N51" s="115"/>
      <c r="O51" s="115"/>
      <c r="P51" s="116"/>
      <c r="Q51" s="113"/>
      <c r="R51" s="117"/>
      <c r="S51" s="115"/>
      <c r="T51" s="115"/>
      <c r="U51" s="115"/>
      <c r="V51" s="115"/>
      <c r="W51" s="115"/>
      <c r="X51" s="116"/>
      <c r="Y51" s="113"/>
      <c r="Z51" s="117"/>
      <c r="AA51" s="115"/>
      <c r="AB51" s="115"/>
      <c r="AC51" s="115"/>
      <c r="AD51" s="115"/>
      <c r="AE51" s="115"/>
      <c r="AF51" s="116"/>
      <c r="AG51" s="113"/>
      <c r="AH51" s="117"/>
      <c r="AI51" s="115"/>
      <c r="AJ51" s="115"/>
      <c r="AK51" s="115"/>
      <c r="AL51" s="115"/>
      <c r="AM51" s="115"/>
      <c r="AN51" s="116"/>
    </row>
    <row r="52" spans="1:40" ht="19.5" customHeight="1" x14ac:dyDescent="0.2">
      <c r="A52" s="116"/>
      <c r="B52" s="118"/>
      <c r="C52" s="119"/>
      <c r="D52" s="115"/>
      <c r="E52" s="115"/>
      <c r="F52" s="115"/>
      <c r="G52" s="115"/>
      <c r="H52" s="116"/>
      <c r="I52" s="113"/>
      <c r="J52" s="117"/>
      <c r="K52" s="115"/>
      <c r="L52" s="115"/>
      <c r="M52" s="115"/>
      <c r="N52" s="115"/>
      <c r="O52" s="115"/>
      <c r="P52" s="116"/>
      <c r="Q52" s="113"/>
      <c r="R52" s="117"/>
      <c r="S52" s="115"/>
      <c r="T52" s="115"/>
      <c r="U52" s="115"/>
      <c r="V52" s="115"/>
      <c r="W52" s="115"/>
      <c r="X52" s="116"/>
      <c r="Y52" s="113"/>
      <c r="Z52" s="117"/>
      <c r="AA52" s="115"/>
      <c r="AB52" s="115"/>
      <c r="AC52" s="115"/>
      <c r="AD52" s="115"/>
      <c r="AE52" s="115"/>
      <c r="AF52" s="116"/>
      <c r="AG52" s="113"/>
      <c r="AH52" s="117"/>
      <c r="AI52" s="115"/>
      <c r="AJ52" s="115"/>
      <c r="AK52" s="115"/>
      <c r="AL52" s="115"/>
      <c r="AM52" s="115"/>
      <c r="AN52" s="116"/>
    </row>
    <row r="53" spans="1:40" ht="19.5" customHeight="1" x14ac:dyDescent="0.2">
      <c r="A53" s="117"/>
      <c r="B53" s="118"/>
      <c r="C53" s="119"/>
      <c r="D53" s="115"/>
      <c r="E53" s="115"/>
      <c r="F53" s="115"/>
      <c r="G53" s="115"/>
      <c r="H53" s="117"/>
      <c r="I53" s="113"/>
      <c r="J53" s="117"/>
      <c r="K53" s="115"/>
      <c r="L53" s="115"/>
      <c r="M53" s="115"/>
      <c r="N53" s="115"/>
      <c r="O53" s="115"/>
      <c r="P53" s="117"/>
      <c r="Q53" s="113"/>
      <c r="R53" s="117"/>
      <c r="S53" s="115"/>
      <c r="T53" s="115"/>
      <c r="U53" s="115"/>
      <c r="V53" s="115"/>
      <c r="W53" s="115"/>
      <c r="X53" s="117"/>
      <c r="Y53" s="113"/>
      <c r="Z53" s="117"/>
      <c r="AA53" s="115"/>
      <c r="AB53" s="115"/>
      <c r="AC53" s="115"/>
      <c r="AD53" s="115"/>
      <c r="AE53" s="115"/>
      <c r="AF53" s="117"/>
      <c r="AG53" s="113"/>
      <c r="AH53" s="117"/>
      <c r="AI53" s="115"/>
      <c r="AJ53" s="115"/>
      <c r="AK53" s="115"/>
      <c r="AL53" s="115"/>
      <c r="AM53" s="115"/>
      <c r="AN53" s="117"/>
    </row>
    <row r="54" spans="1:40" ht="19.5" customHeight="1" x14ac:dyDescent="0.2">
      <c r="A54" s="117"/>
      <c r="B54" s="118"/>
      <c r="C54" s="119"/>
      <c r="D54" s="115"/>
      <c r="E54" s="115"/>
      <c r="F54" s="115"/>
      <c r="G54" s="115"/>
      <c r="H54" s="117"/>
      <c r="I54" s="113"/>
      <c r="J54" s="117"/>
      <c r="K54" s="115"/>
      <c r="L54" s="115"/>
      <c r="M54" s="115"/>
      <c r="N54" s="115"/>
      <c r="O54" s="115"/>
      <c r="P54" s="117"/>
      <c r="Q54" s="113"/>
      <c r="R54" s="117"/>
      <c r="S54" s="115"/>
      <c r="T54" s="115"/>
      <c r="U54" s="115"/>
      <c r="V54" s="115"/>
      <c r="W54" s="115"/>
      <c r="X54" s="117"/>
      <c r="Y54" s="113"/>
      <c r="Z54" s="117"/>
      <c r="AA54" s="115"/>
      <c r="AB54" s="115"/>
      <c r="AC54" s="115"/>
      <c r="AD54" s="115"/>
      <c r="AE54" s="115"/>
      <c r="AF54" s="117"/>
      <c r="AG54" s="113"/>
      <c r="AH54" s="117"/>
      <c r="AI54" s="115"/>
      <c r="AJ54" s="115"/>
      <c r="AK54" s="115"/>
      <c r="AL54" s="115"/>
      <c r="AM54" s="115"/>
      <c r="AN54" s="117"/>
    </row>
    <row r="55" spans="1:40" ht="19.5" customHeight="1" x14ac:dyDescent="0.2">
      <c r="A55" s="116"/>
      <c r="B55" s="118"/>
      <c r="C55" s="119"/>
      <c r="D55" s="115"/>
      <c r="E55" s="115"/>
      <c r="F55" s="115"/>
      <c r="G55" s="115"/>
      <c r="H55" s="116"/>
      <c r="I55" s="113"/>
      <c r="J55" s="117"/>
      <c r="K55" s="115"/>
      <c r="L55" s="115"/>
      <c r="M55" s="115"/>
      <c r="N55" s="115"/>
      <c r="O55" s="115"/>
      <c r="P55" s="116"/>
      <c r="Q55" s="113"/>
      <c r="R55" s="117"/>
      <c r="S55" s="115"/>
      <c r="T55" s="115"/>
      <c r="U55" s="115"/>
      <c r="V55" s="115"/>
      <c r="W55" s="115"/>
      <c r="X55" s="116"/>
      <c r="Y55" s="113"/>
      <c r="Z55" s="117"/>
      <c r="AA55" s="115"/>
      <c r="AB55" s="115"/>
      <c r="AC55" s="115"/>
      <c r="AD55" s="115"/>
      <c r="AE55" s="115"/>
      <c r="AF55" s="116"/>
      <c r="AG55" s="113"/>
      <c r="AH55" s="117"/>
      <c r="AI55" s="115"/>
      <c r="AJ55" s="115"/>
      <c r="AK55" s="115"/>
      <c r="AL55" s="115"/>
      <c r="AM55" s="115"/>
      <c r="AN55" s="116"/>
    </row>
    <row r="56" spans="1:40" ht="19.5" customHeight="1" x14ac:dyDescent="0.2">
      <c r="A56" s="116"/>
      <c r="B56" s="118"/>
      <c r="C56" s="119"/>
      <c r="D56" s="115"/>
      <c r="E56" s="115"/>
      <c r="F56" s="115"/>
      <c r="G56" s="115"/>
      <c r="H56" s="116"/>
      <c r="I56" s="113"/>
      <c r="J56" s="117"/>
      <c r="K56" s="115"/>
      <c r="L56" s="115"/>
      <c r="M56" s="115"/>
      <c r="N56" s="115"/>
      <c r="O56" s="115"/>
      <c r="P56" s="116"/>
      <c r="Q56" s="113"/>
      <c r="R56" s="117"/>
      <c r="S56" s="115"/>
      <c r="T56" s="115"/>
      <c r="U56" s="115"/>
      <c r="V56" s="115"/>
      <c r="W56" s="115"/>
      <c r="X56" s="116"/>
      <c r="Y56" s="113"/>
      <c r="Z56" s="117"/>
      <c r="AA56" s="115"/>
      <c r="AB56" s="115"/>
      <c r="AC56" s="115"/>
      <c r="AD56" s="115"/>
      <c r="AE56" s="115"/>
      <c r="AF56" s="116"/>
      <c r="AG56" s="113"/>
      <c r="AH56" s="117"/>
      <c r="AI56" s="115"/>
      <c r="AJ56" s="115"/>
      <c r="AK56" s="115"/>
      <c r="AL56" s="115"/>
      <c r="AM56" s="115"/>
      <c r="AN56" s="116"/>
    </row>
    <row r="57" spans="1:40" ht="19.5" customHeight="1" x14ac:dyDescent="0.2">
      <c r="A57" s="116"/>
      <c r="B57" s="118"/>
      <c r="C57" s="119"/>
      <c r="D57" s="115"/>
      <c r="E57" s="115"/>
      <c r="F57" s="115"/>
      <c r="G57" s="115"/>
      <c r="H57" s="116"/>
      <c r="I57" s="113"/>
      <c r="J57" s="117"/>
      <c r="K57" s="115"/>
      <c r="L57" s="115"/>
      <c r="M57" s="115"/>
      <c r="N57" s="115"/>
      <c r="O57" s="115"/>
      <c r="P57" s="116"/>
      <c r="Q57" s="113"/>
      <c r="R57" s="117"/>
      <c r="S57" s="115"/>
      <c r="T57" s="115"/>
      <c r="U57" s="115"/>
      <c r="V57" s="115"/>
      <c r="W57" s="115"/>
      <c r="X57" s="116"/>
      <c r="Y57" s="113"/>
      <c r="Z57" s="117"/>
      <c r="AA57" s="115"/>
      <c r="AB57" s="115"/>
      <c r="AC57" s="115"/>
      <c r="AD57" s="115"/>
      <c r="AE57" s="115"/>
      <c r="AF57" s="116"/>
      <c r="AG57" s="113"/>
      <c r="AH57" s="117"/>
      <c r="AI57" s="115"/>
      <c r="AJ57" s="115"/>
      <c r="AK57" s="115"/>
      <c r="AL57" s="115"/>
      <c r="AM57" s="115"/>
      <c r="AN57" s="116"/>
    </row>
    <row r="58" spans="1:40" ht="19.5" customHeight="1" x14ac:dyDescent="0.2">
      <c r="A58" s="116"/>
      <c r="B58" s="118"/>
      <c r="C58" s="119"/>
      <c r="D58" s="115"/>
      <c r="E58" s="115"/>
      <c r="F58" s="115"/>
      <c r="G58" s="115"/>
      <c r="H58" s="116"/>
      <c r="I58" s="113"/>
      <c r="J58" s="117"/>
      <c r="K58" s="115"/>
      <c r="L58" s="115"/>
      <c r="M58" s="115"/>
      <c r="N58" s="115"/>
      <c r="O58" s="115"/>
      <c r="P58" s="116"/>
      <c r="Q58" s="113"/>
      <c r="R58" s="117"/>
      <c r="S58" s="115"/>
      <c r="T58" s="115"/>
      <c r="U58" s="115"/>
      <c r="V58" s="115"/>
      <c r="W58" s="115"/>
      <c r="X58" s="116"/>
      <c r="Y58" s="113"/>
      <c r="Z58" s="117"/>
      <c r="AA58" s="115"/>
      <c r="AB58" s="115"/>
      <c r="AC58" s="115"/>
      <c r="AD58" s="115"/>
      <c r="AE58" s="115"/>
      <c r="AF58" s="116"/>
      <c r="AG58" s="113"/>
      <c r="AH58" s="117"/>
      <c r="AI58" s="115"/>
      <c r="AJ58" s="115"/>
      <c r="AK58" s="115"/>
      <c r="AL58" s="115"/>
      <c r="AM58" s="115"/>
      <c r="AN58" s="116"/>
    </row>
    <row r="59" spans="1:40" ht="19.5" customHeight="1" x14ac:dyDescent="0.2">
      <c r="A59" s="116"/>
      <c r="B59" s="118"/>
      <c r="C59" s="119"/>
      <c r="D59" s="115"/>
      <c r="E59" s="115"/>
      <c r="F59" s="115"/>
      <c r="G59" s="115"/>
      <c r="H59" s="116"/>
      <c r="I59" s="113"/>
      <c r="J59" s="117"/>
      <c r="K59" s="115"/>
      <c r="L59" s="115"/>
      <c r="M59" s="115"/>
      <c r="N59" s="115"/>
      <c r="O59" s="115"/>
      <c r="P59" s="116"/>
      <c r="Q59" s="113"/>
      <c r="R59" s="117"/>
      <c r="S59" s="115"/>
      <c r="T59" s="115"/>
      <c r="U59" s="115"/>
      <c r="V59" s="115"/>
      <c r="W59" s="115"/>
      <c r="X59" s="116"/>
      <c r="Y59" s="113"/>
      <c r="Z59" s="117"/>
      <c r="AA59" s="115"/>
      <c r="AB59" s="115"/>
      <c r="AC59" s="115"/>
      <c r="AD59" s="115"/>
      <c r="AE59" s="115"/>
      <c r="AF59" s="116"/>
      <c r="AG59" s="113"/>
      <c r="AH59" s="117"/>
      <c r="AI59" s="115"/>
      <c r="AJ59" s="115"/>
      <c r="AK59" s="115"/>
      <c r="AL59" s="115"/>
      <c r="AM59" s="115"/>
      <c r="AN59" s="116"/>
    </row>
    <row r="60" spans="1:40" ht="19.5" customHeight="1" x14ac:dyDescent="0.2">
      <c r="A60" s="116"/>
      <c r="B60" s="118"/>
      <c r="C60" s="119"/>
      <c r="D60" s="115"/>
      <c r="E60" s="115"/>
      <c r="F60" s="115"/>
      <c r="G60" s="115"/>
      <c r="H60" s="116"/>
      <c r="I60" s="113"/>
      <c r="J60" s="117"/>
      <c r="K60" s="115"/>
      <c r="L60" s="115"/>
      <c r="M60" s="115"/>
      <c r="N60" s="115"/>
      <c r="O60" s="115"/>
      <c r="P60" s="116"/>
      <c r="Q60" s="113"/>
      <c r="R60" s="117"/>
      <c r="S60" s="115"/>
      <c r="T60" s="115"/>
      <c r="U60" s="115"/>
      <c r="V60" s="115"/>
      <c r="W60" s="115"/>
      <c r="X60" s="116"/>
      <c r="Y60" s="113"/>
      <c r="Z60" s="117"/>
      <c r="AA60" s="115"/>
      <c r="AB60" s="115"/>
      <c r="AC60" s="115"/>
      <c r="AD60" s="115"/>
      <c r="AE60" s="115"/>
      <c r="AF60" s="116"/>
      <c r="AG60" s="113"/>
      <c r="AH60" s="117"/>
      <c r="AI60" s="115"/>
      <c r="AJ60" s="115"/>
      <c r="AK60" s="115"/>
      <c r="AL60" s="115"/>
      <c r="AM60" s="115"/>
      <c r="AN60" s="116"/>
    </row>
    <row r="61" spans="1:40" ht="19.5" customHeight="1" x14ac:dyDescent="0.2">
      <c r="A61" s="116"/>
      <c r="B61" s="118"/>
      <c r="C61" s="119"/>
      <c r="D61" s="115"/>
      <c r="E61" s="115"/>
      <c r="F61" s="115"/>
      <c r="G61" s="115"/>
      <c r="H61" s="116"/>
      <c r="I61" s="113"/>
      <c r="J61" s="117"/>
      <c r="K61" s="115"/>
      <c r="L61" s="115"/>
      <c r="M61" s="115"/>
      <c r="N61" s="115"/>
      <c r="O61" s="115"/>
      <c r="P61" s="116"/>
      <c r="Q61" s="113"/>
      <c r="R61" s="117"/>
      <c r="S61" s="115"/>
      <c r="T61" s="115"/>
      <c r="U61" s="115"/>
      <c r="V61" s="115"/>
      <c r="W61" s="115"/>
      <c r="X61" s="116"/>
      <c r="Y61" s="113"/>
      <c r="Z61" s="117"/>
      <c r="AA61" s="115"/>
      <c r="AB61" s="115"/>
      <c r="AC61" s="115"/>
      <c r="AD61" s="115"/>
      <c r="AE61" s="115"/>
      <c r="AF61" s="116"/>
      <c r="AG61" s="113"/>
      <c r="AH61" s="117"/>
      <c r="AI61" s="115"/>
      <c r="AJ61" s="115"/>
      <c r="AK61" s="115"/>
      <c r="AL61" s="115"/>
      <c r="AM61" s="115"/>
      <c r="AN61" s="116"/>
    </row>
    <row r="62" spans="1:40" ht="17.100000000000001" customHeight="1" x14ac:dyDescent="0.2">
      <c r="A62" s="116"/>
      <c r="B62" s="117"/>
      <c r="C62" s="115"/>
      <c r="D62" s="115"/>
      <c r="E62" s="115"/>
      <c r="F62" s="115"/>
      <c r="G62" s="115"/>
      <c r="H62" s="116"/>
      <c r="I62" s="113"/>
      <c r="J62" s="117"/>
      <c r="K62" s="115"/>
      <c r="L62" s="115"/>
      <c r="M62" s="115"/>
      <c r="N62" s="115"/>
      <c r="O62" s="115"/>
      <c r="P62" s="116"/>
      <c r="Q62" s="113"/>
      <c r="R62" s="117"/>
      <c r="S62" s="115"/>
      <c r="T62" s="115"/>
      <c r="U62" s="115"/>
      <c r="V62" s="115"/>
      <c r="W62" s="115"/>
      <c r="X62" s="116"/>
      <c r="Y62" s="113"/>
      <c r="Z62" s="117"/>
      <c r="AA62" s="115"/>
      <c r="AB62" s="115"/>
      <c r="AC62" s="115"/>
      <c r="AD62" s="115"/>
      <c r="AE62" s="115"/>
      <c r="AF62" s="116"/>
      <c r="AG62" s="113"/>
      <c r="AH62" s="117"/>
      <c r="AI62" s="115"/>
      <c r="AJ62" s="115"/>
      <c r="AK62" s="115"/>
      <c r="AL62" s="115"/>
      <c r="AM62" s="115"/>
      <c r="AN62" s="116"/>
    </row>
    <row r="63" spans="1:40" ht="17.100000000000001" customHeight="1" x14ac:dyDescent="0.2">
      <c r="A63" s="116"/>
      <c r="B63" s="117"/>
      <c r="C63" s="115"/>
      <c r="D63" s="115"/>
      <c r="E63" s="115"/>
      <c r="F63" s="115"/>
      <c r="G63" s="115"/>
      <c r="H63" s="116"/>
      <c r="I63" s="113"/>
      <c r="J63" s="117"/>
      <c r="K63" s="115"/>
      <c r="L63" s="115"/>
      <c r="M63" s="115"/>
      <c r="N63" s="115"/>
      <c r="O63" s="115"/>
      <c r="P63" s="116"/>
      <c r="Q63" s="113"/>
      <c r="R63" s="117"/>
      <c r="S63" s="115"/>
      <c r="T63" s="115"/>
      <c r="U63" s="115"/>
      <c r="V63" s="115"/>
      <c r="W63" s="115"/>
      <c r="X63" s="116"/>
      <c r="Y63" s="113"/>
      <c r="Z63" s="117"/>
      <c r="AA63" s="115"/>
      <c r="AB63" s="115"/>
      <c r="AC63" s="115"/>
      <c r="AD63" s="115"/>
      <c r="AE63" s="115"/>
      <c r="AF63" s="116"/>
      <c r="AG63" s="113"/>
      <c r="AH63" s="117"/>
      <c r="AI63" s="115"/>
      <c r="AJ63" s="115"/>
      <c r="AK63" s="115"/>
      <c r="AL63" s="115"/>
      <c r="AM63" s="115"/>
      <c r="AN63" s="116"/>
    </row>
    <row r="64" spans="1:40" ht="17.100000000000001" customHeight="1" x14ac:dyDescent="0.2">
      <c r="A64" s="116"/>
      <c r="B64" s="117"/>
      <c r="C64" s="115"/>
      <c r="D64" s="115"/>
      <c r="E64" s="115"/>
      <c r="F64" s="115"/>
      <c r="G64" s="115"/>
      <c r="H64" s="116"/>
      <c r="I64" s="113"/>
      <c r="J64" s="117"/>
      <c r="K64" s="115"/>
      <c r="L64" s="115"/>
      <c r="M64" s="115"/>
      <c r="N64" s="115"/>
      <c r="O64" s="115"/>
      <c r="P64" s="116"/>
      <c r="Q64" s="113"/>
      <c r="R64" s="117"/>
      <c r="S64" s="115"/>
      <c r="T64" s="115"/>
      <c r="U64" s="115"/>
      <c r="V64" s="115"/>
      <c r="W64" s="115"/>
      <c r="X64" s="116"/>
      <c r="Y64" s="113"/>
      <c r="Z64" s="117"/>
      <c r="AA64" s="115"/>
      <c r="AB64" s="115"/>
      <c r="AC64" s="115"/>
      <c r="AD64" s="115"/>
      <c r="AE64" s="115"/>
      <c r="AF64" s="116"/>
      <c r="AG64" s="113"/>
      <c r="AH64" s="117"/>
      <c r="AI64" s="115"/>
      <c r="AJ64" s="115"/>
      <c r="AK64" s="115"/>
      <c r="AL64" s="115"/>
      <c r="AM64" s="115"/>
      <c r="AN64" s="116"/>
    </row>
    <row r="65" spans="1:40" ht="17.100000000000001" customHeight="1" x14ac:dyDescent="0.2">
      <c r="A65" s="116"/>
      <c r="B65" s="117"/>
      <c r="C65" s="115"/>
      <c r="D65" s="115"/>
      <c r="E65" s="115"/>
      <c r="F65" s="115"/>
      <c r="G65" s="115"/>
      <c r="H65" s="116"/>
      <c r="I65" s="113"/>
      <c r="J65" s="117"/>
      <c r="K65" s="115"/>
      <c r="L65" s="115"/>
      <c r="M65" s="115"/>
      <c r="N65" s="115"/>
      <c r="O65" s="115"/>
      <c r="P65" s="116"/>
      <c r="Q65" s="113"/>
      <c r="R65" s="117"/>
      <c r="S65" s="115"/>
      <c r="T65" s="115"/>
      <c r="U65" s="115"/>
      <c r="V65" s="115"/>
      <c r="W65" s="115"/>
      <c r="X65" s="116"/>
      <c r="Y65" s="113"/>
      <c r="Z65" s="117"/>
      <c r="AA65" s="115"/>
      <c r="AB65" s="115"/>
      <c r="AC65" s="115"/>
      <c r="AD65" s="115"/>
      <c r="AE65" s="115"/>
      <c r="AF65" s="116"/>
      <c r="AG65" s="113"/>
      <c r="AH65" s="117"/>
      <c r="AI65" s="115"/>
      <c r="AJ65" s="115"/>
      <c r="AK65" s="115"/>
      <c r="AL65" s="115"/>
      <c r="AM65" s="115"/>
      <c r="AN65" s="116"/>
    </row>
    <row r="66" spans="1:40" ht="17.100000000000001" customHeight="1" x14ac:dyDescent="0.2">
      <c r="A66" s="116"/>
      <c r="B66" s="117"/>
      <c r="C66" s="115"/>
      <c r="D66" s="115"/>
      <c r="E66" s="115"/>
      <c r="F66" s="115"/>
      <c r="G66" s="115"/>
      <c r="H66" s="116"/>
      <c r="I66" s="113"/>
      <c r="J66" s="117"/>
      <c r="K66" s="115"/>
      <c r="L66" s="115"/>
      <c r="M66" s="115"/>
      <c r="N66" s="115"/>
      <c r="O66" s="115"/>
      <c r="P66" s="116"/>
      <c r="Q66" s="113"/>
      <c r="R66" s="117"/>
      <c r="S66" s="115"/>
      <c r="T66" s="115"/>
      <c r="U66" s="115"/>
      <c r="V66" s="115"/>
      <c r="W66" s="115"/>
      <c r="X66" s="116"/>
      <c r="Y66" s="113"/>
      <c r="Z66" s="117"/>
      <c r="AA66" s="115"/>
      <c r="AB66" s="115"/>
      <c r="AC66" s="115"/>
      <c r="AD66" s="115"/>
      <c r="AE66" s="115"/>
      <c r="AF66" s="116"/>
      <c r="AG66" s="113"/>
      <c r="AH66" s="117"/>
      <c r="AI66" s="115"/>
      <c r="AJ66" s="115"/>
      <c r="AK66" s="115"/>
      <c r="AL66" s="115"/>
      <c r="AM66" s="115"/>
      <c r="AN66" s="116"/>
    </row>
    <row r="67" spans="1:40" ht="17.100000000000001" customHeight="1" x14ac:dyDescent="0.2">
      <c r="A67" s="116"/>
      <c r="B67" s="117"/>
      <c r="C67" s="115"/>
      <c r="D67" s="115"/>
      <c r="E67" s="115"/>
      <c r="F67" s="115"/>
      <c r="G67" s="115"/>
      <c r="H67" s="116"/>
      <c r="I67" s="113"/>
      <c r="J67" s="117"/>
      <c r="K67" s="115"/>
      <c r="L67" s="115"/>
      <c r="M67" s="115"/>
      <c r="N67" s="115"/>
      <c r="O67" s="115"/>
      <c r="P67" s="116"/>
      <c r="Q67" s="113"/>
      <c r="R67" s="117"/>
      <c r="S67" s="115"/>
      <c r="T67" s="115"/>
      <c r="U67" s="115"/>
      <c r="V67" s="115"/>
      <c r="W67" s="115"/>
      <c r="X67" s="116"/>
      <c r="Y67" s="113"/>
      <c r="Z67" s="117"/>
      <c r="AA67" s="115"/>
      <c r="AB67" s="115"/>
      <c r="AC67" s="115"/>
      <c r="AD67" s="115"/>
      <c r="AE67" s="115"/>
      <c r="AF67" s="116"/>
      <c r="AG67" s="113"/>
      <c r="AH67" s="117"/>
      <c r="AI67" s="115"/>
      <c r="AJ67" s="115"/>
      <c r="AK67" s="115"/>
      <c r="AL67" s="115"/>
      <c r="AM67" s="115"/>
      <c r="AN67" s="116"/>
    </row>
    <row r="68" spans="1:40" ht="17.100000000000001" customHeight="1" x14ac:dyDescent="0.2">
      <c r="A68" s="116"/>
      <c r="B68" s="117"/>
      <c r="C68" s="115"/>
      <c r="D68" s="115"/>
      <c r="E68" s="115"/>
      <c r="F68" s="115"/>
      <c r="G68" s="115"/>
      <c r="H68" s="116"/>
      <c r="I68" s="113"/>
      <c r="J68" s="117"/>
      <c r="K68" s="115"/>
      <c r="L68" s="115"/>
      <c r="M68" s="115"/>
      <c r="N68" s="115"/>
      <c r="O68" s="115"/>
      <c r="P68" s="116"/>
      <c r="Q68" s="113"/>
      <c r="R68" s="117"/>
      <c r="S68" s="115"/>
      <c r="T68" s="115"/>
      <c r="U68" s="115"/>
      <c r="V68" s="115"/>
      <c r="W68" s="115"/>
      <c r="X68" s="116"/>
      <c r="Y68" s="113"/>
      <c r="Z68" s="117"/>
      <c r="AA68" s="115"/>
      <c r="AB68" s="115"/>
      <c r="AC68" s="115"/>
      <c r="AD68" s="115"/>
      <c r="AE68" s="115"/>
      <c r="AF68" s="116"/>
      <c r="AG68" s="113"/>
      <c r="AH68" s="117"/>
      <c r="AI68" s="115"/>
      <c r="AJ68" s="115"/>
      <c r="AK68" s="115"/>
      <c r="AL68" s="115"/>
      <c r="AM68" s="115"/>
      <c r="AN68" s="116"/>
    </row>
    <row r="69" spans="1:40" ht="17.100000000000001" customHeight="1" x14ac:dyDescent="0.2">
      <c r="A69" s="116"/>
      <c r="B69" s="117"/>
      <c r="C69" s="115"/>
      <c r="D69" s="115"/>
      <c r="E69" s="115"/>
      <c r="F69" s="115"/>
      <c r="G69" s="115"/>
      <c r="H69" s="116"/>
      <c r="I69" s="113"/>
      <c r="J69" s="117"/>
      <c r="K69" s="115"/>
      <c r="L69" s="115"/>
      <c r="M69" s="115"/>
      <c r="N69" s="115"/>
      <c r="O69" s="115"/>
      <c r="P69" s="116"/>
      <c r="Q69" s="113"/>
      <c r="R69" s="117"/>
      <c r="S69" s="115"/>
      <c r="T69" s="115"/>
      <c r="U69" s="115"/>
      <c r="V69" s="115"/>
      <c r="W69" s="115"/>
      <c r="X69" s="116"/>
      <c r="Y69" s="113"/>
      <c r="Z69" s="117"/>
      <c r="AA69" s="115"/>
      <c r="AB69" s="115"/>
      <c r="AC69" s="115"/>
      <c r="AD69" s="115"/>
      <c r="AE69" s="115"/>
      <c r="AF69" s="116"/>
      <c r="AG69" s="113"/>
      <c r="AH69" s="117"/>
      <c r="AI69" s="115"/>
      <c r="AJ69" s="115"/>
      <c r="AK69" s="115"/>
      <c r="AL69" s="115"/>
      <c r="AM69" s="115"/>
      <c r="AN69" s="116"/>
    </row>
    <row r="70" spans="1:40" ht="17.100000000000001" customHeight="1" x14ac:dyDescent="0.2">
      <c r="A70" s="116"/>
      <c r="B70" s="117"/>
      <c r="C70" s="115"/>
      <c r="D70" s="115"/>
      <c r="E70" s="115"/>
      <c r="F70" s="115"/>
      <c r="G70" s="115"/>
      <c r="H70" s="116"/>
      <c r="I70" s="113"/>
      <c r="J70" s="117"/>
      <c r="K70" s="115"/>
      <c r="L70" s="115"/>
      <c r="M70" s="115"/>
      <c r="N70" s="115"/>
      <c r="O70" s="115"/>
      <c r="P70" s="116"/>
      <c r="Q70" s="113"/>
      <c r="R70" s="117"/>
      <c r="S70" s="115"/>
      <c r="T70" s="115"/>
      <c r="U70" s="115"/>
      <c r="V70" s="115"/>
      <c r="W70" s="115"/>
      <c r="X70" s="116"/>
      <c r="Y70" s="113"/>
      <c r="Z70" s="117"/>
      <c r="AA70" s="115"/>
      <c r="AB70" s="115"/>
      <c r="AC70" s="115"/>
      <c r="AD70" s="115"/>
      <c r="AE70" s="115"/>
      <c r="AF70" s="116"/>
      <c r="AG70" s="113"/>
      <c r="AH70" s="117"/>
      <c r="AI70" s="115"/>
      <c r="AJ70" s="115"/>
      <c r="AK70" s="115"/>
      <c r="AL70" s="115"/>
      <c r="AM70" s="115"/>
      <c r="AN70" s="116"/>
    </row>
    <row r="71" spans="1:40" ht="17.100000000000001" customHeight="1" x14ac:dyDescent="0.2">
      <c r="A71" s="116"/>
      <c r="B71" s="117"/>
      <c r="C71" s="115"/>
      <c r="D71" s="115"/>
      <c r="E71" s="115"/>
      <c r="F71" s="115"/>
      <c r="G71" s="115"/>
      <c r="H71" s="116"/>
      <c r="I71" s="113"/>
      <c r="J71" s="117"/>
      <c r="K71" s="115"/>
      <c r="L71" s="115"/>
      <c r="M71" s="115"/>
      <c r="N71" s="115"/>
      <c r="O71" s="115"/>
      <c r="P71" s="116"/>
      <c r="Q71" s="113"/>
      <c r="R71" s="117"/>
      <c r="S71" s="115"/>
      <c r="T71" s="115"/>
      <c r="U71" s="115"/>
      <c r="V71" s="115"/>
      <c r="W71" s="115"/>
      <c r="X71" s="116"/>
      <c r="Y71" s="113"/>
      <c r="Z71" s="117"/>
      <c r="AA71" s="115"/>
      <c r="AB71" s="115"/>
      <c r="AC71" s="115"/>
      <c r="AD71" s="115"/>
      <c r="AE71" s="115"/>
      <c r="AF71" s="116"/>
      <c r="AG71" s="113"/>
      <c r="AH71" s="117"/>
      <c r="AI71" s="115"/>
      <c r="AJ71" s="115"/>
      <c r="AK71" s="115"/>
      <c r="AL71" s="115"/>
      <c r="AM71" s="115"/>
      <c r="AN71" s="116"/>
    </row>
    <row r="72" spans="1:40" ht="17.100000000000001" customHeight="1" x14ac:dyDescent="0.2">
      <c r="A72" s="116"/>
      <c r="B72" s="117"/>
      <c r="C72" s="115"/>
      <c r="D72" s="115"/>
      <c r="E72" s="115"/>
      <c r="F72" s="115"/>
      <c r="G72" s="115"/>
      <c r="H72" s="116"/>
      <c r="I72" s="113"/>
      <c r="J72" s="117"/>
      <c r="K72" s="115"/>
      <c r="L72" s="115"/>
      <c r="M72" s="115"/>
      <c r="N72" s="115"/>
      <c r="O72" s="115"/>
      <c r="P72" s="116"/>
      <c r="Q72" s="113"/>
      <c r="R72" s="117"/>
      <c r="S72" s="115"/>
      <c r="T72" s="115"/>
      <c r="U72" s="115"/>
      <c r="V72" s="115"/>
      <c r="W72" s="115"/>
      <c r="X72" s="116"/>
      <c r="Y72" s="113"/>
      <c r="Z72" s="117"/>
      <c r="AA72" s="115"/>
      <c r="AB72" s="115"/>
      <c r="AC72" s="115"/>
      <c r="AD72" s="115"/>
      <c r="AE72" s="115"/>
      <c r="AF72" s="116"/>
      <c r="AG72" s="113"/>
      <c r="AH72" s="117"/>
      <c r="AI72" s="115"/>
      <c r="AJ72" s="115"/>
      <c r="AK72" s="115"/>
      <c r="AL72" s="115"/>
      <c r="AM72" s="115"/>
      <c r="AN72" s="116"/>
    </row>
    <row r="73" spans="1:40" ht="17.100000000000001" customHeight="1" x14ac:dyDescent="0.2">
      <c r="A73" s="116"/>
      <c r="B73" s="117"/>
      <c r="C73" s="115"/>
      <c r="D73" s="115"/>
      <c r="E73" s="115"/>
      <c r="F73" s="115"/>
      <c r="G73" s="115"/>
      <c r="H73" s="116"/>
      <c r="I73" s="113"/>
      <c r="J73" s="117"/>
      <c r="K73" s="115"/>
      <c r="L73" s="115"/>
      <c r="M73" s="115"/>
      <c r="N73" s="115"/>
      <c r="O73" s="115"/>
      <c r="P73" s="116"/>
      <c r="Q73" s="113"/>
      <c r="R73" s="117"/>
      <c r="S73" s="115"/>
      <c r="T73" s="115"/>
      <c r="U73" s="115"/>
      <c r="V73" s="115"/>
      <c r="W73" s="115"/>
      <c r="X73" s="116"/>
      <c r="Y73" s="113"/>
      <c r="Z73" s="117"/>
      <c r="AA73" s="115"/>
      <c r="AB73" s="115"/>
      <c r="AC73" s="115"/>
      <c r="AD73" s="115"/>
      <c r="AE73" s="115"/>
      <c r="AF73" s="116"/>
      <c r="AG73" s="113"/>
      <c r="AH73" s="117"/>
      <c r="AI73" s="115"/>
      <c r="AJ73" s="115"/>
      <c r="AK73" s="115"/>
      <c r="AL73" s="115"/>
      <c r="AM73" s="115"/>
      <c r="AN73" s="116"/>
    </row>
    <row r="74" spans="1:40" ht="17.100000000000001" customHeight="1" x14ac:dyDescent="0.2">
      <c r="A74" s="116"/>
      <c r="B74" s="117"/>
      <c r="C74" s="115"/>
      <c r="D74" s="115"/>
      <c r="E74" s="115"/>
      <c r="F74" s="115"/>
      <c r="G74" s="115"/>
      <c r="H74" s="116"/>
      <c r="I74" s="113"/>
      <c r="J74" s="117"/>
      <c r="K74" s="115"/>
      <c r="L74" s="115"/>
      <c r="M74" s="115"/>
      <c r="N74" s="115"/>
      <c r="O74" s="115"/>
      <c r="P74" s="116"/>
      <c r="Q74" s="113"/>
      <c r="R74" s="117"/>
      <c r="S74" s="115"/>
      <c r="T74" s="115"/>
      <c r="U74" s="115"/>
      <c r="V74" s="115"/>
      <c r="W74" s="115"/>
      <c r="X74" s="116"/>
      <c r="Y74" s="113"/>
      <c r="Z74" s="117"/>
      <c r="AA74" s="115"/>
      <c r="AB74" s="115"/>
      <c r="AC74" s="115"/>
      <c r="AD74" s="115"/>
      <c r="AE74" s="115"/>
      <c r="AF74" s="116"/>
      <c r="AG74" s="113"/>
      <c r="AH74" s="117"/>
      <c r="AI74" s="115"/>
      <c r="AJ74" s="115"/>
      <c r="AK74" s="115"/>
      <c r="AL74" s="115"/>
      <c r="AM74" s="115"/>
      <c r="AN74" s="116"/>
    </row>
    <row r="75" spans="1:40" ht="17.100000000000001" customHeight="1" x14ac:dyDescent="0.2">
      <c r="A75" s="116"/>
      <c r="B75" s="117"/>
      <c r="C75" s="115"/>
      <c r="D75" s="115"/>
      <c r="E75" s="115"/>
      <c r="F75" s="115"/>
      <c r="G75" s="115"/>
      <c r="H75" s="116"/>
      <c r="I75" s="113"/>
      <c r="J75" s="117"/>
      <c r="K75" s="115"/>
      <c r="L75" s="115"/>
      <c r="M75" s="115"/>
      <c r="N75" s="115"/>
      <c r="O75" s="115"/>
      <c r="P75" s="116"/>
      <c r="Q75" s="113"/>
      <c r="R75" s="117"/>
      <c r="S75" s="115"/>
      <c r="T75" s="115"/>
      <c r="U75" s="115"/>
      <c r="V75" s="115"/>
      <c r="W75" s="115"/>
      <c r="X75" s="116"/>
      <c r="Y75" s="113"/>
      <c r="Z75" s="117"/>
      <c r="AA75" s="115"/>
      <c r="AB75" s="115"/>
      <c r="AC75" s="115"/>
      <c r="AD75" s="115"/>
      <c r="AE75" s="115"/>
      <c r="AF75" s="116"/>
      <c r="AG75" s="113"/>
      <c r="AH75" s="117"/>
      <c r="AI75" s="115"/>
      <c r="AJ75" s="115"/>
      <c r="AK75" s="115"/>
      <c r="AL75" s="115"/>
      <c r="AM75" s="115"/>
      <c r="AN75" s="116"/>
    </row>
    <row r="76" spans="1:40" ht="17.100000000000001" customHeight="1" x14ac:dyDescent="0.2">
      <c r="A76" s="116"/>
      <c r="B76" s="117"/>
      <c r="C76" s="115"/>
      <c r="D76" s="115"/>
      <c r="E76" s="115"/>
      <c r="F76" s="115"/>
      <c r="G76" s="115"/>
      <c r="H76" s="116"/>
      <c r="I76" s="113"/>
      <c r="J76" s="117"/>
      <c r="K76" s="115"/>
      <c r="L76" s="115"/>
      <c r="M76" s="115"/>
      <c r="N76" s="115"/>
      <c r="O76" s="115"/>
      <c r="P76" s="116"/>
      <c r="Q76" s="113"/>
      <c r="R76" s="117"/>
      <c r="S76" s="115"/>
      <c r="T76" s="115"/>
      <c r="U76" s="115"/>
      <c r="V76" s="115"/>
      <c r="W76" s="115"/>
      <c r="X76" s="116"/>
      <c r="Y76" s="113"/>
      <c r="Z76" s="117"/>
      <c r="AA76" s="115"/>
      <c r="AB76" s="115"/>
      <c r="AC76" s="115"/>
      <c r="AD76" s="115"/>
      <c r="AE76" s="115"/>
      <c r="AF76" s="116"/>
      <c r="AG76" s="113"/>
      <c r="AH76" s="117"/>
      <c r="AI76" s="115"/>
      <c r="AJ76" s="115"/>
      <c r="AK76" s="115"/>
      <c r="AL76" s="115"/>
      <c r="AM76" s="115"/>
      <c r="AN76" s="116"/>
    </row>
    <row r="77" spans="1:40" ht="17.100000000000001" customHeight="1" x14ac:dyDescent="0.2">
      <c r="A77" s="116"/>
      <c r="B77" s="117"/>
      <c r="C77" s="115"/>
      <c r="D77" s="115"/>
      <c r="E77" s="115"/>
      <c r="F77" s="115"/>
      <c r="G77" s="115"/>
      <c r="H77" s="116"/>
      <c r="I77" s="113"/>
      <c r="J77" s="117"/>
      <c r="K77" s="115"/>
      <c r="L77" s="115"/>
      <c r="M77" s="115"/>
      <c r="N77" s="115"/>
      <c r="O77" s="115"/>
      <c r="P77" s="116"/>
      <c r="Q77" s="113"/>
      <c r="R77" s="117"/>
      <c r="S77" s="115"/>
      <c r="T77" s="115"/>
      <c r="U77" s="115"/>
      <c r="V77" s="115"/>
      <c r="W77" s="115"/>
      <c r="X77" s="116"/>
      <c r="Y77" s="113"/>
      <c r="Z77" s="117"/>
      <c r="AA77" s="115"/>
      <c r="AB77" s="115"/>
      <c r="AC77" s="115"/>
      <c r="AD77" s="115"/>
      <c r="AE77" s="115"/>
      <c r="AF77" s="116"/>
      <c r="AG77" s="113"/>
      <c r="AH77" s="117"/>
      <c r="AI77" s="115"/>
      <c r="AJ77" s="115"/>
      <c r="AK77" s="115"/>
      <c r="AL77" s="115"/>
      <c r="AM77" s="115"/>
      <c r="AN77" s="116"/>
    </row>
    <row r="78" spans="1:40" ht="17.100000000000001" customHeight="1" x14ac:dyDescent="0.2">
      <c r="A78" s="116"/>
      <c r="B78" s="117"/>
      <c r="C78" s="115"/>
      <c r="D78" s="115"/>
      <c r="E78" s="115"/>
      <c r="F78" s="115"/>
      <c r="G78" s="115"/>
      <c r="H78" s="116"/>
      <c r="I78" s="113"/>
      <c r="J78" s="117"/>
      <c r="K78" s="115"/>
      <c r="L78" s="115"/>
      <c r="M78" s="115"/>
      <c r="N78" s="115"/>
      <c r="O78" s="115"/>
      <c r="P78" s="116"/>
      <c r="Q78" s="113"/>
      <c r="R78" s="117"/>
      <c r="S78" s="115"/>
      <c r="T78" s="115"/>
      <c r="U78" s="115"/>
      <c r="V78" s="115"/>
      <c r="W78" s="115"/>
      <c r="X78" s="116"/>
      <c r="Y78" s="113"/>
      <c r="Z78" s="117"/>
      <c r="AA78" s="115"/>
      <c r="AB78" s="115"/>
      <c r="AC78" s="115"/>
      <c r="AD78" s="115"/>
      <c r="AE78" s="115"/>
      <c r="AF78" s="116"/>
      <c r="AG78" s="113"/>
      <c r="AH78" s="117"/>
      <c r="AI78" s="115"/>
      <c r="AJ78" s="115"/>
      <c r="AK78" s="115"/>
      <c r="AL78" s="115"/>
      <c r="AM78" s="115"/>
      <c r="AN78" s="116"/>
    </row>
    <row r="79" spans="1:40" ht="17.100000000000001" customHeight="1" x14ac:dyDescent="0.2">
      <c r="A79" s="116"/>
      <c r="B79" s="117"/>
      <c r="C79" s="115"/>
      <c r="D79" s="115"/>
      <c r="E79" s="115"/>
      <c r="F79" s="115"/>
      <c r="G79" s="115"/>
      <c r="H79" s="116"/>
      <c r="I79" s="113"/>
      <c r="J79" s="117"/>
      <c r="K79" s="115"/>
      <c r="L79" s="115"/>
      <c r="M79" s="115"/>
      <c r="N79" s="115"/>
      <c r="O79" s="115"/>
      <c r="P79" s="116"/>
      <c r="Q79" s="113"/>
      <c r="R79" s="117"/>
      <c r="S79" s="115"/>
      <c r="T79" s="115"/>
      <c r="U79" s="115"/>
      <c r="V79" s="115"/>
      <c r="W79" s="115"/>
      <c r="X79" s="116"/>
      <c r="Y79" s="113"/>
      <c r="Z79" s="117"/>
      <c r="AA79" s="115"/>
      <c r="AB79" s="115"/>
      <c r="AC79" s="115"/>
      <c r="AD79" s="115"/>
      <c r="AE79" s="115"/>
      <c r="AF79" s="116"/>
      <c r="AG79" s="113"/>
      <c r="AH79" s="117"/>
      <c r="AI79" s="115"/>
      <c r="AJ79" s="115"/>
      <c r="AK79" s="115"/>
      <c r="AL79" s="115"/>
      <c r="AM79" s="115"/>
      <c r="AN79" s="116"/>
    </row>
    <row r="80" spans="1:40" ht="17.100000000000001" customHeight="1" x14ac:dyDescent="0.2">
      <c r="A80" s="116"/>
      <c r="B80" s="117"/>
      <c r="C80" s="115"/>
      <c r="D80" s="115"/>
      <c r="E80" s="115"/>
      <c r="F80" s="115"/>
      <c r="G80" s="115"/>
      <c r="H80" s="116"/>
      <c r="I80" s="113"/>
      <c r="J80" s="117"/>
      <c r="K80" s="115"/>
      <c r="L80" s="115"/>
      <c r="M80" s="115"/>
      <c r="N80" s="115"/>
      <c r="O80" s="115"/>
      <c r="P80" s="116"/>
      <c r="Q80" s="113"/>
      <c r="R80" s="117"/>
      <c r="S80" s="115"/>
      <c r="T80" s="115"/>
      <c r="U80" s="115"/>
      <c r="V80" s="115"/>
      <c r="W80" s="115"/>
      <c r="X80" s="116"/>
      <c r="Y80" s="113"/>
      <c r="Z80" s="117"/>
      <c r="AA80" s="115"/>
      <c r="AB80" s="115"/>
      <c r="AC80" s="115"/>
      <c r="AD80" s="115"/>
      <c r="AE80" s="115"/>
      <c r="AF80" s="116"/>
      <c r="AG80" s="113"/>
      <c r="AH80" s="117"/>
      <c r="AI80" s="115"/>
      <c r="AJ80" s="115"/>
      <c r="AK80" s="115"/>
      <c r="AL80" s="115"/>
      <c r="AM80" s="115"/>
      <c r="AN80" s="116"/>
    </row>
    <row r="81" spans="1:40" ht="17.100000000000001" customHeight="1" x14ac:dyDescent="0.2">
      <c r="A81" s="116"/>
      <c r="B81" s="117"/>
      <c r="C81" s="115"/>
      <c r="D81" s="115"/>
      <c r="E81" s="115"/>
      <c r="F81" s="115"/>
      <c r="G81" s="115"/>
      <c r="H81" s="116"/>
      <c r="I81" s="113"/>
      <c r="J81" s="117"/>
      <c r="K81" s="115"/>
      <c r="L81" s="115"/>
      <c r="M81" s="115"/>
      <c r="N81" s="115"/>
      <c r="O81" s="115"/>
      <c r="P81" s="116"/>
      <c r="Q81" s="113"/>
      <c r="R81" s="117"/>
      <c r="S81" s="115"/>
      <c r="T81" s="115"/>
      <c r="U81" s="115"/>
      <c r="V81" s="115"/>
      <c r="W81" s="115"/>
      <c r="X81" s="116"/>
      <c r="Y81" s="113"/>
      <c r="Z81" s="117"/>
      <c r="AA81" s="115"/>
      <c r="AB81" s="115"/>
      <c r="AC81" s="115"/>
      <c r="AD81" s="115"/>
      <c r="AE81" s="115"/>
      <c r="AF81" s="116"/>
      <c r="AG81" s="113"/>
      <c r="AH81" s="117"/>
      <c r="AI81" s="115"/>
      <c r="AJ81" s="115"/>
      <c r="AK81" s="115"/>
      <c r="AL81" s="115"/>
      <c r="AM81" s="115"/>
      <c r="AN81" s="116"/>
    </row>
    <row r="82" spans="1:40" ht="17.100000000000001" customHeight="1" x14ac:dyDescent="0.2">
      <c r="A82" s="116"/>
      <c r="B82" s="117"/>
      <c r="C82" s="115"/>
      <c r="D82" s="115"/>
      <c r="E82" s="115"/>
      <c r="F82" s="115"/>
      <c r="G82" s="115"/>
      <c r="H82" s="116"/>
      <c r="I82" s="113"/>
      <c r="J82" s="117"/>
      <c r="K82" s="115"/>
      <c r="L82" s="115"/>
      <c r="M82" s="115"/>
      <c r="N82" s="115"/>
      <c r="O82" s="115"/>
      <c r="P82" s="116"/>
      <c r="Q82" s="113"/>
      <c r="R82" s="117"/>
      <c r="S82" s="115"/>
      <c r="T82" s="115"/>
      <c r="U82" s="115"/>
      <c r="V82" s="115"/>
      <c r="W82" s="115"/>
      <c r="X82" s="116"/>
      <c r="Y82" s="113"/>
      <c r="Z82" s="117"/>
      <c r="AA82" s="115"/>
      <c r="AB82" s="115"/>
      <c r="AC82" s="115"/>
      <c r="AD82" s="115"/>
      <c r="AE82" s="115"/>
      <c r="AF82" s="116"/>
      <c r="AG82" s="113"/>
      <c r="AH82" s="117"/>
      <c r="AI82" s="115"/>
      <c r="AJ82" s="115"/>
      <c r="AK82" s="115"/>
      <c r="AL82" s="115"/>
      <c r="AM82" s="115"/>
      <c r="AN82" s="116"/>
    </row>
    <row r="83" spans="1:40" ht="17.100000000000001" customHeight="1" x14ac:dyDescent="0.2">
      <c r="A83" s="116"/>
      <c r="B83" s="117"/>
      <c r="C83" s="115"/>
      <c r="D83" s="115"/>
      <c r="E83" s="115"/>
      <c r="F83" s="115"/>
      <c r="G83" s="115"/>
      <c r="H83" s="116"/>
      <c r="I83" s="113"/>
      <c r="J83" s="117"/>
      <c r="K83" s="115"/>
      <c r="L83" s="115"/>
      <c r="M83" s="115"/>
      <c r="N83" s="115"/>
      <c r="O83" s="115"/>
      <c r="P83" s="116"/>
      <c r="Q83" s="113"/>
      <c r="R83" s="117"/>
      <c r="S83" s="115"/>
      <c r="T83" s="115"/>
      <c r="U83" s="115"/>
      <c r="V83" s="115"/>
      <c r="W83" s="115"/>
      <c r="X83" s="116"/>
      <c r="Y83" s="113"/>
      <c r="Z83" s="117"/>
      <c r="AA83" s="115"/>
      <c r="AB83" s="115"/>
      <c r="AC83" s="115"/>
      <c r="AD83" s="115"/>
      <c r="AE83" s="115"/>
      <c r="AF83" s="116"/>
      <c r="AG83" s="113"/>
      <c r="AH83" s="117"/>
      <c r="AI83" s="115"/>
      <c r="AJ83" s="115"/>
      <c r="AK83" s="115"/>
      <c r="AL83" s="115"/>
      <c r="AM83" s="115"/>
      <c r="AN83" s="116"/>
    </row>
    <row r="84" spans="1:40" ht="17.100000000000001" customHeight="1" x14ac:dyDescent="0.2">
      <c r="A84" s="116"/>
      <c r="B84" s="117"/>
      <c r="C84" s="115"/>
      <c r="D84" s="115"/>
      <c r="E84" s="115"/>
      <c r="F84" s="115"/>
      <c r="G84" s="115"/>
      <c r="H84" s="116"/>
      <c r="I84" s="113"/>
      <c r="J84" s="117"/>
      <c r="K84" s="115"/>
      <c r="L84" s="115"/>
      <c r="M84" s="115"/>
      <c r="N84" s="115"/>
      <c r="O84" s="115"/>
      <c r="P84" s="116"/>
      <c r="Q84" s="113"/>
      <c r="R84" s="117"/>
      <c r="S84" s="115"/>
      <c r="T84" s="115"/>
      <c r="U84" s="115"/>
      <c r="V84" s="115"/>
      <c r="W84" s="115"/>
      <c r="X84" s="116"/>
      <c r="Y84" s="113"/>
      <c r="Z84" s="117"/>
      <c r="AA84" s="115"/>
      <c r="AB84" s="115"/>
      <c r="AC84" s="115"/>
      <c r="AD84" s="115"/>
      <c r="AE84" s="115"/>
      <c r="AF84" s="116"/>
      <c r="AG84" s="113"/>
      <c r="AH84" s="117"/>
      <c r="AI84" s="115"/>
      <c r="AJ84" s="115"/>
      <c r="AK84" s="115"/>
      <c r="AL84" s="115"/>
      <c r="AM84" s="115"/>
      <c r="AN84" s="116"/>
    </row>
    <row r="85" spans="1:40" ht="17.100000000000001" customHeight="1" x14ac:dyDescent="0.2">
      <c r="A85" s="116"/>
      <c r="B85" s="117"/>
      <c r="C85" s="115"/>
      <c r="D85" s="115"/>
      <c r="E85" s="115"/>
      <c r="F85" s="115"/>
      <c r="G85" s="115"/>
      <c r="H85" s="116"/>
      <c r="I85" s="113"/>
      <c r="J85" s="117"/>
      <c r="K85" s="115"/>
      <c r="L85" s="115"/>
      <c r="M85" s="115"/>
      <c r="N85" s="115"/>
      <c r="O85" s="115"/>
      <c r="P85" s="116"/>
      <c r="Q85" s="113"/>
      <c r="R85" s="117"/>
      <c r="S85" s="115"/>
      <c r="T85" s="115"/>
      <c r="U85" s="115"/>
      <c r="V85" s="115"/>
      <c r="W85" s="115"/>
      <c r="X85" s="116"/>
      <c r="Y85" s="113"/>
      <c r="Z85" s="117"/>
      <c r="AA85" s="115"/>
      <c r="AB85" s="115"/>
      <c r="AC85" s="115"/>
      <c r="AD85" s="115"/>
      <c r="AE85" s="115"/>
      <c r="AF85" s="116"/>
      <c r="AG85" s="113"/>
      <c r="AH85" s="117"/>
      <c r="AI85" s="115"/>
      <c r="AJ85" s="115"/>
      <c r="AK85" s="115"/>
      <c r="AL85" s="115"/>
      <c r="AM85" s="115"/>
      <c r="AN85" s="116"/>
    </row>
    <row r="86" spans="1:40" ht="17.100000000000001" customHeight="1" x14ac:dyDescent="0.2">
      <c r="A86" s="116"/>
      <c r="B86" s="117"/>
      <c r="C86" s="115"/>
      <c r="D86" s="115"/>
      <c r="E86" s="115"/>
      <c r="F86" s="115"/>
      <c r="G86" s="115"/>
      <c r="H86" s="116"/>
      <c r="I86" s="113"/>
      <c r="J86" s="117"/>
      <c r="K86" s="115"/>
      <c r="L86" s="115"/>
      <c r="M86" s="115"/>
      <c r="N86" s="115"/>
      <c r="O86" s="115"/>
      <c r="P86" s="116"/>
      <c r="Q86" s="113"/>
      <c r="R86" s="117"/>
      <c r="S86" s="115"/>
      <c r="T86" s="115"/>
      <c r="U86" s="115"/>
      <c r="V86" s="115"/>
      <c r="W86" s="115"/>
      <c r="X86" s="116"/>
      <c r="Y86" s="113"/>
      <c r="Z86" s="117"/>
      <c r="AA86" s="115"/>
      <c r="AB86" s="115"/>
      <c r="AC86" s="115"/>
      <c r="AD86" s="115"/>
      <c r="AE86" s="115"/>
      <c r="AF86" s="116"/>
      <c r="AG86" s="113"/>
      <c r="AH86" s="117"/>
      <c r="AI86" s="115"/>
      <c r="AJ86" s="115"/>
      <c r="AK86" s="115"/>
      <c r="AL86" s="115"/>
      <c r="AM86" s="115"/>
      <c r="AN86" s="116"/>
    </row>
    <row r="87" spans="1:40" ht="17.100000000000001" customHeight="1" x14ac:dyDescent="0.2">
      <c r="A87" s="116"/>
      <c r="B87" s="117"/>
      <c r="C87" s="115"/>
      <c r="D87" s="115"/>
      <c r="E87" s="115"/>
      <c r="F87" s="115"/>
      <c r="G87" s="115"/>
      <c r="H87" s="116"/>
      <c r="I87" s="113"/>
      <c r="J87" s="117"/>
      <c r="K87" s="115"/>
      <c r="L87" s="115"/>
      <c r="M87" s="115"/>
      <c r="N87" s="115"/>
      <c r="O87" s="115"/>
      <c r="P87" s="116"/>
      <c r="Q87" s="113"/>
      <c r="R87" s="117"/>
      <c r="S87" s="115"/>
      <c r="T87" s="115"/>
      <c r="U87" s="115"/>
      <c r="V87" s="115"/>
      <c r="W87" s="115"/>
      <c r="X87" s="116"/>
      <c r="Y87" s="113"/>
      <c r="Z87" s="117"/>
      <c r="AA87" s="115"/>
      <c r="AB87" s="115"/>
      <c r="AC87" s="115"/>
      <c r="AD87" s="115"/>
      <c r="AE87" s="115"/>
      <c r="AF87" s="116"/>
      <c r="AG87" s="113"/>
      <c r="AH87" s="117"/>
      <c r="AI87" s="115"/>
      <c r="AJ87" s="115"/>
      <c r="AK87" s="115"/>
      <c r="AL87" s="115"/>
      <c r="AM87" s="115"/>
      <c r="AN87" s="116"/>
    </row>
    <row r="88" spans="1:40" ht="17.100000000000001" customHeight="1" x14ac:dyDescent="0.2">
      <c r="A88" s="116"/>
      <c r="B88" s="117"/>
      <c r="C88" s="115"/>
      <c r="D88" s="115"/>
      <c r="E88" s="115"/>
      <c r="F88" s="115"/>
      <c r="G88" s="115"/>
      <c r="H88" s="116"/>
      <c r="I88" s="113"/>
      <c r="J88" s="117"/>
      <c r="K88" s="115"/>
      <c r="L88" s="115"/>
      <c r="M88" s="115"/>
      <c r="N88" s="115"/>
      <c r="O88" s="115"/>
      <c r="P88" s="116"/>
      <c r="Q88" s="113"/>
      <c r="R88" s="117"/>
      <c r="S88" s="115"/>
      <c r="T88" s="115"/>
      <c r="U88" s="115"/>
      <c r="V88" s="115"/>
      <c r="W88" s="115"/>
      <c r="X88" s="116"/>
      <c r="Y88" s="113"/>
      <c r="Z88" s="117"/>
      <c r="AA88" s="115"/>
      <c r="AB88" s="115"/>
      <c r="AC88" s="115"/>
      <c r="AD88" s="115"/>
      <c r="AE88" s="115"/>
      <c r="AF88" s="116"/>
      <c r="AG88" s="113"/>
      <c r="AH88" s="117"/>
      <c r="AI88" s="115"/>
      <c r="AJ88" s="115"/>
      <c r="AK88" s="115"/>
      <c r="AL88" s="115"/>
      <c r="AM88" s="115"/>
      <c r="AN88" s="116"/>
    </row>
  </sheetData>
  <mergeCells count="55">
    <mergeCell ref="J35:O35"/>
    <mergeCell ref="Z21:AE21"/>
    <mergeCell ref="C16:C17"/>
    <mergeCell ref="AA6:AA7"/>
    <mergeCell ref="B35:G35"/>
    <mergeCell ref="B28:G28"/>
    <mergeCell ref="G8:G9"/>
    <mergeCell ref="S6:S7"/>
    <mergeCell ref="C6:C7"/>
    <mergeCell ref="B16:B17"/>
    <mergeCell ref="Z35:AE35"/>
    <mergeCell ref="S16:S17"/>
    <mergeCell ref="K6:K7"/>
    <mergeCell ref="S8:S9"/>
    <mergeCell ref="J28:O28"/>
    <mergeCell ref="B13:G13"/>
    <mergeCell ref="B1:H1"/>
    <mergeCell ref="AH28:AM28"/>
    <mergeCell ref="C8:C9"/>
    <mergeCell ref="Z13:AE13"/>
    <mergeCell ref="Z28:AE28"/>
    <mergeCell ref="AE8:AE9"/>
    <mergeCell ref="R13:W13"/>
    <mergeCell ref="Z3:AE3"/>
    <mergeCell ref="AH13:AM13"/>
    <mergeCell ref="K8:K9"/>
    <mergeCell ref="R3:W3"/>
    <mergeCell ref="J3:O3"/>
    <mergeCell ref="AG1:AN1"/>
    <mergeCell ref="AH3:AM3"/>
    <mergeCell ref="B3:G3"/>
    <mergeCell ref="Q1:X1"/>
    <mergeCell ref="I1:P1"/>
    <mergeCell ref="Y1:AF1"/>
    <mergeCell ref="J16:J17"/>
    <mergeCell ref="J13:O13"/>
    <mergeCell ref="O8:O9"/>
    <mergeCell ref="AA8:AA9"/>
    <mergeCell ref="AH35:AM35"/>
    <mergeCell ref="AA16:AA17"/>
    <mergeCell ref="Z16:Z17"/>
    <mergeCell ref="W8:W9"/>
    <mergeCell ref="R28:W28"/>
    <mergeCell ref="R35:W35"/>
    <mergeCell ref="R21:W21"/>
    <mergeCell ref="J21:O21"/>
    <mergeCell ref="B21:G21"/>
    <mergeCell ref="K16:K17"/>
    <mergeCell ref="AH21:AM21"/>
    <mergeCell ref="R16:R17"/>
    <mergeCell ref="AH39:AM39"/>
    <mergeCell ref="Z39:AE39"/>
    <mergeCell ref="R39:W39"/>
    <mergeCell ref="J39:O39"/>
    <mergeCell ref="B39:G39"/>
  </mergeCells>
  <pageMargins left="0.75" right="0.75" top="1" bottom="1" header="0.5" footer="0.5"/>
  <pageSetup scale="56" orientation="portrait" r:id="rId1"/>
  <headerFooter>
    <oddFooter>&amp;C&amp;"Helvetica,Regular"&amp;12&amp;K000000&amp;P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41"/>
  <sheetViews>
    <sheetView showGridLines="0" workbookViewId="0">
      <selection activeCell="H15" sqref="H15"/>
    </sheetView>
  </sheetViews>
  <sheetFormatPr defaultColWidth="8.85546875" defaultRowHeight="12.75" customHeight="1" x14ac:dyDescent="0.2"/>
  <cols>
    <col min="1" max="1" width="3.85546875" style="156" customWidth="1"/>
    <col min="2" max="2" width="9.140625" style="156" customWidth="1"/>
    <col min="3" max="22" width="5.7109375" style="156" customWidth="1"/>
    <col min="23" max="23" width="9.140625" style="156" customWidth="1"/>
    <col min="24" max="256" width="8.85546875" style="156" customWidth="1"/>
  </cols>
  <sheetData>
    <row r="1" spans="1:23" ht="15" customHeight="1" x14ac:dyDescent="0.2">
      <c r="A1" s="273" t="s">
        <v>193</v>
      </c>
      <c r="B1" s="274"/>
      <c r="C1" s="274"/>
      <c r="D1" s="274"/>
      <c r="E1" s="274"/>
      <c r="F1" s="274"/>
      <c r="G1" s="274"/>
      <c r="H1" s="274"/>
      <c r="I1" s="274"/>
      <c r="J1" s="274"/>
      <c r="K1" s="274"/>
      <c r="L1" s="274"/>
      <c r="M1" s="274"/>
      <c r="N1" s="274"/>
      <c r="O1" s="274"/>
      <c r="P1" s="274"/>
      <c r="Q1" s="274"/>
      <c r="R1" s="274"/>
      <c r="S1" s="274"/>
      <c r="T1" s="274"/>
      <c r="U1" s="274"/>
      <c r="V1" s="274"/>
      <c r="W1" s="274"/>
    </row>
    <row r="2" spans="1:23" ht="15" customHeight="1" x14ac:dyDescent="0.2">
      <c r="A2" s="273" t="s">
        <v>194</v>
      </c>
      <c r="B2" s="274"/>
      <c r="C2" s="274"/>
      <c r="D2" s="274"/>
      <c r="E2" s="274"/>
      <c r="F2" s="274"/>
      <c r="G2" s="274"/>
      <c r="H2" s="274"/>
      <c r="I2" s="274"/>
      <c r="J2" s="274"/>
      <c r="K2" s="274"/>
      <c r="L2" s="274"/>
      <c r="M2" s="274"/>
      <c r="N2" s="274"/>
      <c r="O2" s="274"/>
      <c r="P2" s="274"/>
      <c r="Q2" s="274"/>
      <c r="R2" s="274"/>
      <c r="S2" s="274"/>
      <c r="T2" s="274"/>
      <c r="U2" s="274"/>
      <c r="V2" s="274"/>
      <c r="W2" s="274"/>
    </row>
    <row r="3" spans="1:23" ht="15" customHeight="1" x14ac:dyDescent="0.2">
      <c r="A3" s="273" t="s">
        <v>195</v>
      </c>
      <c r="B3" s="274"/>
      <c r="C3" s="274"/>
      <c r="D3" s="274"/>
      <c r="E3" s="274"/>
      <c r="F3" s="274"/>
      <c r="G3" s="274"/>
      <c r="H3" s="274"/>
      <c r="I3" s="274"/>
      <c r="J3" s="274"/>
      <c r="K3" s="274"/>
      <c r="L3" s="274"/>
      <c r="M3" s="274"/>
      <c r="N3" s="274"/>
      <c r="O3" s="274"/>
      <c r="P3" s="274"/>
      <c r="Q3" s="274"/>
      <c r="R3" s="274"/>
      <c r="S3" s="274"/>
      <c r="T3" s="274"/>
      <c r="U3" s="274"/>
      <c r="V3" s="274"/>
      <c r="W3" s="274"/>
    </row>
    <row r="4" spans="1:23" ht="15" customHeight="1" x14ac:dyDescent="0.2">
      <c r="A4" s="273" t="s">
        <v>196</v>
      </c>
      <c r="B4" s="274"/>
      <c r="C4" s="274"/>
      <c r="D4" s="274"/>
      <c r="E4" s="274"/>
      <c r="F4" s="274"/>
      <c r="G4" s="274"/>
      <c r="H4" s="274"/>
      <c r="I4" s="274"/>
      <c r="J4" s="274"/>
      <c r="K4" s="274"/>
      <c r="L4" s="274"/>
      <c r="M4" s="274"/>
      <c r="N4" s="274"/>
      <c r="O4" s="274"/>
      <c r="P4" s="274"/>
      <c r="Q4" s="274"/>
      <c r="R4" s="274"/>
      <c r="S4" s="274"/>
      <c r="T4" s="274"/>
      <c r="U4" s="274"/>
      <c r="V4" s="274"/>
      <c r="W4" s="274"/>
    </row>
    <row r="5" spans="1:23" ht="15" customHeight="1" x14ac:dyDescent="0.2">
      <c r="A5" s="273" t="s">
        <v>197</v>
      </c>
      <c r="B5" s="274"/>
      <c r="C5" s="274"/>
      <c r="D5" s="274"/>
      <c r="E5" s="274"/>
      <c r="F5" s="274"/>
      <c r="G5" s="274"/>
      <c r="H5" s="274"/>
      <c r="I5" s="274"/>
      <c r="J5" s="274"/>
      <c r="K5" s="274"/>
      <c r="L5" s="274"/>
      <c r="M5" s="274"/>
      <c r="N5" s="274"/>
      <c r="O5" s="274"/>
      <c r="P5" s="274"/>
      <c r="Q5" s="274"/>
      <c r="R5" s="274"/>
      <c r="S5" s="274"/>
      <c r="T5" s="274"/>
      <c r="U5" s="274"/>
      <c r="V5" s="274"/>
      <c r="W5" s="274"/>
    </row>
    <row r="6" spans="1:23" ht="15" customHeight="1" x14ac:dyDescent="0.2">
      <c r="A6" s="273" t="s">
        <v>198</v>
      </c>
      <c r="B6" s="274"/>
      <c r="C6" s="274"/>
      <c r="D6" s="274"/>
      <c r="E6" s="274"/>
      <c r="F6" s="274"/>
      <c r="G6" s="274"/>
      <c r="H6" s="274"/>
      <c r="I6" s="274"/>
      <c r="J6" s="274"/>
      <c r="K6" s="274"/>
      <c r="L6" s="274"/>
      <c r="M6" s="274"/>
      <c r="N6" s="274"/>
      <c r="O6" s="274"/>
      <c r="P6" s="274"/>
      <c r="Q6" s="274"/>
      <c r="R6" s="274"/>
      <c r="S6" s="274"/>
      <c r="T6" s="274"/>
      <c r="U6" s="274"/>
      <c r="V6" s="274"/>
      <c r="W6" s="274"/>
    </row>
    <row r="7" spans="1:23" ht="15" customHeight="1" x14ac:dyDescent="0.2">
      <c r="A7" s="273" t="s">
        <v>199</v>
      </c>
      <c r="B7" s="274"/>
      <c r="C7" s="274"/>
      <c r="D7" s="274"/>
      <c r="E7" s="274"/>
      <c r="F7" s="274"/>
      <c r="G7" s="274"/>
      <c r="H7" s="274"/>
      <c r="I7" s="274"/>
      <c r="J7" s="274"/>
      <c r="K7" s="274"/>
      <c r="L7" s="274"/>
      <c r="M7" s="274"/>
      <c r="N7" s="274"/>
      <c r="O7" s="274"/>
      <c r="P7" s="274"/>
      <c r="Q7" s="274"/>
      <c r="R7" s="274"/>
      <c r="S7" s="274"/>
      <c r="T7" s="274"/>
      <c r="U7" s="274"/>
      <c r="V7" s="274"/>
      <c r="W7" s="274"/>
    </row>
    <row r="8" spans="1:23" ht="15" customHeight="1" x14ac:dyDescent="0.2">
      <c r="A8" s="273" t="s">
        <v>200</v>
      </c>
      <c r="B8" s="274"/>
      <c r="C8" s="274"/>
      <c r="D8" s="274"/>
      <c r="E8" s="274"/>
      <c r="F8" s="274"/>
      <c r="G8" s="274"/>
      <c r="H8" s="274"/>
      <c r="I8" s="274"/>
      <c r="J8" s="274"/>
      <c r="K8" s="274"/>
      <c r="L8" s="274"/>
      <c r="M8" s="274"/>
      <c r="N8" s="274"/>
      <c r="O8" s="274"/>
      <c r="P8" s="274"/>
      <c r="Q8" s="274"/>
      <c r="R8" s="274"/>
      <c r="S8" s="274"/>
      <c r="T8" s="274"/>
      <c r="U8" s="274"/>
      <c r="V8" s="274"/>
      <c r="W8" s="274"/>
    </row>
    <row r="9" spans="1:23" ht="15" customHeight="1" x14ac:dyDescent="0.2">
      <c r="A9" s="273" t="s">
        <v>201</v>
      </c>
      <c r="B9" s="274"/>
      <c r="C9" s="274"/>
      <c r="D9" s="274"/>
      <c r="E9" s="274"/>
      <c r="F9" s="274"/>
      <c r="G9" s="274"/>
      <c r="H9" s="274"/>
      <c r="I9" s="274"/>
      <c r="J9" s="274"/>
      <c r="K9" s="274"/>
      <c r="L9" s="274"/>
      <c r="M9" s="274"/>
      <c r="N9" s="274"/>
      <c r="O9" s="274"/>
      <c r="P9" s="274"/>
      <c r="Q9" s="274"/>
      <c r="R9" s="274"/>
      <c r="S9" s="274"/>
      <c r="T9" s="274"/>
      <c r="U9" s="274"/>
      <c r="V9" s="274"/>
      <c r="W9" s="274"/>
    </row>
    <row r="10" spans="1:23" ht="15" customHeight="1" x14ac:dyDescent="0.2">
      <c r="A10" s="273" t="s">
        <v>202</v>
      </c>
      <c r="B10" s="274"/>
      <c r="C10" s="274"/>
      <c r="D10" s="274"/>
      <c r="E10" s="274"/>
      <c r="F10" s="274"/>
      <c r="G10" s="274"/>
      <c r="H10" s="274"/>
      <c r="I10" s="274"/>
      <c r="J10" s="274"/>
      <c r="K10" s="274"/>
      <c r="L10" s="274"/>
      <c r="M10" s="274"/>
      <c r="N10" s="274"/>
      <c r="O10" s="274"/>
      <c r="P10" s="274"/>
      <c r="Q10" s="274"/>
      <c r="R10" s="274"/>
      <c r="S10" s="274"/>
      <c r="T10" s="274"/>
      <c r="U10" s="274"/>
      <c r="V10" s="274"/>
      <c r="W10" s="274"/>
    </row>
    <row r="11" spans="1:23" ht="27" customHeight="1" x14ac:dyDescent="0.35">
      <c r="A11" s="280" t="s">
        <v>203</v>
      </c>
      <c r="B11" s="281"/>
      <c r="C11" s="282"/>
      <c r="D11" s="282"/>
      <c r="E11" s="282"/>
      <c r="F11" s="282"/>
      <c r="G11" s="282"/>
      <c r="H11" s="282"/>
      <c r="I11" s="282"/>
      <c r="J11" s="282"/>
      <c r="K11" s="282"/>
      <c r="L11" s="282"/>
      <c r="M11" s="282"/>
      <c r="N11" s="282"/>
      <c r="O11" s="282"/>
      <c r="P11" s="282"/>
      <c r="Q11" s="282"/>
      <c r="R11" s="282"/>
      <c r="S11" s="282"/>
      <c r="T11" s="282"/>
      <c r="U11" s="282"/>
      <c r="V11" s="282"/>
      <c r="W11" s="281"/>
    </row>
    <row r="12" spans="1:23" ht="15.75" customHeight="1" x14ac:dyDescent="0.2">
      <c r="A12" s="287" t="s">
        <v>204</v>
      </c>
      <c r="B12" s="288"/>
      <c r="C12" s="157">
        <v>1</v>
      </c>
      <c r="D12" s="158">
        <v>2</v>
      </c>
      <c r="E12" s="158">
        <v>3</v>
      </c>
      <c r="F12" s="158">
        <v>4</v>
      </c>
      <c r="G12" s="159">
        <v>5</v>
      </c>
      <c r="H12" s="160">
        <v>6</v>
      </c>
      <c r="I12" s="161">
        <v>7</v>
      </c>
      <c r="J12" s="161">
        <v>8</v>
      </c>
      <c r="K12" s="161">
        <v>9</v>
      </c>
      <c r="L12" s="162">
        <v>10</v>
      </c>
      <c r="M12" s="163">
        <v>11</v>
      </c>
      <c r="N12" s="164">
        <v>12</v>
      </c>
      <c r="O12" s="164">
        <v>13</v>
      </c>
      <c r="P12" s="164">
        <v>14</v>
      </c>
      <c r="Q12" s="165">
        <v>15</v>
      </c>
      <c r="R12" s="166">
        <v>16</v>
      </c>
      <c r="S12" s="167">
        <v>17</v>
      </c>
      <c r="T12" s="167">
        <v>18</v>
      </c>
      <c r="U12" s="167">
        <v>19</v>
      </c>
      <c r="V12" s="168">
        <v>20</v>
      </c>
      <c r="W12" s="169"/>
    </row>
    <row r="13" spans="1:23" ht="15.6" customHeight="1" x14ac:dyDescent="0.2">
      <c r="A13" s="170"/>
      <c r="B13" s="171" t="s">
        <v>205</v>
      </c>
      <c r="C13" s="172">
        <v>4</v>
      </c>
      <c r="D13" s="173">
        <v>4</v>
      </c>
      <c r="E13" s="173">
        <v>4</v>
      </c>
      <c r="F13" s="173">
        <v>4</v>
      </c>
      <c r="G13" s="174">
        <v>4</v>
      </c>
      <c r="H13" s="175" t="s">
        <v>206</v>
      </c>
      <c r="I13" s="176" t="s">
        <v>206</v>
      </c>
      <c r="J13" s="176" t="s">
        <v>206</v>
      </c>
      <c r="K13" s="176" t="s">
        <v>206</v>
      </c>
      <c r="L13" s="177">
        <v>4</v>
      </c>
      <c r="M13" s="178" t="s">
        <v>206</v>
      </c>
      <c r="N13" s="179" t="s">
        <v>206</v>
      </c>
      <c r="O13" s="179" t="s">
        <v>206</v>
      </c>
      <c r="P13" s="179" t="s">
        <v>206</v>
      </c>
      <c r="Q13" s="180">
        <v>4</v>
      </c>
      <c r="R13" s="181">
        <v>5</v>
      </c>
      <c r="S13" s="182">
        <v>5</v>
      </c>
      <c r="T13" s="182">
        <v>5</v>
      </c>
      <c r="U13" s="182">
        <v>5</v>
      </c>
      <c r="V13" s="183">
        <v>4</v>
      </c>
      <c r="W13" s="123"/>
    </row>
    <row r="14" spans="1:23" ht="15" customHeight="1" x14ac:dyDescent="0.2">
      <c r="A14" s="184">
        <v>1</v>
      </c>
      <c r="B14" s="185" t="s">
        <v>52</v>
      </c>
      <c r="C14" s="186">
        <v>80</v>
      </c>
      <c r="D14" s="187">
        <v>80</v>
      </c>
      <c r="E14" s="187">
        <v>75</v>
      </c>
      <c r="F14" s="187">
        <v>75</v>
      </c>
      <c r="G14" s="188">
        <v>75</v>
      </c>
      <c r="H14" s="189">
        <v>75</v>
      </c>
      <c r="I14" s="190">
        <v>75</v>
      </c>
      <c r="J14" s="190">
        <v>80</v>
      </c>
      <c r="K14" s="190">
        <v>75</v>
      </c>
      <c r="L14" s="191">
        <v>75</v>
      </c>
      <c r="M14" s="192">
        <v>70</v>
      </c>
      <c r="N14" s="193">
        <v>78</v>
      </c>
      <c r="O14" s="193">
        <v>75</v>
      </c>
      <c r="P14" s="193">
        <v>66</v>
      </c>
      <c r="Q14" s="194">
        <v>75</v>
      </c>
      <c r="R14" s="195">
        <v>70</v>
      </c>
      <c r="S14" s="196">
        <v>79</v>
      </c>
      <c r="T14" s="196">
        <v>75</v>
      </c>
      <c r="U14" s="196">
        <v>66</v>
      </c>
      <c r="V14" s="197">
        <v>75</v>
      </c>
      <c r="W14" s="123"/>
    </row>
    <row r="15" spans="1:23" ht="26.25" customHeight="1" x14ac:dyDescent="0.2">
      <c r="A15" s="198"/>
      <c r="B15" s="199" t="s">
        <v>207</v>
      </c>
      <c r="C15" s="200" t="s">
        <v>208</v>
      </c>
      <c r="D15" s="201" t="s">
        <v>208</v>
      </c>
      <c r="E15" s="201" t="s">
        <v>208</v>
      </c>
      <c r="F15" s="201" t="s">
        <v>208</v>
      </c>
      <c r="G15" s="202" t="s">
        <v>209</v>
      </c>
      <c r="H15" s="203" t="s">
        <v>208</v>
      </c>
      <c r="I15" s="204" t="s">
        <v>208</v>
      </c>
      <c r="J15" s="204" t="s">
        <v>208</v>
      </c>
      <c r="K15" s="204" t="s">
        <v>208</v>
      </c>
      <c r="L15" s="205" t="s">
        <v>209</v>
      </c>
      <c r="M15" s="206" t="s">
        <v>210</v>
      </c>
      <c r="N15" s="207" t="s">
        <v>210</v>
      </c>
      <c r="O15" s="207" t="s">
        <v>210</v>
      </c>
      <c r="P15" s="207" t="s">
        <v>210</v>
      </c>
      <c r="Q15" s="208" t="s">
        <v>209</v>
      </c>
      <c r="R15" s="209" t="s">
        <v>210</v>
      </c>
      <c r="S15" s="210" t="s">
        <v>210</v>
      </c>
      <c r="T15" s="210" t="s">
        <v>210</v>
      </c>
      <c r="U15" s="210" t="s">
        <v>210</v>
      </c>
      <c r="V15" s="211" t="s">
        <v>209</v>
      </c>
      <c r="W15" s="169"/>
    </row>
    <row r="16" spans="1:23" ht="15.6" customHeight="1" x14ac:dyDescent="0.2">
      <c r="A16" s="170"/>
      <c r="B16" s="171" t="s">
        <v>205</v>
      </c>
      <c r="C16" s="172">
        <v>3</v>
      </c>
      <c r="D16" s="173">
        <v>3</v>
      </c>
      <c r="E16" s="173">
        <v>3</v>
      </c>
      <c r="F16" s="173">
        <v>3</v>
      </c>
      <c r="G16" s="212">
        <v>2</v>
      </c>
      <c r="H16" s="213">
        <v>3</v>
      </c>
      <c r="I16" s="214">
        <v>3</v>
      </c>
      <c r="J16" s="214">
        <v>3</v>
      </c>
      <c r="K16" s="214">
        <v>3</v>
      </c>
      <c r="L16" s="215">
        <v>2</v>
      </c>
      <c r="M16" s="216">
        <v>3</v>
      </c>
      <c r="N16" s="217">
        <v>3</v>
      </c>
      <c r="O16" s="217">
        <v>3</v>
      </c>
      <c r="P16" s="217">
        <v>3</v>
      </c>
      <c r="Q16" s="218">
        <v>2</v>
      </c>
      <c r="R16" s="181">
        <v>3</v>
      </c>
      <c r="S16" s="182">
        <v>3</v>
      </c>
      <c r="T16" s="182">
        <v>3</v>
      </c>
      <c r="U16" s="182">
        <v>3</v>
      </c>
      <c r="V16" s="219">
        <v>2</v>
      </c>
      <c r="W16" s="123"/>
    </row>
    <row r="17" spans="1:23" ht="15" customHeight="1" x14ac:dyDescent="0.2">
      <c r="A17" s="184">
        <v>2</v>
      </c>
      <c r="B17" s="185" t="s">
        <v>52</v>
      </c>
      <c r="C17" s="186">
        <v>75</v>
      </c>
      <c r="D17" s="187">
        <v>75</v>
      </c>
      <c r="E17" s="187">
        <v>75</v>
      </c>
      <c r="F17" s="187">
        <v>75</v>
      </c>
      <c r="G17" s="220">
        <v>45</v>
      </c>
      <c r="H17" s="189">
        <v>75</v>
      </c>
      <c r="I17" s="190">
        <v>75</v>
      </c>
      <c r="J17" s="190">
        <v>75</v>
      </c>
      <c r="K17" s="190">
        <v>75</v>
      </c>
      <c r="L17" s="221">
        <v>45</v>
      </c>
      <c r="M17" s="192">
        <v>90</v>
      </c>
      <c r="N17" s="193">
        <v>90</v>
      </c>
      <c r="O17" s="193">
        <v>90</v>
      </c>
      <c r="P17" s="193">
        <v>90</v>
      </c>
      <c r="Q17" s="222">
        <v>45</v>
      </c>
      <c r="R17" s="195">
        <v>90</v>
      </c>
      <c r="S17" s="196">
        <v>90</v>
      </c>
      <c r="T17" s="196">
        <v>90</v>
      </c>
      <c r="U17" s="196">
        <v>90</v>
      </c>
      <c r="V17" s="223">
        <v>45</v>
      </c>
      <c r="W17" s="123"/>
    </row>
    <row r="18" spans="1:23" ht="13.5" customHeight="1" x14ac:dyDescent="0.2">
      <c r="A18" s="224"/>
      <c r="B18" s="225" t="s">
        <v>207</v>
      </c>
      <c r="C18" s="226" t="s">
        <v>211</v>
      </c>
      <c r="D18" s="227" t="s">
        <v>211</v>
      </c>
      <c r="E18" s="227" t="s">
        <v>211</v>
      </c>
      <c r="F18" s="227" t="s">
        <v>211</v>
      </c>
      <c r="G18" s="228" t="s">
        <v>211</v>
      </c>
      <c r="H18" s="229" t="s">
        <v>211</v>
      </c>
      <c r="I18" s="230" t="s">
        <v>211</v>
      </c>
      <c r="J18" s="230" t="s">
        <v>211</v>
      </c>
      <c r="K18" s="230" t="s">
        <v>211</v>
      </c>
      <c r="L18" s="231" t="s">
        <v>211</v>
      </c>
      <c r="M18" s="232" t="s">
        <v>211</v>
      </c>
      <c r="N18" s="233" t="s">
        <v>211</v>
      </c>
      <c r="O18" s="233" t="s">
        <v>211</v>
      </c>
      <c r="P18" s="233" t="s">
        <v>211</v>
      </c>
      <c r="Q18" s="234" t="s">
        <v>211</v>
      </c>
      <c r="R18" s="235" t="s">
        <v>211</v>
      </c>
      <c r="S18" s="236" t="s">
        <v>211</v>
      </c>
      <c r="T18" s="236" t="s">
        <v>211</v>
      </c>
      <c r="U18" s="236" t="s">
        <v>211</v>
      </c>
      <c r="V18" s="237" t="s">
        <v>211</v>
      </c>
      <c r="W18" s="123"/>
    </row>
    <row r="19" spans="1:23" ht="15.6" customHeight="1" x14ac:dyDescent="0.2">
      <c r="A19" s="170"/>
      <c r="B19" s="171" t="s">
        <v>205</v>
      </c>
      <c r="C19" s="172">
        <v>2</v>
      </c>
      <c r="D19" s="173">
        <v>2</v>
      </c>
      <c r="E19" s="173">
        <v>2</v>
      </c>
      <c r="F19" s="173">
        <v>2</v>
      </c>
      <c r="G19" s="238" t="s">
        <v>212</v>
      </c>
      <c r="H19" s="213">
        <v>2</v>
      </c>
      <c r="I19" s="214">
        <v>2</v>
      </c>
      <c r="J19" s="214">
        <v>2</v>
      </c>
      <c r="K19" s="214">
        <v>2</v>
      </c>
      <c r="L19" s="239" t="s">
        <v>212</v>
      </c>
      <c r="M19" s="216">
        <v>2</v>
      </c>
      <c r="N19" s="217">
        <v>2</v>
      </c>
      <c r="O19" s="217">
        <v>2</v>
      </c>
      <c r="P19" s="217">
        <v>2</v>
      </c>
      <c r="Q19" s="240" t="s">
        <v>212</v>
      </c>
      <c r="R19" s="181">
        <v>2</v>
      </c>
      <c r="S19" s="182">
        <v>2</v>
      </c>
      <c r="T19" s="182">
        <v>2</v>
      </c>
      <c r="U19" s="182">
        <v>2</v>
      </c>
      <c r="V19" s="241" t="s">
        <v>212</v>
      </c>
      <c r="W19" s="123"/>
    </row>
    <row r="20" spans="1:23" ht="15" customHeight="1" x14ac:dyDescent="0.2">
      <c r="A20" s="184">
        <v>3</v>
      </c>
      <c r="B20" s="185" t="s">
        <v>52</v>
      </c>
      <c r="C20" s="186">
        <v>120</v>
      </c>
      <c r="D20" s="187">
        <v>135</v>
      </c>
      <c r="E20" s="187">
        <v>150</v>
      </c>
      <c r="F20" s="187">
        <v>165</v>
      </c>
      <c r="G20" s="220">
        <v>90</v>
      </c>
      <c r="H20" s="189">
        <v>150</v>
      </c>
      <c r="I20" s="190">
        <v>165</v>
      </c>
      <c r="J20" s="190">
        <v>180</v>
      </c>
      <c r="K20" s="190">
        <v>195</v>
      </c>
      <c r="L20" s="221">
        <v>90</v>
      </c>
      <c r="M20" s="192">
        <v>180</v>
      </c>
      <c r="N20" s="193">
        <v>195</v>
      </c>
      <c r="O20" s="193">
        <v>210</v>
      </c>
      <c r="P20" s="193">
        <v>225</v>
      </c>
      <c r="Q20" s="222">
        <v>90</v>
      </c>
      <c r="R20" s="195">
        <v>210</v>
      </c>
      <c r="S20" s="196">
        <v>225</v>
      </c>
      <c r="T20" s="196">
        <v>240</v>
      </c>
      <c r="U20" s="196">
        <v>240</v>
      </c>
      <c r="V20" s="223">
        <v>90</v>
      </c>
      <c r="W20" s="123"/>
    </row>
    <row r="21" spans="1:23" ht="13.5" customHeight="1" x14ac:dyDescent="0.2">
      <c r="A21" s="224"/>
      <c r="B21" s="225" t="s">
        <v>207</v>
      </c>
      <c r="C21" s="226" t="s">
        <v>213</v>
      </c>
      <c r="D21" s="227" t="s">
        <v>213</v>
      </c>
      <c r="E21" s="227" t="s">
        <v>213</v>
      </c>
      <c r="F21" s="227" t="s">
        <v>213</v>
      </c>
      <c r="G21" s="228" t="s">
        <v>213</v>
      </c>
      <c r="H21" s="229" t="s">
        <v>213</v>
      </c>
      <c r="I21" s="230" t="s">
        <v>213</v>
      </c>
      <c r="J21" s="230" t="s">
        <v>213</v>
      </c>
      <c r="K21" s="230" t="s">
        <v>213</v>
      </c>
      <c r="L21" s="231" t="s">
        <v>213</v>
      </c>
      <c r="M21" s="232" t="s">
        <v>213</v>
      </c>
      <c r="N21" s="233" t="s">
        <v>213</v>
      </c>
      <c r="O21" s="233" t="s">
        <v>213</v>
      </c>
      <c r="P21" s="233" t="s">
        <v>213</v>
      </c>
      <c r="Q21" s="234" t="s">
        <v>213</v>
      </c>
      <c r="R21" s="235" t="s">
        <v>213</v>
      </c>
      <c r="S21" s="236" t="s">
        <v>213</v>
      </c>
      <c r="T21" s="236" t="s">
        <v>213</v>
      </c>
      <c r="U21" s="236" t="s">
        <v>213</v>
      </c>
      <c r="V21" s="237" t="s">
        <v>213</v>
      </c>
      <c r="W21" s="123"/>
    </row>
    <row r="22" spans="1:23" ht="15.6" customHeight="1" x14ac:dyDescent="0.2">
      <c r="A22" s="170"/>
      <c r="B22" s="171" t="s">
        <v>205</v>
      </c>
      <c r="C22" s="172">
        <v>3</v>
      </c>
      <c r="D22" s="173">
        <v>3</v>
      </c>
      <c r="E22" s="173">
        <v>3</v>
      </c>
      <c r="F22" s="173">
        <v>3</v>
      </c>
      <c r="G22" s="212">
        <v>1</v>
      </c>
      <c r="H22" s="213">
        <v>3</v>
      </c>
      <c r="I22" s="214">
        <v>3</v>
      </c>
      <c r="J22" s="214">
        <v>3</v>
      </c>
      <c r="K22" s="214">
        <v>3</v>
      </c>
      <c r="L22" s="215">
        <v>1</v>
      </c>
      <c r="M22" s="178" t="s">
        <v>214</v>
      </c>
      <c r="N22" s="179" t="s">
        <v>214</v>
      </c>
      <c r="O22" s="179" t="s">
        <v>214</v>
      </c>
      <c r="P22" s="179" t="s">
        <v>214</v>
      </c>
      <c r="Q22" s="218">
        <v>1</v>
      </c>
      <c r="R22" s="181">
        <v>4</v>
      </c>
      <c r="S22" s="182">
        <v>4</v>
      </c>
      <c r="T22" s="182">
        <v>4</v>
      </c>
      <c r="U22" s="182">
        <v>4</v>
      </c>
      <c r="V22" s="219">
        <v>1</v>
      </c>
      <c r="W22" s="123"/>
    </row>
    <row r="23" spans="1:23" ht="15" customHeight="1" x14ac:dyDescent="0.2">
      <c r="A23" s="184">
        <v>4</v>
      </c>
      <c r="B23" s="185" t="s">
        <v>52</v>
      </c>
      <c r="C23" s="186">
        <v>75</v>
      </c>
      <c r="D23" s="187">
        <v>75</v>
      </c>
      <c r="E23" s="187">
        <v>75</v>
      </c>
      <c r="F23" s="187">
        <v>75</v>
      </c>
      <c r="G23" s="220">
        <v>60</v>
      </c>
      <c r="H23" s="189">
        <v>90</v>
      </c>
      <c r="I23" s="190">
        <v>90</v>
      </c>
      <c r="J23" s="190">
        <v>90</v>
      </c>
      <c r="K23" s="190">
        <v>90</v>
      </c>
      <c r="L23" s="221">
        <v>60</v>
      </c>
      <c r="M23" s="192">
        <v>80</v>
      </c>
      <c r="N23" s="193">
        <v>80</v>
      </c>
      <c r="O23" s="193">
        <v>80</v>
      </c>
      <c r="P23" s="193">
        <v>80</v>
      </c>
      <c r="Q23" s="222">
        <v>60</v>
      </c>
      <c r="R23" s="195">
        <v>80</v>
      </c>
      <c r="S23" s="196">
        <v>80</v>
      </c>
      <c r="T23" s="196">
        <v>80</v>
      </c>
      <c r="U23" s="196">
        <v>80</v>
      </c>
      <c r="V23" s="223">
        <v>60</v>
      </c>
      <c r="W23" s="123"/>
    </row>
    <row r="24" spans="1:23" ht="26.25" customHeight="1" x14ac:dyDescent="0.2">
      <c r="A24" s="198"/>
      <c r="B24" s="199" t="s">
        <v>207</v>
      </c>
      <c r="C24" s="200" t="s">
        <v>211</v>
      </c>
      <c r="D24" s="201" t="s">
        <v>211</v>
      </c>
      <c r="E24" s="201" t="s">
        <v>211</v>
      </c>
      <c r="F24" s="201" t="s">
        <v>211</v>
      </c>
      <c r="G24" s="242" t="s">
        <v>211</v>
      </c>
      <c r="H24" s="203" t="s">
        <v>211</v>
      </c>
      <c r="I24" s="204" t="s">
        <v>211</v>
      </c>
      <c r="J24" s="204" t="s">
        <v>211</v>
      </c>
      <c r="K24" s="204" t="s">
        <v>211</v>
      </c>
      <c r="L24" s="243" t="s">
        <v>211</v>
      </c>
      <c r="M24" s="206" t="s">
        <v>208</v>
      </c>
      <c r="N24" s="207" t="s">
        <v>208</v>
      </c>
      <c r="O24" s="207" t="s">
        <v>208</v>
      </c>
      <c r="P24" s="207" t="s">
        <v>208</v>
      </c>
      <c r="Q24" s="244" t="s">
        <v>211</v>
      </c>
      <c r="R24" s="209" t="s">
        <v>208</v>
      </c>
      <c r="S24" s="210" t="s">
        <v>208</v>
      </c>
      <c r="T24" s="210" t="s">
        <v>208</v>
      </c>
      <c r="U24" s="210" t="s">
        <v>208</v>
      </c>
      <c r="V24" s="245" t="s">
        <v>211</v>
      </c>
      <c r="W24" s="169"/>
    </row>
    <row r="25" spans="1:23" ht="15.6" customHeight="1" x14ac:dyDescent="0.2">
      <c r="A25" s="170"/>
      <c r="B25" s="171" t="s">
        <v>205</v>
      </c>
      <c r="C25" s="172">
        <v>1</v>
      </c>
      <c r="D25" s="173">
        <v>1</v>
      </c>
      <c r="E25" s="173">
        <v>1</v>
      </c>
      <c r="F25" s="173">
        <v>1</v>
      </c>
      <c r="G25" s="212">
        <v>1</v>
      </c>
      <c r="H25" s="213">
        <v>1</v>
      </c>
      <c r="I25" s="214">
        <v>1</v>
      </c>
      <c r="J25" s="214">
        <v>1</v>
      </c>
      <c r="K25" s="214">
        <v>1</v>
      </c>
      <c r="L25" s="215">
        <v>1</v>
      </c>
      <c r="M25" s="216">
        <v>1</v>
      </c>
      <c r="N25" s="217">
        <v>1</v>
      </c>
      <c r="O25" s="217">
        <v>1</v>
      </c>
      <c r="P25" s="217">
        <v>1</v>
      </c>
      <c r="Q25" s="218">
        <v>1</v>
      </c>
      <c r="R25" s="181">
        <v>1</v>
      </c>
      <c r="S25" s="182">
        <v>1</v>
      </c>
      <c r="T25" s="182">
        <v>1</v>
      </c>
      <c r="U25" s="182">
        <v>1</v>
      </c>
      <c r="V25" s="219">
        <v>1</v>
      </c>
      <c r="W25" s="123"/>
    </row>
    <row r="26" spans="1:23" ht="15" customHeight="1" x14ac:dyDescent="0.2">
      <c r="A26" s="184">
        <v>5</v>
      </c>
      <c r="B26" s="185" t="s">
        <v>52</v>
      </c>
      <c r="C26" s="186">
        <v>60</v>
      </c>
      <c r="D26" s="187">
        <v>60</v>
      </c>
      <c r="E26" s="187">
        <v>60</v>
      </c>
      <c r="F26" s="187">
        <v>60</v>
      </c>
      <c r="G26" s="220">
        <v>45</v>
      </c>
      <c r="H26" s="189">
        <v>60</v>
      </c>
      <c r="I26" s="190">
        <v>60</v>
      </c>
      <c r="J26" s="190">
        <v>60</v>
      </c>
      <c r="K26" s="190">
        <v>60</v>
      </c>
      <c r="L26" s="221">
        <v>45</v>
      </c>
      <c r="M26" s="192">
        <v>60</v>
      </c>
      <c r="N26" s="193">
        <v>60</v>
      </c>
      <c r="O26" s="193">
        <v>60</v>
      </c>
      <c r="P26" s="193">
        <v>60</v>
      </c>
      <c r="Q26" s="222">
        <v>45</v>
      </c>
      <c r="R26" s="195">
        <v>60</v>
      </c>
      <c r="S26" s="196">
        <v>60</v>
      </c>
      <c r="T26" s="196">
        <v>60</v>
      </c>
      <c r="U26" s="196">
        <v>60</v>
      </c>
      <c r="V26" s="223">
        <v>45</v>
      </c>
      <c r="W26" s="123"/>
    </row>
    <row r="27" spans="1:23" ht="13.5" customHeight="1" x14ac:dyDescent="0.2">
      <c r="A27" s="224"/>
      <c r="B27" s="225" t="s">
        <v>207</v>
      </c>
      <c r="C27" s="226" t="s">
        <v>215</v>
      </c>
      <c r="D27" s="227" t="s">
        <v>215</v>
      </c>
      <c r="E27" s="227" t="s">
        <v>215</v>
      </c>
      <c r="F27" s="227" t="s">
        <v>215</v>
      </c>
      <c r="G27" s="228" t="s">
        <v>215</v>
      </c>
      <c r="H27" s="229" t="s">
        <v>215</v>
      </c>
      <c r="I27" s="230" t="s">
        <v>215</v>
      </c>
      <c r="J27" s="230" t="s">
        <v>215</v>
      </c>
      <c r="K27" s="230" t="s">
        <v>215</v>
      </c>
      <c r="L27" s="231" t="s">
        <v>215</v>
      </c>
      <c r="M27" s="232" t="s">
        <v>215</v>
      </c>
      <c r="N27" s="233" t="s">
        <v>215</v>
      </c>
      <c r="O27" s="233" t="s">
        <v>215</v>
      </c>
      <c r="P27" s="233" t="s">
        <v>215</v>
      </c>
      <c r="Q27" s="234" t="s">
        <v>215</v>
      </c>
      <c r="R27" s="235" t="s">
        <v>215</v>
      </c>
      <c r="S27" s="236" t="s">
        <v>215</v>
      </c>
      <c r="T27" s="236" t="s">
        <v>215</v>
      </c>
      <c r="U27" s="236" t="s">
        <v>215</v>
      </c>
      <c r="V27" s="237" t="s">
        <v>215</v>
      </c>
      <c r="W27" s="123"/>
    </row>
    <row r="28" spans="1:23" ht="14.1" customHeight="1" x14ac:dyDescent="0.2">
      <c r="A28" s="246"/>
      <c r="B28" s="246"/>
      <c r="C28" s="246"/>
      <c r="D28" s="246"/>
      <c r="E28" s="246"/>
      <c r="F28" s="246"/>
      <c r="G28" s="246"/>
      <c r="H28" s="246"/>
      <c r="I28" s="246"/>
      <c r="J28" s="246"/>
      <c r="K28" s="246"/>
      <c r="L28" s="246"/>
      <c r="M28" s="246"/>
      <c r="N28" s="246"/>
      <c r="O28" s="246"/>
      <c r="P28" s="246"/>
      <c r="Q28" s="246"/>
      <c r="R28" s="246"/>
      <c r="S28" s="246"/>
      <c r="T28" s="246"/>
      <c r="U28" s="246"/>
      <c r="V28" s="246"/>
      <c r="W28" s="2"/>
    </row>
    <row r="29" spans="1:23" ht="13.7" customHeight="1" x14ac:dyDescent="0.2">
      <c r="A29" s="2"/>
      <c r="B29" s="2"/>
      <c r="C29" s="2"/>
      <c r="D29" s="2"/>
      <c r="E29" s="2"/>
      <c r="F29" s="2"/>
      <c r="G29" s="2"/>
      <c r="H29" s="2"/>
      <c r="I29" s="2"/>
      <c r="J29" s="2"/>
      <c r="K29" s="2"/>
      <c r="L29" s="2"/>
      <c r="M29" s="2"/>
      <c r="N29" s="2"/>
      <c r="O29" s="2"/>
      <c r="P29" s="2"/>
      <c r="Q29" s="2"/>
      <c r="R29" s="2"/>
      <c r="S29" s="2"/>
      <c r="T29" s="2"/>
      <c r="U29" s="2"/>
      <c r="V29" s="2"/>
      <c r="W29" s="2"/>
    </row>
    <row r="30" spans="1:23" ht="15" customHeight="1" x14ac:dyDescent="0.2">
      <c r="A30" s="283" t="s">
        <v>216</v>
      </c>
      <c r="B30" s="284"/>
      <c r="C30" s="284"/>
      <c r="D30" s="284"/>
      <c r="E30" s="284"/>
      <c r="F30" s="284"/>
      <c r="G30" s="284"/>
      <c r="H30" s="284"/>
      <c r="I30" s="284"/>
      <c r="J30" s="284"/>
      <c r="K30" s="284"/>
      <c r="L30" s="284"/>
      <c r="M30" s="284"/>
      <c r="N30" s="284"/>
      <c r="O30" s="284"/>
      <c r="P30" s="284"/>
      <c r="Q30" s="284"/>
      <c r="R30" s="284"/>
      <c r="S30" s="284"/>
      <c r="T30" s="284"/>
      <c r="U30" s="284"/>
      <c r="V30" s="284"/>
      <c r="W30" s="284"/>
    </row>
    <row r="31" spans="1:23" ht="15" customHeight="1" x14ac:dyDescent="0.2">
      <c r="A31" s="273" t="s">
        <v>217</v>
      </c>
      <c r="B31" s="274"/>
      <c r="C31" s="274"/>
      <c r="D31" s="274"/>
      <c r="E31" s="274"/>
      <c r="F31" s="274"/>
      <c r="G31" s="274"/>
      <c r="H31" s="274"/>
      <c r="I31" s="274"/>
      <c r="J31" s="274"/>
      <c r="K31" s="274"/>
      <c r="L31" s="274"/>
      <c r="M31" s="274"/>
      <c r="N31" s="274"/>
      <c r="O31" s="274"/>
      <c r="P31" s="274"/>
      <c r="Q31" s="274"/>
      <c r="R31" s="274"/>
      <c r="S31" s="274"/>
      <c r="T31" s="274"/>
      <c r="U31" s="274"/>
      <c r="V31" s="274"/>
      <c r="W31" s="274"/>
    </row>
    <row r="32" spans="1:23" ht="15" customHeight="1" x14ac:dyDescent="0.2">
      <c r="A32" s="273" t="s">
        <v>218</v>
      </c>
      <c r="B32" s="274"/>
      <c r="C32" s="274"/>
      <c r="D32" s="274"/>
      <c r="E32" s="274"/>
      <c r="F32" s="274"/>
      <c r="G32" s="274"/>
      <c r="H32" s="274"/>
      <c r="I32" s="274"/>
      <c r="J32" s="274"/>
      <c r="K32" s="274"/>
      <c r="L32" s="274"/>
      <c r="M32" s="274"/>
      <c r="N32" s="274"/>
      <c r="O32" s="274"/>
      <c r="P32" s="274"/>
      <c r="Q32" s="274"/>
      <c r="R32" s="274"/>
      <c r="S32" s="274"/>
      <c r="T32" s="274"/>
      <c r="U32" s="274"/>
      <c r="V32" s="274"/>
      <c r="W32" s="274"/>
    </row>
    <row r="33" spans="1:23" ht="15" customHeight="1" x14ac:dyDescent="0.2">
      <c r="A33" s="273" t="s">
        <v>219</v>
      </c>
      <c r="B33" s="274"/>
      <c r="C33" s="274"/>
      <c r="D33" s="274"/>
      <c r="E33" s="274"/>
      <c r="F33" s="274"/>
      <c r="G33" s="274"/>
      <c r="H33" s="274"/>
      <c r="I33" s="274"/>
      <c r="J33" s="274"/>
      <c r="K33" s="274"/>
      <c r="L33" s="274"/>
      <c r="M33" s="274"/>
      <c r="N33" s="274"/>
      <c r="O33" s="274"/>
      <c r="P33" s="274"/>
      <c r="Q33" s="274"/>
      <c r="R33" s="274"/>
      <c r="S33" s="274"/>
      <c r="T33" s="274"/>
      <c r="U33" s="274"/>
      <c r="V33" s="274"/>
      <c r="W33" s="274"/>
    </row>
    <row r="34" spans="1:23" ht="15" customHeight="1" x14ac:dyDescent="0.2">
      <c r="A34" s="285" t="s">
        <v>220</v>
      </c>
      <c r="B34" s="286"/>
      <c r="C34" s="286"/>
      <c r="D34" s="286"/>
      <c r="E34" s="286"/>
      <c r="F34" s="286"/>
      <c r="G34" s="286"/>
      <c r="H34" s="286"/>
      <c r="I34" s="286"/>
      <c r="J34" s="286"/>
      <c r="K34" s="286"/>
      <c r="L34" s="286"/>
      <c r="M34" s="286"/>
      <c r="N34" s="286"/>
      <c r="O34" s="286"/>
      <c r="P34" s="286"/>
      <c r="Q34" s="286"/>
      <c r="R34" s="286"/>
      <c r="S34" s="286"/>
      <c r="T34" s="286"/>
      <c r="U34" s="286"/>
      <c r="V34" s="286"/>
      <c r="W34" s="274"/>
    </row>
    <row r="35" spans="1:23" ht="15" customHeight="1" x14ac:dyDescent="0.2">
      <c r="A35" s="247"/>
      <c r="B35" s="275" t="s">
        <v>221</v>
      </c>
      <c r="C35" s="276"/>
      <c r="D35" s="276"/>
      <c r="E35" s="277" t="s">
        <v>222</v>
      </c>
      <c r="F35" s="276"/>
      <c r="G35" s="277" t="s">
        <v>223</v>
      </c>
      <c r="H35" s="276"/>
      <c r="I35" s="276"/>
      <c r="J35" s="276"/>
      <c r="K35" s="276"/>
      <c r="L35" s="276"/>
      <c r="M35" s="276"/>
      <c r="N35" s="276"/>
      <c r="O35" s="276"/>
      <c r="P35" s="276"/>
      <c r="Q35" s="276"/>
      <c r="R35" s="276"/>
      <c r="S35" s="276"/>
      <c r="T35" s="276"/>
      <c r="U35" s="276"/>
      <c r="V35" s="276"/>
      <c r="W35" s="249"/>
    </row>
    <row r="36" spans="1:23" ht="15" customHeight="1" x14ac:dyDescent="0.2">
      <c r="A36" s="248">
        <v>1</v>
      </c>
      <c r="B36" s="275" t="s">
        <v>224</v>
      </c>
      <c r="C36" s="276"/>
      <c r="D36" s="276"/>
      <c r="E36" s="277" t="s">
        <v>225</v>
      </c>
      <c r="F36" s="276"/>
      <c r="G36" s="278" t="s">
        <v>226</v>
      </c>
      <c r="H36" s="279"/>
      <c r="I36" s="279"/>
      <c r="J36" s="279"/>
      <c r="K36" s="279"/>
      <c r="L36" s="279"/>
      <c r="M36" s="279"/>
      <c r="N36" s="279"/>
      <c r="O36" s="279"/>
      <c r="P36" s="279"/>
      <c r="Q36" s="279"/>
      <c r="R36" s="279"/>
      <c r="S36" s="279"/>
      <c r="T36" s="279"/>
      <c r="U36" s="279"/>
      <c r="V36" s="279"/>
      <c r="W36" s="249"/>
    </row>
    <row r="37" spans="1:23" ht="15" customHeight="1" x14ac:dyDescent="0.2">
      <c r="A37" s="248">
        <v>2</v>
      </c>
      <c r="B37" s="275" t="s">
        <v>227</v>
      </c>
      <c r="C37" s="276"/>
      <c r="D37" s="276"/>
      <c r="E37" s="277" t="s">
        <v>228</v>
      </c>
      <c r="F37" s="276"/>
      <c r="G37" s="278" t="s">
        <v>229</v>
      </c>
      <c r="H37" s="279"/>
      <c r="I37" s="279"/>
      <c r="J37" s="279"/>
      <c r="K37" s="279"/>
      <c r="L37" s="279"/>
      <c r="M37" s="279"/>
      <c r="N37" s="279"/>
      <c r="O37" s="279"/>
      <c r="P37" s="279"/>
      <c r="Q37" s="279"/>
      <c r="R37" s="279"/>
      <c r="S37" s="279"/>
      <c r="T37" s="279"/>
      <c r="U37" s="279"/>
      <c r="V37" s="279"/>
      <c r="W37" s="249"/>
    </row>
    <row r="38" spans="1:23" ht="15" customHeight="1" x14ac:dyDescent="0.2">
      <c r="A38" s="248">
        <v>3</v>
      </c>
      <c r="B38" s="275" t="s">
        <v>230</v>
      </c>
      <c r="C38" s="276"/>
      <c r="D38" s="276"/>
      <c r="E38" s="277" t="s">
        <v>231</v>
      </c>
      <c r="F38" s="276"/>
      <c r="G38" s="278" t="s">
        <v>232</v>
      </c>
      <c r="H38" s="279"/>
      <c r="I38" s="279"/>
      <c r="J38" s="279"/>
      <c r="K38" s="279"/>
      <c r="L38" s="279"/>
      <c r="M38" s="279"/>
      <c r="N38" s="279"/>
      <c r="O38" s="279"/>
      <c r="P38" s="279"/>
      <c r="Q38" s="279"/>
      <c r="R38" s="279"/>
      <c r="S38" s="279"/>
      <c r="T38" s="279"/>
      <c r="U38" s="279"/>
      <c r="V38" s="279"/>
      <c r="W38" s="249"/>
    </row>
    <row r="39" spans="1:23" ht="15" customHeight="1" x14ac:dyDescent="0.2">
      <c r="A39" s="248">
        <v>4</v>
      </c>
      <c r="B39" s="275" t="s">
        <v>233</v>
      </c>
      <c r="C39" s="276"/>
      <c r="D39" s="276"/>
      <c r="E39" s="277" t="s">
        <v>234</v>
      </c>
      <c r="F39" s="276"/>
      <c r="G39" s="278" t="s">
        <v>235</v>
      </c>
      <c r="H39" s="279"/>
      <c r="I39" s="279"/>
      <c r="J39" s="279"/>
      <c r="K39" s="279"/>
      <c r="L39" s="279"/>
      <c r="M39" s="279"/>
      <c r="N39" s="279"/>
      <c r="O39" s="279"/>
      <c r="P39" s="279"/>
      <c r="Q39" s="279"/>
      <c r="R39" s="279"/>
      <c r="S39" s="279"/>
      <c r="T39" s="279"/>
      <c r="U39" s="279"/>
      <c r="V39" s="279"/>
      <c r="W39" s="249"/>
    </row>
    <row r="40" spans="1:23" ht="15" customHeight="1" x14ac:dyDescent="0.2">
      <c r="A40" s="248">
        <v>5</v>
      </c>
      <c r="B40" s="275" t="s">
        <v>236</v>
      </c>
      <c r="C40" s="276"/>
      <c r="D40" s="276"/>
      <c r="E40" s="277" t="s">
        <v>237</v>
      </c>
      <c r="F40" s="276"/>
      <c r="G40" s="278" t="s">
        <v>238</v>
      </c>
      <c r="H40" s="279"/>
      <c r="I40" s="279"/>
      <c r="J40" s="279"/>
      <c r="K40" s="279"/>
      <c r="L40" s="279"/>
      <c r="M40" s="279"/>
      <c r="N40" s="279"/>
      <c r="O40" s="279"/>
      <c r="P40" s="279"/>
      <c r="Q40" s="279"/>
      <c r="R40" s="279"/>
      <c r="S40" s="279"/>
      <c r="T40" s="279"/>
      <c r="U40" s="279"/>
      <c r="V40" s="279"/>
      <c r="W40" s="249"/>
    </row>
    <row r="41" spans="1:23" ht="15" customHeight="1" x14ac:dyDescent="0.2">
      <c r="A41" s="248">
        <v>6</v>
      </c>
      <c r="B41" s="275" t="s">
        <v>239</v>
      </c>
      <c r="C41" s="276"/>
      <c r="D41" s="276"/>
      <c r="E41" s="277" t="s">
        <v>240</v>
      </c>
      <c r="F41" s="276"/>
      <c r="G41" s="278" t="s">
        <v>241</v>
      </c>
      <c r="H41" s="279"/>
      <c r="I41" s="279"/>
      <c r="J41" s="279"/>
      <c r="K41" s="279"/>
      <c r="L41" s="279"/>
      <c r="M41" s="279"/>
      <c r="N41" s="279"/>
      <c r="O41" s="279"/>
      <c r="P41" s="279"/>
      <c r="Q41" s="279"/>
      <c r="R41" s="279"/>
      <c r="S41" s="279"/>
      <c r="T41" s="279"/>
      <c r="U41" s="279"/>
      <c r="V41" s="279"/>
      <c r="W41" s="249"/>
    </row>
  </sheetData>
  <mergeCells count="38">
    <mergeCell ref="G41:V41"/>
    <mergeCell ref="B38:D38"/>
    <mergeCell ref="B41:D41"/>
    <mergeCell ref="A11:W11"/>
    <mergeCell ref="A30:W30"/>
    <mergeCell ref="A32:W32"/>
    <mergeCell ref="A31:W31"/>
    <mergeCell ref="E41:F41"/>
    <mergeCell ref="A34:W34"/>
    <mergeCell ref="A12:B12"/>
    <mergeCell ref="G35:V35"/>
    <mergeCell ref="G37:V37"/>
    <mergeCell ref="G38:V38"/>
    <mergeCell ref="E37:F37"/>
    <mergeCell ref="G36:V36"/>
    <mergeCell ref="G40:V40"/>
    <mergeCell ref="B37:D37"/>
    <mergeCell ref="A9:W9"/>
    <mergeCell ref="E40:F40"/>
    <mergeCell ref="A33:W33"/>
    <mergeCell ref="G39:V39"/>
    <mergeCell ref="B36:D36"/>
    <mergeCell ref="E35:F35"/>
    <mergeCell ref="A10:W10"/>
    <mergeCell ref="B40:D40"/>
    <mergeCell ref="E39:F39"/>
    <mergeCell ref="B39:D39"/>
    <mergeCell ref="E36:F36"/>
    <mergeCell ref="E38:F38"/>
    <mergeCell ref="A1:W1"/>
    <mergeCell ref="B35:D35"/>
    <mergeCell ref="A3:W3"/>
    <mergeCell ref="A5:W5"/>
    <mergeCell ref="A4:W4"/>
    <mergeCell ref="A2:W2"/>
    <mergeCell ref="A6:W6"/>
    <mergeCell ref="A8:W8"/>
    <mergeCell ref="A7:W7"/>
  </mergeCells>
  <pageMargins left="0.75" right="0.75" top="1" bottom="1" header="0.5" footer="0.5"/>
  <pageSetup scale="66" orientation="portrait" r:id="rId1"/>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 Notes</vt:lpstr>
      <vt:lpstr>TEST SET</vt:lpstr>
      <vt:lpstr>Wks 1-5</vt:lpstr>
      <vt:lpstr>Wks 6-10</vt:lpstr>
      <vt:lpstr>Wks 11-15</vt:lpstr>
      <vt:lpstr>Wks 16-20</vt:lpstr>
      <vt:lpstr>Abstract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Smith</dc:creator>
  <cp:lastModifiedBy>Jordan Smith</cp:lastModifiedBy>
  <cp:lastPrinted>2016-11-17T13:38:59Z</cp:lastPrinted>
  <dcterms:created xsi:type="dcterms:W3CDTF">2017-02-16T02:21:07Z</dcterms:created>
  <dcterms:modified xsi:type="dcterms:W3CDTF">2017-07-01T12:59:18Z</dcterms:modified>
</cp:coreProperties>
</file>