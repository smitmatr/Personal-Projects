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7" i="1" l="1"/>
  <c r="G21" i="1"/>
  <c r="G15" i="1"/>
  <c r="G19" i="1"/>
  <c r="G18" i="1"/>
  <c r="G16" i="1"/>
  <c r="F16" i="1"/>
  <c r="F17" i="1"/>
  <c r="F18" i="1"/>
  <c r="F19" i="1"/>
  <c r="F15" i="1"/>
  <c r="D9" i="1"/>
  <c r="E9" i="1" s="1"/>
  <c r="E11" i="1"/>
  <c r="D11" i="1"/>
  <c r="C12" i="1"/>
  <c r="D2" i="1"/>
  <c r="I6" i="1"/>
  <c r="K2" i="1"/>
  <c r="J3" i="1"/>
  <c r="J2" i="1"/>
  <c r="E2" i="1"/>
  <c r="D3" i="1"/>
  <c r="C6" i="1" s="1"/>
  <c r="D10" i="1" l="1"/>
  <c r="E10" i="1" s="1"/>
  <c r="D12" i="1" l="1"/>
</calcChain>
</file>

<file path=xl/sharedStrings.xml><?xml version="1.0" encoding="utf-8"?>
<sst xmlns="http://schemas.openxmlformats.org/spreadsheetml/2006/main" count="37" uniqueCount="30">
  <si>
    <t>Height</t>
  </si>
  <si>
    <t>Weight(lbs)</t>
  </si>
  <si>
    <t>Matt</t>
  </si>
  <si>
    <t>Jordan</t>
  </si>
  <si>
    <t>BMR</t>
  </si>
  <si>
    <t>Age</t>
  </si>
  <si>
    <t>Harris Benedict Equation for BMR</t>
  </si>
  <si>
    <t>Macros</t>
  </si>
  <si>
    <t>Protein</t>
  </si>
  <si>
    <t>Carbs</t>
  </si>
  <si>
    <t>Fat</t>
  </si>
  <si>
    <t>Total</t>
  </si>
  <si>
    <t>Percent</t>
  </si>
  <si>
    <t>Grams</t>
  </si>
  <si>
    <t>Calories</t>
  </si>
  <si>
    <t>Cal/g</t>
  </si>
  <si>
    <t>g/oz</t>
  </si>
  <si>
    <t>g/tbsp</t>
  </si>
  <si>
    <t>Rest Day</t>
  </si>
  <si>
    <t>Meal 1</t>
  </si>
  <si>
    <t>Meal 2</t>
  </si>
  <si>
    <t>Meal 3</t>
  </si>
  <si>
    <t>Meal 4</t>
  </si>
  <si>
    <t>LP</t>
  </si>
  <si>
    <t>P</t>
  </si>
  <si>
    <t>FC</t>
  </si>
  <si>
    <t>SC</t>
  </si>
  <si>
    <t>Supplement</t>
  </si>
  <si>
    <t>g/cup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</si>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</sst>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8" formatCode="General\ &quot;ft&quot;"/>
    <numFmt numFmtId="169" formatCode="General\ &quot;in&quot;"/>
    <numFmt numFmtId="170" formatCode="General\ &quot;cm&quot;"/>
    <numFmt numFmtId="171" formatCode="General\ &quot;lbs&quot;"/>
    <numFmt numFmtId="172" formatCode="General\ &quot;kg&quot;"/>
    <numFmt numFmtId="173" formatCode="General\ &quot;oz&quot;"/>
    <numFmt numFmtId="176" formatCode="0.0\ &quot;servings&quot;"/>
    <numFmt numFmtId="177" formatCode="General\ &quot;calories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9" fontId="0" fillId="0" borderId="0" xfId="0" applyNumberFormat="1"/>
    <xf numFmtId="170" fontId="0" fillId="0" borderId="0" xfId="0" applyNumberFormat="1"/>
    <xf numFmtId="172" fontId="0" fillId="0" borderId="0" xfId="0" applyNumberFormat="1"/>
    <xf numFmtId="168" fontId="0" fillId="2" borderId="0" xfId="0" applyNumberFormat="1" applyFill="1"/>
    <xf numFmtId="171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2" borderId="0" xfId="0" applyNumberFormat="1" applyFill="1"/>
    <xf numFmtId="0" fontId="1" fillId="0" borderId="0" xfId="0" applyFont="1"/>
    <xf numFmtId="9" fontId="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73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G21" sqref="G21"/>
    </sheetView>
  </sheetViews>
  <sheetFormatPr defaultRowHeight="15" x14ac:dyDescent="0.25"/>
  <cols>
    <col min="1" max="1" width="16.140625" customWidth="1"/>
    <col min="2" max="2" width="11.42578125" bestFit="1" customWidth="1"/>
    <col min="3" max="3" width="11.28515625" bestFit="1" customWidth="1"/>
    <col min="4" max="4" width="14.140625" bestFit="1" customWidth="1"/>
    <col min="5" max="6" width="11.28515625" bestFit="1" customWidth="1"/>
    <col min="7" max="7" width="12.28515625" bestFit="1" customWidth="1"/>
  </cols>
  <sheetData>
    <row r="1" spans="1:11" x14ac:dyDescent="0.25">
      <c r="B1" t="s">
        <v>2</v>
      </c>
      <c r="H1" t="s">
        <v>3</v>
      </c>
    </row>
    <row r="2" spans="1:11" x14ac:dyDescent="0.25">
      <c r="B2" t="s">
        <v>0</v>
      </c>
      <c r="C2" s="4">
        <v>5.8330000000000002</v>
      </c>
      <c r="D2" s="1">
        <f>ROUND($C$2*12,1)</f>
        <v>70</v>
      </c>
      <c r="E2" s="2">
        <f>$D$2*2.54</f>
        <v>177.8</v>
      </c>
      <c r="H2" t="s">
        <v>0</v>
      </c>
      <c r="I2" s="4">
        <v>5.5</v>
      </c>
      <c r="J2" s="1">
        <f>ROUND($I$2*12,1)</f>
        <v>66</v>
      </c>
      <c r="K2" s="2">
        <f>$J$2*2.54</f>
        <v>167.64000000000001</v>
      </c>
    </row>
    <row r="3" spans="1:11" x14ac:dyDescent="0.25">
      <c r="B3" t="s">
        <v>1</v>
      </c>
      <c r="C3" s="5">
        <v>213</v>
      </c>
      <c r="D3" s="3">
        <f>$C$3/2.2</f>
        <v>96.818181818181813</v>
      </c>
      <c r="H3" t="s">
        <v>1</v>
      </c>
      <c r="I3" s="5">
        <v>180</v>
      </c>
      <c r="J3" s="3">
        <f>$I$3/2.2</f>
        <v>81.818181818181813</v>
      </c>
    </row>
    <row r="4" spans="1:11" x14ac:dyDescent="0.25">
      <c r="B4" t="s">
        <v>5</v>
      </c>
      <c r="C4" s="6">
        <v>30</v>
      </c>
      <c r="H4" t="s">
        <v>5</v>
      </c>
      <c r="I4" s="6">
        <v>26</v>
      </c>
    </row>
    <row r="6" spans="1:11" s="8" customFormat="1" ht="33" customHeight="1" x14ac:dyDescent="0.25">
      <c r="A6" s="7" t="s">
        <v>6</v>
      </c>
      <c r="B6" s="8" t="s">
        <v>4</v>
      </c>
      <c r="C6" s="9">
        <f>66.5+(13.75*$D$3)+(5.003*$E$2)-(6.775*$C$4)</f>
        <v>2084.0334000000003</v>
      </c>
      <c r="H6" s="8" t="s">
        <v>4</v>
      </c>
      <c r="I6" s="9">
        <f>655+(4.35*$J$3)+(4.7*$K$2)-(4.7*$I$4)</f>
        <v>1676.6170909090908</v>
      </c>
    </row>
    <row r="7" spans="1:11" s="8" customFormat="1" x14ac:dyDescent="0.25">
      <c r="A7" s="7"/>
      <c r="C7" s="9"/>
      <c r="I7" s="9"/>
    </row>
    <row r="8" spans="1:11" x14ac:dyDescent="0.25">
      <c r="C8" s="11" t="s">
        <v>12</v>
      </c>
      <c r="D8" s="11" t="s">
        <v>13</v>
      </c>
      <c r="E8" s="11" t="s">
        <v>14</v>
      </c>
      <c r="F8" s="11" t="s">
        <v>15</v>
      </c>
      <c r="G8" s="11" t="s">
        <v>16</v>
      </c>
      <c r="H8" s="11" t="s">
        <v>17</v>
      </c>
      <c r="I8" s="11" t="s">
        <v>28</v>
      </c>
    </row>
    <row r="9" spans="1:11" x14ac:dyDescent="0.25">
      <c r="A9" t="s">
        <v>7</v>
      </c>
      <c r="B9" t="s">
        <v>8</v>
      </c>
      <c r="C9" s="10">
        <v>0.3</v>
      </c>
      <c r="D9">
        <f>($E$12*C9)/F9</f>
        <v>160.125</v>
      </c>
      <c r="E9">
        <f>F9*D9</f>
        <v>640.5</v>
      </c>
      <c r="F9">
        <v>4</v>
      </c>
      <c r="G9">
        <v>7</v>
      </c>
    </row>
    <row r="10" spans="1:11" x14ac:dyDescent="0.25">
      <c r="B10" t="s">
        <v>9</v>
      </c>
      <c r="C10" s="10">
        <v>0.3</v>
      </c>
      <c r="D10">
        <f t="shared" ref="D9:D10" si="0">($E$12*C10)/F10</f>
        <v>160.125</v>
      </c>
      <c r="E10">
        <f t="shared" ref="E10:E11" si="1">F10*D10</f>
        <v>640.5</v>
      </c>
      <c r="F10">
        <v>4</v>
      </c>
      <c r="G10">
        <v>15</v>
      </c>
      <c r="I10">
        <v>45</v>
      </c>
    </row>
    <row r="11" spans="1:11" x14ac:dyDescent="0.25">
      <c r="B11" t="s">
        <v>10</v>
      </c>
      <c r="C11" s="10">
        <v>0.4</v>
      </c>
      <c r="D11">
        <f>($E$12*C11)/F11</f>
        <v>94.888888888888886</v>
      </c>
      <c r="E11">
        <f>E12*C11</f>
        <v>854</v>
      </c>
      <c r="F11">
        <v>9</v>
      </c>
      <c r="G11">
        <v>15</v>
      </c>
      <c r="H11">
        <v>15</v>
      </c>
    </row>
    <row r="12" spans="1:11" x14ac:dyDescent="0.25">
      <c r="B12" t="s">
        <v>11</v>
      </c>
      <c r="C12" s="12">
        <f>SUM(C9:C11)</f>
        <v>1</v>
      </c>
      <c r="D12" s="13">
        <f>SUM(D9:D11)</f>
        <v>415.13888888888891</v>
      </c>
      <c r="E12" s="14">
        <v>2135</v>
      </c>
    </row>
    <row r="14" spans="1:11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11</v>
      </c>
      <c r="G14" t="s">
        <v>14</v>
      </c>
    </row>
    <row r="15" spans="1:11" x14ac:dyDescent="0.25">
      <c r="A15" t="s">
        <v>23</v>
      </c>
      <c r="B15" s="15">
        <v>4</v>
      </c>
      <c r="C15" s="15">
        <v>5</v>
      </c>
      <c r="D15" s="15">
        <v>5</v>
      </c>
      <c r="E15" s="15">
        <v>0</v>
      </c>
      <c r="F15" s="15">
        <f>SUM(B15:E15)</f>
        <v>14</v>
      </c>
      <c r="G15" s="17">
        <f>F15*$G$9*$F$9</f>
        <v>392</v>
      </c>
    </row>
    <row r="16" spans="1:11" x14ac:dyDescent="0.25">
      <c r="A16" t="s">
        <v>24</v>
      </c>
      <c r="B16" s="15">
        <v>1</v>
      </c>
      <c r="C16" s="15">
        <v>0</v>
      </c>
      <c r="D16" s="15">
        <v>0</v>
      </c>
      <c r="E16" s="15">
        <v>5</v>
      </c>
      <c r="F16" s="15">
        <f t="shared" ref="F16:F19" si="2">SUM(B16:E16)</f>
        <v>6</v>
      </c>
      <c r="G16" s="17">
        <f>F16*$G$9*$F$9</f>
        <v>168</v>
      </c>
    </row>
    <row r="17" spans="1:7" x14ac:dyDescent="0.25">
      <c r="A17" t="s">
        <v>25</v>
      </c>
      <c r="B17" s="16">
        <v>0.5</v>
      </c>
      <c r="C17" s="16">
        <v>0</v>
      </c>
      <c r="D17" s="16">
        <v>0</v>
      </c>
      <c r="E17" s="16">
        <v>0</v>
      </c>
      <c r="F17" s="16">
        <f t="shared" si="2"/>
        <v>0.5</v>
      </c>
      <c r="G17" s="17">
        <f>F17*$G$10*$F$10</f>
        <v>30</v>
      </c>
    </row>
    <row r="18" spans="1:7" x14ac:dyDescent="0.25">
      <c r="A18" t="s">
        <v>26</v>
      </c>
      <c r="B18" s="16">
        <v>1.5</v>
      </c>
      <c r="C18" s="16">
        <v>1.5</v>
      </c>
      <c r="D18" s="16">
        <v>0.5</v>
      </c>
      <c r="E18" s="16">
        <v>0.5</v>
      </c>
      <c r="F18" s="16">
        <f t="shared" si="2"/>
        <v>4</v>
      </c>
      <c r="G18" s="17">
        <f>F18*$G$10*$F$10</f>
        <v>240</v>
      </c>
    </row>
    <row r="19" spans="1:7" x14ac:dyDescent="0.25">
      <c r="A19" t="s">
        <v>29</v>
      </c>
      <c r="B19" s="16">
        <v>0.5</v>
      </c>
      <c r="C19" s="16">
        <v>1</v>
      </c>
      <c r="D19" s="16">
        <v>1.5</v>
      </c>
      <c r="E19" s="16">
        <v>0.75</v>
      </c>
      <c r="F19" s="16">
        <f t="shared" si="2"/>
        <v>3.75</v>
      </c>
      <c r="G19" s="17">
        <f>F19*$G$11*$F$11</f>
        <v>506.25</v>
      </c>
    </row>
    <row r="20" spans="1:7" x14ac:dyDescent="0.25">
      <c r="A20" t="s">
        <v>27</v>
      </c>
    </row>
    <row r="21" spans="1:7" x14ac:dyDescent="0.25">
      <c r="A21" t="s">
        <v>11</v>
      </c>
      <c r="G21" s="18">
        <f>SUM(G15:G19)</f>
        <v>1336.25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Smith</dc:creator>
  <cp:lastModifiedBy>Jordan Smith</cp:lastModifiedBy>
  <dcterms:created xsi:type="dcterms:W3CDTF">2017-07-19T23:05:42Z</dcterms:created>
  <dcterms:modified xsi:type="dcterms:W3CDTF">2017-07-20T00:20:18Z</dcterms:modified>
</cp:coreProperties>
</file>