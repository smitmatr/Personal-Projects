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ate1904="1"/>
  <bookViews>
    <workbookView xWindow="0" yWindow="645" windowWidth="15960" windowHeight="11760" tabRatio="614"/>
  </bookViews>
  <sheets>
    <sheet name="Houston 2017 Summer Workout Log" sheetId="1" r:id="rId1"/>
    <sheet name="Houston 2017 Summer Workout Sum" sheetId="2" r:id="rId2"/>
    <sheet name="Tailwind + Gu + Saltstick" sheetId="3" r:id="rId3"/>
    <sheet name="Gat End + Gu + Saltstick" sheetId="4" r:id="rId4"/>
    <sheet name="Hammer Perp + Gu + Saltstick" sheetId="5" r:id="rId5"/>
    <sheet name="Electrolyte Products" sheetId="6" r:id="rId6"/>
  </sheets>
  <calcPr calcId="144525"/>
</workbook>
</file>

<file path=xl/calcChain.xml><?xml version="1.0" encoding="utf-8"?>
<calcChain xmlns="http://schemas.openxmlformats.org/spreadsheetml/2006/main">
  <c r="H10" i="6" l="1"/>
  <c r="Q4" i="1" l="1"/>
  <c r="M3" i="1" l="1"/>
  <c r="M4" i="1"/>
  <c r="M5" i="1"/>
  <c r="M6" i="1"/>
  <c r="M7" i="1"/>
  <c r="O10" i="6" l="1"/>
  <c r="N10" i="6"/>
  <c r="M10" i="6"/>
  <c r="L10" i="6"/>
  <c r="K10" i="6"/>
  <c r="J10" i="6"/>
  <c r="B9" i="4" s="1"/>
  <c r="I10" i="6"/>
  <c r="B19" i="3" s="1"/>
  <c r="G10" i="6"/>
  <c r="F10" i="6"/>
  <c r="E10" i="6"/>
  <c r="C19" i="5" s="1"/>
  <c r="C10" i="6"/>
  <c r="B10" i="6"/>
  <c r="K5" i="6"/>
  <c r="G5" i="6"/>
  <c r="B19" i="5"/>
  <c r="D18" i="5"/>
  <c r="C18" i="5"/>
  <c r="B18" i="5"/>
  <c r="E18" i="5" s="1"/>
  <c r="D17" i="5"/>
  <c r="C17" i="5"/>
  <c r="B17" i="5"/>
  <c r="D16" i="5"/>
  <c r="C16" i="5"/>
  <c r="B16" i="5"/>
  <c r="E16" i="5" s="1"/>
  <c r="D15" i="5"/>
  <c r="C15" i="5"/>
  <c r="B15" i="5"/>
  <c r="D14" i="5"/>
  <c r="E14" i="5" s="1"/>
  <c r="C14" i="5"/>
  <c r="B14" i="5"/>
  <c r="D13" i="5"/>
  <c r="C13" i="5"/>
  <c r="E13" i="5" s="1"/>
  <c r="B13" i="5"/>
  <c r="C9" i="5"/>
  <c r="B9" i="5"/>
  <c r="F8" i="5"/>
  <c r="D8" i="5"/>
  <c r="C8" i="5"/>
  <c r="B8" i="5"/>
  <c r="D7" i="5"/>
  <c r="C7" i="5"/>
  <c r="B7" i="5"/>
  <c r="D6" i="5"/>
  <c r="C6" i="5"/>
  <c r="B6" i="5"/>
  <c r="D5" i="5"/>
  <c r="C5" i="5"/>
  <c r="B5" i="5"/>
  <c r="E5" i="5" s="1"/>
  <c r="D4" i="5"/>
  <c r="C4" i="5"/>
  <c r="B4" i="5"/>
  <c r="D3" i="5"/>
  <c r="C3" i="5"/>
  <c r="B3" i="5"/>
  <c r="C19" i="4"/>
  <c r="B19" i="4"/>
  <c r="D18" i="4"/>
  <c r="C18" i="4"/>
  <c r="B18" i="4"/>
  <c r="E18" i="4" s="1"/>
  <c r="D17" i="4"/>
  <c r="E17" i="4" s="1"/>
  <c r="C17" i="4"/>
  <c r="B17" i="4"/>
  <c r="D16" i="4"/>
  <c r="C16" i="4"/>
  <c r="B16" i="4"/>
  <c r="D15" i="4"/>
  <c r="C15" i="4"/>
  <c r="B15" i="4"/>
  <c r="D14" i="4"/>
  <c r="C14" i="4"/>
  <c r="B14" i="4"/>
  <c r="E14" i="4" s="1"/>
  <c r="D13" i="4"/>
  <c r="E13" i="4" s="1"/>
  <c r="C13" i="4"/>
  <c r="B13" i="4"/>
  <c r="D9" i="4"/>
  <c r="F8" i="4"/>
  <c r="D8" i="4"/>
  <c r="C8" i="4"/>
  <c r="B8" i="4"/>
  <c r="E8" i="4" s="1"/>
  <c r="D7" i="4"/>
  <c r="C7" i="4"/>
  <c r="B7" i="4"/>
  <c r="D6" i="4"/>
  <c r="C6" i="4"/>
  <c r="B6" i="4"/>
  <c r="E6" i="4" s="1"/>
  <c r="D5" i="4"/>
  <c r="C5" i="4"/>
  <c r="B5" i="4"/>
  <c r="D4" i="4"/>
  <c r="C4" i="4"/>
  <c r="E4" i="4" s="1"/>
  <c r="B4" i="4"/>
  <c r="D3" i="4"/>
  <c r="C3" i="4"/>
  <c r="E3" i="4" s="1"/>
  <c r="B3" i="4"/>
  <c r="C19" i="3"/>
  <c r="D18" i="3"/>
  <c r="C18" i="3"/>
  <c r="B18" i="3"/>
  <c r="D17" i="3"/>
  <c r="C17" i="3"/>
  <c r="B17" i="3"/>
  <c r="E17" i="3" s="1"/>
  <c r="D16" i="3"/>
  <c r="C16" i="3"/>
  <c r="B16" i="3"/>
  <c r="D15" i="3"/>
  <c r="C15" i="3"/>
  <c r="B15" i="3"/>
  <c r="E15" i="3" s="1"/>
  <c r="D14" i="3"/>
  <c r="C14" i="3"/>
  <c r="B14" i="3"/>
  <c r="D13" i="3"/>
  <c r="C13" i="3"/>
  <c r="E13" i="3" s="1"/>
  <c r="B13" i="3"/>
  <c r="F8" i="3"/>
  <c r="D8" i="3"/>
  <c r="C8" i="3"/>
  <c r="B8" i="3"/>
  <c r="D7" i="3"/>
  <c r="C7" i="3"/>
  <c r="E7" i="3" s="1"/>
  <c r="B7" i="3"/>
  <c r="D6" i="3"/>
  <c r="C6" i="3"/>
  <c r="B6" i="3"/>
  <c r="E6" i="3" s="1"/>
  <c r="D5" i="3"/>
  <c r="C5" i="3"/>
  <c r="B5" i="3"/>
  <c r="D4" i="3"/>
  <c r="C4" i="3"/>
  <c r="B4" i="3"/>
  <c r="D3" i="3"/>
  <c r="C3" i="3"/>
  <c r="B3" i="3"/>
  <c r="C6" i="2"/>
  <c r="T26" i="1"/>
  <c r="P26" i="1"/>
  <c r="S26" i="1" s="1"/>
  <c r="O26" i="1"/>
  <c r="N26" i="1"/>
  <c r="M26" i="1"/>
  <c r="I26" i="1"/>
  <c r="L25" i="1"/>
  <c r="M25" i="1" s="1"/>
  <c r="K25" i="1"/>
  <c r="N25" i="1" s="1"/>
  <c r="O25" i="1" s="1"/>
  <c r="I25" i="1"/>
  <c r="P24" i="1"/>
  <c r="O24" i="1"/>
  <c r="N24" i="1"/>
  <c r="M24" i="1"/>
  <c r="I24" i="1"/>
  <c r="P23" i="1"/>
  <c r="M23" i="1"/>
  <c r="C4" i="2" s="1"/>
  <c r="K23" i="1"/>
  <c r="N23" i="1" s="1"/>
  <c r="O23" i="1" s="1"/>
  <c r="I23" i="1"/>
  <c r="S22" i="1"/>
  <c r="R22" i="1"/>
  <c r="N22" i="1"/>
  <c r="P22" i="1" s="1"/>
  <c r="M22" i="1"/>
  <c r="I22" i="1"/>
  <c r="P21" i="1"/>
  <c r="O21" i="1"/>
  <c r="N21" i="1"/>
  <c r="M21" i="1"/>
  <c r="I21" i="1"/>
  <c r="T20" i="1"/>
  <c r="P20" i="1"/>
  <c r="Q20" i="1" s="1"/>
  <c r="O20" i="1"/>
  <c r="N20" i="1"/>
  <c r="M20" i="1"/>
  <c r="I20" i="1"/>
  <c r="N19" i="1"/>
  <c r="M19" i="1"/>
  <c r="K19" i="1"/>
  <c r="I19" i="1"/>
  <c r="P18" i="1"/>
  <c r="O18" i="1"/>
  <c r="N18" i="1"/>
  <c r="M18" i="1"/>
  <c r="I18" i="1"/>
  <c r="T17" i="1"/>
  <c r="P17" i="1"/>
  <c r="N17" i="1"/>
  <c r="O17" i="1" s="1"/>
  <c r="M17" i="1"/>
  <c r="C8" i="2" s="1"/>
  <c r="I17" i="1"/>
  <c r="N16" i="1"/>
  <c r="M16" i="1"/>
  <c r="I16" i="1"/>
  <c r="S15" i="1"/>
  <c r="R15" i="1"/>
  <c r="N15" i="1"/>
  <c r="P15" i="1" s="1"/>
  <c r="I15" i="1"/>
  <c r="N14" i="1"/>
  <c r="P14" i="1" s="1"/>
  <c r="S14" i="1" s="1"/>
  <c r="M14" i="1"/>
  <c r="I14" i="1"/>
  <c r="P13" i="1"/>
  <c r="O13" i="1"/>
  <c r="N13" i="1"/>
  <c r="M13" i="1"/>
  <c r="I13" i="1"/>
  <c r="N12" i="1"/>
  <c r="P12" i="1" s="1"/>
  <c r="T12" i="1" s="1"/>
  <c r="M12" i="1"/>
  <c r="C3" i="2" s="1"/>
  <c r="I12" i="1"/>
  <c r="N11" i="1"/>
  <c r="M11" i="1"/>
  <c r="C7" i="2" s="1"/>
  <c r="I11" i="1"/>
  <c r="N10" i="1"/>
  <c r="P10" i="1" s="1"/>
  <c r="M10" i="1"/>
  <c r="I10" i="1"/>
  <c r="N9" i="1"/>
  <c r="O9" i="1" s="1"/>
  <c r="M9" i="1"/>
  <c r="I9" i="1"/>
  <c r="P8" i="1"/>
  <c r="T8" i="1" s="1"/>
  <c r="O8" i="1"/>
  <c r="N8" i="1"/>
  <c r="M8" i="1"/>
  <c r="I8" i="1"/>
  <c r="N7" i="1"/>
  <c r="I7" i="1"/>
  <c r="N6" i="1"/>
  <c r="B3" i="2" s="1"/>
  <c r="I6" i="1"/>
  <c r="N5" i="1"/>
  <c r="I5" i="1"/>
  <c r="N4" i="1"/>
  <c r="I4" i="1"/>
  <c r="N3" i="1"/>
  <c r="B6" i="2" s="1"/>
  <c r="I3" i="1"/>
  <c r="E14" i="3" l="1"/>
  <c r="E5" i="4"/>
  <c r="E16" i="4"/>
  <c r="E4" i="5"/>
  <c r="E8" i="5"/>
  <c r="E15" i="5"/>
  <c r="E3" i="3"/>
  <c r="E16" i="3"/>
  <c r="E6" i="5"/>
  <c r="E5" i="3"/>
  <c r="E8" i="3"/>
  <c r="E7" i="4"/>
  <c r="E15" i="4"/>
  <c r="E3" i="5"/>
  <c r="E7" i="5"/>
  <c r="E17" i="5"/>
  <c r="P9" i="1"/>
  <c r="O12" i="1"/>
  <c r="F17" i="4"/>
  <c r="G17" i="4" s="1"/>
  <c r="F17" i="5"/>
  <c r="G17" i="5" s="1"/>
  <c r="F17" i="3"/>
  <c r="G17" i="3" s="1"/>
  <c r="T10" i="1"/>
  <c r="Q10" i="1"/>
  <c r="Q13" i="1"/>
  <c r="R13" i="1"/>
  <c r="T14" i="1"/>
  <c r="Q14" i="1"/>
  <c r="Q18" i="1"/>
  <c r="R18" i="1"/>
  <c r="Q21" i="1"/>
  <c r="R21" i="1"/>
  <c r="R23" i="1"/>
  <c r="S23" i="1"/>
  <c r="R10" i="1"/>
  <c r="O11" i="1"/>
  <c r="P11" i="1"/>
  <c r="T15" i="1"/>
  <c r="Q15" i="1"/>
  <c r="R17" i="1"/>
  <c r="S17" i="1"/>
  <c r="S18" i="1"/>
  <c r="T22" i="1"/>
  <c r="Q22" i="1"/>
  <c r="Q9" i="1"/>
  <c r="R9" i="1"/>
  <c r="E8" i="2" s="1"/>
  <c r="S10" i="1"/>
  <c r="R14" i="1"/>
  <c r="O15" i="1"/>
  <c r="C5" i="2"/>
  <c r="Q17" i="1"/>
  <c r="T18" i="1"/>
  <c r="O19" i="1"/>
  <c r="P19" i="1"/>
  <c r="T21" i="1"/>
  <c r="O22" i="1"/>
  <c r="T23" i="1"/>
  <c r="P25" i="1"/>
  <c r="B4" i="2"/>
  <c r="B8" i="2"/>
  <c r="E4" i="3"/>
  <c r="E18" i="3"/>
  <c r="R8" i="1"/>
  <c r="S8" i="1"/>
  <c r="B5" i="2"/>
  <c r="O16" i="1"/>
  <c r="P16" i="1"/>
  <c r="Q24" i="1"/>
  <c r="R24" i="1"/>
  <c r="D19" i="4"/>
  <c r="E19" i="4" s="1"/>
  <c r="D9" i="5"/>
  <c r="D19" i="5"/>
  <c r="E19" i="5" s="1"/>
  <c r="D9" i="3"/>
  <c r="O3" i="1"/>
  <c r="P3" i="1"/>
  <c r="O4" i="1"/>
  <c r="P4" i="1"/>
  <c r="O5" i="1"/>
  <c r="P5" i="1"/>
  <c r="O6" i="1"/>
  <c r="P6" i="1"/>
  <c r="B7" i="2"/>
  <c r="O7" i="1"/>
  <c r="P7" i="1"/>
  <c r="Q8" i="1"/>
  <c r="O10" i="1"/>
  <c r="R12" i="1"/>
  <c r="S12" i="1"/>
  <c r="S13" i="1"/>
  <c r="S24" i="1"/>
  <c r="B9" i="3"/>
  <c r="Q12" i="1"/>
  <c r="T13" i="1"/>
  <c r="O14" i="1"/>
  <c r="R20" i="1"/>
  <c r="S20" i="1"/>
  <c r="S21" i="1"/>
  <c r="Q23" i="1"/>
  <c r="T24" i="1"/>
  <c r="Q26" i="1"/>
  <c r="R26" i="1"/>
  <c r="D19" i="3"/>
  <c r="E19" i="3" s="1"/>
  <c r="E9" i="5"/>
  <c r="C9" i="4"/>
  <c r="E9" i="4" s="1"/>
  <c r="C9" i="3"/>
  <c r="F8" i="2" l="1"/>
  <c r="F15" i="4" s="1"/>
  <c r="G15" i="4" s="1"/>
  <c r="T9" i="1"/>
  <c r="G8" i="2" s="1"/>
  <c r="F16" i="4" s="1"/>
  <c r="G16" i="4" s="1"/>
  <c r="S9" i="1"/>
  <c r="R25" i="1"/>
  <c r="S25" i="1"/>
  <c r="T25" i="1"/>
  <c r="Q25" i="1"/>
  <c r="S19" i="1"/>
  <c r="T19" i="1"/>
  <c r="R19" i="1"/>
  <c r="Q19" i="1"/>
  <c r="F7" i="3"/>
  <c r="G7" i="3" s="1"/>
  <c r="F7" i="4"/>
  <c r="G7" i="4" s="1"/>
  <c r="F7" i="5"/>
  <c r="G7" i="5" s="1"/>
  <c r="F14" i="3"/>
  <c r="G14" i="3" s="1"/>
  <c r="F14" i="5"/>
  <c r="G14" i="5" s="1"/>
  <c r="F14" i="4"/>
  <c r="G14" i="4" s="1"/>
  <c r="S7" i="1"/>
  <c r="T7" i="1"/>
  <c r="R7" i="1"/>
  <c r="Q7" i="1"/>
  <c r="S4" i="1"/>
  <c r="T4" i="1"/>
  <c r="R4" i="1"/>
  <c r="G4" i="2"/>
  <c r="D8" i="2"/>
  <c r="S11" i="1"/>
  <c r="T11" i="1"/>
  <c r="Q11" i="1"/>
  <c r="R11" i="1"/>
  <c r="S6" i="1"/>
  <c r="T6" i="1"/>
  <c r="R6" i="1"/>
  <c r="Q6" i="1"/>
  <c r="E9" i="3"/>
  <c r="S5" i="1"/>
  <c r="F3" i="2" s="1"/>
  <c r="T5" i="1"/>
  <c r="R5" i="1"/>
  <c r="Q5" i="1"/>
  <c r="F4" i="2"/>
  <c r="F16" i="3"/>
  <c r="G16" i="3" s="1"/>
  <c r="F16" i="5"/>
  <c r="G16" i="5" s="1"/>
  <c r="D4" i="2"/>
  <c r="S3" i="1"/>
  <c r="F6" i="2" s="1"/>
  <c r="T3" i="1"/>
  <c r="G6" i="2" s="1"/>
  <c r="R3" i="1"/>
  <c r="Q3" i="1"/>
  <c r="D6" i="2" s="1"/>
  <c r="S16" i="1"/>
  <c r="F5" i="2" s="1"/>
  <c r="T16" i="1"/>
  <c r="G5" i="2" s="1"/>
  <c r="R16" i="1"/>
  <c r="E5" i="2" s="1"/>
  <c r="Q16" i="1"/>
  <c r="D5" i="2" s="1"/>
  <c r="E4" i="2"/>
  <c r="G3" i="2" l="1"/>
  <c r="D3" i="2"/>
  <c r="E3" i="2"/>
  <c r="E6" i="2"/>
  <c r="F15" i="3"/>
  <c r="G15" i="3" s="1"/>
  <c r="F15" i="5"/>
  <c r="G15" i="5" s="1"/>
  <c r="E7" i="2"/>
  <c r="F4" i="5"/>
  <c r="G4" i="5" s="1"/>
  <c r="F4" i="4"/>
  <c r="G4" i="4" s="1"/>
  <c r="F4" i="3"/>
  <c r="G4" i="3" s="1"/>
  <c r="F6" i="5"/>
  <c r="G6" i="5" s="1"/>
  <c r="F6" i="4"/>
  <c r="G6" i="4" s="1"/>
  <c r="F6" i="3"/>
  <c r="G6" i="3" s="1"/>
  <c r="F13" i="4"/>
  <c r="G13" i="4" s="1"/>
  <c r="F13" i="5"/>
  <c r="G13" i="5" s="1"/>
  <c r="F13" i="3"/>
  <c r="G13" i="3" s="1"/>
  <c r="G7" i="2"/>
  <c r="F5" i="3"/>
  <c r="G5" i="3" s="1"/>
  <c r="F5" i="4"/>
  <c r="G5" i="4" s="1"/>
  <c r="F5" i="5"/>
  <c r="G5" i="5" s="1"/>
  <c r="F7" i="2"/>
  <c r="F3" i="3"/>
  <c r="G3" i="3" s="1"/>
  <c r="F3" i="4"/>
  <c r="G3" i="4" s="1"/>
  <c r="F3" i="5"/>
  <c r="G3" i="5" s="1"/>
  <c r="D7" i="2"/>
</calcChain>
</file>

<file path=xl/sharedStrings.xml><?xml version="1.0" encoding="utf-8"?>
<sst xmlns="http://schemas.openxmlformats.org/spreadsheetml/2006/main" count="202" uniqueCount="75">
  <si>
    <t>Date</t>
  </si>
  <si>
    <t>Workout Type</t>
  </si>
  <si>
    <t>Course Type</t>
  </si>
  <si>
    <t>Humidity (from wunderground)</t>
  </si>
  <si>
    <t>Weight Before (lbs)</t>
  </si>
  <si>
    <t>Weight After (lbs)</t>
  </si>
  <si>
    <t>Weight Loss %</t>
  </si>
  <si>
    <t>Workout Duration (hrs)</t>
  </si>
  <si>
    <t>Fluid Intake (oz)</t>
  </si>
  <si>
    <t>Calories Burned</t>
  </si>
  <si>
    <t>Calories/hr</t>
  </si>
  <si>
    <t>Sweat Loss (oz/hr)</t>
  </si>
  <si>
    <t>Sweat Loss (lb/hr)</t>
  </si>
  <si>
    <t>Sweat Loss (L/hr)</t>
  </si>
  <si>
    <t>Sodium Loss (mg/hr)</t>
  </si>
  <si>
    <t>Potassium Loss (mg/hr)</t>
  </si>
  <si>
    <t>Calcium Loss (mg/hr)</t>
  </si>
  <si>
    <t>Magnesium Loss (mg/hr)</t>
  </si>
  <si>
    <t>Salt Capsules taken</t>
  </si>
  <si>
    <t>Powder</t>
  </si>
  <si>
    <t>Food</t>
  </si>
  <si>
    <t>Gu</t>
  </si>
  <si>
    <t>Result</t>
  </si>
  <si>
    <t>Run_Speed</t>
  </si>
  <si>
    <t>Flat</t>
  </si>
  <si>
    <t>Bike_Speed</t>
  </si>
  <si>
    <t>Run_LSD</t>
  </si>
  <si>
    <t>2hr LSD z2 Bike + 2mi run</t>
  </si>
  <si>
    <t>Run_Brick</t>
  </si>
  <si>
    <t>Bike_Recovery</t>
  </si>
  <si>
    <t>Run_Recovery</t>
  </si>
  <si>
    <t>Bike_Brick</t>
  </si>
  <si>
    <t>Bike_LSD</t>
  </si>
  <si>
    <t>Replace</t>
  </si>
  <si>
    <t>Avg Sweat Rate (oz/hr)</t>
  </si>
  <si>
    <t>Bike</t>
  </si>
  <si>
    <t>Tailwind</t>
  </si>
  <si>
    <t>Salted Caramel Gu</t>
  </si>
  <si>
    <t>Saltstick</t>
  </si>
  <si>
    <t xml:space="preserve">Total </t>
  </si>
  <si>
    <t>Recommended Intake (Bike_Brick)</t>
  </si>
  <si>
    <t>Deficiency</t>
  </si>
  <si>
    <t>#Servings</t>
  </si>
  <si>
    <t>Sodium (mg)</t>
  </si>
  <si>
    <t>Potassium (mg)</t>
  </si>
  <si>
    <t>Calcium (mg)</t>
  </si>
  <si>
    <t>Magnesium (mg)</t>
  </si>
  <si>
    <t>Calories (g)</t>
  </si>
  <si>
    <t>Carbs</t>
  </si>
  <si>
    <t>$</t>
  </si>
  <si>
    <t>Run</t>
  </si>
  <si>
    <t>Recommended Intake (Run_Brick)</t>
  </si>
  <si>
    <t>Gatorade Endurance</t>
  </si>
  <si>
    <t>Hammer Perpetuem</t>
  </si>
  <si>
    <t>per serving</t>
  </si>
  <si>
    <t>Metasalt</t>
  </si>
  <si>
    <t>Hammer Endurolytes</t>
  </si>
  <si>
    <t>Gu (salted caramel &amp; salted watermelon)</t>
  </si>
  <si>
    <t>Gu (others)</t>
  </si>
  <si>
    <t>Scratch (1/2 scoop = 1 serving)</t>
  </si>
  <si>
    <t>Tailwind (27g serving)</t>
  </si>
  <si>
    <t>Gatorade Endurance Formula (24g)</t>
  </si>
  <si>
    <t>Osmo Hydration</t>
  </si>
  <si>
    <t>Hammer Endurolyte Fizz Tablets</t>
  </si>
  <si>
    <t>UCAN Superstarch</t>
  </si>
  <si>
    <t>Coca-Cola (12oz can)</t>
  </si>
  <si>
    <t>Calories</t>
  </si>
  <si>
    <t>Carbs (g)</t>
  </si>
  <si>
    <t># Servings per container</t>
  </si>
  <si>
    <t>$/serving</t>
  </si>
  <si>
    <t>INPUT</t>
  </si>
  <si>
    <t>CALCULATED</t>
  </si>
  <si>
    <t>Temp (F) (from Weatherbug)</t>
  </si>
  <si>
    <t>Heat Index (from Weatherbug)</t>
  </si>
  <si>
    <t>Scratch (single serving 24g)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</si>
</sst>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\ h:mm\ AM/PM"/>
    <numFmt numFmtId="165" formatCode="0.0"/>
    <numFmt numFmtId="166" formatCode="&quot;$&quot;0.00"/>
    <numFmt numFmtId="167" formatCode="&quot;$&quot;0"/>
  </numFmts>
  <fonts count="5" x14ac:knownFonts="1">
    <font>
      <sz val="10"/>
      <color indexed="8"/>
      <name val="Helvetica"/>
    </font>
    <font>
      <sz val="12"/>
      <color indexed="8"/>
      <name val="Helvetica"/>
    </font>
    <font>
      <b/>
      <sz val="10"/>
      <color indexed="8"/>
      <name val="Helvetica"/>
    </font>
    <font>
      <b/>
      <sz val="30"/>
      <color indexed="8"/>
      <name val="Helvetica"/>
    </font>
    <font>
      <b/>
      <sz val="12"/>
      <color indexed="8"/>
      <name val="Helvetica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7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0" fillId="0" borderId="4" xfId="0" applyNumberFormat="1" applyFont="1" applyBorder="1" applyAlignment="1">
      <alignment vertical="top" wrapText="1"/>
    </xf>
    <xf numFmtId="10" fontId="0" fillId="0" borderId="4" xfId="0" applyNumberFormat="1" applyFont="1" applyBorder="1" applyAlignment="1">
      <alignment vertical="top" wrapText="1"/>
    </xf>
    <xf numFmtId="165" fontId="0" fillId="0" borderId="4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10" fontId="0" fillId="0" borderId="7" xfId="0" applyNumberFormat="1" applyFont="1" applyBorder="1" applyAlignment="1">
      <alignment vertical="top" wrapText="1"/>
    </xf>
    <xf numFmtId="165" fontId="0" fillId="0" borderId="7" xfId="0" applyNumberFormat="1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9" fontId="2" fillId="2" borderId="7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0" fontId="0" fillId="0" borderId="3" xfId="0" applyNumberFormat="1" applyFont="1" applyBorder="1" applyAlignment="1">
      <alignment vertical="top" wrapText="1"/>
    </xf>
    <xf numFmtId="49" fontId="2" fillId="3" borderId="5" xfId="0" applyNumberFormat="1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center" vertical="top" wrapText="1"/>
    </xf>
    <xf numFmtId="0" fontId="0" fillId="0" borderId="3" xfId="0" applyNumberFormat="1" applyFont="1" applyBorder="1" applyAlignment="1">
      <alignment horizontal="center" vertical="top" wrapText="1"/>
    </xf>
    <xf numFmtId="0" fontId="0" fillId="0" borderId="4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horizontal="center" vertical="top" wrapText="1"/>
    </xf>
    <xf numFmtId="165" fontId="2" fillId="0" borderId="4" xfId="0" applyNumberFormat="1" applyFont="1" applyBorder="1" applyAlignment="1">
      <alignment horizontal="center" vertical="top" wrapText="1"/>
    </xf>
    <xf numFmtId="165" fontId="0" fillId="0" borderId="4" xfId="0" applyNumberFormat="1" applyFont="1" applyBorder="1" applyAlignment="1">
      <alignment horizontal="center" vertical="top" wrapText="1"/>
    </xf>
    <xf numFmtId="0" fontId="0" fillId="0" borderId="6" xfId="0" applyNumberFormat="1" applyFont="1" applyBorder="1" applyAlignment="1">
      <alignment horizontal="center" vertical="top" wrapText="1"/>
    </xf>
    <xf numFmtId="0" fontId="0" fillId="0" borderId="7" xfId="0" applyNumberFormat="1" applyFont="1" applyBorder="1" applyAlignment="1">
      <alignment horizontal="center" vertical="top" wrapText="1"/>
    </xf>
    <xf numFmtId="0" fontId="2" fillId="0" borderId="7" xfId="0" applyNumberFormat="1" applyFont="1" applyBorder="1" applyAlignment="1">
      <alignment horizontal="center" vertical="top" wrapText="1"/>
    </xf>
    <xf numFmtId="165" fontId="2" fillId="0" borderId="7" xfId="0" applyNumberFormat="1" applyFont="1" applyBorder="1" applyAlignment="1">
      <alignment horizontal="center" vertical="top" wrapText="1"/>
    </xf>
    <xf numFmtId="165" fontId="0" fillId="0" borderId="7" xfId="0" applyNumberFormat="1" applyFont="1" applyBorder="1" applyAlignment="1">
      <alignment horizontal="center" vertical="top" wrapText="1"/>
    </xf>
    <xf numFmtId="166" fontId="0" fillId="0" borderId="6" xfId="0" applyNumberFormat="1" applyFont="1" applyBorder="1" applyAlignment="1">
      <alignment horizontal="center" vertical="top" wrapText="1"/>
    </xf>
    <xf numFmtId="166" fontId="0" fillId="0" borderId="7" xfId="0" applyNumberFormat="1" applyFont="1" applyBorder="1" applyAlignment="1">
      <alignment horizontal="center" vertical="top" wrapText="1"/>
    </xf>
    <xf numFmtId="166" fontId="2" fillId="0" borderId="7" xfId="0" applyNumberFormat="1" applyFont="1" applyBorder="1" applyAlignment="1">
      <alignment horizontal="center" vertical="top" wrapText="1"/>
    </xf>
    <xf numFmtId="0" fontId="0" fillId="0" borderId="6" xfId="0" applyFont="1" applyBorder="1" applyAlignment="1">
      <alignment horizontal="center" vertical="top" wrapText="1"/>
    </xf>
    <xf numFmtId="0" fontId="0" fillId="0" borderId="7" xfId="0" applyFont="1" applyBorder="1" applyAlignment="1">
      <alignment horizontal="center" vertical="top" wrapText="1"/>
    </xf>
    <xf numFmtId="49" fontId="3" fillId="3" borderId="5" xfId="0" applyNumberFormat="1" applyFont="1" applyFill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167" fontId="0" fillId="0" borderId="6" xfId="0" applyNumberFormat="1" applyFont="1" applyBorder="1" applyAlignment="1">
      <alignment vertical="top" wrapText="1"/>
    </xf>
    <xf numFmtId="167" fontId="0" fillId="0" borderId="7" xfId="0" applyNumberFormat="1" applyFont="1" applyBorder="1" applyAlignment="1">
      <alignment vertical="top" wrapText="1"/>
    </xf>
    <xf numFmtId="166" fontId="0" fillId="0" borderId="6" xfId="0" applyNumberFormat="1" applyFont="1" applyBorder="1" applyAlignment="1">
      <alignment vertical="top" wrapText="1"/>
    </xf>
    <xf numFmtId="166" fontId="0" fillId="0" borderId="7" xfId="0" applyNumberFormat="1" applyFont="1" applyBorder="1" applyAlignment="1">
      <alignment vertical="top" wrapText="1"/>
    </xf>
    <xf numFmtId="49" fontId="0" fillId="0" borderId="7" xfId="0" applyNumberFormat="1" applyFont="1" applyFill="1" applyBorder="1" applyAlignment="1">
      <alignment vertical="top" wrapText="1"/>
    </xf>
    <xf numFmtId="10" fontId="0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165" fontId="0" fillId="4" borderId="4" xfId="0" applyNumberFormat="1" applyFont="1" applyFill="1" applyBorder="1" applyAlignment="1">
      <alignment vertical="top" wrapText="1"/>
    </xf>
    <xf numFmtId="165" fontId="0" fillId="4" borderId="7" xfId="0" applyNumberFormat="1" applyFont="1" applyFill="1" applyBorder="1" applyAlignment="1">
      <alignment vertical="top" wrapText="1"/>
    </xf>
    <xf numFmtId="0" fontId="0" fillId="4" borderId="7" xfId="0" applyNumberFormat="1" applyFont="1" applyFill="1" applyBorder="1" applyAlignment="1">
      <alignment vertical="top" wrapText="1"/>
    </xf>
    <xf numFmtId="0" fontId="0" fillId="4" borderId="0" xfId="0" applyNumberFormat="1" applyFont="1" applyFill="1" applyAlignment="1">
      <alignment vertical="top" wrapText="1"/>
    </xf>
    <xf numFmtId="0" fontId="0" fillId="5" borderId="4" xfId="0" applyNumberFormat="1" applyFont="1" applyFill="1" applyBorder="1" applyAlignment="1">
      <alignment vertical="top" wrapText="1"/>
    </xf>
    <xf numFmtId="165" fontId="0" fillId="5" borderId="4" xfId="0" applyNumberFormat="1" applyFont="1" applyFill="1" applyBorder="1" applyAlignment="1">
      <alignment vertical="top" wrapText="1"/>
    </xf>
    <xf numFmtId="0" fontId="0" fillId="5" borderId="7" xfId="0" applyNumberFormat="1" applyFont="1" applyFill="1" applyBorder="1" applyAlignment="1">
      <alignment vertical="top" wrapText="1"/>
    </xf>
    <xf numFmtId="165" fontId="0" fillId="5" borderId="7" xfId="0" applyNumberFormat="1" applyFont="1" applyFill="1" applyBorder="1" applyAlignment="1">
      <alignment vertical="top" wrapText="1"/>
    </xf>
    <xf numFmtId="0" fontId="0" fillId="5" borderId="0" xfId="0" applyNumberFormat="1" applyFont="1" applyFill="1" applyAlignment="1">
      <alignment vertical="top" wrapText="1"/>
    </xf>
    <xf numFmtId="164" fontId="2" fillId="5" borderId="2" xfId="0" applyNumberFormat="1" applyFont="1" applyFill="1" applyBorder="1" applyAlignment="1">
      <alignment vertical="top" wrapText="1"/>
    </xf>
    <xf numFmtId="49" fontId="0" fillId="5" borderId="3" xfId="0" applyNumberFormat="1" applyFont="1" applyFill="1" applyBorder="1" applyAlignment="1">
      <alignment vertical="top" wrapText="1"/>
    </xf>
    <xf numFmtId="49" fontId="0" fillId="5" borderId="4" xfId="0" applyNumberFormat="1" applyFont="1" applyFill="1" applyBorder="1" applyAlignment="1">
      <alignment vertical="top" wrapText="1"/>
    </xf>
    <xf numFmtId="9" fontId="0" fillId="5" borderId="4" xfId="0" applyNumberFormat="1" applyFont="1" applyFill="1" applyBorder="1" applyAlignment="1">
      <alignment vertical="top" wrapText="1"/>
    </xf>
    <xf numFmtId="164" fontId="2" fillId="5" borderId="5" xfId="0" applyNumberFormat="1" applyFont="1" applyFill="1" applyBorder="1" applyAlignment="1">
      <alignment vertical="top" wrapText="1"/>
    </xf>
    <xf numFmtId="49" fontId="0" fillId="5" borderId="6" xfId="0" applyNumberFormat="1" applyFont="1" applyFill="1" applyBorder="1" applyAlignment="1">
      <alignment vertical="top" wrapText="1"/>
    </xf>
    <xf numFmtId="49" fontId="0" fillId="5" borderId="7" xfId="0" applyNumberFormat="1" applyFont="1" applyFill="1" applyBorder="1" applyAlignment="1">
      <alignment vertical="top" wrapText="1"/>
    </xf>
    <xf numFmtId="9" fontId="0" fillId="5" borderId="7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49" fontId="2" fillId="5" borderId="8" xfId="0" applyNumberFormat="1" applyFont="1" applyFill="1" applyBorder="1" applyAlignment="1">
      <alignment vertical="top" wrapText="1"/>
    </xf>
    <xf numFmtId="49" fontId="2" fillId="2" borderId="8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000000"/>
      </font>
      <fill>
        <patternFill patternType="solid">
          <fgColor indexed="14"/>
          <bgColor indexed="16"/>
        </patternFill>
      </fill>
    </dxf>
    <dxf>
      <font>
        <color rgb="FF000000"/>
      </font>
      <fill>
        <patternFill patternType="solid">
          <fgColor indexed="14"/>
          <bgColor indexed="15"/>
        </patternFill>
      </fill>
    </dxf>
    <dxf>
      <font>
        <color rgb="FF000000"/>
      </font>
      <fill>
        <patternFill patternType="solid">
          <fgColor indexed="14"/>
          <bgColor indexed="16"/>
        </patternFill>
      </fill>
    </dxf>
    <dxf>
      <font>
        <color rgb="FF000000"/>
      </font>
      <fill>
        <patternFill patternType="solid">
          <fgColor indexed="14"/>
          <bgColor indexed="15"/>
        </patternFill>
      </fill>
    </dxf>
    <dxf>
      <font>
        <color rgb="FF000000"/>
      </font>
      <fill>
        <patternFill patternType="solid">
          <fgColor indexed="14"/>
          <bgColor indexed="16"/>
        </patternFill>
      </fill>
    </dxf>
    <dxf>
      <font>
        <color rgb="FF000000"/>
      </font>
      <fill>
        <patternFill patternType="solid">
          <fgColor indexed="14"/>
          <bgColor indexed="15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E061"/>
      <rgbColor rgb="00000000"/>
      <rgbColor rgb="E5FF9781"/>
      <rgbColor rgb="E5AFE489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6"/>
  <sheetViews>
    <sheetView showGridLines="0" tabSelected="1" zoomScaleNormal="100" workbookViewId="0">
      <pane xSplit="1" ySplit="2" topLeftCell="I3" activePane="bottomRight" state="frozen"/>
      <selection pane="topRight"/>
      <selection pane="bottomLeft"/>
      <selection pane="bottomRight" activeCell="M6" sqref="M6"/>
    </sheetView>
  </sheetViews>
  <sheetFormatPr defaultColWidth="16.28515625" defaultRowHeight="18" customHeight="1" x14ac:dyDescent="0.2"/>
  <cols>
    <col min="1" max="1" width="15.85546875" style="62" bestFit="1" customWidth="1"/>
    <col min="2" max="2" width="15.42578125" style="62" customWidth="1"/>
    <col min="3" max="3" width="11.42578125" style="62" customWidth="1"/>
    <col min="4" max="4" width="13.7109375" style="62" customWidth="1"/>
    <col min="5" max="5" width="15.140625" style="62" customWidth="1"/>
    <col min="6" max="6" width="13.85546875" style="62" customWidth="1"/>
    <col min="7" max="7" width="13.140625" style="62" customWidth="1"/>
    <col min="8" max="8" width="15.140625" style="62" customWidth="1"/>
    <col min="9" max="9" width="13.28515625" style="1" customWidth="1"/>
    <col min="10" max="10" width="11.42578125" style="62" customWidth="1"/>
    <col min="11" max="11" width="14.140625" style="62" customWidth="1"/>
    <col min="12" max="12" width="16.28515625" style="62" customWidth="1"/>
    <col min="13" max="16" width="16.28515625" style="57" customWidth="1"/>
    <col min="17" max="17" width="12.5703125" style="57" customWidth="1"/>
    <col min="18" max="18" width="14.7109375" style="57" customWidth="1"/>
    <col min="19" max="19" width="12.85546875" style="57" customWidth="1"/>
    <col min="20" max="20" width="15.5703125" style="57" customWidth="1"/>
    <col min="21" max="21" width="16.140625" style="1" customWidth="1"/>
    <col min="22" max="22" width="16" style="1" customWidth="1"/>
    <col min="23" max="23" width="15.85546875" style="1" customWidth="1"/>
    <col min="24" max="24" width="28" style="1" customWidth="1"/>
    <col min="25" max="25" width="58" style="1" customWidth="1"/>
    <col min="26" max="256" width="16.28515625" style="1" customWidth="1"/>
  </cols>
  <sheetData>
    <row r="1" spans="1:256" ht="27.95" customHeight="1" thickBot="1" x14ac:dyDescent="0.25">
      <c r="A1" s="75" t="s">
        <v>70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7"/>
      <c r="M1" s="75" t="s">
        <v>71</v>
      </c>
      <c r="N1" s="76"/>
      <c r="O1" s="76"/>
      <c r="P1" s="76"/>
      <c r="Q1" s="76"/>
      <c r="R1" s="76"/>
      <c r="S1" s="76"/>
      <c r="T1" s="77"/>
      <c r="U1" s="71"/>
      <c r="V1" s="71"/>
      <c r="W1" s="71"/>
      <c r="X1" s="71"/>
      <c r="Y1" s="71"/>
    </row>
    <row r="2" spans="1:256" ht="51" x14ac:dyDescent="0.2">
      <c r="A2" s="72" t="s">
        <v>0</v>
      </c>
      <c r="B2" s="72" t="s">
        <v>1</v>
      </c>
      <c r="C2" s="72" t="s">
        <v>2</v>
      </c>
      <c r="D2" s="72" t="s">
        <v>72</v>
      </c>
      <c r="E2" s="72" t="s">
        <v>73</v>
      </c>
      <c r="F2" s="72" t="s">
        <v>3</v>
      </c>
      <c r="G2" s="72" t="s">
        <v>4</v>
      </c>
      <c r="H2" s="72" t="s">
        <v>5</v>
      </c>
      <c r="I2" s="73" t="s">
        <v>6</v>
      </c>
      <c r="J2" s="72" t="s">
        <v>7</v>
      </c>
      <c r="K2" s="72" t="s">
        <v>8</v>
      </c>
      <c r="L2" s="72" t="s">
        <v>9</v>
      </c>
      <c r="M2" s="74" t="s">
        <v>10</v>
      </c>
      <c r="N2" s="74" t="s">
        <v>11</v>
      </c>
      <c r="O2" s="74" t="s">
        <v>12</v>
      </c>
      <c r="P2" s="74" t="s">
        <v>13</v>
      </c>
      <c r="Q2" s="74" t="s">
        <v>14</v>
      </c>
      <c r="R2" s="74" t="s">
        <v>15</v>
      </c>
      <c r="S2" s="74" t="s">
        <v>16</v>
      </c>
      <c r="T2" s="74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</row>
    <row r="3" spans="1:256" ht="20.65" customHeight="1" x14ac:dyDescent="0.2">
      <c r="A3" s="63">
        <v>41357.447916666664</v>
      </c>
      <c r="B3" s="64" t="s">
        <v>23</v>
      </c>
      <c r="C3" s="65" t="s">
        <v>24</v>
      </c>
      <c r="D3" s="58">
        <v>67</v>
      </c>
      <c r="E3" s="58"/>
      <c r="F3" s="66">
        <v>0.51</v>
      </c>
      <c r="G3" s="58">
        <v>209.6</v>
      </c>
      <c r="H3" s="58">
        <v>205.6</v>
      </c>
      <c r="I3" s="4">
        <f t="shared" ref="I3:I26" si="0">(G3-H3)/G3</f>
        <v>1.9083969465648856E-2</v>
      </c>
      <c r="J3" s="58">
        <v>1</v>
      </c>
      <c r="K3" s="58">
        <v>0</v>
      </c>
      <c r="L3" s="59">
        <v>1026</v>
      </c>
      <c r="M3" s="56">
        <f>L3/J3</f>
        <v>1026</v>
      </c>
      <c r="N3" s="54">
        <f t="shared" ref="N3:N26" si="1">((G3-H3)*16+K3)/J3</f>
        <v>64</v>
      </c>
      <c r="O3" s="54">
        <f t="shared" ref="O3:O26" si="2">N3/16</f>
        <v>4</v>
      </c>
      <c r="P3" s="54">
        <f t="shared" ref="P3:P26" si="3">N3*0.0295735</f>
        <v>1.8927039999999999</v>
      </c>
      <c r="Q3" s="54">
        <f t="shared" ref="Q3:Q26" si="4">$P3*0.92*1000</f>
        <v>1741.2876800000001</v>
      </c>
      <c r="R3" s="54">
        <f t="shared" ref="R3:R26" si="5">$P3*0.2*1000</f>
        <v>378.54079999999999</v>
      </c>
      <c r="S3" s="54">
        <f t="shared" ref="S3:S26" si="6">$P3*15</f>
        <v>28.390560000000001</v>
      </c>
      <c r="T3" s="54">
        <f t="shared" ref="T3:T26" si="7">$P3/0.1</f>
        <v>18.927039999999998</v>
      </c>
      <c r="U3" s="5"/>
      <c r="V3" s="5"/>
      <c r="W3" s="5"/>
      <c r="X3" s="5"/>
      <c r="Y3" s="3"/>
    </row>
    <row r="4" spans="1:256" ht="20.45" customHeight="1" x14ac:dyDescent="0.2">
      <c r="A4" s="67">
        <v>41453</v>
      </c>
      <c r="B4" s="68" t="s">
        <v>26</v>
      </c>
      <c r="C4" s="69" t="s">
        <v>24</v>
      </c>
      <c r="D4" s="60">
        <v>88</v>
      </c>
      <c r="E4" s="60">
        <v>101</v>
      </c>
      <c r="F4" s="70">
        <v>0.69</v>
      </c>
      <c r="G4" s="60">
        <v>203.4</v>
      </c>
      <c r="H4" s="60">
        <v>200</v>
      </c>
      <c r="I4" s="8">
        <f t="shared" si="0"/>
        <v>1.6715830875122937E-2</v>
      </c>
      <c r="J4" s="60">
        <v>0.75</v>
      </c>
      <c r="K4" s="60">
        <v>0</v>
      </c>
      <c r="L4" s="61">
        <v>743</v>
      </c>
      <c r="M4" s="56">
        <f t="shared" ref="M4:M7" si="8">L4/J4</f>
        <v>990.66666666666663</v>
      </c>
      <c r="N4" s="55">
        <f t="shared" si="1"/>
        <v>72.533333333333459</v>
      </c>
      <c r="O4" s="55">
        <f t="shared" si="2"/>
        <v>4.5333333333333412</v>
      </c>
      <c r="P4" s="55">
        <f t="shared" si="3"/>
        <v>2.1450645333333371</v>
      </c>
      <c r="Q4" s="55">
        <f>$P4*0.92*1000</f>
        <v>1973.4593706666703</v>
      </c>
      <c r="R4" s="55">
        <f t="shared" si="5"/>
        <v>429.01290666666745</v>
      </c>
      <c r="S4" s="55">
        <f t="shared" si="6"/>
        <v>32.175968000000054</v>
      </c>
      <c r="T4" s="55">
        <f t="shared" si="7"/>
        <v>21.45064533333337</v>
      </c>
      <c r="U4" s="9"/>
      <c r="V4" s="9"/>
      <c r="W4" s="9"/>
      <c r="X4" s="9"/>
      <c r="Y4" s="7"/>
    </row>
    <row r="5" spans="1:256" ht="20.45" customHeight="1" x14ac:dyDescent="0.2">
      <c r="A5" s="67">
        <v>41075.270833333336</v>
      </c>
      <c r="B5" s="68" t="s">
        <v>25</v>
      </c>
      <c r="C5" s="69" t="s">
        <v>24</v>
      </c>
      <c r="D5" s="60">
        <v>83</v>
      </c>
      <c r="E5" s="60">
        <v>90</v>
      </c>
      <c r="F5" s="70">
        <v>0.8</v>
      </c>
      <c r="G5" s="60">
        <v>203.4</v>
      </c>
      <c r="H5" s="60">
        <v>201.4</v>
      </c>
      <c r="I5" s="8">
        <f t="shared" si="0"/>
        <v>9.8328416912487702E-3</v>
      </c>
      <c r="J5" s="60">
        <v>1.5</v>
      </c>
      <c r="K5" s="60">
        <v>40.200000000000003</v>
      </c>
      <c r="L5" s="61">
        <v>909</v>
      </c>
      <c r="M5" s="56">
        <f t="shared" si="8"/>
        <v>606</v>
      </c>
      <c r="N5" s="55">
        <f t="shared" si="1"/>
        <v>48.133333333333333</v>
      </c>
      <c r="O5" s="55">
        <f t="shared" si="2"/>
        <v>3.0083333333333333</v>
      </c>
      <c r="P5" s="55">
        <f t="shared" si="3"/>
        <v>1.4234711333333332</v>
      </c>
      <c r="Q5" s="55">
        <f t="shared" si="4"/>
        <v>1309.5934426666668</v>
      </c>
      <c r="R5" s="55">
        <f t="shared" si="5"/>
        <v>284.69422666666668</v>
      </c>
      <c r="S5" s="55">
        <f t="shared" si="6"/>
        <v>21.352066999999998</v>
      </c>
      <c r="T5" s="55">
        <f t="shared" si="7"/>
        <v>14.234711333333331</v>
      </c>
      <c r="U5" s="9"/>
      <c r="V5" s="9"/>
      <c r="W5" s="9"/>
      <c r="X5" s="9"/>
      <c r="Y5" s="7"/>
    </row>
    <row r="6" spans="1:256" ht="20.45" customHeight="1" x14ac:dyDescent="0.2">
      <c r="A6" s="67">
        <v>41075.729166666664</v>
      </c>
      <c r="B6" s="68" t="s">
        <v>25</v>
      </c>
      <c r="C6" s="69" t="s">
        <v>24</v>
      </c>
      <c r="D6" s="60">
        <v>78</v>
      </c>
      <c r="E6" s="60">
        <v>78</v>
      </c>
      <c r="F6" s="70">
        <v>0.93</v>
      </c>
      <c r="G6" s="60">
        <v>204.4</v>
      </c>
      <c r="H6" s="60">
        <v>200.8</v>
      </c>
      <c r="I6" s="8">
        <f t="shared" si="0"/>
        <v>1.7612524461839502E-2</v>
      </c>
      <c r="J6" s="60">
        <v>2</v>
      </c>
      <c r="K6" s="60">
        <v>46</v>
      </c>
      <c r="L6" s="61">
        <v>1250</v>
      </c>
      <c r="M6" s="56">
        <f t="shared" si="8"/>
        <v>625</v>
      </c>
      <c r="N6" s="55">
        <f t="shared" si="1"/>
        <v>51.799999999999955</v>
      </c>
      <c r="O6" s="55">
        <f t="shared" si="2"/>
        <v>3.2374999999999972</v>
      </c>
      <c r="P6" s="55">
        <f t="shared" si="3"/>
        <v>1.5319072999999985</v>
      </c>
      <c r="Q6" s="55">
        <f t="shared" si="4"/>
        <v>1409.3547159999987</v>
      </c>
      <c r="R6" s="55">
        <f t="shared" si="5"/>
        <v>306.38145999999972</v>
      </c>
      <c r="S6" s="55">
        <f t="shared" si="6"/>
        <v>22.978609499999976</v>
      </c>
      <c r="T6" s="55">
        <f t="shared" si="7"/>
        <v>15.319072999999985</v>
      </c>
      <c r="U6" s="9"/>
      <c r="V6" s="9"/>
      <c r="W6" s="9"/>
      <c r="X6" s="9"/>
      <c r="Y6" s="7"/>
    </row>
    <row r="7" spans="1:256" ht="20.45" customHeight="1" x14ac:dyDescent="0.2">
      <c r="A7" s="67">
        <v>41076.625</v>
      </c>
      <c r="B7" s="68" t="s">
        <v>26</v>
      </c>
      <c r="C7" s="69" t="s">
        <v>24</v>
      </c>
      <c r="D7" s="60"/>
      <c r="E7" s="60"/>
      <c r="F7" s="70"/>
      <c r="G7" s="60"/>
      <c r="H7" s="60"/>
      <c r="I7" s="8" t="e">
        <f t="shared" si="0"/>
        <v>#DIV/0!</v>
      </c>
      <c r="J7" s="60"/>
      <c r="K7" s="60"/>
      <c r="L7" s="61"/>
      <c r="M7" s="56" t="e">
        <f t="shared" si="8"/>
        <v>#DIV/0!</v>
      </c>
      <c r="N7" s="55" t="e">
        <f t="shared" si="1"/>
        <v>#DIV/0!</v>
      </c>
      <c r="O7" s="55" t="e">
        <f t="shared" si="2"/>
        <v>#DIV/0!</v>
      </c>
      <c r="P7" s="55" t="e">
        <f t="shared" si="3"/>
        <v>#DIV/0!</v>
      </c>
      <c r="Q7" s="55" t="e">
        <f t="shared" si="4"/>
        <v>#DIV/0!</v>
      </c>
      <c r="R7" s="55" t="e">
        <f t="shared" si="5"/>
        <v>#DIV/0!</v>
      </c>
      <c r="S7" s="55" t="e">
        <f t="shared" si="6"/>
        <v>#DIV/0!</v>
      </c>
      <c r="T7" s="55" t="e">
        <f t="shared" si="7"/>
        <v>#DIV/0!</v>
      </c>
      <c r="U7" s="9"/>
      <c r="V7" s="9"/>
      <c r="W7" s="9"/>
      <c r="X7" s="9"/>
      <c r="Y7" s="7"/>
    </row>
    <row r="8" spans="1:256" s="52" customFormat="1" ht="32.450000000000003" customHeight="1" x14ac:dyDescent="0.2">
      <c r="A8" s="67">
        <v>41083.520833333336</v>
      </c>
      <c r="B8" s="68" t="s">
        <v>27</v>
      </c>
      <c r="C8" s="69" t="s">
        <v>24</v>
      </c>
      <c r="D8" s="60"/>
      <c r="E8" s="60"/>
      <c r="F8" s="70"/>
      <c r="G8" s="60"/>
      <c r="H8" s="60"/>
      <c r="I8" s="50" t="e">
        <f t="shared" si="0"/>
        <v>#DIV/0!</v>
      </c>
      <c r="J8" s="60"/>
      <c r="K8" s="60"/>
      <c r="L8" s="60"/>
      <c r="M8" s="56" t="e">
        <f t="shared" ref="M8:M14" si="9">L8/J8</f>
        <v>#DIV/0!</v>
      </c>
      <c r="N8" s="56" t="e">
        <f t="shared" si="1"/>
        <v>#DIV/0!</v>
      </c>
      <c r="O8" s="56" t="e">
        <f t="shared" si="2"/>
        <v>#DIV/0!</v>
      </c>
      <c r="P8" s="56" t="e">
        <f t="shared" si="3"/>
        <v>#DIV/0!</v>
      </c>
      <c r="Q8" s="56" t="e">
        <f t="shared" si="4"/>
        <v>#DIV/0!</v>
      </c>
      <c r="R8" s="56" t="e">
        <f t="shared" si="5"/>
        <v>#DIV/0!</v>
      </c>
      <c r="S8" s="56" t="e">
        <f t="shared" si="6"/>
        <v>#DIV/0!</v>
      </c>
      <c r="T8" s="56" t="e">
        <f t="shared" si="7"/>
        <v>#DIV/0!</v>
      </c>
      <c r="U8" s="49"/>
      <c r="V8" s="49"/>
      <c r="W8" s="49"/>
      <c r="X8" s="49"/>
      <c r="Y8" s="49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1"/>
      <c r="BS8" s="51"/>
      <c r="BT8" s="51"/>
      <c r="BU8" s="51"/>
      <c r="BV8" s="51"/>
      <c r="BW8" s="51"/>
      <c r="BX8" s="51"/>
      <c r="BY8" s="51"/>
      <c r="BZ8" s="51"/>
      <c r="CA8" s="51"/>
      <c r="CB8" s="51"/>
      <c r="CC8" s="51"/>
      <c r="CD8" s="51"/>
      <c r="CE8" s="51"/>
      <c r="CF8" s="51"/>
      <c r="CG8" s="51"/>
      <c r="CH8" s="51"/>
      <c r="CI8" s="51"/>
      <c r="CJ8" s="51"/>
      <c r="CK8" s="51"/>
      <c r="CL8" s="51"/>
      <c r="CM8" s="51"/>
      <c r="CN8" s="51"/>
      <c r="CO8" s="51"/>
      <c r="CP8" s="51"/>
      <c r="CQ8" s="51"/>
      <c r="CR8" s="51"/>
      <c r="CS8" s="51"/>
      <c r="CT8" s="51"/>
      <c r="CU8" s="51"/>
      <c r="CV8" s="51"/>
      <c r="CW8" s="51"/>
      <c r="CX8" s="51"/>
      <c r="CY8" s="51"/>
      <c r="CZ8" s="51"/>
      <c r="DA8" s="51"/>
      <c r="DB8" s="51"/>
      <c r="DC8" s="51"/>
      <c r="DD8" s="51"/>
      <c r="DE8" s="51"/>
      <c r="DF8" s="51"/>
      <c r="DG8" s="51"/>
      <c r="DH8" s="51"/>
      <c r="DI8" s="51"/>
      <c r="DJ8" s="51"/>
      <c r="DK8" s="51"/>
      <c r="DL8" s="51"/>
      <c r="DM8" s="51"/>
      <c r="DN8" s="51"/>
      <c r="DO8" s="51"/>
      <c r="DP8" s="51"/>
      <c r="DQ8" s="51"/>
      <c r="DR8" s="51"/>
      <c r="DS8" s="51"/>
      <c r="DT8" s="51"/>
      <c r="DU8" s="51"/>
      <c r="DV8" s="51"/>
      <c r="DW8" s="51"/>
      <c r="DX8" s="51"/>
      <c r="DY8" s="51"/>
      <c r="DZ8" s="51"/>
      <c r="EA8" s="51"/>
      <c r="EB8" s="51"/>
      <c r="EC8" s="51"/>
      <c r="ED8" s="51"/>
      <c r="EE8" s="51"/>
      <c r="EF8" s="51"/>
      <c r="EG8" s="51"/>
      <c r="EH8" s="51"/>
      <c r="EI8" s="51"/>
      <c r="EJ8" s="51"/>
      <c r="EK8" s="51"/>
      <c r="EL8" s="51"/>
      <c r="EM8" s="51"/>
      <c r="EN8" s="51"/>
      <c r="EO8" s="51"/>
      <c r="EP8" s="51"/>
      <c r="EQ8" s="51"/>
      <c r="ER8" s="51"/>
      <c r="ES8" s="51"/>
      <c r="ET8" s="51"/>
      <c r="EU8" s="51"/>
      <c r="EV8" s="51"/>
      <c r="EW8" s="51"/>
      <c r="EX8" s="51"/>
      <c r="EY8" s="51"/>
      <c r="EZ8" s="51"/>
      <c r="FA8" s="51"/>
      <c r="FB8" s="51"/>
      <c r="FC8" s="51"/>
      <c r="FD8" s="51"/>
      <c r="FE8" s="51"/>
      <c r="FF8" s="51"/>
      <c r="FG8" s="51"/>
      <c r="FH8" s="51"/>
      <c r="FI8" s="51"/>
      <c r="FJ8" s="51"/>
      <c r="FK8" s="51"/>
      <c r="FL8" s="51"/>
      <c r="FM8" s="51"/>
      <c r="FN8" s="51"/>
      <c r="FO8" s="51"/>
      <c r="FP8" s="51"/>
      <c r="FQ8" s="51"/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</row>
    <row r="9" spans="1:256" s="52" customFormat="1" ht="32.450000000000003" customHeight="1" x14ac:dyDescent="0.2">
      <c r="A9" s="67">
        <v>41089.708333333336</v>
      </c>
      <c r="B9" s="68" t="s">
        <v>28</v>
      </c>
      <c r="C9" s="69" t="s">
        <v>24</v>
      </c>
      <c r="D9" s="60"/>
      <c r="E9" s="60"/>
      <c r="F9" s="70"/>
      <c r="G9" s="60"/>
      <c r="H9" s="60"/>
      <c r="I9" s="50" t="e">
        <f t="shared" si="0"/>
        <v>#DIV/0!</v>
      </c>
      <c r="J9" s="60"/>
      <c r="K9" s="60"/>
      <c r="L9" s="60"/>
      <c r="M9" s="56" t="e">
        <f t="shared" si="9"/>
        <v>#DIV/0!</v>
      </c>
      <c r="N9" s="56" t="e">
        <f t="shared" si="1"/>
        <v>#DIV/0!</v>
      </c>
      <c r="O9" s="56" t="e">
        <f t="shared" si="2"/>
        <v>#DIV/0!</v>
      </c>
      <c r="P9" s="56" t="e">
        <f t="shared" si="3"/>
        <v>#DIV/0!</v>
      </c>
      <c r="Q9" s="56" t="e">
        <f t="shared" si="4"/>
        <v>#DIV/0!</v>
      </c>
      <c r="R9" s="56" t="e">
        <f t="shared" si="5"/>
        <v>#DIV/0!</v>
      </c>
      <c r="S9" s="56" t="e">
        <f t="shared" si="6"/>
        <v>#DIV/0!</v>
      </c>
      <c r="T9" s="56" t="e">
        <f t="shared" si="7"/>
        <v>#DIV/0!</v>
      </c>
      <c r="U9" s="49"/>
      <c r="V9" s="49"/>
      <c r="W9" s="49"/>
      <c r="X9" s="49"/>
      <c r="Y9" s="49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</row>
    <row r="10" spans="1:256" s="52" customFormat="1" ht="20.45" customHeight="1" x14ac:dyDescent="0.2">
      <c r="A10" s="67">
        <v>41094.871527777781</v>
      </c>
      <c r="B10" s="68" t="s">
        <v>23</v>
      </c>
      <c r="C10" s="69" t="s">
        <v>24</v>
      </c>
      <c r="D10" s="60"/>
      <c r="E10" s="60"/>
      <c r="F10" s="70"/>
      <c r="G10" s="60"/>
      <c r="H10" s="60"/>
      <c r="I10" s="50" t="e">
        <f t="shared" si="0"/>
        <v>#DIV/0!</v>
      </c>
      <c r="J10" s="60"/>
      <c r="K10" s="60"/>
      <c r="L10" s="61"/>
      <c r="M10" s="55" t="e">
        <f t="shared" si="9"/>
        <v>#DIV/0!</v>
      </c>
      <c r="N10" s="55" t="e">
        <f t="shared" si="1"/>
        <v>#DIV/0!</v>
      </c>
      <c r="O10" s="55" t="e">
        <f t="shared" si="2"/>
        <v>#DIV/0!</v>
      </c>
      <c r="P10" s="55" t="e">
        <f t="shared" si="3"/>
        <v>#DIV/0!</v>
      </c>
      <c r="Q10" s="55" t="e">
        <f t="shared" si="4"/>
        <v>#DIV/0!</v>
      </c>
      <c r="R10" s="55" t="e">
        <f t="shared" si="5"/>
        <v>#DIV/0!</v>
      </c>
      <c r="S10" s="55" t="e">
        <f t="shared" si="6"/>
        <v>#DIV/0!</v>
      </c>
      <c r="T10" s="55" t="e">
        <f t="shared" si="7"/>
        <v>#DIV/0!</v>
      </c>
      <c r="U10" s="53"/>
      <c r="V10" s="53"/>
      <c r="W10" s="53"/>
      <c r="X10" s="53"/>
      <c r="Y10" s="53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51"/>
      <c r="DR10" s="51"/>
      <c r="DS10" s="51"/>
      <c r="DT10" s="51"/>
      <c r="DU10" s="51"/>
      <c r="DV10" s="51"/>
      <c r="DW10" s="51"/>
      <c r="DX10" s="51"/>
      <c r="DY10" s="51"/>
      <c r="DZ10" s="51"/>
      <c r="EA10" s="51"/>
      <c r="EB10" s="51"/>
      <c r="EC10" s="51"/>
      <c r="ED10" s="51"/>
      <c r="EE10" s="51"/>
      <c r="EF10" s="51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1"/>
      <c r="HA10" s="51"/>
      <c r="HB10" s="51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</row>
    <row r="11" spans="1:256" s="52" customFormat="1" ht="20.45" customHeight="1" x14ac:dyDescent="0.2">
      <c r="A11" s="67">
        <v>41098.34375</v>
      </c>
      <c r="B11" s="68" t="s">
        <v>26</v>
      </c>
      <c r="C11" s="69" t="s">
        <v>24</v>
      </c>
      <c r="D11" s="60"/>
      <c r="E11" s="60"/>
      <c r="F11" s="70"/>
      <c r="G11" s="60"/>
      <c r="H11" s="60"/>
      <c r="I11" s="50" t="e">
        <f t="shared" si="0"/>
        <v>#DIV/0!</v>
      </c>
      <c r="J11" s="60"/>
      <c r="K11" s="60"/>
      <c r="L11" s="61"/>
      <c r="M11" s="55" t="e">
        <f t="shared" si="9"/>
        <v>#DIV/0!</v>
      </c>
      <c r="N11" s="55" t="e">
        <f t="shared" si="1"/>
        <v>#DIV/0!</v>
      </c>
      <c r="O11" s="55" t="e">
        <f t="shared" si="2"/>
        <v>#DIV/0!</v>
      </c>
      <c r="P11" s="55" t="e">
        <f t="shared" si="3"/>
        <v>#DIV/0!</v>
      </c>
      <c r="Q11" s="55" t="e">
        <f t="shared" si="4"/>
        <v>#DIV/0!</v>
      </c>
      <c r="R11" s="55" t="e">
        <f t="shared" si="5"/>
        <v>#DIV/0!</v>
      </c>
      <c r="S11" s="55" t="e">
        <f t="shared" si="6"/>
        <v>#DIV/0!</v>
      </c>
      <c r="T11" s="55" t="e">
        <f t="shared" si="7"/>
        <v>#DIV/0!</v>
      </c>
      <c r="U11" s="49"/>
      <c r="V11" s="53"/>
      <c r="W11" s="53"/>
      <c r="X11" s="53"/>
      <c r="Y11" s="53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51"/>
      <c r="DR11" s="51"/>
      <c r="DS11" s="51"/>
      <c r="DT11" s="51"/>
      <c r="DU11" s="51"/>
      <c r="DV11" s="51"/>
      <c r="DW11" s="51"/>
      <c r="DX11" s="51"/>
      <c r="DY11" s="51"/>
      <c r="DZ11" s="51"/>
      <c r="EA11" s="51"/>
      <c r="EB11" s="51"/>
      <c r="EC11" s="51"/>
      <c r="ED11" s="51"/>
      <c r="EE11" s="51"/>
      <c r="EF11" s="51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</row>
    <row r="12" spans="1:256" s="52" customFormat="1" ht="20.45" customHeight="1" x14ac:dyDescent="0.2">
      <c r="A12" s="67">
        <v>41102.680555555555</v>
      </c>
      <c r="B12" s="68" t="s">
        <v>25</v>
      </c>
      <c r="C12" s="69" t="s">
        <v>24</v>
      </c>
      <c r="D12" s="60"/>
      <c r="E12" s="60"/>
      <c r="F12" s="70"/>
      <c r="G12" s="60"/>
      <c r="H12" s="60"/>
      <c r="I12" s="50" t="e">
        <f t="shared" si="0"/>
        <v>#DIV/0!</v>
      </c>
      <c r="J12" s="60"/>
      <c r="K12" s="60"/>
      <c r="L12" s="61"/>
      <c r="M12" s="55" t="e">
        <f t="shared" si="9"/>
        <v>#DIV/0!</v>
      </c>
      <c r="N12" s="55" t="e">
        <f t="shared" si="1"/>
        <v>#DIV/0!</v>
      </c>
      <c r="O12" s="55" t="e">
        <f t="shared" si="2"/>
        <v>#DIV/0!</v>
      </c>
      <c r="P12" s="55" t="e">
        <f t="shared" si="3"/>
        <v>#DIV/0!</v>
      </c>
      <c r="Q12" s="55" t="e">
        <f t="shared" si="4"/>
        <v>#DIV/0!</v>
      </c>
      <c r="R12" s="55" t="e">
        <f t="shared" si="5"/>
        <v>#DIV/0!</v>
      </c>
      <c r="S12" s="55" t="e">
        <f t="shared" si="6"/>
        <v>#DIV/0!</v>
      </c>
      <c r="T12" s="55" t="e">
        <f t="shared" si="7"/>
        <v>#DIV/0!</v>
      </c>
      <c r="U12" s="53"/>
      <c r="V12" s="53"/>
      <c r="W12" s="53"/>
      <c r="X12" s="53"/>
      <c r="Y12" s="53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1"/>
      <c r="DL12" s="51"/>
      <c r="DM12" s="51"/>
      <c r="DN12" s="51"/>
      <c r="DO12" s="51"/>
      <c r="DP12" s="51"/>
      <c r="DQ12" s="51"/>
      <c r="DR12" s="51"/>
      <c r="DS12" s="51"/>
      <c r="DT12" s="51"/>
      <c r="DU12" s="51"/>
      <c r="DV12" s="51"/>
      <c r="DW12" s="51"/>
      <c r="DX12" s="51"/>
      <c r="DY12" s="51"/>
      <c r="DZ12" s="51"/>
      <c r="EA12" s="51"/>
      <c r="EB12" s="51"/>
      <c r="EC12" s="51"/>
      <c r="ED12" s="51"/>
      <c r="EE12" s="51"/>
      <c r="EF12" s="51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</row>
    <row r="13" spans="1:256" s="52" customFormat="1" ht="20.45" customHeight="1" x14ac:dyDescent="0.2">
      <c r="A13" s="67">
        <v>41104.770833333336</v>
      </c>
      <c r="B13" s="68" t="s">
        <v>29</v>
      </c>
      <c r="C13" s="69" t="s">
        <v>24</v>
      </c>
      <c r="D13" s="60"/>
      <c r="E13" s="60"/>
      <c r="F13" s="70"/>
      <c r="G13" s="60"/>
      <c r="H13" s="60"/>
      <c r="I13" s="50" t="e">
        <f t="shared" si="0"/>
        <v>#DIV/0!</v>
      </c>
      <c r="J13" s="60"/>
      <c r="K13" s="60"/>
      <c r="L13" s="61"/>
      <c r="M13" s="55" t="e">
        <f t="shared" si="9"/>
        <v>#DIV/0!</v>
      </c>
      <c r="N13" s="55" t="e">
        <f t="shared" si="1"/>
        <v>#DIV/0!</v>
      </c>
      <c r="O13" s="55" t="e">
        <f t="shared" si="2"/>
        <v>#DIV/0!</v>
      </c>
      <c r="P13" s="55" t="e">
        <f t="shared" si="3"/>
        <v>#DIV/0!</v>
      </c>
      <c r="Q13" s="55" t="e">
        <f t="shared" si="4"/>
        <v>#DIV/0!</v>
      </c>
      <c r="R13" s="55" t="e">
        <f t="shared" si="5"/>
        <v>#DIV/0!</v>
      </c>
      <c r="S13" s="55" t="e">
        <f t="shared" si="6"/>
        <v>#DIV/0!</v>
      </c>
      <c r="T13" s="55" t="e">
        <f t="shared" si="7"/>
        <v>#DIV/0!</v>
      </c>
      <c r="U13" s="53"/>
      <c r="V13" s="53"/>
      <c r="W13" s="53"/>
      <c r="X13" s="53"/>
      <c r="Y13" s="53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</row>
    <row r="14" spans="1:256" s="52" customFormat="1" ht="20.45" customHeight="1" x14ac:dyDescent="0.2">
      <c r="A14" s="67">
        <v>41109.708333333336</v>
      </c>
      <c r="B14" s="68" t="s">
        <v>30</v>
      </c>
      <c r="C14" s="69" t="s">
        <v>24</v>
      </c>
      <c r="D14" s="60"/>
      <c r="E14" s="60"/>
      <c r="F14" s="70"/>
      <c r="G14" s="60"/>
      <c r="H14" s="60"/>
      <c r="I14" s="50" t="e">
        <f t="shared" si="0"/>
        <v>#DIV/0!</v>
      </c>
      <c r="J14" s="60"/>
      <c r="K14" s="60"/>
      <c r="L14" s="61"/>
      <c r="M14" s="55" t="e">
        <f t="shared" si="9"/>
        <v>#DIV/0!</v>
      </c>
      <c r="N14" s="55" t="e">
        <f t="shared" si="1"/>
        <v>#DIV/0!</v>
      </c>
      <c r="O14" s="55" t="e">
        <f t="shared" si="2"/>
        <v>#DIV/0!</v>
      </c>
      <c r="P14" s="55" t="e">
        <f t="shared" si="3"/>
        <v>#DIV/0!</v>
      </c>
      <c r="Q14" s="55" t="e">
        <f t="shared" si="4"/>
        <v>#DIV/0!</v>
      </c>
      <c r="R14" s="55" t="e">
        <f t="shared" si="5"/>
        <v>#DIV/0!</v>
      </c>
      <c r="S14" s="55" t="e">
        <f t="shared" si="6"/>
        <v>#DIV/0!</v>
      </c>
      <c r="T14" s="55" t="e">
        <f t="shared" si="7"/>
        <v>#DIV/0!</v>
      </c>
      <c r="U14" s="53"/>
      <c r="V14" s="53"/>
      <c r="W14" s="53"/>
      <c r="X14" s="53"/>
      <c r="Y14" s="53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</row>
    <row r="15" spans="1:256" s="52" customFormat="1" ht="20.45" customHeight="1" x14ac:dyDescent="0.2">
      <c r="A15" s="67">
        <v>41109.5625</v>
      </c>
      <c r="B15" s="68" t="s">
        <v>25</v>
      </c>
      <c r="C15" s="69" t="s">
        <v>24</v>
      </c>
      <c r="D15" s="60">
        <v>98.4</v>
      </c>
      <c r="E15" s="60">
        <v>106</v>
      </c>
      <c r="F15" s="70">
        <v>0.4</v>
      </c>
      <c r="G15" s="60">
        <v>162.80000000000001</v>
      </c>
      <c r="H15" s="60">
        <v>160.6</v>
      </c>
      <c r="I15" s="50">
        <f t="shared" si="0"/>
        <v>1.3513513513513617E-2</v>
      </c>
      <c r="J15" s="60">
        <v>1</v>
      </c>
      <c r="K15" s="60">
        <v>24</v>
      </c>
      <c r="L15" s="61"/>
      <c r="M15" s="55"/>
      <c r="N15" s="55">
        <f t="shared" si="1"/>
        <v>59.200000000000273</v>
      </c>
      <c r="O15" s="55">
        <f t="shared" si="2"/>
        <v>3.7000000000000171</v>
      </c>
      <c r="P15" s="55">
        <f t="shared" si="3"/>
        <v>1.7507512000000081</v>
      </c>
      <c r="Q15" s="55">
        <f t="shared" si="4"/>
        <v>1610.6911040000075</v>
      </c>
      <c r="R15" s="55">
        <f t="shared" si="5"/>
        <v>350.15024000000159</v>
      </c>
      <c r="S15" s="55">
        <f t="shared" si="6"/>
        <v>26.261268000000122</v>
      </c>
      <c r="T15" s="55">
        <f t="shared" si="7"/>
        <v>17.50751200000008</v>
      </c>
      <c r="U15" s="53"/>
      <c r="V15" s="53"/>
      <c r="W15" s="53"/>
      <c r="X15" s="53"/>
      <c r="Y15" s="53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</row>
    <row r="16" spans="1:256" s="52" customFormat="1" ht="32.450000000000003" customHeight="1" x14ac:dyDescent="0.2">
      <c r="A16" s="67">
        <v>41111.708333333336</v>
      </c>
      <c r="B16" s="68" t="s">
        <v>31</v>
      </c>
      <c r="C16" s="69" t="s">
        <v>24</v>
      </c>
      <c r="D16" s="60">
        <v>92.7</v>
      </c>
      <c r="E16" s="60">
        <v>108</v>
      </c>
      <c r="F16" s="70">
        <v>0.62</v>
      </c>
      <c r="G16" s="60">
        <v>164</v>
      </c>
      <c r="H16" s="60">
        <v>161.80000000000001</v>
      </c>
      <c r="I16" s="50">
        <f t="shared" si="0"/>
        <v>1.3414634146341394E-2</v>
      </c>
      <c r="J16" s="60">
        <v>1.35</v>
      </c>
      <c r="K16" s="60">
        <v>58</v>
      </c>
      <c r="L16" s="60">
        <v>1010</v>
      </c>
      <c r="M16" s="56">
        <f t="shared" ref="M16:M26" si="10">L16/J16</f>
        <v>748.14814814814815</v>
      </c>
      <c r="N16" s="55">
        <f t="shared" si="1"/>
        <v>69.037037037036896</v>
      </c>
      <c r="O16" s="55">
        <f t="shared" si="2"/>
        <v>4.314814814814806</v>
      </c>
      <c r="P16" s="55">
        <f t="shared" si="3"/>
        <v>2.0416668148148105</v>
      </c>
      <c r="Q16" s="55">
        <f t="shared" si="4"/>
        <v>1878.3334696296256</v>
      </c>
      <c r="R16" s="55">
        <f t="shared" si="5"/>
        <v>408.33336296296216</v>
      </c>
      <c r="S16" s="55">
        <f t="shared" si="6"/>
        <v>30.625002222222157</v>
      </c>
      <c r="T16" s="55">
        <f t="shared" si="7"/>
        <v>20.416668148148105</v>
      </c>
      <c r="U16" s="49"/>
      <c r="V16" s="49"/>
      <c r="W16" s="53"/>
      <c r="X16" s="53"/>
      <c r="Y16" s="49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51"/>
      <c r="IO16" s="51"/>
      <c r="IP16" s="51"/>
      <c r="IQ16" s="51"/>
      <c r="IR16" s="51"/>
      <c r="IS16" s="51"/>
      <c r="IT16" s="51"/>
      <c r="IU16" s="51"/>
      <c r="IV16" s="51"/>
    </row>
    <row r="17" spans="1:256" s="52" customFormat="1" ht="32.450000000000003" customHeight="1" x14ac:dyDescent="0.2">
      <c r="A17" s="67">
        <v>41111.708333333336</v>
      </c>
      <c r="B17" s="68" t="s">
        <v>28</v>
      </c>
      <c r="C17" s="69" t="s">
        <v>24</v>
      </c>
      <c r="D17" s="60">
        <v>90</v>
      </c>
      <c r="E17" s="60">
        <v>100</v>
      </c>
      <c r="F17" s="70">
        <v>0.6</v>
      </c>
      <c r="G17" s="60">
        <v>161.80000000000001</v>
      </c>
      <c r="H17" s="60">
        <v>158.69999999999999</v>
      </c>
      <c r="I17" s="50">
        <f t="shared" si="0"/>
        <v>1.9159456118665159E-2</v>
      </c>
      <c r="J17" s="60">
        <v>1</v>
      </c>
      <c r="K17" s="60">
        <v>24</v>
      </c>
      <c r="L17" s="60">
        <v>645</v>
      </c>
      <c r="M17" s="56">
        <f t="shared" si="10"/>
        <v>645</v>
      </c>
      <c r="N17" s="55">
        <f t="shared" si="1"/>
        <v>73.600000000000364</v>
      </c>
      <c r="O17" s="55">
        <f t="shared" si="2"/>
        <v>4.6000000000000227</v>
      </c>
      <c r="P17" s="55">
        <f t="shared" si="3"/>
        <v>2.1766096000000106</v>
      </c>
      <c r="Q17" s="55">
        <f t="shared" si="4"/>
        <v>2002.48083200001</v>
      </c>
      <c r="R17" s="55">
        <f t="shared" si="5"/>
        <v>435.32192000000214</v>
      </c>
      <c r="S17" s="55">
        <f t="shared" si="6"/>
        <v>32.649144000000156</v>
      </c>
      <c r="T17" s="55">
        <f t="shared" si="7"/>
        <v>21.766096000000104</v>
      </c>
      <c r="U17" s="49"/>
      <c r="V17" s="49"/>
      <c r="W17" s="53"/>
      <c r="X17" s="53"/>
      <c r="Y17" s="49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</row>
    <row r="18" spans="1:256" s="52" customFormat="1" ht="20.45" customHeight="1" x14ac:dyDescent="0.2">
      <c r="A18" s="67">
        <v>41117.666666666664</v>
      </c>
      <c r="B18" s="68" t="s">
        <v>30</v>
      </c>
      <c r="C18" s="69" t="s">
        <v>24</v>
      </c>
      <c r="D18" s="60">
        <v>82</v>
      </c>
      <c r="E18" s="60">
        <v>89</v>
      </c>
      <c r="F18" s="70">
        <v>0.82</v>
      </c>
      <c r="G18" s="60">
        <v>159.69999999999999</v>
      </c>
      <c r="H18" s="60">
        <v>155</v>
      </c>
      <c r="I18" s="50">
        <f t="shared" si="0"/>
        <v>2.9430181590482087E-2</v>
      </c>
      <c r="J18" s="60">
        <v>1.1499999999999999</v>
      </c>
      <c r="K18" s="60">
        <v>0</v>
      </c>
      <c r="L18" s="61">
        <v>828</v>
      </c>
      <c r="M18" s="55">
        <f t="shared" si="10"/>
        <v>720</v>
      </c>
      <c r="N18" s="55">
        <f t="shared" si="1"/>
        <v>65.391304347825937</v>
      </c>
      <c r="O18" s="55">
        <f t="shared" si="2"/>
        <v>4.0869565217391211</v>
      </c>
      <c r="P18" s="55">
        <f t="shared" si="3"/>
        <v>1.9338497391304303</v>
      </c>
      <c r="Q18" s="55">
        <f t="shared" si="4"/>
        <v>1779.1417599999959</v>
      </c>
      <c r="R18" s="55">
        <f t="shared" si="5"/>
        <v>386.76994782608608</v>
      </c>
      <c r="S18" s="55">
        <f t="shared" si="6"/>
        <v>29.007746086956455</v>
      </c>
      <c r="T18" s="55">
        <f t="shared" si="7"/>
        <v>19.338497391304301</v>
      </c>
      <c r="U18" s="53"/>
      <c r="V18" s="53"/>
      <c r="W18" s="53"/>
      <c r="X18" s="53"/>
      <c r="Y18" s="53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</row>
    <row r="19" spans="1:256" s="52" customFormat="1" ht="32.450000000000003" customHeight="1" x14ac:dyDescent="0.2">
      <c r="A19" s="67">
        <v>41119.291666666664</v>
      </c>
      <c r="B19" s="68" t="s">
        <v>31</v>
      </c>
      <c r="C19" s="69" t="s">
        <v>24</v>
      </c>
      <c r="D19" s="60">
        <v>86</v>
      </c>
      <c r="E19" s="60">
        <v>96</v>
      </c>
      <c r="F19" s="70">
        <v>0.82</v>
      </c>
      <c r="G19" s="60">
        <v>161.19999999999999</v>
      </c>
      <c r="H19" s="60">
        <v>160.4</v>
      </c>
      <c r="I19" s="50">
        <f t="shared" si="0"/>
        <v>4.9627791563274376E-3</v>
      </c>
      <c r="J19" s="60">
        <v>3.05</v>
      </c>
      <c r="K19" s="60">
        <f>5*24</f>
        <v>120</v>
      </c>
      <c r="L19" s="60">
        <v>1592</v>
      </c>
      <c r="M19" s="56">
        <f t="shared" si="10"/>
        <v>521.96721311475414</v>
      </c>
      <c r="N19" s="56">
        <f t="shared" si="1"/>
        <v>43.54098360655729</v>
      </c>
      <c r="O19" s="56">
        <f t="shared" si="2"/>
        <v>2.7213114754098306</v>
      </c>
      <c r="P19" s="56">
        <f t="shared" si="3"/>
        <v>1.2876592786885219</v>
      </c>
      <c r="Q19" s="56">
        <f t="shared" si="4"/>
        <v>1184.6465363934401</v>
      </c>
      <c r="R19" s="56">
        <f t="shared" si="5"/>
        <v>257.53185573770435</v>
      </c>
      <c r="S19" s="56">
        <f t="shared" si="6"/>
        <v>19.314889180327828</v>
      </c>
      <c r="T19" s="56">
        <f t="shared" si="7"/>
        <v>12.876592786885219</v>
      </c>
      <c r="U19" s="49"/>
      <c r="V19" s="49"/>
      <c r="W19" s="49"/>
      <c r="X19" s="49"/>
      <c r="Y19" s="49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  <c r="EQ19" s="51"/>
      <c r="ER19" s="51"/>
      <c r="ES19" s="51"/>
      <c r="ET19" s="51"/>
      <c r="EU19" s="51"/>
      <c r="EV19" s="51"/>
      <c r="EW19" s="51"/>
      <c r="EX19" s="51"/>
      <c r="EY19" s="51"/>
      <c r="EZ19" s="51"/>
      <c r="FA19" s="51"/>
      <c r="FB19" s="51"/>
      <c r="FC19" s="51"/>
      <c r="FD19" s="51"/>
      <c r="FE19" s="51"/>
      <c r="FF19" s="51"/>
      <c r="FG19" s="51"/>
      <c r="FH19" s="51"/>
      <c r="FI19" s="51"/>
      <c r="FJ19" s="51"/>
      <c r="FK19" s="51"/>
      <c r="FL19" s="51"/>
      <c r="FM19" s="51"/>
      <c r="FN19" s="51"/>
      <c r="FO19" s="51"/>
      <c r="FP19" s="51"/>
      <c r="FQ19" s="51"/>
      <c r="FR19" s="51"/>
      <c r="FS19" s="51"/>
      <c r="FT19" s="51"/>
      <c r="FU19" s="51"/>
      <c r="FV19" s="51"/>
      <c r="FW19" s="51"/>
      <c r="FX19" s="51"/>
      <c r="FY19" s="51"/>
      <c r="FZ19" s="51"/>
      <c r="GA19" s="51"/>
      <c r="GB19" s="51"/>
      <c r="GC19" s="51"/>
      <c r="GD19" s="51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  <c r="IF19" s="51"/>
      <c r="IG19" s="51"/>
      <c r="IH19" s="51"/>
      <c r="II19" s="51"/>
      <c r="IJ19" s="51"/>
      <c r="IK19" s="51"/>
      <c r="IL19" s="51"/>
      <c r="IM19" s="51"/>
      <c r="IN19" s="51"/>
      <c r="IO19" s="51"/>
      <c r="IP19" s="51"/>
      <c r="IQ19" s="51"/>
      <c r="IR19" s="51"/>
      <c r="IS19" s="51"/>
      <c r="IT19" s="51"/>
      <c r="IU19" s="51"/>
      <c r="IV19" s="51"/>
    </row>
    <row r="20" spans="1:256" s="52" customFormat="1" ht="20.45" customHeight="1" x14ac:dyDescent="0.2">
      <c r="A20" s="67">
        <v>41122.770833333336</v>
      </c>
      <c r="B20" s="68" t="s">
        <v>25</v>
      </c>
      <c r="C20" s="69" t="s">
        <v>24</v>
      </c>
      <c r="D20" s="60">
        <v>93.2</v>
      </c>
      <c r="E20" s="60">
        <v>106</v>
      </c>
      <c r="F20" s="70">
        <v>0.56999999999999995</v>
      </c>
      <c r="G20" s="60">
        <v>160.30000000000001</v>
      </c>
      <c r="H20" s="60">
        <v>158.69999999999999</v>
      </c>
      <c r="I20" s="50">
        <f t="shared" si="0"/>
        <v>9.9812850904555366E-3</v>
      </c>
      <c r="J20" s="60">
        <v>1.1000000000000001</v>
      </c>
      <c r="K20" s="60">
        <v>30</v>
      </c>
      <c r="L20" s="61">
        <v>686</v>
      </c>
      <c r="M20" s="55">
        <f t="shared" si="10"/>
        <v>623.63636363636363</v>
      </c>
      <c r="N20" s="55">
        <f t="shared" si="1"/>
        <v>50.545454545454874</v>
      </c>
      <c r="O20" s="55">
        <f t="shared" si="2"/>
        <v>3.1590909090909296</v>
      </c>
      <c r="P20" s="55">
        <f t="shared" si="3"/>
        <v>1.4948060000000096</v>
      </c>
      <c r="Q20" s="55">
        <f t="shared" si="4"/>
        <v>1375.2215200000089</v>
      </c>
      <c r="R20" s="55">
        <f t="shared" si="5"/>
        <v>298.96120000000195</v>
      </c>
      <c r="S20" s="55">
        <f t="shared" si="6"/>
        <v>22.422090000000143</v>
      </c>
      <c r="T20" s="55">
        <f t="shared" si="7"/>
        <v>14.948060000000096</v>
      </c>
      <c r="U20" s="53"/>
      <c r="V20" s="53"/>
      <c r="W20" s="53"/>
      <c r="X20" s="53"/>
      <c r="Y20" s="53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51"/>
      <c r="DR20" s="51"/>
      <c r="DS20" s="51"/>
      <c r="DT20" s="51"/>
      <c r="DU20" s="51"/>
      <c r="DV20" s="51"/>
      <c r="DW20" s="51"/>
      <c r="DX20" s="51"/>
      <c r="DY20" s="51"/>
      <c r="DZ20" s="51"/>
      <c r="EA20" s="51"/>
      <c r="EB20" s="51"/>
      <c r="EC20" s="51"/>
      <c r="ED20" s="51"/>
      <c r="EE20" s="51"/>
      <c r="EF20" s="51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</row>
    <row r="21" spans="1:256" s="52" customFormat="1" ht="32.450000000000003" customHeight="1" x14ac:dyDescent="0.2">
      <c r="A21" s="67">
        <v>41125.645833333336</v>
      </c>
      <c r="B21" s="68" t="s">
        <v>31</v>
      </c>
      <c r="C21" s="69" t="s">
        <v>24</v>
      </c>
      <c r="D21" s="60">
        <v>94.8</v>
      </c>
      <c r="E21" s="60">
        <v>108</v>
      </c>
      <c r="F21" s="70">
        <v>0.55000000000000004</v>
      </c>
      <c r="G21" s="60">
        <v>161.80000000000001</v>
      </c>
      <c r="H21" s="60">
        <v>161.5</v>
      </c>
      <c r="I21" s="50">
        <f t="shared" si="0"/>
        <v>1.854140914709588E-3</v>
      </c>
      <c r="J21" s="60">
        <v>0.35</v>
      </c>
      <c r="K21" s="60">
        <v>24</v>
      </c>
      <c r="L21" s="60">
        <v>365</v>
      </c>
      <c r="M21" s="56">
        <f t="shared" si="10"/>
        <v>1042.8571428571429</v>
      </c>
      <c r="N21" s="56">
        <f t="shared" si="1"/>
        <v>82.285714285714818</v>
      </c>
      <c r="O21" s="56">
        <f t="shared" si="2"/>
        <v>5.1428571428571761</v>
      </c>
      <c r="P21" s="56">
        <f t="shared" si="3"/>
        <v>2.4334765714285869</v>
      </c>
      <c r="Q21" s="56">
        <f t="shared" si="4"/>
        <v>2238.7984457143002</v>
      </c>
      <c r="R21" s="56">
        <f t="shared" si="5"/>
        <v>486.69531428571736</v>
      </c>
      <c r="S21" s="56">
        <f t="shared" si="6"/>
        <v>36.502148571428805</v>
      </c>
      <c r="T21" s="56">
        <f t="shared" si="7"/>
        <v>24.334765714285869</v>
      </c>
      <c r="U21" s="49"/>
      <c r="V21" s="49"/>
      <c r="W21" s="53"/>
      <c r="X21" s="53"/>
      <c r="Y21" s="49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</row>
    <row r="22" spans="1:256" s="52" customFormat="1" ht="20.45" customHeight="1" x14ac:dyDescent="0.2">
      <c r="A22" s="67">
        <v>41125.6875</v>
      </c>
      <c r="B22" s="68" t="s">
        <v>28</v>
      </c>
      <c r="C22" s="69" t="s">
        <v>24</v>
      </c>
      <c r="D22" s="60">
        <v>96.3</v>
      </c>
      <c r="E22" s="60">
        <v>111</v>
      </c>
      <c r="F22" s="70">
        <v>0.53</v>
      </c>
      <c r="G22" s="60">
        <v>161.5</v>
      </c>
      <c r="H22" s="60">
        <v>158</v>
      </c>
      <c r="I22" s="50">
        <f t="shared" si="0"/>
        <v>2.1671826625386997E-2</v>
      </c>
      <c r="J22" s="60">
        <v>0.7</v>
      </c>
      <c r="K22" s="60">
        <v>0</v>
      </c>
      <c r="L22" s="60">
        <v>482</v>
      </c>
      <c r="M22" s="56">
        <f t="shared" si="10"/>
        <v>688.57142857142867</v>
      </c>
      <c r="N22" s="56">
        <f t="shared" si="1"/>
        <v>80</v>
      </c>
      <c r="O22" s="56">
        <f t="shared" si="2"/>
        <v>5</v>
      </c>
      <c r="P22" s="56">
        <f t="shared" si="3"/>
        <v>2.3658799999999998</v>
      </c>
      <c r="Q22" s="56">
        <f t="shared" si="4"/>
        <v>2176.6095999999998</v>
      </c>
      <c r="R22" s="56">
        <f t="shared" si="5"/>
        <v>473.17599999999999</v>
      </c>
      <c r="S22" s="56">
        <f t="shared" si="6"/>
        <v>35.488199999999999</v>
      </c>
      <c r="T22" s="56">
        <f t="shared" si="7"/>
        <v>23.658799999999996</v>
      </c>
      <c r="U22" s="53"/>
      <c r="V22" s="53"/>
      <c r="W22" s="53"/>
      <c r="X22" s="53"/>
      <c r="Y22" s="49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51"/>
      <c r="DR22" s="51"/>
      <c r="DS22" s="51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</row>
    <row r="23" spans="1:256" s="52" customFormat="1" ht="44.45" customHeight="1" x14ac:dyDescent="0.2">
      <c r="A23" s="67">
        <v>41126.270833333336</v>
      </c>
      <c r="B23" s="68" t="s">
        <v>32</v>
      </c>
      <c r="C23" s="69" t="s">
        <v>24</v>
      </c>
      <c r="D23" s="60">
        <v>95</v>
      </c>
      <c r="E23" s="60">
        <v>108</v>
      </c>
      <c r="F23" s="70">
        <v>0.52</v>
      </c>
      <c r="G23" s="60">
        <v>164.1</v>
      </c>
      <c r="H23" s="60">
        <v>163.80000000000001</v>
      </c>
      <c r="I23" s="50">
        <f t="shared" si="0"/>
        <v>1.8281535648993477E-3</v>
      </c>
      <c r="J23" s="60">
        <v>3.75</v>
      </c>
      <c r="K23" s="60">
        <f>6*24+12</f>
        <v>156</v>
      </c>
      <c r="L23" s="61">
        <v>1857</v>
      </c>
      <c r="M23" s="55">
        <f t="shared" si="10"/>
        <v>495.2</v>
      </c>
      <c r="N23" s="55">
        <f t="shared" si="1"/>
        <v>42.879999999999924</v>
      </c>
      <c r="O23" s="55">
        <f t="shared" si="2"/>
        <v>2.6799999999999953</v>
      </c>
      <c r="P23" s="55">
        <f t="shared" si="3"/>
        <v>1.2681116799999976</v>
      </c>
      <c r="Q23" s="55">
        <f t="shared" si="4"/>
        <v>1166.6627455999978</v>
      </c>
      <c r="R23" s="55">
        <f t="shared" si="5"/>
        <v>253.62233599999956</v>
      </c>
      <c r="S23" s="55">
        <f t="shared" si="6"/>
        <v>19.021675199999965</v>
      </c>
      <c r="T23" s="55">
        <f t="shared" si="7"/>
        <v>12.681116799999975</v>
      </c>
      <c r="U23" s="49"/>
      <c r="V23" s="49"/>
      <c r="W23" s="49"/>
      <c r="X23" s="49"/>
      <c r="Y23" s="49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51"/>
      <c r="DR23" s="51"/>
      <c r="DS23" s="51"/>
      <c r="DT23" s="51"/>
      <c r="DU23" s="51"/>
      <c r="DV23" s="51"/>
      <c r="DW23" s="51"/>
      <c r="DX23" s="51"/>
      <c r="DY23" s="51"/>
      <c r="DZ23" s="51"/>
      <c r="EA23" s="51"/>
      <c r="EB23" s="51"/>
      <c r="EC23" s="51"/>
      <c r="ED23" s="51"/>
      <c r="EE23" s="51"/>
      <c r="EF23" s="51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</row>
    <row r="24" spans="1:256" ht="20.45" customHeight="1" x14ac:dyDescent="0.2">
      <c r="A24" s="67">
        <v>41127.354166666664</v>
      </c>
      <c r="B24" s="68" t="s">
        <v>26</v>
      </c>
      <c r="C24" s="69" t="s">
        <v>24</v>
      </c>
      <c r="D24" s="60">
        <v>86</v>
      </c>
      <c r="E24" s="60">
        <v>96</v>
      </c>
      <c r="F24" s="70">
        <v>0.85</v>
      </c>
      <c r="G24" s="60">
        <v>164.4</v>
      </c>
      <c r="H24" s="60">
        <v>159.5</v>
      </c>
      <c r="I24" s="8">
        <f t="shared" si="0"/>
        <v>2.9805352798053561E-2</v>
      </c>
      <c r="J24" s="60">
        <v>1.5</v>
      </c>
      <c r="K24" s="60">
        <v>36</v>
      </c>
      <c r="L24" s="61">
        <v>988</v>
      </c>
      <c r="M24" s="55">
        <f t="shared" si="10"/>
        <v>658.66666666666663</v>
      </c>
      <c r="N24" s="55">
        <f t="shared" si="1"/>
        <v>76.266666666666723</v>
      </c>
      <c r="O24" s="55">
        <f t="shared" si="2"/>
        <v>4.7666666666666702</v>
      </c>
      <c r="P24" s="55">
        <f t="shared" si="3"/>
        <v>2.2554722666666684</v>
      </c>
      <c r="Q24" s="55">
        <f t="shared" si="4"/>
        <v>2075.0344853333349</v>
      </c>
      <c r="R24" s="55">
        <f t="shared" si="5"/>
        <v>451.09445333333372</v>
      </c>
      <c r="S24" s="55">
        <f t="shared" si="6"/>
        <v>33.832084000000023</v>
      </c>
      <c r="T24" s="55">
        <f t="shared" si="7"/>
        <v>22.554722666666684</v>
      </c>
      <c r="U24" s="10"/>
      <c r="V24" s="10"/>
      <c r="W24" s="6"/>
      <c r="X24" s="10"/>
      <c r="Y24" s="6"/>
    </row>
    <row r="25" spans="1:256" ht="32.450000000000003" customHeight="1" x14ac:dyDescent="0.2">
      <c r="A25" s="67">
        <v>41133.291666666664</v>
      </c>
      <c r="B25" s="68" t="s">
        <v>32</v>
      </c>
      <c r="C25" s="69" t="s">
        <v>24</v>
      </c>
      <c r="D25" s="60">
        <v>89</v>
      </c>
      <c r="E25" s="60">
        <v>105</v>
      </c>
      <c r="F25" s="70">
        <v>0.75</v>
      </c>
      <c r="G25" s="60">
        <v>162.9</v>
      </c>
      <c r="H25" s="60">
        <v>163.5</v>
      </c>
      <c r="I25" s="8">
        <f t="shared" si="0"/>
        <v>-3.6832412523019908E-3</v>
      </c>
      <c r="J25" s="60">
        <v>4.0999999999999996</v>
      </c>
      <c r="K25" s="60">
        <f>6*24</f>
        <v>144</v>
      </c>
      <c r="L25" s="61">
        <f>1666+694</f>
        <v>2360</v>
      </c>
      <c r="M25" s="55">
        <f t="shared" si="10"/>
        <v>575.60975609756099</v>
      </c>
      <c r="N25" s="55">
        <f t="shared" si="1"/>
        <v>32.780487804878071</v>
      </c>
      <c r="O25" s="55">
        <f t="shared" si="2"/>
        <v>2.0487804878048794</v>
      </c>
      <c r="P25" s="55">
        <f t="shared" si="3"/>
        <v>0.96943375609756155</v>
      </c>
      <c r="Q25" s="55">
        <f t="shared" si="4"/>
        <v>891.87905560975662</v>
      </c>
      <c r="R25" s="55">
        <f t="shared" si="5"/>
        <v>193.88675121951232</v>
      </c>
      <c r="S25" s="55">
        <f t="shared" si="6"/>
        <v>14.541506341463423</v>
      </c>
      <c r="T25" s="55">
        <f t="shared" si="7"/>
        <v>9.6943375609756153</v>
      </c>
      <c r="U25" s="6"/>
      <c r="V25" s="6"/>
      <c r="W25" s="6"/>
      <c r="X25" s="6"/>
      <c r="Y25" s="6"/>
    </row>
    <row r="26" spans="1:256" ht="32.450000000000003" customHeight="1" x14ac:dyDescent="0.2">
      <c r="A26" s="67">
        <v>41134.520833333336</v>
      </c>
      <c r="B26" s="68" t="s">
        <v>26</v>
      </c>
      <c r="C26" s="69" t="s">
        <v>24</v>
      </c>
      <c r="D26" s="60">
        <v>89</v>
      </c>
      <c r="E26" s="60">
        <v>100</v>
      </c>
      <c r="F26" s="70">
        <v>0.66</v>
      </c>
      <c r="G26" s="60">
        <v>163</v>
      </c>
      <c r="H26" s="60">
        <v>158.5</v>
      </c>
      <c r="I26" s="8">
        <f t="shared" si="0"/>
        <v>2.7607361963190184E-2</v>
      </c>
      <c r="J26" s="60">
        <v>1.5</v>
      </c>
      <c r="K26" s="60">
        <v>20</v>
      </c>
      <c r="L26" s="61">
        <v>1302</v>
      </c>
      <c r="M26" s="55">
        <f t="shared" si="10"/>
        <v>868</v>
      </c>
      <c r="N26" s="55">
        <f t="shared" si="1"/>
        <v>61.333333333333336</v>
      </c>
      <c r="O26" s="55">
        <f t="shared" si="2"/>
        <v>3.8333333333333335</v>
      </c>
      <c r="P26" s="55">
        <f t="shared" si="3"/>
        <v>1.8138413333333334</v>
      </c>
      <c r="Q26" s="55">
        <f t="shared" si="4"/>
        <v>1668.7340266666668</v>
      </c>
      <c r="R26" s="55">
        <f t="shared" si="5"/>
        <v>362.7682666666667</v>
      </c>
      <c r="S26" s="55">
        <f t="shared" si="6"/>
        <v>27.207620000000002</v>
      </c>
      <c r="T26" s="55">
        <f t="shared" si="7"/>
        <v>18.138413333333332</v>
      </c>
      <c r="U26" s="6"/>
      <c r="V26" s="6"/>
      <c r="W26" s="6"/>
      <c r="X26" s="6"/>
      <c r="Y26" s="6"/>
    </row>
  </sheetData>
  <mergeCells count="2">
    <mergeCell ref="A1:L1"/>
    <mergeCell ref="M1:T1"/>
  </mergeCells>
  <conditionalFormatting sqref="I2:I1048576">
    <cfRule type="cellIs" dxfId="6" priority="1" operator="greaterThan">
      <formula>0.0175</formula>
    </cfRule>
  </conditionalFormatting>
  <pageMargins left="0.5" right="0.5" top="0.75" bottom="0.75" header="0.27777800000000002" footer="0.27777800000000002"/>
  <pageSetup orientation="portrait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4" sqref="B4"/>
    </sheetView>
  </sheetViews>
  <sheetFormatPr defaultColWidth="16.28515625" defaultRowHeight="18" customHeight="1" x14ac:dyDescent="0.2"/>
  <cols>
    <col min="1" max="1" width="16.28515625" style="11" customWidth="1"/>
    <col min="2" max="2" width="19.42578125" style="11" customWidth="1"/>
    <col min="3" max="3" width="13.42578125" style="11" customWidth="1"/>
    <col min="4" max="4" width="19.140625" style="11" customWidth="1"/>
    <col min="5" max="5" width="21" style="11" customWidth="1"/>
    <col min="6" max="6" width="19" style="11" customWidth="1"/>
    <col min="7" max="7" width="21.28515625" style="11" customWidth="1"/>
    <col min="8" max="256" width="16.28515625" style="11" customWidth="1"/>
  </cols>
  <sheetData>
    <row r="1" spans="1:7" ht="20.45" customHeight="1" x14ac:dyDescent="0.2">
      <c r="A1" s="12" t="s">
        <v>33</v>
      </c>
      <c r="B1" s="13">
        <v>0.6</v>
      </c>
      <c r="C1" s="12"/>
      <c r="D1" s="12"/>
      <c r="E1" s="12"/>
      <c r="F1" s="12"/>
      <c r="G1" s="12"/>
    </row>
    <row r="2" spans="1:7" ht="25.5" x14ac:dyDescent="0.2">
      <c r="A2" s="14"/>
      <c r="B2" s="2" t="s">
        <v>34</v>
      </c>
      <c r="C2" s="2" t="s">
        <v>10</v>
      </c>
      <c r="D2" s="2" t="s">
        <v>14</v>
      </c>
      <c r="E2" s="2" t="s">
        <v>15</v>
      </c>
      <c r="F2" s="2" t="s">
        <v>16</v>
      </c>
      <c r="G2" s="2" t="s">
        <v>17</v>
      </c>
    </row>
    <row r="3" spans="1:7" ht="20.65" customHeight="1" x14ac:dyDescent="0.2">
      <c r="A3" s="15" t="s">
        <v>25</v>
      </c>
      <c r="B3" s="16" t="e">
        <f>AVERAGEIF('Houston 2017 Summer Workout Log'!$B3:$B26,$A3,'Houston 2017 Summer Workout Log'!N3:N26)</f>
        <v>#DIV/0!</v>
      </c>
      <c r="C3" s="3" t="e">
        <f>AVERAGEIF('Houston 2017 Summer Workout Log'!$B3:$B26,$A3,'Houston 2017 Summer Workout Log'!M3:M26)</f>
        <v>#DIV/0!</v>
      </c>
      <c r="D3" s="3" t="e">
        <f>AVERAGEIF('Houston 2017 Summer Workout Log'!$B3:$B26,$A3,'Houston 2017 Summer Workout Log'!Q3:Q26)</f>
        <v>#DIV/0!</v>
      </c>
      <c r="E3" s="3" t="e">
        <f>AVERAGEIF('Houston 2017 Summer Workout Log'!$B3:$B26,$A3,'Houston 2017 Summer Workout Log'!R3:R26)</f>
        <v>#DIV/0!</v>
      </c>
      <c r="F3" s="3" t="e">
        <f>AVERAGEIF('Houston 2017 Summer Workout Log'!$B3:$B26,$A3,'Houston 2017 Summer Workout Log'!S3:S26)</f>
        <v>#DIV/0!</v>
      </c>
      <c r="G3" s="3" t="e">
        <f>AVERAGEIF('Houston 2017 Summer Workout Log'!$B3:$B26,$A3,'Houston 2017 Summer Workout Log'!T3:T26)</f>
        <v>#DIV/0!</v>
      </c>
    </row>
    <row r="4" spans="1:7" ht="20.45" customHeight="1" x14ac:dyDescent="0.2">
      <c r="A4" s="17" t="s">
        <v>32</v>
      </c>
      <c r="B4" s="18">
        <f>AVERAGEIF('Houston 2017 Summer Workout Log'!$B3:$B26,$A4,'Houston 2017 Summer Workout Log'!N3:N26)</f>
        <v>37.830243902438994</v>
      </c>
      <c r="C4" s="7">
        <f>AVERAGEIF('Houston 2017 Summer Workout Log'!$B3:$B26,$A4,'Houston 2017 Summer Workout Log'!M3:M26)</f>
        <v>535.40487804878046</v>
      </c>
      <c r="D4" s="7">
        <f>AVERAGEIF('Houston 2017 Summer Workout Log'!$B3:$B26,$A4,'Houston 2017 Summer Workout Log'!Q3:Q26)</f>
        <v>1029.2709006048772</v>
      </c>
      <c r="E4" s="7">
        <f>AVERAGEIF('Houston 2017 Summer Workout Log'!$B3:$B26,$A4,'Houston 2017 Summer Workout Log'!R3:R26)</f>
        <v>223.75454360975596</v>
      </c>
      <c r="F4" s="7">
        <f>AVERAGEIF('Houston 2017 Summer Workout Log'!$B3:$B26,$A4,'Houston 2017 Summer Workout Log'!S3:S26)</f>
        <v>16.781590770731693</v>
      </c>
      <c r="G4" s="7">
        <f>AVERAGEIF('Houston 2017 Summer Workout Log'!$B3:$B26,$A4,'Houston 2017 Summer Workout Log'!T3:T26)</f>
        <v>11.187727180487794</v>
      </c>
    </row>
    <row r="5" spans="1:7" ht="20.45" customHeight="1" x14ac:dyDescent="0.2">
      <c r="A5" s="17" t="s">
        <v>31</v>
      </c>
      <c r="B5" s="18">
        <f>AVERAGEIF('Houston 2017 Summer Workout Log'!$B3:$B26,$A5,'Houston 2017 Summer Workout Log'!N3:N26)</f>
        <v>64.954578309769673</v>
      </c>
      <c r="C5" s="7">
        <f>AVERAGEIF('Houston 2017 Summer Workout Log'!$B3:$B26,$A5,'Houston 2017 Summer Workout Log'!M3:M26)</f>
        <v>770.99083470668177</v>
      </c>
      <c r="D5" s="7">
        <f>AVERAGEIF('Houston 2017 Summer Workout Log'!$B3:$B26,$A5,'Houston 2017 Summer Workout Log'!Q3:Q26)</f>
        <v>1767.2594839124552</v>
      </c>
      <c r="E5" s="7">
        <f>AVERAGEIF('Houston 2017 Summer Workout Log'!$B3:$B26,$A5,'Houston 2017 Summer Workout Log'!R3:R26)</f>
        <v>384.18684432879462</v>
      </c>
      <c r="F5" s="7">
        <f>AVERAGEIF('Houston 2017 Summer Workout Log'!$B3:$B26,$A5,'Houston 2017 Summer Workout Log'!S3:S26)</f>
        <v>28.814013324659598</v>
      </c>
      <c r="G5" s="7">
        <f>AVERAGEIF('Houston 2017 Summer Workout Log'!$B3:$B26,$A5,'Houston 2017 Summer Workout Log'!T3:T26)</f>
        <v>19.209342216439733</v>
      </c>
    </row>
    <row r="6" spans="1:7" ht="20.45" customHeight="1" x14ac:dyDescent="0.2">
      <c r="A6" s="17" t="s">
        <v>23</v>
      </c>
      <c r="B6" s="18" t="e">
        <f>AVERAGEIF('Houston 2017 Summer Workout Log'!$B3:$B26,$A6,'Houston 2017 Summer Workout Log'!N3:N26)</f>
        <v>#DIV/0!</v>
      </c>
      <c r="C6" s="7" t="e">
        <f>AVERAGEIF('Houston 2017 Summer Workout Log'!$B3:$B26,$A6,'Houston 2017 Summer Workout Log'!M3:M26)</f>
        <v>#DIV/0!</v>
      </c>
      <c r="D6" s="7" t="e">
        <f>AVERAGEIF('Houston 2017 Summer Workout Log'!$B3:$B26,$A6,'Houston 2017 Summer Workout Log'!Q3:Q26)</f>
        <v>#DIV/0!</v>
      </c>
      <c r="E6" s="7" t="e">
        <f>AVERAGEIF('Houston 2017 Summer Workout Log'!$B3:$B26,$A6,'Houston 2017 Summer Workout Log'!R3:R26)</f>
        <v>#DIV/0!</v>
      </c>
      <c r="F6" s="7" t="e">
        <f>AVERAGEIF('Houston 2017 Summer Workout Log'!$B3:$B26,$A6,'Houston 2017 Summer Workout Log'!S3:S26)</f>
        <v>#DIV/0!</v>
      </c>
      <c r="G6" s="7" t="e">
        <f>AVERAGEIF('Houston 2017 Summer Workout Log'!$B3:$B26,$A6,'Houston 2017 Summer Workout Log'!T3:T26)</f>
        <v>#DIV/0!</v>
      </c>
    </row>
    <row r="7" spans="1:7" ht="20.45" customHeight="1" x14ac:dyDescent="0.2">
      <c r="A7" s="17" t="s">
        <v>26</v>
      </c>
      <c r="B7" s="18" t="e">
        <f>AVERAGEIF('Houston 2017 Summer Workout Log'!$B3:$B26,$A7,'Houston 2017 Summer Workout Log'!N3:N26)</f>
        <v>#DIV/0!</v>
      </c>
      <c r="C7" s="7" t="e">
        <f>AVERAGEIF('Houston 2017 Summer Workout Log'!$B3:$B26,$A7,'Houston 2017 Summer Workout Log'!M3:M26)</f>
        <v>#DIV/0!</v>
      </c>
      <c r="D7" s="7" t="e">
        <f>AVERAGEIF('Houston 2017 Summer Workout Log'!$B3:$B26,$A7,'Houston 2017 Summer Workout Log'!Q3:Q26)</f>
        <v>#DIV/0!</v>
      </c>
      <c r="E7" s="7" t="e">
        <f>AVERAGEIF('Houston 2017 Summer Workout Log'!$B3:$B26,$A7,'Houston 2017 Summer Workout Log'!R3:R26)</f>
        <v>#DIV/0!</v>
      </c>
      <c r="F7" s="7" t="e">
        <f>AVERAGEIF('Houston 2017 Summer Workout Log'!$B3:$B26,$A7,'Houston 2017 Summer Workout Log'!S3:S26)</f>
        <v>#DIV/0!</v>
      </c>
      <c r="G7" s="7" t="e">
        <f>AVERAGEIF('Houston 2017 Summer Workout Log'!$B3:$B26,$A7,'Houston 2017 Summer Workout Log'!T3:T26)</f>
        <v>#DIV/0!</v>
      </c>
    </row>
    <row r="8" spans="1:7" ht="20.45" customHeight="1" x14ac:dyDescent="0.2">
      <c r="A8" s="17" t="s">
        <v>28</v>
      </c>
      <c r="B8" s="18" t="e">
        <f>AVERAGEIF('Houston 2017 Summer Workout Log'!$B3:$B26,$A8,'Houston 2017 Summer Workout Log'!N3:N26)</f>
        <v>#DIV/0!</v>
      </c>
      <c r="C8" s="7" t="e">
        <f>AVERAGEIF('Houston 2017 Summer Workout Log'!$B3:$B26,$A8,'Houston 2017 Summer Workout Log'!M3:M26)</f>
        <v>#DIV/0!</v>
      </c>
      <c r="D8" s="7" t="e">
        <f>AVERAGEIF('Houston 2017 Summer Workout Log'!$B3:$B26,$A8,'Houston 2017 Summer Workout Log'!Q3:Q26)</f>
        <v>#DIV/0!</v>
      </c>
      <c r="E8" s="7" t="e">
        <f>AVERAGEIF('Houston 2017 Summer Workout Log'!$B3:$B26,$A8,'Houston 2017 Summer Workout Log'!R3:R26)</f>
        <v>#DIV/0!</v>
      </c>
      <c r="F8" s="7" t="e">
        <f>AVERAGEIF('Houston 2017 Summer Workout Log'!$B3:$B26,$A8,'Houston 2017 Summer Workout Log'!S3:S26)</f>
        <v>#DIV/0!</v>
      </c>
      <c r="G8" s="7" t="e">
        <f>AVERAGEIF('Houston 2017 Summer Workout Log'!$B3:$B26,$A8,'Houston 2017 Summer Workout Log'!T3:T26)</f>
        <v>#DIV/0!</v>
      </c>
    </row>
    <row r="9" spans="1:7" ht="20.45" customHeight="1" x14ac:dyDescent="0.2">
      <c r="A9" s="19"/>
      <c r="B9" s="20"/>
      <c r="C9" s="10"/>
      <c r="D9" s="10"/>
      <c r="E9" s="10"/>
      <c r="F9" s="10"/>
      <c r="G9" s="10"/>
    </row>
    <row r="10" spans="1:7" ht="20.45" customHeight="1" x14ac:dyDescent="0.2">
      <c r="A10" s="19"/>
      <c r="B10" s="18"/>
      <c r="C10" s="7"/>
      <c r="D10" s="7"/>
      <c r="E10" s="10"/>
      <c r="F10" s="10"/>
      <c r="G10" s="10"/>
    </row>
    <row r="11" spans="1:7" ht="20.45" customHeight="1" x14ac:dyDescent="0.2">
      <c r="A11" s="19"/>
      <c r="B11" s="20"/>
      <c r="C11" s="10"/>
      <c r="D11" s="10"/>
      <c r="E11" s="10"/>
      <c r="F11" s="10"/>
      <c r="G11" s="1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F13" sqref="F13"/>
    </sheetView>
  </sheetViews>
  <sheetFormatPr defaultColWidth="16.28515625" defaultRowHeight="18" customHeight="1" x14ac:dyDescent="0.2"/>
  <cols>
    <col min="1" max="6" width="16.28515625" style="21" customWidth="1"/>
    <col min="7" max="7" width="26.7109375" style="21" customWidth="1"/>
    <col min="8" max="256" width="16.28515625" style="21" customWidth="1"/>
  </cols>
  <sheetData>
    <row r="1" spans="1:7" ht="50.65" customHeight="1" x14ac:dyDescent="0.2">
      <c r="A1" s="22" t="s">
        <v>35</v>
      </c>
      <c r="B1" s="23" t="s">
        <v>36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</row>
    <row r="2" spans="1:7" ht="20.65" customHeight="1" x14ac:dyDescent="0.2">
      <c r="A2" s="15" t="s">
        <v>42</v>
      </c>
      <c r="B2" s="24">
        <v>3</v>
      </c>
      <c r="C2" s="25">
        <v>0</v>
      </c>
      <c r="D2" s="25">
        <v>1</v>
      </c>
      <c r="E2" s="26"/>
      <c r="F2" s="27"/>
      <c r="G2" s="28"/>
    </row>
    <row r="3" spans="1:7" ht="20.45" customHeight="1" x14ac:dyDescent="0.2">
      <c r="A3" s="17" t="s">
        <v>43</v>
      </c>
      <c r="B3" s="29">
        <f>'Electrolyte Products'!I2*B$2</f>
        <v>909</v>
      </c>
      <c r="C3" s="30">
        <f>'Electrolyte Products'!E2*C$2</f>
        <v>0</v>
      </c>
      <c r="D3" s="30">
        <f>'Electrolyte Products'!C2*D$2</f>
        <v>215</v>
      </c>
      <c r="E3" s="31">
        <f t="shared" ref="E3:E9" si="0">SUM(B3:D3)</f>
        <v>1124</v>
      </c>
      <c r="F3" s="32">
        <f>'Houston 2017 Summer Workout Sum'!D5*'Houston 2017 Summer Workout Sum'!B1</f>
        <v>1060.355690347473</v>
      </c>
      <c r="G3" s="33">
        <f>F3-E3</f>
        <v>-63.644309652526999</v>
      </c>
    </row>
    <row r="4" spans="1:7" ht="20.45" customHeight="1" x14ac:dyDescent="0.2">
      <c r="A4" s="17" t="s">
        <v>44</v>
      </c>
      <c r="B4" s="29">
        <f>'Electrolyte Products'!I3*B$2</f>
        <v>264</v>
      </c>
      <c r="C4" s="30">
        <f>'Electrolyte Products'!E3*C$2</f>
        <v>0</v>
      </c>
      <c r="D4" s="30">
        <f>'Electrolyte Products'!C3*D$2</f>
        <v>63</v>
      </c>
      <c r="E4" s="31">
        <f t="shared" si="0"/>
        <v>327</v>
      </c>
      <c r="F4" s="32">
        <f>'Houston 2017 Summer Workout Sum'!E5*'Houston 2017 Summer Workout Sum'!$B$1</f>
        <v>230.51210659727676</v>
      </c>
      <c r="G4" s="33">
        <f>F4-E4</f>
        <v>-96.487893402723245</v>
      </c>
    </row>
    <row r="5" spans="1:7" ht="20.45" customHeight="1" x14ac:dyDescent="0.2">
      <c r="A5" s="17" t="s">
        <v>45</v>
      </c>
      <c r="B5" s="29">
        <f>'Electrolyte Products'!I4*B$2</f>
        <v>78</v>
      </c>
      <c r="C5" s="30">
        <f>'Electrolyte Products'!E4*C$2</f>
        <v>0</v>
      </c>
      <c r="D5" s="30">
        <f>'Electrolyte Products'!C4*D$2</f>
        <v>22</v>
      </c>
      <c r="E5" s="31">
        <f t="shared" si="0"/>
        <v>100</v>
      </c>
      <c r="F5" s="32">
        <f>'Houston 2017 Summer Workout Sum'!F5*'Houston 2017 Summer Workout Sum'!$B$1</f>
        <v>17.288407994795758</v>
      </c>
      <c r="G5" s="33">
        <f>F5-E5</f>
        <v>-82.711592005204238</v>
      </c>
    </row>
    <row r="6" spans="1:7" ht="20.45" customHeight="1" x14ac:dyDescent="0.2">
      <c r="A6" s="17" t="s">
        <v>46</v>
      </c>
      <c r="B6" s="29">
        <f>'Electrolyte Products'!I5*B$2</f>
        <v>42</v>
      </c>
      <c r="C6" s="30">
        <f>'Electrolyte Products'!E5*C$2</f>
        <v>0</v>
      </c>
      <c r="D6" s="30">
        <f>'Electrolyte Products'!C5*D$2</f>
        <v>11</v>
      </c>
      <c r="E6" s="31">
        <f t="shared" si="0"/>
        <v>53</v>
      </c>
      <c r="F6" s="32">
        <f>'Houston 2017 Summer Workout Sum'!G5*'Houston 2017 Summer Workout Sum'!$B$1</f>
        <v>11.52560532986384</v>
      </c>
      <c r="G6" s="33">
        <f>F6-E6</f>
        <v>-41.474394670136164</v>
      </c>
    </row>
    <row r="7" spans="1:7" ht="20.45" customHeight="1" x14ac:dyDescent="0.2">
      <c r="A7" s="17" t="s">
        <v>47</v>
      </c>
      <c r="B7" s="29">
        <f>'Electrolyte Products'!I6*B$2</f>
        <v>300</v>
      </c>
      <c r="C7" s="30">
        <f>'Electrolyte Products'!E6*C$2</f>
        <v>0</v>
      </c>
      <c r="D7" s="30">
        <f>'Electrolyte Products'!C6*D$2</f>
        <v>0</v>
      </c>
      <c r="E7" s="31">
        <f t="shared" si="0"/>
        <v>300</v>
      </c>
      <c r="F7" s="32">
        <f>'Houston 2017 Summer Workout Sum'!C5*0.2</f>
        <v>154.19816694133635</v>
      </c>
      <c r="G7" s="33">
        <f>F7-E7</f>
        <v>-145.80183305866365</v>
      </c>
    </row>
    <row r="8" spans="1:7" ht="20.45" customHeight="1" x14ac:dyDescent="0.2">
      <c r="A8" s="17" t="s">
        <v>48</v>
      </c>
      <c r="B8" s="29">
        <f>'Electrolyte Products'!I7*B$2</f>
        <v>75</v>
      </c>
      <c r="C8" s="30">
        <f>'Electrolyte Products'!E7*C$2</f>
        <v>0</v>
      </c>
      <c r="D8" s="30">
        <f>'Electrolyte Products'!C7*D$2</f>
        <v>0</v>
      </c>
      <c r="E8" s="31">
        <f t="shared" si="0"/>
        <v>75</v>
      </c>
      <c r="F8" s="32">
        <f>'Houston 2017 Summer Workout Sum'!D10*0.5</f>
        <v>0</v>
      </c>
      <c r="G8" s="33"/>
    </row>
    <row r="9" spans="1:7" ht="20.45" customHeight="1" x14ac:dyDescent="0.2">
      <c r="A9" s="17" t="s">
        <v>49</v>
      </c>
      <c r="B9" s="34">
        <f>B2*'Electrolyte Products'!$I$10</f>
        <v>2.64</v>
      </c>
      <c r="C9" s="35">
        <f>C2*'Electrolyte Products'!$E$10</f>
        <v>0</v>
      </c>
      <c r="D9" s="35">
        <f>D2*'Electrolyte Products'!$C$10</f>
        <v>0.3</v>
      </c>
      <c r="E9" s="36">
        <f t="shared" si="0"/>
        <v>2.94</v>
      </c>
      <c r="F9" s="32"/>
      <c r="G9" s="33"/>
    </row>
    <row r="10" spans="1:7" ht="20.45" customHeight="1" x14ac:dyDescent="0.2">
      <c r="A10" s="19"/>
      <c r="B10" s="37"/>
      <c r="C10" s="38"/>
      <c r="D10" s="38"/>
      <c r="E10" s="38"/>
      <c r="F10" s="33"/>
      <c r="G10" s="33"/>
    </row>
    <row r="11" spans="1:7" ht="50.45" customHeight="1" x14ac:dyDescent="0.2">
      <c r="A11" s="39" t="s">
        <v>50</v>
      </c>
      <c r="B11" s="40" t="s">
        <v>36</v>
      </c>
      <c r="C11" s="41" t="s">
        <v>37</v>
      </c>
      <c r="D11" s="41" t="s">
        <v>38</v>
      </c>
      <c r="E11" s="41" t="s">
        <v>39</v>
      </c>
      <c r="F11" s="41" t="s">
        <v>51</v>
      </c>
      <c r="G11" s="41" t="s">
        <v>41</v>
      </c>
    </row>
    <row r="12" spans="1:7" ht="20.45" customHeight="1" x14ac:dyDescent="0.2">
      <c r="A12" s="17" t="s">
        <v>42</v>
      </c>
      <c r="B12" s="29">
        <v>2</v>
      </c>
      <c r="C12" s="30">
        <v>1</v>
      </c>
      <c r="D12" s="30">
        <v>3</v>
      </c>
      <c r="E12" s="31"/>
      <c r="F12" s="32"/>
      <c r="G12" s="33"/>
    </row>
    <row r="13" spans="1:7" ht="20.45" customHeight="1" x14ac:dyDescent="0.2">
      <c r="A13" s="17" t="s">
        <v>43</v>
      </c>
      <c r="B13" s="29">
        <f>'Electrolyte Products'!I2*B$12</f>
        <v>606</v>
      </c>
      <c r="C13" s="30">
        <f>'Electrolyte Products'!E2*C$12</f>
        <v>125</v>
      </c>
      <c r="D13" s="30">
        <f>'Electrolyte Products'!C2*D$12</f>
        <v>645</v>
      </c>
      <c r="E13" s="31">
        <f t="shared" ref="E13:E19" si="1">SUM(B13:D13)</f>
        <v>1376</v>
      </c>
      <c r="F13" s="32" t="e">
        <f>'Houston 2017 Summer Workout Sum'!D8*'Houston 2017 Summer Workout Sum'!$B$1</f>
        <v>#DIV/0!</v>
      </c>
      <c r="G13" s="33" t="e">
        <f>F13-E13</f>
        <v>#DIV/0!</v>
      </c>
    </row>
    <row r="14" spans="1:7" ht="20.45" customHeight="1" x14ac:dyDescent="0.2">
      <c r="A14" s="17" t="s">
        <v>44</v>
      </c>
      <c r="B14" s="29">
        <f>'Electrolyte Products'!I3*B$12</f>
        <v>176</v>
      </c>
      <c r="C14" s="30">
        <f>'Electrolyte Products'!E3*C$12</f>
        <v>40</v>
      </c>
      <c r="D14" s="30">
        <f>'Electrolyte Products'!C3*D$12</f>
        <v>189</v>
      </c>
      <c r="E14" s="31">
        <f t="shared" si="1"/>
        <v>405</v>
      </c>
      <c r="F14" s="32" t="e">
        <f>'Houston 2017 Summer Workout Sum'!E8*'Houston 2017 Summer Workout Sum'!$B$1</f>
        <v>#DIV/0!</v>
      </c>
      <c r="G14" s="33" t="e">
        <f>F14-E14</f>
        <v>#DIV/0!</v>
      </c>
    </row>
    <row r="15" spans="1:7" ht="20.45" customHeight="1" x14ac:dyDescent="0.2">
      <c r="A15" s="17" t="s">
        <v>45</v>
      </c>
      <c r="B15" s="29">
        <f>'Electrolyte Products'!I4*B$12</f>
        <v>52</v>
      </c>
      <c r="C15" s="30">
        <f>'Electrolyte Products'!E4*C$12</f>
        <v>22</v>
      </c>
      <c r="D15" s="30">
        <f>'Electrolyte Products'!C4*D$12</f>
        <v>66</v>
      </c>
      <c r="E15" s="31">
        <f t="shared" si="1"/>
        <v>140</v>
      </c>
      <c r="F15" s="32" t="e">
        <f>'Houston 2017 Summer Workout Sum'!F8*'Houston 2017 Summer Workout Sum'!$B$1</f>
        <v>#DIV/0!</v>
      </c>
      <c r="G15" s="33" t="e">
        <f>F15-E15</f>
        <v>#DIV/0!</v>
      </c>
    </row>
    <row r="16" spans="1:7" ht="20.45" customHeight="1" x14ac:dyDescent="0.2">
      <c r="A16" s="17" t="s">
        <v>46</v>
      </c>
      <c r="B16" s="29">
        <f>'Electrolyte Products'!I5*B$12</f>
        <v>28</v>
      </c>
      <c r="C16" s="30">
        <f>'Electrolyte Products'!E5*C$12</f>
        <v>0</v>
      </c>
      <c r="D16" s="30">
        <f>'Electrolyte Products'!C5*D$12</f>
        <v>33</v>
      </c>
      <c r="E16" s="31">
        <f t="shared" si="1"/>
        <v>61</v>
      </c>
      <c r="F16" s="32" t="e">
        <f>'Houston 2017 Summer Workout Sum'!G8*'Houston 2017 Summer Workout Sum'!$B$1</f>
        <v>#DIV/0!</v>
      </c>
      <c r="G16" s="33" t="e">
        <f>F16-E16</f>
        <v>#DIV/0!</v>
      </c>
    </row>
    <row r="17" spans="1:7" ht="20.45" customHeight="1" x14ac:dyDescent="0.2">
      <c r="A17" s="17" t="s">
        <v>47</v>
      </c>
      <c r="B17" s="29">
        <f>'Electrolyte Products'!I6*B$12</f>
        <v>200</v>
      </c>
      <c r="C17" s="30">
        <f>'Electrolyte Products'!E6*C$12</f>
        <v>100</v>
      </c>
      <c r="D17" s="30">
        <f>'Electrolyte Products'!C6*D$12</f>
        <v>0</v>
      </c>
      <c r="E17" s="31">
        <f t="shared" si="1"/>
        <v>300</v>
      </c>
      <c r="F17" s="32" t="e">
        <f>'Houston 2017 Summer Workout Sum'!C8*0.2</f>
        <v>#DIV/0!</v>
      </c>
      <c r="G17" s="33" t="e">
        <f>F17-E17</f>
        <v>#DIV/0!</v>
      </c>
    </row>
    <row r="18" spans="1:7" ht="20.45" customHeight="1" x14ac:dyDescent="0.2">
      <c r="A18" s="17" t="s">
        <v>48</v>
      </c>
      <c r="B18" s="29">
        <f>'Electrolyte Products'!I7*B$12</f>
        <v>50</v>
      </c>
      <c r="C18" s="30">
        <f>'Electrolyte Products'!E7*C$12</f>
        <v>0</v>
      </c>
      <c r="D18" s="30">
        <f>'Electrolyte Products'!C7*D$12</f>
        <v>0</v>
      </c>
      <c r="E18" s="31">
        <f t="shared" si="1"/>
        <v>50</v>
      </c>
      <c r="F18" s="32"/>
      <c r="G18" s="33"/>
    </row>
    <row r="19" spans="1:7" ht="20.45" customHeight="1" x14ac:dyDescent="0.2">
      <c r="A19" s="17" t="s">
        <v>49</v>
      </c>
      <c r="B19" s="34">
        <f>B12*'Electrolyte Products'!$I$10</f>
        <v>1.76</v>
      </c>
      <c r="C19" s="35">
        <f>C12*'Electrolyte Products'!$E$10</f>
        <v>1.0416666666666667</v>
      </c>
      <c r="D19" s="35">
        <f>D12*'Electrolyte Products'!$C$10</f>
        <v>0.89999999999999991</v>
      </c>
      <c r="E19" s="36">
        <f t="shared" si="1"/>
        <v>3.7016666666666667</v>
      </c>
      <c r="F19" s="32"/>
      <c r="G19" s="33"/>
    </row>
  </sheetData>
  <conditionalFormatting sqref="G1:G19">
    <cfRule type="cellIs" dxfId="5" priority="1" stopIfTrue="1" operator="greaterThan">
      <formula>0</formula>
    </cfRule>
    <cfRule type="cellIs" dxfId="4" priority="2" stopIfTrue="1" operator="lessThan">
      <formula>0</formula>
    </cfRule>
  </conditionalFormatting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6.28515625" defaultRowHeight="18" customHeight="1" x14ac:dyDescent="0.2"/>
  <cols>
    <col min="1" max="6" width="16.28515625" style="42" customWidth="1"/>
    <col min="7" max="7" width="26.7109375" style="42" customWidth="1"/>
    <col min="8" max="256" width="16.28515625" style="42" customWidth="1"/>
  </cols>
  <sheetData>
    <row r="1" spans="1:7" ht="50.65" customHeight="1" x14ac:dyDescent="0.2">
      <c r="A1" s="22" t="s">
        <v>35</v>
      </c>
      <c r="B1" s="23" t="s">
        <v>52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</row>
    <row r="2" spans="1:7" ht="20.65" customHeight="1" x14ac:dyDescent="0.2">
      <c r="A2" s="15" t="s">
        <v>42</v>
      </c>
      <c r="B2" s="24">
        <v>3</v>
      </c>
      <c r="C2" s="25">
        <v>1</v>
      </c>
      <c r="D2" s="25">
        <v>1</v>
      </c>
      <c r="E2" s="26"/>
      <c r="F2" s="27"/>
      <c r="G2" s="28"/>
    </row>
    <row r="3" spans="1:7" ht="20.45" customHeight="1" x14ac:dyDescent="0.2">
      <c r="A3" s="17" t="s">
        <v>43</v>
      </c>
      <c r="B3" s="29">
        <f>'Electrolyte Products'!J2*B$2</f>
        <v>870</v>
      </c>
      <c r="C3" s="30">
        <f>'Electrolyte Products'!E2*C$2</f>
        <v>125</v>
      </c>
      <c r="D3" s="30">
        <f>'Electrolyte Products'!C2*$D$2</f>
        <v>215</v>
      </c>
      <c r="E3" s="31">
        <f t="shared" ref="E3:E9" si="0">SUM(B3:D3)</f>
        <v>1210</v>
      </c>
      <c r="F3" s="32">
        <f>'Houston 2017 Summer Workout Sum'!D5*'Houston 2017 Summer Workout Sum'!$B$1</f>
        <v>1060.355690347473</v>
      </c>
      <c r="G3" s="33">
        <f>F3-E3</f>
        <v>-149.644309652527</v>
      </c>
    </row>
    <row r="4" spans="1:7" ht="20.45" customHeight="1" x14ac:dyDescent="0.2">
      <c r="A4" s="17" t="s">
        <v>44</v>
      </c>
      <c r="B4" s="29">
        <f>'Electrolyte Products'!J3*B$2</f>
        <v>420</v>
      </c>
      <c r="C4" s="30">
        <f>'Electrolyte Products'!E3*C$2</f>
        <v>40</v>
      </c>
      <c r="D4" s="30">
        <f>'Electrolyte Products'!C3*$D$2</f>
        <v>63</v>
      </c>
      <c r="E4" s="31">
        <f t="shared" si="0"/>
        <v>523</v>
      </c>
      <c r="F4" s="32">
        <f>'Houston 2017 Summer Workout Sum'!E5*'Houston 2017 Summer Workout Sum'!$B$1</f>
        <v>230.51210659727676</v>
      </c>
      <c r="G4" s="33">
        <f>F4-E4</f>
        <v>-292.48789340272322</v>
      </c>
    </row>
    <row r="5" spans="1:7" ht="20.45" customHeight="1" x14ac:dyDescent="0.2">
      <c r="A5" s="17" t="s">
        <v>45</v>
      </c>
      <c r="B5" s="29">
        <f>'Electrolyte Products'!J4*B$2</f>
        <v>60</v>
      </c>
      <c r="C5" s="30">
        <f>'Electrolyte Products'!E4*C$2</f>
        <v>22</v>
      </c>
      <c r="D5" s="30">
        <f>'Electrolyte Products'!C4*$D$2</f>
        <v>22</v>
      </c>
      <c r="E5" s="31">
        <f t="shared" si="0"/>
        <v>104</v>
      </c>
      <c r="F5" s="32">
        <f>'Houston 2017 Summer Workout Sum'!F5*'Houston 2017 Summer Workout Sum'!$B$1</f>
        <v>17.288407994795758</v>
      </c>
      <c r="G5" s="33">
        <f>F5-E5</f>
        <v>-86.711592005204238</v>
      </c>
    </row>
    <row r="6" spans="1:7" ht="20.45" customHeight="1" x14ac:dyDescent="0.2">
      <c r="A6" s="17" t="s">
        <v>46</v>
      </c>
      <c r="B6" s="29">
        <f>'Electrolyte Products'!J5*B$2</f>
        <v>0</v>
      </c>
      <c r="C6" s="30">
        <f>'Electrolyte Products'!E5*C$2</f>
        <v>0</v>
      </c>
      <c r="D6" s="30">
        <f>'Electrolyte Products'!C5*$D$2</f>
        <v>11</v>
      </c>
      <c r="E6" s="31">
        <f t="shared" si="0"/>
        <v>11</v>
      </c>
      <c r="F6" s="32">
        <f>'Houston 2017 Summer Workout Sum'!G5*'Houston 2017 Summer Workout Sum'!$B$1</f>
        <v>11.52560532986384</v>
      </c>
      <c r="G6" s="33">
        <f>F6-E6</f>
        <v>0.5256053298638399</v>
      </c>
    </row>
    <row r="7" spans="1:7" ht="20.45" customHeight="1" x14ac:dyDescent="0.2">
      <c r="A7" s="17" t="s">
        <v>47</v>
      </c>
      <c r="B7" s="29">
        <f>'Electrolyte Products'!J6*B$2</f>
        <v>60</v>
      </c>
      <c r="C7" s="30">
        <f>'Electrolyte Products'!E6*C$2</f>
        <v>100</v>
      </c>
      <c r="D7" s="30">
        <f>'Electrolyte Products'!C6*$D$2</f>
        <v>0</v>
      </c>
      <c r="E7" s="31">
        <f t="shared" si="0"/>
        <v>160</v>
      </c>
      <c r="F7" s="32">
        <f>'Houston 2017 Summer Workout Sum'!C5*0.2</f>
        <v>154.19816694133635</v>
      </c>
      <c r="G7" s="33">
        <f>F7-E7</f>
        <v>-5.8018330586636466</v>
      </c>
    </row>
    <row r="8" spans="1:7" ht="20.45" customHeight="1" x14ac:dyDescent="0.2">
      <c r="A8" s="17" t="s">
        <v>48</v>
      </c>
      <c r="B8" s="29">
        <f>'Electrolyte Products'!J7*B$2</f>
        <v>63</v>
      </c>
      <c r="C8" s="30">
        <f>'Electrolyte Products'!E7*C$2</f>
        <v>0</v>
      </c>
      <c r="D8" s="30">
        <f>'Electrolyte Products'!C7*$D$2</f>
        <v>0</v>
      </c>
      <c r="E8" s="31">
        <f t="shared" si="0"/>
        <v>63</v>
      </c>
      <c r="F8" s="32">
        <f>'Houston 2017 Summer Workout Sum'!D10*0.5</f>
        <v>0</v>
      </c>
      <c r="G8" s="33"/>
    </row>
    <row r="9" spans="1:7" ht="20.45" customHeight="1" x14ac:dyDescent="0.2">
      <c r="A9" s="17" t="s">
        <v>49</v>
      </c>
      <c r="B9" s="34">
        <f>B2*'Electrolyte Products'!$J$10</f>
        <v>1.5789473684210527</v>
      </c>
      <c r="C9" s="35">
        <f>C2*'Electrolyte Products'!$E$10</f>
        <v>1.0416666666666667</v>
      </c>
      <c r="D9" s="35">
        <f>D2*'Electrolyte Products'!$C$10</f>
        <v>0.3</v>
      </c>
      <c r="E9" s="36">
        <f t="shared" si="0"/>
        <v>2.920614035087719</v>
      </c>
      <c r="F9" s="32"/>
      <c r="G9" s="33"/>
    </row>
    <row r="10" spans="1:7" ht="20.45" customHeight="1" x14ac:dyDescent="0.2">
      <c r="A10" s="19"/>
      <c r="B10" s="37"/>
      <c r="C10" s="38"/>
      <c r="D10" s="38"/>
      <c r="E10" s="38"/>
      <c r="F10" s="33"/>
      <c r="G10" s="33"/>
    </row>
    <row r="11" spans="1:7" ht="50.45" customHeight="1" x14ac:dyDescent="0.2">
      <c r="A11" s="39" t="s">
        <v>50</v>
      </c>
      <c r="B11" s="40" t="s">
        <v>52</v>
      </c>
      <c r="C11" s="41" t="s">
        <v>37</v>
      </c>
      <c r="D11" s="41" t="s">
        <v>38</v>
      </c>
      <c r="E11" s="41" t="s">
        <v>39</v>
      </c>
      <c r="F11" s="41" t="s">
        <v>51</v>
      </c>
      <c r="G11" s="41" t="s">
        <v>41</v>
      </c>
    </row>
    <row r="12" spans="1:7" ht="20.45" customHeight="1" x14ac:dyDescent="0.2">
      <c r="A12" s="17" t="s">
        <v>42</v>
      </c>
      <c r="B12" s="29">
        <v>2</v>
      </c>
      <c r="C12" s="30">
        <v>1</v>
      </c>
      <c r="D12" s="30">
        <v>3</v>
      </c>
      <c r="E12" s="31"/>
      <c r="F12" s="32"/>
      <c r="G12" s="33"/>
    </row>
    <row r="13" spans="1:7" ht="20.45" customHeight="1" x14ac:dyDescent="0.2">
      <c r="A13" s="17" t="s">
        <v>43</v>
      </c>
      <c r="B13" s="29">
        <f>'Electrolyte Products'!J2*B$12</f>
        <v>580</v>
      </c>
      <c r="C13" s="30">
        <f>'Electrolyte Products'!E2*C$12</f>
        <v>125</v>
      </c>
      <c r="D13" s="30">
        <f>'Electrolyte Products'!C2*D$12</f>
        <v>645</v>
      </c>
      <c r="E13" s="31">
        <f t="shared" ref="E13:E19" si="1">SUM(B13:D13)</f>
        <v>1350</v>
      </c>
      <c r="F13" s="32" t="e">
        <f>'Houston 2017 Summer Workout Sum'!D8*'Houston 2017 Summer Workout Sum'!$B$1</f>
        <v>#DIV/0!</v>
      </c>
      <c r="G13" s="33" t="e">
        <f>F13-E13</f>
        <v>#DIV/0!</v>
      </c>
    </row>
    <row r="14" spans="1:7" ht="20.45" customHeight="1" x14ac:dyDescent="0.2">
      <c r="A14" s="17" t="s">
        <v>44</v>
      </c>
      <c r="B14" s="29">
        <f>'Electrolyte Products'!J3*B$12</f>
        <v>280</v>
      </c>
      <c r="C14" s="30">
        <f>'Electrolyte Products'!E3*C$12</f>
        <v>40</v>
      </c>
      <c r="D14" s="30">
        <f>'Electrolyte Products'!C3*D$12</f>
        <v>189</v>
      </c>
      <c r="E14" s="31">
        <f t="shared" si="1"/>
        <v>509</v>
      </c>
      <c r="F14" s="32" t="e">
        <f>'Houston 2017 Summer Workout Sum'!E8*'Houston 2017 Summer Workout Sum'!$B$1</f>
        <v>#DIV/0!</v>
      </c>
      <c r="G14" s="33" t="e">
        <f>F14-E14</f>
        <v>#DIV/0!</v>
      </c>
    </row>
    <row r="15" spans="1:7" ht="20.45" customHeight="1" x14ac:dyDescent="0.2">
      <c r="A15" s="17" t="s">
        <v>45</v>
      </c>
      <c r="B15" s="29">
        <f>'Electrolyte Products'!J4*B$12</f>
        <v>40</v>
      </c>
      <c r="C15" s="30">
        <f>'Electrolyte Products'!E4*C$12</f>
        <v>22</v>
      </c>
      <c r="D15" s="30">
        <f>'Electrolyte Products'!C4*D$12</f>
        <v>66</v>
      </c>
      <c r="E15" s="31">
        <f t="shared" si="1"/>
        <v>128</v>
      </c>
      <c r="F15" s="32" t="e">
        <f>'Houston 2017 Summer Workout Sum'!F8*'Houston 2017 Summer Workout Sum'!$B$1</f>
        <v>#DIV/0!</v>
      </c>
      <c r="G15" s="33" t="e">
        <f>F15-E15</f>
        <v>#DIV/0!</v>
      </c>
    </row>
    <row r="16" spans="1:7" ht="20.45" customHeight="1" x14ac:dyDescent="0.2">
      <c r="A16" s="17" t="s">
        <v>46</v>
      </c>
      <c r="B16" s="29">
        <f>'Electrolyte Products'!J5*B$12</f>
        <v>0</v>
      </c>
      <c r="C16" s="30">
        <f>'Electrolyte Products'!E5*C$12</f>
        <v>0</v>
      </c>
      <c r="D16" s="30">
        <f>'Electrolyte Products'!C5*D$12</f>
        <v>33</v>
      </c>
      <c r="E16" s="31">
        <f t="shared" si="1"/>
        <v>33</v>
      </c>
      <c r="F16" s="32" t="e">
        <f>'Houston 2017 Summer Workout Sum'!G8*'Houston 2017 Summer Workout Sum'!$B$1</f>
        <v>#DIV/0!</v>
      </c>
      <c r="G16" s="33" t="e">
        <f>F16-E16</f>
        <v>#DIV/0!</v>
      </c>
    </row>
    <row r="17" spans="1:7" ht="20.45" customHeight="1" x14ac:dyDescent="0.2">
      <c r="A17" s="17" t="s">
        <v>47</v>
      </c>
      <c r="B17" s="29">
        <f>'Electrolyte Products'!J6*B$12</f>
        <v>40</v>
      </c>
      <c r="C17" s="30">
        <f>'Electrolyte Products'!E6*C$12</f>
        <v>100</v>
      </c>
      <c r="D17" s="30">
        <f>'Electrolyte Products'!C6*D$12</f>
        <v>0</v>
      </c>
      <c r="E17" s="31">
        <f t="shared" si="1"/>
        <v>140</v>
      </c>
      <c r="F17" s="32" t="e">
        <f>'Houston 2017 Summer Workout Sum'!C8*0.2</f>
        <v>#DIV/0!</v>
      </c>
      <c r="G17" s="33" t="e">
        <f>F17-E17</f>
        <v>#DIV/0!</v>
      </c>
    </row>
    <row r="18" spans="1:7" ht="20.45" customHeight="1" x14ac:dyDescent="0.2">
      <c r="A18" s="17" t="s">
        <v>48</v>
      </c>
      <c r="B18" s="29">
        <f>'Electrolyte Products'!J7*B$12</f>
        <v>42</v>
      </c>
      <c r="C18" s="30">
        <f>'Electrolyte Products'!E7*C$12</f>
        <v>0</v>
      </c>
      <c r="D18" s="30">
        <f>'Electrolyte Products'!C7*D$12</f>
        <v>0</v>
      </c>
      <c r="E18" s="31">
        <f t="shared" si="1"/>
        <v>42</v>
      </c>
      <c r="F18" s="32"/>
      <c r="G18" s="33"/>
    </row>
    <row r="19" spans="1:7" ht="20.45" customHeight="1" x14ac:dyDescent="0.2">
      <c r="A19" s="17" t="s">
        <v>49</v>
      </c>
      <c r="B19" s="34">
        <f>B12*'Electrolyte Products'!$J$10</f>
        <v>1.0526315789473684</v>
      </c>
      <c r="C19" s="35">
        <f>C12*'Electrolyte Products'!$E$10</f>
        <v>1.0416666666666667</v>
      </c>
      <c r="D19" s="35">
        <f>D12*'Electrolyte Products'!$C$10</f>
        <v>0.89999999999999991</v>
      </c>
      <c r="E19" s="36">
        <f t="shared" si="1"/>
        <v>2.994298245614035</v>
      </c>
      <c r="F19" s="32"/>
      <c r="G19" s="33"/>
    </row>
  </sheetData>
  <conditionalFormatting sqref="G1:G19">
    <cfRule type="cellIs" dxfId="3" priority="1" stopIfTrue="1" operator="greaterThan">
      <formula>0</formula>
    </cfRule>
    <cfRule type="cellIs" dxfId="2" priority="2" stopIfTrue="1" operator="lessThan">
      <formula>0</formula>
    </cfRule>
  </conditionalFormatting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6.28515625" defaultRowHeight="18" customHeight="1" x14ac:dyDescent="0.2"/>
  <cols>
    <col min="1" max="6" width="16.28515625" style="43" customWidth="1"/>
    <col min="7" max="7" width="26.7109375" style="43" customWidth="1"/>
    <col min="8" max="256" width="16.28515625" style="43" customWidth="1"/>
  </cols>
  <sheetData>
    <row r="1" spans="1:7" ht="50.65" customHeight="1" x14ac:dyDescent="0.2">
      <c r="A1" s="22" t="s">
        <v>35</v>
      </c>
      <c r="B1" s="23" t="s">
        <v>53</v>
      </c>
      <c r="C1" s="23" t="s">
        <v>37</v>
      </c>
      <c r="D1" s="23" t="s">
        <v>38</v>
      </c>
      <c r="E1" s="23" t="s">
        <v>39</v>
      </c>
      <c r="F1" s="23" t="s">
        <v>40</v>
      </c>
      <c r="G1" s="23" t="s">
        <v>41</v>
      </c>
    </row>
    <row r="2" spans="1:7" ht="20.65" customHeight="1" x14ac:dyDescent="0.2">
      <c r="A2" s="15" t="s">
        <v>42</v>
      </c>
      <c r="B2" s="24">
        <v>3</v>
      </c>
      <c r="C2" s="25">
        <v>0</v>
      </c>
      <c r="D2" s="25">
        <v>2</v>
      </c>
      <c r="E2" s="26"/>
      <c r="F2" s="27"/>
      <c r="G2" s="28"/>
    </row>
    <row r="3" spans="1:7" ht="20.45" customHeight="1" x14ac:dyDescent="0.2">
      <c r="A3" s="17" t="s">
        <v>43</v>
      </c>
      <c r="B3" s="29">
        <f>'Electrolyte Products'!L2*B$2</f>
        <v>630</v>
      </c>
      <c r="C3" s="30">
        <f>'Electrolyte Products'!E2*C$2</f>
        <v>0</v>
      </c>
      <c r="D3" s="30">
        <f>'Electrolyte Products'!C2*$D$2</f>
        <v>430</v>
      </c>
      <c r="E3" s="31">
        <f t="shared" ref="E3:E9" si="0">SUM(B3:D3)</f>
        <v>1060</v>
      </c>
      <c r="F3" s="32">
        <f>'Houston 2017 Summer Workout Sum'!D5*'Houston 2017 Summer Workout Sum'!$B$1</f>
        <v>1060.355690347473</v>
      </c>
      <c r="G3" s="33">
        <f>F3-E3</f>
        <v>0.35569034747300066</v>
      </c>
    </row>
    <row r="4" spans="1:7" ht="20.45" customHeight="1" x14ac:dyDescent="0.2">
      <c r="A4" s="17" t="s">
        <v>44</v>
      </c>
      <c r="B4" s="29">
        <f>'Electrolyte Products'!L3*B$2</f>
        <v>0</v>
      </c>
      <c r="C4" s="30">
        <f>'Electrolyte Products'!E3*C$2</f>
        <v>0</v>
      </c>
      <c r="D4" s="30">
        <f>'Electrolyte Products'!C3*$D$2</f>
        <v>126</v>
      </c>
      <c r="E4" s="31">
        <f t="shared" si="0"/>
        <v>126</v>
      </c>
      <c r="F4" s="32">
        <f>'Houston 2017 Summer Workout Sum'!E5*'Houston 2017 Summer Workout Sum'!$B$1</f>
        <v>230.51210659727676</v>
      </c>
      <c r="G4" s="33">
        <f>F4-E4</f>
        <v>104.51210659727676</v>
      </c>
    </row>
    <row r="5" spans="1:7" ht="20.45" customHeight="1" x14ac:dyDescent="0.2">
      <c r="A5" s="17" t="s">
        <v>45</v>
      </c>
      <c r="B5" s="29">
        <f>'Electrolyte Products'!L4*B$2</f>
        <v>120</v>
      </c>
      <c r="C5" s="30">
        <f>'Electrolyte Products'!E4*C$2</f>
        <v>0</v>
      </c>
      <c r="D5" s="30">
        <f>'Electrolyte Products'!C4*$D$2</f>
        <v>44</v>
      </c>
      <c r="E5" s="31">
        <f t="shared" si="0"/>
        <v>164</v>
      </c>
      <c r="F5" s="32">
        <f>'Houston 2017 Summer Workout Sum'!F5*'Houston 2017 Summer Workout Sum'!$B$1</f>
        <v>17.288407994795758</v>
      </c>
      <c r="G5" s="33">
        <f>F5-E5</f>
        <v>-146.71159200520424</v>
      </c>
    </row>
    <row r="6" spans="1:7" ht="20.45" customHeight="1" x14ac:dyDescent="0.2">
      <c r="A6" s="17" t="s">
        <v>46</v>
      </c>
      <c r="B6" s="29">
        <f>'Electrolyte Products'!L5*B$2</f>
        <v>24</v>
      </c>
      <c r="C6" s="30">
        <f>'Electrolyte Products'!E5*C$2</f>
        <v>0</v>
      </c>
      <c r="D6" s="30">
        <f>'Electrolyte Products'!C5*$D$2</f>
        <v>22</v>
      </c>
      <c r="E6" s="31">
        <f t="shared" si="0"/>
        <v>46</v>
      </c>
      <c r="F6" s="32">
        <f>'Houston 2017 Summer Workout Sum'!G5*'Houston 2017 Summer Workout Sum'!$B$1</f>
        <v>11.52560532986384</v>
      </c>
      <c r="G6" s="33">
        <f>F6-E6</f>
        <v>-34.474394670136164</v>
      </c>
    </row>
    <row r="7" spans="1:7" ht="20.45" customHeight="1" x14ac:dyDescent="0.2">
      <c r="A7" s="17" t="s">
        <v>47</v>
      </c>
      <c r="B7" s="29">
        <f>'Electrolyte Products'!L6*B$2</f>
        <v>810</v>
      </c>
      <c r="C7" s="30">
        <f>'Electrolyte Products'!E6*C$2</f>
        <v>0</v>
      </c>
      <c r="D7" s="30">
        <f>'Electrolyte Products'!C6*$D$2</f>
        <v>0</v>
      </c>
      <c r="E7" s="31">
        <f t="shared" si="0"/>
        <v>810</v>
      </c>
      <c r="F7" s="32">
        <f>'Houston 2017 Summer Workout Sum'!C5*0.2</f>
        <v>154.19816694133635</v>
      </c>
      <c r="G7" s="33">
        <f>F7-E7</f>
        <v>-655.80183305866365</v>
      </c>
    </row>
    <row r="8" spans="1:7" ht="20.45" customHeight="1" x14ac:dyDescent="0.2">
      <c r="A8" s="17" t="s">
        <v>48</v>
      </c>
      <c r="B8" s="29">
        <f>'Electrolyte Products'!L7*B$2</f>
        <v>162</v>
      </c>
      <c r="C8" s="30">
        <f>'Electrolyte Products'!E7*C$2</f>
        <v>0</v>
      </c>
      <c r="D8" s="30">
        <f>'Electrolyte Products'!C7*$D$2</f>
        <v>0</v>
      </c>
      <c r="E8" s="31">
        <f t="shared" si="0"/>
        <v>162</v>
      </c>
      <c r="F8" s="32">
        <f>'Houston 2017 Summer Workout Sum'!D10*0.5</f>
        <v>0</v>
      </c>
      <c r="G8" s="33"/>
    </row>
    <row r="9" spans="1:7" ht="20.45" customHeight="1" x14ac:dyDescent="0.2">
      <c r="A9" s="17" t="s">
        <v>49</v>
      </c>
      <c r="B9" s="34">
        <f>B2*'Electrolyte Products'!$L$10</f>
        <v>2.8125</v>
      </c>
      <c r="C9" s="35">
        <f>C2*'Electrolyte Products'!$E$10</f>
        <v>0</v>
      </c>
      <c r="D9" s="35">
        <f>D2*'Electrolyte Products'!$C$10</f>
        <v>0.6</v>
      </c>
      <c r="E9" s="36">
        <f t="shared" si="0"/>
        <v>3.4125000000000001</v>
      </c>
      <c r="F9" s="32"/>
      <c r="G9" s="33"/>
    </row>
    <row r="10" spans="1:7" ht="20.45" customHeight="1" x14ac:dyDescent="0.2">
      <c r="A10" s="19"/>
      <c r="B10" s="37"/>
      <c r="C10" s="38"/>
      <c r="D10" s="38"/>
      <c r="E10" s="38"/>
      <c r="F10" s="33"/>
      <c r="G10" s="33"/>
    </row>
    <row r="11" spans="1:7" ht="50.45" customHeight="1" x14ac:dyDescent="0.2">
      <c r="A11" s="39" t="s">
        <v>50</v>
      </c>
      <c r="B11" s="40" t="s">
        <v>53</v>
      </c>
      <c r="C11" s="41" t="s">
        <v>37</v>
      </c>
      <c r="D11" s="41" t="s">
        <v>38</v>
      </c>
      <c r="E11" s="41" t="s">
        <v>39</v>
      </c>
      <c r="F11" s="41" t="s">
        <v>51</v>
      </c>
      <c r="G11" s="41" t="s">
        <v>41</v>
      </c>
    </row>
    <row r="12" spans="1:7" ht="20.45" customHeight="1" x14ac:dyDescent="0.2">
      <c r="A12" s="17" t="s">
        <v>42</v>
      </c>
      <c r="B12" s="29">
        <v>3</v>
      </c>
      <c r="C12" s="30">
        <v>0</v>
      </c>
      <c r="D12" s="30">
        <v>3</v>
      </c>
      <c r="E12" s="31"/>
      <c r="F12" s="32"/>
      <c r="G12" s="33"/>
    </row>
    <row r="13" spans="1:7" ht="20.45" customHeight="1" x14ac:dyDescent="0.2">
      <c r="A13" s="17" t="s">
        <v>43</v>
      </c>
      <c r="B13" s="29">
        <f>'Electrolyte Products'!L2*B$12</f>
        <v>630</v>
      </c>
      <c r="C13" s="30">
        <f>'Electrolyte Products'!E2*C$12</f>
        <v>0</v>
      </c>
      <c r="D13" s="30">
        <f>'Electrolyte Products'!C2*D$12</f>
        <v>645</v>
      </c>
      <c r="E13" s="31">
        <f t="shared" ref="E13:E19" si="1">SUM(B13:D13)</f>
        <v>1275</v>
      </c>
      <c r="F13" s="32" t="e">
        <f>'Houston 2017 Summer Workout Sum'!D8*'Houston 2017 Summer Workout Sum'!$B$1</f>
        <v>#DIV/0!</v>
      </c>
      <c r="G13" s="33" t="e">
        <f>F13-E13</f>
        <v>#DIV/0!</v>
      </c>
    </row>
    <row r="14" spans="1:7" ht="20.45" customHeight="1" x14ac:dyDescent="0.2">
      <c r="A14" s="17" t="s">
        <v>44</v>
      </c>
      <c r="B14" s="29">
        <f>'Electrolyte Products'!L3*B$12</f>
        <v>0</v>
      </c>
      <c r="C14" s="30">
        <f>'Electrolyte Products'!E3*C$12</f>
        <v>0</v>
      </c>
      <c r="D14" s="30">
        <f>'Electrolyte Products'!C3*D$12</f>
        <v>189</v>
      </c>
      <c r="E14" s="31">
        <f t="shared" si="1"/>
        <v>189</v>
      </c>
      <c r="F14" s="32" t="e">
        <f>'Houston 2017 Summer Workout Sum'!E8*'Houston 2017 Summer Workout Sum'!$B$1</f>
        <v>#DIV/0!</v>
      </c>
      <c r="G14" s="33" t="e">
        <f>F14-E14</f>
        <v>#DIV/0!</v>
      </c>
    </row>
    <row r="15" spans="1:7" ht="20.45" customHeight="1" x14ac:dyDescent="0.2">
      <c r="A15" s="17" t="s">
        <v>45</v>
      </c>
      <c r="B15" s="29">
        <f>'Electrolyte Products'!L4*B$12</f>
        <v>120</v>
      </c>
      <c r="C15" s="30">
        <f>'Electrolyte Products'!E4*C$12</f>
        <v>0</v>
      </c>
      <c r="D15" s="30">
        <f>'Electrolyte Products'!C4*D$12</f>
        <v>66</v>
      </c>
      <c r="E15" s="31">
        <f t="shared" si="1"/>
        <v>186</v>
      </c>
      <c r="F15" s="32" t="e">
        <f>'Houston 2017 Summer Workout Sum'!F8*'Houston 2017 Summer Workout Sum'!$B$1</f>
        <v>#DIV/0!</v>
      </c>
      <c r="G15" s="33" t="e">
        <f>F15-E15</f>
        <v>#DIV/0!</v>
      </c>
    </row>
    <row r="16" spans="1:7" ht="20.45" customHeight="1" x14ac:dyDescent="0.2">
      <c r="A16" s="17" t="s">
        <v>46</v>
      </c>
      <c r="B16" s="29">
        <f>'Electrolyte Products'!L5*B$12</f>
        <v>24</v>
      </c>
      <c r="C16" s="30">
        <f>'Electrolyte Products'!E5*C$12</f>
        <v>0</v>
      </c>
      <c r="D16" s="30">
        <f>'Electrolyte Products'!C5*D$12</f>
        <v>33</v>
      </c>
      <c r="E16" s="31">
        <f t="shared" si="1"/>
        <v>57</v>
      </c>
      <c r="F16" s="32" t="e">
        <f>'Houston 2017 Summer Workout Sum'!G8*'Houston 2017 Summer Workout Sum'!$B$1</f>
        <v>#DIV/0!</v>
      </c>
      <c r="G16" s="33" t="e">
        <f>F16-E16</f>
        <v>#DIV/0!</v>
      </c>
    </row>
    <row r="17" spans="1:7" ht="20.45" customHeight="1" x14ac:dyDescent="0.2">
      <c r="A17" s="17" t="s">
        <v>47</v>
      </c>
      <c r="B17" s="29">
        <f>'Electrolyte Products'!L6*B$12</f>
        <v>810</v>
      </c>
      <c r="C17" s="30">
        <f>'Electrolyte Products'!E6*C$12</f>
        <v>0</v>
      </c>
      <c r="D17" s="30">
        <f>'Electrolyte Products'!C6*D$12</f>
        <v>0</v>
      </c>
      <c r="E17" s="31">
        <f t="shared" si="1"/>
        <v>810</v>
      </c>
      <c r="F17" s="32" t="e">
        <f>'Houston 2017 Summer Workout Sum'!C8*0.2</f>
        <v>#DIV/0!</v>
      </c>
      <c r="G17" s="33" t="e">
        <f>F17-E17</f>
        <v>#DIV/0!</v>
      </c>
    </row>
    <row r="18" spans="1:7" ht="20.45" customHeight="1" x14ac:dyDescent="0.2">
      <c r="A18" s="17" t="s">
        <v>48</v>
      </c>
      <c r="B18" s="29">
        <f>'Electrolyte Products'!L7*B$12</f>
        <v>162</v>
      </c>
      <c r="C18" s="30">
        <f>'Electrolyte Products'!E7*C$12</f>
        <v>0</v>
      </c>
      <c r="D18" s="30">
        <f>'Electrolyte Products'!C7*D$12</f>
        <v>0</v>
      </c>
      <c r="E18" s="31">
        <f t="shared" si="1"/>
        <v>162</v>
      </c>
      <c r="F18" s="32"/>
      <c r="G18" s="33"/>
    </row>
    <row r="19" spans="1:7" ht="20.45" customHeight="1" x14ac:dyDescent="0.2">
      <c r="A19" s="17" t="s">
        <v>49</v>
      </c>
      <c r="B19" s="34">
        <f>B12*'Electrolyte Products'!$L$10</f>
        <v>2.8125</v>
      </c>
      <c r="C19" s="35">
        <f>C12*'Electrolyte Products'!$E$10</f>
        <v>0</v>
      </c>
      <c r="D19" s="35">
        <f>D12*'Electrolyte Products'!$C$10</f>
        <v>0.89999999999999991</v>
      </c>
      <c r="E19" s="36">
        <f t="shared" si="1"/>
        <v>3.7124999999999999</v>
      </c>
      <c r="F19" s="32"/>
      <c r="G19" s="33"/>
    </row>
  </sheetData>
  <conditionalFormatting sqref="G1:G19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1" right="1" top="1" bottom="1" header="0.25" footer="0.25"/>
  <pageSetup orientation="portrait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11"/>
  <sheetViews>
    <sheetView showGridLines="0" workbookViewId="0">
      <pane xSplit="1" ySplit="1" topLeftCell="C2" activePane="bottomRight" state="frozen"/>
      <selection pane="topRight"/>
      <selection pane="bottomLeft"/>
      <selection pane="bottomRight" activeCell="H6" sqref="H6"/>
    </sheetView>
  </sheetViews>
  <sheetFormatPr defaultColWidth="16.28515625" defaultRowHeight="18" customHeight="1" x14ac:dyDescent="0.2"/>
  <cols>
    <col min="1" max="257" width="16.28515625" style="44" customWidth="1"/>
  </cols>
  <sheetData>
    <row r="1" spans="1:15" ht="44.65" customHeight="1" x14ac:dyDescent="0.2">
      <c r="A1" s="2" t="s">
        <v>54</v>
      </c>
      <c r="B1" s="2" t="s">
        <v>55</v>
      </c>
      <c r="C1" s="2" t="s">
        <v>38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74</v>
      </c>
      <c r="I1" s="2" t="s">
        <v>60</v>
      </c>
      <c r="J1" s="2" t="s">
        <v>61</v>
      </c>
      <c r="K1" s="2" t="s">
        <v>62</v>
      </c>
      <c r="L1" s="2" t="s">
        <v>53</v>
      </c>
      <c r="M1" s="2" t="s">
        <v>63</v>
      </c>
      <c r="N1" s="2" t="s">
        <v>64</v>
      </c>
      <c r="O1" s="2" t="s">
        <v>65</v>
      </c>
    </row>
    <row r="2" spans="1:15" ht="20.65" customHeight="1" x14ac:dyDescent="0.2">
      <c r="A2" s="15" t="s">
        <v>43</v>
      </c>
      <c r="B2" s="16">
        <v>330</v>
      </c>
      <c r="C2" s="3">
        <v>215</v>
      </c>
      <c r="D2" s="3">
        <v>80</v>
      </c>
      <c r="E2" s="3">
        <v>125</v>
      </c>
      <c r="F2" s="3">
        <v>55</v>
      </c>
      <c r="G2" s="3">
        <v>180</v>
      </c>
      <c r="H2" s="3">
        <v>360</v>
      </c>
      <c r="I2" s="3">
        <v>303</v>
      </c>
      <c r="J2" s="3">
        <v>290</v>
      </c>
      <c r="K2" s="3">
        <v>160</v>
      </c>
      <c r="L2" s="3">
        <v>210</v>
      </c>
      <c r="M2" s="3">
        <v>200</v>
      </c>
      <c r="N2" s="3">
        <v>130</v>
      </c>
      <c r="O2" s="3"/>
    </row>
    <row r="3" spans="1:15" ht="20.45" customHeight="1" x14ac:dyDescent="0.2">
      <c r="A3" s="17" t="s">
        <v>44</v>
      </c>
      <c r="B3" s="18">
        <v>85.2</v>
      </c>
      <c r="C3" s="7">
        <v>63</v>
      </c>
      <c r="D3" s="7">
        <v>50</v>
      </c>
      <c r="E3" s="7">
        <v>40</v>
      </c>
      <c r="F3" s="7">
        <v>40</v>
      </c>
      <c r="G3" s="7">
        <v>20</v>
      </c>
      <c r="H3" s="7">
        <v>40</v>
      </c>
      <c r="I3" s="7">
        <v>88</v>
      </c>
      <c r="J3" s="7">
        <v>140</v>
      </c>
      <c r="K3" s="7">
        <v>50</v>
      </c>
      <c r="L3" s="7"/>
      <c r="M3" s="7">
        <v>100</v>
      </c>
      <c r="N3" s="7">
        <v>105</v>
      </c>
      <c r="O3" s="7"/>
    </row>
    <row r="4" spans="1:15" ht="20.45" customHeight="1" x14ac:dyDescent="0.2">
      <c r="A4" s="17" t="s">
        <v>45</v>
      </c>
      <c r="B4" s="18">
        <v>25.2</v>
      </c>
      <c r="C4" s="7">
        <v>22</v>
      </c>
      <c r="D4" s="7">
        <v>100</v>
      </c>
      <c r="E4" s="7">
        <v>22</v>
      </c>
      <c r="F4" s="7">
        <v>22</v>
      </c>
      <c r="G4" s="7">
        <v>20</v>
      </c>
      <c r="H4" s="7">
        <v>60</v>
      </c>
      <c r="I4" s="7">
        <v>26</v>
      </c>
      <c r="J4" s="7">
        <v>20</v>
      </c>
      <c r="K4" s="7">
        <v>40</v>
      </c>
      <c r="L4" s="7">
        <v>40</v>
      </c>
      <c r="M4" s="7">
        <v>100</v>
      </c>
      <c r="N4" s="7"/>
      <c r="O4" s="7"/>
    </row>
    <row r="5" spans="1:15" ht="20.45" customHeight="1" x14ac:dyDescent="0.2">
      <c r="A5" s="17" t="s">
        <v>46</v>
      </c>
      <c r="B5" s="18">
        <v>12</v>
      </c>
      <c r="C5" s="7">
        <v>11</v>
      </c>
      <c r="D5" s="7">
        <v>50</v>
      </c>
      <c r="E5" s="10"/>
      <c r="F5" s="10"/>
      <c r="G5" s="7">
        <f>400*0.06</f>
        <v>24</v>
      </c>
      <c r="H5" s="7">
        <v>40</v>
      </c>
      <c r="I5" s="7">
        <v>14</v>
      </c>
      <c r="J5" s="7"/>
      <c r="K5" s="7">
        <f>400*0.02</f>
        <v>8</v>
      </c>
      <c r="L5" s="7">
        <v>8</v>
      </c>
      <c r="M5" s="7">
        <v>50</v>
      </c>
      <c r="N5" s="7"/>
      <c r="O5" s="7"/>
    </row>
    <row r="6" spans="1:15" ht="20.45" customHeight="1" x14ac:dyDescent="0.2">
      <c r="A6" s="17" t="s">
        <v>66</v>
      </c>
      <c r="B6" s="20"/>
      <c r="C6" s="10"/>
      <c r="D6" s="10"/>
      <c r="E6" s="7">
        <v>100</v>
      </c>
      <c r="F6" s="7">
        <v>100</v>
      </c>
      <c r="G6" s="7">
        <v>21</v>
      </c>
      <c r="H6" s="7">
        <v>80</v>
      </c>
      <c r="I6" s="7">
        <v>100</v>
      </c>
      <c r="J6" s="7">
        <v>20</v>
      </c>
      <c r="K6" s="7">
        <v>35</v>
      </c>
      <c r="L6" s="7">
        <v>270</v>
      </c>
      <c r="M6" s="7">
        <v>10</v>
      </c>
      <c r="N6" s="7">
        <v>80</v>
      </c>
      <c r="O6" s="7">
        <v>140</v>
      </c>
    </row>
    <row r="7" spans="1:15" ht="20.45" customHeight="1" x14ac:dyDescent="0.2">
      <c r="A7" s="17" t="s">
        <v>67</v>
      </c>
      <c r="B7" s="20"/>
      <c r="C7" s="10"/>
      <c r="D7" s="10"/>
      <c r="E7" s="7"/>
      <c r="F7" s="7"/>
      <c r="G7" s="7">
        <v>10</v>
      </c>
      <c r="H7" s="7">
        <v>20</v>
      </c>
      <c r="I7" s="7">
        <v>25</v>
      </c>
      <c r="J7" s="7">
        <v>21</v>
      </c>
      <c r="K7" s="7"/>
      <c r="L7" s="7">
        <v>54</v>
      </c>
      <c r="M7" s="7"/>
      <c r="N7" s="7">
        <v>21</v>
      </c>
      <c r="O7" s="7">
        <v>36</v>
      </c>
    </row>
    <row r="8" spans="1:15" ht="32.450000000000003" customHeight="1" x14ac:dyDescent="0.2">
      <c r="A8" s="17" t="s">
        <v>68</v>
      </c>
      <c r="B8" s="18">
        <v>50</v>
      </c>
      <c r="C8" s="7">
        <v>100</v>
      </c>
      <c r="D8" s="10"/>
      <c r="E8" s="7">
        <v>24</v>
      </c>
      <c r="F8" s="7">
        <v>24</v>
      </c>
      <c r="G8" s="7">
        <v>38</v>
      </c>
      <c r="H8" s="7">
        <v>1</v>
      </c>
      <c r="I8" s="7">
        <v>25</v>
      </c>
      <c r="J8" s="7">
        <v>38</v>
      </c>
      <c r="K8" s="7">
        <v>40</v>
      </c>
      <c r="L8" s="7">
        <v>32</v>
      </c>
      <c r="M8" s="7">
        <v>13</v>
      </c>
      <c r="N8" s="7">
        <v>30</v>
      </c>
      <c r="O8" s="7"/>
    </row>
    <row r="9" spans="1:15" ht="20.45" customHeight="1" x14ac:dyDescent="0.2">
      <c r="A9" s="17" t="s">
        <v>49</v>
      </c>
      <c r="B9" s="45">
        <v>25</v>
      </c>
      <c r="C9" s="46">
        <v>30</v>
      </c>
      <c r="D9" s="46"/>
      <c r="E9" s="46">
        <v>25</v>
      </c>
      <c r="F9" s="46">
        <v>25</v>
      </c>
      <c r="G9" s="46">
        <v>20</v>
      </c>
      <c r="H9" s="46">
        <v>1.99</v>
      </c>
      <c r="I9" s="46">
        <v>22</v>
      </c>
      <c r="J9" s="46">
        <v>20</v>
      </c>
      <c r="K9" s="46">
        <v>20</v>
      </c>
      <c r="L9" s="46">
        <v>30</v>
      </c>
      <c r="M9" s="46">
        <v>5</v>
      </c>
      <c r="N9" s="46">
        <v>63</v>
      </c>
      <c r="O9" s="46"/>
    </row>
    <row r="10" spans="1:15" ht="20.45" customHeight="1" x14ac:dyDescent="0.2">
      <c r="A10" s="17" t="s">
        <v>69</v>
      </c>
      <c r="B10" s="47">
        <f>B9/B8</f>
        <v>0.5</v>
      </c>
      <c r="C10" s="48">
        <f>C9/C8</f>
        <v>0.3</v>
      </c>
      <c r="D10" s="48"/>
      <c r="E10" s="48">
        <f t="shared" ref="E10:O10" si="0">E9/E8</f>
        <v>1.0416666666666667</v>
      </c>
      <c r="F10" s="48">
        <f t="shared" si="0"/>
        <v>1.0416666666666667</v>
      </c>
      <c r="G10" s="48">
        <f t="shared" si="0"/>
        <v>0.52631578947368418</v>
      </c>
      <c r="H10" s="48">
        <f t="shared" si="0"/>
        <v>1.99</v>
      </c>
      <c r="I10" s="48">
        <f t="shared" si="0"/>
        <v>0.88</v>
      </c>
      <c r="J10" s="48">
        <f t="shared" si="0"/>
        <v>0.52631578947368418</v>
      </c>
      <c r="K10" s="48">
        <f t="shared" si="0"/>
        <v>0.5</v>
      </c>
      <c r="L10" s="48">
        <f t="shared" si="0"/>
        <v>0.9375</v>
      </c>
      <c r="M10" s="48">
        <f t="shared" si="0"/>
        <v>0.38461538461538464</v>
      </c>
      <c r="N10" s="48">
        <f t="shared" si="0"/>
        <v>2.1</v>
      </c>
      <c r="O10" s="48" t="e">
        <f t="shared" si="0"/>
        <v>#DIV/0!</v>
      </c>
    </row>
    <row r="11" spans="1:15" ht="20.45" customHeight="1" x14ac:dyDescent="0.2">
      <c r="A11" s="19"/>
      <c r="B11" s="2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</sheetData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Houston 2017 Summer Workout Log</vt:lpstr>
      <vt:lpstr>Houston 2017 Summer Workout Sum</vt:lpstr>
      <vt:lpstr>Tailwind + Gu + Saltstick</vt:lpstr>
      <vt:lpstr>Gat End + Gu + Saltstick</vt:lpstr>
      <vt:lpstr>Hammer Perp + Gu + Saltstick</vt:lpstr>
      <vt:lpstr>Electrolyte 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Smith</dc:creator>
  <cp:lastModifiedBy>Jordan Smith</cp:lastModifiedBy>
  <dcterms:created xsi:type="dcterms:W3CDTF">2017-03-25T15:37:21Z</dcterms:created>
  <dcterms:modified xsi:type="dcterms:W3CDTF">2017-07-08T23:53:28Z</dcterms:modified>
</cp:coreProperties>
</file>