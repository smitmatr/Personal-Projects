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r\Desktop\Real Estate Investing\"/>
    </mc:Choice>
  </mc:AlternateContent>
  <xr:revisionPtr revIDLastSave="0" documentId="13_ncr:1_{34ECE5F7-E773-4DAA-AF0A-D8C1EDAC103C}" xr6:coauthVersionLast="47" xr6:coauthVersionMax="47" xr10:uidLastSave="{00000000-0000-0000-0000-000000000000}"/>
  <bookViews>
    <workbookView xWindow="-108" yWindow="-108" windowWidth="23256" windowHeight="12456" tabRatio="834" activeTab="2" xr2:uid="{B9F91E3A-A3D4-473D-AE4B-9251AA429DA2}"/>
  </bookViews>
  <sheets>
    <sheet name="1930 Congress Numbers" sheetId="11" r:id="rId1"/>
    <sheet name="1930 Congress Amortization" sheetId="12" r:id="rId2"/>
    <sheet name="HELOC Payment Calculator" sheetId="7" r:id="rId3"/>
    <sheet name="HELOC Amortization Schedule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7" l="1"/>
  <c r="B9" i="7"/>
  <c r="B21" i="11"/>
  <c r="H9" i="11"/>
  <c r="D31" i="11"/>
  <c r="D32" i="11"/>
  <c r="D33" i="11"/>
  <c r="D34" i="11"/>
  <c r="D35" i="11"/>
  <c r="D36" i="11"/>
  <c r="D37" i="11"/>
  <c r="D38" i="11"/>
  <c r="D39" i="11"/>
  <c r="D40" i="11"/>
  <c r="D30" i="11"/>
  <c r="C55" i="11" l="1"/>
  <c r="B15" i="11"/>
  <c r="B50" i="11"/>
  <c r="B51" i="11"/>
  <c r="B52" i="11"/>
  <c r="B49" i="11"/>
  <c r="C54" i="11"/>
  <c r="C53" i="11"/>
  <c r="A358" i="12"/>
  <c r="A359" i="12" s="1"/>
  <c r="A360" i="12" s="1"/>
  <c r="A361" i="12" s="1"/>
  <c r="A362" i="12" s="1"/>
  <c r="A363" i="12" s="1"/>
  <c r="A364" i="12" s="1"/>
  <c r="A365" i="12" s="1"/>
  <c r="A351" i="12"/>
  <c r="A352" i="12" s="1"/>
  <c r="A353" i="12" s="1"/>
  <c r="A354" i="12" s="1"/>
  <c r="A355" i="12" s="1"/>
  <c r="A356" i="12" s="1"/>
  <c r="A357" i="12" s="1"/>
  <c r="A343" i="12"/>
  <c r="A344" i="12" s="1"/>
  <c r="A345" i="12" s="1"/>
  <c r="A346" i="12" s="1"/>
  <c r="A347" i="12" s="1"/>
  <c r="A348" i="12" s="1"/>
  <c r="A349" i="12" s="1"/>
  <c r="A350" i="12" s="1"/>
  <c r="A342" i="12"/>
  <c r="A341" i="12"/>
  <c r="B2" i="12"/>
  <c r="E1" i="12"/>
  <c r="C12" i="11"/>
  <c r="C48" i="11"/>
  <c r="C47" i="11"/>
  <c r="B46" i="11"/>
  <c r="C46" i="11" s="1"/>
  <c r="E40" i="11"/>
  <c r="E39" i="11"/>
  <c r="E38" i="11"/>
  <c r="E37" i="11"/>
  <c r="E36" i="11"/>
  <c r="E35" i="11"/>
  <c r="E34" i="11"/>
  <c r="E33" i="11"/>
  <c r="E32" i="11"/>
  <c r="E31" i="11"/>
  <c r="E30" i="11"/>
  <c r="L8" i="11"/>
  <c r="B7" i="11"/>
  <c r="B8" i="11" s="1"/>
  <c r="B6" i="11"/>
  <c r="M5" i="11"/>
  <c r="C5" i="11"/>
  <c r="C3" i="11"/>
  <c r="B2" i="8"/>
  <c r="H6" i="11" l="1"/>
  <c r="C6" i="12"/>
  <c r="D9" i="12" s="1"/>
  <c r="E2" i="12"/>
  <c r="D6" i="12" s="1"/>
  <c r="C44" i="11" s="1"/>
  <c r="D33" i="12"/>
  <c r="D13" i="12"/>
  <c r="D232" i="12"/>
  <c r="D138" i="12"/>
  <c r="D49" i="12"/>
  <c r="D221" i="12"/>
  <c r="D108" i="12"/>
  <c r="D65" i="12"/>
  <c r="D57" i="12"/>
  <c r="D41" i="12"/>
  <c r="D259" i="12"/>
  <c r="D124" i="12"/>
  <c r="D92" i="12"/>
  <c r="D86" i="12"/>
  <c r="D81" i="12"/>
  <c r="D73" i="12"/>
  <c r="D17" i="12"/>
  <c r="D235" i="12"/>
  <c r="D30" i="12"/>
  <c r="D38" i="12"/>
  <c r="D70" i="12"/>
  <c r="D78" i="12"/>
  <c r="D99" i="12"/>
  <c r="D115" i="12"/>
  <c r="D131" i="12"/>
  <c r="D186" i="12"/>
  <c r="D14" i="12"/>
  <c r="D24" i="12"/>
  <c r="D25" i="12"/>
  <c r="D26" i="12"/>
  <c r="D29" i="12"/>
  <c r="D37" i="12"/>
  <c r="D45" i="12"/>
  <c r="D53" i="12"/>
  <c r="D61" i="12"/>
  <c r="D69" i="12"/>
  <c r="D77" i="12"/>
  <c r="D85" i="12"/>
  <c r="D100" i="12"/>
  <c r="D116" i="12"/>
  <c r="D132" i="12"/>
  <c r="D153" i="12"/>
  <c r="D162" i="12"/>
  <c r="D229" i="12"/>
  <c r="D365" i="12"/>
  <c r="D357" i="12"/>
  <c r="D349" i="12"/>
  <c r="D341" i="12"/>
  <c r="D362" i="12"/>
  <c r="D354" i="12"/>
  <c r="D346" i="12"/>
  <c r="D337" i="12"/>
  <c r="D333" i="12"/>
  <c r="D329" i="12"/>
  <c r="D325" i="12"/>
  <c r="D321" i="12"/>
  <c r="D317" i="12"/>
  <c r="D313" i="12"/>
  <c r="D309" i="12"/>
  <c r="D305" i="12"/>
  <c r="D301" i="12"/>
  <c r="D359" i="12"/>
  <c r="D351" i="12"/>
  <c r="D343" i="12"/>
  <c r="D364" i="12"/>
  <c r="D356" i="12"/>
  <c r="D348" i="12"/>
  <c r="D340" i="12"/>
  <c r="D336" i="12"/>
  <c r="D332" i="12"/>
  <c r="D328" i="12"/>
  <c r="D324" i="12"/>
  <c r="D320" i="12"/>
  <c r="D316" i="12"/>
  <c r="D312" i="12"/>
  <c r="D308" i="12"/>
  <c r="D304" i="12"/>
  <c r="D358" i="12"/>
  <c r="D350" i="12"/>
  <c r="D342" i="12"/>
  <c r="D339" i="12"/>
  <c r="D335" i="12"/>
  <c r="D331" i="12"/>
  <c r="D327" i="12"/>
  <c r="D323" i="12"/>
  <c r="D319" i="12"/>
  <c r="D315" i="12"/>
  <c r="D311" i="12"/>
  <c r="D307" i="12"/>
  <c r="D303" i="12"/>
  <c r="D363" i="12"/>
  <c r="D361" i="12"/>
  <c r="D338" i="12"/>
  <c r="D306" i="12"/>
  <c r="D297" i="12"/>
  <c r="D293" i="12"/>
  <c r="D289" i="12"/>
  <c r="D285" i="12"/>
  <c r="D281" i="12"/>
  <c r="D277" i="12"/>
  <c r="D273" i="12"/>
  <c r="D269" i="12"/>
  <c r="D265" i="12"/>
  <c r="D261" i="12"/>
  <c r="D355" i="12"/>
  <c r="D353" i="12"/>
  <c r="D310" i="12"/>
  <c r="D318" i="12"/>
  <c r="D344" i="12"/>
  <c r="D284" i="12"/>
  <c r="D276" i="12"/>
  <c r="D260" i="12"/>
  <c r="D314" i="12"/>
  <c r="D298" i="12"/>
  <c r="D279" i="12"/>
  <c r="D278" i="12"/>
  <c r="D263" i="12"/>
  <c r="D262" i="12"/>
  <c r="D256" i="12"/>
  <c r="D252" i="12"/>
  <c r="D248" i="12"/>
  <c r="D244" i="12"/>
  <c r="D240" i="12"/>
  <c r="D299" i="12"/>
  <c r="D294" i="12"/>
  <c r="D280" i="12"/>
  <c r="D264" i="12"/>
  <c r="D352" i="12"/>
  <c r="D334" i="12"/>
  <c r="D295" i="12"/>
  <c r="D290" i="12"/>
  <c r="D267" i="12"/>
  <c r="D266" i="12"/>
  <c r="D255" i="12"/>
  <c r="D251" i="12"/>
  <c r="D247" i="12"/>
  <c r="D243" i="12"/>
  <c r="D239" i="12"/>
  <c r="D300" i="12"/>
  <c r="D238" i="12"/>
  <c r="D237" i="12"/>
  <c r="D236" i="12"/>
  <c r="D234" i="12"/>
  <c r="D326" i="12"/>
  <c r="D287" i="12"/>
  <c r="D282" i="12"/>
  <c r="D271" i="12"/>
  <c r="D250" i="12"/>
  <c r="D242" i="12"/>
  <c r="D233" i="12"/>
  <c r="D224" i="12"/>
  <c r="D220" i="12"/>
  <c r="D216" i="12"/>
  <c r="D212" i="12"/>
  <c r="D208" i="12"/>
  <c r="D204" i="12"/>
  <c r="D200" i="12"/>
  <c r="D196" i="12"/>
  <c r="D192" i="12"/>
  <c r="D188" i="12"/>
  <c r="D184" i="12"/>
  <c r="D180" i="12"/>
  <c r="D176" i="12"/>
  <c r="D172" i="12"/>
  <c r="D168" i="12"/>
  <c r="D164" i="12"/>
  <c r="D160" i="12"/>
  <c r="D275" i="12"/>
  <c r="D258" i="12"/>
  <c r="D253" i="12"/>
  <c r="D245" i="12"/>
  <c r="D230" i="12"/>
  <c r="D223" i="12"/>
  <c r="D219" i="12"/>
  <c r="D215" i="12"/>
  <c r="D211" i="12"/>
  <c r="D207" i="12"/>
  <c r="D203" i="12"/>
  <c r="D199" i="12"/>
  <c r="D195" i="12"/>
  <c r="D191" i="12"/>
  <c r="D187" i="12"/>
  <c r="D183" i="12"/>
  <c r="D179" i="12"/>
  <c r="D175" i="12"/>
  <c r="D171" i="12"/>
  <c r="D167" i="12"/>
  <c r="D163" i="12"/>
  <c r="D159" i="12"/>
  <c r="D155" i="12"/>
  <c r="D151" i="12"/>
  <c r="D147" i="12"/>
  <c r="D143" i="12"/>
  <c r="D139" i="12"/>
  <c r="D135" i="12"/>
  <c r="D227" i="12"/>
  <c r="D214" i="12"/>
  <c r="D209" i="12"/>
  <c r="D182" i="12"/>
  <c r="D177" i="12"/>
  <c r="D144" i="12"/>
  <c r="D210" i="12"/>
  <c r="D205" i="12"/>
  <c r="D178" i="12"/>
  <c r="D173" i="12"/>
  <c r="D146" i="12"/>
  <c r="D145" i="12"/>
  <c r="D130" i="12"/>
  <c r="D126" i="12"/>
  <c r="D122" i="12"/>
  <c r="D118" i="12"/>
  <c r="D114" i="12"/>
  <c r="D110" i="12"/>
  <c r="D106" i="12"/>
  <c r="D102" i="12"/>
  <c r="D98" i="12"/>
  <c r="D94" i="12"/>
  <c r="D90" i="12"/>
  <c r="D302" i="12"/>
  <c r="D274" i="12"/>
  <c r="D270" i="12"/>
  <c r="D257" i="12"/>
  <c r="D254" i="12"/>
  <c r="D231" i="12"/>
  <c r="D206" i="12"/>
  <c r="D201" i="12"/>
  <c r="D174" i="12"/>
  <c r="D169" i="12"/>
  <c r="D148" i="12"/>
  <c r="D360" i="12"/>
  <c r="D322" i="12"/>
  <c r="D296" i="12"/>
  <c r="D292" i="12"/>
  <c r="D249" i="12"/>
  <c r="D246" i="12"/>
  <c r="D228" i="12"/>
  <c r="D202" i="12"/>
  <c r="D197" i="12"/>
  <c r="D170" i="12"/>
  <c r="D165" i="12"/>
  <c r="D150" i="12"/>
  <c r="D149" i="12"/>
  <c r="D134" i="12"/>
  <c r="D133" i="12"/>
  <c r="D129" i="12"/>
  <c r="D125" i="12"/>
  <c r="D121" i="12"/>
  <c r="D117" i="12"/>
  <c r="D113" i="12"/>
  <c r="D109" i="12"/>
  <c r="D105" i="12"/>
  <c r="D101" i="12"/>
  <c r="D97" i="12"/>
  <c r="D93" i="12"/>
  <c r="D89" i="12"/>
  <c r="D345" i="12"/>
  <c r="D286" i="12"/>
  <c r="D272" i="12"/>
  <c r="D226" i="12"/>
  <c r="D190" i="12"/>
  <c r="D185" i="12"/>
  <c r="D140" i="12"/>
  <c r="D218" i="12"/>
  <c r="D213" i="12"/>
  <c r="D157" i="12"/>
  <c r="D142" i="12"/>
  <c r="D127" i="12"/>
  <c r="D119" i="12"/>
  <c r="D111" i="12"/>
  <c r="D103" i="12"/>
  <c r="D95" i="12"/>
  <c r="D87" i="12"/>
  <c r="D84" i="12"/>
  <c r="D80" i="12"/>
  <c r="D76" i="12"/>
  <c r="D72" i="12"/>
  <c r="D68" i="12"/>
  <c r="D64" i="12"/>
  <c r="D60" i="12"/>
  <c r="D56" i="12"/>
  <c r="D52" i="12"/>
  <c r="D48" i="12"/>
  <c r="D44" i="12"/>
  <c r="D40" i="12"/>
  <c r="D36" i="12"/>
  <c r="D32" i="12"/>
  <c r="D28" i="12"/>
  <c r="D291" i="12"/>
  <c r="D241" i="12"/>
  <c r="D225" i="12"/>
  <c r="D166" i="12"/>
  <c r="D161" i="12"/>
  <c r="D152" i="12"/>
  <c r="D283" i="12"/>
  <c r="D194" i="12"/>
  <c r="D189" i="12"/>
  <c r="D154" i="12"/>
  <c r="D137" i="12"/>
  <c r="D128" i="12"/>
  <c r="D120" i="12"/>
  <c r="D112" i="12"/>
  <c r="D104" i="12"/>
  <c r="D96" i="12"/>
  <c r="D88" i="12"/>
  <c r="D83" i="12"/>
  <c r="D79" i="12"/>
  <c r="D75" i="12"/>
  <c r="D71" i="12"/>
  <c r="D67" i="12"/>
  <c r="D63" i="12"/>
  <c r="D59" i="12"/>
  <c r="D55" i="12"/>
  <c r="D51" i="12"/>
  <c r="D47" i="12"/>
  <c r="D43" i="12"/>
  <c r="D39" i="12"/>
  <c r="D35" i="12"/>
  <c r="D31" i="12"/>
  <c r="D27" i="12"/>
  <c r="D23" i="12"/>
  <c r="D19" i="12"/>
  <c r="D46" i="12"/>
  <c r="D54" i="12"/>
  <c r="D181" i="12"/>
  <c r="D10" i="12"/>
  <c r="D156" i="12"/>
  <c r="D217" i="12"/>
  <c r="D222" i="12"/>
  <c r="D347" i="12"/>
  <c r="D7" i="12"/>
  <c r="D11" i="12"/>
  <c r="D15" i="12"/>
  <c r="D136" i="12"/>
  <c r="D193" i="12"/>
  <c r="D198" i="12"/>
  <c r="D330" i="12"/>
  <c r="D62" i="12"/>
  <c r="G6" i="12"/>
  <c r="D20" i="12"/>
  <c r="D21" i="12"/>
  <c r="D22" i="12"/>
  <c r="D34" i="12"/>
  <c r="D42" i="12"/>
  <c r="D50" i="12"/>
  <c r="D58" i="12"/>
  <c r="D66" i="12"/>
  <c r="D74" i="12"/>
  <c r="D82" i="12"/>
  <c r="D91" i="12"/>
  <c r="D107" i="12"/>
  <c r="D123" i="12"/>
  <c r="D141" i="12"/>
  <c r="D158" i="12"/>
  <c r="D288" i="12"/>
  <c r="D8" i="12"/>
  <c r="D12" i="12"/>
  <c r="D16" i="12"/>
  <c r="D268" i="12"/>
  <c r="E41" i="11"/>
  <c r="B22" i="11" s="1"/>
  <c r="L14" i="11"/>
  <c r="H26" i="11"/>
  <c r="B16" i="11"/>
  <c r="A342" i="8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41" i="8"/>
  <c r="E1" i="8"/>
  <c r="E2" i="8" s="1"/>
  <c r="D18" i="12" l="1"/>
  <c r="C45" i="11"/>
  <c r="H18" i="11" s="1"/>
  <c r="C57" i="11"/>
  <c r="H8" i="11"/>
  <c r="H10" i="11" s="1"/>
  <c r="H16" i="11"/>
  <c r="H11" i="11"/>
  <c r="H25" i="11"/>
  <c r="B44" i="11"/>
  <c r="H6" i="12"/>
  <c r="J6" i="12"/>
  <c r="E6" i="12"/>
  <c r="B11" i="11"/>
  <c r="L15" i="11"/>
  <c r="H17" i="11" l="1"/>
  <c r="B45" i="11"/>
  <c r="B19" i="11" s="1"/>
  <c r="I6" i="12"/>
  <c r="F6" i="12"/>
  <c r="K6" i="12"/>
  <c r="C7" i="12" s="1"/>
  <c r="B20" i="11" l="1"/>
  <c r="C20" i="11" s="1"/>
  <c r="B57" i="11"/>
  <c r="G7" i="12"/>
  <c r="L6" i="12"/>
  <c r="H19" i="11" l="1"/>
  <c r="H21" i="11"/>
  <c r="H7" i="12"/>
  <c r="E7" i="12"/>
  <c r="J7" i="12"/>
  <c r="F7" i="12" l="1"/>
  <c r="K7" i="12"/>
  <c r="C8" i="12" s="1"/>
  <c r="I7" i="12"/>
  <c r="L7" i="12" l="1"/>
  <c r="G8" i="12"/>
  <c r="H8" i="12" l="1"/>
  <c r="E8" i="12"/>
  <c r="J8" i="12"/>
  <c r="F8" i="12" l="1"/>
  <c r="I8" i="12"/>
  <c r="K8" i="12"/>
  <c r="C9" i="12" s="1"/>
  <c r="L8" i="12" l="1"/>
  <c r="G9" i="12"/>
  <c r="H9" i="12" l="1"/>
  <c r="E9" i="12"/>
  <c r="J9" i="12"/>
  <c r="F9" i="12" l="1"/>
  <c r="I9" i="12"/>
  <c r="K9" i="12"/>
  <c r="C10" i="12" s="1"/>
  <c r="L9" i="12" l="1"/>
  <c r="G10" i="12"/>
  <c r="H10" i="12" l="1"/>
  <c r="E10" i="12"/>
  <c r="J10" i="12"/>
  <c r="F10" i="12" l="1"/>
  <c r="I10" i="12"/>
  <c r="K10" i="12"/>
  <c r="C11" i="12" s="1"/>
  <c r="L10" i="12" l="1"/>
  <c r="G11" i="12"/>
  <c r="H11" i="12" l="1"/>
  <c r="E11" i="12"/>
  <c r="J11" i="12"/>
  <c r="F11" i="12" l="1"/>
  <c r="I11" i="12"/>
  <c r="K11" i="12"/>
  <c r="C12" i="12" s="1"/>
  <c r="L11" i="12" l="1"/>
  <c r="G12" i="12"/>
  <c r="H12" i="12" l="1"/>
  <c r="E12" i="12"/>
  <c r="J12" i="12"/>
  <c r="F12" i="12" l="1"/>
  <c r="I12" i="12"/>
  <c r="K12" i="12"/>
  <c r="C13" i="12" s="1"/>
  <c r="G13" i="12" l="1"/>
  <c r="L12" i="12"/>
  <c r="H13" i="12" l="1"/>
  <c r="E13" i="12"/>
  <c r="J13" i="12"/>
  <c r="F13" i="12" l="1"/>
  <c r="K13" i="12"/>
  <c r="C14" i="12" s="1"/>
  <c r="I13" i="12"/>
  <c r="L13" i="12" l="1"/>
  <c r="G14" i="12"/>
  <c r="H14" i="12" l="1"/>
  <c r="E14" i="12"/>
  <c r="J14" i="12"/>
  <c r="F14" i="12" l="1"/>
  <c r="I14" i="12"/>
  <c r="K14" i="12"/>
  <c r="C15" i="12" s="1"/>
  <c r="L14" i="12" l="1"/>
  <c r="G15" i="12"/>
  <c r="H15" i="12" l="1"/>
  <c r="E15" i="12"/>
  <c r="J15" i="12"/>
  <c r="F15" i="12" l="1"/>
  <c r="I15" i="12"/>
  <c r="K15" i="12"/>
  <c r="C16" i="12" s="1"/>
  <c r="G16" i="12" l="1"/>
  <c r="L15" i="12"/>
  <c r="H16" i="12" l="1"/>
  <c r="E16" i="12"/>
  <c r="J16" i="12"/>
  <c r="F16" i="12" l="1"/>
  <c r="K16" i="12"/>
  <c r="C17" i="12" s="1"/>
  <c r="I16" i="12"/>
  <c r="G17" i="12" l="1"/>
  <c r="L16" i="12"/>
  <c r="H17" i="12" l="1"/>
  <c r="E17" i="12"/>
  <c r="H22" i="11" s="1"/>
  <c r="H20" i="11" s="1"/>
  <c r="J17" i="12"/>
  <c r="F17" i="12" l="1"/>
  <c r="K17" i="12"/>
  <c r="C18" i="12" s="1"/>
  <c r="I17" i="12"/>
  <c r="G18" i="12" l="1"/>
  <c r="L17" i="12"/>
  <c r="H18" i="12" l="1"/>
  <c r="E18" i="12"/>
  <c r="J18" i="12"/>
  <c r="F18" i="12" l="1"/>
  <c r="K18" i="12"/>
  <c r="C19" i="12" s="1"/>
  <c r="I18" i="12"/>
  <c r="L18" i="12" l="1"/>
  <c r="G19" i="12"/>
  <c r="H19" i="12" l="1"/>
  <c r="E19" i="12"/>
  <c r="J19" i="12"/>
  <c r="F19" i="12" l="1"/>
  <c r="I19" i="12"/>
  <c r="K19" i="12"/>
  <c r="C20" i="12" s="1"/>
  <c r="G20" i="12" l="1"/>
  <c r="L19" i="12"/>
  <c r="H20" i="12" l="1"/>
  <c r="E20" i="12"/>
  <c r="J20" i="12"/>
  <c r="F20" i="12" l="1"/>
  <c r="K20" i="12"/>
  <c r="C21" i="12" s="1"/>
  <c r="I20" i="12"/>
  <c r="L20" i="12" l="1"/>
  <c r="G21" i="12"/>
  <c r="H21" i="12" l="1"/>
  <c r="E21" i="12"/>
  <c r="J21" i="12"/>
  <c r="F21" i="12" l="1"/>
  <c r="I21" i="12"/>
  <c r="K21" i="12"/>
  <c r="C22" i="12" s="1"/>
  <c r="L21" i="12" l="1"/>
  <c r="G22" i="12"/>
  <c r="H22" i="12" l="1"/>
  <c r="E22" i="12"/>
  <c r="J22" i="12"/>
  <c r="F22" i="12" l="1"/>
  <c r="I22" i="12"/>
  <c r="K22" i="12"/>
  <c r="C23" i="12" s="1"/>
  <c r="G23" i="12" l="1"/>
  <c r="L22" i="12"/>
  <c r="H23" i="12" l="1"/>
  <c r="E23" i="12"/>
  <c r="J23" i="12"/>
  <c r="F23" i="12" l="1"/>
  <c r="K23" i="12"/>
  <c r="C24" i="12" s="1"/>
  <c r="I23" i="12"/>
  <c r="G24" i="12" l="1"/>
  <c r="L23" i="12"/>
  <c r="H24" i="12" l="1"/>
  <c r="E24" i="12"/>
  <c r="J24" i="12"/>
  <c r="F24" i="12" l="1"/>
  <c r="K24" i="12"/>
  <c r="C25" i="12" s="1"/>
  <c r="I24" i="12"/>
  <c r="G25" i="12" l="1"/>
  <c r="L24" i="12"/>
  <c r="H25" i="12" l="1"/>
  <c r="E25" i="12"/>
  <c r="J25" i="12"/>
  <c r="F25" i="12" l="1"/>
  <c r="K25" i="12"/>
  <c r="C26" i="12" s="1"/>
  <c r="I25" i="12"/>
  <c r="L25" i="12" l="1"/>
  <c r="G26" i="12"/>
  <c r="H26" i="12" l="1"/>
  <c r="E26" i="12"/>
  <c r="J26" i="12"/>
  <c r="F26" i="12" l="1"/>
  <c r="I26" i="12"/>
  <c r="K26" i="12"/>
  <c r="C27" i="12" s="1"/>
  <c r="G27" i="12" l="1"/>
  <c r="L26" i="12"/>
  <c r="H27" i="12" l="1"/>
  <c r="E27" i="12"/>
  <c r="J27" i="12"/>
  <c r="F27" i="12" l="1"/>
  <c r="I27" i="12"/>
  <c r="K27" i="12"/>
  <c r="C28" i="12" s="1"/>
  <c r="L27" i="12" l="1"/>
  <c r="G28" i="12"/>
  <c r="H28" i="12" l="1"/>
  <c r="E28" i="12"/>
  <c r="J28" i="12"/>
  <c r="F28" i="12" l="1"/>
  <c r="I28" i="12"/>
  <c r="K28" i="12"/>
  <c r="C29" i="12" s="1"/>
  <c r="G29" i="12" l="1"/>
  <c r="L28" i="12"/>
  <c r="H29" i="12" l="1"/>
  <c r="E29" i="12"/>
  <c r="J29" i="12"/>
  <c r="F29" i="12" l="1"/>
  <c r="I29" i="12"/>
  <c r="K29" i="12"/>
  <c r="C30" i="12" s="1"/>
  <c r="L29" i="12" l="1"/>
  <c r="G30" i="12"/>
  <c r="H30" i="12" l="1"/>
  <c r="E30" i="12"/>
  <c r="J30" i="12"/>
  <c r="F30" i="12" l="1"/>
  <c r="K30" i="12"/>
  <c r="C31" i="12" s="1"/>
  <c r="I30" i="12"/>
  <c r="L30" i="12" l="1"/>
  <c r="G31" i="12"/>
  <c r="H31" i="12" l="1"/>
  <c r="E31" i="12"/>
  <c r="J31" i="12"/>
  <c r="F31" i="12" l="1"/>
  <c r="K31" i="12"/>
  <c r="C32" i="12" s="1"/>
  <c r="I31" i="12"/>
  <c r="G32" i="12" l="1"/>
  <c r="L31" i="12"/>
  <c r="H32" i="12" l="1"/>
  <c r="E32" i="12"/>
  <c r="J32" i="12"/>
  <c r="F32" i="12" l="1"/>
  <c r="K32" i="12"/>
  <c r="C33" i="12" s="1"/>
  <c r="I32" i="12"/>
  <c r="G33" i="12" l="1"/>
  <c r="L32" i="12"/>
  <c r="H33" i="12" l="1"/>
  <c r="E33" i="12"/>
  <c r="J33" i="12"/>
  <c r="F33" i="12" l="1"/>
  <c r="I33" i="12"/>
  <c r="K33" i="12"/>
  <c r="C34" i="12" s="1"/>
  <c r="G34" i="12" l="1"/>
  <c r="L33" i="12"/>
  <c r="H34" i="12" l="1"/>
  <c r="E34" i="12"/>
  <c r="J34" i="12"/>
  <c r="F34" i="12" l="1"/>
  <c r="K34" i="12"/>
  <c r="C35" i="12" s="1"/>
  <c r="I34" i="12"/>
  <c r="L34" i="12" l="1"/>
  <c r="G35" i="12"/>
  <c r="H35" i="12" l="1"/>
  <c r="E35" i="12"/>
  <c r="J35" i="12"/>
  <c r="F35" i="12" l="1"/>
  <c r="K35" i="12"/>
  <c r="C36" i="12" s="1"/>
  <c r="I35" i="12"/>
  <c r="L35" i="12" l="1"/>
  <c r="G36" i="12"/>
  <c r="H36" i="12" l="1"/>
  <c r="E36" i="12"/>
  <c r="J36" i="12"/>
  <c r="F36" i="12" l="1"/>
  <c r="I36" i="12"/>
  <c r="K36" i="12"/>
  <c r="C37" i="12" s="1"/>
  <c r="G37" i="12" l="1"/>
  <c r="L36" i="12"/>
  <c r="H37" i="12" l="1"/>
  <c r="E37" i="12"/>
  <c r="J37" i="12"/>
  <c r="F37" i="12" l="1"/>
  <c r="I37" i="12"/>
  <c r="K37" i="12"/>
  <c r="C38" i="12" s="1"/>
  <c r="G38" i="12" l="1"/>
  <c r="L37" i="12"/>
  <c r="H38" i="12" l="1"/>
  <c r="E38" i="12"/>
  <c r="J38" i="12"/>
  <c r="F38" i="12" l="1"/>
  <c r="K38" i="12"/>
  <c r="C39" i="12" s="1"/>
  <c r="I38" i="12"/>
  <c r="G39" i="12" l="1"/>
  <c r="L38" i="12"/>
  <c r="H39" i="12" l="1"/>
  <c r="E39" i="12"/>
  <c r="J39" i="12"/>
  <c r="F39" i="12" l="1"/>
  <c r="I39" i="12"/>
  <c r="K39" i="12"/>
  <c r="C40" i="12" s="1"/>
  <c r="G40" i="12" l="1"/>
  <c r="L39" i="12"/>
  <c r="H40" i="12" l="1"/>
  <c r="E40" i="12"/>
  <c r="J40" i="12"/>
  <c r="F40" i="12" l="1"/>
  <c r="K40" i="12"/>
  <c r="C41" i="12" s="1"/>
  <c r="I40" i="12"/>
  <c r="G41" i="12" l="1"/>
  <c r="L40" i="12"/>
  <c r="H41" i="12" l="1"/>
  <c r="E41" i="12"/>
  <c r="J41" i="12"/>
  <c r="F41" i="12" l="1"/>
  <c r="K41" i="12"/>
  <c r="C42" i="12" s="1"/>
  <c r="I41" i="12"/>
  <c r="L41" i="12" l="1"/>
  <c r="G42" i="12"/>
  <c r="H42" i="12" l="1"/>
  <c r="E42" i="12"/>
  <c r="J42" i="12"/>
  <c r="F42" i="12" l="1"/>
  <c r="I42" i="12"/>
  <c r="K42" i="12"/>
  <c r="C43" i="12" s="1"/>
  <c r="G43" i="12" l="1"/>
  <c r="L42" i="12"/>
  <c r="H43" i="12" l="1"/>
  <c r="E43" i="12"/>
  <c r="J43" i="12"/>
  <c r="F43" i="12" l="1"/>
  <c r="K43" i="12"/>
  <c r="C44" i="12" s="1"/>
  <c r="I43" i="12"/>
  <c r="G44" i="12" l="1"/>
  <c r="L43" i="12"/>
  <c r="H44" i="12" l="1"/>
  <c r="E44" i="12"/>
  <c r="J44" i="12"/>
  <c r="F44" i="12" l="1"/>
  <c r="K44" i="12"/>
  <c r="C45" i="12" s="1"/>
  <c r="I44" i="12"/>
  <c r="L44" i="12" l="1"/>
  <c r="G45" i="12"/>
  <c r="H45" i="12" l="1"/>
  <c r="E45" i="12"/>
  <c r="J45" i="12"/>
  <c r="F45" i="12" l="1"/>
  <c r="I45" i="12"/>
  <c r="K45" i="12"/>
  <c r="C46" i="12" s="1"/>
  <c r="G46" i="12" l="1"/>
  <c r="L45" i="12"/>
  <c r="H46" i="12" l="1"/>
  <c r="E46" i="12"/>
  <c r="J46" i="12"/>
  <c r="F46" i="12" l="1"/>
  <c r="K46" i="12"/>
  <c r="C47" i="12" s="1"/>
  <c r="I46" i="12"/>
  <c r="G47" i="12" l="1"/>
  <c r="L46" i="12"/>
  <c r="H47" i="12" l="1"/>
  <c r="E47" i="12"/>
  <c r="J47" i="12"/>
  <c r="F47" i="12" l="1"/>
  <c r="I47" i="12"/>
  <c r="K47" i="12"/>
  <c r="C48" i="12" s="1"/>
  <c r="L47" i="12" l="1"/>
  <c r="G48" i="12"/>
  <c r="H48" i="12" l="1"/>
  <c r="E48" i="12"/>
  <c r="J48" i="12"/>
  <c r="F48" i="12" l="1"/>
  <c r="I48" i="12"/>
  <c r="K48" i="12"/>
  <c r="C49" i="12" s="1"/>
  <c r="L48" i="12" l="1"/>
  <c r="G49" i="12"/>
  <c r="H49" i="12" l="1"/>
  <c r="E49" i="12"/>
  <c r="J49" i="12"/>
  <c r="F49" i="12" l="1"/>
  <c r="I49" i="12"/>
  <c r="K49" i="12"/>
  <c r="C50" i="12" s="1"/>
  <c r="L49" i="12" l="1"/>
  <c r="G50" i="12"/>
  <c r="H50" i="12" l="1"/>
  <c r="E50" i="12"/>
  <c r="J50" i="12"/>
  <c r="F50" i="12" l="1"/>
  <c r="I50" i="12"/>
  <c r="K50" i="12"/>
  <c r="C51" i="12" s="1"/>
  <c r="L50" i="12" l="1"/>
  <c r="G51" i="12"/>
  <c r="H51" i="12" l="1"/>
  <c r="E51" i="12"/>
  <c r="J51" i="12"/>
  <c r="F51" i="12" l="1"/>
  <c r="I51" i="12"/>
  <c r="K51" i="12"/>
  <c r="C52" i="12" s="1"/>
  <c r="L51" i="12" l="1"/>
  <c r="G52" i="12"/>
  <c r="H52" i="12" l="1"/>
  <c r="E52" i="12"/>
  <c r="J52" i="12"/>
  <c r="F52" i="12" l="1"/>
  <c r="I52" i="12"/>
  <c r="K52" i="12"/>
  <c r="C53" i="12" s="1"/>
  <c r="L52" i="12" l="1"/>
  <c r="G53" i="12"/>
  <c r="H53" i="12" l="1"/>
  <c r="E53" i="12"/>
  <c r="J53" i="12"/>
  <c r="F53" i="12" l="1"/>
  <c r="I53" i="12"/>
  <c r="K53" i="12"/>
  <c r="C54" i="12" s="1"/>
  <c r="L53" i="12" l="1"/>
  <c r="G54" i="12"/>
  <c r="H54" i="12" l="1"/>
  <c r="E54" i="12"/>
  <c r="J54" i="12"/>
  <c r="F54" i="12" l="1"/>
  <c r="I54" i="12"/>
  <c r="K54" i="12"/>
  <c r="C55" i="12" s="1"/>
  <c r="G55" i="12" l="1"/>
  <c r="L54" i="12"/>
  <c r="H55" i="12" l="1"/>
  <c r="E55" i="12"/>
  <c r="J55" i="12"/>
  <c r="F55" i="12" l="1"/>
  <c r="K55" i="12"/>
  <c r="C56" i="12" s="1"/>
  <c r="I55" i="12"/>
  <c r="G56" i="12" l="1"/>
  <c r="L55" i="12"/>
  <c r="H56" i="12" l="1"/>
  <c r="E56" i="12"/>
  <c r="J56" i="12"/>
  <c r="F56" i="12" l="1"/>
  <c r="K56" i="12"/>
  <c r="C57" i="12" s="1"/>
  <c r="I56" i="12"/>
  <c r="L56" i="12" l="1"/>
  <c r="G57" i="12"/>
  <c r="H57" i="12" l="1"/>
  <c r="E57" i="12"/>
  <c r="J57" i="12"/>
  <c r="F57" i="12" l="1"/>
  <c r="I57" i="12"/>
  <c r="K57" i="12"/>
  <c r="C58" i="12" s="1"/>
  <c r="L57" i="12" l="1"/>
  <c r="G58" i="12"/>
  <c r="H58" i="12" l="1"/>
  <c r="E58" i="12"/>
  <c r="J58" i="12"/>
  <c r="F58" i="12" l="1"/>
  <c r="I58" i="12"/>
  <c r="K58" i="12"/>
  <c r="C59" i="12" s="1"/>
  <c r="G59" i="12" l="1"/>
  <c r="L58" i="12"/>
  <c r="H59" i="12" l="1"/>
  <c r="E59" i="12"/>
  <c r="J59" i="12"/>
  <c r="F59" i="12" l="1"/>
  <c r="K59" i="12"/>
  <c r="C60" i="12" s="1"/>
  <c r="I59" i="12"/>
  <c r="G60" i="12" l="1"/>
  <c r="L59" i="12"/>
  <c r="H60" i="12" l="1"/>
  <c r="E60" i="12"/>
  <c r="J60" i="12"/>
  <c r="F60" i="12" l="1"/>
  <c r="K60" i="12"/>
  <c r="C61" i="12" s="1"/>
  <c r="I60" i="12"/>
  <c r="G61" i="12" l="1"/>
  <c r="L60" i="12"/>
  <c r="H61" i="12" l="1"/>
  <c r="E61" i="12"/>
  <c r="J61" i="12"/>
  <c r="F61" i="12" l="1"/>
  <c r="K61" i="12"/>
  <c r="C62" i="12" s="1"/>
  <c r="I61" i="12"/>
  <c r="L61" i="12" l="1"/>
  <c r="G62" i="12"/>
  <c r="H62" i="12" l="1"/>
  <c r="E62" i="12"/>
  <c r="J62" i="12"/>
  <c r="F62" i="12" l="1"/>
  <c r="I62" i="12"/>
  <c r="K62" i="12"/>
  <c r="C63" i="12" s="1"/>
  <c r="G63" i="12" l="1"/>
  <c r="L62" i="12"/>
  <c r="H63" i="12" l="1"/>
  <c r="E63" i="12"/>
  <c r="J63" i="12"/>
  <c r="F63" i="12" l="1"/>
  <c r="K63" i="12"/>
  <c r="C64" i="12" s="1"/>
  <c r="I63" i="12"/>
  <c r="G64" i="12" l="1"/>
  <c r="L63" i="12"/>
  <c r="H64" i="12" l="1"/>
  <c r="E64" i="12"/>
  <c r="J64" i="12"/>
  <c r="F64" i="12" l="1"/>
  <c r="K64" i="12"/>
  <c r="C65" i="12" s="1"/>
  <c r="I64" i="12"/>
  <c r="L64" i="12" l="1"/>
  <c r="G65" i="12"/>
  <c r="H65" i="12" l="1"/>
  <c r="E65" i="12"/>
  <c r="J65" i="12"/>
  <c r="F65" i="12" l="1"/>
  <c r="I65" i="12"/>
  <c r="K65" i="12"/>
  <c r="C66" i="12" s="1"/>
  <c r="L65" i="12" l="1"/>
  <c r="G66" i="12"/>
  <c r="H66" i="12" l="1"/>
  <c r="E66" i="12"/>
  <c r="J66" i="12"/>
  <c r="F66" i="12" l="1"/>
  <c r="I66" i="12"/>
  <c r="K66" i="12"/>
  <c r="C67" i="12" s="1"/>
  <c r="L66" i="12" l="1"/>
  <c r="G67" i="12"/>
  <c r="H67" i="12" l="1"/>
  <c r="E67" i="12"/>
  <c r="J67" i="12"/>
  <c r="F67" i="12" l="1"/>
  <c r="I67" i="12"/>
  <c r="K67" i="12"/>
  <c r="C68" i="12" s="1"/>
  <c r="L67" i="12" l="1"/>
  <c r="G68" i="12"/>
  <c r="H68" i="12" l="1"/>
  <c r="E68" i="12"/>
  <c r="J68" i="12"/>
  <c r="F68" i="12" l="1"/>
  <c r="I68" i="12"/>
  <c r="K68" i="12"/>
  <c r="C69" i="12" s="1"/>
  <c r="G69" i="12" l="1"/>
  <c r="L68" i="12"/>
  <c r="H69" i="12" l="1"/>
  <c r="E69" i="12"/>
  <c r="J69" i="12"/>
  <c r="F69" i="12" l="1"/>
  <c r="K69" i="12"/>
  <c r="C70" i="12" s="1"/>
  <c r="I69" i="12"/>
  <c r="G70" i="12" l="1"/>
  <c r="L69" i="12"/>
  <c r="H70" i="12" l="1"/>
  <c r="E70" i="12"/>
  <c r="J70" i="12"/>
  <c r="F70" i="12" l="1"/>
  <c r="K70" i="12"/>
  <c r="C71" i="12" s="1"/>
  <c r="I70" i="12"/>
  <c r="G71" i="12" l="1"/>
  <c r="L70" i="12"/>
  <c r="H71" i="12" l="1"/>
  <c r="E71" i="12"/>
  <c r="J71" i="12"/>
  <c r="F71" i="12" l="1"/>
  <c r="K71" i="12"/>
  <c r="C72" i="12" s="1"/>
  <c r="I71" i="12"/>
  <c r="L71" i="12" l="1"/>
  <c r="G72" i="12"/>
  <c r="H72" i="12" l="1"/>
  <c r="E72" i="12"/>
  <c r="J72" i="12"/>
  <c r="F72" i="12" l="1"/>
  <c r="I72" i="12"/>
  <c r="K72" i="12"/>
  <c r="C73" i="12" s="1"/>
  <c r="G73" i="12" l="1"/>
  <c r="L72" i="12"/>
  <c r="H73" i="12" l="1"/>
  <c r="E73" i="12"/>
  <c r="J73" i="12"/>
  <c r="F73" i="12" l="1"/>
  <c r="K73" i="12"/>
  <c r="C74" i="12" s="1"/>
  <c r="I73" i="12"/>
  <c r="L73" i="12" l="1"/>
  <c r="G74" i="12"/>
  <c r="H74" i="12" l="1"/>
  <c r="E74" i="12"/>
  <c r="J74" i="12"/>
  <c r="F74" i="12" l="1"/>
  <c r="I74" i="12"/>
  <c r="K74" i="12"/>
  <c r="C75" i="12" s="1"/>
  <c r="L74" i="12" l="1"/>
  <c r="G75" i="12"/>
  <c r="H75" i="12" l="1"/>
  <c r="E75" i="12"/>
  <c r="J75" i="12"/>
  <c r="F75" i="12" l="1"/>
  <c r="I75" i="12"/>
  <c r="K75" i="12"/>
  <c r="C76" i="12" s="1"/>
  <c r="L75" i="12" l="1"/>
  <c r="G76" i="12"/>
  <c r="H76" i="12" l="1"/>
  <c r="E76" i="12"/>
  <c r="J76" i="12"/>
  <c r="F76" i="12" l="1"/>
  <c r="I76" i="12"/>
  <c r="K76" i="12"/>
  <c r="C77" i="12" s="1"/>
  <c r="G77" i="12" l="1"/>
  <c r="L76" i="12"/>
  <c r="H77" i="12" l="1"/>
  <c r="E77" i="12"/>
  <c r="J77" i="12"/>
  <c r="F77" i="12" l="1"/>
  <c r="K77" i="12"/>
  <c r="C78" i="12" s="1"/>
  <c r="I77" i="12"/>
  <c r="G78" i="12" l="1"/>
  <c r="L77" i="12"/>
  <c r="H78" i="12" l="1"/>
  <c r="E78" i="12"/>
  <c r="J78" i="12"/>
  <c r="F78" i="12" l="1"/>
  <c r="K78" i="12"/>
  <c r="C79" i="12" s="1"/>
  <c r="I78" i="12"/>
  <c r="G79" i="12" l="1"/>
  <c r="L78" i="12"/>
  <c r="H79" i="12" l="1"/>
  <c r="E79" i="12"/>
  <c r="J79" i="12"/>
  <c r="F79" i="12" l="1"/>
  <c r="K79" i="12"/>
  <c r="C80" i="12" s="1"/>
  <c r="I79" i="12"/>
  <c r="L79" i="12" l="1"/>
  <c r="G80" i="12"/>
  <c r="H80" i="12" l="1"/>
  <c r="E80" i="12"/>
  <c r="J80" i="12"/>
  <c r="F80" i="12" l="1"/>
  <c r="I80" i="12"/>
  <c r="K80" i="12"/>
  <c r="C81" i="12" s="1"/>
  <c r="L80" i="12" l="1"/>
  <c r="G81" i="12"/>
  <c r="H81" i="12" l="1"/>
  <c r="E81" i="12"/>
  <c r="J81" i="12"/>
  <c r="F81" i="12" l="1"/>
  <c r="I81" i="12"/>
  <c r="K81" i="12"/>
  <c r="C82" i="12" s="1"/>
  <c r="L81" i="12" l="1"/>
  <c r="G82" i="12"/>
  <c r="H82" i="12" l="1"/>
  <c r="E82" i="12"/>
  <c r="J82" i="12"/>
  <c r="F82" i="12" l="1"/>
  <c r="I82" i="12"/>
  <c r="K82" i="12"/>
  <c r="C83" i="12" s="1"/>
  <c r="G83" i="12" l="1"/>
  <c r="L82" i="12"/>
  <c r="H83" i="12" l="1"/>
  <c r="E83" i="12"/>
  <c r="J83" i="12"/>
  <c r="F83" i="12" l="1"/>
  <c r="K83" i="12"/>
  <c r="C84" i="12" s="1"/>
  <c r="I83" i="12"/>
  <c r="G84" i="12" l="1"/>
  <c r="L83" i="12"/>
  <c r="H84" i="12" l="1"/>
  <c r="E84" i="12"/>
  <c r="J84" i="12"/>
  <c r="F84" i="12" l="1"/>
  <c r="K84" i="12"/>
  <c r="C85" i="12" s="1"/>
  <c r="I84" i="12"/>
  <c r="L84" i="12" l="1"/>
  <c r="G85" i="12"/>
  <c r="H85" i="12" l="1"/>
  <c r="E85" i="12"/>
  <c r="J85" i="12"/>
  <c r="F85" i="12" l="1"/>
  <c r="I85" i="12"/>
  <c r="K85" i="12"/>
  <c r="C86" i="12" s="1"/>
  <c r="L85" i="12" l="1"/>
  <c r="G86" i="12"/>
  <c r="H86" i="12" l="1"/>
  <c r="E86" i="12"/>
  <c r="J86" i="12"/>
  <c r="F86" i="12" l="1"/>
  <c r="I86" i="12"/>
  <c r="K86" i="12"/>
  <c r="C87" i="12" s="1"/>
  <c r="G87" i="12" l="1"/>
  <c r="L86" i="12"/>
  <c r="H87" i="12" l="1"/>
  <c r="E87" i="12"/>
  <c r="J87" i="12"/>
  <c r="F87" i="12" l="1"/>
  <c r="K87" i="12"/>
  <c r="C88" i="12" s="1"/>
  <c r="I87" i="12"/>
  <c r="G88" i="12" l="1"/>
  <c r="L87" i="12"/>
  <c r="H88" i="12" l="1"/>
  <c r="E88" i="12"/>
  <c r="J88" i="12"/>
  <c r="F88" i="12" l="1"/>
  <c r="K88" i="12"/>
  <c r="C89" i="12" s="1"/>
  <c r="I88" i="12"/>
  <c r="G89" i="12" l="1"/>
  <c r="L88" i="12"/>
  <c r="H89" i="12" l="1"/>
  <c r="E89" i="12"/>
  <c r="J89" i="12"/>
  <c r="F89" i="12" l="1"/>
  <c r="K89" i="12"/>
  <c r="C90" i="12" s="1"/>
  <c r="I89" i="12"/>
  <c r="L89" i="12" l="1"/>
  <c r="G90" i="12"/>
  <c r="H90" i="12" l="1"/>
  <c r="E90" i="12"/>
  <c r="J90" i="12"/>
  <c r="F90" i="12" l="1"/>
  <c r="I90" i="12"/>
  <c r="K90" i="12"/>
  <c r="C91" i="12" s="1"/>
  <c r="G91" i="12" l="1"/>
  <c r="L90" i="12"/>
  <c r="H91" i="12" l="1"/>
  <c r="E91" i="12"/>
  <c r="J91" i="12"/>
  <c r="F91" i="12" l="1"/>
  <c r="K91" i="12"/>
  <c r="C92" i="12" s="1"/>
  <c r="I91" i="12"/>
  <c r="L91" i="12" l="1"/>
  <c r="G92" i="12"/>
  <c r="H92" i="12" l="1"/>
  <c r="E92" i="12"/>
  <c r="J92" i="12"/>
  <c r="F92" i="12" l="1"/>
  <c r="K92" i="12"/>
  <c r="C93" i="12" s="1"/>
  <c r="I92" i="12"/>
  <c r="L92" i="12" l="1"/>
  <c r="G93" i="12"/>
  <c r="H93" i="12" l="1"/>
  <c r="E93" i="12"/>
  <c r="J93" i="12"/>
  <c r="F93" i="12" l="1"/>
  <c r="I93" i="12"/>
  <c r="K93" i="12"/>
  <c r="C94" i="12" s="1"/>
  <c r="G94" i="12" l="1"/>
  <c r="L93" i="12"/>
  <c r="H94" i="12" l="1"/>
  <c r="E94" i="12"/>
  <c r="J94" i="12"/>
  <c r="F94" i="12" l="1"/>
  <c r="K94" i="12"/>
  <c r="C95" i="12" s="1"/>
  <c r="I94" i="12"/>
  <c r="L94" i="12" l="1"/>
  <c r="G95" i="12"/>
  <c r="H95" i="12" l="1"/>
  <c r="E95" i="12"/>
  <c r="J95" i="12"/>
  <c r="F95" i="12" l="1"/>
  <c r="I95" i="12"/>
  <c r="K95" i="12"/>
  <c r="C96" i="12" s="1"/>
  <c r="G96" i="12" l="1"/>
  <c r="L95" i="12"/>
  <c r="H96" i="12" l="1"/>
  <c r="E96" i="12"/>
  <c r="J96" i="12"/>
  <c r="F96" i="12" l="1"/>
  <c r="K96" i="12"/>
  <c r="C97" i="12" s="1"/>
  <c r="I96" i="12"/>
  <c r="L96" i="12" l="1"/>
  <c r="G97" i="12"/>
  <c r="H97" i="12" l="1"/>
  <c r="E97" i="12"/>
  <c r="J97" i="12"/>
  <c r="F97" i="12" l="1"/>
  <c r="I97" i="12"/>
  <c r="K97" i="12"/>
  <c r="C98" i="12" s="1"/>
  <c r="G98" i="12" l="1"/>
  <c r="L97" i="12"/>
  <c r="H98" i="12" l="1"/>
  <c r="E98" i="12"/>
  <c r="J98" i="12"/>
  <c r="F98" i="12" l="1"/>
  <c r="K98" i="12"/>
  <c r="C99" i="12" s="1"/>
  <c r="I98" i="12"/>
  <c r="L98" i="12" l="1"/>
  <c r="G99" i="12"/>
  <c r="H99" i="12" l="1"/>
  <c r="E99" i="12"/>
  <c r="J99" i="12"/>
  <c r="F99" i="12" l="1"/>
  <c r="I99" i="12"/>
  <c r="K99" i="12"/>
  <c r="C100" i="12" s="1"/>
  <c r="G100" i="12" l="1"/>
  <c r="L99" i="12"/>
  <c r="H100" i="12" l="1"/>
  <c r="E100" i="12"/>
  <c r="J100" i="12"/>
  <c r="F100" i="12" l="1"/>
  <c r="K100" i="12"/>
  <c r="C101" i="12" s="1"/>
  <c r="I100" i="12"/>
  <c r="L100" i="12" l="1"/>
  <c r="G101" i="12"/>
  <c r="H101" i="12" l="1"/>
  <c r="E101" i="12"/>
  <c r="J101" i="12"/>
  <c r="F101" i="12" l="1"/>
  <c r="I101" i="12"/>
  <c r="K101" i="12"/>
  <c r="C102" i="12" s="1"/>
  <c r="G102" i="12" l="1"/>
  <c r="L101" i="12"/>
  <c r="H102" i="12" l="1"/>
  <c r="E102" i="12"/>
  <c r="J102" i="12"/>
  <c r="F102" i="12" l="1"/>
  <c r="K102" i="12"/>
  <c r="C103" i="12" s="1"/>
  <c r="I102" i="12"/>
  <c r="L102" i="12" l="1"/>
  <c r="G103" i="12"/>
  <c r="H103" i="12" l="1"/>
  <c r="E103" i="12"/>
  <c r="J103" i="12"/>
  <c r="F103" i="12" l="1"/>
  <c r="I103" i="12"/>
  <c r="K103" i="12"/>
  <c r="C104" i="12" s="1"/>
  <c r="G104" i="12" l="1"/>
  <c r="L103" i="12"/>
  <c r="H104" i="12" l="1"/>
  <c r="E104" i="12"/>
  <c r="J104" i="12"/>
  <c r="F104" i="12" l="1"/>
  <c r="K104" i="12"/>
  <c r="C105" i="12" s="1"/>
  <c r="I104" i="12"/>
  <c r="L104" i="12" l="1"/>
  <c r="G105" i="12"/>
  <c r="H105" i="12" l="1"/>
  <c r="E105" i="12"/>
  <c r="J105" i="12"/>
  <c r="F105" i="12" l="1"/>
  <c r="I105" i="12"/>
  <c r="K105" i="12"/>
  <c r="C106" i="12" s="1"/>
  <c r="L105" i="12" l="1"/>
  <c r="G106" i="12"/>
  <c r="H106" i="12" l="1"/>
  <c r="E106" i="12"/>
  <c r="J106" i="12"/>
  <c r="F106" i="12" l="1"/>
  <c r="I106" i="12"/>
  <c r="K106" i="12"/>
  <c r="C107" i="12" s="1"/>
  <c r="G107" i="12" l="1"/>
  <c r="L106" i="12"/>
  <c r="H107" i="12" l="1"/>
  <c r="E107" i="12"/>
  <c r="J107" i="12"/>
  <c r="F107" i="12" l="1"/>
  <c r="K107" i="12"/>
  <c r="C108" i="12" s="1"/>
  <c r="I107" i="12"/>
  <c r="L107" i="12" l="1"/>
  <c r="G108" i="12"/>
  <c r="H108" i="12" l="1"/>
  <c r="E108" i="12"/>
  <c r="J108" i="12"/>
  <c r="F108" i="12" l="1"/>
  <c r="I108" i="12"/>
  <c r="K108" i="12"/>
  <c r="C109" i="12" s="1"/>
  <c r="G109" i="12" l="1"/>
  <c r="L108" i="12"/>
  <c r="H109" i="12" l="1"/>
  <c r="E109" i="12"/>
  <c r="J109" i="12"/>
  <c r="F109" i="12" l="1"/>
  <c r="K109" i="12"/>
  <c r="C110" i="12" s="1"/>
  <c r="I109" i="12"/>
  <c r="G110" i="12" l="1"/>
  <c r="L109" i="12"/>
  <c r="H110" i="12" l="1"/>
  <c r="E110" i="12"/>
  <c r="J110" i="12"/>
  <c r="F110" i="12" l="1"/>
  <c r="K110" i="12"/>
  <c r="C111" i="12" s="1"/>
  <c r="I110" i="12"/>
  <c r="L110" i="12" l="1"/>
  <c r="G111" i="12"/>
  <c r="H111" i="12" l="1"/>
  <c r="E111" i="12"/>
  <c r="J111" i="12"/>
  <c r="F111" i="12" l="1"/>
  <c r="K111" i="12"/>
  <c r="C112" i="12" s="1"/>
  <c r="I111" i="12"/>
  <c r="L111" i="12" l="1"/>
  <c r="G112" i="12"/>
  <c r="H112" i="12" l="1"/>
  <c r="E112" i="12"/>
  <c r="J112" i="12"/>
  <c r="F112" i="12" l="1"/>
  <c r="I112" i="12"/>
  <c r="K112" i="12"/>
  <c r="C113" i="12" s="1"/>
  <c r="L112" i="12" l="1"/>
  <c r="G113" i="12"/>
  <c r="H113" i="12" l="1"/>
  <c r="E113" i="12"/>
  <c r="J113" i="12"/>
  <c r="F113" i="12" l="1"/>
  <c r="I113" i="12"/>
  <c r="K113" i="12"/>
  <c r="C114" i="12" s="1"/>
  <c r="G114" i="12" l="1"/>
  <c r="L113" i="12"/>
  <c r="H114" i="12" l="1"/>
  <c r="E114" i="12"/>
  <c r="J114" i="12"/>
  <c r="F114" i="12" l="1"/>
  <c r="K114" i="12"/>
  <c r="C115" i="12" s="1"/>
  <c r="I114" i="12"/>
  <c r="G115" i="12" l="1"/>
  <c r="L114" i="12"/>
  <c r="H115" i="12" l="1"/>
  <c r="E115" i="12"/>
  <c r="J115" i="12"/>
  <c r="F115" i="12" l="1"/>
  <c r="K115" i="12"/>
  <c r="C116" i="12" s="1"/>
  <c r="I115" i="12"/>
  <c r="L115" i="12" l="1"/>
  <c r="G116" i="12"/>
  <c r="H116" i="12" l="1"/>
  <c r="E116" i="12"/>
  <c r="J116" i="12"/>
  <c r="F116" i="12" l="1"/>
  <c r="I116" i="12"/>
  <c r="K116" i="12"/>
  <c r="C117" i="12" s="1"/>
  <c r="G117" i="12" l="1"/>
  <c r="L116" i="12"/>
  <c r="H117" i="12" l="1"/>
  <c r="E117" i="12"/>
  <c r="J117" i="12"/>
  <c r="F117" i="12" l="1"/>
  <c r="K117" i="12"/>
  <c r="C118" i="12" s="1"/>
  <c r="I117" i="12"/>
  <c r="L117" i="12" l="1"/>
  <c r="G118" i="12"/>
  <c r="H118" i="12" l="1"/>
  <c r="E118" i="12"/>
  <c r="J118" i="12"/>
  <c r="F118" i="12" l="1"/>
  <c r="I118" i="12"/>
  <c r="K118" i="12"/>
  <c r="C119" i="12" s="1"/>
  <c r="L118" i="12" l="1"/>
  <c r="G119" i="12"/>
  <c r="H119" i="12" l="1"/>
  <c r="E119" i="12"/>
  <c r="J119" i="12"/>
  <c r="F119" i="12" l="1"/>
  <c r="K119" i="12"/>
  <c r="C120" i="12" s="1"/>
  <c r="I119" i="12"/>
  <c r="L119" i="12" l="1"/>
  <c r="G120" i="12"/>
  <c r="H120" i="12" l="1"/>
  <c r="E120" i="12"/>
  <c r="J120" i="12"/>
  <c r="F120" i="12" l="1"/>
  <c r="I120" i="12"/>
  <c r="K120" i="12"/>
  <c r="C121" i="12" s="1"/>
  <c r="L120" i="12" l="1"/>
  <c r="G121" i="12"/>
  <c r="H121" i="12" l="1"/>
  <c r="E121" i="12"/>
  <c r="J121" i="12"/>
  <c r="F121" i="12" l="1"/>
  <c r="I121" i="12"/>
  <c r="K121" i="12"/>
  <c r="C122" i="12" s="1"/>
  <c r="G122" i="12" l="1"/>
  <c r="L121" i="12"/>
  <c r="H122" i="12" l="1"/>
  <c r="E122" i="12"/>
  <c r="J122" i="12"/>
  <c r="F122" i="12" l="1"/>
  <c r="K122" i="12"/>
  <c r="C123" i="12" s="1"/>
  <c r="I122" i="12"/>
  <c r="G123" i="12" l="1"/>
  <c r="L122" i="12"/>
  <c r="H123" i="12" l="1"/>
  <c r="E123" i="12"/>
  <c r="J123" i="12"/>
  <c r="F123" i="12" l="1"/>
  <c r="K123" i="12"/>
  <c r="C124" i="12" s="1"/>
  <c r="I123" i="12"/>
  <c r="L123" i="12" l="1"/>
  <c r="G124" i="12"/>
  <c r="H124" i="12" l="1"/>
  <c r="E124" i="12"/>
  <c r="J124" i="12"/>
  <c r="F124" i="12" l="1"/>
  <c r="I124" i="12"/>
  <c r="K124" i="12"/>
  <c r="C125" i="12" s="1"/>
  <c r="L124" i="12" l="1"/>
  <c r="G125" i="12"/>
  <c r="H125" i="12" l="1"/>
  <c r="E125" i="12"/>
  <c r="J125" i="12"/>
  <c r="F125" i="12" l="1"/>
  <c r="I125" i="12"/>
  <c r="K125" i="12"/>
  <c r="C126" i="12" s="1"/>
  <c r="G126" i="12" l="1"/>
  <c r="L125" i="12"/>
  <c r="H126" i="12" l="1"/>
  <c r="E126" i="12"/>
  <c r="J126" i="12"/>
  <c r="F126" i="12" l="1"/>
  <c r="K126" i="12"/>
  <c r="C127" i="12" s="1"/>
  <c r="I126" i="12"/>
  <c r="L126" i="12" l="1"/>
  <c r="G127" i="12"/>
  <c r="H127" i="12" l="1"/>
  <c r="E127" i="12"/>
  <c r="J127" i="12"/>
  <c r="F127" i="12" l="1"/>
  <c r="K127" i="12"/>
  <c r="C128" i="12" s="1"/>
  <c r="I127" i="12"/>
  <c r="L127" i="12" l="1"/>
  <c r="G128" i="12"/>
  <c r="H128" i="12" l="1"/>
  <c r="E128" i="12"/>
  <c r="J128" i="12"/>
  <c r="F128" i="12" l="1"/>
  <c r="I128" i="12"/>
  <c r="K128" i="12"/>
  <c r="C129" i="12" s="1"/>
  <c r="G129" i="12" l="1"/>
  <c r="L128" i="12"/>
  <c r="H129" i="12" l="1"/>
  <c r="E129" i="12"/>
  <c r="J129" i="12"/>
  <c r="F129" i="12" l="1"/>
  <c r="I129" i="12"/>
  <c r="K129" i="12"/>
  <c r="C130" i="12" s="1"/>
  <c r="G130" i="12" l="1"/>
  <c r="L129" i="12"/>
  <c r="H130" i="12" l="1"/>
  <c r="E130" i="12"/>
  <c r="J130" i="12"/>
  <c r="F130" i="12" l="1"/>
  <c r="K130" i="12"/>
  <c r="C131" i="12" s="1"/>
  <c r="I130" i="12"/>
  <c r="L130" i="12" l="1"/>
  <c r="G131" i="12"/>
  <c r="H131" i="12" l="1"/>
  <c r="E131" i="12"/>
  <c r="J131" i="12"/>
  <c r="F131" i="12" l="1"/>
  <c r="I131" i="12"/>
  <c r="K131" i="12"/>
  <c r="C132" i="12" s="1"/>
  <c r="G132" i="12" l="1"/>
  <c r="L131" i="12"/>
  <c r="H132" i="12" l="1"/>
  <c r="E132" i="12"/>
  <c r="J132" i="12"/>
  <c r="F132" i="12" l="1"/>
  <c r="I132" i="12"/>
  <c r="K132" i="12"/>
  <c r="C133" i="12" s="1"/>
  <c r="G133" i="12" l="1"/>
  <c r="L132" i="12"/>
  <c r="H133" i="12" l="1"/>
  <c r="E133" i="12"/>
  <c r="J133" i="12"/>
  <c r="F133" i="12" l="1"/>
  <c r="K133" i="12"/>
  <c r="C134" i="12" s="1"/>
  <c r="I133" i="12"/>
  <c r="L133" i="12" l="1"/>
  <c r="G134" i="12"/>
  <c r="H134" i="12" l="1"/>
  <c r="E134" i="12"/>
  <c r="J134" i="12"/>
  <c r="F134" i="12" l="1"/>
  <c r="I134" i="12"/>
  <c r="K134" i="12"/>
  <c r="C135" i="12" s="1"/>
  <c r="G135" i="12" l="1"/>
  <c r="L134" i="12"/>
  <c r="H135" i="12" l="1"/>
  <c r="E135" i="12"/>
  <c r="J135" i="12"/>
  <c r="F135" i="12" l="1"/>
  <c r="K135" i="12"/>
  <c r="C136" i="12" s="1"/>
  <c r="I135" i="12"/>
  <c r="L135" i="12" l="1"/>
  <c r="G136" i="12"/>
  <c r="H136" i="12" l="1"/>
  <c r="E136" i="12"/>
  <c r="J136" i="12"/>
  <c r="F136" i="12" l="1"/>
  <c r="I136" i="12"/>
  <c r="K136" i="12"/>
  <c r="C137" i="12" s="1"/>
  <c r="G137" i="12" l="1"/>
  <c r="L136" i="12"/>
  <c r="H137" i="12" l="1"/>
  <c r="E137" i="12"/>
  <c r="J137" i="12"/>
  <c r="F137" i="12" l="1"/>
  <c r="K137" i="12"/>
  <c r="C138" i="12" s="1"/>
  <c r="I137" i="12"/>
  <c r="L137" i="12" l="1"/>
  <c r="G138" i="12"/>
  <c r="H138" i="12" l="1"/>
  <c r="E138" i="12"/>
  <c r="J138" i="12"/>
  <c r="F138" i="12" l="1"/>
  <c r="I138" i="12"/>
  <c r="K138" i="12"/>
  <c r="C139" i="12" s="1"/>
  <c r="G139" i="12" l="1"/>
  <c r="L138" i="12"/>
  <c r="H139" i="12" l="1"/>
  <c r="E139" i="12"/>
  <c r="J139" i="12"/>
  <c r="F139" i="12" l="1"/>
  <c r="K139" i="12"/>
  <c r="C140" i="12" s="1"/>
  <c r="I139" i="12"/>
  <c r="G140" i="12" l="1"/>
  <c r="L139" i="12"/>
  <c r="H140" i="12" l="1"/>
  <c r="E140" i="12"/>
  <c r="J140" i="12"/>
  <c r="F140" i="12" l="1"/>
  <c r="K140" i="12"/>
  <c r="C141" i="12" s="1"/>
  <c r="I140" i="12"/>
  <c r="G141" i="12" l="1"/>
  <c r="L140" i="12"/>
  <c r="H141" i="12" l="1"/>
  <c r="E141" i="12"/>
  <c r="J141" i="12"/>
  <c r="F141" i="12" l="1"/>
  <c r="K141" i="12"/>
  <c r="C142" i="12" s="1"/>
  <c r="I141" i="12"/>
  <c r="L141" i="12" l="1"/>
  <c r="G142" i="12"/>
  <c r="H142" i="12" l="1"/>
  <c r="E142" i="12"/>
  <c r="J142" i="12"/>
  <c r="F142" i="12" l="1"/>
  <c r="I142" i="12"/>
  <c r="K142" i="12"/>
  <c r="C143" i="12" s="1"/>
  <c r="L142" i="12" l="1"/>
  <c r="G143" i="12"/>
  <c r="H143" i="12" l="1"/>
  <c r="E143" i="12"/>
  <c r="J143" i="12"/>
  <c r="F143" i="12" l="1"/>
  <c r="I143" i="12"/>
  <c r="K143" i="12"/>
  <c r="C144" i="12" s="1"/>
  <c r="L143" i="12" l="1"/>
  <c r="G144" i="12"/>
  <c r="H144" i="12" l="1"/>
  <c r="E144" i="12"/>
  <c r="J144" i="12"/>
  <c r="F144" i="12" l="1"/>
  <c r="K144" i="12"/>
  <c r="C145" i="12" s="1"/>
  <c r="I144" i="12"/>
  <c r="L144" i="12" l="1"/>
  <c r="G145" i="12"/>
  <c r="H145" i="12" l="1"/>
  <c r="E145" i="12"/>
  <c r="J145" i="12"/>
  <c r="F145" i="12" l="1"/>
  <c r="I145" i="12"/>
  <c r="K145" i="12"/>
  <c r="C146" i="12" s="1"/>
  <c r="G146" i="12" l="1"/>
  <c r="L145" i="12"/>
  <c r="H146" i="12" l="1"/>
  <c r="E146" i="12"/>
  <c r="J146" i="12"/>
  <c r="F146" i="12" l="1"/>
  <c r="K146" i="12"/>
  <c r="C147" i="12" s="1"/>
  <c r="I146" i="12"/>
  <c r="L146" i="12" l="1"/>
  <c r="G147" i="12"/>
  <c r="H147" i="12" l="1"/>
  <c r="E147" i="12"/>
  <c r="J147" i="12"/>
  <c r="F147" i="12" l="1"/>
  <c r="I147" i="12"/>
  <c r="K147" i="12"/>
  <c r="C148" i="12" s="1"/>
  <c r="G148" i="12" l="1"/>
  <c r="L147" i="12"/>
  <c r="H148" i="12" l="1"/>
  <c r="E148" i="12"/>
  <c r="J148" i="12"/>
  <c r="F148" i="12" l="1"/>
  <c r="K148" i="12"/>
  <c r="C149" i="12" s="1"/>
  <c r="I148" i="12"/>
  <c r="L148" i="12" l="1"/>
  <c r="G149" i="12"/>
  <c r="H149" i="12" l="1"/>
  <c r="E149" i="12"/>
  <c r="J149" i="12"/>
  <c r="F149" i="12" l="1"/>
  <c r="I149" i="12"/>
  <c r="K149" i="12"/>
  <c r="C150" i="12" s="1"/>
  <c r="G150" i="12" l="1"/>
  <c r="L149" i="12"/>
  <c r="H150" i="12" l="1"/>
  <c r="E150" i="12"/>
  <c r="J150" i="12"/>
  <c r="F150" i="12" l="1"/>
  <c r="K150" i="12"/>
  <c r="C151" i="12" s="1"/>
  <c r="I150" i="12"/>
  <c r="L150" i="12" l="1"/>
  <c r="G151" i="12"/>
  <c r="H151" i="12" l="1"/>
  <c r="E151" i="12"/>
  <c r="J151" i="12"/>
  <c r="F151" i="12" l="1"/>
  <c r="I151" i="12"/>
  <c r="K151" i="12"/>
  <c r="C152" i="12" s="1"/>
  <c r="G152" i="12" l="1"/>
  <c r="L151" i="12"/>
  <c r="H152" i="12" l="1"/>
  <c r="E152" i="12"/>
  <c r="J152" i="12"/>
  <c r="F152" i="12" l="1"/>
  <c r="K152" i="12"/>
  <c r="C153" i="12" s="1"/>
  <c r="I152" i="12"/>
  <c r="L152" i="12" l="1"/>
  <c r="G153" i="12"/>
  <c r="H153" i="12" l="1"/>
  <c r="E153" i="12"/>
  <c r="J153" i="12"/>
  <c r="F153" i="12" l="1"/>
  <c r="I153" i="12"/>
  <c r="K153" i="12"/>
  <c r="C154" i="12" s="1"/>
  <c r="G154" i="12" l="1"/>
  <c r="L153" i="12"/>
  <c r="H154" i="12" l="1"/>
  <c r="E154" i="12"/>
  <c r="J154" i="12"/>
  <c r="F154" i="12" l="1"/>
  <c r="K154" i="12"/>
  <c r="C155" i="12" s="1"/>
  <c r="I154" i="12"/>
  <c r="G155" i="12" l="1"/>
  <c r="L154" i="12"/>
  <c r="H155" i="12" l="1"/>
  <c r="E155" i="12"/>
  <c r="J155" i="12"/>
  <c r="F155" i="12" l="1"/>
  <c r="K155" i="12"/>
  <c r="C156" i="12" s="1"/>
  <c r="I155" i="12"/>
  <c r="L155" i="12" l="1"/>
  <c r="G156" i="12"/>
  <c r="H156" i="12" l="1"/>
  <c r="E156" i="12"/>
  <c r="J156" i="12"/>
  <c r="F156" i="12" l="1"/>
  <c r="I156" i="12"/>
  <c r="K156" i="12"/>
  <c r="C157" i="12" s="1"/>
  <c r="L156" i="12" l="1"/>
  <c r="G157" i="12"/>
  <c r="H157" i="12" l="1"/>
  <c r="E157" i="12"/>
  <c r="J157" i="12"/>
  <c r="F157" i="12" l="1"/>
  <c r="I157" i="12"/>
  <c r="K157" i="12"/>
  <c r="C158" i="12" s="1"/>
  <c r="L157" i="12" l="1"/>
  <c r="G158" i="12"/>
  <c r="H158" i="12" l="1"/>
  <c r="E158" i="12"/>
  <c r="J158" i="12"/>
  <c r="F158" i="12" l="1"/>
  <c r="I158" i="12"/>
  <c r="K158" i="12"/>
  <c r="C159" i="12" s="1"/>
  <c r="G159" i="12" l="1"/>
  <c r="L158" i="12"/>
  <c r="H159" i="12" l="1"/>
  <c r="E159" i="12"/>
  <c r="J159" i="12"/>
  <c r="F159" i="12" l="1"/>
  <c r="K159" i="12"/>
  <c r="C160" i="12" s="1"/>
  <c r="I159" i="12"/>
  <c r="L159" i="12" l="1"/>
  <c r="G160" i="12"/>
  <c r="H160" i="12" l="1"/>
  <c r="E160" i="12"/>
  <c r="J160" i="12"/>
  <c r="F160" i="12" l="1"/>
  <c r="I160" i="12"/>
  <c r="K160" i="12"/>
  <c r="C161" i="12" s="1"/>
  <c r="G161" i="12" l="1"/>
  <c r="L160" i="12"/>
  <c r="H161" i="12" l="1"/>
  <c r="E161" i="12"/>
  <c r="J161" i="12"/>
  <c r="F161" i="12" l="1"/>
  <c r="K161" i="12"/>
  <c r="C162" i="12" s="1"/>
  <c r="I161" i="12"/>
  <c r="L161" i="12" l="1"/>
  <c r="G162" i="12"/>
  <c r="H162" i="12" l="1"/>
  <c r="E162" i="12"/>
  <c r="J162" i="12"/>
  <c r="F162" i="12" l="1"/>
  <c r="I162" i="12"/>
  <c r="K162" i="12"/>
  <c r="C163" i="12" s="1"/>
  <c r="G163" i="12" l="1"/>
  <c r="L162" i="12"/>
  <c r="H163" i="12" l="1"/>
  <c r="E163" i="12"/>
  <c r="J163" i="12"/>
  <c r="F163" i="12" l="1"/>
  <c r="I163" i="12"/>
  <c r="K163" i="12"/>
  <c r="C164" i="12" s="1"/>
  <c r="G164" i="12" l="1"/>
  <c r="L163" i="12"/>
  <c r="H164" i="12" l="1"/>
  <c r="E164" i="12"/>
  <c r="J164" i="12"/>
  <c r="F164" i="12" l="1"/>
  <c r="K164" i="12"/>
  <c r="C165" i="12" s="1"/>
  <c r="I164" i="12"/>
  <c r="L164" i="12" l="1"/>
  <c r="G165" i="12"/>
  <c r="H165" i="12" l="1"/>
  <c r="E165" i="12"/>
  <c r="J165" i="12"/>
  <c r="F165" i="12" l="1"/>
  <c r="I165" i="12"/>
  <c r="K165" i="12"/>
  <c r="C166" i="12" s="1"/>
  <c r="G166" i="12" l="1"/>
  <c r="L165" i="12"/>
  <c r="H166" i="12" l="1"/>
  <c r="E166" i="12"/>
  <c r="J166" i="12"/>
  <c r="F166" i="12" l="1"/>
  <c r="K166" i="12"/>
  <c r="C167" i="12" s="1"/>
  <c r="I166" i="12"/>
  <c r="G167" i="12" l="1"/>
  <c r="L166" i="12"/>
  <c r="H167" i="12" l="1"/>
  <c r="E167" i="12"/>
  <c r="J167" i="12"/>
  <c r="F167" i="12" l="1"/>
  <c r="K167" i="12"/>
  <c r="C168" i="12" s="1"/>
  <c r="I167" i="12"/>
  <c r="G168" i="12" l="1"/>
  <c r="L167" i="12"/>
  <c r="H168" i="12" l="1"/>
  <c r="E168" i="12"/>
  <c r="J168" i="12"/>
  <c r="F168" i="12" l="1"/>
  <c r="K168" i="12"/>
  <c r="C169" i="12" s="1"/>
  <c r="I168" i="12"/>
  <c r="G169" i="12" l="1"/>
  <c r="L168" i="12"/>
  <c r="H169" i="12" l="1"/>
  <c r="E169" i="12"/>
  <c r="J169" i="12"/>
  <c r="F169" i="12" l="1"/>
  <c r="K169" i="12"/>
  <c r="C170" i="12" s="1"/>
  <c r="I169" i="12"/>
  <c r="L169" i="12" l="1"/>
  <c r="G170" i="12"/>
  <c r="H170" i="12" l="1"/>
  <c r="E170" i="12"/>
  <c r="J170" i="12"/>
  <c r="F170" i="12" l="1"/>
  <c r="I170" i="12"/>
  <c r="K170" i="12"/>
  <c r="C171" i="12" s="1"/>
  <c r="G171" i="12" l="1"/>
  <c r="L170" i="12"/>
  <c r="H171" i="12" l="1"/>
  <c r="E171" i="12"/>
  <c r="J171" i="12"/>
  <c r="F171" i="12" l="1"/>
  <c r="K171" i="12"/>
  <c r="C172" i="12" s="1"/>
  <c r="I171" i="12"/>
  <c r="L171" i="12" l="1"/>
  <c r="G172" i="12"/>
  <c r="H172" i="12" l="1"/>
  <c r="E172" i="12"/>
  <c r="J172" i="12"/>
  <c r="F172" i="12" l="1"/>
  <c r="I172" i="12"/>
  <c r="K172" i="12"/>
  <c r="C173" i="12" s="1"/>
  <c r="L172" i="12" l="1"/>
  <c r="G173" i="12"/>
  <c r="H173" i="12" l="1"/>
  <c r="E173" i="12"/>
  <c r="J173" i="12"/>
  <c r="F173" i="12" l="1"/>
  <c r="I173" i="12"/>
  <c r="K173" i="12"/>
  <c r="C174" i="12" s="1"/>
  <c r="L173" i="12" l="1"/>
  <c r="G174" i="12"/>
  <c r="H174" i="12" l="1"/>
  <c r="E174" i="12"/>
  <c r="J174" i="12"/>
  <c r="F174" i="12" l="1"/>
  <c r="I174" i="12"/>
  <c r="K174" i="12"/>
  <c r="C175" i="12" s="1"/>
  <c r="L174" i="12" l="1"/>
  <c r="G175" i="12"/>
  <c r="H175" i="12" l="1"/>
  <c r="E175" i="12"/>
  <c r="J175" i="12"/>
  <c r="F175" i="12" l="1"/>
  <c r="I175" i="12"/>
  <c r="K175" i="12"/>
  <c r="C176" i="12" s="1"/>
  <c r="L175" i="12" l="1"/>
  <c r="G176" i="12"/>
  <c r="H176" i="12" l="1"/>
  <c r="E176" i="12"/>
  <c r="J176" i="12"/>
  <c r="F176" i="12" l="1"/>
  <c r="I176" i="12"/>
  <c r="K176" i="12"/>
  <c r="C177" i="12" s="1"/>
  <c r="L176" i="12" l="1"/>
  <c r="G177" i="12"/>
  <c r="H177" i="12" l="1"/>
  <c r="E177" i="12"/>
  <c r="J177" i="12"/>
  <c r="F177" i="12" l="1"/>
  <c r="I177" i="12"/>
  <c r="K177" i="12"/>
  <c r="C178" i="12" s="1"/>
  <c r="G178" i="12" l="1"/>
  <c r="L177" i="12"/>
  <c r="H178" i="12" l="1"/>
  <c r="E178" i="12"/>
  <c r="J178" i="12"/>
  <c r="F178" i="12" l="1"/>
  <c r="K178" i="12"/>
  <c r="C179" i="12" s="1"/>
  <c r="I178" i="12"/>
  <c r="L178" i="12" l="1"/>
  <c r="G179" i="12"/>
  <c r="H179" i="12" l="1"/>
  <c r="E179" i="12"/>
  <c r="J179" i="12"/>
  <c r="F179" i="12" l="1"/>
  <c r="I179" i="12"/>
  <c r="K179" i="12"/>
  <c r="C180" i="12" s="1"/>
  <c r="G180" i="12" l="1"/>
  <c r="L179" i="12"/>
  <c r="H180" i="12" l="1"/>
  <c r="E180" i="12"/>
  <c r="J180" i="12"/>
  <c r="F180" i="12" l="1"/>
  <c r="K180" i="12"/>
  <c r="C181" i="12" s="1"/>
  <c r="I180" i="12"/>
  <c r="L180" i="12" l="1"/>
  <c r="G181" i="12"/>
  <c r="H181" i="12" l="1"/>
  <c r="E181" i="12"/>
  <c r="J181" i="12"/>
  <c r="F181" i="12" l="1"/>
  <c r="K181" i="12"/>
  <c r="C182" i="12" s="1"/>
  <c r="I181" i="12"/>
  <c r="L181" i="12" l="1"/>
  <c r="G182" i="12"/>
  <c r="H182" i="12" l="1"/>
  <c r="E182" i="12"/>
  <c r="J182" i="12"/>
  <c r="F182" i="12" l="1"/>
  <c r="I182" i="12"/>
  <c r="K182" i="12"/>
  <c r="C183" i="12" s="1"/>
  <c r="G183" i="12" l="1"/>
  <c r="L182" i="12"/>
  <c r="H183" i="12" l="1"/>
  <c r="E183" i="12"/>
  <c r="J183" i="12"/>
  <c r="F183" i="12" l="1"/>
  <c r="K183" i="12"/>
  <c r="C184" i="12" s="1"/>
  <c r="I183" i="12"/>
  <c r="L183" i="12" l="1"/>
  <c r="G184" i="12"/>
  <c r="H184" i="12" l="1"/>
  <c r="E184" i="12"/>
  <c r="J184" i="12"/>
  <c r="F184" i="12" l="1"/>
  <c r="I184" i="12"/>
  <c r="K184" i="12"/>
  <c r="C185" i="12" s="1"/>
  <c r="L184" i="12" l="1"/>
  <c r="G185" i="12"/>
  <c r="H185" i="12" l="1"/>
  <c r="E185" i="12"/>
  <c r="J185" i="12"/>
  <c r="F185" i="12" l="1"/>
  <c r="I185" i="12"/>
  <c r="K185" i="12"/>
  <c r="C186" i="12" s="1"/>
  <c r="G186" i="12" l="1"/>
  <c r="L185" i="12"/>
  <c r="H186" i="12" l="1"/>
  <c r="E186" i="12"/>
  <c r="J186" i="12"/>
  <c r="F186" i="12" l="1"/>
  <c r="K186" i="12"/>
  <c r="C187" i="12" s="1"/>
  <c r="I186" i="12"/>
  <c r="G187" i="12" l="1"/>
  <c r="L186" i="12"/>
  <c r="H187" i="12" l="1"/>
  <c r="E187" i="12"/>
  <c r="J187" i="12"/>
  <c r="F187" i="12" l="1"/>
  <c r="K187" i="12"/>
  <c r="C188" i="12" s="1"/>
  <c r="I187" i="12"/>
  <c r="L187" i="12" l="1"/>
  <c r="G188" i="12"/>
  <c r="H188" i="12" l="1"/>
  <c r="E188" i="12"/>
  <c r="J188" i="12"/>
  <c r="F188" i="12" l="1"/>
  <c r="I188" i="12"/>
  <c r="K188" i="12"/>
  <c r="C189" i="12" s="1"/>
  <c r="L188" i="12" l="1"/>
  <c r="G189" i="12"/>
  <c r="H189" i="12" l="1"/>
  <c r="E189" i="12"/>
  <c r="J189" i="12"/>
  <c r="F189" i="12" l="1"/>
  <c r="I189" i="12"/>
  <c r="K189" i="12"/>
  <c r="C190" i="12" s="1"/>
  <c r="G190" i="12" l="1"/>
  <c r="L189" i="12"/>
  <c r="H190" i="12" l="1"/>
  <c r="E190" i="12"/>
  <c r="J190" i="12"/>
  <c r="F190" i="12" l="1"/>
  <c r="K190" i="12"/>
  <c r="C191" i="12" s="1"/>
  <c r="I190" i="12"/>
  <c r="L190" i="12" l="1"/>
  <c r="G191" i="12"/>
  <c r="H191" i="12" l="1"/>
  <c r="E191" i="12"/>
  <c r="J191" i="12"/>
  <c r="F191" i="12" l="1"/>
  <c r="I191" i="12"/>
  <c r="K191" i="12"/>
  <c r="C192" i="12" s="1"/>
  <c r="G192" i="12" l="1"/>
  <c r="L191" i="12"/>
  <c r="H192" i="12" l="1"/>
  <c r="E192" i="12"/>
  <c r="J192" i="12"/>
  <c r="F192" i="12" l="1"/>
  <c r="K192" i="12"/>
  <c r="C193" i="12" s="1"/>
  <c r="I192" i="12"/>
  <c r="G193" i="12" l="1"/>
  <c r="L192" i="12"/>
  <c r="H193" i="12" l="1"/>
  <c r="E193" i="12"/>
  <c r="J193" i="12"/>
  <c r="F193" i="12" l="1"/>
  <c r="K193" i="12"/>
  <c r="C194" i="12" s="1"/>
  <c r="I193" i="12"/>
  <c r="G194" i="12" l="1"/>
  <c r="L193" i="12"/>
  <c r="H194" i="12" l="1"/>
  <c r="E194" i="12"/>
  <c r="J194" i="12"/>
  <c r="F194" i="12" l="1"/>
  <c r="K194" i="12"/>
  <c r="C195" i="12" s="1"/>
  <c r="I194" i="12"/>
  <c r="G195" i="12" l="1"/>
  <c r="L194" i="12"/>
  <c r="H195" i="12" l="1"/>
  <c r="E195" i="12"/>
  <c r="J195" i="12"/>
  <c r="F195" i="12" l="1"/>
  <c r="K195" i="12"/>
  <c r="C196" i="12" s="1"/>
  <c r="I195" i="12"/>
  <c r="G196" i="12" l="1"/>
  <c r="L195" i="12"/>
  <c r="H196" i="12" l="1"/>
  <c r="E196" i="12"/>
  <c r="J196" i="12"/>
  <c r="F196" i="12" l="1"/>
  <c r="K196" i="12"/>
  <c r="C197" i="12" s="1"/>
  <c r="I196" i="12"/>
  <c r="L196" i="12" l="1"/>
  <c r="G197" i="12"/>
  <c r="H197" i="12" l="1"/>
  <c r="E197" i="12"/>
  <c r="J197" i="12"/>
  <c r="F197" i="12" l="1"/>
  <c r="I197" i="12"/>
  <c r="K197" i="12"/>
  <c r="C198" i="12" s="1"/>
  <c r="L197" i="12" l="1"/>
  <c r="G198" i="12"/>
  <c r="H198" i="12" l="1"/>
  <c r="E198" i="12"/>
  <c r="J198" i="12"/>
  <c r="F198" i="12" l="1"/>
  <c r="I198" i="12"/>
  <c r="K198" i="12"/>
  <c r="C199" i="12" s="1"/>
  <c r="G199" i="12" l="1"/>
  <c r="L198" i="12"/>
  <c r="H199" i="12" l="1"/>
  <c r="E199" i="12"/>
  <c r="J199" i="12"/>
  <c r="F199" i="12" l="1"/>
  <c r="K199" i="12"/>
  <c r="C200" i="12" s="1"/>
  <c r="I199" i="12"/>
  <c r="L199" i="12" l="1"/>
  <c r="G200" i="12"/>
  <c r="H200" i="12" l="1"/>
  <c r="E200" i="12"/>
  <c r="J200" i="12"/>
  <c r="F200" i="12" l="1"/>
  <c r="K200" i="12"/>
  <c r="C201" i="12" s="1"/>
  <c r="I200" i="12"/>
  <c r="G201" i="12" l="1"/>
  <c r="L200" i="12"/>
  <c r="H201" i="12" l="1"/>
  <c r="E201" i="12"/>
  <c r="J201" i="12"/>
  <c r="F201" i="12" l="1"/>
  <c r="K201" i="12"/>
  <c r="C202" i="12" s="1"/>
  <c r="I201" i="12"/>
  <c r="L201" i="12" l="1"/>
  <c r="G202" i="12"/>
  <c r="H202" i="12" l="1"/>
  <c r="E202" i="12"/>
  <c r="J202" i="12"/>
  <c r="F202" i="12" l="1"/>
  <c r="I202" i="12"/>
  <c r="K202" i="12"/>
  <c r="C203" i="12" s="1"/>
  <c r="L202" i="12" l="1"/>
  <c r="G203" i="12"/>
  <c r="H203" i="12" l="1"/>
  <c r="E203" i="12"/>
  <c r="J203" i="12"/>
  <c r="F203" i="12" l="1"/>
  <c r="I203" i="12"/>
  <c r="K203" i="12"/>
  <c r="C204" i="12" s="1"/>
  <c r="G204" i="12" l="1"/>
  <c r="L203" i="12"/>
  <c r="H204" i="12" l="1"/>
  <c r="E204" i="12"/>
  <c r="J204" i="12"/>
  <c r="F204" i="12" l="1"/>
  <c r="K204" i="12"/>
  <c r="C205" i="12" s="1"/>
  <c r="I204" i="12"/>
  <c r="L204" i="12" l="1"/>
  <c r="G205" i="12"/>
  <c r="H205" i="12" l="1"/>
  <c r="E205" i="12"/>
  <c r="J205" i="12"/>
  <c r="F205" i="12" l="1"/>
  <c r="K205" i="12"/>
  <c r="C206" i="12" s="1"/>
  <c r="I205" i="12"/>
  <c r="L205" i="12" l="1"/>
  <c r="G206" i="12"/>
  <c r="H206" i="12" l="1"/>
  <c r="E206" i="12"/>
  <c r="J206" i="12"/>
  <c r="F206" i="12" l="1"/>
  <c r="I206" i="12"/>
  <c r="K206" i="12"/>
  <c r="C207" i="12" s="1"/>
  <c r="G207" i="12" l="1"/>
  <c r="L206" i="12"/>
  <c r="H207" i="12" l="1"/>
  <c r="E207" i="12"/>
  <c r="J207" i="12"/>
  <c r="F207" i="12" l="1"/>
  <c r="K207" i="12"/>
  <c r="C208" i="12" s="1"/>
  <c r="I207" i="12"/>
  <c r="G208" i="12" l="1"/>
  <c r="L207" i="12"/>
  <c r="H208" i="12" l="1"/>
  <c r="E208" i="12"/>
  <c r="J208" i="12"/>
  <c r="F208" i="12" l="1"/>
  <c r="K208" i="12"/>
  <c r="C209" i="12" s="1"/>
  <c r="I208" i="12"/>
  <c r="G209" i="12" l="1"/>
  <c r="L208" i="12"/>
  <c r="H209" i="12" l="1"/>
  <c r="E209" i="12"/>
  <c r="J209" i="12"/>
  <c r="F209" i="12" l="1"/>
  <c r="K209" i="12"/>
  <c r="C210" i="12" s="1"/>
  <c r="I209" i="12"/>
  <c r="L209" i="12" l="1"/>
  <c r="G210" i="12"/>
  <c r="H210" i="12" l="1"/>
  <c r="E210" i="12"/>
  <c r="J210" i="12"/>
  <c r="F210" i="12" l="1"/>
  <c r="I210" i="12"/>
  <c r="K210" i="12"/>
  <c r="C211" i="12" s="1"/>
  <c r="G211" i="12" l="1"/>
  <c r="L210" i="12"/>
  <c r="H211" i="12" l="1"/>
  <c r="E211" i="12"/>
  <c r="J211" i="12"/>
  <c r="F211" i="12" l="1"/>
  <c r="I211" i="12"/>
  <c r="K211" i="12"/>
  <c r="C212" i="12" s="1"/>
  <c r="L211" i="12" l="1"/>
  <c r="G212" i="12"/>
  <c r="H212" i="12" l="1"/>
  <c r="E212" i="12"/>
  <c r="J212" i="12"/>
  <c r="F212" i="12" l="1"/>
  <c r="I212" i="12"/>
  <c r="K212" i="12"/>
  <c r="C213" i="12" s="1"/>
  <c r="G213" i="12" l="1"/>
  <c r="L212" i="12"/>
  <c r="H213" i="12" l="1"/>
  <c r="E213" i="12"/>
  <c r="J213" i="12"/>
  <c r="F213" i="12" l="1"/>
  <c r="K213" i="12"/>
  <c r="C214" i="12" s="1"/>
  <c r="I213" i="12"/>
  <c r="L213" i="12" l="1"/>
  <c r="G214" i="12"/>
  <c r="H214" i="12" l="1"/>
  <c r="E214" i="12"/>
  <c r="J214" i="12"/>
  <c r="F214" i="12" l="1"/>
  <c r="I214" i="12"/>
  <c r="K214" i="12"/>
  <c r="C215" i="12" s="1"/>
  <c r="G215" i="12" l="1"/>
  <c r="L214" i="12"/>
  <c r="H215" i="12" l="1"/>
  <c r="E215" i="12"/>
  <c r="J215" i="12"/>
  <c r="F215" i="12" l="1"/>
  <c r="K215" i="12"/>
  <c r="C216" i="12" s="1"/>
  <c r="I215" i="12"/>
  <c r="G216" i="12" l="1"/>
  <c r="L215" i="12"/>
  <c r="H216" i="12" l="1"/>
  <c r="E216" i="12"/>
  <c r="J216" i="12"/>
  <c r="F216" i="12" l="1"/>
  <c r="K216" i="12"/>
  <c r="C217" i="12" s="1"/>
  <c r="I216" i="12"/>
  <c r="G217" i="12" l="1"/>
  <c r="L216" i="12"/>
  <c r="H217" i="12" l="1"/>
  <c r="E217" i="12"/>
  <c r="J217" i="12"/>
  <c r="F217" i="12" l="1"/>
  <c r="K217" i="12"/>
  <c r="C218" i="12" s="1"/>
  <c r="I217" i="12"/>
  <c r="G218" i="12" l="1"/>
  <c r="L217" i="12"/>
  <c r="H218" i="12" l="1"/>
  <c r="E218" i="12"/>
  <c r="J218" i="12"/>
  <c r="F218" i="12" l="1"/>
  <c r="K218" i="12"/>
  <c r="C219" i="12" s="1"/>
  <c r="I218" i="12"/>
  <c r="G219" i="12" l="1"/>
  <c r="L218" i="12"/>
  <c r="H219" i="12" l="1"/>
  <c r="E219" i="12"/>
  <c r="J219" i="12"/>
  <c r="F219" i="12" l="1"/>
  <c r="K219" i="12"/>
  <c r="C220" i="12" s="1"/>
  <c r="I219" i="12"/>
  <c r="L219" i="12" l="1"/>
  <c r="G220" i="12"/>
  <c r="H220" i="12" l="1"/>
  <c r="E220" i="12"/>
  <c r="J220" i="12"/>
  <c r="F220" i="12" l="1"/>
  <c r="I220" i="12"/>
  <c r="K220" i="12"/>
  <c r="C221" i="12" s="1"/>
  <c r="G221" i="12" l="1"/>
  <c r="L220" i="12"/>
  <c r="H221" i="12" l="1"/>
  <c r="E221" i="12"/>
  <c r="J221" i="12"/>
  <c r="F221" i="12" l="1"/>
  <c r="K221" i="12"/>
  <c r="C222" i="12" s="1"/>
  <c r="I221" i="12"/>
  <c r="L221" i="12" l="1"/>
  <c r="G222" i="12"/>
  <c r="H222" i="12" l="1"/>
  <c r="E222" i="12"/>
  <c r="J222" i="12"/>
  <c r="F222" i="12" l="1"/>
  <c r="I222" i="12"/>
  <c r="K222" i="12"/>
  <c r="C223" i="12" s="1"/>
  <c r="G223" i="12" l="1"/>
  <c r="L222" i="12"/>
  <c r="H223" i="12" l="1"/>
  <c r="E223" i="12"/>
  <c r="J223" i="12"/>
  <c r="F223" i="12" l="1"/>
  <c r="K223" i="12"/>
  <c r="C224" i="12" s="1"/>
  <c r="I223" i="12"/>
  <c r="L223" i="12" l="1"/>
  <c r="G224" i="12"/>
  <c r="H224" i="12" l="1"/>
  <c r="E224" i="12"/>
  <c r="J224" i="12"/>
  <c r="F224" i="12" l="1"/>
  <c r="I224" i="12"/>
  <c r="K224" i="12"/>
  <c r="C225" i="12" s="1"/>
  <c r="L224" i="12" l="1"/>
  <c r="G225" i="12"/>
  <c r="H225" i="12" l="1"/>
  <c r="E225" i="12"/>
  <c r="J225" i="12"/>
  <c r="F225" i="12" l="1"/>
  <c r="I225" i="12"/>
  <c r="K225" i="12"/>
  <c r="C226" i="12" s="1"/>
  <c r="L225" i="12" l="1"/>
  <c r="G226" i="12"/>
  <c r="H226" i="12" l="1"/>
  <c r="E226" i="12"/>
  <c r="J226" i="12"/>
  <c r="F226" i="12" l="1"/>
  <c r="I226" i="12"/>
  <c r="K226" i="12"/>
  <c r="C227" i="12" s="1"/>
  <c r="G227" i="12" l="1"/>
  <c r="L226" i="12"/>
  <c r="H227" i="12" l="1"/>
  <c r="E227" i="12"/>
  <c r="J227" i="12"/>
  <c r="F227" i="12" l="1"/>
  <c r="K227" i="12"/>
  <c r="C228" i="12" s="1"/>
  <c r="I227" i="12"/>
  <c r="G228" i="12" l="1"/>
  <c r="L227" i="12"/>
  <c r="H228" i="12" l="1"/>
  <c r="E228" i="12"/>
  <c r="J228" i="12"/>
  <c r="F228" i="12" l="1"/>
  <c r="K228" i="12"/>
  <c r="C229" i="12" s="1"/>
  <c r="I228" i="12"/>
  <c r="L228" i="12" l="1"/>
  <c r="G229" i="12"/>
  <c r="H229" i="12" l="1"/>
  <c r="E229" i="12"/>
  <c r="J229" i="12"/>
  <c r="F229" i="12" l="1"/>
  <c r="I229" i="12"/>
  <c r="K229" i="12"/>
  <c r="C230" i="12" s="1"/>
  <c r="L229" i="12" l="1"/>
  <c r="G230" i="12"/>
  <c r="H230" i="12" l="1"/>
  <c r="E230" i="12"/>
  <c r="J230" i="12"/>
  <c r="F230" i="12" l="1"/>
  <c r="I230" i="12"/>
  <c r="K230" i="12"/>
  <c r="C231" i="12" s="1"/>
  <c r="G231" i="12" l="1"/>
  <c r="L230" i="12"/>
  <c r="H231" i="12" l="1"/>
  <c r="E231" i="12"/>
  <c r="J231" i="12"/>
  <c r="F231" i="12" l="1"/>
  <c r="I231" i="12"/>
  <c r="K231" i="12"/>
  <c r="C232" i="12" s="1"/>
  <c r="G232" i="12" l="1"/>
  <c r="L231" i="12"/>
  <c r="H232" i="12" l="1"/>
  <c r="E232" i="12"/>
  <c r="J232" i="12"/>
  <c r="F232" i="12" l="1"/>
  <c r="K232" i="12"/>
  <c r="C233" i="12" s="1"/>
  <c r="I232" i="12"/>
  <c r="G233" i="12" l="1"/>
  <c r="L232" i="12"/>
  <c r="H233" i="12" l="1"/>
  <c r="E233" i="12"/>
  <c r="J233" i="12"/>
  <c r="F233" i="12" l="1"/>
  <c r="K233" i="12"/>
  <c r="C234" i="12" s="1"/>
  <c r="I233" i="12"/>
  <c r="L233" i="12" l="1"/>
  <c r="G234" i="12"/>
  <c r="H234" i="12" l="1"/>
  <c r="E234" i="12"/>
  <c r="J234" i="12"/>
  <c r="F234" i="12" l="1"/>
  <c r="I234" i="12"/>
  <c r="K234" i="12"/>
  <c r="C235" i="12" s="1"/>
  <c r="G235" i="12" l="1"/>
  <c r="L234" i="12"/>
  <c r="H235" i="12" l="1"/>
  <c r="E235" i="12"/>
  <c r="J235" i="12"/>
  <c r="F235" i="12" l="1"/>
  <c r="K235" i="12"/>
  <c r="C236" i="12" s="1"/>
  <c r="I235" i="12"/>
  <c r="L235" i="12" l="1"/>
  <c r="G236" i="12"/>
  <c r="H236" i="12" l="1"/>
  <c r="E236" i="12"/>
  <c r="J236" i="12"/>
  <c r="F236" i="12" l="1"/>
  <c r="I236" i="12"/>
  <c r="K236" i="12"/>
  <c r="C237" i="12" s="1"/>
  <c r="G237" i="12" l="1"/>
  <c r="L236" i="12"/>
  <c r="H237" i="12" l="1"/>
  <c r="E237" i="12"/>
  <c r="J237" i="12"/>
  <c r="F237" i="12" l="1"/>
  <c r="K237" i="12"/>
  <c r="C238" i="12" s="1"/>
  <c r="I237" i="12"/>
  <c r="L237" i="12" l="1"/>
  <c r="G238" i="12"/>
  <c r="H238" i="12" l="1"/>
  <c r="E238" i="12"/>
  <c r="J238" i="12"/>
  <c r="F238" i="12" l="1"/>
  <c r="K238" i="12"/>
  <c r="C239" i="12" s="1"/>
  <c r="I238" i="12"/>
  <c r="L238" i="12" l="1"/>
  <c r="G239" i="12"/>
  <c r="H239" i="12" l="1"/>
  <c r="E239" i="12"/>
  <c r="J239" i="12"/>
  <c r="F239" i="12" l="1"/>
  <c r="I239" i="12"/>
  <c r="K239" i="12"/>
  <c r="C240" i="12" s="1"/>
  <c r="G240" i="12" l="1"/>
  <c r="L239" i="12"/>
  <c r="H240" i="12" l="1"/>
  <c r="E240" i="12"/>
  <c r="J240" i="12"/>
  <c r="F240" i="12" l="1"/>
  <c r="K240" i="12"/>
  <c r="C241" i="12" s="1"/>
  <c r="I240" i="12"/>
  <c r="L240" i="12" l="1"/>
  <c r="G241" i="12"/>
  <c r="H241" i="12" l="1"/>
  <c r="E241" i="12"/>
  <c r="J241" i="12"/>
  <c r="F241" i="12" l="1"/>
  <c r="I241" i="12"/>
  <c r="K241" i="12"/>
  <c r="C242" i="12" s="1"/>
  <c r="G242" i="12" l="1"/>
  <c r="L241" i="12"/>
  <c r="H242" i="12" l="1"/>
  <c r="E242" i="12"/>
  <c r="J242" i="12"/>
  <c r="F242" i="12" l="1"/>
  <c r="K242" i="12"/>
  <c r="C243" i="12" s="1"/>
  <c r="I242" i="12"/>
  <c r="L242" i="12" l="1"/>
  <c r="G243" i="12"/>
  <c r="H243" i="12" l="1"/>
  <c r="E243" i="12"/>
  <c r="J243" i="12"/>
  <c r="F243" i="12" l="1"/>
  <c r="I243" i="12"/>
  <c r="K243" i="12"/>
  <c r="C244" i="12" s="1"/>
  <c r="G244" i="12" l="1"/>
  <c r="L243" i="12"/>
  <c r="H244" i="12" l="1"/>
  <c r="E244" i="12"/>
  <c r="J244" i="12"/>
  <c r="F244" i="12" l="1"/>
  <c r="K244" i="12"/>
  <c r="C245" i="12" s="1"/>
  <c r="I244" i="12"/>
  <c r="L244" i="12" l="1"/>
  <c r="G245" i="12"/>
  <c r="H245" i="12" l="1"/>
  <c r="E245" i="12"/>
  <c r="J245" i="12"/>
  <c r="F245" i="12" l="1"/>
  <c r="I245" i="12"/>
  <c r="K245" i="12"/>
  <c r="C246" i="12" s="1"/>
  <c r="G246" i="12" l="1"/>
  <c r="L245" i="12"/>
  <c r="H246" i="12" l="1"/>
  <c r="E246" i="12"/>
  <c r="J246" i="12"/>
  <c r="F246" i="12" l="1"/>
  <c r="I246" i="12"/>
  <c r="K246" i="12"/>
  <c r="C247" i="12" s="1"/>
  <c r="G247" i="12" l="1"/>
  <c r="L246" i="12"/>
  <c r="H247" i="12" l="1"/>
  <c r="E247" i="12"/>
  <c r="J247" i="12"/>
  <c r="F247" i="12" l="1"/>
  <c r="K247" i="12"/>
  <c r="C248" i="12" s="1"/>
  <c r="I247" i="12"/>
  <c r="L247" i="12" l="1"/>
  <c r="G248" i="12"/>
  <c r="H248" i="12" l="1"/>
  <c r="E248" i="12"/>
  <c r="J248" i="12"/>
  <c r="F248" i="12" l="1"/>
  <c r="K248" i="12"/>
  <c r="C249" i="12" s="1"/>
  <c r="I248" i="12"/>
  <c r="L248" i="12" l="1"/>
  <c r="G249" i="12"/>
  <c r="H249" i="12" l="1"/>
  <c r="E249" i="12"/>
  <c r="J249" i="12"/>
  <c r="F249" i="12" l="1"/>
  <c r="I249" i="12"/>
  <c r="K249" i="12"/>
  <c r="C250" i="12" s="1"/>
  <c r="G250" i="12" l="1"/>
  <c r="L249" i="12"/>
  <c r="H250" i="12" l="1"/>
  <c r="E250" i="12"/>
  <c r="J250" i="12"/>
  <c r="F250" i="12" l="1"/>
  <c r="K250" i="12"/>
  <c r="C251" i="12" s="1"/>
  <c r="I250" i="12"/>
  <c r="L250" i="12" l="1"/>
  <c r="G251" i="12"/>
  <c r="H251" i="12" l="1"/>
  <c r="E251" i="12"/>
  <c r="J251" i="12"/>
  <c r="F251" i="12" l="1"/>
  <c r="I251" i="12"/>
  <c r="K251" i="12"/>
  <c r="C252" i="12" s="1"/>
  <c r="G252" i="12" l="1"/>
  <c r="L251" i="12"/>
  <c r="H252" i="12" l="1"/>
  <c r="E252" i="12"/>
  <c r="J252" i="12"/>
  <c r="F252" i="12" l="1"/>
  <c r="K252" i="12"/>
  <c r="C253" i="12" s="1"/>
  <c r="I252" i="12"/>
  <c r="L252" i="12" l="1"/>
  <c r="G253" i="12"/>
  <c r="H253" i="12" l="1"/>
  <c r="E253" i="12"/>
  <c r="J253" i="12"/>
  <c r="F253" i="12" l="1"/>
  <c r="I253" i="12"/>
  <c r="K253" i="12"/>
  <c r="C254" i="12" s="1"/>
  <c r="G254" i="12" l="1"/>
  <c r="L253" i="12"/>
  <c r="H254" i="12" l="1"/>
  <c r="E254" i="12"/>
  <c r="J254" i="12"/>
  <c r="F254" i="12" l="1"/>
  <c r="K254" i="12"/>
  <c r="C255" i="12" s="1"/>
  <c r="I254" i="12"/>
  <c r="L254" i="12" l="1"/>
  <c r="G255" i="12"/>
  <c r="H255" i="12" l="1"/>
  <c r="E255" i="12"/>
  <c r="J255" i="12"/>
  <c r="F255" i="12" l="1"/>
  <c r="I255" i="12"/>
  <c r="K255" i="12"/>
  <c r="C256" i="12" s="1"/>
  <c r="G256" i="12" l="1"/>
  <c r="L255" i="12"/>
  <c r="H256" i="12" l="1"/>
  <c r="E256" i="12"/>
  <c r="J256" i="12"/>
  <c r="F256" i="12" l="1"/>
  <c r="K256" i="12"/>
  <c r="C257" i="12" s="1"/>
  <c r="I256" i="12"/>
  <c r="L256" i="12" l="1"/>
  <c r="G257" i="12"/>
  <c r="H257" i="12" l="1"/>
  <c r="E257" i="12"/>
  <c r="J257" i="12"/>
  <c r="F257" i="12" l="1"/>
  <c r="I257" i="12"/>
  <c r="K257" i="12"/>
  <c r="C258" i="12" s="1"/>
  <c r="G258" i="12" l="1"/>
  <c r="L257" i="12"/>
  <c r="H258" i="12" l="1"/>
  <c r="E258" i="12"/>
  <c r="J258" i="12"/>
  <c r="F258" i="12" l="1"/>
  <c r="K258" i="12"/>
  <c r="C259" i="12" s="1"/>
  <c r="I258" i="12"/>
  <c r="L258" i="12" l="1"/>
  <c r="G259" i="12"/>
  <c r="H259" i="12" l="1"/>
  <c r="E259" i="12"/>
  <c r="J259" i="12"/>
  <c r="F259" i="12" l="1"/>
  <c r="I259" i="12"/>
  <c r="K259" i="12"/>
  <c r="C260" i="12" s="1"/>
  <c r="G260" i="12" l="1"/>
  <c r="L259" i="12"/>
  <c r="H260" i="12" l="1"/>
  <c r="E260" i="12"/>
  <c r="J260" i="12"/>
  <c r="F260" i="12" l="1"/>
  <c r="K260" i="12"/>
  <c r="C261" i="12" s="1"/>
  <c r="I260" i="12"/>
  <c r="G261" i="12" l="1"/>
  <c r="L260" i="12"/>
  <c r="H261" i="12" l="1"/>
  <c r="E261" i="12"/>
  <c r="J261" i="12"/>
  <c r="F261" i="12" l="1"/>
  <c r="K261" i="12"/>
  <c r="C262" i="12" s="1"/>
  <c r="I261" i="12"/>
  <c r="L261" i="12" l="1"/>
  <c r="G262" i="12"/>
  <c r="H262" i="12" l="1"/>
  <c r="E262" i="12"/>
  <c r="J262" i="12"/>
  <c r="F262" i="12" l="1"/>
  <c r="I262" i="12"/>
  <c r="K262" i="12"/>
  <c r="C263" i="12" s="1"/>
  <c r="G263" i="12" l="1"/>
  <c r="L262" i="12"/>
  <c r="H263" i="12" l="1"/>
  <c r="E263" i="12"/>
  <c r="J263" i="12"/>
  <c r="F263" i="12" l="1"/>
  <c r="K263" i="12"/>
  <c r="C264" i="12" s="1"/>
  <c r="I263" i="12"/>
  <c r="L263" i="12" l="1"/>
  <c r="G264" i="12"/>
  <c r="H264" i="12" l="1"/>
  <c r="E264" i="12"/>
  <c r="J264" i="12"/>
  <c r="F264" i="12" l="1"/>
  <c r="I264" i="12"/>
  <c r="K264" i="12"/>
  <c r="C265" i="12" s="1"/>
  <c r="G265" i="12" l="1"/>
  <c r="L264" i="12"/>
  <c r="H265" i="12" l="1"/>
  <c r="E265" i="12"/>
  <c r="J265" i="12"/>
  <c r="F265" i="12" l="1"/>
  <c r="K265" i="12"/>
  <c r="C266" i="12" s="1"/>
  <c r="I265" i="12"/>
  <c r="L265" i="12" l="1"/>
  <c r="G266" i="12"/>
  <c r="H266" i="12" l="1"/>
  <c r="E266" i="12"/>
  <c r="J266" i="12"/>
  <c r="F266" i="12" l="1"/>
  <c r="I266" i="12"/>
  <c r="K266" i="12"/>
  <c r="C267" i="12" s="1"/>
  <c r="G267" i="12" l="1"/>
  <c r="L266" i="12"/>
  <c r="H267" i="12" l="1"/>
  <c r="E267" i="12"/>
  <c r="J267" i="12"/>
  <c r="F267" i="12" l="1"/>
  <c r="K267" i="12"/>
  <c r="C268" i="12" s="1"/>
  <c r="I267" i="12"/>
  <c r="L267" i="12" l="1"/>
  <c r="G268" i="12"/>
  <c r="H268" i="12" l="1"/>
  <c r="E268" i="12"/>
  <c r="J268" i="12"/>
  <c r="F268" i="12" l="1"/>
  <c r="I268" i="12"/>
  <c r="K268" i="12"/>
  <c r="C269" i="12" s="1"/>
  <c r="G269" i="12" l="1"/>
  <c r="L268" i="12"/>
  <c r="H269" i="12" l="1"/>
  <c r="E269" i="12"/>
  <c r="J269" i="12"/>
  <c r="F269" i="12" l="1"/>
  <c r="K269" i="12"/>
  <c r="C270" i="12" s="1"/>
  <c r="I269" i="12"/>
  <c r="L269" i="12" l="1"/>
  <c r="G270" i="12"/>
  <c r="H270" i="12" l="1"/>
  <c r="E270" i="12"/>
  <c r="J270" i="12"/>
  <c r="F270" i="12" l="1"/>
  <c r="K270" i="12"/>
  <c r="C271" i="12" s="1"/>
  <c r="I270" i="12"/>
  <c r="G271" i="12" l="1"/>
  <c r="L270" i="12"/>
  <c r="H271" i="12" l="1"/>
  <c r="E271" i="12"/>
  <c r="J271" i="12"/>
  <c r="F271" i="12" l="1"/>
  <c r="K271" i="12"/>
  <c r="C272" i="12" s="1"/>
  <c r="I271" i="12"/>
  <c r="L271" i="12" l="1"/>
  <c r="G272" i="12"/>
  <c r="H272" i="12" l="1"/>
  <c r="E272" i="12"/>
  <c r="J272" i="12"/>
  <c r="F272" i="12" l="1"/>
  <c r="I272" i="12"/>
  <c r="K272" i="12"/>
  <c r="C273" i="12" s="1"/>
  <c r="G273" i="12" l="1"/>
  <c r="L272" i="12"/>
  <c r="H273" i="12" l="1"/>
  <c r="E273" i="12"/>
  <c r="J273" i="12"/>
  <c r="F273" i="12" l="1"/>
  <c r="K273" i="12"/>
  <c r="C274" i="12" s="1"/>
  <c r="I273" i="12"/>
  <c r="L273" i="12" l="1"/>
  <c r="G274" i="12"/>
  <c r="H274" i="12" l="1"/>
  <c r="E274" i="12"/>
  <c r="J274" i="12"/>
  <c r="F274" i="12" l="1"/>
  <c r="I274" i="12"/>
  <c r="K274" i="12"/>
  <c r="C275" i="12" s="1"/>
  <c r="G275" i="12" l="1"/>
  <c r="L274" i="12"/>
  <c r="H275" i="12" l="1"/>
  <c r="E275" i="12"/>
  <c r="J275" i="12"/>
  <c r="F275" i="12" l="1"/>
  <c r="K275" i="12"/>
  <c r="C276" i="12" s="1"/>
  <c r="I275" i="12"/>
  <c r="L275" i="12" l="1"/>
  <c r="G276" i="12"/>
  <c r="H276" i="12" l="1"/>
  <c r="E276" i="12"/>
  <c r="J276" i="12"/>
  <c r="F276" i="12" l="1"/>
  <c r="I276" i="12"/>
  <c r="K276" i="12"/>
  <c r="C277" i="12" s="1"/>
  <c r="G277" i="12" l="1"/>
  <c r="L276" i="12"/>
  <c r="H277" i="12" l="1"/>
  <c r="E277" i="12"/>
  <c r="J277" i="12"/>
  <c r="F277" i="12" l="1"/>
  <c r="K277" i="12"/>
  <c r="C278" i="12" s="1"/>
  <c r="I277" i="12"/>
  <c r="L277" i="12" l="1"/>
  <c r="G278" i="12"/>
  <c r="H278" i="12" l="1"/>
  <c r="E278" i="12"/>
  <c r="J278" i="12"/>
  <c r="F278" i="12" l="1"/>
  <c r="I278" i="12"/>
  <c r="K278" i="12"/>
  <c r="C279" i="12" s="1"/>
  <c r="G279" i="12" l="1"/>
  <c r="L278" i="12"/>
  <c r="H279" i="12" l="1"/>
  <c r="E279" i="12"/>
  <c r="J279" i="12"/>
  <c r="F279" i="12" l="1"/>
  <c r="K279" i="12"/>
  <c r="C280" i="12" s="1"/>
  <c r="I279" i="12"/>
  <c r="L279" i="12" l="1"/>
  <c r="G280" i="12"/>
  <c r="H280" i="12" l="1"/>
  <c r="E280" i="12"/>
  <c r="J280" i="12"/>
  <c r="F280" i="12" l="1"/>
  <c r="I280" i="12"/>
  <c r="K280" i="12"/>
  <c r="C281" i="12" s="1"/>
  <c r="G281" i="12" l="1"/>
  <c r="L280" i="12"/>
  <c r="H281" i="12" l="1"/>
  <c r="E281" i="12"/>
  <c r="J281" i="12"/>
  <c r="F281" i="12" l="1"/>
  <c r="K281" i="12"/>
  <c r="C282" i="12" s="1"/>
  <c r="I281" i="12"/>
  <c r="L281" i="12" l="1"/>
  <c r="G282" i="12"/>
  <c r="H282" i="12" l="1"/>
  <c r="E282" i="12"/>
  <c r="J282" i="12"/>
  <c r="F282" i="12" l="1"/>
  <c r="I282" i="12"/>
  <c r="K282" i="12"/>
  <c r="C283" i="12" s="1"/>
  <c r="G283" i="12" l="1"/>
  <c r="L282" i="12"/>
  <c r="H283" i="12" l="1"/>
  <c r="E283" i="12"/>
  <c r="J283" i="12"/>
  <c r="F283" i="12" l="1"/>
  <c r="K283" i="12"/>
  <c r="C284" i="12" s="1"/>
  <c r="I283" i="12"/>
  <c r="L283" i="12" l="1"/>
  <c r="G284" i="12"/>
  <c r="H284" i="12" l="1"/>
  <c r="E284" i="12"/>
  <c r="J284" i="12"/>
  <c r="F284" i="12" l="1"/>
  <c r="I284" i="12"/>
  <c r="K284" i="12"/>
  <c r="C285" i="12" s="1"/>
  <c r="G285" i="12" l="1"/>
  <c r="L284" i="12"/>
  <c r="H285" i="12" l="1"/>
  <c r="E285" i="12"/>
  <c r="J285" i="12"/>
  <c r="F285" i="12" l="1"/>
  <c r="K285" i="12"/>
  <c r="C286" i="12" s="1"/>
  <c r="I285" i="12"/>
  <c r="L285" i="12" l="1"/>
  <c r="G286" i="12"/>
  <c r="H286" i="12" l="1"/>
  <c r="E286" i="12"/>
  <c r="J286" i="12"/>
  <c r="F286" i="12" l="1"/>
  <c r="I286" i="12"/>
  <c r="K286" i="12"/>
  <c r="C287" i="12" s="1"/>
  <c r="G287" i="12" l="1"/>
  <c r="L286" i="12"/>
  <c r="H287" i="12" l="1"/>
  <c r="E287" i="12"/>
  <c r="J287" i="12"/>
  <c r="F287" i="12" l="1"/>
  <c r="K287" i="12"/>
  <c r="C288" i="12" s="1"/>
  <c r="I287" i="12"/>
  <c r="L287" i="12" l="1"/>
  <c r="G288" i="12"/>
  <c r="H288" i="12" l="1"/>
  <c r="E288" i="12"/>
  <c r="J288" i="12"/>
  <c r="F288" i="12" l="1"/>
  <c r="I288" i="12"/>
  <c r="K288" i="12"/>
  <c r="C289" i="12" s="1"/>
  <c r="G289" i="12" l="1"/>
  <c r="L288" i="12"/>
  <c r="H289" i="12" l="1"/>
  <c r="E289" i="12"/>
  <c r="J289" i="12"/>
  <c r="F289" i="12" l="1"/>
  <c r="K289" i="12"/>
  <c r="C290" i="12" s="1"/>
  <c r="I289" i="12"/>
  <c r="L289" i="12" l="1"/>
  <c r="G290" i="12"/>
  <c r="H290" i="12" l="1"/>
  <c r="E290" i="12"/>
  <c r="J290" i="12"/>
  <c r="F290" i="12" l="1"/>
  <c r="I290" i="12"/>
  <c r="K290" i="12"/>
  <c r="C291" i="12" s="1"/>
  <c r="G291" i="12" l="1"/>
  <c r="L290" i="12"/>
  <c r="H291" i="12" l="1"/>
  <c r="E291" i="12"/>
  <c r="J291" i="12"/>
  <c r="F291" i="12" l="1"/>
  <c r="K291" i="12"/>
  <c r="C292" i="12" s="1"/>
  <c r="I291" i="12"/>
  <c r="L291" i="12" l="1"/>
  <c r="G292" i="12"/>
  <c r="H292" i="12" l="1"/>
  <c r="E292" i="12"/>
  <c r="J292" i="12"/>
  <c r="F292" i="12" l="1"/>
  <c r="I292" i="12"/>
  <c r="K292" i="12"/>
  <c r="C293" i="12" s="1"/>
  <c r="G293" i="12" l="1"/>
  <c r="L292" i="12"/>
  <c r="H293" i="12" l="1"/>
  <c r="E293" i="12"/>
  <c r="J293" i="12"/>
  <c r="F293" i="12" l="1"/>
  <c r="K293" i="12"/>
  <c r="C294" i="12" s="1"/>
  <c r="I293" i="12"/>
  <c r="L293" i="12" l="1"/>
  <c r="G294" i="12"/>
  <c r="H294" i="12" l="1"/>
  <c r="E294" i="12"/>
  <c r="J294" i="12"/>
  <c r="F294" i="12" l="1"/>
  <c r="I294" i="12"/>
  <c r="K294" i="12"/>
  <c r="C295" i="12" s="1"/>
  <c r="G295" i="12" l="1"/>
  <c r="L294" i="12"/>
  <c r="H295" i="12" l="1"/>
  <c r="E295" i="12"/>
  <c r="J295" i="12"/>
  <c r="F295" i="12" l="1"/>
  <c r="K295" i="12"/>
  <c r="C296" i="12" s="1"/>
  <c r="I295" i="12"/>
  <c r="L295" i="12" l="1"/>
  <c r="G296" i="12"/>
  <c r="H296" i="12" l="1"/>
  <c r="E296" i="12"/>
  <c r="J296" i="12"/>
  <c r="F296" i="12" l="1"/>
  <c r="I296" i="12"/>
  <c r="K296" i="12"/>
  <c r="C297" i="12" s="1"/>
  <c r="G297" i="12" l="1"/>
  <c r="L296" i="12"/>
  <c r="H297" i="12" l="1"/>
  <c r="E297" i="12"/>
  <c r="J297" i="12"/>
  <c r="F297" i="12" l="1"/>
  <c r="K297" i="12"/>
  <c r="C298" i="12" s="1"/>
  <c r="I297" i="12"/>
  <c r="L297" i="12" l="1"/>
  <c r="G298" i="12"/>
  <c r="H298" i="12" l="1"/>
  <c r="E298" i="12"/>
  <c r="J298" i="12"/>
  <c r="F298" i="12" l="1"/>
  <c r="I298" i="12"/>
  <c r="K298" i="12"/>
  <c r="C299" i="12" s="1"/>
  <c r="G299" i="12" l="1"/>
  <c r="L298" i="12"/>
  <c r="H299" i="12" l="1"/>
  <c r="E299" i="12"/>
  <c r="J299" i="12"/>
  <c r="F299" i="12" l="1"/>
  <c r="K299" i="12"/>
  <c r="C300" i="12" s="1"/>
  <c r="I299" i="12"/>
  <c r="G300" i="12" l="1"/>
  <c r="L299" i="12"/>
  <c r="H300" i="12" l="1"/>
  <c r="E300" i="12"/>
  <c r="J300" i="12"/>
  <c r="F300" i="12" l="1"/>
  <c r="K300" i="12"/>
  <c r="C301" i="12" s="1"/>
  <c r="I300" i="12"/>
  <c r="L300" i="12" l="1"/>
  <c r="G301" i="12"/>
  <c r="H301" i="12" l="1"/>
  <c r="E301" i="12"/>
  <c r="J301" i="12"/>
  <c r="F301" i="12" l="1"/>
  <c r="I301" i="12"/>
  <c r="K301" i="12"/>
  <c r="C302" i="12" s="1"/>
  <c r="G302" i="12" l="1"/>
  <c r="L301" i="12"/>
  <c r="H302" i="12" l="1"/>
  <c r="E302" i="12"/>
  <c r="J302" i="12"/>
  <c r="F302" i="12" l="1"/>
  <c r="K302" i="12"/>
  <c r="C303" i="12" s="1"/>
  <c r="I302" i="12"/>
  <c r="G303" i="12" l="1"/>
  <c r="L302" i="12"/>
  <c r="H303" i="12" l="1"/>
  <c r="E303" i="12"/>
  <c r="J303" i="12"/>
  <c r="F303" i="12" l="1"/>
  <c r="K303" i="12"/>
  <c r="C304" i="12" s="1"/>
  <c r="I303" i="12"/>
  <c r="L303" i="12" l="1"/>
  <c r="G304" i="12"/>
  <c r="H304" i="12" l="1"/>
  <c r="E304" i="12"/>
  <c r="J304" i="12"/>
  <c r="F304" i="12" l="1"/>
  <c r="I304" i="12"/>
  <c r="K304" i="12"/>
  <c r="C305" i="12" s="1"/>
  <c r="G305" i="12" l="1"/>
  <c r="L304" i="12"/>
  <c r="H305" i="12" l="1"/>
  <c r="E305" i="12"/>
  <c r="J305" i="12"/>
  <c r="F305" i="12" l="1"/>
  <c r="K305" i="12"/>
  <c r="C306" i="12" s="1"/>
  <c r="I305" i="12"/>
  <c r="L305" i="12" l="1"/>
  <c r="G306" i="12"/>
  <c r="H306" i="12" l="1"/>
  <c r="E306" i="12"/>
  <c r="J306" i="12"/>
  <c r="F306" i="12" l="1"/>
  <c r="I306" i="12"/>
  <c r="K306" i="12"/>
  <c r="C307" i="12" s="1"/>
  <c r="G307" i="12" l="1"/>
  <c r="L306" i="12"/>
  <c r="H307" i="12" l="1"/>
  <c r="E307" i="12"/>
  <c r="J307" i="12"/>
  <c r="F307" i="12" l="1"/>
  <c r="K307" i="12"/>
  <c r="C308" i="12" s="1"/>
  <c r="I307" i="12"/>
  <c r="L307" i="12" l="1"/>
  <c r="G308" i="12"/>
  <c r="H308" i="12" l="1"/>
  <c r="E308" i="12"/>
  <c r="J308" i="12"/>
  <c r="F308" i="12" l="1"/>
  <c r="I308" i="12"/>
  <c r="K308" i="12"/>
  <c r="C309" i="12" s="1"/>
  <c r="G309" i="12" l="1"/>
  <c r="L308" i="12"/>
  <c r="H309" i="12" l="1"/>
  <c r="E309" i="12"/>
  <c r="J309" i="12"/>
  <c r="F309" i="12" l="1"/>
  <c r="K309" i="12"/>
  <c r="C310" i="12" s="1"/>
  <c r="I309" i="12"/>
  <c r="L309" i="12" l="1"/>
  <c r="G310" i="12"/>
  <c r="H310" i="12" l="1"/>
  <c r="E310" i="12"/>
  <c r="J310" i="12"/>
  <c r="F310" i="12" l="1"/>
  <c r="I310" i="12"/>
  <c r="K310" i="12"/>
  <c r="C311" i="12" s="1"/>
  <c r="G311" i="12" l="1"/>
  <c r="L310" i="12"/>
  <c r="H311" i="12" l="1"/>
  <c r="E311" i="12"/>
  <c r="J311" i="12"/>
  <c r="F311" i="12" l="1"/>
  <c r="K311" i="12"/>
  <c r="C312" i="12" s="1"/>
  <c r="I311" i="12"/>
  <c r="L311" i="12" l="1"/>
  <c r="G312" i="12"/>
  <c r="H312" i="12" l="1"/>
  <c r="E312" i="12"/>
  <c r="J312" i="12"/>
  <c r="F312" i="12" l="1"/>
  <c r="I312" i="12"/>
  <c r="K312" i="12"/>
  <c r="C313" i="12" s="1"/>
  <c r="G313" i="12" l="1"/>
  <c r="L312" i="12"/>
  <c r="H313" i="12" l="1"/>
  <c r="E313" i="12"/>
  <c r="J313" i="12"/>
  <c r="F313" i="12" l="1"/>
  <c r="K313" i="12"/>
  <c r="C314" i="12" s="1"/>
  <c r="I313" i="12"/>
  <c r="L313" i="12" l="1"/>
  <c r="G314" i="12"/>
  <c r="H314" i="12" l="1"/>
  <c r="E314" i="12"/>
  <c r="J314" i="12"/>
  <c r="F314" i="12" l="1"/>
  <c r="I314" i="12"/>
  <c r="K314" i="12"/>
  <c r="C315" i="12" s="1"/>
  <c r="G315" i="12" l="1"/>
  <c r="L314" i="12"/>
  <c r="H315" i="12" l="1"/>
  <c r="E315" i="12"/>
  <c r="J315" i="12"/>
  <c r="F315" i="12" l="1"/>
  <c r="K315" i="12"/>
  <c r="C316" i="12" s="1"/>
  <c r="I315" i="12"/>
  <c r="L315" i="12" l="1"/>
  <c r="G316" i="12"/>
  <c r="H316" i="12" l="1"/>
  <c r="E316" i="12"/>
  <c r="J316" i="12"/>
  <c r="F316" i="12" l="1"/>
  <c r="I316" i="12"/>
  <c r="K316" i="12"/>
  <c r="C317" i="12" s="1"/>
  <c r="G317" i="12" l="1"/>
  <c r="L316" i="12"/>
  <c r="H317" i="12" l="1"/>
  <c r="E317" i="12"/>
  <c r="J317" i="12"/>
  <c r="F317" i="12" l="1"/>
  <c r="K317" i="12"/>
  <c r="C318" i="12" s="1"/>
  <c r="I317" i="12"/>
  <c r="G318" i="12" l="1"/>
  <c r="L317" i="12"/>
  <c r="H318" i="12" l="1"/>
  <c r="E318" i="12"/>
  <c r="J318" i="12"/>
  <c r="F318" i="12" l="1"/>
  <c r="K318" i="12"/>
  <c r="C319" i="12" s="1"/>
  <c r="I318" i="12"/>
  <c r="L318" i="12" l="1"/>
  <c r="G319" i="12"/>
  <c r="H319" i="12" l="1"/>
  <c r="E319" i="12"/>
  <c r="J319" i="12"/>
  <c r="F319" i="12" l="1"/>
  <c r="I319" i="12"/>
  <c r="K319" i="12"/>
  <c r="C320" i="12" s="1"/>
  <c r="L319" i="12" l="1"/>
  <c r="G320" i="12"/>
  <c r="H320" i="12" l="1"/>
  <c r="E320" i="12"/>
  <c r="J320" i="12"/>
  <c r="F320" i="12" l="1"/>
  <c r="I320" i="12"/>
  <c r="K320" i="12"/>
  <c r="C321" i="12" s="1"/>
  <c r="G321" i="12" l="1"/>
  <c r="L320" i="12"/>
  <c r="H321" i="12" l="1"/>
  <c r="E321" i="12"/>
  <c r="J321" i="12"/>
  <c r="F321" i="12" l="1"/>
  <c r="K321" i="12"/>
  <c r="C322" i="12" s="1"/>
  <c r="I321" i="12"/>
  <c r="L321" i="12" l="1"/>
  <c r="G322" i="12"/>
  <c r="H322" i="12" l="1"/>
  <c r="E322" i="12"/>
  <c r="J322" i="12"/>
  <c r="F322" i="12" l="1"/>
  <c r="I322" i="12"/>
  <c r="K322" i="12"/>
  <c r="C323" i="12" s="1"/>
  <c r="G323" i="12" l="1"/>
  <c r="L322" i="12"/>
  <c r="H323" i="12" l="1"/>
  <c r="E323" i="12"/>
  <c r="J323" i="12"/>
  <c r="F323" i="12" l="1"/>
  <c r="K323" i="12"/>
  <c r="C324" i="12" s="1"/>
  <c r="I323" i="12"/>
  <c r="G324" i="12" l="1"/>
  <c r="L323" i="12"/>
  <c r="H324" i="12" l="1"/>
  <c r="E324" i="12"/>
  <c r="J324" i="12"/>
  <c r="F324" i="12" l="1"/>
  <c r="K324" i="12"/>
  <c r="C325" i="12" s="1"/>
  <c r="I324" i="12"/>
  <c r="L324" i="12" l="1"/>
  <c r="G325" i="12"/>
  <c r="H325" i="12" l="1"/>
  <c r="E325" i="12"/>
  <c r="J325" i="12"/>
  <c r="F325" i="12" l="1"/>
  <c r="I325" i="12"/>
  <c r="K325" i="12"/>
  <c r="C326" i="12" s="1"/>
  <c r="L325" i="12" l="1"/>
  <c r="G326" i="12"/>
  <c r="H326" i="12" l="1"/>
  <c r="E326" i="12"/>
  <c r="J326" i="12"/>
  <c r="F326" i="12" l="1"/>
  <c r="K326" i="12"/>
  <c r="C327" i="12" s="1"/>
  <c r="I326" i="12"/>
  <c r="L326" i="12" l="1"/>
  <c r="G327" i="12"/>
  <c r="H327" i="12" l="1"/>
  <c r="E327" i="12"/>
  <c r="J327" i="12"/>
  <c r="F327" i="12" l="1"/>
  <c r="I327" i="12"/>
  <c r="K327" i="12"/>
  <c r="C328" i="12" s="1"/>
  <c r="G328" i="12" l="1"/>
  <c r="L327" i="12"/>
  <c r="H328" i="12" l="1"/>
  <c r="E328" i="12"/>
  <c r="J328" i="12"/>
  <c r="F328" i="12" l="1"/>
  <c r="K328" i="12"/>
  <c r="C329" i="12" s="1"/>
  <c r="I328" i="12"/>
  <c r="L328" i="12" l="1"/>
  <c r="G329" i="12"/>
  <c r="H329" i="12" l="1"/>
  <c r="E329" i="12"/>
  <c r="J329" i="12"/>
  <c r="F329" i="12" l="1"/>
  <c r="I329" i="12"/>
  <c r="K329" i="12"/>
  <c r="C330" i="12" s="1"/>
  <c r="G330" i="12" l="1"/>
  <c r="L329" i="12"/>
  <c r="H330" i="12" l="1"/>
  <c r="E330" i="12"/>
  <c r="J330" i="12"/>
  <c r="F330" i="12" l="1"/>
  <c r="K330" i="12"/>
  <c r="C331" i="12" s="1"/>
  <c r="I330" i="12"/>
  <c r="L330" i="12" l="1"/>
  <c r="G331" i="12"/>
  <c r="H331" i="12" l="1"/>
  <c r="E331" i="12"/>
  <c r="J331" i="12"/>
  <c r="F331" i="12" l="1"/>
  <c r="I331" i="12"/>
  <c r="K331" i="12"/>
  <c r="C332" i="12" s="1"/>
  <c r="G332" i="12" l="1"/>
  <c r="L331" i="12"/>
  <c r="H332" i="12" l="1"/>
  <c r="E332" i="12"/>
  <c r="J332" i="12"/>
  <c r="F332" i="12" l="1"/>
  <c r="K332" i="12"/>
  <c r="C333" i="12" s="1"/>
  <c r="I332" i="12"/>
  <c r="L332" i="12" l="1"/>
  <c r="G333" i="12"/>
  <c r="H333" i="12" l="1"/>
  <c r="E333" i="12"/>
  <c r="J333" i="12"/>
  <c r="F333" i="12" l="1"/>
  <c r="I333" i="12"/>
  <c r="K333" i="12"/>
  <c r="C334" i="12" s="1"/>
  <c r="G334" i="12" l="1"/>
  <c r="L333" i="12"/>
  <c r="H334" i="12" l="1"/>
  <c r="E334" i="12"/>
  <c r="J334" i="12"/>
  <c r="F334" i="12" l="1"/>
  <c r="K334" i="12"/>
  <c r="C335" i="12" s="1"/>
  <c r="I334" i="12"/>
  <c r="L334" i="12" l="1"/>
  <c r="G335" i="12"/>
  <c r="H335" i="12" l="1"/>
  <c r="E335" i="12"/>
  <c r="J335" i="12"/>
  <c r="F335" i="12" l="1"/>
  <c r="I335" i="12"/>
  <c r="K335" i="12"/>
  <c r="C336" i="12" s="1"/>
  <c r="G336" i="12" l="1"/>
  <c r="L335" i="12"/>
  <c r="H336" i="12" l="1"/>
  <c r="E336" i="12"/>
  <c r="J336" i="12"/>
  <c r="F336" i="12" l="1"/>
  <c r="K336" i="12"/>
  <c r="C337" i="12" s="1"/>
  <c r="I336" i="12"/>
  <c r="L336" i="12" l="1"/>
  <c r="G337" i="12"/>
  <c r="H337" i="12" l="1"/>
  <c r="E337" i="12"/>
  <c r="J337" i="12"/>
  <c r="F337" i="12" l="1"/>
  <c r="I337" i="12"/>
  <c r="K337" i="12"/>
  <c r="C338" i="12" s="1"/>
  <c r="G338" i="12" l="1"/>
  <c r="L337" i="12"/>
  <c r="H338" i="12" l="1"/>
  <c r="E338" i="12"/>
  <c r="J338" i="12"/>
  <c r="F338" i="12" l="1"/>
  <c r="K338" i="12"/>
  <c r="C339" i="12" s="1"/>
  <c r="I338" i="12"/>
  <c r="L338" i="12" l="1"/>
  <c r="G339" i="12"/>
  <c r="H339" i="12" l="1"/>
  <c r="E339" i="12"/>
  <c r="J339" i="12"/>
  <c r="F339" i="12" l="1"/>
  <c r="I339" i="12"/>
  <c r="K339" i="12"/>
  <c r="C340" i="12" s="1"/>
  <c r="G340" i="12" l="1"/>
  <c r="L339" i="12"/>
  <c r="H340" i="12" l="1"/>
  <c r="E340" i="12"/>
  <c r="J340" i="12"/>
  <c r="F340" i="12" l="1"/>
  <c r="K340" i="12"/>
  <c r="C341" i="12" s="1"/>
  <c r="I340" i="12"/>
  <c r="L340" i="12" l="1"/>
  <c r="G341" i="12"/>
  <c r="H341" i="12" l="1"/>
  <c r="E341" i="12"/>
  <c r="J341" i="12"/>
  <c r="F341" i="12" l="1"/>
  <c r="I341" i="12"/>
  <c r="K341" i="12"/>
  <c r="C342" i="12" s="1"/>
  <c r="G342" i="12" l="1"/>
  <c r="L341" i="12"/>
  <c r="H342" i="12" l="1"/>
  <c r="E342" i="12"/>
  <c r="J342" i="12"/>
  <c r="F342" i="12" l="1"/>
  <c r="I342" i="12"/>
  <c r="K342" i="12"/>
  <c r="C343" i="12" s="1"/>
  <c r="L342" i="12" l="1"/>
  <c r="G343" i="12"/>
  <c r="H343" i="12" l="1"/>
  <c r="E343" i="12"/>
  <c r="J343" i="12"/>
  <c r="F343" i="12" l="1"/>
  <c r="I343" i="12"/>
  <c r="K343" i="12"/>
  <c r="C344" i="12" s="1"/>
  <c r="G344" i="12" l="1"/>
  <c r="L343" i="12"/>
  <c r="H344" i="12" l="1"/>
  <c r="E344" i="12"/>
  <c r="J344" i="12"/>
  <c r="F344" i="12" l="1"/>
  <c r="K344" i="12"/>
  <c r="C345" i="12" s="1"/>
  <c r="I344" i="12"/>
  <c r="L344" i="12" l="1"/>
  <c r="G345" i="12"/>
  <c r="H345" i="12" l="1"/>
  <c r="E345" i="12"/>
  <c r="J345" i="12"/>
  <c r="F345" i="12" l="1"/>
  <c r="I345" i="12"/>
  <c r="K345" i="12"/>
  <c r="C346" i="12" s="1"/>
  <c r="G346" i="12" l="1"/>
  <c r="L345" i="12"/>
  <c r="H346" i="12" l="1"/>
  <c r="E346" i="12"/>
  <c r="J346" i="12"/>
  <c r="F346" i="12" l="1"/>
  <c r="K346" i="12"/>
  <c r="C347" i="12" s="1"/>
  <c r="I346" i="12"/>
  <c r="G347" i="12" l="1"/>
  <c r="L346" i="12"/>
  <c r="H347" i="12" l="1"/>
  <c r="E347" i="12"/>
  <c r="J347" i="12"/>
  <c r="F347" i="12" l="1"/>
  <c r="K347" i="12"/>
  <c r="C348" i="12" s="1"/>
  <c r="I347" i="12"/>
  <c r="L347" i="12" l="1"/>
  <c r="G348" i="12"/>
  <c r="H348" i="12" l="1"/>
  <c r="E348" i="12"/>
  <c r="J348" i="12"/>
  <c r="F348" i="12" l="1"/>
  <c r="I348" i="12"/>
  <c r="K348" i="12"/>
  <c r="C349" i="12" s="1"/>
  <c r="G349" i="12" l="1"/>
  <c r="L348" i="12"/>
  <c r="H349" i="12" l="1"/>
  <c r="E349" i="12"/>
  <c r="J349" i="12"/>
  <c r="F349" i="12" l="1"/>
  <c r="K349" i="12"/>
  <c r="C350" i="12" s="1"/>
  <c r="I349" i="12"/>
  <c r="L349" i="12" l="1"/>
  <c r="G350" i="12"/>
  <c r="H350" i="12" l="1"/>
  <c r="E350" i="12"/>
  <c r="J350" i="12"/>
  <c r="F350" i="12" l="1"/>
  <c r="I350" i="12"/>
  <c r="K350" i="12"/>
  <c r="C351" i="12" s="1"/>
  <c r="G351" i="12" l="1"/>
  <c r="L350" i="12"/>
  <c r="H351" i="12" l="1"/>
  <c r="E351" i="12"/>
  <c r="J351" i="12"/>
  <c r="F351" i="12" l="1"/>
  <c r="K351" i="12"/>
  <c r="C352" i="12" s="1"/>
  <c r="I351" i="12"/>
  <c r="L351" i="12" l="1"/>
  <c r="G352" i="12"/>
  <c r="H352" i="12" l="1"/>
  <c r="E352" i="12"/>
  <c r="J352" i="12"/>
  <c r="F352" i="12" l="1"/>
  <c r="I352" i="12"/>
  <c r="K352" i="12"/>
  <c r="C353" i="12" s="1"/>
  <c r="G353" i="12" l="1"/>
  <c r="L352" i="12"/>
  <c r="H353" i="12" l="1"/>
  <c r="E353" i="12"/>
  <c r="J353" i="12"/>
  <c r="F353" i="12" l="1"/>
  <c r="K353" i="12"/>
  <c r="C354" i="12" s="1"/>
  <c r="I353" i="12"/>
  <c r="L353" i="12" l="1"/>
  <c r="G354" i="12"/>
  <c r="H354" i="12" l="1"/>
  <c r="E354" i="12"/>
  <c r="J354" i="12"/>
  <c r="F354" i="12" l="1"/>
  <c r="I354" i="12"/>
  <c r="K354" i="12"/>
  <c r="C355" i="12" s="1"/>
  <c r="G355" i="12" l="1"/>
  <c r="L354" i="12"/>
  <c r="H355" i="12" l="1"/>
  <c r="E355" i="12"/>
  <c r="J355" i="12"/>
  <c r="F355" i="12" l="1"/>
  <c r="I355" i="12"/>
  <c r="K355" i="12"/>
  <c r="C356" i="12" s="1"/>
  <c r="G356" i="12" l="1"/>
  <c r="L355" i="12"/>
  <c r="H356" i="12" l="1"/>
  <c r="E356" i="12"/>
  <c r="J356" i="12"/>
  <c r="F356" i="12" l="1"/>
  <c r="I356" i="12"/>
  <c r="K356" i="12"/>
  <c r="C357" i="12" s="1"/>
  <c r="G357" i="12" l="1"/>
  <c r="L356" i="12"/>
  <c r="H357" i="12" l="1"/>
  <c r="E357" i="12"/>
  <c r="J357" i="12"/>
  <c r="F357" i="12" l="1"/>
  <c r="K357" i="12"/>
  <c r="C358" i="12" s="1"/>
  <c r="I357" i="12"/>
  <c r="L357" i="12" l="1"/>
  <c r="G358" i="12"/>
  <c r="H358" i="12" l="1"/>
  <c r="E358" i="12"/>
  <c r="J358" i="12"/>
  <c r="F358" i="12" l="1"/>
  <c r="I358" i="12"/>
  <c r="K358" i="12"/>
  <c r="C359" i="12" s="1"/>
  <c r="G359" i="12" l="1"/>
  <c r="L358" i="12"/>
  <c r="H359" i="12" l="1"/>
  <c r="E359" i="12"/>
  <c r="J359" i="12"/>
  <c r="F359" i="12" l="1"/>
  <c r="K359" i="12"/>
  <c r="C360" i="12" s="1"/>
  <c r="I359" i="12"/>
  <c r="L359" i="12" l="1"/>
  <c r="G360" i="12"/>
  <c r="H360" i="12" l="1"/>
  <c r="E360" i="12"/>
  <c r="J360" i="12"/>
  <c r="F360" i="12" l="1"/>
  <c r="I360" i="12"/>
  <c r="K360" i="12"/>
  <c r="C361" i="12" s="1"/>
  <c r="G361" i="12" l="1"/>
  <c r="L360" i="12"/>
  <c r="H361" i="12" l="1"/>
  <c r="E361" i="12"/>
  <c r="J361" i="12"/>
  <c r="F361" i="12" l="1"/>
  <c r="I361" i="12"/>
  <c r="K361" i="12"/>
  <c r="C362" i="12" s="1"/>
  <c r="G362" i="12" l="1"/>
  <c r="L361" i="12"/>
  <c r="H362" i="12" l="1"/>
  <c r="E362" i="12"/>
  <c r="J362" i="12"/>
  <c r="F362" i="12" l="1"/>
  <c r="K362" i="12"/>
  <c r="C363" i="12" s="1"/>
  <c r="I362" i="12"/>
  <c r="L362" i="12" l="1"/>
  <c r="G363" i="12"/>
  <c r="H363" i="12" l="1"/>
  <c r="E363" i="12"/>
  <c r="J363" i="12"/>
  <c r="F363" i="12" l="1"/>
  <c r="I363" i="12"/>
  <c r="K363" i="12"/>
  <c r="C364" i="12" s="1"/>
  <c r="G364" i="12" l="1"/>
  <c r="L363" i="12"/>
  <c r="H364" i="12" l="1"/>
  <c r="E364" i="12"/>
  <c r="J364" i="12"/>
  <c r="F364" i="12" l="1"/>
  <c r="I364" i="12"/>
  <c r="K364" i="12"/>
  <c r="C365" i="12" s="1"/>
  <c r="C6" i="8"/>
  <c r="B6" i="7"/>
  <c r="B4" i="7"/>
  <c r="B8" i="7" s="1"/>
  <c r="B10" i="7" s="1"/>
  <c r="C3" i="7"/>
  <c r="G6" i="8" l="1"/>
  <c r="J6" i="8" s="1"/>
  <c r="D171" i="8"/>
  <c r="D236" i="8"/>
  <c r="D140" i="8"/>
  <c r="D268" i="8"/>
  <c r="D204" i="8"/>
  <c r="D6" i="8"/>
  <c r="E6" i="8" s="1"/>
  <c r="I6" i="8" s="1"/>
  <c r="D20" i="8"/>
  <c r="D284" i="8"/>
  <c r="D170" i="8"/>
  <c r="D36" i="8"/>
  <c r="D299" i="8"/>
  <c r="D198" i="8"/>
  <c r="D70" i="8"/>
  <c r="D13" i="8"/>
  <c r="D77" i="8"/>
  <c r="D141" i="8"/>
  <c r="D205" i="8"/>
  <c r="D269" i="8"/>
  <c r="D38" i="8"/>
  <c r="D31" i="8"/>
  <c r="D95" i="8"/>
  <c r="D159" i="8"/>
  <c r="D223" i="8"/>
  <c r="D359" i="8"/>
  <c r="D64" i="8"/>
  <c r="D128" i="8"/>
  <c r="D192" i="8"/>
  <c r="D256" i="8"/>
  <c r="D33" i="8"/>
  <c r="D97" i="8"/>
  <c r="D161" i="8"/>
  <c r="D225" i="8"/>
  <c r="D330" i="8"/>
  <c r="D260" i="8"/>
  <c r="D132" i="8"/>
  <c r="D362" i="8"/>
  <c r="D281" i="8"/>
  <c r="D163" i="8"/>
  <c r="D28" i="8"/>
  <c r="D296" i="8"/>
  <c r="D194" i="8"/>
  <c r="D66" i="8"/>
  <c r="D303" i="8"/>
  <c r="D206" i="8"/>
  <c r="D78" i="8"/>
  <c r="D172" i="8"/>
  <c r="D214" i="8"/>
  <c r="D261" i="8"/>
  <c r="D56" i="8"/>
  <c r="D338" i="8"/>
  <c r="D179" i="8"/>
  <c r="D235" i="8"/>
  <c r="D286" i="8"/>
  <c r="D334" i="8"/>
  <c r="D60" i="8"/>
  <c r="D302" i="8"/>
  <c r="D92" i="8"/>
  <c r="D340" i="8"/>
  <c r="D276" i="8"/>
  <c r="D154" i="8"/>
  <c r="D18" i="8"/>
  <c r="D291" i="8"/>
  <c r="D182" i="8"/>
  <c r="D54" i="8"/>
  <c r="D21" i="8"/>
  <c r="D85" i="8"/>
  <c r="D149" i="8"/>
  <c r="D213" i="8"/>
  <c r="D341" i="8"/>
  <c r="D46" i="8"/>
  <c r="D39" i="8"/>
  <c r="D103" i="8"/>
  <c r="D167" i="8"/>
  <c r="D231" i="8"/>
  <c r="D8" i="8"/>
  <c r="D72" i="8"/>
  <c r="D136" i="8"/>
  <c r="D200" i="8"/>
  <c r="D264" i="8"/>
  <c r="D41" i="8"/>
  <c r="D105" i="8"/>
  <c r="D169" i="8"/>
  <c r="D233" i="8"/>
  <c r="D322" i="8"/>
  <c r="D244" i="8"/>
  <c r="D116" i="8"/>
  <c r="D337" i="8"/>
  <c r="D272" i="8"/>
  <c r="D147" i="8"/>
  <c r="D10" i="8"/>
  <c r="D288" i="8"/>
  <c r="D178" i="8"/>
  <c r="D50" i="8"/>
  <c r="D295" i="8"/>
  <c r="D190" i="8"/>
  <c r="D62" i="8"/>
  <c r="D326" i="8"/>
  <c r="D248" i="8"/>
  <c r="D311" i="8"/>
  <c r="D285" i="8"/>
  <c r="D318" i="8"/>
  <c r="D353" i="8"/>
  <c r="D75" i="8"/>
  <c r="D19" i="8"/>
  <c r="D156" i="8"/>
  <c r="D332" i="8"/>
  <c r="D266" i="8"/>
  <c r="D138" i="8"/>
  <c r="D346" i="8"/>
  <c r="D283" i="8"/>
  <c r="D166" i="8"/>
  <c r="D35" i="8"/>
  <c r="D29" i="8"/>
  <c r="D93" i="8"/>
  <c r="D157" i="8"/>
  <c r="D221" i="8"/>
  <c r="D349" i="8"/>
  <c r="D342" i="8"/>
  <c r="D47" i="8"/>
  <c r="D111" i="8"/>
  <c r="D175" i="8"/>
  <c r="D239" i="8"/>
  <c r="D16" i="8"/>
  <c r="D80" i="8"/>
  <c r="D144" i="8"/>
  <c r="D208" i="8"/>
  <c r="D344" i="8"/>
  <c r="D49" i="8"/>
  <c r="D113" i="8"/>
  <c r="D177" i="8"/>
  <c r="D241" i="8"/>
  <c r="D314" i="8"/>
  <c r="D228" i="8"/>
  <c r="D100" i="8"/>
  <c r="D329" i="8"/>
  <c r="D259" i="8"/>
  <c r="D131" i="8"/>
  <c r="D361" i="8"/>
  <c r="D280" i="8"/>
  <c r="D162" i="8"/>
  <c r="D27" i="8"/>
  <c r="D287" i="8"/>
  <c r="D174" i="8"/>
  <c r="D44" i="8"/>
  <c r="D142" i="8"/>
  <c r="D333" i="8"/>
  <c r="D76" i="8"/>
  <c r="D186" i="8"/>
  <c r="D364" i="8"/>
  <c r="D197" i="8"/>
  <c r="D87" i="8"/>
  <c r="D184" i="8"/>
  <c r="D153" i="8"/>
  <c r="D148" i="8"/>
  <c r="D304" i="8"/>
  <c r="D222" i="8"/>
  <c r="D317" i="8"/>
  <c r="D124" i="8"/>
  <c r="D59" i="8"/>
  <c r="D139" i="8"/>
  <c r="D91" i="8"/>
  <c r="D220" i="8"/>
  <c r="D324" i="8"/>
  <c r="D250" i="8"/>
  <c r="D122" i="8"/>
  <c r="D339" i="8"/>
  <c r="D275" i="8"/>
  <c r="D150" i="8"/>
  <c r="D12" i="8"/>
  <c r="D37" i="8"/>
  <c r="D101" i="8"/>
  <c r="D165" i="8"/>
  <c r="D229" i="8"/>
  <c r="D357" i="8"/>
  <c r="D350" i="8"/>
  <c r="D55" i="8"/>
  <c r="D119" i="8"/>
  <c r="D183" i="8"/>
  <c r="D247" i="8"/>
  <c r="D24" i="8"/>
  <c r="D88" i="8"/>
  <c r="D152" i="8"/>
  <c r="D216" i="8"/>
  <c r="D352" i="8"/>
  <c r="D57" i="8"/>
  <c r="D121" i="8"/>
  <c r="D185" i="8"/>
  <c r="D249" i="8"/>
  <c r="D306" i="8"/>
  <c r="D212" i="8"/>
  <c r="D84" i="8"/>
  <c r="D321" i="8"/>
  <c r="D243" i="8"/>
  <c r="D115" i="8"/>
  <c r="D336" i="8"/>
  <c r="D271" i="8"/>
  <c r="D146" i="8"/>
  <c r="D355" i="8"/>
  <c r="D279" i="8"/>
  <c r="D158" i="8"/>
  <c r="D26" i="8"/>
  <c r="D354" i="8"/>
  <c r="D293" i="8"/>
  <c r="D292" i="8"/>
  <c r="D86" i="8"/>
  <c r="D133" i="8"/>
  <c r="D23" i="8"/>
  <c r="D351" i="8"/>
  <c r="D25" i="8"/>
  <c r="D274" i="8"/>
  <c r="D289" i="8"/>
  <c r="D82" i="8"/>
  <c r="D347" i="8"/>
  <c r="D188" i="8"/>
  <c r="D123" i="8"/>
  <c r="D203" i="8"/>
  <c r="D155" i="8"/>
  <c r="D278" i="8"/>
  <c r="D316" i="8"/>
  <c r="D234" i="8"/>
  <c r="D106" i="8"/>
  <c r="D331" i="8"/>
  <c r="D262" i="8"/>
  <c r="D134" i="8"/>
  <c r="D363" i="8"/>
  <c r="D45" i="8"/>
  <c r="D109" i="8"/>
  <c r="D173" i="8"/>
  <c r="D237" i="8"/>
  <c r="D365" i="8"/>
  <c r="D358" i="8"/>
  <c r="D63" i="8"/>
  <c r="D127" i="8"/>
  <c r="D191" i="8"/>
  <c r="D255" i="8"/>
  <c r="D32" i="8"/>
  <c r="D96" i="8"/>
  <c r="D160" i="8"/>
  <c r="D224" i="8"/>
  <c r="D360" i="8"/>
  <c r="D65" i="8"/>
  <c r="D129" i="8"/>
  <c r="D193" i="8"/>
  <c r="D257" i="8"/>
  <c r="D298" i="8"/>
  <c r="D196" i="8"/>
  <c r="D68" i="8"/>
  <c r="D313" i="8"/>
  <c r="D227" i="8"/>
  <c r="D99" i="8"/>
  <c r="D328" i="8"/>
  <c r="D258" i="8"/>
  <c r="D130" i="8"/>
  <c r="D335" i="8"/>
  <c r="D270" i="8"/>
  <c r="D215" i="8"/>
  <c r="D11" i="8"/>
  <c r="D345" i="8"/>
  <c r="D43" i="8"/>
  <c r="D252" i="8"/>
  <c r="D187" i="8"/>
  <c r="D267" i="8"/>
  <c r="D219" i="8"/>
  <c r="D310" i="8"/>
  <c r="D308" i="8"/>
  <c r="D218" i="8"/>
  <c r="D90" i="8"/>
  <c r="D323" i="8"/>
  <c r="D246" i="8"/>
  <c r="D118" i="8"/>
  <c r="D348" i="8"/>
  <c r="D53" i="8"/>
  <c r="D117" i="8"/>
  <c r="D181" i="8"/>
  <c r="D245" i="8"/>
  <c r="D14" i="8"/>
  <c r="D7" i="8"/>
  <c r="D71" i="8"/>
  <c r="D135" i="8"/>
  <c r="D199" i="8"/>
  <c r="D263" i="8"/>
  <c r="D40" i="8"/>
  <c r="D104" i="8"/>
  <c r="D168" i="8"/>
  <c r="D232" i="8"/>
  <c r="D9" i="8"/>
  <c r="D73" i="8"/>
  <c r="D137" i="8"/>
  <c r="D201" i="8"/>
  <c r="D265" i="8"/>
  <c r="D290" i="8"/>
  <c r="D180" i="8"/>
  <c r="D52" i="8"/>
  <c r="D305" i="8"/>
  <c r="D211" i="8"/>
  <c r="D83" i="8"/>
  <c r="D320" i="8"/>
  <c r="D242" i="8"/>
  <c r="D114" i="8"/>
  <c r="D327" i="8"/>
  <c r="D254" i="8"/>
  <c r="D126" i="8"/>
  <c r="D107" i="8"/>
  <c r="D309" i="8"/>
  <c r="D307" i="8"/>
  <c r="D69" i="8"/>
  <c r="D151" i="8"/>
  <c r="D89" i="8"/>
  <c r="D210" i="8"/>
  <c r="D42" i="8"/>
  <c r="D108" i="8"/>
  <c r="D294" i="8"/>
  <c r="D251" i="8"/>
  <c r="D301" i="8"/>
  <c r="D277" i="8"/>
  <c r="D325" i="8"/>
  <c r="D300" i="8"/>
  <c r="D202" i="8"/>
  <c r="D74" i="8"/>
  <c r="D315" i="8"/>
  <c r="D230" i="8"/>
  <c r="D102" i="8"/>
  <c r="D356" i="8"/>
  <c r="D61" i="8"/>
  <c r="D125" i="8"/>
  <c r="D189" i="8"/>
  <c r="D253" i="8"/>
  <c r="D22" i="8"/>
  <c r="D15" i="8"/>
  <c r="D79" i="8"/>
  <c r="D143" i="8"/>
  <c r="D207" i="8"/>
  <c r="D343" i="8"/>
  <c r="D48" i="8"/>
  <c r="D112" i="8"/>
  <c r="D176" i="8"/>
  <c r="D240" i="8"/>
  <c r="D17" i="8"/>
  <c r="D81" i="8"/>
  <c r="D145" i="8"/>
  <c r="D209" i="8"/>
  <c r="D273" i="8"/>
  <c r="D282" i="8"/>
  <c r="D164" i="8"/>
  <c r="D34" i="8"/>
  <c r="D297" i="8"/>
  <c r="D195" i="8"/>
  <c r="D67" i="8"/>
  <c r="D312" i="8"/>
  <c r="D226" i="8"/>
  <c r="D98" i="8"/>
  <c r="D319" i="8"/>
  <c r="D238" i="8"/>
  <c r="D110" i="8"/>
  <c r="D58" i="8"/>
  <c r="D30" i="8"/>
  <c r="D120" i="8"/>
  <c r="D217" i="8"/>
  <c r="D51" i="8"/>
  <c r="D94" i="8"/>
  <c r="G365" i="12"/>
  <c r="L364" i="12"/>
  <c r="H6" i="8"/>
  <c r="F6" i="8" l="1"/>
  <c r="L6" i="8"/>
  <c r="K6" i="8"/>
  <c r="C7" i="8" s="1"/>
  <c r="H365" i="12"/>
  <c r="E365" i="12"/>
  <c r="J365" i="12"/>
  <c r="G7" i="8" l="1"/>
  <c r="F365" i="12"/>
  <c r="K365" i="12"/>
  <c r="I365" i="12"/>
  <c r="L365" i="12" s="1"/>
  <c r="J7" i="8" l="1"/>
  <c r="H7" i="8"/>
  <c r="E7" i="8"/>
  <c r="F7" i="8" l="1"/>
  <c r="I7" i="8"/>
  <c r="K7" i="8"/>
  <c r="C8" i="8" s="1"/>
  <c r="G8" i="8" s="1"/>
  <c r="J8" i="8" s="1"/>
  <c r="H8" i="8" l="1"/>
  <c r="E8" i="8"/>
  <c r="L7" i="8"/>
  <c r="K8" i="8" l="1"/>
  <c r="C9" i="8" s="1"/>
  <c r="G9" i="8" s="1"/>
  <c r="F8" i="8"/>
  <c r="I8" i="8"/>
  <c r="L8" i="8" l="1"/>
  <c r="E9" i="8"/>
  <c r="H9" i="8"/>
  <c r="J9" i="8"/>
  <c r="K9" i="8" l="1"/>
  <c r="C10" i="8" s="1"/>
  <c r="G10" i="8" s="1"/>
  <c r="F9" i="8"/>
  <c r="I9" i="8"/>
  <c r="L9" i="8" l="1"/>
  <c r="E10" i="8"/>
  <c r="I10" i="8" s="1"/>
  <c r="H10" i="8"/>
  <c r="J10" i="8"/>
  <c r="L10" i="8" l="1"/>
  <c r="K10" i="8"/>
  <c r="C11" i="8" s="1"/>
  <c r="G11" i="8" s="1"/>
  <c r="F10" i="8"/>
  <c r="E11" i="8" l="1"/>
  <c r="H11" i="8"/>
  <c r="J11" i="8"/>
  <c r="K11" i="8" l="1"/>
  <c r="C12" i="8" s="1"/>
  <c r="G12" i="8" s="1"/>
  <c r="F11" i="8"/>
  <c r="I11" i="8"/>
  <c r="E12" i="8" l="1"/>
  <c r="H12" i="8"/>
  <c r="I12" i="8"/>
  <c r="L11" i="8"/>
  <c r="J12" i="8"/>
  <c r="L12" i="8" l="1"/>
  <c r="K12" i="8"/>
  <c r="C13" i="8" s="1"/>
  <c r="G13" i="8" s="1"/>
  <c r="F12" i="8"/>
  <c r="E13" i="8" l="1"/>
  <c r="H13" i="8"/>
  <c r="J13" i="8"/>
  <c r="K13" i="8" l="1"/>
  <c r="C14" i="8" s="1"/>
  <c r="G14" i="8" s="1"/>
  <c r="F13" i="8"/>
  <c r="I13" i="8"/>
  <c r="L13" i="8" l="1"/>
  <c r="E14" i="8"/>
  <c r="I14" i="8" s="1"/>
  <c r="H14" i="8"/>
  <c r="J14" i="8"/>
  <c r="L14" i="8" l="1"/>
  <c r="K14" i="8"/>
  <c r="C15" i="8" s="1"/>
  <c r="G15" i="8" s="1"/>
  <c r="F14" i="8"/>
  <c r="E15" i="8" l="1"/>
  <c r="H15" i="8"/>
  <c r="J15" i="8"/>
  <c r="K15" i="8" l="1"/>
  <c r="C16" i="8" s="1"/>
  <c r="G16" i="8" s="1"/>
  <c r="F15" i="8"/>
  <c r="I15" i="8"/>
  <c r="L15" i="8" l="1"/>
  <c r="E16" i="8"/>
  <c r="H16" i="8"/>
  <c r="J16" i="8"/>
  <c r="K16" i="8" l="1"/>
  <c r="C17" i="8" s="1"/>
  <c r="G17" i="8" s="1"/>
  <c r="F16" i="8"/>
  <c r="I16" i="8"/>
  <c r="E17" i="8" l="1"/>
  <c r="H17" i="8"/>
  <c r="I17" i="8"/>
  <c r="L16" i="8"/>
  <c r="J17" i="8"/>
  <c r="L17" i="8" l="1"/>
  <c r="K17" i="8"/>
  <c r="C18" i="8" s="1"/>
  <c r="G18" i="8" s="1"/>
  <c r="F17" i="8"/>
  <c r="E18" i="8" l="1"/>
  <c r="H18" i="8"/>
  <c r="J18" i="8"/>
  <c r="K18" i="8" l="1"/>
  <c r="C19" i="8" s="1"/>
  <c r="G19" i="8" s="1"/>
  <c r="F18" i="8"/>
  <c r="I18" i="8"/>
  <c r="L18" i="8" l="1"/>
  <c r="E19" i="8"/>
  <c r="H19" i="8"/>
  <c r="J19" i="8"/>
  <c r="K19" i="8" l="1"/>
  <c r="C20" i="8" s="1"/>
  <c r="G20" i="8" s="1"/>
  <c r="F19" i="8"/>
  <c r="I19" i="8"/>
  <c r="L19" i="8" l="1"/>
  <c r="E20" i="8"/>
  <c r="I20" i="8" s="1"/>
  <c r="H20" i="8"/>
  <c r="J20" i="8"/>
  <c r="L20" i="8" l="1"/>
  <c r="K20" i="8"/>
  <c r="C21" i="8" s="1"/>
  <c r="G21" i="8" s="1"/>
  <c r="J21" i="8" s="1"/>
  <c r="F20" i="8"/>
  <c r="E21" i="8" l="1"/>
  <c r="H21" i="8"/>
  <c r="K21" i="8" l="1"/>
  <c r="C22" i="8" s="1"/>
  <c r="G22" i="8" s="1"/>
  <c r="F21" i="8"/>
  <c r="I21" i="8"/>
  <c r="L21" i="8" l="1"/>
  <c r="E22" i="8"/>
  <c r="H22" i="8"/>
  <c r="J22" i="8"/>
  <c r="K22" i="8" l="1"/>
  <c r="C23" i="8" s="1"/>
  <c r="G23" i="8" s="1"/>
  <c r="F22" i="8"/>
  <c r="I22" i="8"/>
  <c r="L22" i="8" l="1"/>
  <c r="E23" i="8"/>
  <c r="I23" i="8" s="1"/>
  <c r="H23" i="8"/>
  <c r="J23" i="8"/>
  <c r="L23" i="8" l="1"/>
  <c r="K23" i="8"/>
  <c r="C24" i="8" s="1"/>
  <c r="G24" i="8" s="1"/>
  <c r="J24" i="8" s="1"/>
  <c r="F23" i="8"/>
  <c r="E24" i="8" l="1"/>
  <c r="H24" i="8"/>
  <c r="K24" i="8" l="1"/>
  <c r="C25" i="8" s="1"/>
  <c r="G25" i="8" s="1"/>
  <c r="F24" i="8"/>
  <c r="I24" i="8"/>
  <c r="L24" i="8" l="1"/>
  <c r="E25" i="8"/>
  <c r="H25" i="8"/>
  <c r="J25" i="8"/>
  <c r="K25" i="8" l="1"/>
  <c r="C26" i="8" s="1"/>
  <c r="G26" i="8" s="1"/>
  <c r="F25" i="8"/>
  <c r="I25" i="8"/>
  <c r="L25" i="8" l="1"/>
  <c r="E26" i="8"/>
  <c r="H26" i="8"/>
  <c r="J26" i="8"/>
  <c r="K26" i="8" l="1"/>
  <c r="C27" i="8" s="1"/>
  <c r="G27" i="8" s="1"/>
  <c r="F26" i="8"/>
  <c r="J27" i="8"/>
  <c r="I26" i="8"/>
  <c r="L26" i="8" l="1"/>
  <c r="E27" i="8"/>
  <c r="H27" i="8"/>
  <c r="K27" i="8" l="1"/>
  <c r="C28" i="8" s="1"/>
  <c r="G28" i="8" s="1"/>
  <c r="F27" i="8"/>
  <c r="I27" i="8"/>
  <c r="L27" i="8" l="1"/>
  <c r="E28" i="8"/>
  <c r="H28" i="8"/>
  <c r="J28" i="8"/>
  <c r="K28" i="8" l="1"/>
  <c r="C29" i="8" s="1"/>
  <c r="G29" i="8" s="1"/>
  <c r="F28" i="8"/>
  <c r="I28" i="8"/>
  <c r="L28" i="8" l="1"/>
  <c r="E29" i="8"/>
  <c r="H29" i="8"/>
  <c r="J29" i="8"/>
  <c r="K29" i="8" l="1"/>
  <c r="C30" i="8" s="1"/>
  <c r="G30" i="8" s="1"/>
  <c r="F29" i="8"/>
  <c r="J30" i="8"/>
  <c r="I29" i="8"/>
  <c r="L29" i="8" l="1"/>
  <c r="E30" i="8"/>
  <c r="I30" i="8" s="1"/>
  <c r="H30" i="8"/>
  <c r="L30" i="8" l="1"/>
  <c r="K30" i="8"/>
  <c r="C31" i="8" s="1"/>
  <c r="G31" i="8" s="1"/>
  <c r="F30" i="8"/>
  <c r="E31" i="8" l="1"/>
  <c r="H31" i="8"/>
  <c r="J31" i="8"/>
  <c r="K31" i="8" l="1"/>
  <c r="C32" i="8" s="1"/>
  <c r="G32" i="8" s="1"/>
  <c r="F31" i="8"/>
  <c r="I31" i="8"/>
  <c r="L31" i="8" l="1"/>
  <c r="E32" i="8"/>
  <c r="H32" i="8"/>
  <c r="J32" i="8"/>
  <c r="K32" i="8" l="1"/>
  <c r="C33" i="8" s="1"/>
  <c r="G33" i="8" s="1"/>
  <c r="F32" i="8"/>
  <c r="I32" i="8"/>
  <c r="L32" i="8" l="1"/>
  <c r="E33" i="8"/>
  <c r="H33" i="8"/>
  <c r="J33" i="8"/>
  <c r="K33" i="8" l="1"/>
  <c r="C34" i="8" s="1"/>
  <c r="G34" i="8" s="1"/>
  <c r="F33" i="8"/>
  <c r="I33" i="8"/>
  <c r="L33" i="8" l="1"/>
  <c r="E34" i="8"/>
  <c r="H34" i="8"/>
  <c r="J34" i="8"/>
  <c r="K34" i="8" l="1"/>
  <c r="C35" i="8" s="1"/>
  <c r="G35" i="8" s="1"/>
  <c r="F34" i="8"/>
  <c r="I34" i="8"/>
  <c r="L34" i="8" l="1"/>
  <c r="E35" i="8"/>
  <c r="H35" i="8"/>
  <c r="J35" i="8"/>
  <c r="K35" i="8" l="1"/>
  <c r="C36" i="8" s="1"/>
  <c r="G36" i="8" s="1"/>
  <c r="F35" i="8"/>
  <c r="I35" i="8"/>
  <c r="L35" i="8" l="1"/>
  <c r="E36" i="8"/>
  <c r="H36" i="8"/>
  <c r="J36" i="8"/>
  <c r="K36" i="8" l="1"/>
  <c r="C37" i="8" s="1"/>
  <c r="G37" i="8" s="1"/>
  <c r="F36" i="8"/>
  <c r="I36" i="8"/>
  <c r="L36" i="8" l="1"/>
  <c r="E37" i="8"/>
  <c r="H37" i="8"/>
  <c r="J37" i="8"/>
  <c r="K37" i="8" l="1"/>
  <c r="C38" i="8" s="1"/>
  <c r="G38" i="8" s="1"/>
  <c r="F37" i="8"/>
  <c r="I37" i="8"/>
  <c r="L37" i="8" l="1"/>
  <c r="E38" i="8"/>
  <c r="H38" i="8"/>
  <c r="J38" i="8"/>
  <c r="K38" i="8" l="1"/>
  <c r="C39" i="8" s="1"/>
  <c r="G39" i="8" s="1"/>
  <c r="F38" i="8"/>
  <c r="I38" i="8"/>
  <c r="L38" i="8" l="1"/>
  <c r="E39" i="8"/>
  <c r="H39" i="8"/>
  <c r="J39" i="8"/>
  <c r="K39" i="8" l="1"/>
  <c r="C40" i="8" s="1"/>
  <c r="G40" i="8" s="1"/>
  <c r="F39" i="8"/>
  <c r="I39" i="8"/>
  <c r="L39" i="8" l="1"/>
  <c r="E40" i="8"/>
  <c r="I40" i="8" s="1"/>
  <c r="H40" i="8"/>
  <c r="J40" i="8"/>
  <c r="L40" i="8" l="1"/>
  <c r="K40" i="8"/>
  <c r="C41" i="8" s="1"/>
  <c r="G41" i="8" s="1"/>
  <c r="J41" i="8" s="1"/>
  <c r="F40" i="8"/>
  <c r="E41" i="8" l="1"/>
  <c r="H41" i="8"/>
  <c r="K41" i="8" l="1"/>
  <c r="C42" i="8" s="1"/>
  <c r="G42" i="8" s="1"/>
  <c r="F41" i="8"/>
  <c r="I41" i="8"/>
  <c r="L41" i="8" l="1"/>
  <c r="E42" i="8"/>
  <c r="H42" i="8"/>
  <c r="J42" i="8"/>
  <c r="K42" i="8" l="1"/>
  <c r="C43" i="8" s="1"/>
  <c r="G43" i="8" s="1"/>
  <c r="F42" i="8"/>
  <c r="I42" i="8"/>
  <c r="L42" i="8" l="1"/>
  <c r="E43" i="8"/>
  <c r="H43" i="8"/>
  <c r="J43" i="8"/>
  <c r="K43" i="8" l="1"/>
  <c r="C44" i="8" s="1"/>
  <c r="G44" i="8" s="1"/>
  <c r="F43" i="8"/>
  <c r="I43" i="8"/>
  <c r="L43" i="8" l="1"/>
  <c r="E44" i="8"/>
  <c r="H44" i="8"/>
  <c r="J44" i="8"/>
  <c r="K44" i="8" l="1"/>
  <c r="C45" i="8" s="1"/>
  <c r="G45" i="8" s="1"/>
  <c r="F44" i="8"/>
  <c r="I44" i="8"/>
  <c r="L44" i="8" l="1"/>
  <c r="E45" i="8"/>
  <c r="H45" i="8"/>
  <c r="J45" i="8"/>
  <c r="K45" i="8" l="1"/>
  <c r="C46" i="8" s="1"/>
  <c r="G46" i="8" s="1"/>
  <c r="F45" i="8"/>
  <c r="J46" i="8"/>
  <c r="I45" i="8"/>
  <c r="L45" i="8" l="1"/>
  <c r="E46" i="8"/>
  <c r="H46" i="8"/>
  <c r="K46" i="8" l="1"/>
  <c r="C47" i="8" s="1"/>
  <c r="G47" i="8" s="1"/>
  <c r="F46" i="8"/>
  <c r="I46" i="8"/>
  <c r="L46" i="8" l="1"/>
  <c r="E47" i="8"/>
  <c r="H47" i="8"/>
  <c r="J47" i="8"/>
  <c r="K47" i="8" l="1"/>
  <c r="C48" i="8" s="1"/>
  <c r="G48" i="8" s="1"/>
  <c r="F47" i="8"/>
  <c r="I47" i="8"/>
  <c r="L47" i="8" l="1"/>
  <c r="E48" i="8"/>
  <c r="H48" i="8"/>
  <c r="J48" i="8"/>
  <c r="K48" i="8" l="1"/>
  <c r="C49" i="8" s="1"/>
  <c r="G49" i="8" s="1"/>
  <c r="F48" i="8"/>
  <c r="I48" i="8"/>
  <c r="L48" i="8" l="1"/>
  <c r="E49" i="8"/>
  <c r="H49" i="8"/>
  <c r="J49" i="8"/>
  <c r="K49" i="8" l="1"/>
  <c r="C50" i="8" s="1"/>
  <c r="G50" i="8" s="1"/>
  <c r="F49" i="8"/>
  <c r="I49" i="8"/>
  <c r="L49" i="8" l="1"/>
  <c r="E50" i="8"/>
  <c r="H50" i="8"/>
  <c r="J50" i="8"/>
  <c r="K50" i="8" l="1"/>
  <c r="C51" i="8" s="1"/>
  <c r="G51" i="8" s="1"/>
  <c r="F50" i="8"/>
  <c r="I50" i="8"/>
  <c r="E51" i="8" l="1"/>
  <c r="H51" i="8"/>
  <c r="I51" i="8"/>
  <c r="L50" i="8"/>
  <c r="J51" i="8"/>
  <c r="L51" i="8" l="1"/>
  <c r="K51" i="8"/>
  <c r="C52" i="8" s="1"/>
  <c r="G52" i="8" s="1"/>
  <c r="F51" i="8"/>
  <c r="E52" i="8" l="1"/>
  <c r="H52" i="8"/>
  <c r="J52" i="8"/>
  <c r="K52" i="8" l="1"/>
  <c r="C53" i="8" s="1"/>
  <c r="G53" i="8" s="1"/>
  <c r="F52" i="8"/>
  <c r="I52" i="8"/>
  <c r="L52" i="8" l="1"/>
  <c r="E53" i="8"/>
  <c r="H53" i="8"/>
  <c r="J53" i="8"/>
  <c r="K53" i="8" l="1"/>
  <c r="C54" i="8" s="1"/>
  <c r="G54" i="8" s="1"/>
  <c r="F53" i="8"/>
  <c r="I53" i="8"/>
  <c r="L53" i="8" l="1"/>
  <c r="E54" i="8"/>
  <c r="H54" i="8"/>
  <c r="J54" i="8"/>
  <c r="K54" i="8" l="1"/>
  <c r="C55" i="8" s="1"/>
  <c r="G55" i="8" s="1"/>
  <c r="F54" i="8"/>
  <c r="I54" i="8"/>
  <c r="L54" i="8" l="1"/>
  <c r="E55" i="8"/>
  <c r="H55" i="8"/>
  <c r="J55" i="8"/>
  <c r="K55" i="8" l="1"/>
  <c r="C56" i="8" s="1"/>
  <c r="G56" i="8" s="1"/>
  <c r="F55" i="8"/>
  <c r="I55" i="8"/>
  <c r="L55" i="8" l="1"/>
  <c r="E56" i="8"/>
  <c r="H56" i="8"/>
  <c r="J56" i="8"/>
  <c r="K56" i="8" l="1"/>
  <c r="C57" i="8" s="1"/>
  <c r="G57" i="8" s="1"/>
  <c r="F56" i="8"/>
  <c r="I56" i="8"/>
  <c r="L56" i="8" l="1"/>
  <c r="E57" i="8"/>
  <c r="H57" i="8"/>
  <c r="J57" i="8"/>
  <c r="K57" i="8" l="1"/>
  <c r="C58" i="8" s="1"/>
  <c r="G58" i="8" s="1"/>
  <c r="F57" i="8"/>
  <c r="I57" i="8"/>
  <c r="L57" i="8" l="1"/>
  <c r="E58" i="8"/>
  <c r="H58" i="8"/>
  <c r="J58" i="8"/>
  <c r="K58" i="8" l="1"/>
  <c r="C59" i="8" s="1"/>
  <c r="G59" i="8" s="1"/>
  <c r="F58" i="8"/>
  <c r="I58" i="8"/>
  <c r="L58" i="8" l="1"/>
  <c r="E59" i="8"/>
  <c r="H59" i="8"/>
  <c r="J59" i="8"/>
  <c r="K59" i="8" l="1"/>
  <c r="C60" i="8" s="1"/>
  <c r="G60" i="8" s="1"/>
  <c r="F59" i="8"/>
  <c r="I59" i="8"/>
  <c r="L59" i="8" l="1"/>
  <c r="E60" i="8"/>
  <c r="H60" i="8"/>
  <c r="J60" i="8"/>
  <c r="K60" i="8" l="1"/>
  <c r="C61" i="8" s="1"/>
  <c r="G61" i="8" s="1"/>
  <c r="F60" i="8"/>
  <c r="I60" i="8"/>
  <c r="L60" i="8" l="1"/>
  <c r="E61" i="8"/>
  <c r="H61" i="8"/>
  <c r="J61" i="8"/>
  <c r="K61" i="8" l="1"/>
  <c r="C62" i="8" s="1"/>
  <c r="G62" i="8" s="1"/>
  <c r="F61" i="8"/>
  <c r="I61" i="8"/>
  <c r="L61" i="8" l="1"/>
  <c r="E62" i="8"/>
  <c r="H62" i="8"/>
  <c r="J62" i="8"/>
  <c r="K62" i="8" l="1"/>
  <c r="C63" i="8" s="1"/>
  <c r="G63" i="8" s="1"/>
  <c r="F62" i="8"/>
  <c r="I62" i="8"/>
  <c r="E63" i="8" l="1"/>
  <c r="H63" i="8"/>
  <c r="I63" i="8"/>
  <c r="L62" i="8"/>
  <c r="J63" i="8"/>
  <c r="L63" i="8" l="1"/>
  <c r="K63" i="8"/>
  <c r="C64" i="8" s="1"/>
  <c r="G64" i="8" s="1"/>
  <c r="F63" i="8"/>
  <c r="E64" i="8" l="1"/>
  <c r="H64" i="8"/>
  <c r="J64" i="8"/>
  <c r="K64" i="8" l="1"/>
  <c r="C65" i="8" s="1"/>
  <c r="G65" i="8" s="1"/>
  <c r="F64" i="8"/>
  <c r="I64" i="8"/>
  <c r="L64" i="8" l="1"/>
  <c r="E65" i="8"/>
  <c r="H65" i="8"/>
  <c r="J65" i="8"/>
  <c r="K65" i="8" l="1"/>
  <c r="C66" i="8" s="1"/>
  <c r="G66" i="8" s="1"/>
  <c r="F65" i="8"/>
  <c r="I65" i="8"/>
  <c r="L65" i="8" l="1"/>
  <c r="E66" i="8"/>
  <c r="H66" i="8"/>
  <c r="J66" i="8"/>
  <c r="K66" i="8" l="1"/>
  <c r="C67" i="8" s="1"/>
  <c r="G67" i="8" s="1"/>
  <c r="F66" i="8"/>
  <c r="I66" i="8"/>
  <c r="E67" i="8" l="1"/>
  <c r="H67" i="8"/>
  <c r="I67" i="8"/>
  <c r="L66" i="8"/>
  <c r="J67" i="8"/>
  <c r="L67" i="8" l="1"/>
  <c r="K67" i="8"/>
  <c r="C68" i="8" s="1"/>
  <c r="G68" i="8" s="1"/>
  <c r="F67" i="8"/>
  <c r="E68" i="8" l="1"/>
  <c r="H68" i="8"/>
  <c r="J68" i="8"/>
  <c r="K68" i="8" l="1"/>
  <c r="C69" i="8" s="1"/>
  <c r="G69" i="8" s="1"/>
  <c r="F68" i="8"/>
  <c r="I68" i="8"/>
  <c r="E69" i="8" l="1"/>
  <c r="H69" i="8"/>
  <c r="I69" i="8"/>
  <c r="L68" i="8"/>
  <c r="J69" i="8"/>
  <c r="L69" i="8" l="1"/>
  <c r="K69" i="8"/>
  <c r="C70" i="8" s="1"/>
  <c r="G70" i="8" s="1"/>
  <c r="F69" i="8"/>
  <c r="E70" i="8" l="1"/>
  <c r="H70" i="8"/>
  <c r="J70" i="8"/>
  <c r="K70" i="8" l="1"/>
  <c r="C71" i="8" s="1"/>
  <c r="G71" i="8" s="1"/>
  <c r="F70" i="8"/>
  <c r="I70" i="8"/>
  <c r="L70" i="8" l="1"/>
  <c r="E71" i="8"/>
  <c r="H71" i="8"/>
  <c r="J71" i="8"/>
  <c r="K71" i="8" l="1"/>
  <c r="C72" i="8" s="1"/>
  <c r="G72" i="8" s="1"/>
  <c r="F71" i="8"/>
  <c r="I71" i="8"/>
  <c r="L71" i="8" l="1"/>
  <c r="E72" i="8"/>
  <c r="H72" i="8"/>
  <c r="J72" i="8"/>
  <c r="K72" i="8" l="1"/>
  <c r="C73" i="8" s="1"/>
  <c r="G73" i="8" s="1"/>
  <c r="F72" i="8"/>
  <c r="I72" i="8"/>
  <c r="L72" i="8" l="1"/>
  <c r="E73" i="8"/>
  <c r="H73" i="8"/>
  <c r="J73" i="8"/>
  <c r="K73" i="8" l="1"/>
  <c r="C74" i="8" s="1"/>
  <c r="G74" i="8" s="1"/>
  <c r="F73" i="8"/>
  <c r="I73" i="8"/>
  <c r="L73" i="8" l="1"/>
  <c r="E74" i="8"/>
  <c r="H74" i="8"/>
  <c r="J74" i="8"/>
  <c r="K74" i="8" l="1"/>
  <c r="C75" i="8" s="1"/>
  <c r="G75" i="8" s="1"/>
  <c r="F74" i="8"/>
  <c r="I74" i="8"/>
  <c r="L74" i="8" l="1"/>
  <c r="E75" i="8"/>
  <c r="H75" i="8"/>
  <c r="J75" i="8"/>
  <c r="K75" i="8" l="1"/>
  <c r="C76" i="8" s="1"/>
  <c r="G76" i="8" s="1"/>
  <c r="F75" i="8"/>
  <c r="I75" i="8"/>
  <c r="L75" i="8" l="1"/>
  <c r="E76" i="8"/>
  <c r="H76" i="8"/>
  <c r="J76" i="8"/>
  <c r="K76" i="8" l="1"/>
  <c r="C77" i="8" s="1"/>
  <c r="G77" i="8" s="1"/>
  <c r="F76" i="8"/>
  <c r="I76" i="8"/>
  <c r="L76" i="8" l="1"/>
  <c r="E77" i="8"/>
  <c r="H77" i="8"/>
  <c r="J77" i="8"/>
  <c r="K77" i="8" l="1"/>
  <c r="C78" i="8" s="1"/>
  <c r="G78" i="8" s="1"/>
  <c r="F77" i="8"/>
  <c r="I77" i="8"/>
  <c r="L77" i="8" l="1"/>
  <c r="E78" i="8"/>
  <c r="H78" i="8"/>
  <c r="J78" i="8"/>
  <c r="K78" i="8" l="1"/>
  <c r="C79" i="8" s="1"/>
  <c r="G79" i="8" s="1"/>
  <c r="F78" i="8"/>
  <c r="I78" i="8"/>
  <c r="L78" i="8" l="1"/>
  <c r="E79" i="8"/>
  <c r="H79" i="8"/>
  <c r="J79" i="8"/>
  <c r="K79" i="8" l="1"/>
  <c r="C80" i="8" s="1"/>
  <c r="G80" i="8" s="1"/>
  <c r="F79" i="8"/>
  <c r="I79" i="8"/>
  <c r="L79" i="8" l="1"/>
  <c r="E80" i="8"/>
  <c r="H80" i="8"/>
  <c r="J80" i="8"/>
  <c r="K80" i="8" l="1"/>
  <c r="C81" i="8" s="1"/>
  <c r="G81" i="8" s="1"/>
  <c r="F80" i="8"/>
  <c r="I80" i="8"/>
  <c r="L80" i="8" l="1"/>
  <c r="E81" i="8"/>
  <c r="H81" i="8"/>
  <c r="J81" i="8"/>
  <c r="K81" i="8" l="1"/>
  <c r="C82" i="8" s="1"/>
  <c r="G82" i="8" s="1"/>
  <c r="F81" i="8"/>
  <c r="I81" i="8"/>
  <c r="L81" i="8" l="1"/>
  <c r="E82" i="8"/>
  <c r="H82" i="8"/>
  <c r="J82" i="8"/>
  <c r="K82" i="8" l="1"/>
  <c r="C83" i="8" s="1"/>
  <c r="G83" i="8" s="1"/>
  <c r="F82" i="8"/>
  <c r="J83" i="8"/>
  <c r="I82" i="8"/>
  <c r="L82" i="8" l="1"/>
  <c r="E83" i="8"/>
  <c r="H83" i="8"/>
  <c r="K83" i="8" l="1"/>
  <c r="C84" i="8" s="1"/>
  <c r="G84" i="8" s="1"/>
  <c r="F83" i="8"/>
  <c r="I83" i="8"/>
  <c r="L83" i="8" l="1"/>
  <c r="E84" i="8"/>
  <c r="H84" i="8"/>
  <c r="J84" i="8"/>
  <c r="K84" i="8" l="1"/>
  <c r="C85" i="8" s="1"/>
  <c r="G85" i="8" s="1"/>
  <c r="F84" i="8"/>
  <c r="I84" i="8"/>
  <c r="L84" i="8" l="1"/>
  <c r="E85" i="8"/>
  <c r="H85" i="8"/>
  <c r="J85" i="8"/>
  <c r="K85" i="8" l="1"/>
  <c r="C86" i="8" s="1"/>
  <c r="G86" i="8" s="1"/>
  <c r="F85" i="8"/>
  <c r="J86" i="8"/>
  <c r="I85" i="8"/>
  <c r="L85" i="8" l="1"/>
  <c r="E86" i="8"/>
  <c r="H86" i="8"/>
  <c r="K86" i="8" l="1"/>
  <c r="C87" i="8" s="1"/>
  <c r="G87" i="8" s="1"/>
  <c r="F86" i="8"/>
  <c r="I86" i="8"/>
  <c r="L86" i="8" l="1"/>
  <c r="E87" i="8"/>
  <c r="H87" i="8"/>
  <c r="J87" i="8"/>
  <c r="K87" i="8" l="1"/>
  <c r="C88" i="8" s="1"/>
  <c r="G88" i="8" s="1"/>
  <c r="F87" i="8"/>
  <c r="I87" i="8"/>
  <c r="L87" i="8" l="1"/>
  <c r="E88" i="8"/>
  <c r="H88" i="8"/>
  <c r="J88" i="8"/>
  <c r="K88" i="8" l="1"/>
  <c r="C89" i="8" s="1"/>
  <c r="G89" i="8" s="1"/>
  <c r="F88" i="8"/>
  <c r="I88" i="8"/>
  <c r="L88" i="8" l="1"/>
  <c r="E89" i="8"/>
  <c r="H89" i="8"/>
  <c r="J89" i="8"/>
  <c r="K89" i="8" l="1"/>
  <c r="C90" i="8" s="1"/>
  <c r="G90" i="8" s="1"/>
  <c r="F89" i="8"/>
  <c r="I89" i="8"/>
  <c r="E90" i="8" l="1"/>
  <c r="H90" i="8"/>
  <c r="I90" i="8"/>
  <c r="L89" i="8"/>
  <c r="J90" i="8"/>
  <c r="L90" i="8" l="1"/>
  <c r="K90" i="8"/>
  <c r="C91" i="8" s="1"/>
  <c r="G91" i="8" s="1"/>
  <c r="F90" i="8"/>
  <c r="E91" i="8" l="1"/>
  <c r="H91" i="8"/>
  <c r="J91" i="8"/>
  <c r="K91" i="8" l="1"/>
  <c r="C92" i="8" s="1"/>
  <c r="G92" i="8" s="1"/>
  <c r="F91" i="8"/>
  <c r="I91" i="8"/>
  <c r="E92" i="8" l="1"/>
  <c r="H92" i="8"/>
  <c r="I92" i="8"/>
  <c r="L91" i="8"/>
  <c r="J92" i="8"/>
  <c r="L92" i="8" l="1"/>
  <c r="K92" i="8"/>
  <c r="C93" i="8" s="1"/>
  <c r="G93" i="8" s="1"/>
  <c r="F92" i="8"/>
  <c r="E93" i="8" l="1"/>
  <c r="H93" i="8"/>
  <c r="J93" i="8"/>
  <c r="K93" i="8" l="1"/>
  <c r="C94" i="8" s="1"/>
  <c r="G94" i="8" s="1"/>
  <c r="F93" i="8"/>
  <c r="I93" i="8"/>
  <c r="L93" i="8" l="1"/>
  <c r="E94" i="8"/>
  <c r="H94" i="8"/>
  <c r="J94" i="8"/>
  <c r="K94" i="8" l="1"/>
  <c r="C95" i="8" s="1"/>
  <c r="G95" i="8" s="1"/>
  <c r="F94" i="8"/>
  <c r="I94" i="8"/>
  <c r="L94" i="8" l="1"/>
  <c r="E95" i="8"/>
  <c r="H95" i="8"/>
  <c r="J95" i="8"/>
  <c r="K95" i="8" l="1"/>
  <c r="C96" i="8" s="1"/>
  <c r="G96" i="8" s="1"/>
  <c r="F95" i="8"/>
  <c r="I95" i="8"/>
  <c r="L95" i="8" l="1"/>
  <c r="E96" i="8"/>
  <c r="H96" i="8"/>
  <c r="J96" i="8"/>
  <c r="K96" i="8" l="1"/>
  <c r="C97" i="8" s="1"/>
  <c r="G97" i="8" s="1"/>
  <c r="F96" i="8"/>
  <c r="J97" i="8"/>
  <c r="I96" i="8"/>
  <c r="L96" i="8" l="1"/>
  <c r="E97" i="8"/>
  <c r="H97" i="8"/>
  <c r="K97" i="8" l="1"/>
  <c r="C98" i="8" s="1"/>
  <c r="G98" i="8" s="1"/>
  <c r="F97" i="8"/>
  <c r="I97" i="8"/>
  <c r="L97" i="8" l="1"/>
  <c r="E98" i="8"/>
  <c r="H98" i="8"/>
  <c r="J98" i="8"/>
  <c r="K98" i="8" l="1"/>
  <c r="C99" i="8" s="1"/>
  <c r="G99" i="8" s="1"/>
  <c r="F98" i="8"/>
  <c r="I98" i="8"/>
  <c r="L98" i="8" l="1"/>
  <c r="E99" i="8"/>
  <c r="H99" i="8"/>
  <c r="J99" i="8"/>
  <c r="K99" i="8" l="1"/>
  <c r="C100" i="8" s="1"/>
  <c r="G100" i="8" s="1"/>
  <c r="F99" i="8"/>
  <c r="J100" i="8"/>
  <c r="I99" i="8"/>
  <c r="L99" i="8" l="1"/>
  <c r="E100" i="8"/>
  <c r="H100" i="8"/>
  <c r="K100" i="8" l="1"/>
  <c r="C101" i="8" s="1"/>
  <c r="G101" i="8" s="1"/>
  <c r="F100" i="8"/>
  <c r="I100" i="8"/>
  <c r="L100" i="8" l="1"/>
  <c r="E101" i="8"/>
  <c r="H101" i="8"/>
  <c r="J101" i="8"/>
  <c r="K101" i="8" l="1"/>
  <c r="C102" i="8" s="1"/>
  <c r="G102" i="8" s="1"/>
  <c r="F101" i="8"/>
  <c r="J102" i="8"/>
  <c r="I101" i="8"/>
  <c r="L101" i="8" l="1"/>
  <c r="E102" i="8"/>
  <c r="H102" i="8"/>
  <c r="K102" i="8" l="1"/>
  <c r="C103" i="8" s="1"/>
  <c r="G103" i="8" s="1"/>
  <c r="F102" i="8"/>
  <c r="I102" i="8"/>
  <c r="L102" i="8" l="1"/>
  <c r="E103" i="8"/>
  <c r="H103" i="8"/>
  <c r="J103" i="8"/>
  <c r="K103" i="8" l="1"/>
  <c r="C104" i="8" s="1"/>
  <c r="G104" i="8" s="1"/>
  <c r="F103" i="8"/>
  <c r="I103" i="8"/>
  <c r="L103" i="8" l="1"/>
  <c r="E104" i="8"/>
  <c r="I104" i="8" s="1"/>
  <c r="H104" i="8"/>
  <c r="J104" i="8"/>
  <c r="L104" i="8" l="1"/>
  <c r="K104" i="8"/>
  <c r="C105" i="8" s="1"/>
  <c r="G105" i="8" s="1"/>
  <c r="F104" i="8"/>
  <c r="E105" i="8" l="1"/>
  <c r="H105" i="8"/>
  <c r="J105" i="8"/>
  <c r="K105" i="8" l="1"/>
  <c r="C106" i="8" s="1"/>
  <c r="G106" i="8" s="1"/>
  <c r="F105" i="8"/>
  <c r="I105" i="8"/>
  <c r="L105" i="8" l="1"/>
  <c r="E106" i="8"/>
  <c r="H106" i="8"/>
  <c r="J106" i="8"/>
  <c r="K106" i="8" l="1"/>
  <c r="C107" i="8" s="1"/>
  <c r="G107" i="8" s="1"/>
  <c r="F106" i="8"/>
  <c r="I106" i="8"/>
  <c r="L106" i="8" l="1"/>
  <c r="E107" i="8"/>
  <c r="H107" i="8"/>
  <c r="J107" i="8"/>
  <c r="K107" i="8" l="1"/>
  <c r="C108" i="8" s="1"/>
  <c r="G108" i="8" s="1"/>
  <c r="F107" i="8"/>
  <c r="I107" i="8"/>
  <c r="L107" i="8" l="1"/>
  <c r="E108" i="8"/>
  <c r="H108" i="8"/>
  <c r="J108" i="8"/>
  <c r="K108" i="8" l="1"/>
  <c r="C109" i="8" s="1"/>
  <c r="G109" i="8" s="1"/>
  <c r="J109" i="8" s="1"/>
  <c r="F108" i="8"/>
  <c r="I108" i="8"/>
  <c r="L108" i="8" l="1"/>
  <c r="E109" i="8"/>
  <c r="H109" i="8"/>
  <c r="K109" i="8" l="1"/>
  <c r="C110" i="8" s="1"/>
  <c r="G110" i="8" s="1"/>
  <c r="F109" i="8"/>
  <c r="I109" i="8"/>
  <c r="L109" i="8" l="1"/>
  <c r="E110" i="8"/>
  <c r="H110" i="8"/>
  <c r="J110" i="8"/>
  <c r="K110" i="8" l="1"/>
  <c r="C111" i="8" s="1"/>
  <c r="G111" i="8" s="1"/>
  <c r="F110" i="8"/>
  <c r="I110" i="8"/>
  <c r="L110" i="8" l="1"/>
  <c r="E111" i="8"/>
  <c r="H111" i="8"/>
  <c r="J111" i="8"/>
  <c r="K111" i="8" l="1"/>
  <c r="C112" i="8" s="1"/>
  <c r="G112" i="8" s="1"/>
  <c r="F111" i="8"/>
  <c r="I111" i="8"/>
  <c r="L111" i="8" l="1"/>
  <c r="E112" i="8"/>
  <c r="H112" i="8"/>
  <c r="J112" i="8"/>
  <c r="K112" i="8" l="1"/>
  <c r="C113" i="8" s="1"/>
  <c r="G113" i="8" s="1"/>
  <c r="F112" i="8"/>
  <c r="I112" i="8"/>
  <c r="L112" i="8" l="1"/>
  <c r="E113" i="8"/>
  <c r="H113" i="8"/>
  <c r="J113" i="8"/>
  <c r="K113" i="8" l="1"/>
  <c r="C114" i="8" s="1"/>
  <c r="G114" i="8" s="1"/>
  <c r="F113" i="8"/>
  <c r="J114" i="8"/>
  <c r="I113" i="8"/>
  <c r="L113" i="8" l="1"/>
  <c r="E114" i="8"/>
  <c r="H114" i="8"/>
  <c r="K114" i="8" l="1"/>
  <c r="C115" i="8" s="1"/>
  <c r="G115" i="8" s="1"/>
  <c r="F114" i="8"/>
  <c r="I114" i="8"/>
  <c r="L114" i="8" l="1"/>
  <c r="E115" i="8"/>
  <c r="H115" i="8"/>
  <c r="J115" i="8"/>
  <c r="K115" i="8" l="1"/>
  <c r="C116" i="8" s="1"/>
  <c r="G116" i="8" s="1"/>
  <c r="F115" i="8"/>
  <c r="I115" i="8"/>
  <c r="E116" i="8" l="1"/>
  <c r="H116" i="8"/>
  <c r="I116" i="8"/>
  <c r="L115" i="8"/>
  <c r="J116" i="8"/>
  <c r="L116" i="8" l="1"/>
  <c r="K116" i="8"/>
  <c r="C117" i="8" s="1"/>
  <c r="G117" i="8" s="1"/>
  <c r="F116" i="8"/>
  <c r="E117" i="8" l="1"/>
  <c r="H117" i="8"/>
  <c r="J117" i="8"/>
  <c r="K117" i="8" l="1"/>
  <c r="C118" i="8" s="1"/>
  <c r="G118" i="8" s="1"/>
  <c r="F117" i="8"/>
  <c r="I117" i="8"/>
  <c r="E118" i="8" l="1"/>
  <c r="H118" i="8"/>
  <c r="I118" i="8"/>
  <c r="L117" i="8"/>
  <c r="J118" i="8"/>
  <c r="L118" i="8" l="1"/>
  <c r="K118" i="8"/>
  <c r="C119" i="8" s="1"/>
  <c r="G119" i="8" s="1"/>
  <c r="F118" i="8"/>
  <c r="E119" i="8" l="1"/>
  <c r="H119" i="8"/>
  <c r="J119" i="8"/>
  <c r="K119" i="8" l="1"/>
  <c r="C120" i="8" s="1"/>
  <c r="G120" i="8" s="1"/>
  <c r="F119" i="8"/>
  <c r="I119" i="8"/>
  <c r="L119" i="8" l="1"/>
  <c r="E120" i="8"/>
  <c r="H120" i="8"/>
  <c r="J120" i="8"/>
  <c r="K120" i="8" l="1"/>
  <c r="C121" i="8" s="1"/>
  <c r="G121" i="8" s="1"/>
  <c r="F120" i="8"/>
  <c r="I120" i="8"/>
  <c r="L120" i="8" l="1"/>
  <c r="E121" i="8"/>
  <c r="H121" i="8"/>
  <c r="J121" i="8"/>
  <c r="K121" i="8" l="1"/>
  <c r="C122" i="8" s="1"/>
  <c r="G122" i="8" s="1"/>
  <c r="F121" i="8"/>
  <c r="I121" i="8"/>
  <c r="L121" i="8" l="1"/>
  <c r="E122" i="8"/>
  <c r="H122" i="8"/>
  <c r="J122" i="8"/>
  <c r="K122" i="8" l="1"/>
  <c r="C123" i="8" s="1"/>
  <c r="G123" i="8" s="1"/>
  <c r="F122" i="8"/>
  <c r="I122" i="8"/>
  <c r="L122" i="8" l="1"/>
  <c r="E123" i="8"/>
  <c r="H123" i="8"/>
  <c r="J123" i="8"/>
  <c r="K123" i="8" l="1"/>
  <c r="C124" i="8" s="1"/>
  <c r="G124" i="8" s="1"/>
  <c r="F123" i="8"/>
  <c r="I123" i="8"/>
  <c r="L123" i="8" l="1"/>
  <c r="E124" i="8"/>
  <c r="H124" i="8"/>
  <c r="J124" i="8"/>
  <c r="K124" i="8" l="1"/>
  <c r="C125" i="8" s="1"/>
  <c r="G125" i="8" s="1"/>
  <c r="F124" i="8"/>
  <c r="I124" i="8"/>
  <c r="L124" i="8" l="1"/>
  <c r="E125" i="8"/>
  <c r="H125" i="8"/>
  <c r="J125" i="8"/>
  <c r="K125" i="8" l="1"/>
  <c r="C126" i="8" s="1"/>
  <c r="G126" i="8" s="1"/>
  <c r="F125" i="8"/>
  <c r="I125" i="8"/>
  <c r="L125" i="8" l="1"/>
  <c r="E126" i="8"/>
  <c r="H126" i="8"/>
  <c r="J126" i="8"/>
  <c r="K126" i="8" l="1"/>
  <c r="C127" i="8" s="1"/>
  <c r="G127" i="8" s="1"/>
  <c r="F126" i="8"/>
  <c r="I126" i="8"/>
  <c r="L126" i="8" l="1"/>
  <c r="E127" i="8"/>
  <c r="H127" i="8"/>
  <c r="J127" i="8"/>
  <c r="K127" i="8" l="1"/>
  <c r="C128" i="8" s="1"/>
  <c r="G128" i="8" s="1"/>
  <c r="F127" i="8"/>
  <c r="I127" i="8"/>
  <c r="L127" i="8" l="1"/>
  <c r="E128" i="8"/>
  <c r="H128" i="8"/>
  <c r="J128" i="8"/>
  <c r="K128" i="8" l="1"/>
  <c r="C129" i="8" s="1"/>
  <c r="G129" i="8" s="1"/>
  <c r="F128" i="8"/>
  <c r="I128" i="8"/>
  <c r="L128" i="8" l="1"/>
  <c r="E129" i="8"/>
  <c r="H129" i="8"/>
  <c r="J129" i="8"/>
  <c r="K129" i="8" l="1"/>
  <c r="C130" i="8" s="1"/>
  <c r="G130" i="8" s="1"/>
  <c r="F129" i="8"/>
  <c r="I129" i="8"/>
  <c r="E130" i="8" l="1"/>
  <c r="H130" i="8"/>
  <c r="I130" i="8"/>
  <c r="L129" i="8"/>
  <c r="J130" i="8"/>
  <c r="L130" i="8" l="1"/>
  <c r="K130" i="8"/>
  <c r="C131" i="8" s="1"/>
  <c r="G131" i="8" s="1"/>
  <c r="F130" i="8"/>
  <c r="E131" i="8" l="1"/>
  <c r="H131" i="8"/>
  <c r="J131" i="8"/>
  <c r="K131" i="8" l="1"/>
  <c r="C132" i="8" s="1"/>
  <c r="G132" i="8" s="1"/>
  <c r="F131" i="8"/>
  <c r="I131" i="8"/>
  <c r="L131" i="8" l="1"/>
  <c r="E132" i="8"/>
  <c r="H132" i="8"/>
  <c r="J132" i="8"/>
  <c r="K132" i="8" l="1"/>
  <c r="C133" i="8" s="1"/>
  <c r="G133" i="8" s="1"/>
  <c r="F132" i="8"/>
  <c r="J133" i="8"/>
  <c r="I132" i="8"/>
  <c r="L132" i="8" l="1"/>
  <c r="E133" i="8"/>
  <c r="I133" i="8" s="1"/>
  <c r="H133" i="8"/>
  <c r="L133" i="8" l="1"/>
  <c r="K133" i="8"/>
  <c r="C134" i="8" s="1"/>
  <c r="G134" i="8" s="1"/>
  <c r="F133" i="8"/>
  <c r="E134" i="8" l="1"/>
  <c r="H134" i="8"/>
  <c r="J134" i="8"/>
  <c r="K134" i="8" l="1"/>
  <c r="C135" i="8" s="1"/>
  <c r="G135" i="8" s="1"/>
  <c r="F134" i="8"/>
  <c r="I134" i="8"/>
  <c r="L134" i="8" l="1"/>
  <c r="E135" i="8"/>
  <c r="H135" i="8"/>
  <c r="J135" i="8"/>
  <c r="K135" i="8" l="1"/>
  <c r="C136" i="8" s="1"/>
  <c r="G136" i="8" s="1"/>
  <c r="F135" i="8"/>
  <c r="I135" i="8"/>
  <c r="L135" i="8" l="1"/>
  <c r="E136" i="8"/>
  <c r="H136" i="8"/>
  <c r="J136" i="8"/>
  <c r="K136" i="8" l="1"/>
  <c r="C137" i="8" s="1"/>
  <c r="G137" i="8" s="1"/>
  <c r="F136" i="8"/>
  <c r="I136" i="8"/>
  <c r="L136" i="8" l="1"/>
  <c r="E137" i="8"/>
  <c r="H137" i="8"/>
  <c r="J137" i="8"/>
  <c r="K137" i="8" l="1"/>
  <c r="C138" i="8" s="1"/>
  <c r="G138" i="8" s="1"/>
  <c r="F137" i="8"/>
  <c r="J138" i="8"/>
  <c r="I137" i="8"/>
  <c r="L137" i="8" l="1"/>
  <c r="E138" i="8"/>
  <c r="H138" i="8"/>
  <c r="K138" i="8" l="1"/>
  <c r="C139" i="8" s="1"/>
  <c r="G139" i="8" s="1"/>
  <c r="F138" i="8"/>
  <c r="I138" i="8"/>
  <c r="L138" i="8" l="1"/>
  <c r="E139" i="8"/>
  <c r="H139" i="8"/>
  <c r="J139" i="8"/>
  <c r="K139" i="8" l="1"/>
  <c r="C140" i="8" s="1"/>
  <c r="G140" i="8" s="1"/>
  <c r="F139" i="8"/>
  <c r="I139" i="8"/>
  <c r="L139" i="8" l="1"/>
  <c r="E140" i="8"/>
  <c r="H140" i="8"/>
  <c r="J140" i="8"/>
  <c r="K140" i="8" l="1"/>
  <c r="C141" i="8" s="1"/>
  <c r="G141" i="8" s="1"/>
  <c r="F140" i="8"/>
  <c r="I140" i="8"/>
  <c r="L140" i="8" l="1"/>
  <c r="E141" i="8"/>
  <c r="H141" i="8"/>
  <c r="J141" i="8"/>
  <c r="K141" i="8" l="1"/>
  <c r="C142" i="8" s="1"/>
  <c r="G142" i="8" s="1"/>
  <c r="F141" i="8"/>
  <c r="I141" i="8"/>
  <c r="L141" i="8" l="1"/>
  <c r="E142" i="8"/>
  <c r="H142" i="8"/>
  <c r="J142" i="8"/>
  <c r="K142" i="8" l="1"/>
  <c r="C143" i="8" s="1"/>
  <c r="G143" i="8" s="1"/>
  <c r="F142" i="8"/>
  <c r="I142" i="8"/>
  <c r="L142" i="8" l="1"/>
  <c r="E143" i="8"/>
  <c r="H143" i="8"/>
  <c r="J143" i="8"/>
  <c r="K143" i="8" l="1"/>
  <c r="C144" i="8" s="1"/>
  <c r="G144" i="8" s="1"/>
  <c r="F143" i="8"/>
  <c r="I143" i="8"/>
  <c r="E144" i="8" l="1"/>
  <c r="H144" i="8"/>
  <c r="I144" i="8"/>
  <c r="L143" i="8"/>
  <c r="J144" i="8"/>
  <c r="L144" i="8" l="1"/>
  <c r="K144" i="8"/>
  <c r="C145" i="8" s="1"/>
  <c r="G145" i="8" s="1"/>
  <c r="J145" i="8" s="1"/>
  <c r="F144" i="8"/>
  <c r="E145" i="8" l="1"/>
  <c r="H145" i="8"/>
  <c r="K145" i="8" l="1"/>
  <c r="C146" i="8" s="1"/>
  <c r="G146" i="8" s="1"/>
  <c r="F145" i="8"/>
  <c r="I145" i="8"/>
  <c r="L145" i="8" l="1"/>
  <c r="E146" i="8"/>
  <c r="H146" i="8"/>
  <c r="J146" i="8"/>
  <c r="K146" i="8" l="1"/>
  <c r="C147" i="8" s="1"/>
  <c r="G147" i="8" s="1"/>
  <c r="F146" i="8"/>
  <c r="J147" i="8"/>
  <c r="I146" i="8"/>
  <c r="L146" i="8" l="1"/>
  <c r="E147" i="8"/>
  <c r="H147" i="8"/>
  <c r="K147" i="8" l="1"/>
  <c r="C148" i="8" s="1"/>
  <c r="G148" i="8" s="1"/>
  <c r="F147" i="8"/>
  <c r="I147" i="8"/>
  <c r="L147" i="8" l="1"/>
  <c r="E148" i="8"/>
  <c r="H148" i="8"/>
  <c r="J148" i="8"/>
  <c r="K148" i="8" l="1"/>
  <c r="C149" i="8" s="1"/>
  <c r="G149" i="8" s="1"/>
  <c r="F148" i="8"/>
  <c r="I148" i="8"/>
  <c r="E149" i="8" l="1"/>
  <c r="H149" i="8"/>
  <c r="I149" i="8"/>
  <c r="L148" i="8"/>
  <c r="J149" i="8"/>
  <c r="L149" i="8" l="1"/>
  <c r="K149" i="8"/>
  <c r="C150" i="8" s="1"/>
  <c r="G150" i="8" s="1"/>
  <c r="F149" i="8"/>
  <c r="E150" i="8" l="1"/>
  <c r="H150" i="8"/>
  <c r="J150" i="8"/>
  <c r="K150" i="8" l="1"/>
  <c r="C151" i="8" s="1"/>
  <c r="G151" i="8" s="1"/>
  <c r="F150" i="8"/>
  <c r="I150" i="8"/>
  <c r="L150" i="8" l="1"/>
  <c r="E151" i="8"/>
  <c r="H151" i="8"/>
  <c r="J151" i="8"/>
  <c r="K151" i="8" l="1"/>
  <c r="C152" i="8" s="1"/>
  <c r="G152" i="8" s="1"/>
  <c r="F151" i="8"/>
  <c r="I151" i="8"/>
  <c r="L151" i="8" l="1"/>
  <c r="E152" i="8"/>
  <c r="H152" i="8"/>
  <c r="J152" i="8"/>
  <c r="K152" i="8" l="1"/>
  <c r="C153" i="8" s="1"/>
  <c r="G153" i="8" s="1"/>
  <c r="F152" i="8"/>
  <c r="I152" i="8"/>
  <c r="L152" i="8" l="1"/>
  <c r="E153" i="8"/>
  <c r="H153" i="8"/>
  <c r="J153" i="8"/>
  <c r="K153" i="8" l="1"/>
  <c r="C154" i="8" s="1"/>
  <c r="G154" i="8" s="1"/>
  <c r="F153" i="8"/>
  <c r="I153" i="8"/>
  <c r="L153" i="8" l="1"/>
  <c r="E154" i="8"/>
  <c r="H154" i="8"/>
  <c r="J154" i="8"/>
  <c r="K154" i="8" l="1"/>
  <c r="C155" i="8" s="1"/>
  <c r="G155" i="8" s="1"/>
  <c r="F154" i="8"/>
  <c r="I154" i="8"/>
  <c r="L154" i="8" l="1"/>
  <c r="E155" i="8"/>
  <c r="H155" i="8"/>
  <c r="J155" i="8"/>
  <c r="K155" i="8" l="1"/>
  <c r="C156" i="8" s="1"/>
  <c r="G156" i="8" s="1"/>
  <c r="F155" i="8"/>
  <c r="J156" i="8"/>
  <c r="I155" i="8"/>
  <c r="L155" i="8" l="1"/>
  <c r="E156" i="8"/>
  <c r="H156" i="8"/>
  <c r="K156" i="8" l="1"/>
  <c r="C157" i="8" s="1"/>
  <c r="G157" i="8" s="1"/>
  <c r="F156" i="8"/>
  <c r="I156" i="8"/>
  <c r="L156" i="8" l="1"/>
  <c r="E157" i="8"/>
  <c r="H157" i="8"/>
  <c r="J157" i="8"/>
  <c r="K157" i="8" l="1"/>
  <c r="C158" i="8" s="1"/>
  <c r="G158" i="8" s="1"/>
  <c r="F157" i="8"/>
  <c r="I157" i="8"/>
  <c r="L157" i="8" l="1"/>
  <c r="E158" i="8"/>
  <c r="H158" i="8"/>
  <c r="J158" i="8"/>
  <c r="K158" i="8" l="1"/>
  <c r="C159" i="8" s="1"/>
  <c r="G159" i="8" s="1"/>
  <c r="F158" i="8"/>
  <c r="I158" i="8"/>
  <c r="L158" i="8" l="1"/>
  <c r="E159" i="8"/>
  <c r="H159" i="8"/>
  <c r="J159" i="8"/>
  <c r="K159" i="8" l="1"/>
  <c r="C160" i="8" s="1"/>
  <c r="G160" i="8" s="1"/>
  <c r="F159" i="8"/>
  <c r="I159" i="8"/>
  <c r="L159" i="8" l="1"/>
  <c r="E160" i="8"/>
  <c r="H160" i="8"/>
  <c r="J160" i="8"/>
  <c r="K160" i="8" l="1"/>
  <c r="C161" i="8" s="1"/>
  <c r="G161" i="8" s="1"/>
  <c r="F160" i="8"/>
  <c r="J161" i="8"/>
  <c r="I160" i="8"/>
  <c r="L160" i="8" l="1"/>
  <c r="E161" i="8"/>
  <c r="H161" i="8"/>
  <c r="K161" i="8" l="1"/>
  <c r="C162" i="8" s="1"/>
  <c r="G162" i="8" s="1"/>
  <c r="F161" i="8"/>
  <c r="I161" i="8"/>
  <c r="L161" i="8" l="1"/>
  <c r="E162" i="8"/>
  <c r="H162" i="8"/>
  <c r="J162" i="8"/>
  <c r="K162" i="8" l="1"/>
  <c r="C163" i="8" s="1"/>
  <c r="G163" i="8" s="1"/>
  <c r="F162" i="8"/>
  <c r="I162" i="8"/>
  <c r="L162" i="8" l="1"/>
  <c r="E163" i="8"/>
  <c r="H163" i="8"/>
  <c r="J163" i="8"/>
  <c r="K163" i="8" l="1"/>
  <c r="C164" i="8" s="1"/>
  <c r="G164" i="8" s="1"/>
  <c r="F163" i="8"/>
  <c r="I163" i="8"/>
  <c r="L163" i="8" l="1"/>
  <c r="E164" i="8"/>
  <c r="H164" i="8"/>
  <c r="J164" i="8"/>
  <c r="K164" i="8" l="1"/>
  <c r="C165" i="8" s="1"/>
  <c r="G165" i="8" s="1"/>
  <c r="F164" i="8"/>
  <c r="I164" i="8"/>
  <c r="L164" i="8" l="1"/>
  <c r="E165" i="8"/>
  <c r="H165" i="8"/>
  <c r="J165" i="8"/>
  <c r="K165" i="8" l="1"/>
  <c r="C166" i="8" s="1"/>
  <c r="G166" i="8" s="1"/>
  <c r="F165" i="8"/>
  <c r="I165" i="8"/>
  <c r="L165" i="8" l="1"/>
  <c r="E166" i="8"/>
  <c r="H166" i="8"/>
  <c r="J166" i="8"/>
  <c r="K166" i="8" l="1"/>
  <c r="C167" i="8" s="1"/>
  <c r="G167" i="8" s="1"/>
  <c r="F166" i="8"/>
  <c r="J167" i="8"/>
  <c r="I166" i="8"/>
  <c r="L166" i="8" l="1"/>
  <c r="E167" i="8"/>
  <c r="H167" i="8"/>
  <c r="K167" i="8" l="1"/>
  <c r="C168" i="8" s="1"/>
  <c r="G168" i="8" s="1"/>
  <c r="F167" i="8"/>
  <c r="I167" i="8"/>
  <c r="L167" i="8" l="1"/>
  <c r="E168" i="8"/>
  <c r="H168" i="8"/>
  <c r="J168" i="8"/>
  <c r="K168" i="8" l="1"/>
  <c r="C169" i="8" s="1"/>
  <c r="G169" i="8" s="1"/>
  <c r="F168" i="8"/>
  <c r="I168" i="8"/>
  <c r="L168" i="8" l="1"/>
  <c r="E169" i="8"/>
  <c r="H169" i="8"/>
  <c r="J169" i="8"/>
  <c r="K169" i="8" l="1"/>
  <c r="C170" i="8" s="1"/>
  <c r="G170" i="8" s="1"/>
  <c r="F169" i="8"/>
  <c r="I169" i="8"/>
  <c r="E170" i="8" l="1"/>
  <c r="H170" i="8"/>
  <c r="I170" i="8"/>
  <c r="L169" i="8"/>
  <c r="J170" i="8"/>
  <c r="L170" i="8" l="1"/>
  <c r="K170" i="8"/>
  <c r="C171" i="8" s="1"/>
  <c r="G171" i="8" s="1"/>
  <c r="F170" i="8"/>
  <c r="E171" i="8" l="1"/>
  <c r="H171" i="8"/>
  <c r="J171" i="8"/>
  <c r="K171" i="8" l="1"/>
  <c r="C172" i="8" s="1"/>
  <c r="G172" i="8" s="1"/>
  <c r="F171" i="8"/>
  <c r="I171" i="8"/>
  <c r="L171" i="8" l="1"/>
  <c r="E172" i="8"/>
  <c r="I172" i="8" s="1"/>
  <c r="H172" i="8"/>
  <c r="J172" i="8"/>
  <c r="L172" i="8" l="1"/>
  <c r="K172" i="8"/>
  <c r="C173" i="8" s="1"/>
  <c r="G173" i="8" s="1"/>
  <c r="F172" i="8"/>
  <c r="E173" i="8" l="1"/>
  <c r="H173" i="8"/>
  <c r="J173" i="8"/>
  <c r="K173" i="8" l="1"/>
  <c r="C174" i="8" s="1"/>
  <c r="G174" i="8" s="1"/>
  <c r="F173" i="8"/>
  <c r="I173" i="8"/>
  <c r="E174" i="8" l="1"/>
  <c r="H174" i="8"/>
  <c r="I174" i="8"/>
  <c r="L173" i="8"/>
  <c r="J174" i="8"/>
  <c r="L174" i="8" l="1"/>
  <c r="K174" i="8"/>
  <c r="C175" i="8" s="1"/>
  <c r="G175" i="8" s="1"/>
  <c r="F174" i="8"/>
  <c r="E175" i="8" l="1"/>
  <c r="H175" i="8"/>
  <c r="J175" i="8"/>
  <c r="K175" i="8" l="1"/>
  <c r="C176" i="8" s="1"/>
  <c r="G176" i="8" s="1"/>
  <c r="F175" i="8"/>
  <c r="I175" i="8"/>
  <c r="L175" i="8" l="1"/>
  <c r="E176" i="8"/>
  <c r="H176" i="8"/>
  <c r="J176" i="8"/>
  <c r="K176" i="8" l="1"/>
  <c r="C177" i="8" s="1"/>
  <c r="G177" i="8" s="1"/>
  <c r="F176" i="8"/>
  <c r="I176" i="8"/>
  <c r="L176" i="8" l="1"/>
  <c r="E177" i="8"/>
  <c r="H177" i="8"/>
  <c r="J177" i="8"/>
  <c r="K177" i="8" l="1"/>
  <c r="C178" i="8" s="1"/>
  <c r="G178" i="8" s="1"/>
  <c r="F177" i="8"/>
  <c r="I177" i="8"/>
  <c r="L177" i="8" l="1"/>
  <c r="E178" i="8"/>
  <c r="H178" i="8"/>
  <c r="J178" i="8"/>
  <c r="K178" i="8" l="1"/>
  <c r="C179" i="8" s="1"/>
  <c r="G179" i="8" s="1"/>
  <c r="F178" i="8"/>
  <c r="J179" i="8"/>
  <c r="I178" i="8"/>
  <c r="L178" i="8" l="1"/>
  <c r="E179" i="8"/>
  <c r="H179" i="8"/>
  <c r="K179" i="8" l="1"/>
  <c r="C180" i="8" s="1"/>
  <c r="G180" i="8" s="1"/>
  <c r="F179" i="8"/>
  <c r="I179" i="8"/>
  <c r="L179" i="8" l="1"/>
  <c r="E180" i="8"/>
  <c r="H180" i="8"/>
  <c r="J180" i="8"/>
  <c r="K180" i="8" l="1"/>
  <c r="C181" i="8" s="1"/>
  <c r="G181" i="8" s="1"/>
  <c r="F180" i="8"/>
  <c r="I180" i="8"/>
  <c r="L180" i="8" l="1"/>
  <c r="E181" i="8"/>
  <c r="H181" i="8"/>
  <c r="J181" i="8"/>
  <c r="K181" i="8" l="1"/>
  <c r="C182" i="8" s="1"/>
  <c r="G182" i="8" s="1"/>
  <c r="J182" i="8" s="1"/>
  <c r="F181" i="8"/>
  <c r="I181" i="8"/>
  <c r="L181" i="8" l="1"/>
  <c r="E182" i="8"/>
  <c r="I182" i="8" s="1"/>
  <c r="H182" i="8"/>
  <c r="L182" i="8" l="1"/>
  <c r="K182" i="8"/>
  <c r="C183" i="8" s="1"/>
  <c r="G183" i="8" s="1"/>
  <c r="F182" i="8"/>
  <c r="E183" i="8" l="1"/>
  <c r="H183" i="8"/>
  <c r="J183" i="8"/>
  <c r="K183" i="8" l="1"/>
  <c r="C184" i="8" s="1"/>
  <c r="G184" i="8" s="1"/>
  <c r="F183" i="8"/>
  <c r="I183" i="8"/>
  <c r="L183" i="8" l="1"/>
  <c r="E184" i="8"/>
  <c r="H184" i="8"/>
  <c r="J184" i="8"/>
  <c r="K184" i="8" l="1"/>
  <c r="C185" i="8" s="1"/>
  <c r="G185" i="8" s="1"/>
  <c r="F184" i="8"/>
  <c r="I184" i="8"/>
  <c r="L184" i="8" l="1"/>
  <c r="E185" i="8"/>
  <c r="H185" i="8"/>
  <c r="J185" i="8"/>
  <c r="K185" i="8" l="1"/>
  <c r="C186" i="8" s="1"/>
  <c r="G186" i="8" s="1"/>
  <c r="F185" i="8"/>
  <c r="J186" i="8"/>
  <c r="I185" i="8"/>
  <c r="L185" i="8" l="1"/>
  <c r="E186" i="8"/>
  <c r="H186" i="8"/>
  <c r="K186" i="8" l="1"/>
  <c r="C187" i="8" s="1"/>
  <c r="G187" i="8" s="1"/>
  <c r="F186" i="8"/>
  <c r="I186" i="8"/>
  <c r="L186" i="8" l="1"/>
  <c r="E187" i="8"/>
  <c r="H187" i="8"/>
  <c r="J187" i="8"/>
  <c r="K187" i="8" l="1"/>
  <c r="C188" i="8" s="1"/>
  <c r="G188" i="8" s="1"/>
  <c r="F187" i="8"/>
  <c r="I187" i="8"/>
  <c r="L187" i="8" l="1"/>
  <c r="E188" i="8"/>
  <c r="H188" i="8"/>
  <c r="J188" i="8"/>
  <c r="K188" i="8" l="1"/>
  <c r="C189" i="8" s="1"/>
  <c r="G189" i="8" s="1"/>
  <c r="F188" i="8"/>
  <c r="I188" i="8"/>
  <c r="L188" i="8" l="1"/>
  <c r="E189" i="8"/>
  <c r="H189" i="8"/>
  <c r="J189" i="8"/>
  <c r="K189" i="8" l="1"/>
  <c r="C190" i="8" s="1"/>
  <c r="G190" i="8" s="1"/>
  <c r="F189" i="8"/>
  <c r="I189" i="8"/>
  <c r="L189" i="8" l="1"/>
  <c r="E190" i="8"/>
  <c r="H190" i="8"/>
  <c r="J190" i="8"/>
  <c r="K190" i="8" l="1"/>
  <c r="C191" i="8" s="1"/>
  <c r="G191" i="8" s="1"/>
  <c r="F190" i="8"/>
  <c r="I190" i="8"/>
  <c r="L190" i="8" l="1"/>
  <c r="E191" i="8"/>
  <c r="H191" i="8"/>
  <c r="J191" i="8"/>
  <c r="K191" i="8" l="1"/>
  <c r="C192" i="8" s="1"/>
  <c r="G192" i="8" s="1"/>
  <c r="J192" i="8" s="1"/>
  <c r="F191" i="8"/>
  <c r="I191" i="8"/>
  <c r="L191" i="8" l="1"/>
  <c r="E192" i="8"/>
  <c r="H192" i="8"/>
  <c r="K192" i="8" l="1"/>
  <c r="C193" i="8" s="1"/>
  <c r="G193" i="8" s="1"/>
  <c r="F192" i="8"/>
  <c r="I192" i="8"/>
  <c r="L192" i="8" l="1"/>
  <c r="E193" i="8"/>
  <c r="H193" i="8"/>
  <c r="J193" i="8"/>
  <c r="K193" i="8" l="1"/>
  <c r="C194" i="8" s="1"/>
  <c r="G194" i="8" s="1"/>
  <c r="F193" i="8"/>
  <c r="I193" i="8"/>
  <c r="E194" i="8" l="1"/>
  <c r="H194" i="8"/>
  <c r="I194" i="8"/>
  <c r="L193" i="8"/>
  <c r="J194" i="8"/>
  <c r="L194" i="8" l="1"/>
  <c r="K194" i="8"/>
  <c r="C195" i="8" s="1"/>
  <c r="G195" i="8" s="1"/>
  <c r="F194" i="8"/>
  <c r="E195" i="8" l="1"/>
  <c r="H195" i="8"/>
  <c r="J195" i="8"/>
  <c r="K195" i="8" l="1"/>
  <c r="C196" i="8" s="1"/>
  <c r="G196" i="8" s="1"/>
  <c r="F195" i="8"/>
  <c r="I195" i="8"/>
  <c r="E196" i="8" l="1"/>
  <c r="H196" i="8"/>
  <c r="I196" i="8"/>
  <c r="L195" i="8"/>
  <c r="J196" i="8"/>
  <c r="L196" i="8" l="1"/>
  <c r="K196" i="8"/>
  <c r="C197" i="8" s="1"/>
  <c r="G197" i="8" s="1"/>
  <c r="F196" i="8"/>
  <c r="E197" i="8" l="1"/>
  <c r="H197" i="8"/>
  <c r="J197" i="8"/>
  <c r="K197" i="8" l="1"/>
  <c r="C198" i="8" s="1"/>
  <c r="G198" i="8" s="1"/>
  <c r="F197" i="8"/>
  <c r="I197" i="8"/>
  <c r="L197" i="8" l="1"/>
  <c r="E198" i="8"/>
  <c r="H198" i="8"/>
  <c r="J198" i="8"/>
  <c r="K198" i="8" l="1"/>
  <c r="C199" i="8" s="1"/>
  <c r="G199" i="8" s="1"/>
  <c r="F198" i="8"/>
  <c r="I198" i="8"/>
  <c r="L198" i="8" l="1"/>
  <c r="E199" i="8"/>
  <c r="H199" i="8"/>
  <c r="J199" i="8"/>
  <c r="K199" i="8" l="1"/>
  <c r="C200" i="8" s="1"/>
  <c r="G200" i="8" s="1"/>
  <c r="F199" i="8"/>
  <c r="J200" i="8"/>
  <c r="I199" i="8"/>
  <c r="L199" i="8" l="1"/>
  <c r="E200" i="8"/>
  <c r="H200" i="8"/>
  <c r="K200" i="8" l="1"/>
  <c r="C201" i="8" s="1"/>
  <c r="G201" i="8" s="1"/>
  <c r="F200" i="8"/>
  <c r="I200" i="8"/>
  <c r="L200" i="8" l="1"/>
  <c r="E201" i="8"/>
  <c r="H201" i="8"/>
  <c r="J201" i="8"/>
  <c r="K201" i="8" l="1"/>
  <c r="C202" i="8" s="1"/>
  <c r="G202" i="8" s="1"/>
  <c r="J202" i="8" s="1"/>
  <c r="F201" i="8"/>
  <c r="I201" i="8"/>
  <c r="L201" i="8" l="1"/>
  <c r="E202" i="8"/>
  <c r="H202" i="8"/>
  <c r="K202" i="8" l="1"/>
  <c r="C203" i="8" s="1"/>
  <c r="G203" i="8" s="1"/>
  <c r="F202" i="8"/>
  <c r="I202" i="8"/>
  <c r="L202" i="8" l="1"/>
  <c r="E203" i="8"/>
  <c r="I203" i="8" s="1"/>
  <c r="H203" i="8"/>
  <c r="J203" i="8"/>
  <c r="L203" i="8" l="1"/>
  <c r="K203" i="8"/>
  <c r="C204" i="8" s="1"/>
  <c r="G204" i="8" s="1"/>
  <c r="F203" i="8"/>
  <c r="E204" i="8" l="1"/>
  <c r="H204" i="8"/>
  <c r="J204" i="8"/>
  <c r="K204" i="8" l="1"/>
  <c r="C205" i="8" s="1"/>
  <c r="G205" i="8" s="1"/>
  <c r="F204" i="8"/>
  <c r="I204" i="8"/>
  <c r="L204" i="8" l="1"/>
  <c r="E205" i="8"/>
  <c r="H205" i="8"/>
  <c r="J205" i="8"/>
  <c r="K205" i="8" l="1"/>
  <c r="C206" i="8" s="1"/>
  <c r="G206" i="8" s="1"/>
  <c r="F205" i="8"/>
  <c r="I205" i="8"/>
  <c r="L205" i="8" l="1"/>
  <c r="E206" i="8"/>
  <c r="H206" i="8"/>
  <c r="J206" i="8"/>
  <c r="K206" i="8" l="1"/>
  <c r="C207" i="8" s="1"/>
  <c r="G207" i="8" s="1"/>
  <c r="F206" i="8"/>
  <c r="I206" i="8"/>
  <c r="L206" i="8" l="1"/>
  <c r="E207" i="8"/>
  <c r="H207" i="8"/>
  <c r="J207" i="8"/>
  <c r="K207" i="8" l="1"/>
  <c r="C208" i="8" s="1"/>
  <c r="G208" i="8" s="1"/>
  <c r="F207" i="8"/>
  <c r="I207" i="8"/>
  <c r="L207" i="8" l="1"/>
  <c r="E208" i="8"/>
  <c r="H208" i="8"/>
  <c r="J208" i="8"/>
  <c r="K208" i="8" l="1"/>
  <c r="C209" i="8" s="1"/>
  <c r="G209" i="8" s="1"/>
  <c r="F208" i="8"/>
  <c r="I208" i="8"/>
  <c r="L208" i="8" l="1"/>
  <c r="E209" i="8"/>
  <c r="H209" i="8"/>
  <c r="J209" i="8"/>
  <c r="K209" i="8" l="1"/>
  <c r="C210" i="8" s="1"/>
  <c r="G210" i="8" s="1"/>
  <c r="F209" i="8"/>
  <c r="I209" i="8"/>
  <c r="L209" i="8" l="1"/>
  <c r="E210" i="8"/>
  <c r="H210" i="8"/>
  <c r="J210" i="8"/>
  <c r="K210" i="8" l="1"/>
  <c r="C211" i="8" s="1"/>
  <c r="G211" i="8" s="1"/>
  <c r="F210" i="8"/>
  <c r="I210" i="8"/>
  <c r="L210" i="8" l="1"/>
  <c r="E211" i="8"/>
  <c r="H211" i="8"/>
  <c r="J211" i="8"/>
  <c r="K211" i="8" l="1"/>
  <c r="C212" i="8" s="1"/>
  <c r="G212" i="8" s="1"/>
  <c r="F211" i="8"/>
  <c r="I211" i="8"/>
  <c r="L211" i="8" l="1"/>
  <c r="E212" i="8"/>
  <c r="H212" i="8"/>
  <c r="J212" i="8"/>
  <c r="K212" i="8" l="1"/>
  <c r="C213" i="8" s="1"/>
  <c r="G213" i="8" s="1"/>
  <c r="J213" i="8" s="1"/>
  <c r="F212" i="8"/>
  <c r="I212" i="8"/>
  <c r="L212" i="8" l="1"/>
  <c r="E213" i="8"/>
  <c r="H213" i="8"/>
  <c r="K213" i="8" l="1"/>
  <c r="C214" i="8" s="1"/>
  <c r="G214" i="8" s="1"/>
  <c r="F213" i="8"/>
  <c r="I213" i="8"/>
  <c r="L213" i="8" l="1"/>
  <c r="E214" i="8"/>
  <c r="H214" i="8"/>
  <c r="J214" i="8"/>
  <c r="K214" i="8" l="1"/>
  <c r="C215" i="8" s="1"/>
  <c r="G215" i="8" s="1"/>
  <c r="F214" i="8"/>
  <c r="I214" i="8"/>
  <c r="E215" i="8" l="1"/>
  <c r="H215" i="8"/>
  <c r="I215" i="8"/>
  <c r="L214" i="8"/>
  <c r="J215" i="8"/>
  <c r="L215" i="8" l="1"/>
  <c r="K215" i="8"/>
  <c r="C216" i="8" s="1"/>
  <c r="G216" i="8" s="1"/>
  <c r="F215" i="8"/>
  <c r="E216" i="8" l="1"/>
  <c r="H216" i="8"/>
  <c r="J216" i="8"/>
  <c r="K216" i="8" l="1"/>
  <c r="C217" i="8" s="1"/>
  <c r="G217" i="8" s="1"/>
  <c r="F216" i="8"/>
  <c r="I216" i="8"/>
  <c r="L216" i="8" l="1"/>
  <c r="E217" i="8"/>
  <c r="H217" i="8"/>
  <c r="J217" i="8"/>
  <c r="K217" i="8" l="1"/>
  <c r="C218" i="8" s="1"/>
  <c r="G218" i="8" s="1"/>
  <c r="F217" i="8"/>
  <c r="I217" i="8"/>
  <c r="L217" i="8" l="1"/>
  <c r="E218" i="8"/>
  <c r="H218" i="8"/>
  <c r="J218" i="8"/>
  <c r="K218" i="8" l="1"/>
  <c r="C219" i="8" s="1"/>
  <c r="G219" i="8" s="1"/>
  <c r="F218" i="8"/>
  <c r="I218" i="8"/>
  <c r="L218" i="8" l="1"/>
  <c r="E219" i="8"/>
  <c r="H219" i="8"/>
  <c r="J219" i="8"/>
  <c r="K219" i="8" l="1"/>
  <c r="C220" i="8" s="1"/>
  <c r="G220" i="8" s="1"/>
  <c r="J220" i="8" s="1"/>
  <c r="F219" i="8"/>
  <c r="I219" i="8"/>
  <c r="L219" i="8" l="1"/>
  <c r="E220" i="8"/>
  <c r="H220" i="8"/>
  <c r="K220" i="8" l="1"/>
  <c r="C221" i="8" s="1"/>
  <c r="G221" i="8" s="1"/>
  <c r="F220" i="8"/>
  <c r="I220" i="8"/>
  <c r="L220" i="8" l="1"/>
  <c r="E221" i="8"/>
  <c r="H221" i="8"/>
  <c r="J221" i="8"/>
  <c r="K221" i="8" l="1"/>
  <c r="C222" i="8" s="1"/>
  <c r="G222" i="8" s="1"/>
  <c r="F221" i="8"/>
  <c r="I221" i="8"/>
  <c r="L221" i="8" l="1"/>
  <c r="E222" i="8"/>
  <c r="H222" i="8"/>
  <c r="J222" i="8"/>
  <c r="K222" i="8" l="1"/>
  <c r="C223" i="8" s="1"/>
  <c r="G223" i="8" s="1"/>
  <c r="F222" i="8"/>
  <c r="J223" i="8"/>
  <c r="I222" i="8"/>
  <c r="L222" i="8" l="1"/>
  <c r="E223" i="8"/>
  <c r="H223" i="8"/>
  <c r="K223" i="8" l="1"/>
  <c r="C224" i="8" s="1"/>
  <c r="G224" i="8" s="1"/>
  <c r="F223" i="8"/>
  <c r="I223" i="8"/>
  <c r="L223" i="8" l="1"/>
  <c r="E224" i="8"/>
  <c r="H224" i="8"/>
  <c r="J224" i="8"/>
  <c r="K224" i="8" l="1"/>
  <c r="C225" i="8" s="1"/>
  <c r="G225" i="8" s="1"/>
  <c r="F224" i="8"/>
  <c r="I224" i="8"/>
  <c r="L224" i="8" l="1"/>
  <c r="E225" i="8"/>
  <c r="H225" i="8"/>
  <c r="J225" i="8"/>
  <c r="K225" i="8" l="1"/>
  <c r="C226" i="8" s="1"/>
  <c r="G226" i="8" s="1"/>
  <c r="F225" i="8"/>
  <c r="J226" i="8"/>
  <c r="I225" i="8"/>
  <c r="L225" i="8" l="1"/>
  <c r="E226" i="8"/>
  <c r="H226" i="8"/>
  <c r="K226" i="8" l="1"/>
  <c r="C227" i="8" s="1"/>
  <c r="G227" i="8" s="1"/>
  <c r="F226" i="8"/>
  <c r="I226" i="8"/>
  <c r="L226" i="8" l="1"/>
  <c r="E227" i="8"/>
  <c r="H227" i="8"/>
  <c r="J227" i="8"/>
  <c r="K227" i="8" l="1"/>
  <c r="C228" i="8" s="1"/>
  <c r="G228" i="8" s="1"/>
  <c r="J228" i="8" s="1"/>
  <c r="F227" i="8"/>
  <c r="I227" i="8"/>
  <c r="L227" i="8" l="1"/>
  <c r="E228" i="8"/>
  <c r="H228" i="8"/>
  <c r="K228" i="8" l="1"/>
  <c r="C229" i="8" s="1"/>
  <c r="G229" i="8" s="1"/>
  <c r="F228" i="8"/>
  <c r="I228" i="8"/>
  <c r="L228" i="8" l="1"/>
  <c r="E229" i="8"/>
  <c r="H229" i="8"/>
  <c r="J229" i="8"/>
  <c r="K229" i="8" l="1"/>
  <c r="C230" i="8" s="1"/>
  <c r="G230" i="8" s="1"/>
  <c r="F229" i="8"/>
  <c r="I229" i="8"/>
  <c r="L229" i="8" l="1"/>
  <c r="E230" i="8"/>
  <c r="H230" i="8"/>
  <c r="J230" i="8"/>
  <c r="K230" i="8" l="1"/>
  <c r="C231" i="8" s="1"/>
  <c r="G231" i="8" s="1"/>
  <c r="J231" i="8" s="1"/>
  <c r="F230" i="8"/>
  <c r="I230" i="8"/>
  <c r="L230" i="8" l="1"/>
  <c r="E231" i="8"/>
  <c r="H231" i="8"/>
  <c r="K231" i="8" l="1"/>
  <c r="C232" i="8" s="1"/>
  <c r="G232" i="8" s="1"/>
  <c r="F231" i="8"/>
  <c r="I231" i="8"/>
  <c r="L231" i="8" l="1"/>
  <c r="E232" i="8"/>
  <c r="H232" i="8"/>
  <c r="J232" i="8"/>
  <c r="K232" i="8" l="1"/>
  <c r="C233" i="8" s="1"/>
  <c r="G233" i="8" s="1"/>
  <c r="F232" i="8"/>
  <c r="I232" i="8"/>
  <c r="L232" i="8" l="1"/>
  <c r="E233" i="8"/>
  <c r="H233" i="8"/>
  <c r="J233" i="8"/>
  <c r="K233" i="8" l="1"/>
  <c r="C234" i="8" s="1"/>
  <c r="G234" i="8" s="1"/>
  <c r="J234" i="8" s="1"/>
  <c r="F233" i="8"/>
  <c r="I233" i="8"/>
  <c r="L233" i="8" l="1"/>
  <c r="E234" i="8"/>
  <c r="H234" i="8"/>
  <c r="K234" i="8" l="1"/>
  <c r="C235" i="8" s="1"/>
  <c r="G235" i="8" s="1"/>
  <c r="F234" i="8"/>
  <c r="I234" i="8"/>
  <c r="L234" i="8" l="1"/>
  <c r="E235" i="8"/>
  <c r="H235" i="8"/>
  <c r="J235" i="8"/>
  <c r="K235" i="8" l="1"/>
  <c r="C236" i="8" s="1"/>
  <c r="G236" i="8" s="1"/>
  <c r="F235" i="8"/>
  <c r="I235" i="8"/>
  <c r="L235" i="8" l="1"/>
  <c r="E236" i="8"/>
  <c r="H236" i="8"/>
  <c r="J236" i="8"/>
  <c r="K236" i="8" l="1"/>
  <c r="C237" i="8" s="1"/>
  <c r="G237" i="8" s="1"/>
  <c r="F236" i="8"/>
  <c r="I236" i="8"/>
  <c r="L236" i="8" l="1"/>
  <c r="E237" i="8"/>
  <c r="H237" i="8"/>
  <c r="J237" i="8"/>
  <c r="K237" i="8" l="1"/>
  <c r="C238" i="8" s="1"/>
  <c r="G238" i="8" s="1"/>
  <c r="F237" i="8"/>
  <c r="I237" i="8"/>
  <c r="L237" i="8" l="1"/>
  <c r="E238" i="8"/>
  <c r="H238" i="8"/>
  <c r="J238" i="8"/>
  <c r="K238" i="8" l="1"/>
  <c r="C239" i="8" s="1"/>
  <c r="G239" i="8" s="1"/>
  <c r="F238" i="8"/>
  <c r="J239" i="8"/>
  <c r="I238" i="8"/>
  <c r="L238" i="8" l="1"/>
  <c r="E239" i="8"/>
  <c r="H239" i="8"/>
  <c r="K239" i="8" l="1"/>
  <c r="C240" i="8" s="1"/>
  <c r="G240" i="8" s="1"/>
  <c r="F239" i="8"/>
  <c r="I239" i="8"/>
  <c r="L239" i="8" l="1"/>
  <c r="E240" i="8"/>
  <c r="H240" i="8"/>
  <c r="J240" i="8"/>
  <c r="K240" i="8" l="1"/>
  <c r="C241" i="8" s="1"/>
  <c r="G241" i="8" s="1"/>
  <c r="F240" i="8"/>
  <c r="I240" i="8"/>
  <c r="L240" i="8" l="1"/>
  <c r="E241" i="8"/>
  <c r="H241" i="8"/>
  <c r="J241" i="8"/>
  <c r="K241" i="8" l="1"/>
  <c r="C242" i="8" s="1"/>
  <c r="G242" i="8" s="1"/>
  <c r="F241" i="8"/>
  <c r="I241" i="8"/>
  <c r="L241" i="8" l="1"/>
  <c r="E242" i="8"/>
  <c r="H242" i="8"/>
  <c r="J242" i="8"/>
  <c r="K242" i="8" l="1"/>
  <c r="C243" i="8" s="1"/>
  <c r="G243" i="8" s="1"/>
  <c r="F242" i="8"/>
  <c r="I242" i="8"/>
  <c r="L242" i="8" l="1"/>
  <c r="E243" i="8"/>
  <c r="H243" i="8"/>
  <c r="J243" i="8"/>
  <c r="K243" i="8" l="1"/>
  <c r="C244" i="8" s="1"/>
  <c r="G244" i="8" s="1"/>
  <c r="F243" i="8"/>
  <c r="I243" i="8"/>
  <c r="E244" i="8" l="1"/>
  <c r="H244" i="8"/>
  <c r="I244" i="8"/>
  <c r="L243" i="8"/>
  <c r="J244" i="8"/>
  <c r="L244" i="8" l="1"/>
  <c r="K244" i="8"/>
  <c r="C245" i="8" s="1"/>
  <c r="G245" i="8" s="1"/>
  <c r="F244" i="8"/>
  <c r="E245" i="8" l="1"/>
  <c r="H245" i="8"/>
  <c r="J245" i="8"/>
  <c r="K245" i="8" l="1"/>
  <c r="C246" i="8" s="1"/>
  <c r="G246" i="8" s="1"/>
  <c r="F245" i="8"/>
  <c r="I245" i="8"/>
  <c r="L245" i="8" l="1"/>
  <c r="E246" i="8"/>
  <c r="H246" i="8"/>
  <c r="J246" i="8"/>
  <c r="K246" i="8" l="1"/>
  <c r="C247" i="8" s="1"/>
  <c r="G247" i="8" s="1"/>
  <c r="J247" i="8" s="1"/>
  <c r="F246" i="8"/>
  <c r="I246" i="8"/>
  <c r="L246" i="8" l="1"/>
  <c r="E247" i="8"/>
  <c r="H247" i="8"/>
  <c r="K247" i="8" l="1"/>
  <c r="C248" i="8" s="1"/>
  <c r="G248" i="8" s="1"/>
  <c r="F247" i="8"/>
  <c r="I247" i="8"/>
  <c r="L247" i="8" l="1"/>
  <c r="E248" i="8"/>
  <c r="H248" i="8"/>
  <c r="J248" i="8"/>
  <c r="K248" i="8" l="1"/>
  <c r="C249" i="8" s="1"/>
  <c r="G249" i="8" s="1"/>
  <c r="F248" i="8"/>
  <c r="I248" i="8"/>
  <c r="L248" i="8" l="1"/>
  <c r="E249" i="8"/>
  <c r="H249" i="8"/>
  <c r="J249" i="8"/>
  <c r="K249" i="8" l="1"/>
  <c r="C250" i="8" s="1"/>
  <c r="G250" i="8" s="1"/>
  <c r="F249" i="8"/>
  <c r="J250" i="8"/>
  <c r="I249" i="8"/>
  <c r="L249" i="8" l="1"/>
  <c r="E250" i="8"/>
  <c r="I250" i="8" s="1"/>
  <c r="H250" i="8"/>
  <c r="L250" i="8" l="1"/>
  <c r="K250" i="8"/>
  <c r="C251" i="8" s="1"/>
  <c r="G251" i="8" s="1"/>
  <c r="F250" i="8"/>
  <c r="E251" i="8" l="1"/>
  <c r="H251" i="8"/>
  <c r="J251" i="8"/>
  <c r="K251" i="8" l="1"/>
  <c r="C252" i="8" s="1"/>
  <c r="G252" i="8" s="1"/>
  <c r="F251" i="8"/>
  <c r="I251" i="8"/>
  <c r="L251" i="8" l="1"/>
  <c r="E252" i="8"/>
  <c r="H252" i="8"/>
  <c r="J252" i="8"/>
  <c r="K252" i="8" l="1"/>
  <c r="C253" i="8" s="1"/>
  <c r="G253" i="8" s="1"/>
  <c r="F252" i="8"/>
  <c r="I252" i="8"/>
  <c r="E253" i="8" l="1"/>
  <c r="H253" i="8"/>
  <c r="I253" i="8"/>
  <c r="L252" i="8"/>
  <c r="J253" i="8"/>
  <c r="L253" i="8" l="1"/>
  <c r="K253" i="8"/>
  <c r="C254" i="8" s="1"/>
  <c r="G254" i="8" s="1"/>
  <c r="F253" i="8"/>
  <c r="E254" i="8" l="1"/>
  <c r="H254" i="8"/>
  <c r="J254" i="8"/>
  <c r="K254" i="8" l="1"/>
  <c r="C255" i="8" s="1"/>
  <c r="G255" i="8" s="1"/>
  <c r="F254" i="8"/>
  <c r="I254" i="8"/>
  <c r="L254" i="8" l="1"/>
  <c r="E255" i="8"/>
  <c r="H255" i="8"/>
  <c r="J255" i="8"/>
  <c r="K255" i="8" l="1"/>
  <c r="C256" i="8" s="1"/>
  <c r="G256" i="8" s="1"/>
  <c r="F255" i="8"/>
  <c r="J256" i="8"/>
  <c r="I255" i="8"/>
  <c r="L255" i="8" l="1"/>
  <c r="E256" i="8"/>
  <c r="H256" i="8"/>
  <c r="K256" i="8" l="1"/>
  <c r="C257" i="8" s="1"/>
  <c r="G257" i="8" s="1"/>
  <c r="F256" i="8"/>
  <c r="I256" i="8"/>
  <c r="L256" i="8" l="1"/>
  <c r="E257" i="8"/>
  <c r="H257" i="8"/>
  <c r="J257" i="8"/>
  <c r="K257" i="8" l="1"/>
  <c r="C258" i="8" s="1"/>
  <c r="G258" i="8" s="1"/>
  <c r="F257" i="8"/>
  <c r="I257" i="8"/>
  <c r="L257" i="8" l="1"/>
  <c r="E258" i="8"/>
  <c r="H258" i="8"/>
  <c r="J258" i="8"/>
  <c r="K258" i="8" l="1"/>
  <c r="C259" i="8" s="1"/>
  <c r="G259" i="8" s="1"/>
  <c r="J259" i="8" s="1"/>
  <c r="F258" i="8"/>
  <c r="I258" i="8"/>
  <c r="L258" i="8" l="1"/>
  <c r="E259" i="8"/>
  <c r="H259" i="8"/>
  <c r="K259" i="8" l="1"/>
  <c r="C260" i="8" s="1"/>
  <c r="G260" i="8" s="1"/>
  <c r="F259" i="8"/>
  <c r="I259" i="8"/>
  <c r="L259" i="8" l="1"/>
  <c r="E260" i="8"/>
  <c r="H260" i="8"/>
  <c r="J260" i="8"/>
  <c r="K260" i="8" l="1"/>
  <c r="C261" i="8" s="1"/>
  <c r="G261" i="8" s="1"/>
  <c r="J261" i="8" s="1"/>
  <c r="F260" i="8"/>
  <c r="I260" i="8"/>
  <c r="L260" i="8" l="1"/>
  <c r="E261" i="8"/>
  <c r="H261" i="8"/>
  <c r="K261" i="8" l="1"/>
  <c r="C262" i="8" s="1"/>
  <c r="G262" i="8" s="1"/>
  <c r="F261" i="8"/>
  <c r="I261" i="8"/>
  <c r="L261" i="8" l="1"/>
  <c r="E262" i="8"/>
  <c r="H262" i="8"/>
  <c r="J262" i="8"/>
  <c r="K262" i="8" l="1"/>
  <c r="C263" i="8" s="1"/>
  <c r="G263" i="8" s="1"/>
  <c r="F262" i="8"/>
  <c r="I262" i="8"/>
  <c r="L262" i="8" l="1"/>
  <c r="E263" i="8"/>
  <c r="H263" i="8"/>
  <c r="J263" i="8"/>
  <c r="K263" i="8" l="1"/>
  <c r="C264" i="8" s="1"/>
  <c r="G264" i="8" s="1"/>
  <c r="F263" i="8"/>
  <c r="I263" i="8"/>
  <c r="E264" i="8" l="1"/>
  <c r="H264" i="8"/>
  <c r="I264" i="8"/>
  <c r="L263" i="8"/>
  <c r="J264" i="8"/>
  <c r="L264" i="8" l="1"/>
  <c r="K264" i="8"/>
  <c r="C265" i="8" s="1"/>
  <c r="G265" i="8" s="1"/>
  <c r="F264" i="8"/>
  <c r="E265" i="8" l="1"/>
  <c r="H265" i="8"/>
  <c r="J265" i="8"/>
  <c r="K265" i="8" l="1"/>
  <c r="C266" i="8" s="1"/>
  <c r="G266" i="8" s="1"/>
  <c r="F265" i="8"/>
  <c r="I265" i="8"/>
  <c r="L265" i="8" l="1"/>
  <c r="E266" i="8"/>
  <c r="I266" i="8" s="1"/>
  <c r="H266" i="8"/>
  <c r="J266" i="8"/>
  <c r="L266" i="8" l="1"/>
  <c r="K266" i="8"/>
  <c r="C267" i="8" s="1"/>
  <c r="G267" i="8" s="1"/>
  <c r="F266" i="8"/>
  <c r="E267" i="8" l="1"/>
  <c r="H267" i="8"/>
  <c r="J267" i="8"/>
  <c r="K267" i="8" l="1"/>
  <c r="C268" i="8" s="1"/>
  <c r="G268" i="8" s="1"/>
  <c r="F267" i="8"/>
  <c r="I267" i="8"/>
  <c r="E268" i="8" l="1"/>
  <c r="H268" i="8"/>
  <c r="L267" i="8"/>
  <c r="I268" i="8"/>
  <c r="J268" i="8"/>
  <c r="L268" i="8" l="1"/>
  <c r="K268" i="8"/>
  <c r="C269" i="8" s="1"/>
  <c r="G269" i="8" s="1"/>
  <c r="F268" i="8"/>
  <c r="E269" i="8" l="1"/>
  <c r="H269" i="8"/>
  <c r="J269" i="8"/>
  <c r="K269" i="8" l="1"/>
  <c r="C270" i="8" s="1"/>
  <c r="G270" i="8" s="1"/>
  <c r="F269" i="8"/>
  <c r="I269" i="8"/>
  <c r="L269" i="8" l="1"/>
  <c r="E270" i="8"/>
  <c r="H270" i="8"/>
  <c r="J270" i="8"/>
  <c r="K270" i="8" l="1"/>
  <c r="C271" i="8" s="1"/>
  <c r="G271" i="8" s="1"/>
  <c r="F270" i="8"/>
  <c r="I270" i="8"/>
  <c r="L270" i="8" l="1"/>
  <c r="E271" i="8"/>
  <c r="H271" i="8"/>
  <c r="J271" i="8"/>
  <c r="K271" i="8" l="1"/>
  <c r="C272" i="8" s="1"/>
  <c r="G272" i="8" s="1"/>
  <c r="F271" i="8"/>
  <c r="I271" i="8"/>
  <c r="L271" i="8" l="1"/>
  <c r="E272" i="8"/>
  <c r="H272" i="8"/>
  <c r="J272" i="8"/>
  <c r="K272" i="8" l="1"/>
  <c r="C273" i="8" s="1"/>
  <c r="G273" i="8" s="1"/>
  <c r="F272" i="8"/>
  <c r="I272" i="8"/>
  <c r="L272" i="8" l="1"/>
  <c r="E273" i="8"/>
  <c r="H273" i="8"/>
  <c r="J273" i="8"/>
  <c r="K273" i="8" l="1"/>
  <c r="C274" i="8" s="1"/>
  <c r="G274" i="8" s="1"/>
  <c r="F273" i="8"/>
  <c r="I273" i="8"/>
  <c r="E274" i="8" l="1"/>
  <c r="H274" i="8"/>
  <c r="I274" i="8"/>
  <c r="L273" i="8"/>
  <c r="J274" i="8"/>
  <c r="L274" i="8" l="1"/>
  <c r="K274" i="8"/>
  <c r="C275" i="8" s="1"/>
  <c r="G275" i="8" s="1"/>
  <c r="F274" i="8"/>
  <c r="E275" i="8" l="1"/>
  <c r="H275" i="8"/>
  <c r="J275" i="8"/>
  <c r="K275" i="8" l="1"/>
  <c r="C276" i="8" s="1"/>
  <c r="G276" i="8" s="1"/>
  <c r="F275" i="8"/>
  <c r="I275" i="8"/>
  <c r="L275" i="8" l="1"/>
  <c r="E276" i="8"/>
  <c r="H276" i="8"/>
  <c r="J276" i="8"/>
  <c r="K276" i="8" l="1"/>
  <c r="C277" i="8" s="1"/>
  <c r="G277" i="8" s="1"/>
  <c r="F276" i="8"/>
  <c r="I276" i="8"/>
  <c r="L276" i="8" l="1"/>
  <c r="E277" i="8"/>
  <c r="H277" i="8"/>
  <c r="J277" i="8"/>
  <c r="K277" i="8" l="1"/>
  <c r="C278" i="8" s="1"/>
  <c r="G278" i="8" s="1"/>
  <c r="J278" i="8" s="1"/>
  <c r="F277" i="8"/>
  <c r="I277" i="8"/>
  <c r="L277" i="8" l="1"/>
  <c r="E278" i="8"/>
  <c r="H278" i="8"/>
  <c r="K278" i="8" l="1"/>
  <c r="C279" i="8" s="1"/>
  <c r="G279" i="8" s="1"/>
  <c r="F278" i="8"/>
  <c r="I278" i="8"/>
  <c r="L278" i="8" l="1"/>
  <c r="E279" i="8"/>
  <c r="H279" i="8"/>
  <c r="J279" i="8"/>
  <c r="K279" i="8" l="1"/>
  <c r="C280" i="8" s="1"/>
  <c r="G280" i="8" s="1"/>
  <c r="F279" i="8"/>
  <c r="I279" i="8"/>
  <c r="E280" i="8" l="1"/>
  <c r="H280" i="8"/>
  <c r="I280" i="8"/>
  <c r="L279" i="8"/>
  <c r="J280" i="8"/>
  <c r="L280" i="8" l="1"/>
  <c r="K280" i="8"/>
  <c r="C281" i="8" s="1"/>
  <c r="G281" i="8" s="1"/>
  <c r="F280" i="8"/>
  <c r="E281" i="8" l="1"/>
  <c r="H281" i="8"/>
  <c r="J281" i="8"/>
  <c r="K281" i="8" l="1"/>
  <c r="C282" i="8" s="1"/>
  <c r="G282" i="8" s="1"/>
  <c r="F281" i="8"/>
  <c r="I281" i="8"/>
  <c r="L281" i="8" l="1"/>
  <c r="E282" i="8"/>
  <c r="H282" i="8"/>
  <c r="J282" i="8"/>
  <c r="K282" i="8" l="1"/>
  <c r="C283" i="8" s="1"/>
  <c r="G283" i="8" s="1"/>
  <c r="J283" i="8" s="1"/>
  <c r="F282" i="8"/>
  <c r="I282" i="8"/>
  <c r="L282" i="8" l="1"/>
  <c r="E283" i="8"/>
  <c r="H283" i="8"/>
  <c r="K283" i="8" l="1"/>
  <c r="C284" i="8" s="1"/>
  <c r="G284" i="8" s="1"/>
  <c r="F283" i="8"/>
  <c r="I283" i="8"/>
  <c r="L283" i="8" l="1"/>
  <c r="E284" i="8"/>
  <c r="H284" i="8"/>
  <c r="J284" i="8"/>
  <c r="K284" i="8" l="1"/>
  <c r="C285" i="8" s="1"/>
  <c r="G285" i="8" s="1"/>
  <c r="F284" i="8"/>
  <c r="I284" i="8"/>
  <c r="E285" i="8" l="1"/>
  <c r="H285" i="8"/>
  <c r="L284" i="8"/>
  <c r="J285" i="8"/>
  <c r="K285" i="8" l="1"/>
  <c r="C286" i="8" s="1"/>
  <c r="G286" i="8" s="1"/>
  <c r="J286" i="8" s="1"/>
  <c r="F285" i="8"/>
  <c r="I285" i="8"/>
  <c r="L285" i="8" l="1"/>
  <c r="E286" i="8"/>
  <c r="H286" i="8"/>
  <c r="K286" i="8" l="1"/>
  <c r="C287" i="8" s="1"/>
  <c r="G287" i="8" s="1"/>
  <c r="F286" i="8"/>
  <c r="I286" i="8"/>
  <c r="L286" i="8" l="1"/>
  <c r="E287" i="8"/>
  <c r="H287" i="8"/>
  <c r="J287" i="8"/>
  <c r="K287" i="8" l="1"/>
  <c r="C288" i="8" s="1"/>
  <c r="G288" i="8" s="1"/>
  <c r="F287" i="8"/>
  <c r="I287" i="8"/>
  <c r="L287" i="8" l="1"/>
  <c r="E288" i="8"/>
  <c r="I288" i="8" s="1"/>
  <c r="H288" i="8"/>
  <c r="J288" i="8"/>
  <c r="L288" i="8" l="1"/>
  <c r="K288" i="8"/>
  <c r="C289" i="8" s="1"/>
  <c r="G289" i="8" s="1"/>
  <c r="J289" i="8" s="1"/>
  <c r="F288" i="8"/>
  <c r="E289" i="8" l="1"/>
  <c r="H289" i="8"/>
  <c r="K289" i="8" l="1"/>
  <c r="C290" i="8" s="1"/>
  <c r="G290" i="8" s="1"/>
  <c r="F289" i="8"/>
  <c r="I289" i="8"/>
  <c r="L289" i="8" l="1"/>
  <c r="E290" i="8"/>
  <c r="H290" i="8"/>
  <c r="J290" i="8"/>
  <c r="K290" i="8" l="1"/>
  <c r="C291" i="8" s="1"/>
  <c r="G291" i="8" s="1"/>
  <c r="F290" i="8"/>
  <c r="I290" i="8"/>
  <c r="L290" i="8" l="1"/>
  <c r="E291" i="8"/>
  <c r="H291" i="8"/>
  <c r="J291" i="8"/>
  <c r="K291" i="8" l="1"/>
  <c r="C292" i="8" s="1"/>
  <c r="G292" i="8" s="1"/>
  <c r="F291" i="8"/>
  <c r="I291" i="8"/>
  <c r="L291" i="8" l="1"/>
  <c r="E292" i="8"/>
  <c r="H292" i="8"/>
  <c r="J292" i="8"/>
  <c r="K292" i="8" l="1"/>
  <c r="C293" i="8" s="1"/>
  <c r="G293" i="8" s="1"/>
  <c r="F292" i="8"/>
  <c r="I292" i="8"/>
  <c r="L292" i="8" l="1"/>
  <c r="E293" i="8"/>
  <c r="H293" i="8"/>
  <c r="J293" i="8"/>
  <c r="K293" i="8" l="1"/>
  <c r="C294" i="8" s="1"/>
  <c r="G294" i="8" s="1"/>
  <c r="F293" i="8"/>
  <c r="I293" i="8"/>
  <c r="L293" i="8" l="1"/>
  <c r="E294" i="8"/>
  <c r="H294" i="8"/>
  <c r="J294" i="8"/>
  <c r="K294" i="8" l="1"/>
  <c r="C295" i="8" s="1"/>
  <c r="G295" i="8" s="1"/>
  <c r="F294" i="8"/>
  <c r="I294" i="8"/>
  <c r="L294" i="8" l="1"/>
  <c r="E295" i="8"/>
  <c r="H295" i="8"/>
  <c r="J295" i="8"/>
  <c r="K295" i="8" l="1"/>
  <c r="C296" i="8" s="1"/>
  <c r="G296" i="8" s="1"/>
  <c r="F295" i="8"/>
  <c r="I295" i="8"/>
  <c r="E296" i="8" l="1"/>
  <c r="H296" i="8"/>
  <c r="I296" i="8"/>
  <c r="L295" i="8"/>
  <c r="J296" i="8"/>
  <c r="L296" i="8" l="1"/>
  <c r="K296" i="8"/>
  <c r="C297" i="8" s="1"/>
  <c r="G297" i="8" s="1"/>
  <c r="J297" i="8" s="1"/>
  <c r="F296" i="8"/>
  <c r="E297" i="8" l="1"/>
  <c r="H297" i="8"/>
  <c r="K297" i="8" l="1"/>
  <c r="C298" i="8" s="1"/>
  <c r="G298" i="8" s="1"/>
  <c r="F297" i="8"/>
  <c r="I297" i="8"/>
  <c r="L297" i="8" l="1"/>
  <c r="E298" i="8"/>
  <c r="H298" i="8"/>
  <c r="J298" i="8"/>
  <c r="K298" i="8" l="1"/>
  <c r="C299" i="8" s="1"/>
  <c r="G299" i="8" s="1"/>
  <c r="J299" i="8" s="1"/>
  <c r="F298" i="8"/>
  <c r="I298" i="8"/>
  <c r="L298" i="8" l="1"/>
  <c r="E299" i="8"/>
  <c r="H299" i="8"/>
  <c r="K299" i="8" l="1"/>
  <c r="C300" i="8" s="1"/>
  <c r="G300" i="8" s="1"/>
  <c r="F299" i="8"/>
  <c r="I299" i="8"/>
  <c r="L299" i="8" l="1"/>
  <c r="E300" i="8"/>
  <c r="H300" i="8"/>
  <c r="J300" i="8"/>
  <c r="K300" i="8" l="1"/>
  <c r="C301" i="8" s="1"/>
  <c r="G301" i="8" s="1"/>
  <c r="F300" i="8"/>
  <c r="J301" i="8"/>
  <c r="I300" i="8"/>
  <c r="L300" i="8" l="1"/>
  <c r="E301" i="8"/>
  <c r="H301" i="8"/>
  <c r="K301" i="8" l="1"/>
  <c r="C302" i="8" s="1"/>
  <c r="G302" i="8" s="1"/>
  <c r="F301" i="8"/>
  <c r="I301" i="8"/>
  <c r="L301" i="8" l="1"/>
  <c r="E302" i="8"/>
  <c r="H302" i="8"/>
  <c r="J302" i="8"/>
  <c r="K302" i="8" l="1"/>
  <c r="C303" i="8" s="1"/>
  <c r="G303" i="8" s="1"/>
  <c r="F302" i="8"/>
  <c r="I302" i="8"/>
  <c r="L302" i="8" l="1"/>
  <c r="E303" i="8"/>
  <c r="H303" i="8"/>
  <c r="J303" i="8"/>
  <c r="K303" i="8" l="1"/>
  <c r="C304" i="8" s="1"/>
  <c r="G304" i="8" s="1"/>
  <c r="F303" i="8"/>
  <c r="J304" i="8"/>
  <c r="I303" i="8"/>
  <c r="L303" i="8" l="1"/>
  <c r="E304" i="8"/>
  <c r="H304" i="8"/>
  <c r="K304" i="8" l="1"/>
  <c r="C305" i="8" s="1"/>
  <c r="G305" i="8" s="1"/>
  <c r="F304" i="8"/>
  <c r="I304" i="8"/>
  <c r="L304" i="8" l="1"/>
  <c r="E305" i="8"/>
  <c r="H305" i="8"/>
  <c r="J305" i="8"/>
  <c r="K305" i="8" l="1"/>
  <c r="C306" i="8" s="1"/>
  <c r="G306" i="8" s="1"/>
  <c r="J306" i="8" s="1"/>
  <c r="F305" i="8"/>
  <c r="I305" i="8"/>
  <c r="L305" i="8" l="1"/>
  <c r="E306" i="8"/>
  <c r="H306" i="8"/>
  <c r="K306" i="8" l="1"/>
  <c r="C307" i="8" s="1"/>
  <c r="G307" i="8" s="1"/>
  <c r="F306" i="8"/>
  <c r="I306" i="8"/>
  <c r="L306" i="8" l="1"/>
  <c r="E307" i="8"/>
  <c r="H307" i="8"/>
  <c r="J307" i="8"/>
  <c r="K307" i="8" l="1"/>
  <c r="C308" i="8" s="1"/>
  <c r="G308" i="8" s="1"/>
  <c r="J308" i="8" s="1"/>
  <c r="F307" i="8"/>
  <c r="I307" i="8"/>
  <c r="L307" i="8" l="1"/>
  <c r="E308" i="8"/>
  <c r="H308" i="8"/>
  <c r="K308" i="8" l="1"/>
  <c r="C309" i="8" s="1"/>
  <c r="G309" i="8" s="1"/>
  <c r="F308" i="8"/>
  <c r="I308" i="8"/>
  <c r="L308" i="8" l="1"/>
  <c r="E309" i="8"/>
  <c r="H309" i="8"/>
  <c r="J309" i="8"/>
  <c r="K309" i="8" l="1"/>
  <c r="C310" i="8" s="1"/>
  <c r="G310" i="8" s="1"/>
  <c r="F309" i="8"/>
  <c r="I309" i="8"/>
  <c r="L309" i="8" l="1"/>
  <c r="E310" i="8"/>
  <c r="H310" i="8"/>
  <c r="J310" i="8"/>
  <c r="K310" i="8" l="1"/>
  <c r="C311" i="8" s="1"/>
  <c r="G311" i="8" s="1"/>
  <c r="F310" i="8"/>
  <c r="I310" i="8"/>
  <c r="L310" i="8" l="1"/>
  <c r="E311" i="8"/>
  <c r="H311" i="8"/>
  <c r="J311" i="8"/>
  <c r="K311" i="8" l="1"/>
  <c r="C312" i="8" s="1"/>
  <c r="G312" i="8" s="1"/>
  <c r="F311" i="8"/>
  <c r="I311" i="8"/>
  <c r="L311" i="8" l="1"/>
  <c r="E312" i="8"/>
  <c r="H312" i="8"/>
  <c r="J312" i="8"/>
  <c r="K312" i="8" l="1"/>
  <c r="C313" i="8" s="1"/>
  <c r="G313" i="8" s="1"/>
  <c r="F312" i="8"/>
  <c r="I312" i="8"/>
  <c r="L312" i="8" l="1"/>
  <c r="E313" i="8"/>
  <c r="H313" i="8"/>
  <c r="J313" i="8"/>
  <c r="K313" i="8" l="1"/>
  <c r="C314" i="8" s="1"/>
  <c r="G314" i="8" s="1"/>
  <c r="F313" i="8"/>
  <c r="I313" i="8"/>
  <c r="L313" i="8" l="1"/>
  <c r="E314" i="8"/>
  <c r="H314" i="8"/>
  <c r="J314" i="8"/>
  <c r="K314" i="8" l="1"/>
  <c r="C315" i="8" s="1"/>
  <c r="G315" i="8" s="1"/>
  <c r="F314" i="8"/>
  <c r="J315" i="8"/>
  <c r="I314" i="8"/>
  <c r="L314" i="8" l="1"/>
  <c r="E315" i="8"/>
  <c r="H315" i="8"/>
  <c r="K315" i="8" l="1"/>
  <c r="C316" i="8" s="1"/>
  <c r="G316" i="8" s="1"/>
  <c r="F315" i="8"/>
  <c r="I315" i="8"/>
  <c r="L315" i="8" l="1"/>
  <c r="E316" i="8"/>
  <c r="H316" i="8"/>
  <c r="J316" i="8"/>
  <c r="K316" i="8" l="1"/>
  <c r="C317" i="8" s="1"/>
  <c r="G317" i="8" s="1"/>
  <c r="F316" i="8"/>
  <c r="J317" i="8"/>
  <c r="I316" i="8"/>
  <c r="L316" i="8" l="1"/>
  <c r="E317" i="8"/>
  <c r="H317" i="8"/>
  <c r="K317" i="8" l="1"/>
  <c r="C318" i="8" s="1"/>
  <c r="G318" i="8" s="1"/>
  <c r="F317" i="8"/>
  <c r="I317" i="8"/>
  <c r="L317" i="8" l="1"/>
  <c r="E318" i="8"/>
  <c r="H318" i="8"/>
  <c r="J318" i="8"/>
  <c r="K318" i="8" l="1"/>
  <c r="C319" i="8" s="1"/>
  <c r="G319" i="8" s="1"/>
  <c r="F318" i="8"/>
  <c r="I318" i="8"/>
  <c r="L318" i="8" l="1"/>
  <c r="E319" i="8"/>
  <c r="H319" i="8"/>
  <c r="J319" i="8"/>
  <c r="K319" i="8" l="1"/>
  <c r="C320" i="8" s="1"/>
  <c r="G320" i="8" s="1"/>
  <c r="F319" i="8"/>
  <c r="I319" i="8"/>
  <c r="L319" i="8" l="1"/>
  <c r="E320" i="8"/>
  <c r="H320" i="8"/>
  <c r="J320" i="8"/>
  <c r="K320" i="8" l="1"/>
  <c r="C321" i="8" s="1"/>
  <c r="G321" i="8" s="1"/>
  <c r="F320" i="8"/>
  <c r="I320" i="8"/>
  <c r="L320" i="8" l="1"/>
  <c r="E321" i="8"/>
  <c r="H321" i="8"/>
  <c r="J321" i="8"/>
  <c r="K321" i="8" l="1"/>
  <c r="C322" i="8" s="1"/>
  <c r="G322" i="8" s="1"/>
  <c r="F321" i="8"/>
  <c r="I321" i="8"/>
  <c r="L321" i="8" l="1"/>
  <c r="E322" i="8"/>
  <c r="H322" i="8"/>
  <c r="J322" i="8"/>
  <c r="K322" i="8" l="1"/>
  <c r="C323" i="8" s="1"/>
  <c r="G323" i="8" s="1"/>
  <c r="F322" i="8"/>
  <c r="I322" i="8"/>
  <c r="L322" i="8" l="1"/>
  <c r="E323" i="8"/>
  <c r="H323" i="8"/>
  <c r="J323" i="8"/>
  <c r="K323" i="8" l="1"/>
  <c r="C324" i="8" s="1"/>
  <c r="G324" i="8" s="1"/>
  <c r="F323" i="8"/>
  <c r="I323" i="8"/>
  <c r="L323" i="8" l="1"/>
  <c r="E324" i="8"/>
  <c r="I324" i="8" s="1"/>
  <c r="H324" i="8"/>
  <c r="J324" i="8"/>
  <c r="L324" i="8" l="1"/>
  <c r="K324" i="8"/>
  <c r="C325" i="8" s="1"/>
  <c r="G325" i="8" s="1"/>
  <c r="F324" i="8"/>
  <c r="E325" i="8" l="1"/>
  <c r="H325" i="8"/>
  <c r="J325" i="8"/>
  <c r="K325" i="8" l="1"/>
  <c r="C326" i="8" s="1"/>
  <c r="G326" i="8" s="1"/>
  <c r="F325" i="8"/>
  <c r="I325" i="8"/>
  <c r="L325" i="8" l="1"/>
  <c r="E326" i="8"/>
  <c r="H326" i="8"/>
  <c r="J326" i="8"/>
  <c r="K326" i="8" l="1"/>
  <c r="C327" i="8" s="1"/>
  <c r="G327" i="8" s="1"/>
  <c r="F326" i="8"/>
  <c r="I326" i="8"/>
  <c r="L326" i="8" l="1"/>
  <c r="E327" i="8"/>
  <c r="H327" i="8"/>
  <c r="J327" i="8"/>
  <c r="K327" i="8" l="1"/>
  <c r="C328" i="8" s="1"/>
  <c r="G328" i="8" s="1"/>
  <c r="F327" i="8"/>
  <c r="I327" i="8"/>
  <c r="L327" i="8" l="1"/>
  <c r="E328" i="8"/>
  <c r="H328" i="8"/>
  <c r="J328" i="8"/>
  <c r="K328" i="8" l="1"/>
  <c r="C329" i="8" s="1"/>
  <c r="G329" i="8" s="1"/>
  <c r="F328" i="8"/>
  <c r="I328" i="8"/>
  <c r="L328" i="8" l="1"/>
  <c r="E329" i="8"/>
  <c r="H329" i="8"/>
  <c r="J329" i="8"/>
  <c r="K329" i="8" l="1"/>
  <c r="C330" i="8" s="1"/>
  <c r="G330" i="8" s="1"/>
  <c r="F329" i="8"/>
  <c r="I329" i="8"/>
  <c r="L329" i="8" l="1"/>
  <c r="E330" i="8"/>
  <c r="H330" i="8"/>
  <c r="J330" i="8"/>
  <c r="K330" i="8" l="1"/>
  <c r="C331" i="8" s="1"/>
  <c r="G331" i="8" s="1"/>
  <c r="F330" i="8"/>
  <c r="I330" i="8"/>
  <c r="L330" i="8" l="1"/>
  <c r="E331" i="8"/>
  <c r="H331" i="8"/>
  <c r="J331" i="8"/>
  <c r="K331" i="8" l="1"/>
  <c r="C332" i="8" s="1"/>
  <c r="G332" i="8" s="1"/>
  <c r="F331" i="8"/>
  <c r="I331" i="8"/>
  <c r="L331" i="8" l="1"/>
  <c r="E332" i="8"/>
  <c r="H332" i="8"/>
  <c r="J332" i="8"/>
  <c r="K332" i="8" l="1"/>
  <c r="C333" i="8" s="1"/>
  <c r="G333" i="8" s="1"/>
  <c r="F332" i="8"/>
  <c r="I332" i="8"/>
  <c r="L332" i="8" l="1"/>
  <c r="E333" i="8"/>
  <c r="H333" i="8"/>
  <c r="J333" i="8"/>
  <c r="K333" i="8" l="1"/>
  <c r="C334" i="8" s="1"/>
  <c r="G334" i="8" s="1"/>
  <c r="F333" i="8"/>
  <c r="I333" i="8"/>
  <c r="L333" i="8" l="1"/>
  <c r="E334" i="8"/>
  <c r="I334" i="8" s="1"/>
  <c r="H334" i="8"/>
  <c r="J334" i="8"/>
  <c r="L334" i="8" l="1"/>
  <c r="K334" i="8"/>
  <c r="C335" i="8" s="1"/>
  <c r="G335" i="8" s="1"/>
  <c r="J335" i="8" s="1"/>
  <c r="F334" i="8"/>
  <c r="E335" i="8" l="1"/>
  <c r="H335" i="8"/>
  <c r="K335" i="8" l="1"/>
  <c r="C336" i="8" s="1"/>
  <c r="G336" i="8" s="1"/>
  <c r="F335" i="8"/>
  <c r="I335" i="8"/>
  <c r="L335" i="8" l="1"/>
  <c r="E336" i="8"/>
  <c r="H336" i="8"/>
  <c r="J336" i="8"/>
  <c r="K336" i="8" l="1"/>
  <c r="C337" i="8" s="1"/>
  <c r="G337" i="8" s="1"/>
  <c r="F336" i="8"/>
  <c r="I336" i="8"/>
  <c r="L336" i="8" l="1"/>
  <c r="E337" i="8"/>
  <c r="H337" i="8"/>
  <c r="J337" i="8"/>
  <c r="K337" i="8" l="1"/>
  <c r="C338" i="8" s="1"/>
  <c r="G338" i="8" s="1"/>
  <c r="J338" i="8" s="1"/>
  <c r="F337" i="8"/>
  <c r="I337" i="8"/>
  <c r="L337" i="8" l="1"/>
  <c r="E338" i="8"/>
  <c r="H338" i="8"/>
  <c r="K338" i="8" l="1"/>
  <c r="C339" i="8" s="1"/>
  <c r="G339" i="8" s="1"/>
  <c r="F338" i="8"/>
  <c r="I338" i="8"/>
  <c r="L338" i="8" l="1"/>
  <c r="E339" i="8"/>
  <c r="H339" i="8"/>
  <c r="J339" i="8"/>
  <c r="K339" i="8" l="1"/>
  <c r="C340" i="8" s="1"/>
  <c r="G340" i="8" s="1"/>
  <c r="F339" i="8"/>
  <c r="I339" i="8"/>
  <c r="L339" i="8" l="1"/>
  <c r="E340" i="8"/>
  <c r="H340" i="8"/>
  <c r="J340" i="8"/>
  <c r="K340" i="8" l="1"/>
  <c r="C341" i="8" s="1"/>
  <c r="F340" i="8"/>
  <c r="I340" i="8"/>
  <c r="L340" i="8" l="1"/>
  <c r="G341" i="8"/>
  <c r="H341" i="8" l="1"/>
  <c r="E341" i="8"/>
  <c r="J341" i="8"/>
  <c r="F341" i="8" l="1"/>
  <c r="I341" i="8"/>
  <c r="K341" i="8"/>
  <c r="C342" i="8" s="1"/>
  <c r="G342" i="8" l="1"/>
  <c r="L341" i="8"/>
  <c r="H342" i="8" l="1"/>
  <c r="E342" i="8"/>
  <c r="J342" i="8"/>
  <c r="F342" i="8" l="1"/>
  <c r="K342" i="8"/>
  <c r="C343" i="8" s="1"/>
  <c r="I342" i="8"/>
  <c r="L342" i="8" l="1"/>
  <c r="G343" i="8"/>
  <c r="H343" i="8" l="1"/>
  <c r="E343" i="8"/>
  <c r="J343" i="8"/>
  <c r="F343" i="8" l="1"/>
  <c r="I343" i="8"/>
  <c r="K343" i="8"/>
  <c r="C344" i="8" s="1"/>
  <c r="G344" i="8" l="1"/>
  <c r="L343" i="8"/>
  <c r="H344" i="8" l="1"/>
  <c r="E344" i="8"/>
  <c r="J344" i="8"/>
  <c r="F344" i="8" l="1"/>
  <c r="I344" i="8"/>
  <c r="K344" i="8"/>
  <c r="C345" i="8" s="1"/>
  <c r="L344" i="8" l="1"/>
  <c r="G345" i="8"/>
  <c r="H345" i="8" l="1"/>
  <c r="E345" i="8"/>
  <c r="J345" i="8"/>
  <c r="F345" i="8" l="1"/>
  <c r="I345" i="8"/>
  <c r="K345" i="8"/>
  <c r="C346" i="8" s="1"/>
  <c r="L345" i="8" l="1"/>
  <c r="G346" i="8"/>
  <c r="H346" i="8" l="1"/>
  <c r="E346" i="8"/>
  <c r="J346" i="8"/>
  <c r="F346" i="8" l="1"/>
  <c r="I346" i="8"/>
  <c r="K346" i="8"/>
  <c r="C347" i="8" s="1"/>
  <c r="G347" i="8" l="1"/>
  <c r="L346" i="8"/>
  <c r="H347" i="8" l="1"/>
  <c r="E347" i="8"/>
  <c r="J347" i="8"/>
  <c r="F347" i="8" l="1"/>
  <c r="K347" i="8"/>
  <c r="C348" i="8" s="1"/>
  <c r="I347" i="8"/>
  <c r="G348" i="8" l="1"/>
  <c r="L347" i="8"/>
  <c r="H348" i="8" l="1"/>
  <c r="E348" i="8"/>
  <c r="J348" i="8"/>
  <c r="F348" i="8" l="1"/>
  <c r="K348" i="8"/>
  <c r="C349" i="8" s="1"/>
  <c r="I348" i="8"/>
  <c r="G349" i="8" l="1"/>
  <c r="L348" i="8"/>
  <c r="H349" i="8" l="1"/>
  <c r="E349" i="8"/>
  <c r="J349" i="8"/>
  <c r="F349" i="8" l="1"/>
  <c r="K349" i="8"/>
  <c r="C350" i="8" s="1"/>
  <c r="I349" i="8"/>
  <c r="L349" i="8" l="1"/>
  <c r="G350" i="8"/>
  <c r="H350" i="8" l="1"/>
  <c r="E350" i="8"/>
  <c r="J350" i="8"/>
  <c r="F350" i="8" l="1"/>
  <c r="I350" i="8"/>
  <c r="K350" i="8"/>
  <c r="C351" i="8" s="1"/>
  <c r="G351" i="8" l="1"/>
  <c r="L350" i="8"/>
  <c r="H351" i="8" l="1"/>
  <c r="E351" i="8"/>
  <c r="J351" i="8"/>
  <c r="F351" i="8" l="1"/>
  <c r="K351" i="8"/>
  <c r="C352" i="8" s="1"/>
  <c r="I351" i="8"/>
  <c r="L351" i="8" l="1"/>
  <c r="G352" i="8"/>
  <c r="H352" i="8" l="1"/>
  <c r="E352" i="8"/>
  <c r="J352" i="8"/>
  <c r="F352" i="8" l="1"/>
  <c r="I352" i="8"/>
  <c r="K352" i="8"/>
  <c r="C353" i="8" s="1"/>
  <c r="L352" i="8" l="1"/>
  <c r="G353" i="8"/>
  <c r="H353" i="8" l="1"/>
  <c r="E353" i="8"/>
  <c r="J353" i="8"/>
  <c r="F353" i="8" l="1"/>
  <c r="I353" i="8"/>
  <c r="K353" i="8"/>
  <c r="C354" i="8" s="1"/>
  <c r="G354" i="8" l="1"/>
  <c r="L353" i="8"/>
  <c r="H354" i="8" l="1"/>
  <c r="E354" i="8"/>
  <c r="J354" i="8"/>
  <c r="F354" i="8" l="1"/>
  <c r="K354" i="8"/>
  <c r="C355" i="8" s="1"/>
  <c r="I354" i="8"/>
  <c r="L354" i="8" l="1"/>
  <c r="G355" i="8"/>
  <c r="H355" i="8" l="1"/>
  <c r="E355" i="8"/>
  <c r="J355" i="8"/>
  <c r="F355" i="8" l="1"/>
  <c r="I355" i="8"/>
  <c r="K355" i="8"/>
  <c r="C356" i="8" s="1"/>
  <c r="G356" i="8" l="1"/>
  <c r="L355" i="8"/>
  <c r="H356" i="8" l="1"/>
  <c r="E356" i="8"/>
  <c r="J356" i="8"/>
  <c r="F356" i="8" l="1"/>
  <c r="K356" i="8"/>
  <c r="C357" i="8" s="1"/>
  <c r="I356" i="8"/>
  <c r="L356" i="8" l="1"/>
  <c r="G357" i="8"/>
  <c r="H357" i="8" l="1"/>
  <c r="E357" i="8"/>
  <c r="J357" i="8"/>
  <c r="F357" i="8" l="1"/>
  <c r="I357" i="8"/>
  <c r="K357" i="8"/>
  <c r="C358" i="8" s="1"/>
  <c r="G358" i="8" l="1"/>
  <c r="L357" i="8"/>
  <c r="H358" i="8" l="1"/>
  <c r="E358" i="8"/>
  <c r="J358" i="8"/>
  <c r="F358" i="8" l="1"/>
  <c r="K358" i="8"/>
  <c r="C359" i="8" s="1"/>
  <c r="I358" i="8"/>
  <c r="L358" i="8" l="1"/>
  <c r="G359" i="8"/>
  <c r="H359" i="8" l="1"/>
  <c r="E359" i="8"/>
  <c r="J359" i="8"/>
  <c r="F359" i="8" l="1"/>
  <c r="I359" i="8"/>
  <c r="K359" i="8"/>
  <c r="C360" i="8" s="1"/>
  <c r="G360" i="8" l="1"/>
  <c r="L359" i="8"/>
  <c r="H360" i="8" l="1"/>
  <c r="E360" i="8"/>
  <c r="J360" i="8"/>
  <c r="F360" i="8" l="1"/>
  <c r="I360" i="8"/>
  <c r="K360" i="8"/>
  <c r="C361" i="8" s="1"/>
  <c r="L360" i="8" l="1"/>
  <c r="G361" i="8"/>
  <c r="H361" i="8" l="1"/>
  <c r="E361" i="8"/>
  <c r="J361" i="8"/>
  <c r="F361" i="8" l="1"/>
  <c r="I361" i="8"/>
  <c r="K361" i="8"/>
  <c r="C362" i="8" s="1"/>
  <c r="G362" i="8" l="1"/>
  <c r="L361" i="8"/>
  <c r="H362" i="8" l="1"/>
  <c r="E362" i="8"/>
  <c r="J362" i="8"/>
  <c r="F362" i="8" l="1"/>
  <c r="K362" i="8"/>
  <c r="C363" i="8" s="1"/>
  <c r="I362" i="8"/>
  <c r="L362" i="8" l="1"/>
  <c r="G363" i="8"/>
  <c r="H363" i="8" l="1"/>
  <c r="E363" i="8"/>
  <c r="J363" i="8"/>
  <c r="F363" i="8" l="1"/>
  <c r="I363" i="8"/>
  <c r="K363" i="8"/>
  <c r="C364" i="8" s="1"/>
  <c r="G364" i="8" l="1"/>
  <c r="L363" i="8"/>
  <c r="H364" i="8" l="1"/>
  <c r="E364" i="8"/>
  <c r="J364" i="8"/>
  <c r="F364" i="8" l="1"/>
  <c r="K364" i="8"/>
  <c r="C365" i="8" s="1"/>
  <c r="I364" i="8"/>
  <c r="L364" i="8" l="1"/>
  <c r="G365" i="8"/>
  <c r="H365" i="8" l="1"/>
  <c r="E365" i="8"/>
  <c r="J365" i="8"/>
  <c r="F365" i="8" l="1"/>
  <c r="I365" i="8"/>
  <c r="L365" i="8" s="1"/>
  <c r="K365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 Smith</author>
  </authors>
  <commentList>
    <comment ref="B1" authorId="0" shapeId="0" xr:uid="{3CE7516D-AF2F-4225-ABBF-DED58326AFC4}">
      <text>
        <r>
          <rPr>
            <b/>
            <sz val="9"/>
            <color indexed="81"/>
            <rFont val="Tahoma"/>
            <charset val="1"/>
          </rPr>
          <t>Matt Smith:</t>
        </r>
        <r>
          <rPr>
            <sz val="9"/>
            <color indexed="81"/>
            <rFont val="Tahoma"/>
            <charset val="1"/>
          </rPr>
          <t xml:space="preserve">
2646 on our purchase</t>
        </r>
      </text>
    </comment>
  </commentList>
</comments>
</file>

<file path=xl/sharedStrings.xml><?xml version="1.0" encoding="utf-8"?>
<sst xmlns="http://schemas.openxmlformats.org/spreadsheetml/2006/main" count="129" uniqueCount="107">
  <si>
    <t>Purchase Price</t>
  </si>
  <si>
    <t>Master Bath</t>
  </si>
  <si>
    <t>Kitchen</t>
  </si>
  <si>
    <t>Total Estimated Repairs</t>
  </si>
  <si>
    <t>Exterior Paint</t>
  </si>
  <si>
    <t>Interior Paint</t>
  </si>
  <si>
    <t>Flooring</t>
  </si>
  <si>
    <t>Cabinets</t>
  </si>
  <si>
    <t>All In Price (Purchase+Repairs)</t>
  </si>
  <si>
    <t>Loan Interest Rate</t>
  </si>
  <si>
    <t>Estimated ARV (After Repair Value)</t>
  </si>
  <si>
    <t>Hard Money Lender Points Paid</t>
  </si>
  <si>
    <t>Term (months)</t>
  </si>
  <si>
    <t>Hard Money Interest rate</t>
  </si>
  <si>
    <t>Monthly Loan Payment to Hard Money Lender</t>
  </si>
  <si>
    <t>Current Equity</t>
  </si>
  <si>
    <t>2950 Admiralty Bay Drive</t>
  </si>
  <si>
    <t>Current Loan Balance</t>
  </si>
  <si>
    <t>sqft</t>
  </si>
  <si>
    <t>as of 11/13/22</t>
  </si>
  <si>
    <t>Original Purchase Price</t>
  </si>
  <si>
    <t>Current Market Price</t>
  </si>
  <si>
    <t>80% Market Price</t>
  </si>
  <si>
    <t>Total Cash Available HELOC (Current Market Price - Current Loan Balance)</t>
  </si>
  <si>
    <t>$/sqft Market Estimate</t>
  </si>
  <si>
    <t>Insurance / Year</t>
  </si>
  <si>
    <t>Property Taxes / Year (1.8%)</t>
  </si>
  <si>
    <t>Down Payment (20%)</t>
  </si>
  <si>
    <t>HOA / year</t>
  </si>
  <si>
    <t>Electricity</t>
  </si>
  <si>
    <t>Nat Gas</t>
  </si>
  <si>
    <t>Water</t>
  </si>
  <si>
    <t>Monthly Interest Payment on Purchase Price</t>
  </si>
  <si>
    <t>paymentNumber</t>
  </si>
  <si>
    <t>paymentDate</t>
  </si>
  <si>
    <t>startingBalance</t>
  </si>
  <si>
    <t>principalPayment</t>
  </si>
  <si>
    <t>interestPayment</t>
  </si>
  <si>
    <t>cumulativePrincipal</t>
  </si>
  <si>
    <t>cumulativeInterest</t>
  </si>
  <si>
    <t>endingBalance</t>
  </si>
  <si>
    <t>Principle Pay Down</t>
  </si>
  <si>
    <t>Interest Percent</t>
  </si>
  <si>
    <t>Total Monthly Utilities</t>
  </si>
  <si>
    <t>Total Monthly(Interest+Principle+Prop Tax+Insurance)</t>
  </si>
  <si>
    <t>Total Monthly Payment</t>
  </si>
  <si>
    <t>Siding Repairs</t>
  </si>
  <si>
    <t>Miscellaneous (light fixtures/door knobs etc)</t>
  </si>
  <si>
    <t>Closing Costs (3%)</t>
  </si>
  <si>
    <t>One Time Costs at Closing (Closing+Down+HML)</t>
  </si>
  <si>
    <t>Repairs</t>
  </si>
  <si>
    <t>asking price</t>
  </si>
  <si>
    <t>Driveway Re-Pave</t>
  </si>
  <si>
    <t>Financials</t>
  </si>
  <si>
    <t>Cash On Cash Return (CoC)</t>
  </si>
  <si>
    <t>ROE (Return on Equity)</t>
  </si>
  <si>
    <t>ROI (Return on Investment)</t>
  </si>
  <si>
    <t>months</t>
  </si>
  <si>
    <t>HELOC Interest</t>
  </si>
  <si>
    <t>Term</t>
  </si>
  <si>
    <t>30 years</t>
  </si>
  <si>
    <t>Monthly Payment</t>
  </si>
  <si>
    <t>r</t>
  </si>
  <si>
    <t>(1+r)^n</t>
  </si>
  <si>
    <t>Total Paid End of Loan</t>
  </si>
  <si>
    <t>Repairs/Management Fees</t>
  </si>
  <si>
    <t>Net Income</t>
  </si>
  <si>
    <t>Capital Contributions</t>
  </si>
  <si>
    <t>Total Investment (Purchase + Capital)</t>
  </si>
  <si>
    <t>Current Property Value</t>
  </si>
  <si>
    <t>Months Owned</t>
  </si>
  <si>
    <t>Timeline of Repair (yrs)</t>
  </si>
  <si>
    <t>Roof</t>
  </si>
  <si>
    <t>Monthly Cost</t>
  </si>
  <si>
    <t>Guest baths</t>
  </si>
  <si>
    <t>Total Cost (all 8 units)</t>
  </si>
  <si>
    <t>Cost per Unit (2000sqft each)</t>
  </si>
  <si>
    <t>Estimated CapEx</t>
  </si>
  <si>
    <t>Monthly Cash Flow</t>
  </si>
  <si>
    <t>Estimated Expenses</t>
  </si>
  <si>
    <t>Mortgage Payment</t>
  </si>
  <si>
    <t>Interest</t>
  </si>
  <si>
    <t>Management Fees</t>
  </si>
  <si>
    <t>Building Maintenance</t>
  </si>
  <si>
    <t>Grounds Cleanup/Services Maintenance</t>
  </si>
  <si>
    <t>Mortgage Pay Down yr 1 (Based on Amortization Schedule)</t>
  </si>
  <si>
    <t>2023#s</t>
  </si>
  <si>
    <t>Total Loan Amount</t>
  </si>
  <si>
    <t>Rules of Thumb</t>
  </si>
  <si>
    <t>50% Rule</t>
  </si>
  <si>
    <t>per month</t>
  </si>
  <si>
    <t>Vacancy</t>
  </si>
  <si>
    <t>monthly rent</t>
  </si>
  <si>
    <t>yearly rent</t>
  </si>
  <si>
    <t>Calculated Gross Revenue</t>
  </si>
  <si>
    <t>Actual Gross Revenue</t>
  </si>
  <si>
    <t>Cap Rate</t>
  </si>
  <si>
    <t>Yearly Cash Flow / Profit ($)</t>
  </si>
  <si>
    <t>2% Rule</t>
  </si>
  <si>
    <t>Total Montly, including Renovations/Reserves</t>
  </si>
  <si>
    <t>Down Payment + Mortgage Pay Down</t>
  </si>
  <si>
    <t>1930 Independence</t>
  </si>
  <si>
    <t>Average Rent (4 units)</t>
  </si>
  <si>
    <t>Trash Pickup</t>
  </si>
  <si>
    <t>90% Market Price</t>
  </si>
  <si>
    <t>at 90% LTV HELOC</t>
  </si>
  <si>
    <t>at 80% LTV HELOC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</si>
</sst>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9" xfId="0" applyBorder="1"/>
    <xf numFmtId="9" fontId="0" fillId="0" borderId="0" xfId="2" applyFont="1"/>
    <xf numFmtId="44" fontId="0" fillId="0" borderId="0" xfId="1" applyFont="1"/>
    <xf numFmtId="44" fontId="0" fillId="0" borderId="0" xfId="0" applyNumberFormat="1"/>
    <xf numFmtId="1" fontId="0" fillId="0" borderId="0" xfId="0" applyNumberFormat="1"/>
    <xf numFmtId="164" fontId="0" fillId="0" borderId="0" xfId="1" applyNumberFormat="1" applyFont="1"/>
    <xf numFmtId="0" fontId="0" fillId="0" borderId="7" xfId="0" applyBorder="1" applyAlignment="1">
      <alignment wrapText="1"/>
    </xf>
    <xf numFmtId="164" fontId="0" fillId="0" borderId="8" xfId="1" applyNumberFormat="1" applyFont="1" applyBorder="1"/>
    <xf numFmtId="10" fontId="0" fillId="0" borderId="0" xfId="2" applyNumberFormat="1" applyFont="1"/>
    <xf numFmtId="14" fontId="0" fillId="0" borderId="0" xfId="0" applyNumberFormat="1"/>
    <xf numFmtId="8" fontId="0" fillId="0" borderId="0" xfId="0" applyNumberFormat="1"/>
    <xf numFmtId="0" fontId="2" fillId="0" borderId="1" xfId="0" applyFont="1" applyBorder="1"/>
    <xf numFmtId="164" fontId="0" fillId="0" borderId="0" xfId="0" applyNumberFormat="1"/>
    <xf numFmtId="44" fontId="0" fillId="0" borderId="0" xfId="1" applyFont="1" applyAlignment="1"/>
    <xf numFmtId="0" fontId="2" fillId="0" borderId="0" xfId="0" applyFont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2" borderId="0" xfId="0" applyFill="1"/>
    <xf numFmtId="164" fontId="0" fillId="0" borderId="14" xfId="1" applyNumberFormat="1" applyFont="1" applyBorder="1"/>
    <xf numFmtId="164" fontId="0" fillId="0" borderId="14" xfId="0" applyNumberFormat="1" applyBorder="1"/>
    <xf numFmtId="2" fontId="0" fillId="0" borderId="0" xfId="2" applyNumberFormat="1" applyFont="1"/>
    <xf numFmtId="8" fontId="0" fillId="3" borderId="0" xfId="0" applyNumberFormat="1" applyFill="1"/>
    <xf numFmtId="8" fontId="0" fillId="4" borderId="0" xfId="0" applyNumberFormat="1" applyFill="1"/>
    <xf numFmtId="2" fontId="0" fillId="0" borderId="0" xfId="1" applyNumberFormat="1" applyFont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2" fillId="0" borderId="8" xfId="0" applyFont="1" applyBorder="1"/>
    <xf numFmtId="0" fontId="0" fillId="0" borderId="15" xfId="0" applyBorder="1" applyAlignment="1">
      <alignment horizontal="center" wrapText="1"/>
    </xf>
    <xf numFmtId="1" fontId="0" fillId="0" borderId="19" xfId="0" applyNumberFormat="1" applyBorder="1"/>
    <xf numFmtId="1" fontId="0" fillId="0" borderId="8" xfId="1" applyNumberFormat="1" applyFont="1" applyBorder="1"/>
    <xf numFmtId="0" fontId="0" fillId="0" borderId="11" xfId="0" applyBorder="1" applyAlignment="1">
      <alignment horizontal="left"/>
    </xf>
    <xf numFmtId="164" fontId="0" fillId="0" borderId="0" xfId="1" applyNumberFormat="1" applyFont="1" applyBorder="1"/>
    <xf numFmtId="10" fontId="0" fillId="0" borderId="0" xfId="2" applyNumberFormat="1" applyFont="1" applyBorder="1"/>
    <xf numFmtId="0" fontId="0" fillId="0" borderId="14" xfId="0" applyBorder="1"/>
    <xf numFmtId="0" fontId="0" fillId="0" borderId="14" xfId="0" applyBorder="1" applyAlignment="1">
      <alignment wrapText="1"/>
    </xf>
    <xf numFmtId="44" fontId="0" fillId="0" borderId="14" xfId="0" applyNumberFormat="1" applyBorder="1"/>
    <xf numFmtId="10" fontId="0" fillId="0" borderId="14" xfId="2" applyNumberFormat="1" applyFont="1" applyBorder="1"/>
    <xf numFmtId="1" fontId="0" fillId="0" borderId="0" xfId="1" applyNumberFormat="1" applyFont="1" applyBorder="1"/>
    <xf numFmtId="0" fontId="2" fillId="0" borderId="5" xfId="0" applyFont="1" applyBorder="1"/>
    <xf numFmtId="8" fontId="0" fillId="0" borderId="14" xfId="0" applyNumberFormat="1" applyBorder="1"/>
    <xf numFmtId="9" fontId="0" fillId="0" borderId="14" xfId="0" applyNumberFormat="1" applyBorder="1"/>
    <xf numFmtId="44" fontId="0" fillId="0" borderId="0" xfId="1" applyFont="1" applyBorder="1"/>
    <xf numFmtId="44" fontId="0" fillId="0" borderId="12" xfId="0" applyNumberFormat="1" applyBorder="1" applyAlignment="1">
      <alignment horizontal="center"/>
    </xf>
    <xf numFmtId="0" fontId="2" fillId="0" borderId="14" xfId="0" applyFont="1" applyBorder="1"/>
    <xf numFmtId="9" fontId="0" fillId="0" borderId="14" xfId="2" applyFont="1" applyBorder="1"/>
    <xf numFmtId="165" fontId="0" fillId="0" borderId="14" xfId="2" applyNumberFormat="1" applyFont="1" applyBorder="1"/>
    <xf numFmtId="164" fontId="0" fillId="2" borderId="14" xfId="1" applyNumberFormat="1" applyFont="1" applyFill="1" applyBorder="1"/>
    <xf numFmtId="8" fontId="0" fillId="0" borderId="14" xfId="1" applyNumberFormat="1" applyFont="1" applyBorder="1"/>
    <xf numFmtId="44" fontId="2" fillId="0" borderId="14" xfId="0" applyNumberFormat="1" applyFont="1" applyBorder="1"/>
    <xf numFmtId="44" fontId="0" fillId="0" borderId="14" xfId="1" applyFont="1" applyBorder="1"/>
    <xf numFmtId="0" fontId="0" fillId="0" borderId="20" xfId="0" applyBorder="1"/>
    <xf numFmtId="44" fontId="0" fillId="0" borderId="21" xfId="1" applyFont="1" applyBorder="1"/>
    <xf numFmtId="165" fontId="0" fillId="0" borderId="12" xfId="2" applyNumberFormat="1" applyFont="1" applyBorder="1"/>
    <xf numFmtId="44" fontId="0" fillId="0" borderId="2" xfId="0" applyNumberFormat="1" applyBorder="1"/>
    <xf numFmtId="164" fontId="0" fillId="0" borderId="14" xfId="1" applyNumberFormat="1" applyFont="1" applyFill="1" applyBorder="1"/>
    <xf numFmtId="166" fontId="0" fillId="0" borderId="0" xfId="2" applyNumberFormat="1" applyFont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HELOC Amortization Schedule 11/13/2022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'1930 Congress Amortization'!$C$5</c:f>
              <c:strCache>
                <c:ptCount val="1"/>
                <c:pt idx="0">
                  <c:v>startingBalance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'1930 Congress Amortization'!$A$6:$A$365</c:f>
              <c:numCache>
                <c:formatCode>General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'1930 Congress Amortization'!$C$6:$C$365</c:f>
              <c:numCache>
                <c:formatCode>"$"#,##0.00_);[Red]\("$"#,##0.00\)</c:formatCode>
                <c:ptCount val="360"/>
                <c:pt idx="0" formatCode="_(&quot;$&quot;* #,##0.00_);_(&quot;$&quot;* \(#,##0.00\);_(&quot;$&quot;* &quot;-&quot;??_);_(@_)">
                  <c:v>700000</c:v>
                </c:pt>
                <c:pt idx="1">
                  <c:v>699500.94544977811</c:v>
                </c:pt>
                <c:pt idx="2">
                  <c:v>698998.68863285892</c:v>
                </c:pt>
                <c:pt idx="3">
                  <c:v>698493.20900136454</c:v>
                </c:pt>
                <c:pt idx="4">
                  <c:v>697984.485875568</c:v>
                </c:pt>
                <c:pt idx="5">
                  <c:v>697472.49844304763</c:v>
                </c:pt>
                <c:pt idx="6">
                  <c:v>696957.2257578352</c:v>
                </c:pt>
                <c:pt idx="7">
                  <c:v>696438.64673955936</c:v>
                </c:pt>
                <c:pt idx="8">
                  <c:v>695916.74017258291</c:v>
                </c:pt>
                <c:pt idx="9">
                  <c:v>695391.48470513499</c:v>
                </c:pt>
                <c:pt idx="10">
                  <c:v>694862.85884843767</c:v>
                </c:pt>
                <c:pt idx="11">
                  <c:v>694330.84097582649</c:v>
                </c:pt>
                <c:pt idx="12">
                  <c:v>693795.40932186611</c:v>
                </c:pt>
                <c:pt idx="13">
                  <c:v>693256.54198145948</c:v>
                </c:pt>
                <c:pt idx="14">
                  <c:v>692714.21690895187</c:v>
                </c:pt>
                <c:pt idx="15">
                  <c:v>692168.41191722907</c:v>
                </c:pt>
                <c:pt idx="16">
                  <c:v>691619.10467680939</c:v>
                </c:pt>
                <c:pt idx="17">
                  <c:v>691066.27271493035</c:v>
                </c:pt>
                <c:pt idx="18">
                  <c:v>690509.89341462916</c:v>
                </c:pt>
                <c:pt idx="19">
                  <c:v>689949.9440138177</c:v>
                </c:pt>
                <c:pt idx="20">
                  <c:v>689386.40160435112</c:v>
                </c:pt>
                <c:pt idx="21">
                  <c:v>688819.24313109042</c:v>
                </c:pt>
                <c:pt idx="22">
                  <c:v>688248.44539095962</c:v>
                </c:pt>
                <c:pt idx="23">
                  <c:v>687673.98503199639</c:v>
                </c:pt>
                <c:pt idx="24">
                  <c:v>687095.8385523964</c:v>
                </c:pt>
                <c:pt idx="25">
                  <c:v>686513.9822995523</c:v>
                </c:pt>
                <c:pt idx="26">
                  <c:v>685928.39246908587</c:v>
                </c:pt>
                <c:pt idx="27">
                  <c:v>685339.04510387394</c:v>
                </c:pt>
                <c:pt idx="28">
                  <c:v>684745.91609306855</c:v>
                </c:pt>
                <c:pt idx="29">
                  <c:v>684148.98117111041</c:v>
                </c:pt>
                <c:pt idx="30">
                  <c:v>683548.2159167364</c:v>
                </c:pt>
                <c:pt idx="31">
                  <c:v>682943.5957519802</c:v>
                </c:pt>
                <c:pt idx="32">
                  <c:v>682335.09594116674</c:v>
                </c:pt>
                <c:pt idx="33">
                  <c:v>681722.69158990064</c:v>
                </c:pt>
                <c:pt idx="34">
                  <c:v>681106.35764404724</c:v>
                </c:pt>
                <c:pt idx="35">
                  <c:v>680486.0688887079</c:v>
                </c:pt>
                <c:pt idx="36">
                  <c:v>679861.79994718847</c:v>
                </c:pt>
                <c:pt idx="37">
                  <c:v>679233.52527996094</c:v>
                </c:pt>
                <c:pt idx="38">
                  <c:v>678601.21918361878</c:v>
                </c:pt>
                <c:pt idx="39">
                  <c:v>677964.85578982509</c:v>
                </c:pt>
                <c:pt idx="40">
                  <c:v>677324.40906425449</c:v>
                </c:pt>
                <c:pt idx="41">
                  <c:v>676679.85280552821</c:v>
                </c:pt>
                <c:pt idx="42">
                  <c:v>676031.16064414172</c:v>
                </c:pt>
                <c:pt idx="43">
                  <c:v>675378.30604138633</c:v>
                </c:pt>
                <c:pt idx="44">
                  <c:v>674721.2622882633</c:v>
                </c:pt>
                <c:pt idx="45">
                  <c:v>674060.00250439101</c:v>
                </c:pt>
                <c:pt idx="46">
                  <c:v>673394.49963690562</c:v>
                </c:pt>
                <c:pt idx="47">
                  <c:v>672724.72645935381</c:v>
                </c:pt>
                <c:pt idx="48">
                  <c:v>672050.65557057934</c:v>
                </c:pt>
                <c:pt idx="49">
                  <c:v>671372.25939360191</c:v>
                </c:pt>
                <c:pt idx="50">
                  <c:v>670689.51017448888</c:v>
                </c:pt>
                <c:pt idx="51">
                  <c:v>670002.37998121988</c:v>
                </c:pt>
                <c:pt idx="52">
                  <c:v>669310.84070254408</c:v>
                </c:pt>
                <c:pt idx="53">
                  <c:v>668614.8640468301</c:v>
                </c:pt>
                <c:pt idx="54">
                  <c:v>667914.42154090863</c:v>
                </c:pt>
                <c:pt idx="55">
                  <c:v>667209.48452890757</c:v>
                </c:pt>
                <c:pt idx="56">
                  <c:v>666500.02417107951</c:v>
                </c:pt>
                <c:pt idx="57">
                  <c:v>665786.01144262194</c:v>
                </c:pt>
                <c:pt idx="58">
                  <c:v>665067.4171324902</c:v>
                </c:pt>
                <c:pt idx="59">
                  <c:v>664344.21184220177</c:v>
                </c:pt>
                <c:pt idx="60">
                  <c:v>663616.36598463391</c:v>
                </c:pt>
                <c:pt idx="61">
                  <c:v>662883.84978281334</c:v>
                </c:pt>
                <c:pt idx="62">
                  <c:v>662146.63326869777</c:v>
                </c:pt>
                <c:pt idx="63">
                  <c:v>661404.68628194998</c:v>
                </c:pt>
                <c:pt idx="64">
                  <c:v>660657.97846870392</c:v>
                </c:pt>
                <c:pt idx="65">
                  <c:v>659906.47928032279</c:v>
                </c:pt>
                <c:pt idx="66">
                  <c:v>659150.15797214955</c:v>
                </c:pt>
                <c:pt idx="67">
                  <c:v>658388.98360224895</c:v>
                </c:pt>
                <c:pt idx="68">
                  <c:v>657622.92503014149</c:v>
                </c:pt>
                <c:pt idx="69">
                  <c:v>656851.95091552963</c:v>
                </c:pt>
                <c:pt idx="70">
                  <c:v>656076.02971701568</c:v>
                </c:pt>
                <c:pt idx="71">
                  <c:v>655295.12969081127</c:v>
                </c:pt>
                <c:pt idx="72">
                  <c:v>654509.21888943866</c:v>
                </c:pt>
                <c:pt idx="73">
                  <c:v>653718.26516042394</c:v>
                </c:pt>
                <c:pt idx="74">
                  <c:v>652922.23614498135</c:v>
                </c:pt>
                <c:pt idx="75">
                  <c:v>652121.0992766897</c:v>
                </c:pt>
                <c:pt idx="76">
                  <c:v>651314.82178015984</c:v>
                </c:pt>
                <c:pt idx="77">
                  <c:v>650503.37066969392</c:v>
                </c:pt>
                <c:pt idx="78">
                  <c:v>649686.71274793579</c:v>
                </c:pt>
                <c:pt idx="79">
                  <c:v>648864.81460451311</c:v>
                </c:pt>
                <c:pt idx="80">
                  <c:v>648037.6426146701</c:v>
                </c:pt>
                <c:pt idx="81">
                  <c:v>647205.16293789225</c:v>
                </c:pt>
                <c:pt idx="82">
                  <c:v>646367.34151652176</c:v>
                </c:pt>
                <c:pt idx="83">
                  <c:v>645524.14407436422</c:v>
                </c:pt>
                <c:pt idx="84">
                  <c:v>644675.53611528606</c:v>
                </c:pt>
                <c:pt idx="85">
                  <c:v>643821.48292180384</c:v>
                </c:pt>
                <c:pt idx="86">
                  <c:v>642961.94955366349</c:v>
                </c:pt>
                <c:pt idx="87">
                  <c:v>642096.90084641089</c:v>
                </c:pt>
                <c:pt idx="88">
                  <c:v>641226.30140995339</c:v>
                </c:pt>
                <c:pt idx="89">
                  <c:v>640350.11562711198</c:v>
                </c:pt>
                <c:pt idx="90">
                  <c:v>639468.30765216402</c:v>
                </c:pt>
                <c:pt idx="91">
                  <c:v>638580.84140937682</c:v>
                </c:pt>
                <c:pt idx="92">
                  <c:v>637687.68059153168</c:v>
                </c:pt>
                <c:pt idx="93">
                  <c:v>636788.78865843872</c:v>
                </c:pt>
                <c:pt idx="94">
                  <c:v>635884.12883544178</c:v>
                </c:pt>
                <c:pt idx="95">
                  <c:v>634973.66411191388</c:v>
                </c:pt>
                <c:pt idx="96">
                  <c:v>634057.35723974335</c:v>
                </c:pt>
                <c:pt idx="97">
                  <c:v>633135.17073180981</c:v>
                </c:pt>
                <c:pt idx="98">
                  <c:v>632207.06686045032</c:v>
                </c:pt>
                <c:pt idx="99">
                  <c:v>631273.00765591627</c:v>
                </c:pt>
                <c:pt idx="100">
                  <c:v>630332.95490481984</c:v>
                </c:pt>
                <c:pt idx="101">
                  <c:v>629386.87014857051</c:v>
                </c:pt>
                <c:pt idx="102">
                  <c:v>628434.71468180185</c:v>
                </c:pt>
                <c:pt idx="103">
                  <c:v>627476.44955078815</c:v>
                </c:pt>
                <c:pt idx="104">
                  <c:v>626512.03555185045</c:v>
                </c:pt>
                <c:pt idx="105">
                  <c:v>625541.43322975293</c:v>
                </c:pt>
                <c:pt idx="106">
                  <c:v>624564.60287608858</c:v>
                </c:pt>
                <c:pt idx="107">
                  <c:v>623581.50452765485</c:v>
                </c:pt>
                <c:pt idx="108">
                  <c:v>622592.09796481871</c:v>
                </c:pt>
                <c:pt idx="109">
                  <c:v>621596.34270987101</c:v>
                </c:pt>
                <c:pt idx="110">
                  <c:v>620594.19802537072</c:v>
                </c:pt>
                <c:pt idx="111">
                  <c:v>619585.62291247828</c:v>
                </c:pt>
                <c:pt idx="112">
                  <c:v>618570.57610927802</c:v>
                </c:pt>
                <c:pt idx="113">
                  <c:v>617549.01608909061</c:v>
                </c:pt>
                <c:pt idx="114">
                  <c:v>616520.90105877363</c:v>
                </c:pt>
                <c:pt idx="115">
                  <c:v>615486.18895701214</c:v>
                </c:pt>
                <c:pt idx="116">
                  <c:v>614444.83745259768</c:v>
                </c:pt>
                <c:pt idx="117">
                  <c:v>613396.80394269654</c:v>
                </c:pt>
                <c:pt idx="118">
                  <c:v>612342.04555110692</c:v>
                </c:pt>
                <c:pt idx="119">
                  <c:v>611280.51912650454</c:v>
                </c:pt>
                <c:pt idx="120">
                  <c:v>610212.18124067772</c:v>
                </c:pt>
                <c:pt idx="121">
                  <c:v>609136.9881867501</c:v>
                </c:pt>
                <c:pt idx="122">
                  <c:v>608054.89597739314</c:v>
                </c:pt>
                <c:pt idx="123">
                  <c:v>606965.86034302611</c:v>
                </c:pt>
                <c:pt idx="124">
                  <c:v>605869.83673000522</c:v>
                </c:pt>
                <c:pt idx="125">
                  <c:v>604766.78029880079</c:v>
                </c:pt>
                <c:pt idx="126">
                  <c:v>603656.6459221628</c:v>
                </c:pt>
                <c:pt idx="127">
                  <c:v>602539.38818327477</c:v>
                </c:pt>
                <c:pt idx="128">
                  <c:v>601414.96137389552</c:v>
                </c:pt>
                <c:pt idx="129">
                  <c:v>600283.31949248945</c:v>
                </c:pt>
                <c:pt idx="130">
                  <c:v>599144.4162423443</c:v>
                </c:pt>
                <c:pt idx="131">
                  <c:v>597998.20502967737</c:v>
                </c:pt>
                <c:pt idx="132">
                  <c:v>596844.63896172913</c:v>
                </c:pt>
                <c:pt idx="133">
                  <c:v>595683.67084484489</c:v>
                </c:pt>
                <c:pt idx="134">
                  <c:v>594515.25318254402</c:v>
                </c:pt>
                <c:pt idx="135">
                  <c:v>593339.33817357675</c:v>
                </c:pt>
                <c:pt idx="136">
                  <c:v>592155.8777099686</c:v>
                </c:pt>
                <c:pt idx="137">
                  <c:v>590964.82337505231</c:v>
                </c:pt>
                <c:pt idx="138">
                  <c:v>589766.12644148699</c:v>
                </c:pt>
                <c:pt idx="139">
                  <c:v>588559.73786926456</c:v>
                </c:pt>
                <c:pt idx="140">
                  <c:v>587345.60830370372</c:v>
                </c:pt>
                <c:pt idx="141">
                  <c:v>586123.68807343056</c:v>
                </c:pt>
                <c:pt idx="142">
                  <c:v>584893.92718834651</c:v>
                </c:pt>
                <c:pt idx="143">
                  <c:v>583656.27533758315</c:v>
                </c:pt>
                <c:pt idx="144">
                  <c:v>582410.68188744399</c:v>
                </c:pt>
                <c:pt idx="145">
                  <c:v>581157.09587933309</c:v>
                </c:pt>
                <c:pt idx="146">
                  <c:v>579895.46602767019</c:v>
                </c:pt>
                <c:pt idx="147">
                  <c:v>578625.74071779242</c:v>
                </c:pt>
                <c:pt idx="148">
                  <c:v>577347.868003843</c:v>
                </c:pt>
                <c:pt idx="149">
                  <c:v>576061.79560664576</c:v>
                </c:pt>
                <c:pt idx="150">
                  <c:v>574767.4709115664</c:v>
                </c:pt>
                <c:pt idx="151">
                  <c:v>573464.84096636029</c:v>
                </c:pt>
                <c:pt idx="152">
                  <c:v>572153.85247900581</c:v>
                </c:pt>
                <c:pt idx="153">
                  <c:v>570834.45181552414</c:v>
                </c:pt>
                <c:pt idx="154">
                  <c:v>569506.58499778516</c:v>
                </c:pt>
                <c:pt idx="155">
                  <c:v>568170.19770129898</c:v>
                </c:pt>
                <c:pt idx="156">
                  <c:v>566825.23525299365</c:v>
                </c:pt>
                <c:pt idx="157">
                  <c:v>565471.64262897836</c:v>
                </c:pt>
                <c:pt idx="158">
                  <c:v>564109.36445229233</c:v>
                </c:pt>
                <c:pt idx="159">
                  <c:v>562738.34499063925</c:v>
                </c:pt>
                <c:pt idx="160">
                  <c:v>561358.52815410728</c:v>
                </c:pt>
                <c:pt idx="161">
                  <c:v>559969.85749287414</c:v>
                </c:pt>
                <c:pt idx="162">
                  <c:v>558572.27619489818</c:v>
                </c:pt>
                <c:pt idx="163">
                  <c:v>557165.72708359349</c:v>
                </c:pt>
                <c:pt idx="164">
                  <c:v>555750.1526154913</c:v>
                </c:pt>
                <c:pt idx="165">
                  <c:v>554325.49487788545</c:v>
                </c:pt>
                <c:pt idx="166">
                  <c:v>552891.69558646332</c:v>
                </c:pt>
                <c:pt idx="167">
                  <c:v>551448.69608292123</c:v>
                </c:pt>
                <c:pt idx="168">
                  <c:v>549996.43733256473</c:v>
                </c:pt>
                <c:pt idx="169">
                  <c:v>548534.85992189345</c:v>
                </c:pt>
                <c:pt idx="170">
                  <c:v>547063.90405617037</c:v>
                </c:pt>
                <c:pt idx="171">
                  <c:v>545583.50955697556</c:v>
                </c:pt>
                <c:pt idx="172">
                  <c:v>544093.61585974426</c:v>
                </c:pt>
                <c:pt idx="173">
                  <c:v>542594.16201128904</c:v>
                </c:pt>
                <c:pt idx="174">
                  <c:v>541085.08666730614</c:v>
                </c:pt>
                <c:pt idx="175">
                  <c:v>539566.32808986609</c:v>
                </c:pt>
                <c:pt idx="176">
                  <c:v>538037.82414488751</c:v>
                </c:pt>
                <c:pt idx="177">
                  <c:v>536499.51229959528</c:v>
                </c:pt>
                <c:pt idx="178">
                  <c:v>534951.32961996237</c:v>
                </c:pt>
                <c:pt idx="179">
                  <c:v>533393.21276813524</c:v>
                </c:pt>
                <c:pt idx="180">
                  <c:v>531825.09799984214</c:v>
                </c:pt>
                <c:pt idx="181">
                  <c:v>530246.92116178584</c:v>
                </c:pt>
                <c:pt idx="182">
                  <c:v>528658.61768901872</c:v>
                </c:pt>
                <c:pt idx="183">
                  <c:v>527060.1226023013</c:v>
                </c:pt>
                <c:pt idx="184">
                  <c:v>525451.37050544412</c:v>
                </c:pt>
                <c:pt idx="185">
                  <c:v>523832.29558263213</c:v>
                </c:pt>
                <c:pt idx="186">
                  <c:v>522202.83159573207</c:v>
                </c:pt>
                <c:pt idx="187">
                  <c:v>520562.91188158275</c:v>
                </c:pt>
                <c:pt idx="188">
                  <c:v>518912.4693492676</c:v>
                </c:pt>
                <c:pt idx="189">
                  <c:v>517251.43647737009</c:v>
                </c:pt>
                <c:pt idx="190">
                  <c:v>515579.74531121127</c:v>
                </c:pt>
                <c:pt idx="191">
                  <c:v>513897.32746006962</c:v>
                </c:pt>
                <c:pt idx="192">
                  <c:v>512204.11409438314</c:v>
                </c:pt>
                <c:pt idx="193">
                  <c:v>510500.03594293346</c:v>
                </c:pt>
                <c:pt idx="194">
                  <c:v>508785.02329001203</c:v>
                </c:pt>
                <c:pt idx="195">
                  <c:v>507059.00597256765</c:v>
                </c:pt>
                <c:pt idx="196">
                  <c:v>505321.91337733634</c:v>
                </c:pt>
                <c:pt idx="197">
                  <c:v>503573.67443795229</c:v>
                </c:pt>
                <c:pt idx="198">
                  <c:v>501814.21763204056</c:v>
                </c:pt>
                <c:pt idx="199">
                  <c:v>500043.47097829089</c:v>
                </c:pt>
                <c:pt idx="200">
                  <c:v>498261.36203351297</c:v>
                </c:pt>
                <c:pt idx="201">
                  <c:v>496467.8178896727</c:v>
                </c:pt>
                <c:pt idx="202">
                  <c:v>494662.76517090946</c:v>
                </c:pt>
                <c:pt idx="203">
                  <c:v>492846.13003053417</c:v>
                </c:pt>
                <c:pt idx="204">
                  <c:v>491017.83814800816</c:v>
                </c:pt>
                <c:pt idx="205">
                  <c:v>489177.81472590257</c:v>
                </c:pt>
                <c:pt idx="206">
                  <c:v>487325.98448683851</c:v>
                </c:pt>
                <c:pt idx="207">
                  <c:v>485462.27167040709</c:v>
                </c:pt>
                <c:pt idx="208">
                  <c:v>483586.60003007029</c:v>
                </c:pt>
                <c:pt idx="209">
                  <c:v>481698.8928300413</c:v>
                </c:pt>
                <c:pt idx="210">
                  <c:v>479799.07284214546</c:v>
                </c:pt>
                <c:pt idx="211">
                  <c:v>477887.06234266062</c:v>
                </c:pt>
                <c:pt idx="212">
                  <c:v>475962.78310913744</c:v>
                </c:pt>
                <c:pt idx="213">
                  <c:v>474026.15641719912</c:v>
                </c:pt>
                <c:pt idx="214">
                  <c:v>472077.10303732089</c:v>
                </c:pt>
                <c:pt idx="215">
                  <c:v>470115.54323158844</c:v>
                </c:pt>
                <c:pt idx="216">
                  <c:v>468141.39675043587</c:v>
                </c:pt>
                <c:pt idx="217">
                  <c:v>466154.58282936254</c:v>
                </c:pt>
                <c:pt idx="218">
                  <c:v>464155.02018562902</c:v>
                </c:pt>
                <c:pt idx="219">
                  <c:v>462142.62701493152</c:v>
                </c:pt>
                <c:pt idx="220">
                  <c:v>460117.32098805538</c:v>
                </c:pt>
                <c:pt idx="221">
                  <c:v>458079.0192475068</c:v>
                </c:pt>
                <c:pt idx="222">
                  <c:v>456027.63840412302</c:v>
                </c:pt>
                <c:pt idx="223">
                  <c:v>453963.09453366086</c:v>
                </c:pt>
                <c:pt idx="224">
                  <c:v>451885.30317336321</c:v>
                </c:pt>
                <c:pt idx="225">
                  <c:v>449794.17931850365</c:v>
                </c:pt>
                <c:pt idx="226">
                  <c:v>447689.63741890877</c:v>
                </c:pt>
                <c:pt idx="227">
                  <c:v>445571.59137545817</c:v>
                </c:pt>
                <c:pt idx="228">
                  <c:v>443439.95453656209</c:v>
                </c:pt>
                <c:pt idx="229">
                  <c:v>441294.63969461643</c:v>
                </c:pt>
                <c:pt idx="230">
                  <c:v>439135.55908243492</c:v>
                </c:pt>
                <c:pt idx="231">
                  <c:v>436962.62436965859</c:v>
                </c:pt>
                <c:pt idx="232">
                  <c:v>434775.74665914197</c:v>
                </c:pt>
                <c:pt idx="233">
                  <c:v>432574.8364833162</c:v>
                </c:pt>
                <c:pt idx="234">
                  <c:v>430359.80380052887</c:v>
                </c:pt>
                <c:pt idx="235">
                  <c:v>428130.55799136031</c:v>
                </c:pt>
                <c:pt idx="236">
                  <c:v>425887.00785491627</c:v>
                </c:pt>
                <c:pt idx="237">
                  <c:v>423629.06160509668</c:v>
                </c:pt>
                <c:pt idx="238">
                  <c:v>421356.62686684076</c:v>
                </c:pt>
                <c:pt idx="239">
                  <c:v>419069.61067234771</c:v>
                </c:pt>
                <c:pt idx="240">
                  <c:v>416767.91945727332</c:v>
                </c:pt>
                <c:pt idx="241">
                  <c:v>414451.45905690221</c:v>
                </c:pt>
                <c:pt idx="242">
                  <c:v>412120.13470229541</c:v>
                </c:pt>
                <c:pt idx="243">
                  <c:v>409773.85101641319</c:v>
                </c:pt>
                <c:pt idx="244">
                  <c:v>407412.51201021322</c:v>
                </c:pt>
                <c:pt idx="245">
                  <c:v>405036.02107872348</c:v>
                </c:pt>
                <c:pt idx="246">
                  <c:v>402644.28099709004</c:v>
                </c:pt>
                <c:pt idx="247">
                  <c:v>400237.19391659944</c:v>
                </c:pt>
                <c:pt idx="248">
                  <c:v>397814.6613606757</c:v>
                </c:pt>
                <c:pt idx="249">
                  <c:v>395376.58422085142</c:v>
                </c:pt>
                <c:pt idx="250">
                  <c:v>392922.86275271326</c:v>
                </c:pt>
                <c:pt idx="251">
                  <c:v>390453.39657182124</c:v>
                </c:pt>
                <c:pt idx="252">
                  <c:v>387968.08464960183</c:v>
                </c:pt>
                <c:pt idx="253">
                  <c:v>385466.82530921482</c:v>
                </c:pt>
                <c:pt idx="254">
                  <c:v>382949.51622139366</c:v>
                </c:pt>
                <c:pt idx="255">
                  <c:v>380416.05440025899</c:v>
                </c:pt>
                <c:pt idx="256">
                  <c:v>377866.33619910537</c:v>
                </c:pt>
                <c:pt idx="257">
                  <c:v>375300.25730616099</c:v>
                </c:pt>
                <c:pt idx="258">
                  <c:v>372717.71274032025</c:v>
                </c:pt>
                <c:pt idx="259">
                  <c:v>370118.59684684867</c:v>
                </c:pt>
                <c:pt idx="260">
                  <c:v>367502.80329306069</c:v>
                </c:pt>
                <c:pt idx="261">
                  <c:v>364870.22506396921</c:v>
                </c:pt>
                <c:pt idx="262">
                  <c:v>362220.75445790775</c:v>
                </c:pt>
                <c:pt idx="263">
                  <c:v>359554.28308212402</c:v>
                </c:pt>
                <c:pt idx="264">
                  <c:v>356870.70184834569</c:v>
                </c:pt>
                <c:pt idx="265">
                  <c:v>354169.90096831729</c:v>
                </c:pt>
                <c:pt idx="266">
                  <c:v>351451.76994930871</c:v>
                </c:pt>
                <c:pt idx="267">
                  <c:v>348716.19758959481</c:v>
                </c:pt>
                <c:pt idx="268">
                  <c:v>345963.07197390607</c:v>
                </c:pt>
                <c:pt idx="269">
                  <c:v>343192.28046885005</c:v>
                </c:pt>
                <c:pt idx="270">
                  <c:v>340403.70971830323</c:v>
                </c:pt>
                <c:pt idx="271">
                  <c:v>337597.24563877372</c:v>
                </c:pt>
                <c:pt idx="272">
                  <c:v>334772.77341473388</c:v>
                </c:pt>
                <c:pt idx="273">
                  <c:v>331930.17749392317</c:v>
                </c:pt>
                <c:pt idx="274">
                  <c:v>329069.34158262057</c:v>
                </c:pt>
                <c:pt idx="275">
                  <c:v>326190.14864088711</c:v>
                </c:pt>
                <c:pt idx="276">
                  <c:v>323292.4808777775</c:v>
                </c:pt>
                <c:pt idx="277">
                  <c:v>320376.21974652132</c:v>
                </c:pt>
                <c:pt idx="278">
                  <c:v>317441.24593967287</c:v>
                </c:pt>
                <c:pt idx="279">
                  <c:v>314487.43938423047</c:v>
                </c:pt>
                <c:pt idx="280">
                  <c:v>311514.67923672398</c:v>
                </c:pt>
                <c:pt idx="281">
                  <c:v>308522.843878271</c:v>
                </c:pt>
                <c:pt idx="282">
                  <c:v>305511.81090960128</c:v>
                </c:pt>
                <c:pt idx="283">
                  <c:v>302481.45714604924</c:v>
                </c:pt>
                <c:pt idx="284">
                  <c:v>299431.65861251444</c:v>
                </c:pt>
                <c:pt idx="285">
                  <c:v>296362.29053838947</c:v>
                </c:pt>
                <c:pt idx="286">
                  <c:v>293273.22735245555</c:v>
                </c:pt>
                <c:pt idx="287">
                  <c:v>290164.34267774521</c:v>
                </c:pt>
                <c:pt idx="288">
                  <c:v>287035.50932637212</c:v>
                </c:pt>
                <c:pt idx="289">
                  <c:v>283886.59929432772</c:v>
                </c:pt>
                <c:pt idx="290">
                  <c:v>280717.48375624436</c:v>
                </c:pt>
                <c:pt idx="291">
                  <c:v>277528.03306012496</c:v>
                </c:pt>
                <c:pt idx="292">
                  <c:v>274318.11672203883</c:v>
                </c:pt>
                <c:pt idx="293">
                  <c:v>271087.6034207833</c:v>
                </c:pt>
                <c:pt idx="294">
                  <c:v>267836.36099251139</c:v>
                </c:pt>
                <c:pt idx="295">
                  <c:v>264564.25642532471</c:v>
                </c:pt>
                <c:pt idx="296">
                  <c:v>261271.15585383194</c:v>
                </c:pt>
                <c:pt idx="297">
                  <c:v>257956.92455367208</c:v>
                </c:pt>
                <c:pt idx="298">
                  <c:v>254621.42693600286</c:v>
                </c:pt>
                <c:pt idx="299">
                  <c:v>251264.52654195359</c:v>
                </c:pt>
                <c:pt idx="300">
                  <c:v>247886.08603704252</c:v>
                </c:pt>
                <c:pt idx="301">
                  <c:v>244485.96720555826</c:v>
                </c:pt>
                <c:pt idx="302">
                  <c:v>241064.0309449053</c:v>
                </c:pt>
                <c:pt idx="303">
                  <c:v>237620.13725991317</c:v>
                </c:pt>
                <c:pt idx="304">
                  <c:v>234154.14525710899</c:v>
                </c:pt>
                <c:pt idx="305">
                  <c:v>230665.9131389535</c:v>
                </c:pt>
                <c:pt idx="306">
                  <c:v>227155.29819803985</c:v>
                </c:pt>
                <c:pt idx="307">
                  <c:v>223622.15681125532</c:v>
                </c:pt>
                <c:pt idx="308">
                  <c:v>220066.34443390559</c:v>
                </c:pt>
                <c:pt idx="309">
                  <c:v>216487.7155938012</c:v>
                </c:pt>
                <c:pt idx="310">
                  <c:v>212886.12388530615</c:v>
                </c:pt>
                <c:pt idx="311">
                  <c:v>209261.42196334826</c:v>
                </c:pt>
                <c:pt idx="312">
                  <c:v>205613.46153739112</c:v>
                </c:pt>
                <c:pt idx="313">
                  <c:v>201942.09336536744</c:v>
                </c:pt>
                <c:pt idx="314">
                  <c:v>198247.16724757326</c:v>
                </c:pt>
                <c:pt idx="315">
                  <c:v>194528.53202052324</c:v>
                </c:pt>
                <c:pt idx="316">
                  <c:v>190786.03555076633</c:v>
                </c:pt>
                <c:pt idx="317">
                  <c:v>187019.52472866181</c:v>
                </c:pt>
                <c:pt idx="318">
                  <c:v>183228.84546211545</c:v>
                </c:pt>
                <c:pt idx="319">
                  <c:v>179413.84267027542</c:v>
                </c:pt>
                <c:pt idx="320">
                  <c:v>175574.36027718775</c:v>
                </c:pt>
                <c:pt idx="321">
                  <c:v>171710.24120541109</c:v>
                </c:pt>
                <c:pt idx="322">
                  <c:v>167821.32736959052</c:v>
                </c:pt>
                <c:pt idx="323">
                  <c:v>163907.45966999012</c:v>
                </c:pt>
                <c:pt idx="324">
                  <c:v>159968.47798598395</c:v>
                </c:pt>
                <c:pt idx="325">
                  <c:v>156004.22116950538</c:v>
                </c:pt>
                <c:pt idx="326">
                  <c:v>152014.52703845443</c:v>
                </c:pt>
                <c:pt idx="327">
                  <c:v>147999.23237006256</c:v>
                </c:pt>
                <c:pt idx="328">
                  <c:v>143958.17289421518</c:v>
                </c:pt>
                <c:pt idx="329">
                  <c:v>139891.18328673113</c:v>
                </c:pt>
                <c:pt idx="330">
                  <c:v>135798.09716259904</c:v>
                </c:pt>
                <c:pt idx="331">
                  <c:v>131678.74706917044</c:v>
                </c:pt>
                <c:pt idx="332">
                  <c:v>127532.964479309</c:v>
                </c:pt>
                <c:pt idx="333">
                  <c:v>123360.57978449595</c:v>
                </c:pt>
                <c:pt idx="334">
                  <c:v>119161.42228789118</c:v>
                </c:pt>
                <c:pt idx="335">
                  <c:v>114935.32019734987</c:v>
                </c:pt>
                <c:pt idx="336">
                  <c:v>110682.10061839425</c:v>
                </c:pt>
                <c:pt idx="337">
                  <c:v>106401.58954714033</c:v>
                </c:pt>
                <c:pt idx="338">
                  <c:v>102093.61186317921</c:v>
                </c:pt>
                <c:pt idx="339">
                  <c:v>97757.991322412665</c:v>
                </c:pt>
                <c:pt idx="340">
                  <c:v>93394.550549842868</c:v>
                </c:pt>
                <c:pt idx="341">
                  <c:v>89003.111032315748</c:v>
                </c:pt>
                <c:pt idx="342">
                  <c:v>84583.493111217831</c:v>
                </c:pt>
                <c:pt idx="343">
                  <c:v>80135.515975126196</c:v>
                </c:pt>
                <c:pt idx="344">
                  <c:v>75658.997652411315</c:v>
                </c:pt>
                <c:pt idx="345">
                  <c:v>71153.755003792336</c:v>
                </c:pt>
                <c:pt idx="346">
                  <c:v>66619.603714844721</c:v>
                </c:pt>
                <c:pt idx="347">
                  <c:v>62056.358288459698</c:v>
                </c:pt>
                <c:pt idx="348">
                  <c:v>57463.832037255372</c:v>
                </c:pt>
                <c:pt idx="349">
                  <c:v>52841.837075939147</c:v>
                </c:pt>
                <c:pt idx="350">
                  <c:v>48190.184313621146</c:v>
                </c:pt>
                <c:pt idx="351">
                  <c:v>43508.68344607827</c:v>
                </c:pt>
                <c:pt idx="352">
                  <c:v>38797.142947968663</c:v>
                </c:pt>
                <c:pt idx="353">
                  <c:v>34055.370064996183</c:v>
                </c:pt>
                <c:pt idx="354">
                  <c:v>29283.170806024631</c:v>
                </c:pt>
                <c:pt idx="355">
                  <c:v>24480.349935141341</c:v>
                </c:pt>
                <c:pt idx="356">
                  <c:v>19646.710963669884</c:v>
                </c:pt>
                <c:pt idx="357">
                  <c:v>14782.056142131487</c:v>
                </c:pt>
                <c:pt idx="358">
                  <c:v>9886.186452154885</c:v>
                </c:pt>
                <c:pt idx="359">
                  <c:v>4958.9015983342661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7F-427E-83A8-519C72CCD637}"/>
            </c:ext>
          </c:extLst>
        </c:ser>
        <c:ser>
          <c:idx val="1"/>
          <c:order val="1"/>
          <c:tx>
            <c:strRef>
              <c:f>'1930 Congress Amortization'!$I$5</c:f>
              <c:strCache>
                <c:ptCount val="1"/>
                <c:pt idx="0">
                  <c:v>cumulativePrincipal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'1930 Congress Amortization'!$A$6:$A$365</c:f>
              <c:numCache>
                <c:formatCode>General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'1930 Congress Amortization'!$I$6:$I$365</c:f>
              <c:numCache>
                <c:formatCode>"$"#,##0.00_);[Red]\("$"#,##0.00\)</c:formatCode>
                <c:ptCount val="360"/>
                <c:pt idx="0">
                  <c:v>499.05455022194565</c:v>
                </c:pt>
                <c:pt idx="1">
                  <c:v>1001.3113671411484</c:v>
                </c:pt>
                <c:pt idx="2">
                  <c:v>1506.7909986355826</c:v>
                </c:pt>
                <c:pt idx="3">
                  <c:v>2015.5141244321057</c:v>
                </c:pt>
                <c:pt idx="4">
                  <c:v>2527.5015569524903</c:v>
                </c:pt>
                <c:pt idx="5">
                  <c:v>3042.7742421648809</c:v>
                </c:pt>
                <c:pt idx="6">
                  <c:v>3561.3532604407173</c:v>
                </c:pt>
                <c:pt idx="7">
                  <c:v>4083.2598274171569</c:v>
                </c:pt>
                <c:pt idx="8">
                  <c:v>4608.5152948650293</c:v>
                </c:pt>
                <c:pt idx="9">
                  <c:v>5137.1411515623586</c:v>
                </c:pt>
                <c:pt idx="10">
                  <c:v>5669.1590241734957</c:v>
                </c:pt>
                <c:pt idx="11">
                  <c:v>6204.5906781338881</c:v>
                </c:pt>
                <c:pt idx="12">
                  <c:v>6743.4580185405266</c:v>
                </c:pt>
                <c:pt idx="13">
                  <c:v>7285.7830910481071</c:v>
                </c:pt>
                <c:pt idx="14">
                  <c:v>7831.5880827709452</c:v>
                </c:pt>
                <c:pt idx="15">
                  <c:v>8380.8953231906708</c:v>
                </c:pt>
                <c:pt idx="16">
                  <c:v>8933.7272850697555</c:v>
                </c:pt>
                <c:pt idx="17">
                  <c:v>9490.1065853708969</c:v>
                </c:pt>
                <c:pt idx="18">
                  <c:v>10050.055986182306</c:v>
                </c:pt>
                <c:pt idx="19">
                  <c:v>10613.598395648922</c:v>
                </c:pt>
                <c:pt idx="20">
                  <c:v>11180.756868909615</c:v>
                </c:pt>
                <c:pt idx="21">
                  <c:v>11751.554609040399</c:v>
                </c:pt>
                <c:pt idx="22">
                  <c:v>12326.014968003687</c:v>
                </c:pt>
                <c:pt idx="23">
                  <c:v>12904.161447603656</c:v>
                </c:pt>
                <c:pt idx="24">
                  <c:v>13486.017700447725</c:v>
                </c:pt>
                <c:pt idx="25">
                  <c:v>14071.607530914211</c:v>
                </c:pt>
                <c:pt idx="26">
                  <c:v>14660.95489612619</c:v>
                </c:pt>
                <c:pt idx="27">
                  <c:v>15254.083906931612</c:v>
                </c:pt>
                <c:pt idx="28">
                  <c:v>15851.018828889701</c:v>
                </c:pt>
                <c:pt idx="29">
                  <c:v>16451.784083263687</c:v>
                </c:pt>
                <c:pt idx="30">
                  <c:v>17056.404248019906</c:v>
                </c:pt>
                <c:pt idx="31">
                  <c:v>17664.904058833312</c:v>
                </c:pt>
                <c:pt idx="32">
                  <c:v>18277.308410099438</c:v>
                </c:pt>
                <c:pt idx="33">
                  <c:v>18893.642355952856</c:v>
                </c:pt>
                <c:pt idx="34">
                  <c:v>19513.931111292164</c:v>
                </c:pt>
                <c:pt idx="35">
                  <c:v>20138.200052811568</c:v>
                </c:pt>
                <c:pt idx="36">
                  <c:v>20766.474720039056</c:v>
                </c:pt>
                <c:pt idx="37">
                  <c:v>21398.780816381251</c:v>
                </c:pt>
                <c:pt idx="38">
                  <c:v>22035.144210174978</c:v>
                </c:pt>
                <c:pt idx="39">
                  <c:v>22675.590935745546</c:v>
                </c:pt>
                <c:pt idx="40">
                  <c:v>23320.147194471858</c:v>
                </c:pt>
                <c:pt idx="41">
                  <c:v>23968.83935585833</c:v>
                </c:pt>
                <c:pt idx="42">
                  <c:v>24621.693958613701</c:v>
                </c:pt>
                <c:pt idx="43">
                  <c:v>25278.73771173675</c:v>
                </c:pt>
                <c:pt idx="44">
                  <c:v>25939.997495609008</c:v>
                </c:pt>
                <c:pt idx="45">
                  <c:v>26605.500363094445</c:v>
                </c:pt>
                <c:pt idx="46">
                  <c:v>27275.273540646245</c:v>
                </c:pt>
                <c:pt idx="47">
                  <c:v>27949.344429420671</c:v>
                </c:pt>
                <c:pt idx="48">
                  <c:v>28627.740606398067</c:v>
                </c:pt>
                <c:pt idx="49">
                  <c:v>29310.489825511067</c:v>
                </c:pt>
                <c:pt idx="50">
                  <c:v>29997.620018780042</c:v>
                </c:pt>
                <c:pt idx="51">
                  <c:v>30689.159297455826</c:v>
                </c:pt>
                <c:pt idx="52">
                  <c:v>31385.135953169782</c:v>
                </c:pt>
                <c:pt idx="53">
                  <c:v>32085.578459091234</c:v>
                </c:pt>
                <c:pt idx="54">
                  <c:v>32790.515471092353</c:v>
                </c:pt>
                <c:pt idx="55">
                  <c:v>33499.975828920476</c:v>
                </c:pt>
                <c:pt idx="56">
                  <c:v>34213.988557377997</c:v>
                </c:pt>
                <c:pt idx="57">
                  <c:v>34932.582867509787</c:v>
                </c:pt>
                <c:pt idx="58">
                  <c:v>35655.788157798255</c:v>
                </c:pt>
                <c:pt idx="59">
                  <c:v>36383.634015366071</c:v>
                </c:pt>
                <c:pt idx="60">
                  <c:v>37116.150217186616</c:v>
                </c:pt>
                <c:pt idx="61">
                  <c:v>37853.366731302172</c:v>
                </c:pt>
                <c:pt idx="62">
                  <c:v>38595.313718049976</c:v>
                </c:pt>
                <c:pt idx="63">
                  <c:v>39342.021531296079</c:v>
                </c:pt>
                <c:pt idx="64">
                  <c:v>40093.520719677173</c:v>
                </c:pt>
                <c:pt idx="65">
                  <c:v>40849.842027850384</c:v>
                </c:pt>
                <c:pt idx="66">
                  <c:v>41611.016397751038</c:v>
                </c:pt>
                <c:pt idx="67">
                  <c:v>42377.074969858557</c:v>
                </c:pt>
                <c:pt idx="68">
                  <c:v>43148.049084470425</c:v>
                </c:pt>
                <c:pt idx="69">
                  <c:v>43923.970282984388</c:v>
                </c:pt>
                <c:pt idx="70">
                  <c:v>44704.870309188816</c:v>
                </c:pt>
                <c:pt idx="71">
                  <c:v>45490.781110561387</c:v>
                </c:pt>
                <c:pt idx="72">
                  <c:v>46281.7348395761</c:v>
                </c:pt>
                <c:pt idx="73">
                  <c:v>47077.76385501866</c:v>
                </c:pt>
                <c:pt idx="74">
                  <c:v>47878.900723310311</c:v>
                </c:pt>
                <c:pt idx="75">
                  <c:v>48685.178219840163</c:v>
                </c:pt>
                <c:pt idx="76">
                  <c:v>49496.629330306081</c:v>
                </c:pt>
                <c:pt idx="77">
                  <c:v>50313.287252064154</c:v>
                </c:pt>
                <c:pt idx="78">
                  <c:v>51135.185395486842</c:v>
                </c:pt>
                <c:pt idx="79">
                  <c:v>51962.357385329829</c:v>
                </c:pt>
                <c:pt idx="80">
                  <c:v>52794.837062107639</c:v>
                </c:pt>
                <c:pt idx="81">
                  <c:v>53632.65848347811</c:v>
                </c:pt>
                <c:pt idx="82">
                  <c:v>54475.855925635711</c:v>
                </c:pt>
                <c:pt idx="83">
                  <c:v>55324.463884713819</c:v>
                </c:pt>
                <c:pt idx="84">
                  <c:v>56178.517078196011</c:v>
                </c:pt>
                <c:pt idx="85">
                  <c:v>57038.050446336383</c:v>
                </c:pt>
                <c:pt idx="86">
                  <c:v>57903.099153588992</c:v>
                </c:pt>
                <c:pt idx="87">
                  <c:v>58773.698590046464</c:v>
                </c:pt>
                <c:pt idx="88">
                  <c:v>59649.884372887878</c:v>
                </c:pt>
                <c:pt idx="89">
                  <c:v>60531.692347835859</c:v>
                </c:pt>
                <c:pt idx="90">
                  <c:v>61419.158590623083</c:v>
                </c:pt>
                <c:pt idx="91">
                  <c:v>62312.319408468196</c:v>
                </c:pt>
                <c:pt idx="92">
                  <c:v>63211.211341561146</c:v>
                </c:pt>
                <c:pt idx="93">
                  <c:v>64115.871164558106</c:v>
                </c:pt>
                <c:pt idx="94">
                  <c:v>65026.335888085967</c:v>
                </c:pt>
                <c:pt idx="95">
                  <c:v>65942.642760256465</c:v>
                </c:pt>
                <c:pt idx="96">
                  <c:v>66864.829268190064</c:v>
                </c:pt>
                <c:pt idx="97">
                  <c:v>67792.933139549568</c:v>
                </c:pt>
                <c:pt idx="98">
                  <c:v>68726.992344083628</c:v>
                </c:pt>
                <c:pt idx="99">
                  <c:v>69667.045095180118</c:v>
                </c:pt>
                <c:pt idx="100">
                  <c:v>70613.129851429476</c:v>
                </c:pt>
                <c:pt idx="101">
                  <c:v>71565.28531819809</c:v>
                </c:pt>
                <c:pt idx="102">
                  <c:v>72523.550449211805</c:v>
                </c:pt>
                <c:pt idx="103">
                  <c:v>73487.96444814952</c:v>
                </c:pt>
                <c:pt idx="104">
                  <c:v>74458.566770247096</c:v>
                </c:pt>
                <c:pt idx="105">
                  <c:v>75435.397123911462</c:v>
                </c:pt>
                <c:pt idx="106">
                  <c:v>76418.495472345166</c:v>
                </c:pt>
                <c:pt idx="107">
                  <c:v>77407.902035181323</c:v>
                </c:pt>
                <c:pt idx="108">
                  <c:v>78403.65729012902</c:v>
                </c:pt>
                <c:pt idx="109">
                  <c:v>79405.801974629299</c:v>
                </c:pt>
                <c:pt idx="110">
                  <c:v>80414.377087521789</c:v>
                </c:pt>
                <c:pt idx="111">
                  <c:v>81429.423890721999</c:v>
                </c:pt>
                <c:pt idx="112">
                  <c:v>82450.983910909417</c:v>
                </c:pt>
                <c:pt idx="113">
                  <c:v>83479.098941226359</c:v>
                </c:pt>
                <c:pt idx="114">
                  <c:v>84513.811042987843</c:v>
                </c:pt>
                <c:pt idx="115">
                  <c:v>85555.162547402288</c:v>
                </c:pt>
                <c:pt idx="116">
                  <c:v>86603.196057303401</c:v>
                </c:pt>
                <c:pt idx="117">
                  <c:v>87657.954448893041</c:v>
                </c:pt>
                <c:pt idx="118">
                  <c:v>88719.480873495384</c:v>
                </c:pt>
                <c:pt idx="119">
                  <c:v>89787.818759322254</c:v>
                </c:pt>
                <c:pt idx="120">
                  <c:v>90863.011813249846</c:v>
                </c:pt>
                <c:pt idx="121">
                  <c:v>91945.104022606814</c:v>
                </c:pt>
                <c:pt idx="122">
                  <c:v>93034.139656973828</c:v>
                </c:pt>
                <c:pt idx="123">
                  <c:v>94130.163269994693</c:v>
                </c:pt>
                <c:pt idx="124">
                  <c:v>95233.219701199108</c:v>
                </c:pt>
                <c:pt idx="125">
                  <c:v>96343.354077837081</c:v>
                </c:pt>
                <c:pt idx="126">
                  <c:v>97460.611816725155</c:v>
                </c:pt>
                <c:pt idx="127">
                  <c:v>98585.038626104419</c:v>
                </c:pt>
                <c:pt idx="128">
                  <c:v>99716.680507510537</c:v>
                </c:pt>
                <c:pt idx="129">
                  <c:v>100855.58375765568</c:v>
                </c:pt>
                <c:pt idx="130">
                  <c:v>102001.79497032259</c:v>
                </c:pt>
                <c:pt idx="131">
                  <c:v>103155.36103827077</c:v>
                </c:pt>
                <c:pt idx="132">
                  <c:v>104316.32915515495</c:v>
                </c:pt>
                <c:pt idx="133">
                  <c:v>105484.7468174558</c:v>
                </c:pt>
                <c:pt idx="134">
                  <c:v>106660.66182642309</c:v>
                </c:pt>
                <c:pt idx="135">
                  <c:v>107844.12229003126</c:v>
                </c:pt>
                <c:pt idx="136">
                  <c:v>109035.17662494758</c:v>
                </c:pt>
                <c:pt idx="137">
                  <c:v>110233.87355851293</c:v>
                </c:pt>
                <c:pt idx="138">
                  <c:v>111440.26213073534</c:v>
                </c:pt>
                <c:pt idx="139">
                  <c:v>112654.39169629617</c:v>
                </c:pt>
                <c:pt idx="140">
                  <c:v>113876.31192656935</c:v>
                </c:pt>
                <c:pt idx="141">
                  <c:v>115106.07281165346</c:v>
                </c:pt>
                <c:pt idx="142">
                  <c:v>116343.72466241685</c:v>
                </c:pt>
                <c:pt idx="143">
                  <c:v>117589.31811255596</c:v>
                </c:pt>
                <c:pt idx="144">
                  <c:v>118842.9041206668</c:v>
                </c:pt>
                <c:pt idx="145">
                  <c:v>120104.53397232969</c:v>
                </c:pt>
                <c:pt idx="146">
                  <c:v>121374.25928220742</c:v>
                </c:pt>
                <c:pt idx="147">
                  <c:v>122652.13199615687</c:v>
                </c:pt>
                <c:pt idx="148">
                  <c:v>123938.20439335416</c:v>
                </c:pt>
                <c:pt idx="149">
                  <c:v>125232.52908843345</c:v>
                </c:pt>
                <c:pt idx="150">
                  <c:v>126535.15903363952</c:v>
                </c:pt>
                <c:pt idx="151">
                  <c:v>127846.14752099398</c:v>
                </c:pt>
                <c:pt idx="152">
                  <c:v>129165.54818447564</c:v>
                </c:pt>
                <c:pt idx="153">
                  <c:v>130493.41500221464</c:v>
                </c:pt>
                <c:pt idx="154">
                  <c:v>131829.80229870079</c:v>
                </c:pt>
                <c:pt idx="155">
                  <c:v>133174.76474700606</c:v>
                </c:pt>
                <c:pt idx="156">
                  <c:v>134528.35737102129</c:v>
                </c:pt>
                <c:pt idx="157">
                  <c:v>135890.63554770729</c:v>
                </c:pt>
                <c:pt idx="158">
                  <c:v>137261.65500936037</c:v>
                </c:pt>
                <c:pt idx="159">
                  <c:v>138641.47184589237</c:v>
                </c:pt>
                <c:pt idx="160">
                  <c:v>140030.14250712548</c:v>
                </c:pt>
                <c:pt idx="161">
                  <c:v>141427.72380510147</c:v>
                </c:pt>
                <c:pt idx="162">
                  <c:v>142834.27291640616</c:v>
                </c:pt>
                <c:pt idx="163">
                  <c:v>144249.84738450838</c:v>
                </c:pt>
                <c:pt idx="164">
                  <c:v>145674.50512211426</c:v>
                </c:pt>
                <c:pt idx="165">
                  <c:v>147108.30441353645</c:v>
                </c:pt>
                <c:pt idx="166">
                  <c:v>148551.30391707859</c:v>
                </c:pt>
                <c:pt idx="167">
                  <c:v>150003.56266743512</c:v>
                </c:pt>
                <c:pt idx="168">
                  <c:v>151465.14007810646</c:v>
                </c:pt>
                <c:pt idx="169">
                  <c:v>152936.0959438296</c:v>
                </c:pt>
                <c:pt idx="170">
                  <c:v>154416.49044302446</c:v>
                </c:pt>
                <c:pt idx="171">
                  <c:v>155906.3841402558</c:v>
                </c:pt>
                <c:pt idx="172">
                  <c:v>157405.83798871105</c:v>
                </c:pt>
                <c:pt idx="173">
                  <c:v>158914.91333269389</c:v>
                </c:pt>
                <c:pt idx="174">
                  <c:v>160433.67191013397</c:v>
                </c:pt>
                <c:pt idx="175">
                  <c:v>161962.17585511261</c:v>
                </c:pt>
                <c:pt idx="176">
                  <c:v>163500.48770040486</c:v>
                </c:pt>
                <c:pt idx="177">
                  <c:v>165048.67038003774</c:v>
                </c:pt>
                <c:pt idx="178">
                  <c:v>166606.78723186493</c:v>
                </c:pt>
                <c:pt idx="179">
                  <c:v>168174.90200015801</c:v>
                </c:pt>
                <c:pt idx="180">
                  <c:v>169753.07883821431</c:v>
                </c:pt>
                <c:pt idx="181">
                  <c:v>171341.38231098145</c:v>
                </c:pt>
                <c:pt idx="182">
                  <c:v>172939.87739769887</c:v>
                </c:pt>
                <c:pt idx="183">
                  <c:v>174548.62949455605</c:v>
                </c:pt>
                <c:pt idx="184">
                  <c:v>176167.70441736808</c:v>
                </c:pt>
                <c:pt idx="185">
                  <c:v>177797.16840426813</c:v>
                </c:pt>
                <c:pt idx="186">
                  <c:v>179437.08811841745</c:v>
                </c:pt>
                <c:pt idx="187">
                  <c:v>181087.53065073257</c:v>
                </c:pt>
                <c:pt idx="188">
                  <c:v>182748.56352263005</c:v>
                </c:pt>
                <c:pt idx="189">
                  <c:v>184420.25468878887</c:v>
                </c:pt>
                <c:pt idx="190">
                  <c:v>186102.67253993056</c:v>
                </c:pt>
                <c:pt idx="191">
                  <c:v>187795.88590561706</c:v>
                </c:pt>
                <c:pt idx="192">
                  <c:v>189499.96405706671</c:v>
                </c:pt>
                <c:pt idx="193">
                  <c:v>191214.97670998817</c:v>
                </c:pt>
                <c:pt idx="194">
                  <c:v>192940.99402743255</c:v>
                </c:pt>
                <c:pt idx="195">
                  <c:v>194678.08662266386</c:v>
                </c:pt>
                <c:pt idx="196">
                  <c:v>196426.32556204789</c:v>
                </c:pt>
                <c:pt idx="197">
                  <c:v>198185.78236795965</c:v>
                </c:pt>
                <c:pt idx="198">
                  <c:v>199956.52902170934</c:v>
                </c:pt>
                <c:pt idx="199">
                  <c:v>201738.63796648727</c:v>
                </c:pt>
                <c:pt idx="200">
                  <c:v>203532.1821103275</c:v>
                </c:pt>
                <c:pt idx="201">
                  <c:v>205337.23482909071</c:v>
                </c:pt>
                <c:pt idx="202">
                  <c:v>207153.86996946597</c:v>
                </c:pt>
                <c:pt idx="203">
                  <c:v>208982.16185199199</c:v>
                </c:pt>
                <c:pt idx="204">
                  <c:v>210822.18527409754</c:v>
                </c:pt>
                <c:pt idx="205">
                  <c:v>212674.0155131616</c:v>
                </c:pt>
                <c:pt idx="206">
                  <c:v>214537.728329593</c:v>
                </c:pt>
                <c:pt idx="207">
                  <c:v>216413.39996992983</c:v>
                </c:pt>
                <c:pt idx="208">
                  <c:v>218301.10716995882</c:v>
                </c:pt>
                <c:pt idx="209">
                  <c:v>220200.92715785466</c:v>
                </c:pt>
                <c:pt idx="210">
                  <c:v>222112.9376573395</c:v>
                </c:pt>
                <c:pt idx="211">
                  <c:v>224037.21689086271</c:v>
                </c:pt>
                <c:pt idx="212">
                  <c:v>225973.84358280103</c:v>
                </c:pt>
                <c:pt idx="213">
                  <c:v>227922.89696267928</c:v>
                </c:pt>
                <c:pt idx="214">
                  <c:v>229884.45676841176</c:v>
                </c:pt>
                <c:pt idx="215">
                  <c:v>231858.60324956436</c:v>
                </c:pt>
                <c:pt idx="216">
                  <c:v>233845.41717063767</c:v>
                </c:pt>
                <c:pt idx="217">
                  <c:v>235844.97981437121</c:v>
                </c:pt>
                <c:pt idx="218">
                  <c:v>237857.37298506871</c:v>
                </c:pt>
                <c:pt idx="219">
                  <c:v>239882.67901194486</c:v>
                </c:pt>
                <c:pt idx="220">
                  <c:v>241920.98075249346</c:v>
                </c:pt>
                <c:pt idx="221">
                  <c:v>243972.36159587724</c:v>
                </c:pt>
                <c:pt idx="222">
                  <c:v>246036.90546633941</c:v>
                </c:pt>
                <c:pt idx="223">
                  <c:v>248114.69682663702</c:v>
                </c:pt>
                <c:pt idx="224">
                  <c:v>250205.82068149655</c:v>
                </c:pt>
                <c:pt idx="225">
                  <c:v>252310.36258109144</c:v>
                </c:pt>
                <c:pt idx="226">
                  <c:v>254428.40862454206</c:v>
                </c:pt>
                <c:pt idx="227">
                  <c:v>256560.04546343815</c:v>
                </c:pt>
                <c:pt idx="228">
                  <c:v>258705.36030538383</c:v>
                </c:pt>
                <c:pt idx="229">
                  <c:v>260864.44091756531</c:v>
                </c:pt>
                <c:pt idx="230">
                  <c:v>263037.37563034164</c:v>
                </c:pt>
                <c:pt idx="231">
                  <c:v>265224.25334085827</c:v>
                </c:pt>
                <c:pt idx="232">
                  <c:v>267425.16351668403</c:v>
                </c:pt>
                <c:pt idx="233">
                  <c:v>269640.19619947136</c:v>
                </c:pt>
                <c:pt idx="234">
                  <c:v>271869.44200863992</c:v>
                </c:pt>
                <c:pt idx="235">
                  <c:v>274112.99214508396</c:v>
                </c:pt>
                <c:pt idx="236">
                  <c:v>276370.93839490355</c:v>
                </c:pt>
                <c:pt idx="237">
                  <c:v>278643.37313315948</c:v>
                </c:pt>
                <c:pt idx="238">
                  <c:v>280930.38932765252</c:v>
                </c:pt>
                <c:pt idx="239">
                  <c:v>283232.08054272691</c:v>
                </c:pt>
                <c:pt idx="240">
                  <c:v>285548.54094309802</c:v>
                </c:pt>
                <c:pt idx="241">
                  <c:v>287879.86529770482</c:v>
                </c:pt>
                <c:pt idx="242">
                  <c:v>290226.14898358705</c:v>
                </c:pt>
                <c:pt idx="243">
                  <c:v>292587.48798978701</c:v>
                </c:pt>
                <c:pt idx="244">
                  <c:v>294963.97892127675</c:v>
                </c:pt>
                <c:pt idx="245">
                  <c:v>297355.71900291019</c:v>
                </c:pt>
                <c:pt idx="246">
                  <c:v>299762.80608340079</c:v>
                </c:pt>
                <c:pt idx="247">
                  <c:v>302185.33863932453</c:v>
                </c:pt>
                <c:pt idx="248">
                  <c:v>304623.41577914881</c:v>
                </c:pt>
                <c:pt idx="249">
                  <c:v>307077.13724728697</c:v>
                </c:pt>
                <c:pt idx="250">
                  <c:v>309546.60342817899</c:v>
                </c:pt>
                <c:pt idx="251">
                  <c:v>312031.9153503984</c:v>
                </c:pt>
                <c:pt idx="252">
                  <c:v>314533.17469078541</c:v>
                </c:pt>
                <c:pt idx="253">
                  <c:v>317050.48377860658</c:v>
                </c:pt>
                <c:pt idx="254">
                  <c:v>319583.94559974124</c:v>
                </c:pt>
                <c:pt idx="255">
                  <c:v>322133.66380089486</c:v>
                </c:pt>
                <c:pt idx="256">
                  <c:v>324699.74269383925</c:v>
                </c:pt>
                <c:pt idx="257">
                  <c:v>327282.28725967999</c:v>
                </c:pt>
                <c:pt idx="258">
                  <c:v>329881.40315315156</c:v>
                </c:pt>
                <c:pt idx="259">
                  <c:v>332497.19670693955</c:v>
                </c:pt>
                <c:pt idx="260">
                  <c:v>335129.77493603103</c:v>
                </c:pt>
                <c:pt idx="261">
                  <c:v>337779.24554209248</c:v>
                </c:pt>
                <c:pt idx="262">
                  <c:v>340445.71691787621</c:v>
                </c:pt>
                <c:pt idx="263">
                  <c:v>343129.29815165454</c:v>
                </c:pt>
                <c:pt idx="264">
                  <c:v>345830.09903168294</c:v>
                </c:pt>
                <c:pt idx="265">
                  <c:v>348548.23005069152</c:v>
                </c:pt>
                <c:pt idx="266">
                  <c:v>351283.80241040542</c:v>
                </c:pt>
                <c:pt idx="267">
                  <c:v>354036.92802609416</c:v>
                </c:pt>
                <c:pt idx="268">
                  <c:v>356807.71953115019</c:v>
                </c:pt>
                <c:pt idx="269">
                  <c:v>359596.290281697</c:v>
                </c:pt>
                <c:pt idx="270">
                  <c:v>362402.75436122651</c:v>
                </c:pt>
                <c:pt idx="271">
                  <c:v>365227.22658526635</c:v>
                </c:pt>
                <c:pt idx="272">
                  <c:v>368069.82250607706</c:v>
                </c:pt>
                <c:pt idx="273">
                  <c:v>370930.65841737966</c:v>
                </c:pt>
                <c:pt idx="274">
                  <c:v>373809.85135911312</c:v>
                </c:pt>
                <c:pt idx="275">
                  <c:v>376707.51912222273</c:v>
                </c:pt>
                <c:pt idx="276">
                  <c:v>379623.78025347891</c:v>
                </c:pt>
                <c:pt idx="277">
                  <c:v>382558.75406032737</c:v>
                </c:pt>
                <c:pt idx="278">
                  <c:v>385512.56061576976</c:v>
                </c:pt>
                <c:pt idx="279">
                  <c:v>388485.32076327625</c:v>
                </c:pt>
                <c:pt idx="280">
                  <c:v>391477.15612172923</c:v>
                </c:pt>
                <c:pt idx="281">
                  <c:v>394488.18909039896</c:v>
                </c:pt>
                <c:pt idx="282">
                  <c:v>397518.54285395099</c:v>
                </c:pt>
                <c:pt idx="283">
                  <c:v>400568.34138748579</c:v>
                </c:pt>
                <c:pt idx="284">
                  <c:v>403637.70946161076</c:v>
                </c:pt>
                <c:pt idx="285">
                  <c:v>406726.77264754468</c:v>
                </c:pt>
                <c:pt idx="286">
                  <c:v>409835.65732225502</c:v>
                </c:pt>
                <c:pt idx="287">
                  <c:v>412964.49067362811</c:v>
                </c:pt>
                <c:pt idx="288">
                  <c:v>416113.40070567251</c:v>
                </c:pt>
                <c:pt idx="289">
                  <c:v>419282.51624375588</c:v>
                </c:pt>
                <c:pt idx="290">
                  <c:v>422471.96693987527</c:v>
                </c:pt>
                <c:pt idx="291">
                  <c:v>425681.8832779614</c:v>
                </c:pt>
                <c:pt idx="292">
                  <c:v>428912.39657921693</c:v>
                </c:pt>
                <c:pt idx="293">
                  <c:v>432163.63900748885</c:v>
                </c:pt>
                <c:pt idx="294">
                  <c:v>435435.74357467552</c:v>
                </c:pt>
                <c:pt idx="295">
                  <c:v>438728.84414616833</c:v>
                </c:pt>
                <c:pt idx="296">
                  <c:v>442043.07544632821</c:v>
                </c:pt>
                <c:pt idx="297">
                  <c:v>445378.57306399744</c:v>
                </c:pt>
                <c:pt idx="298">
                  <c:v>448735.47345804668</c:v>
                </c:pt>
                <c:pt idx="299">
                  <c:v>452113.91396295774</c:v>
                </c:pt>
                <c:pt idx="300">
                  <c:v>455514.03279444197</c:v>
                </c:pt>
                <c:pt idx="301">
                  <c:v>458935.96905509493</c:v>
                </c:pt>
                <c:pt idx="302">
                  <c:v>462379.86274008709</c:v>
                </c:pt>
                <c:pt idx="303">
                  <c:v>465845.85474289127</c:v>
                </c:pt>
                <c:pt idx="304">
                  <c:v>469334.08686104679</c:v>
                </c:pt>
                <c:pt idx="305">
                  <c:v>472844.70180196047</c:v>
                </c:pt>
                <c:pt idx="306">
                  <c:v>476377.84318874497</c:v>
                </c:pt>
                <c:pt idx="307">
                  <c:v>479933.65556609468</c:v>
                </c:pt>
                <c:pt idx="308">
                  <c:v>483512.28440619906</c:v>
                </c:pt>
                <c:pt idx="309">
                  <c:v>487113.87611469411</c:v>
                </c:pt>
                <c:pt idx="310">
                  <c:v>490738.578036652</c:v>
                </c:pt>
                <c:pt idx="311">
                  <c:v>494386.53846260911</c:v>
                </c:pt>
                <c:pt idx="312">
                  <c:v>498057.90663463279</c:v>
                </c:pt>
                <c:pt idx="313">
                  <c:v>501752.83275242697</c:v>
                </c:pt>
                <c:pt idx="314">
                  <c:v>505471.46797947696</c:v>
                </c:pt>
                <c:pt idx="315">
                  <c:v>509213.9644492339</c:v>
                </c:pt>
                <c:pt idx="316">
                  <c:v>512980.47527133842</c:v>
                </c:pt>
                <c:pt idx="317">
                  <c:v>516771.15453788481</c:v>
                </c:pt>
                <c:pt idx="318">
                  <c:v>520586.15732972487</c:v>
                </c:pt>
                <c:pt idx="319">
                  <c:v>524425.63972281257</c:v>
                </c:pt>
                <c:pt idx="320">
                  <c:v>528289.7587945892</c:v>
                </c:pt>
                <c:pt idx="321">
                  <c:v>532178.67263040971</c:v>
                </c:pt>
                <c:pt idx="322">
                  <c:v>536092.54033001012</c:v>
                </c:pt>
                <c:pt idx="323">
                  <c:v>540031.52201401629</c:v>
                </c:pt>
                <c:pt idx="324">
                  <c:v>543995.77883049485</c:v>
                </c:pt>
                <c:pt idx="325">
                  <c:v>547985.47296154581</c:v>
                </c:pt>
                <c:pt idx="326">
                  <c:v>552000.76762993762</c:v>
                </c:pt>
                <c:pt idx="327">
                  <c:v>556041.82710578502</c:v>
                </c:pt>
                <c:pt idx="328">
                  <c:v>560108.8167132691</c:v>
                </c:pt>
                <c:pt idx="329">
                  <c:v>564201.90283740114</c:v>
                </c:pt>
                <c:pt idx="330">
                  <c:v>568321.25293082977</c:v>
                </c:pt>
                <c:pt idx="331">
                  <c:v>572467.03552069119</c:v>
                </c:pt>
                <c:pt idx="332">
                  <c:v>576639.42021550424</c:v>
                </c:pt>
                <c:pt idx="333">
                  <c:v>580838.57771210896</c:v>
                </c:pt>
                <c:pt idx="334">
                  <c:v>585064.67980265024</c:v>
                </c:pt>
                <c:pt idx="335">
                  <c:v>589317.89938160591</c:v>
                </c:pt>
                <c:pt idx="336">
                  <c:v>593598.41045285983</c:v>
                </c:pt>
                <c:pt idx="337">
                  <c:v>597906.38813682098</c:v>
                </c:pt>
                <c:pt idx="338">
                  <c:v>602242.0086775875</c:v>
                </c:pt>
                <c:pt idx="339">
                  <c:v>606605.44945015735</c:v>
                </c:pt>
                <c:pt idx="340">
                  <c:v>610996.88896768447</c:v>
                </c:pt>
                <c:pt idx="341">
                  <c:v>615416.50688878237</c:v>
                </c:pt>
                <c:pt idx="342">
                  <c:v>619864.48402487405</c:v>
                </c:pt>
                <c:pt idx="343">
                  <c:v>624341.00234758889</c:v>
                </c:pt>
                <c:pt idx="344">
                  <c:v>628846.24499620788</c:v>
                </c:pt>
                <c:pt idx="345">
                  <c:v>633380.39628515544</c:v>
                </c:pt>
                <c:pt idx="346">
                  <c:v>637943.64171154052</c:v>
                </c:pt>
                <c:pt idx="347">
                  <c:v>642536.16796274483</c:v>
                </c:pt>
                <c:pt idx="348">
                  <c:v>647158.16292406106</c:v>
                </c:pt>
                <c:pt idx="349">
                  <c:v>651809.81568637909</c:v>
                </c:pt>
                <c:pt idx="350">
                  <c:v>656491.31655392202</c:v>
                </c:pt>
                <c:pt idx="351">
                  <c:v>661202.85705203167</c:v>
                </c:pt>
                <c:pt idx="352">
                  <c:v>665944.62993500417</c:v>
                </c:pt>
                <c:pt idx="353">
                  <c:v>670716.82919397578</c:v>
                </c:pt>
                <c:pt idx="354">
                  <c:v>675519.65006485907</c:v>
                </c:pt>
                <c:pt idx="355">
                  <c:v>680353.28903633053</c:v>
                </c:pt>
                <c:pt idx="356">
                  <c:v>685217.9438578689</c:v>
                </c:pt>
                <c:pt idx="357">
                  <c:v>690113.81354784546</c:v>
                </c:pt>
                <c:pt idx="358">
                  <c:v>695041.09840166604</c:v>
                </c:pt>
                <c:pt idx="359">
                  <c:v>699999.99999996531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7F-427E-83A8-519C72CCD637}"/>
            </c:ext>
          </c:extLst>
        </c:ser>
        <c:ser>
          <c:idx val="2"/>
          <c:order val="2"/>
          <c:tx>
            <c:strRef>
              <c:f>'1930 Congress Amortization'!$J$5</c:f>
              <c:strCache>
                <c:ptCount val="1"/>
                <c:pt idx="0">
                  <c:v>cumulativeInterest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'1930 Congress Amortization'!$A$6:$A$365</c:f>
              <c:numCache>
                <c:formatCode>General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'1930 Congress Amortization'!$J$6:$J$365</c:f>
              <c:numCache>
                <c:formatCode>"$"#,##0.00_);[Red]\("$"#,##0.00\)</c:formatCode>
                <c:ptCount val="360"/>
                <c:pt idx="0">
                  <c:v>4491.666666666667</c:v>
                </c:pt>
                <c:pt idx="1">
                  <c:v>8980.1310666360769</c:v>
                </c:pt>
                <c:pt idx="2">
                  <c:v>13465.372652030255</c:v>
                </c:pt>
                <c:pt idx="3">
                  <c:v>17947.370743122345</c:v>
                </c:pt>
                <c:pt idx="4">
                  <c:v>22426.104527490574</c:v>
                </c:pt>
                <c:pt idx="5">
                  <c:v>26901.553059166796</c:v>
                </c:pt>
                <c:pt idx="6">
                  <c:v>31373.695257779571</c:v>
                </c:pt>
                <c:pt idx="7">
                  <c:v>35842.509907691747</c:v>
                </c:pt>
                <c:pt idx="8">
                  <c:v>40307.975657132483</c:v>
                </c:pt>
                <c:pt idx="9">
                  <c:v>44770.071017323768</c:v>
                </c:pt>
                <c:pt idx="10">
                  <c:v>49228.774361601245</c:v>
                </c:pt>
                <c:pt idx="11">
                  <c:v>53684.063924529466</c:v>
                </c:pt>
                <c:pt idx="12">
                  <c:v>58135.917801011441</c:v>
                </c:pt>
                <c:pt idx="13">
                  <c:v>62584.313945392474</c:v>
                </c:pt>
                <c:pt idx="14">
                  <c:v>67029.23017055825</c:v>
                </c:pt>
                <c:pt idx="15">
                  <c:v>71470.644147027138</c:v>
                </c:pt>
                <c:pt idx="16">
                  <c:v>75908.533402036672</c:v>
                </c:pt>
                <c:pt idx="17">
                  <c:v>80342.875318624137</c:v>
                </c:pt>
                <c:pt idx="18">
                  <c:v>84773.647134701343</c:v>
                </c:pt>
                <c:pt idx="19">
                  <c:v>89200.825942123338</c:v>
                </c:pt>
                <c:pt idx="20">
                  <c:v>93624.388685751255</c:v>
                </c:pt>
                <c:pt idx="21">
                  <c:v>98044.312162509086</c:v>
                </c:pt>
                <c:pt idx="22">
                  <c:v>102460.57302043441</c:v>
                </c:pt>
                <c:pt idx="23">
                  <c:v>106873.14775772305</c:v>
                </c:pt>
                <c:pt idx="24">
                  <c:v>111282.01272176759</c:v>
                </c:pt>
                <c:pt idx="25">
                  <c:v>115687.14410818972</c:v>
                </c:pt>
                <c:pt idx="26">
                  <c:v>120088.51795986635</c:v>
                </c:pt>
                <c:pt idx="27">
                  <c:v>124486.11016594955</c:v>
                </c:pt>
                <c:pt idx="28">
                  <c:v>128879.89646088007</c:v>
                </c:pt>
                <c:pt idx="29">
                  <c:v>133269.85242339471</c:v>
                </c:pt>
                <c:pt idx="30">
                  <c:v>137655.95347552712</c:v>
                </c:pt>
                <c:pt idx="31">
                  <c:v>142038.17488160232</c:v>
                </c:pt>
                <c:pt idx="32">
                  <c:v>146416.49174722479</c:v>
                </c:pt>
                <c:pt idx="33">
                  <c:v>150790.87901825999</c:v>
                </c:pt>
                <c:pt idx="34">
                  <c:v>155161.31147980929</c:v>
                </c:pt>
                <c:pt idx="35">
                  <c:v>159527.76375517849</c:v>
                </c:pt>
                <c:pt idx="36">
                  <c:v>163890.21030483962</c:v>
                </c:pt>
                <c:pt idx="37">
                  <c:v>168248.62542538604</c:v>
                </c:pt>
                <c:pt idx="38">
                  <c:v>172602.98324848092</c:v>
                </c:pt>
                <c:pt idx="39">
                  <c:v>176953.25773979895</c:v>
                </c:pt>
                <c:pt idx="40">
                  <c:v>181299.42269796124</c:v>
                </c:pt>
                <c:pt idx="41">
                  <c:v>185641.45175346339</c:v>
                </c:pt>
                <c:pt idx="42">
                  <c:v>189979.31836759663</c:v>
                </c:pt>
                <c:pt idx="43">
                  <c:v>194312.9958313622</c:v>
                </c:pt>
                <c:pt idx="44">
                  <c:v>198642.45726437855</c:v>
                </c:pt>
                <c:pt idx="45">
                  <c:v>202967.67561378173</c:v>
                </c:pt>
                <c:pt idx="46">
                  <c:v>207288.62365311853</c:v>
                </c:pt>
                <c:pt idx="47">
                  <c:v>211605.27398123272</c:v>
                </c:pt>
                <c:pt idx="48">
                  <c:v>215917.59902114395</c:v>
                </c:pt>
                <c:pt idx="49">
                  <c:v>220225.57101891955</c:v>
                </c:pt>
                <c:pt idx="50">
                  <c:v>224529.16204253919</c:v>
                </c:pt>
                <c:pt idx="51">
                  <c:v>228828.34398075202</c:v>
                </c:pt>
                <c:pt idx="52">
                  <c:v>233123.08854192667</c:v>
                </c:pt>
                <c:pt idx="53">
                  <c:v>237413.36725289383</c:v>
                </c:pt>
                <c:pt idx="54">
                  <c:v>241699.15145778132</c:v>
                </c:pt>
                <c:pt idx="55">
                  <c:v>245980.4123168418</c:v>
                </c:pt>
                <c:pt idx="56">
                  <c:v>250257.12080527289</c:v>
                </c:pt>
                <c:pt idx="57">
                  <c:v>254529.24771202973</c:v>
                </c:pt>
                <c:pt idx="58">
                  <c:v>258796.76363862987</c:v>
                </c:pt>
                <c:pt idx="59">
                  <c:v>263059.63899795065</c:v>
                </c:pt>
                <c:pt idx="60">
                  <c:v>267317.84401301871</c:v>
                </c:pt>
                <c:pt idx="61">
                  <c:v>271571.34871579177</c:v>
                </c:pt>
                <c:pt idx="62">
                  <c:v>275820.12294593256</c:v>
                </c:pt>
                <c:pt idx="63">
                  <c:v>280064.13634957507</c:v>
                </c:pt>
                <c:pt idx="64">
                  <c:v>284303.35837808257</c:v>
                </c:pt>
                <c:pt idx="65">
                  <c:v>288537.75828679797</c:v>
                </c:pt>
                <c:pt idx="66">
                  <c:v>292767.30513378594</c:v>
                </c:pt>
                <c:pt idx="67">
                  <c:v>296991.96777856705</c:v>
                </c:pt>
                <c:pt idx="68">
                  <c:v>301211.71488084376</c:v>
                </c:pt>
                <c:pt idx="69">
                  <c:v>305426.5148992184</c:v>
                </c:pt>
                <c:pt idx="70">
                  <c:v>309636.33608990256</c:v>
                </c:pt>
                <c:pt idx="71">
                  <c:v>313841.14650541858</c:v>
                </c:pt>
                <c:pt idx="72">
                  <c:v>318040.91399329249</c:v>
                </c:pt>
                <c:pt idx="73">
                  <c:v>322235.60619473853</c:v>
                </c:pt>
                <c:pt idx="74">
                  <c:v>326425.19054333551</c:v>
                </c:pt>
                <c:pt idx="75">
                  <c:v>330609.63426369429</c:v>
                </c:pt>
                <c:pt idx="76">
                  <c:v>334788.904370117</c:v>
                </c:pt>
                <c:pt idx="77">
                  <c:v>338962.96766524756</c:v>
                </c:pt>
                <c:pt idx="78">
                  <c:v>343131.79073871346</c:v>
                </c:pt>
                <c:pt idx="79">
                  <c:v>347295.33996575908</c:v>
                </c:pt>
                <c:pt idx="80">
                  <c:v>351453.58150586986</c:v>
                </c:pt>
                <c:pt idx="81">
                  <c:v>355606.481301388</c:v>
                </c:pt>
                <c:pt idx="82">
                  <c:v>359754.00507611904</c:v>
                </c:pt>
                <c:pt idx="83">
                  <c:v>363896.11833392957</c:v>
                </c:pt>
                <c:pt idx="84">
                  <c:v>368032.78635733598</c:v>
                </c:pt>
                <c:pt idx="85">
                  <c:v>372163.97420608421</c:v>
                </c:pt>
                <c:pt idx="86">
                  <c:v>376289.64671572024</c:v>
                </c:pt>
                <c:pt idx="87">
                  <c:v>380409.76849615137</c:v>
                </c:pt>
                <c:pt idx="88">
                  <c:v>384524.3039301986</c:v>
                </c:pt>
                <c:pt idx="89">
                  <c:v>388633.21717213921</c:v>
                </c:pt>
                <c:pt idx="90">
                  <c:v>392736.47214624059</c:v>
                </c:pt>
                <c:pt idx="91">
                  <c:v>396834.03254528408</c:v>
                </c:pt>
                <c:pt idx="92">
                  <c:v>400925.86182907975</c:v>
                </c:pt>
                <c:pt idx="93">
                  <c:v>405011.92322297138</c:v>
                </c:pt>
                <c:pt idx="94">
                  <c:v>409092.17971633212</c:v>
                </c:pt>
                <c:pt idx="95">
                  <c:v>413166.59406105021</c:v>
                </c:pt>
                <c:pt idx="96">
                  <c:v>417235.12877000525</c:v>
                </c:pt>
                <c:pt idx="97">
                  <c:v>421297.74611553433</c:v>
                </c:pt>
                <c:pt idx="98">
                  <c:v>425354.40812788886</c:v>
                </c:pt>
                <c:pt idx="99">
                  <c:v>429405.07659368101</c:v>
                </c:pt>
                <c:pt idx="100">
                  <c:v>433449.71305432025</c:v>
                </c:pt>
                <c:pt idx="101">
                  <c:v>437488.27880444023</c:v>
                </c:pt>
                <c:pt idx="102">
                  <c:v>441520.7348903151</c:v>
                </c:pt>
                <c:pt idx="103">
                  <c:v>445547.04210826597</c:v>
                </c:pt>
                <c:pt idx="104">
                  <c:v>449567.16100305703</c:v>
                </c:pt>
                <c:pt idx="105">
                  <c:v>453581.05186628125</c:v>
                </c:pt>
                <c:pt idx="106">
                  <c:v>457588.67473473615</c:v>
                </c:pt>
                <c:pt idx="107">
                  <c:v>461589.98938878858</c:v>
                </c:pt>
                <c:pt idx="108">
                  <c:v>465584.95535072952</c:v>
                </c:pt>
                <c:pt idx="109">
                  <c:v>469573.53188311786</c:v>
                </c:pt>
                <c:pt idx="110">
                  <c:v>473555.677987114</c:v>
                </c:pt>
                <c:pt idx="111">
                  <c:v>477531.35240080243</c:v>
                </c:pt>
                <c:pt idx="112">
                  <c:v>481500.51359750365</c:v>
                </c:pt>
                <c:pt idx="113">
                  <c:v>485463.1197840753</c:v>
                </c:pt>
                <c:pt idx="114">
                  <c:v>489419.12889920245</c:v>
                </c:pt>
                <c:pt idx="115">
                  <c:v>493368.49861167662</c:v>
                </c:pt>
                <c:pt idx="116">
                  <c:v>497311.18631866411</c:v>
                </c:pt>
                <c:pt idx="117">
                  <c:v>501247.14914396306</c:v>
                </c:pt>
                <c:pt idx="118">
                  <c:v>505176.34393624932</c:v>
                </c:pt>
                <c:pt idx="119">
                  <c:v>509098.72726731107</c:v>
                </c:pt>
                <c:pt idx="120">
                  <c:v>513014.25543027208</c:v>
                </c:pt>
                <c:pt idx="121">
                  <c:v>516922.8844378037</c:v>
                </c:pt>
                <c:pt idx="122">
                  <c:v>520824.57002032531</c:v>
                </c:pt>
                <c:pt idx="123">
                  <c:v>524719.2676241931</c:v>
                </c:pt>
                <c:pt idx="124">
                  <c:v>528606.93240987731</c:v>
                </c:pt>
                <c:pt idx="125">
                  <c:v>532487.51925012795</c:v>
                </c:pt>
                <c:pt idx="126">
                  <c:v>536360.98272812855</c:v>
                </c:pt>
                <c:pt idx="127">
                  <c:v>540227.27713563794</c:v>
                </c:pt>
                <c:pt idx="128">
                  <c:v>544086.35647112038</c:v>
                </c:pt>
                <c:pt idx="129">
                  <c:v>547938.17443786387</c:v>
                </c:pt>
                <c:pt idx="130">
                  <c:v>551782.68444208556</c:v>
                </c:pt>
                <c:pt idx="131">
                  <c:v>555619.83959102596</c:v>
                </c:pt>
                <c:pt idx="132">
                  <c:v>559449.59269103035</c:v>
                </c:pt>
                <c:pt idx="133">
                  <c:v>563271.89624561812</c:v>
                </c:pt>
                <c:pt idx="134">
                  <c:v>567086.70245353947</c:v>
                </c:pt>
                <c:pt idx="135">
                  <c:v>570893.96320681996</c:v>
                </c:pt>
                <c:pt idx="136">
                  <c:v>574693.6300887923</c:v>
                </c:pt>
                <c:pt idx="137">
                  <c:v>578485.6543721155</c:v>
                </c:pt>
                <c:pt idx="138">
                  <c:v>582269.9870167817</c:v>
                </c:pt>
                <c:pt idx="139">
                  <c:v>586046.57866810949</c:v>
                </c:pt>
                <c:pt idx="140">
                  <c:v>589815.37965472497</c:v>
                </c:pt>
                <c:pt idx="141">
                  <c:v>593576.33998652943</c:v>
                </c:pt>
                <c:pt idx="142">
                  <c:v>597329.40935265471</c:v>
                </c:pt>
                <c:pt idx="143">
                  <c:v>601074.53711940418</c:v>
                </c:pt>
                <c:pt idx="144">
                  <c:v>604811.67232818191</c:v>
                </c:pt>
                <c:pt idx="145">
                  <c:v>608540.76369340764</c:v>
                </c:pt>
                <c:pt idx="146">
                  <c:v>612261.7596004185</c:v>
                </c:pt>
                <c:pt idx="147">
                  <c:v>615974.60810335772</c:v>
                </c:pt>
                <c:pt idx="148">
                  <c:v>619679.25692304899</c:v>
                </c:pt>
                <c:pt idx="149">
                  <c:v>623375.65344485827</c:v>
                </c:pt>
                <c:pt idx="150">
                  <c:v>627063.74471654079</c:v>
                </c:pt>
                <c:pt idx="151">
                  <c:v>630743.47744607495</c:v>
                </c:pt>
                <c:pt idx="152">
                  <c:v>634414.7979994819</c:v>
                </c:pt>
                <c:pt idx="153">
                  <c:v>638077.65239863156</c:v>
                </c:pt>
                <c:pt idx="154">
                  <c:v>641731.98631903401</c:v>
                </c:pt>
                <c:pt idx="155">
                  <c:v>645377.74508761731</c:v>
                </c:pt>
                <c:pt idx="156">
                  <c:v>649014.87368049065</c:v>
                </c:pt>
                <c:pt idx="157">
                  <c:v>652643.31672069326</c:v>
                </c:pt>
                <c:pt idx="158">
                  <c:v>656263.01847592881</c:v>
                </c:pt>
                <c:pt idx="159">
                  <c:v>659873.92285628547</c:v>
                </c:pt>
                <c:pt idx="160">
                  <c:v>663475.97341194097</c:v>
                </c:pt>
                <c:pt idx="161">
                  <c:v>667069.11333085352</c:v>
                </c:pt>
                <c:pt idx="162">
                  <c:v>670653.28543643747</c:v>
                </c:pt>
                <c:pt idx="163">
                  <c:v>674228.43218522391</c:v>
                </c:pt>
                <c:pt idx="164">
                  <c:v>677794.49566450668</c:v>
                </c:pt>
                <c:pt idx="165">
                  <c:v>681351.41758997308</c:v>
                </c:pt>
                <c:pt idx="166">
                  <c:v>684899.13930331951</c:v>
                </c:pt>
                <c:pt idx="167">
                  <c:v>688437.60176985164</c:v>
                </c:pt>
                <c:pt idx="168">
                  <c:v>691966.74557606888</c:v>
                </c:pt>
                <c:pt idx="169">
                  <c:v>695486.51092723431</c:v>
                </c:pt>
                <c:pt idx="170">
                  <c:v>698996.83764492802</c:v>
                </c:pt>
                <c:pt idx="171">
                  <c:v>702497.66516458523</c:v>
                </c:pt>
                <c:pt idx="172">
                  <c:v>705988.93253301864</c:v>
                </c:pt>
                <c:pt idx="173">
                  <c:v>709470.57840592437</c:v>
                </c:pt>
                <c:pt idx="174">
                  <c:v>712942.54104537296</c:v>
                </c:pt>
                <c:pt idx="175">
                  <c:v>716404.75831728289</c:v>
                </c:pt>
                <c:pt idx="176">
                  <c:v>719857.1676888793</c:v>
                </c:pt>
                <c:pt idx="177">
                  <c:v>723299.70622613502</c:v>
                </c:pt>
                <c:pt idx="178">
                  <c:v>726732.31059119641</c:v>
                </c:pt>
                <c:pt idx="179">
                  <c:v>730154.91703979194</c:v>
                </c:pt>
                <c:pt idx="180">
                  <c:v>733567.46141862427</c:v>
                </c:pt>
                <c:pt idx="181">
                  <c:v>736969.87916274578</c:v>
                </c:pt>
                <c:pt idx="182">
                  <c:v>740362.105292917</c:v>
                </c:pt>
                <c:pt idx="183">
                  <c:v>743744.07441294845</c:v>
                </c:pt>
                <c:pt idx="184">
                  <c:v>747115.72070702503</c:v>
                </c:pt>
                <c:pt idx="185">
                  <c:v>750476.97793701361</c:v>
                </c:pt>
                <c:pt idx="186">
                  <c:v>753827.77943975292</c:v>
                </c:pt>
                <c:pt idx="187">
                  <c:v>757168.0581243264</c:v>
                </c:pt>
                <c:pt idx="188">
                  <c:v>760497.74646931759</c:v>
                </c:pt>
                <c:pt idx="189">
                  <c:v>763816.77652004734</c:v>
                </c:pt>
                <c:pt idx="190">
                  <c:v>767125.07988579432</c:v>
                </c:pt>
                <c:pt idx="191">
                  <c:v>770422.58773699647</c:v>
                </c:pt>
                <c:pt idx="192">
                  <c:v>773709.23080243543</c:v>
                </c:pt>
                <c:pt idx="193">
                  <c:v>776984.93936640257</c:v>
                </c:pt>
                <c:pt idx="194">
                  <c:v>780249.64326584677</c:v>
                </c:pt>
                <c:pt idx="195">
                  <c:v>783503.27188750403</c:v>
                </c:pt>
                <c:pt idx="196">
                  <c:v>786745.75416500855</c:v>
                </c:pt>
                <c:pt idx="197">
                  <c:v>789977.01857598545</c:v>
                </c:pt>
                <c:pt idx="198">
                  <c:v>793196.99313912436</c:v>
                </c:pt>
                <c:pt idx="199">
                  <c:v>796405.60541123501</c:v>
                </c:pt>
                <c:pt idx="200">
                  <c:v>799602.78248428344</c:v>
                </c:pt>
                <c:pt idx="201">
                  <c:v>802788.45098240883</c:v>
                </c:pt>
                <c:pt idx="202">
                  <c:v>805962.53705892211</c:v>
                </c:pt>
                <c:pt idx="203">
                  <c:v>809124.96639328473</c:v>
                </c:pt>
                <c:pt idx="204">
                  <c:v>812275.66418806778</c:v>
                </c:pt>
                <c:pt idx="205">
                  <c:v>815414.55516589235</c:v>
                </c:pt>
                <c:pt idx="206">
                  <c:v>818541.56356634956</c:v>
                </c:pt>
                <c:pt idx="207">
                  <c:v>821656.61314290133</c:v>
                </c:pt>
                <c:pt idx="208">
                  <c:v>824759.62715976092</c:v>
                </c:pt>
                <c:pt idx="209">
                  <c:v>827850.52838875365</c:v>
                </c:pt>
                <c:pt idx="210">
                  <c:v>830929.23910615745</c:v>
                </c:pt>
                <c:pt idx="211">
                  <c:v>833995.6810895229</c:v>
                </c:pt>
                <c:pt idx="212">
                  <c:v>837049.77561447315</c:v>
                </c:pt>
                <c:pt idx="213">
                  <c:v>840091.4434514835</c:v>
                </c:pt>
                <c:pt idx="214">
                  <c:v>843120.60486263968</c:v>
                </c:pt>
                <c:pt idx="215">
                  <c:v>846137.17959837569</c:v>
                </c:pt>
                <c:pt idx="216">
                  <c:v>849141.08689419099</c:v>
                </c:pt>
                <c:pt idx="217">
                  <c:v>852132.24546734605</c:v>
                </c:pt>
                <c:pt idx="218">
                  <c:v>855110.57351353718</c:v>
                </c:pt>
                <c:pt idx="219">
                  <c:v>858075.98870354961</c:v>
                </c:pt>
                <c:pt idx="220">
                  <c:v>861028.40817988967</c:v>
                </c:pt>
                <c:pt idx="221">
                  <c:v>863967.74855339446</c:v>
                </c:pt>
                <c:pt idx="222">
                  <c:v>866893.92589982087</c:v>
                </c:pt>
                <c:pt idx="223">
                  <c:v>869806.85575641191</c:v>
                </c:pt>
                <c:pt idx="224">
                  <c:v>872706.45311844104</c:v>
                </c:pt>
                <c:pt idx="225">
                  <c:v>875592.63243573473</c:v>
                </c:pt>
                <c:pt idx="226">
                  <c:v>878465.30760917277</c:v>
                </c:pt>
                <c:pt idx="227">
                  <c:v>881324.39198716532</c:v>
                </c:pt>
                <c:pt idx="228">
                  <c:v>884169.7983621083</c:v>
                </c:pt>
                <c:pt idx="229">
                  <c:v>887001.43896681548</c:v>
                </c:pt>
                <c:pt idx="230">
                  <c:v>889819.22547092778</c:v>
                </c:pt>
                <c:pt idx="231">
                  <c:v>892623.06897729973</c:v>
                </c:pt>
                <c:pt idx="232">
                  <c:v>895412.88001836254</c:v>
                </c:pt>
                <c:pt idx="233">
                  <c:v>898188.56855246378</c:v>
                </c:pt>
                <c:pt idx="234">
                  <c:v>900950.04396018386</c:v>
                </c:pt>
                <c:pt idx="235">
                  <c:v>903697.21504062845</c:v>
                </c:pt>
                <c:pt idx="236">
                  <c:v>906429.99000769749</c:v>
                </c:pt>
                <c:pt idx="237">
                  <c:v>909148.2764863302</c:v>
                </c:pt>
                <c:pt idx="238">
                  <c:v>911851.98150872579</c:v>
                </c:pt>
                <c:pt idx="239">
                  <c:v>914541.01151054003</c:v>
                </c:pt>
                <c:pt idx="240">
                  <c:v>917215.27232705755</c:v>
                </c:pt>
                <c:pt idx="241">
                  <c:v>919874.66918933939</c:v>
                </c:pt>
                <c:pt idx="242">
                  <c:v>922519.10672034579</c:v>
                </c:pt>
                <c:pt idx="243">
                  <c:v>925148.48893103446</c:v>
                </c:pt>
                <c:pt idx="244">
                  <c:v>927762.71921643335</c:v>
                </c:pt>
                <c:pt idx="245">
                  <c:v>930361.70035168855</c:v>
                </c:pt>
                <c:pt idx="246">
                  <c:v>932945.33448808652</c:v>
                </c:pt>
                <c:pt idx="247">
                  <c:v>935513.52314905135</c:v>
                </c:pt>
                <c:pt idx="248">
                  <c:v>938066.16722611571</c:v>
                </c:pt>
                <c:pt idx="249">
                  <c:v>940603.16697486618</c:v>
                </c:pt>
                <c:pt idx="250">
                  <c:v>943124.42201086273</c:v>
                </c:pt>
                <c:pt idx="251">
                  <c:v>945629.8313055319</c:v>
                </c:pt>
                <c:pt idx="252">
                  <c:v>948119.29318203346</c:v>
                </c:pt>
                <c:pt idx="253">
                  <c:v>950592.70531110093</c:v>
                </c:pt>
                <c:pt idx="254">
                  <c:v>953049.96470685489</c:v>
                </c:pt>
                <c:pt idx="255">
                  <c:v>955490.96772258985</c:v>
                </c:pt>
                <c:pt idx="256">
                  <c:v>957915.6100465341</c:v>
                </c:pt>
                <c:pt idx="257">
                  <c:v>960323.78669758199</c:v>
                </c:pt>
                <c:pt idx="258">
                  <c:v>962715.3920209991</c:v>
                </c:pt>
                <c:pt idx="259">
                  <c:v>965090.31968409976</c:v>
                </c:pt>
                <c:pt idx="260">
                  <c:v>967448.46267189691</c:v>
                </c:pt>
                <c:pt idx="261">
                  <c:v>969789.71328272403</c:v>
                </c:pt>
                <c:pt idx="262">
                  <c:v>972113.96312382899</c:v>
                </c:pt>
                <c:pt idx="263">
                  <c:v>974421.10310693923</c:v>
                </c:pt>
                <c:pt idx="264">
                  <c:v>976711.02344379947</c:v>
                </c:pt>
                <c:pt idx="265">
                  <c:v>978983.61364167952</c:v>
                </c:pt>
                <c:pt idx="266">
                  <c:v>981238.76249885419</c:v>
                </c:pt>
                <c:pt idx="267">
                  <c:v>983476.35810005409</c:v>
                </c:pt>
                <c:pt idx="268">
                  <c:v>985696.28781188664</c:v>
                </c:pt>
                <c:pt idx="269">
                  <c:v>987898.43827822839</c:v>
                </c:pt>
                <c:pt idx="270">
                  <c:v>990082.69541558751</c:v>
                </c:pt>
                <c:pt idx="271">
                  <c:v>992248.94440843631</c:v>
                </c:pt>
                <c:pt idx="272">
                  <c:v>994397.06970451423</c:v>
                </c:pt>
                <c:pt idx="273">
                  <c:v>996526.95501010027</c:v>
                </c:pt>
                <c:pt idx="274">
                  <c:v>998638.48328525538</c:v>
                </c:pt>
                <c:pt idx="275">
                  <c:v>1000731.5367390345</c:v>
                </c:pt>
                <c:pt idx="276">
                  <c:v>1002805.9968246669</c:v>
                </c:pt>
                <c:pt idx="277">
                  <c:v>1004861.7442347071</c:v>
                </c:pt>
                <c:pt idx="278">
                  <c:v>1006898.6588961533</c:v>
                </c:pt>
                <c:pt idx="279">
                  <c:v>1008916.6199655355</c:v>
                </c:pt>
                <c:pt idx="280">
                  <c:v>1010915.5058239711</c:v>
                </c:pt>
                <c:pt idx="281">
                  <c:v>1012895.19407219</c:v>
                </c:pt>
                <c:pt idx="282">
                  <c:v>1014855.5615255266</c:v>
                </c:pt>
                <c:pt idx="283">
                  <c:v>1016796.4842088803</c:v>
                </c:pt>
                <c:pt idx="284">
                  <c:v>1018717.8373516439</c:v>
                </c:pt>
                <c:pt idx="285">
                  <c:v>1020619.4953825986</c:v>
                </c:pt>
                <c:pt idx="286">
                  <c:v>1022501.3319247769</c:v>
                </c:pt>
                <c:pt idx="287">
                  <c:v>1024363.2197902924</c:v>
                </c:pt>
                <c:pt idx="288">
                  <c:v>1026205.0309751367</c:v>
                </c:pt>
                <c:pt idx="289">
                  <c:v>1028026.6366539419</c:v>
                </c:pt>
                <c:pt idx="290">
                  <c:v>1029827.9071747112</c:v>
                </c:pt>
                <c:pt idx="291">
                  <c:v>1031608.7120535137</c:v>
                </c:pt>
                <c:pt idx="292">
                  <c:v>1033368.9199691468</c:v>
                </c:pt>
                <c:pt idx="293">
                  <c:v>1035108.3987577636</c:v>
                </c:pt>
                <c:pt idx="294">
                  <c:v>1036827.0154074655</c:v>
                </c:pt>
                <c:pt idx="295">
                  <c:v>1038524.6360528613</c:v>
                </c:pt>
                <c:pt idx="296">
                  <c:v>1040201.1259695902</c:v>
                </c:pt>
                <c:pt idx="297">
                  <c:v>1041856.3495688095</c:v>
                </c:pt>
                <c:pt idx="298">
                  <c:v>1043490.1703916489</c:v>
                </c:pt>
                <c:pt idx="299">
                  <c:v>1045102.4511036264</c:v>
                </c:pt>
                <c:pt idx="300">
                  <c:v>1046693.0534890308</c:v>
                </c:pt>
                <c:pt idx="301">
                  <c:v>1048261.8384452665</c:v>
                </c:pt>
                <c:pt idx="302">
                  <c:v>1049808.665977163</c:v>
                </c:pt>
                <c:pt idx="303">
                  <c:v>1051333.3951912473</c:v>
                </c:pt>
                <c:pt idx="304">
                  <c:v>1052835.8842899804</c:v>
                </c:pt>
                <c:pt idx="305">
                  <c:v>1054315.9905659554</c:v>
                </c:pt>
                <c:pt idx="306">
                  <c:v>1055773.5703960594</c:v>
                </c:pt>
                <c:pt idx="307">
                  <c:v>1057208.4792355984</c:v>
                </c:pt>
                <c:pt idx="308">
                  <c:v>1058620.5716123825</c:v>
                </c:pt>
                <c:pt idx="309">
                  <c:v>1060009.7011207761</c:v>
                </c:pt>
                <c:pt idx="310">
                  <c:v>1061375.7204157067</c:v>
                </c:pt>
                <c:pt idx="311">
                  <c:v>1062718.4812066383</c:v>
                </c:pt>
                <c:pt idx="312">
                  <c:v>1064037.8342515032</c:v>
                </c:pt>
                <c:pt idx="313">
                  <c:v>1065333.6293505977</c:v>
                </c:pt>
                <c:pt idx="314">
                  <c:v>1066605.7153404364</c:v>
                </c:pt>
                <c:pt idx="315">
                  <c:v>1067853.940087568</c:v>
                </c:pt>
                <c:pt idx="316">
                  <c:v>1069078.1504823521</c:v>
                </c:pt>
                <c:pt idx="317">
                  <c:v>1070278.1924326944</c:v>
                </c:pt>
                <c:pt idx="318">
                  <c:v>1071453.9108577429</c:v>
                </c:pt>
                <c:pt idx="319">
                  <c:v>1072605.1496815439</c:v>
                </c:pt>
                <c:pt idx="320">
                  <c:v>1073731.7518266558</c:v>
                </c:pt>
                <c:pt idx="321">
                  <c:v>1074833.5592077239</c:v>
                </c:pt>
                <c:pt idx="322">
                  <c:v>1075910.4127250121</c:v>
                </c:pt>
                <c:pt idx="323">
                  <c:v>1076962.1522578944</c:v>
                </c:pt>
                <c:pt idx="324">
                  <c:v>1077988.6166583044</c:v>
                </c:pt>
                <c:pt idx="325">
                  <c:v>1078989.643744142</c:v>
                </c:pt>
                <c:pt idx="326">
                  <c:v>1079965.0702926388</c:v>
                </c:pt>
                <c:pt idx="327">
                  <c:v>1080914.7320336802</c:v>
                </c:pt>
                <c:pt idx="328">
                  <c:v>1081838.4636430847</c:v>
                </c:pt>
                <c:pt idx="329">
                  <c:v>1082736.0987358412</c:v>
                </c:pt>
                <c:pt idx="330">
                  <c:v>1083607.4698593013</c:v>
                </c:pt>
                <c:pt idx="331">
                  <c:v>1084452.4084863286</c:v>
                </c:pt>
                <c:pt idx="332">
                  <c:v>1085270.7450084041</c:v>
                </c:pt>
                <c:pt idx="333">
                  <c:v>1086062.3087286879</c:v>
                </c:pt>
                <c:pt idx="334">
                  <c:v>1086826.9278550353</c:v>
                </c:pt>
                <c:pt idx="335">
                  <c:v>1087564.4294929684</c:v>
                </c:pt>
                <c:pt idx="336">
                  <c:v>1088274.639638603</c:v>
                </c:pt>
                <c:pt idx="337">
                  <c:v>1088957.3831715304</c:v>
                </c:pt>
                <c:pt idx="338">
                  <c:v>1089612.4838476526</c:v>
                </c:pt>
                <c:pt idx="339">
                  <c:v>1090239.7642919715</c:v>
                </c:pt>
                <c:pt idx="340">
                  <c:v>1090839.045991333</c:v>
                </c:pt>
                <c:pt idx="341">
                  <c:v>1091410.1492871237</c:v>
                </c:pt>
                <c:pt idx="342">
                  <c:v>1091952.8933679208</c:v>
                </c:pt>
                <c:pt idx="343">
                  <c:v>1092467.0962620946</c:v>
                </c:pt>
                <c:pt idx="344">
                  <c:v>1092952.5748303642</c:v>
                </c:pt>
                <c:pt idx="345">
                  <c:v>1093409.1447583053</c:v>
                </c:pt>
                <c:pt idx="346">
                  <c:v>1093836.6205488089</c:v>
                </c:pt>
                <c:pt idx="347">
                  <c:v>1094234.8155144933</c:v>
                </c:pt>
                <c:pt idx="348">
                  <c:v>1094603.5417700657</c:v>
                </c:pt>
                <c:pt idx="349">
                  <c:v>1094942.6102246363</c:v>
                </c:pt>
                <c:pt idx="350">
                  <c:v>1095251.8305739821</c:v>
                </c:pt>
                <c:pt idx="351">
                  <c:v>1095531.0112927612</c:v>
                </c:pt>
                <c:pt idx="352">
                  <c:v>1095779.9596266772</c:v>
                </c:pt>
                <c:pt idx="353">
                  <c:v>1095998.4815845944</c:v>
                </c:pt>
                <c:pt idx="354">
                  <c:v>1096186.3819305997</c:v>
                </c:pt>
                <c:pt idx="355">
                  <c:v>1096343.4641760169</c:v>
                </c:pt>
                <c:pt idx="356">
                  <c:v>1096469.5305713671</c:v>
                </c:pt>
                <c:pt idx="357">
                  <c:v>1096564.3820982792</c:v>
                </c:pt>
                <c:pt idx="358">
                  <c:v>1096627.8184613471</c:v>
                </c:pt>
                <c:pt idx="359">
                  <c:v>1096659.6380799364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47F-427E-83A8-519C72CCD637}"/>
            </c:ext>
          </c:extLst>
        </c:ser>
        <c:ser>
          <c:idx val="5"/>
          <c:order val="5"/>
          <c:tx>
            <c:strRef>
              <c:f>'1930 Congress Amortization'!$L$5</c:f>
              <c:strCache>
                <c:ptCount val="1"/>
                <c:pt idx="0">
                  <c:v>Total Paid End of Loan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'1930 Congress Amortization'!$A$6:$A$365</c:f>
              <c:numCache>
                <c:formatCode>General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'1930 Congress Amortization'!$L$6:$L$365</c:f>
              <c:numCache>
                <c:formatCode>"$"#,##0.00_);[Red]\("$"#,##0.00\)</c:formatCode>
                <c:ptCount val="360"/>
                <c:pt idx="0">
                  <c:v>4990.7212168886126</c:v>
                </c:pt>
                <c:pt idx="1">
                  <c:v>9981.4424337772252</c:v>
                </c:pt>
                <c:pt idx="2">
                  <c:v>14972.163650665838</c:v>
                </c:pt>
                <c:pt idx="3">
                  <c:v>19962.88486755445</c:v>
                </c:pt>
                <c:pt idx="4">
                  <c:v>24953.606084443065</c:v>
                </c:pt>
                <c:pt idx="5">
                  <c:v>29944.327301331676</c:v>
                </c:pt>
                <c:pt idx="6">
                  <c:v>34935.04851822029</c:v>
                </c:pt>
                <c:pt idx="7">
                  <c:v>39925.769735108901</c:v>
                </c:pt>
                <c:pt idx="8">
                  <c:v>44916.490951997512</c:v>
                </c:pt>
                <c:pt idx="9">
                  <c:v>49907.212168886123</c:v>
                </c:pt>
                <c:pt idx="10">
                  <c:v>54897.933385774741</c:v>
                </c:pt>
                <c:pt idx="11">
                  <c:v>59888.654602663351</c:v>
                </c:pt>
                <c:pt idx="12">
                  <c:v>64879.375819551969</c:v>
                </c:pt>
                <c:pt idx="13">
                  <c:v>69870.09703644058</c:v>
                </c:pt>
                <c:pt idx="14">
                  <c:v>74860.818253329198</c:v>
                </c:pt>
                <c:pt idx="15">
                  <c:v>79851.539470217802</c:v>
                </c:pt>
                <c:pt idx="16">
                  <c:v>84842.260687106434</c:v>
                </c:pt>
                <c:pt idx="17">
                  <c:v>89832.981903995038</c:v>
                </c:pt>
                <c:pt idx="18">
                  <c:v>94823.703120883642</c:v>
                </c:pt>
                <c:pt idx="19">
                  <c:v>99814.42433777226</c:v>
                </c:pt>
                <c:pt idx="20">
                  <c:v>104805.14555466088</c:v>
                </c:pt>
                <c:pt idx="21">
                  <c:v>109795.86677154948</c:v>
                </c:pt>
                <c:pt idx="22">
                  <c:v>114786.5879884381</c:v>
                </c:pt>
                <c:pt idx="23">
                  <c:v>119777.30920532672</c:v>
                </c:pt>
                <c:pt idx="24">
                  <c:v>124768.03042221532</c:v>
                </c:pt>
                <c:pt idx="25">
                  <c:v>129758.75163910392</c:v>
                </c:pt>
                <c:pt idx="26">
                  <c:v>134749.47285599256</c:v>
                </c:pt>
                <c:pt idx="27">
                  <c:v>139740.19407288116</c:v>
                </c:pt>
                <c:pt idx="28">
                  <c:v>144730.91528976976</c:v>
                </c:pt>
                <c:pt idx="29">
                  <c:v>149721.6365066584</c:v>
                </c:pt>
                <c:pt idx="30">
                  <c:v>154712.35772354703</c:v>
                </c:pt>
                <c:pt idx="31">
                  <c:v>159703.07894043563</c:v>
                </c:pt>
                <c:pt idx="32">
                  <c:v>164693.80015732424</c:v>
                </c:pt>
                <c:pt idx="33">
                  <c:v>169684.52137421284</c:v>
                </c:pt>
                <c:pt idx="34">
                  <c:v>174675.24259110144</c:v>
                </c:pt>
                <c:pt idx="35">
                  <c:v>179665.96380799005</c:v>
                </c:pt>
                <c:pt idx="36">
                  <c:v>184656.68502487868</c:v>
                </c:pt>
                <c:pt idx="37">
                  <c:v>189647.40624176728</c:v>
                </c:pt>
                <c:pt idx="38">
                  <c:v>194638.12745865589</c:v>
                </c:pt>
                <c:pt idx="39">
                  <c:v>199628.84867554449</c:v>
                </c:pt>
                <c:pt idx="40">
                  <c:v>204619.56989243309</c:v>
                </c:pt>
                <c:pt idx="41">
                  <c:v>209610.29110932173</c:v>
                </c:pt>
                <c:pt idx="42">
                  <c:v>214601.01232621033</c:v>
                </c:pt>
                <c:pt idx="43">
                  <c:v>219591.73354309896</c:v>
                </c:pt>
                <c:pt idx="44">
                  <c:v>224582.45475998757</c:v>
                </c:pt>
                <c:pt idx="45">
                  <c:v>229573.17597687617</c:v>
                </c:pt>
                <c:pt idx="46">
                  <c:v>234563.89719376477</c:v>
                </c:pt>
                <c:pt idx="47">
                  <c:v>239554.61841065338</c:v>
                </c:pt>
                <c:pt idx="48">
                  <c:v>244545.33962754201</c:v>
                </c:pt>
                <c:pt idx="49">
                  <c:v>249536.06084443061</c:v>
                </c:pt>
                <c:pt idx="50">
                  <c:v>254526.78206131922</c:v>
                </c:pt>
                <c:pt idx="51">
                  <c:v>259517.50327820785</c:v>
                </c:pt>
                <c:pt idx="52">
                  <c:v>264508.22449509648</c:v>
                </c:pt>
                <c:pt idx="53">
                  <c:v>269498.94571198506</c:v>
                </c:pt>
                <c:pt idx="54">
                  <c:v>274489.66692887369</c:v>
                </c:pt>
                <c:pt idx="55">
                  <c:v>279480.38814576226</c:v>
                </c:pt>
                <c:pt idx="56">
                  <c:v>284471.1093626509</c:v>
                </c:pt>
                <c:pt idx="57">
                  <c:v>289461.83057953953</c:v>
                </c:pt>
                <c:pt idx="58">
                  <c:v>294452.5517964281</c:v>
                </c:pt>
                <c:pt idx="59">
                  <c:v>299443.27301331674</c:v>
                </c:pt>
                <c:pt idx="60">
                  <c:v>304433.99423020531</c:v>
                </c:pt>
                <c:pt idx="61">
                  <c:v>309424.71544709394</c:v>
                </c:pt>
                <c:pt idx="62">
                  <c:v>314415.43666398252</c:v>
                </c:pt>
                <c:pt idx="63">
                  <c:v>319406.15788087115</c:v>
                </c:pt>
                <c:pt idx="64">
                  <c:v>324396.87909775972</c:v>
                </c:pt>
                <c:pt idx="65">
                  <c:v>329387.60031464836</c:v>
                </c:pt>
                <c:pt idx="66">
                  <c:v>334378.32153153699</c:v>
                </c:pt>
                <c:pt idx="67">
                  <c:v>339369.04274842562</c:v>
                </c:pt>
                <c:pt idx="68">
                  <c:v>344359.7639653142</c:v>
                </c:pt>
                <c:pt idx="69">
                  <c:v>349350.48518220277</c:v>
                </c:pt>
                <c:pt idx="70">
                  <c:v>354341.2063990914</c:v>
                </c:pt>
                <c:pt idx="71">
                  <c:v>359331.92761597998</c:v>
                </c:pt>
                <c:pt idx="72">
                  <c:v>364322.64883286861</c:v>
                </c:pt>
                <c:pt idx="73">
                  <c:v>369313.37004975718</c:v>
                </c:pt>
                <c:pt idx="74">
                  <c:v>374304.09126664582</c:v>
                </c:pt>
                <c:pt idx="75">
                  <c:v>379294.81248353445</c:v>
                </c:pt>
                <c:pt idx="76">
                  <c:v>384285.53370042308</c:v>
                </c:pt>
                <c:pt idx="77">
                  <c:v>389276.25491731171</c:v>
                </c:pt>
                <c:pt idx="78">
                  <c:v>394266.97613420029</c:v>
                </c:pt>
                <c:pt idx="79">
                  <c:v>399257.69735108892</c:v>
                </c:pt>
                <c:pt idx="80">
                  <c:v>404248.4185679775</c:v>
                </c:pt>
                <c:pt idx="81">
                  <c:v>409239.13978486613</c:v>
                </c:pt>
                <c:pt idx="82">
                  <c:v>414229.86100175476</c:v>
                </c:pt>
                <c:pt idx="83">
                  <c:v>419220.58221864339</c:v>
                </c:pt>
                <c:pt idx="84">
                  <c:v>424211.30343553197</c:v>
                </c:pt>
                <c:pt idx="85">
                  <c:v>429202.0246524206</c:v>
                </c:pt>
                <c:pt idx="86">
                  <c:v>434192.74586930923</c:v>
                </c:pt>
                <c:pt idx="87">
                  <c:v>439183.46708619781</c:v>
                </c:pt>
                <c:pt idx="88">
                  <c:v>444174.1883030865</c:v>
                </c:pt>
                <c:pt idx="89">
                  <c:v>449164.90951997507</c:v>
                </c:pt>
                <c:pt idx="90">
                  <c:v>454155.63073686365</c:v>
                </c:pt>
                <c:pt idx="91">
                  <c:v>459146.35195375228</c:v>
                </c:pt>
                <c:pt idx="92">
                  <c:v>464137.07317064091</c:v>
                </c:pt>
                <c:pt idx="93">
                  <c:v>469127.79438752949</c:v>
                </c:pt>
                <c:pt idx="94">
                  <c:v>474118.51560441806</c:v>
                </c:pt>
                <c:pt idx="95">
                  <c:v>479109.23682130669</c:v>
                </c:pt>
                <c:pt idx="96">
                  <c:v>484099.95803819533</c:v>
                </c:pt>
                <c:pt idx="97">
                  <c:v>489090.6792550839</c:v>
                </c:pt>
                <c:pt idx="98">
                  <c:v>494081.40047197248</c:v>
                </c:pt>
                <c:pt idx="99">
                  <c:v>499072.12168886111</c:v>
                </c:pt>
                <c:pt idx="100">
                  <c:v>504062.84290574974</c:v>
                </c:pt>
                <c:pt idx="101">
                  <c:v>509053.56412263832</c:v>
                </c:pt>
                <c:pt idx="102">
                  <c:v>514044.28533952689</c:v>
                </c:pt>
                <c:pt idx="103">
                  <c:v>519035.00655641546</c:v>
                </c:pt>
                <c:pt idx="104">
                  <c:v>524025.7277733041</c:v>
                </c:pt>
                <c:pt idx="105">
                  <c:v>529016.44899019273</c:v>
                </c:pt>
                <c:pt idx="106">
                  <c:v>534007.17020708136</c:v>
                </c:pt>
                <c:pt idx="107">
                  <c:v>538997.89142396988</c:v>
                </c:pt>
                <c:pt idx="108">
                  <c:v>543988.61264085851</c:v>
                </c:pt>
                <c:pt idx="109">
                  <c:v>548979.33385774714</c:v>
                </c:pt>
                <c:pt idx="110">
                  <c:v>553970.05507463578</c:v>
                </c:pt>
                <c:pt idx="111">
                  <c:v>558960.77629152441</c:v>
                </c:pt>
                <c:pt idx="112">
                  <c:v>563951.49750841304</c:v>
                </c:pt>
                <c:pt idx="113">
                  <c:v>568942.21872530167</c:v>
                </c:pt>
                <c:pt idx="114">
                  <c:v>573932.93994219031</c:v>
                </c:pt>
                <c:pt idx="115">
                  <c:v>578923.66115907894</c:v>
                </c:pt>
                <c:pt idx="116">
                  <c:v>583914.38237596746</c:v>
                </c:pt>
                <c:pt idx="117">
                  <c:v>588905.10359285609</c:v>
                </c:pt>
                <c:pt idx="118">
                  <c:v>593895.82480974472</c:v>
                </c:pt>
                <c:pt idx="119">
                  <c:v>598886.54602663335</c:v>
                </c:pt>
                <c:pt idx="120">
                  <c:v>603877.26724352199</c:v>
                </c:pt>
                <c:pt idx="121">
                  <c:v>608867.9884604105</c:v>
                </c:pt>
                <c:pt idx="122">
                  <c:v>613858.70967729914</c:v>
                </c:pt>
                <c:pt idx="123">
                  <c:v>618849.43089418777</c:v>
                </c:pt>
                <c:pt idx="124">
                  <c:v>623840.1521110764</c:v>
                </c:pt>
                <c:pt idx="125">
                  <c:v>628830.87332796503</c:v>
                </c:pt>
                <c:pt idx="126">
                  <c:v>633821.59454485367</c:v>
                </c:pt>
                <c:pt idx="127">
                  <c:v>638812.31576174241</c:v>
                </c:pt>
                <c:pt idx="128">
                  <c:v>643803.03697863093</c:v>
                </c:pt>
                <c:pt idx="129">
                  <c:v>648793.75819551956</c:v>
                </c:pt>
                <c:pt idx="130">
                  <c:v>653784.4794124082</c:v>
                </c:pt>
                <c:pt idx="131">
                  <c:v>658775.20062929671</c:v>
                </c:pt>
                <c:pt idx="132">
                  <c:v>663765.92184618535</c:v>
                </c:pt>
                <c:pt idx="133">
                  <c:v>668756.64306307398</c:v>
                </c:pt>
                <c:pt idx="134">
                  <c:v>673747.36427996261</c:v>
                </c:pt>
                <c:pt idx="135">
                  <c:v>678738.08549685124</c:v>
                </c:pt>
                <c:pt idx="136">
                  <c:v>683728.80671373988</c:v>
                </c:pt>
                <c:pt idx="137">
                  <c:v>688719.52793062839</c:v>
                </c:pt>
                <c:pt idx="138">
                  <c:v>693710.24914751702</c:v>
                </c:pt>
                <c:pt idx="139">
                  <c:v>698700.97036440566</c:v>
                </c:pt>
                <c:pt idx="140">
                  <c:v>703691.69158129429</c:v>
                </c:pt>
                <c:pt idx="141">
                  <c:v>708682.41279818292</c:v>
                </c:pt>
                <c:pt idx="142">
                  <c:v>713673.13401507156</c:v>
                </c:pt>
                <c:pt idx="143">
                  <c:v>718663.85523196019</c:v>
                </c:pt>
                <c:pt idx="144">
                  <c:v>723654.5764488487</c:v>
                </c:pt>
                <c:pt idx="145">
                  <c:v>728645.29766573734</c:v>
                </c:pt>
                <c:pt idx="146">
                  <c:v>733636.01888262597</c:v>
                </c:pt>
                <c:pt idx="147">
                  <c:v>738626.7400995146</c:v>
                </c:pt>
                <c:pt idx="148">
                  <c:v>743617.46131640312</c:v>
                </c:pt>
                <c:pt idx="149">
                  <c:v>748608.18253329175</c:v>
                </c:pt>
                <c:pt idx="150">
                  <c:v>753598.90375018027</c:v>
                </c:pt>
                <c:pt idx="151">
                  <c:v>758589.6249670689</c:v>
                </c:pt>
                <c:pt idx="152">
                  <c:v>763580.34618395753</c:v>
                </c:pt>
                <c:pt idx="153">
                  <c:v>768571.06740084616</c:v>
                </c:pt>
                <c:pt idx="154">
                  <c:v>773561.7886177348</c:v>
                </c:pt>
                <c:pt idx="155">
                  <c:v>778552.50983462343</c:v>
                </c:pt>
                <c:pt idx="156">
                  <c:v>783543.23105151195</c:v>
                </c:pt>
                <c:pt idx="157">
                  <c:v>788533.95226840058</c:v>
                </c:pt>
                <c:pt idx="158">
                  <c:v>793524.67348528921</c:v>
                </c:pt>
                <c:pt idx="159">
                  <c:v>798515.39470217784</c:v>
                </c:pt>
                <c:pt idx="160">
                  <c:v>803506.11591906648</c:v>
                </c:pt>
                <c:pt idx="161">
                  <c:v>808496.83713595499</c:v>
                </c:pt>
                <c:pt idx="162">
                  <c:v>813487.55835284363</c:v>
                </c:pt>
                <c:pt idx="163">
                  <c:v>818478.27956973226</c:v>
                </c:pt>
                <c:pt idx="164">
                  <c:v>823469.00078662089</c:v>
                </c:pt>
                <c:pt idx="165">
                  <c:v>828459.72200350952</c:v>
                </c:pt>
                <c:pt idx="166">
                  <c:v>833450.44322039816</c:v>
                </c:pt>
                <c:pt idx="167">
                  <c:v>838441.16443728679</c:v>
                </c:pt>
                <c:pt idx="168">
                  <c:v>843431.8856541753</c:v>
                </c:pt>
                <c:pt idx="169">
                  <c:v>848422.60687106394</c:v>
                </c:pt>
                <c:pt idx="170">
                  <c:v>853413.32808795245</c:v>
                </c:pt>
                <c:pt idx="171">
                  <c:v>858404.04930484109</c:v>
                </c:pt>
                <c:pt idx="172">
                  <c:v>863394.77052172972</c:v>
                </c:pt>
                <c:pt idx="173">
                  <c:v>868385.49173861824</c:v>
                </c:pt>
                <c:pt idx="174">
                  <c:v>873376.21295550698</c:v>
                </c:pt>
                <c:pt idx="175">
                  <c:v>878366.9341723955</c:v>
                </c:pt>
                <c:pt idx="176">
                  <c:v>883357.65538928413</c:v>
                </c:pt>
                <c:pt idx="177">
                  <c:v>888348.37660617277</c:v>
                </c:pt>
                <c:pt idx="178">
                  <c:v>893339.09782306128</c:v>
                </c:pt>
                <c:pt idx="179">
                  <c:v>898329.81903994991</c:v>
                </c:pt>
                <c:pt idx="180">
                  <c:v>903320.54025683855</c:v>
                </c:pt>
                <c:pt idx="181">
                  <c:v>908311.26147372718</c:v>
                </c:pt>
                <c:pt idx="182">
                  <c:v>913301.98269061581</c:v>
                </c:pt>
                <c:pt idx="183">
                  <c:v>918292.70390750444</c:v>
                </c:pt>
                <c:pt idx="184">
                  <c:v>923283.42512439308</c:v>
                </c:pt>
                <c:pt idx="185">
                  <c:v>928274.14634128171</c:v>
                </c:pt>
                <c:pt idx="186">
                  <c:v>933264.86755817034</c:v>
                </c:pt>
                <c:pt idx="187">
                  <c:v>938255.58877505898</c:v>
                </c:pt>
                <c:pt idx="188">
                  <c:v>943246.30999194761</c:v>
                </c:pt>
                <c:pt idx="189">
                  <c:v>948237.03120883624</c:v>
                </c:pt>
                <c:pt idx="190">
                  <c:v>953227.75242572487</c:v>
                </c:pt>
                <c:pt idx="191">
                  <c:v>958218.47364261351</c:v>
                </c:pt>
                <c:pt idx="192">
                  <c:v>963209.19485950214</c:v>
                </c:pt>
                <c:pt idx="193">
                  <c:v>968199.91607639077</c:v>
                </c:pt>
                <c:pt idx="194">
                  <c:v>973190.63729327929</c:v>
                </c:pt>
                <c:pt idx="195">
                  <c:v>978181.35851016792</c:v>
                </c:pt>
                <c:pt idx="196">
                  <c:v>983172.07972705644</c:v>
                </c:pt>
                <c:pt idx="197">
                  <c:v>988162.80094394507</c:v>
                </c:pt>
                <c:pt idx="198">
                  <c:v>993153.5221608337</c:v>
                </c:pt>
                <c:pt idx="199">
                  <c:v>998144.24337772233</c:v>
                </c:pt>
                <c:pt idx="200">
                  <c:v>1003134.964594611</c:v>
                </c:pt>
                <c:pt idx="201">
                  <c:v>1008125.6858114996</c:v>
                </c:pt>
                <c:pt idx="202">
                  <c:v>1013116.4070283881</c:v>
                </c:pt>
                <c:pt idx="203">
                  <c:v>1018107.1282452767</c:v>
                </c:pt>
                <c:pt idx="204">
                  <c:v>1023097.8494621653</c:v>
                </c:pt>
                <c:pt idx="205">
                  <c:v>1028088.5706790539</c:v>
                </c:pt>
                <c:pt idx="206">
                  <c:v>1033079.2918959425</c:v>
                </c:pt>
                <c:pt idx="207">
                  <c:v>1038070.0131128312</c:v>
                </c:pt>
                <c:pt idx="208">
                  <c:v>1043060.7343297198</c:v>
                </c:pt>
                <c:pt idx="209">
                  <c:v>1048051.4555466083</c:v>
                </c:pt>
                <c:pt idx="210">
                  <c:v>1053042.1767634968</c:v>
                </c:pt>
                <c:pt idx="211">
                  <c:v>1058032.8979803857</c:v>
                </c:pt>
                <c:pt idx="212">
                  <c:v>1063023.6191972741</c:v>
                </c:pt>
                <c:pt idx="213">
                  <c:v>1068014.3404141627</c:v>
                </c:pt>
                <c:pt idx="214">
                  <c:v>1073005.0616310514</c:v>
                </c:pt>
                <c:pt idx="215">
                  <c:v>1077995.78284794</c:v>
                </c:pt>
                <c:pt idx="216">
                  <c:v>1082986.5040648286</c:v>
                </c:pt>
                <c:pt idx="217">
                  <c:v>1087977.2252817173</c:v>
                </c:pt>
                <c:pt idx="218">
                  <c:v>1092967.9464986059</c:v>
                </c:pt>
                <c:pt idx="219">
                  <c:v>1097958.6677154945</c:v>
                </c:pt>
                <c:pt idx="220">
                  <c:v>1102949.3889323832</c:v>
                </c:pt>
                <c:pt idx="221">
                  <c:v>1107940.1101492718</c:v>
                </c:pt>
                <c:pt idx="222">
                  <c:v>1112930.8313661602</c:v>
                </c:pt>
                <c:pt idx="223">
                  <c:v>1117921.5525830491</c:v>
                </c:pt>
                <c:pt idx="224">
                  <c:v>1122912.2737999377</c:v>
                </c:pt>
                <c:pt idx="225">
                  <c:v>1127902.9950168261</c:v>
                </c:pt>
                <c:pt idx="226">
                  <c:v>1132893.7162337149</c:v>
                </c:pt>
                <c:pt idx="227">
                  <c:v>1137884.4374506036</c:v>
                </c:pt>
                <c:pt idx="228">
                  <c:v>1142875.1586674922</c:v>
                </c:pt>
                <c:pt idx="229">
                  <c:v>1147865.8798843808</c:v>
                </c:pt>
                <c:pt idx="230">
                  <c:v>1152856.6011012695</c:v>
                </c:pt>
                <c:pt idx="231">
                  <c:v>1157847.3223181581</c:v>
                </c:pt>
                <c:pt idx="232">
                  <c:v>1162838.0435350465</c:v>
                </c:pt>
                <c:pt idx="233">
                  <c:v>1167828.7647519351</c:v>
                </c:pt>
                <c:pt idx="234">
                  <c:v>1172819.4859688238</c:v>
                </c:pt>
                <c:pt idx="235">
                  <c:v>1177810.2071857124</c:v>
                </c:pt>
                <c:pt idx="236">
                  <c:v>1182800.928402601</c:v>
                </c:pt>
                <c:pt idx="237">
                  <c:v>1187791.6496194897</c:v>
                </c:pt>
                <c:pt idx="238">
                  <c:v>1192782.3708363783</c:v>
                </c:pt>
                <c:pt idx="239">
                  <c:v>1197773.0920532669</c:v>
                </c:pt>
                <c:pt idx="240">
                  <c:v>1202763.8132701556</c:v>
                </c:pt>
                <c:pt idx="241">
                  <c:v>1207754.5344870442</c:v>
                </c:pt>
                <c:pt idx="242">
                  <c:v>1212745.2557039328</c:v>
                </c:pt>
                <c:pt idx="243">
                  <c:v>1217735.9769208215</c:v>
                </c:pt>
                <c:pt idx="244">
                  <c:v>1222726.6981377101</c:v>
                </c:pt>
                <c:pt idx="245">
                  <c:v>1227717.4193545987</c:v>
                </c:pt>
                <c:pt idx="246">
                  <c:v>1232708.1405714874</c:v>
                </c:pt>
                <c:pt idx="247">
                  <c:v>1237698.8617883758</c:v>
                </c:pt>
                <c:pt idx="248">
                  <c:v>1242689.5830052644</c:v>
                </c:pt>
                <c:pt idx="249">
                  <c:v>1247680.304222153</c:v>
                </c:pt>
                <c:pt idx="250">
                  <c:v>1252671.0254390417</c:v>
                </c:pt>
                <c:pt idx="251">
                  <c:v>1257661.7466559303</c:v>
                </c:pt>
                <c:pt idx="252">
                  <c:v>1262652.4678728189</c:v>
                </c:pt>
                <c:pt idx="253">
                  <c:v>1267643.1890897076</c:v>
                </c:pt>
                <c:pt idx="254">
                  <c:v>1272633.9103065962</c:v>
                </c:pt>
                <c:pt idx="255">
                  <c:v>1277624.6315234848</c:v>
                </c:pt>
                <c:pt idx="256">
                  <c:v>1282615.3527403735</c:v>
                </c:pt>
                <c:pt idx="257">
                  <c:v>1287606.0739572621</c:v>
                </c:pt>
                <c:pt idx="258">
                  <c:v>1292596.7951741507</c:v>
                </c:pt>
                <c:pt idx="259">
                  <c:v>1297587.5163910394</c:v>
                </c:pt>
                <c:pt idx="260">
                  <c:v>1302578.237607928</c:v>
                </c:pt>
                <c:pt idx="261">
                  <c:v>1307568.9588248166</c:v>
                </c:pt>
                <c:pt idx="262">
                  <c:v>1312559.6800417053</c:v>
                </c:pt>
                <c:pt idx="263">
                  <c:v>1317550.4012585939</c:v>
                </c:pt>
                <c:pt idx="264">
                  <c:v>1322541.1224754825</c:v>
                </c:pt>
                <c:pt idx="265">
                  <c:v>1327531.8436923712</c:v>
                </c:pt>
                <c:pt idx="266">
                  <c:v>1332522.5649092596</c:v>
                </c:pt>
                <c:pt idx="267">
                  <c:v>1337513.2861261482</c:v>
                </c:pt>
                <c:pt idx="268">
                  <c:v>1342504.0073430368</c:v>
                </c:pt>
                <c:pt idx="269">
                  <c:v>1347494.7285599255</c:v>
                </c:pt>
                <c:pt idx="270">
                  <c:v>1352485.4497768141</c:v>
                </c:pt>
                <c:pt idx="271">
                  <c:v>1357476.1709937027</c:v>
                </c:pt>
                <c:pt idx="272">
                  <c:v>1362466.8922105914</c:v>
                </c:pt>
                <c:pt idx="273">
                  <c:v>1367457.61342748</c:v>
                </c:pt>
                <c:pt idx="274">
                  <c:v>1372448.3346443684</c:v>
                </c:pt>
                <c:pt idx="275">
                  <c:v>1377439.0558612572</c:v>
                </c:pt>
                <c:pt idx="276">
                  <c:v>1382429.7770781456</c:v>
                </c:pt>
                <c:pt idx="277">
                  <c:v>1387420.4982950345</c:v>
                </c:pt>
                <c:pt idx="278">
                  <c:v>1392411.2195119231</c:v>
                </c:pt>
                <c:pt idx="279">
                  <c:v>1397401.9407288118</c:v>
                </c:pt>
                <c:pt idx="280">
                  <c:v>1402392.6619457004</c:v>
                </c:pt>
                <c:pt idx="281">
                  <c:v>1407383.3831625888</c:v>
                </c:pt>
                <c:pt idx="282">
                  <c:v>1412374.1043794774</c:v>
                </c:pt>
                <c:pt idx="283">
                  <c:v>1417364.8255963661</c:v>
                </c:pt>
                <c:pt idx="284">
                  <c:v>1422355.5468132547</c:v>
                </c:pt>
                <c:pt idx="285">
                  <c:v>1427346.2680301433</c:v>
                </c:pt>
                <c:pt idx="286">
                  <c:v>1432336.989247032</c:v>
                </c:pt>
                <c:pt idx="287">
                  <c:v>1437327.7104639206</c:v>
                </c:pt>
                <c:pt idx="288">
                  <c:v>1442318.4316808092</c:v>
                </c:pt>
                <c:pt idx="289">
                  <c:v>1447309.1528976979</c:v>
                </c:pt>
                <c:pt idx="290">
                  <c:v>1452299.8741145865</c:v>
                </c:pt>
                <c:pt idx="291">
                  <c:v>1457290.5953314751</c:v>
                </c:pt>
                <c:pt idx="292">
                  <c:v>1462281.3165483638</c:v>
                </c:pt>
                <c:pt idx="293">
                  <c:v>1467272.0377652524</c:v>
                </c:pt>
                <c:pt idx="294">
                  <c:v>1472262.758982141</c:v>
                </c:pt>
                <c:pt idx="295">
                  <c:v>1477253.4801990297</c:v>
                </c:pt>
                <c:pt idx="296">
                  <c:v>1482244.2014159183</c:v>
                </c:pt>
                <c:pt idx="297">
                  <c:v>1487234.9226328069</c:v>
                </c:pt>
                <c:pt idx="298">
                  <c:v>1492225.6438496956</c:v>
                </c:pt>
                <c:pt idx="299">
                  <c:v>1497216.3650665842</c:v>
                </c:pt>
                <c:pt idx="300">
                  <c:v>1502207.0862834728</c:v>
                </c:pt>
                <c:pt idx="301">
                  <c:v>1507197.8075003615</c:v>
                </c:pt>
                <c:pt idx="302">
                  <c:v>1512188.5287172501</c:v>
                </c:pt>
                <c:pt idx="303">
                  <c:v>1517179.2499341387</c:v>
                </c:pt>
                <c:pt idx="304">
                  <c:v>1522169.9711510271</c:v>
                </c:pt>
                <c:pt idx="305">
                  <c:v>1527160.692367916</c:v>
                </c:pt>
                <c:pt idx="306">
                  <c:v>1532151.4135848044</c:v>
                </c:pt>
                <c:pt idx="307">
                  <c:v>1537142.134801693</c:v>
                </c:pt>
                <c:pt idx="308">
                  <c:v>1542132.8560185817</c:v>
                </c:pt>
                <c:pt idx="309">
                  <c:v>1547123.5772354703</c:v>
                </c:pt>
                <c:pt idx="310">
                  <c:v>1552114.2984523587</c:v>
                </c:pt>
                <c:pt idx="311">
                  <c:v>1557105.0196692473</c:v>
                </c:pt>
                <c:pt idx="312">
                  <c:v>1562095.740886136</c:v>
                </c:pt>
                <c:pt idx="313">
                  <c:v>1567086.4621030246</c:v>
                </c:pt>
                <c:pt idx="314">
                  <c:v>1572077.1833199135</c:v>
                </c:pt>
                <c:pt idx="315">
                  <c:v>1577067.9045368019</c:v>
                </c:pt>
                <c:pt idx="316">
                  <c:v>1582058.6257536905</c:v>
                </c:pt>
                <c:pt idx="317">
                  <c:v>1587049.3469705791</c:v>
                </c:pt>
                <c:pt idx="318">
                  <c:v>1592040.0681874678</c:v>
                </c:pt>
                <c:pt idx="319">
                  <c:v>1597030.7894043564</c:v>
                </c:pt>
                <c:pt idx="320">
                  <c:v>1602021.510621245</c:v>
                </c:pt>
                <c:pt idx="321">
                  <c:v>1607012.2318381337</c:v>
                </c:pt>
                <c:pt idx="322">
                  <c:v>1612002.9530550223</c:v>
                </c:pt>
                <c:pt idx="323">
                  <c:v>1616993.6742719107</c:v>
                </c:pt>
                <c:pt idx="324">
                  <c:v>1621984.3954887991</c:v>
                </c:pt>
                <c:pt idx="325">
                  <c:v>1626975.1167056877</c:v>
                </c:pt>
                <c:pt idx="326">
                  <c:v>1631965.8379225763</c:v>
                </c:pt>
                <c:pt idx="327">
                  <c:v>1636956.5591394652</c:v>
                </c:pt>
                <c:pt idx="328">
                  <c:v>1641947.2803563538</c:v>
                </c:pt>
                <c:pt idx="329">
                  <c:v>1646938.0015732422</c:v>
                </c:pt>
                <c:pt idx="330">
                  <c:v>1651928.7227901311</c:v>
                </c:pt>
                <c:pt idx="331">
                  <c:v>1656919.4440070197</c:v>
                </c:pt>
                <c:pt idx="332">
                  <c:v>1661910.1652239084</c:v>
                </c:pt>
                <c:pt idx="333">
                  <c:v>1666900.8864407968</c:v>
                </c:pt>
                <c:pt idx="334">
                  <c:v>1671891.6076576854</c:v>
                </c:pt>
                <c:pt idx="335">
                  <c:v>1676882.3288745743</c:v>
                </c:pt>
                <c:pt idx="336">
                  <c:v>1681873.0500914627</c:v>
                </c:pt>
                <c:pt idx="337">
                  <c:v>1686863.7713083513</c:v>
                </c:pt>
                <c:pt idx="338">
                  <c:v>1691854.4925252399</c:v>
                </c:pt>
                <c:pt idx="339">
                  <c:v>1696845.2137421288</c:v>
                </c:pt>
                <c:pt idx="340">
                  <c:v>1701835.9349590174</c:v>
                </c:pt>
                <c:pt idx="341">
                  <c:v>1706826.6561759061</c:v>
                </c:pt>
                <c:pt idx="342">
                  <c:v>1711817.3773927949</c:v>
                </c:pt>
                <c:pt idx="343">
                  <c:v>1716808.0986096836</c:v>
                </c:pt>
                <c:pt idx="344">
                  <c:v>1721798.8198265722</c:v>
                </c:pt>
                <c:pt idx="345">
                  <c:v>1726789.5410434608</c:v>
                </c:pt>
                <c:pt idx="346">
                  <c:v>1731780.2622603495</c:v>
                </c:pt>
                <c:pt idx="347">
                  <c:v>1736770.9834772381</c:v>
                </c:pt>
                <c:pt idx="348">
                  <c:v>1741761.7046941267</c:v>
                </c:pt>
                <c:pt idx="349">
                  <c:v>1746752.4259110154</c:v>
                </c:pt>
                <c:pt idx="350">
                  <c:v>1751743.147127904</c:v>
                </c:pt>
                <c:pt idx="351">
                  <c:v>1756733.8683447929</c:v>
                </c:pt>
                <c:pt idx="352">
                  <c:v>1761724.5895616813</c:v>
                </c:pt>
                <c:pt idx="353">
                  <c:v>1766715.3107785701</c:v>
                </c:pt>
                <c:pt idx="354">
                  <c:v>1771706.0319954588</c:v>
                </c:pt>
                <c:pt idx="355">
                  <c:v>1776696.7532123474</c:v>
                </c:pt>
                <c:pt idx="356">
                  <c:v>1781687.474429236</c:v>
                </c:pt>
                <c:pt idx="357">
                  <c:v>1786678.1956461247</c:v>
                </c:pt>
                <c:pt idx="358">
                  <c:v>1791668.9168630131</c:v>
                </c:pt>
                <c:pt idx="359">
                  <c:v>1796659.6380799017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47F-427E-83A8-519C72CCD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2882367"/>
        <c:axId val="1065093855"/>
      </c:scatterChart>
      <c:scatterChart>
        <c:scatterStyle val="smoothMarker"/>
        <c:varyColors val="0"/>
        <c:ser>
          <c:idx val="3"/>
          <c:order val="3"/>
          <c:tx>
            <c:strRef>
              <c:f>'1930 Congress Amortization'!$E$5</c:f>
              <c:strCache>
                <c:ptCount val="1"/>
                <c:pt idx="0">
                  <c:v>principalPayment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'1930 Congress Amortization'!$A$6:$A$365</c:f>
              <c:numCache>
                <c:formatCode>General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'1930 Congress Amortization'!$E$6:$E$365</c:f>
              <c:numCache>
                <c:formatCode>"$"#,##0.00_);[Red]\("$"#,##0.00\)</c:formatCode>
                <c:ptCount val="360"/>
                <c:pt idx="0">
                  <c:v>499.05455022194565</c:v>
                </c:pt>
                <c:pt idx="1">
                  <c:v>502.25681691920272</c:v>
                </c:pt>
                <c:pt idx="2">
                  <c:v>505.47963149443422</c:v>
                </c:pt>
                <c:pt idx="3">
                  <c:v>508.72312579652316</c:v>
                </c:pt>
                <c:pt idx="4">
                  <c:v>511.98743252038457</c:v>
                </c:pt>
                <c:pt idx="5">
                  <c:v>515.27268521239057</c:v>
                </c:pt>
                <c:pt idx="6">
                  <c:v>518.57901827583646</c:v>
                </c:pt>
                <c:pt idx="7">
                  <c:v>521.90656697643954</c:v>
                </c:pt>
                <c:pt idx="8">
                  <c:v>525.25546744787243</c:v>
                </c:pt>
                <c:pt idx="9">
                  <c:v>528.62585669732925</c:v>
                </c:pt>
                <c:pt idx="10">
                  <c:v>532.01787261113714</c:v>
                </c:pt>
                <c:pt idx="11">
                  <c:v>535.4316539603924</c:v>
                </c:pt>
                <c:pt idx="12">
                  <c:v>538.8673404066385</c:v>
                </c:pt>
                <c:pt idx="13">
                  <c:v>542.32507250758044</c:v>
                </c:pt>
                <c:pt idx="14">
                  <c:v>545.80499172283817</c:v>
                </c:pt>
                <c:pt idx="15">
                  <c:v>549.30724041972553</c:v>
                </c:pt>
                <c:pt idx="16">
                  <c:v>552.83196187908561</c:v>
                </c:pt>
                <c:pt idx="17">
                  <c:v>556.37930030114239</c:v>
                </c:pt>
                <c:pt idx="18">
                  <c:v>559.94940081140885</c:v>
                </c:pt>
                <c:pt idx="19">
                  <c:v>563.54240946661594</c:v>
                </c:pt>
                <c:pt idx="20">
                  <c:v>567.15847326069252</c:v>
                </c:pt>
                <c:pt idx="21">
                  <c:v>570.79774013078259</c:v>
                </c:pt>
                <c:pt idx="22">
                  <c:v>574.46035896328794</c:v>
                </c:pt>
                <c:pt idx="23">
                  <c:v>578.1464795999691</c:v>
                </c:pt>
                <c:pt idx="24">
                  <c:v>581.85625284406888</c:v>
                </c:pt>
                <c:pt idx="25">
                  <c:v>585.58983046648518</c:v>
                </c:pt>
                <c:pt idx="26">
                  <c:v>589.34736521197829</c:v>
                </c:pt>
                <c:pt idx="27">
                  <c:v>593.12901080542179</c:v>
                </c:pt>
                <c:pt idx="28">
                  <c:v>596.93492195808903</c:v>
                </c:pt>
                <c:pt idx="29">
                  <c:v>600.76525437398777</c:v>
                </c:pt>
                <c:pt idx="30">
                  <c:v>604.62016475622022</c:v>
                </c:pt>
                <c:pt idx="31">
                  <c:v>608.49981081340593</c:v>
                </c:pt>
                <c:pt idx="32">
                  <c:v>612.40435126612556</c:v>
                </c:pt>
                <c:pt idx="33">
                  <c:v>616.33394585341648</c:v>
                </c:pt>
                <c:pt idx="34">
                  <c:v>620.28875533930932</c:v>
                </c:pt>
                <c:pt idx="35">
                  <c:v>624.2689415194036</c:v>
                </c:pt>
                <c:pt idx="36">
                  <c:v>628.27466722748613</c:v>
                </c:pt>
                <c:pt idx="37">
                  <c:v>632.30609634219672</c:v>
                </c:pt>
                <c:pt idx="38">
                  <c:v>636.36339379372566</c:v>
                </c:pt>
                <c:pt idx="39">
                  <c:v>640.44672557056856</c:v>
                </c:pt>
                <c:pt idx="40">
                  <c:v>644.55625872631299</c:v>
                </c:pt>
                <c:pt idx="41">
                  <c:v>648.69216138647334</c:v>
                </c:pt>
                <c:pt idx="42">
                  <c:v>652.85460275536934</c:v>
                </c:pt>
                <c:pt idx="43">
                  <c:v>657.04375312305001</c:v>
                </c:pt>
                <c:pt idx="44">
                  <c:v>661.25978387225587</c:v>
                </c:pt>
                <c:pt idx="45">
                  <c:v>665.50286748543658</c:v>
                </c:pt>
                <c:pt idx="46">
                  <c:v>669.77317755180138</c:v>
                </c:pt>
                <c:pt idx="47">
                  <c:v>674.07088877442584</c:v>
                </c:pt>
                <c:pt idx="48">
                  <c:v>678.39617697739504</c:v>
                </c:pt>
                <c:pt idx="49">
                  <c:v>682.74921911300044</c:v>
                </c:pt>
                <c:pt idx="50">
                  <c:v>687.13019326897575</c:v>
                </c:pt>
                <c:pt idx="51">
                  <c:v>691.53927867578477</c:v>
                </c:pt>
                <c:pt idx="52">
                  <c:v>695.97665571395464</c:v>
                </c:pt>
                <c:pt idx="53">
                  <c:v>700.44250592145272</c:v>
                </c:pt>
                <c:pt idx="54">
                  <c:v>704.93701200111536</c:v>
                </c:pt>
                <c:pt idx="55">
                  <c:v>709.46035782812214</c:v>
                </c:pt>
                <c:pt idx="56">
                  <c:v>714.01272845751919</c:v>
                </c:pt>
                <c:pt idx="57">
                  <c:v>718.59431013178801</c:v>
                </c:pt>
                <c:pt idx="58">
                  <c:v>723.20529028846704</c:v>
                </c:pt>
                <c:pt idx="59">
                  <c:v>727.8458575678178</c:v>
                </c:pt>
                <c:pt idx="60">
                  <c:v>732.51620182054467</c:v>
                </c:pt>
                <c:pt idx="61">
                  <c:v>737.21651411556013</c:v>
                </c:pt>
                <c:pt idx="62">
                  <c:v>741.94698674780193</c:v>
                </c:pt>
                <c:pt idx="63">
                  <c:v>746.70781324610016</c:v>
                </c:pt>
                <c:pt idx="64">
                  <c:v>751.49918838109534</c:v>
                </c:pt>
                <c:pt idx="65">
                  <c:v>756.32130817320831</c:v>
                </c:pt>
                <c:pt idx="66">
                  <c:v>761.17436990065289</c:v>
                </c:pt>
                <c:pt idx="67">
                  <c:v>766.05857210751492</c:v>
                </c:pt>
                <c:pt idx="68">
                  <c:v>770.9741146118713</c:v>
                </c:pt>
                <c:pt idx="69">
                  <c:v>775.92119851396365</c:v>
                </c:pt>
                <c:pt idx="70">
                  <c:v>780.90002620442829</c:v>
                </c:pt>
                <c:pt idx="71">
                  <c:v>785.91080137257359</c:v>
                </c:pt>
                <c:pt idx="72">
                  <c:v>790.95372901471455</c:v>
                </c:pt>
                <c:pt idx="73">
                  <c:v>796.02901544255928</c:v>
                </c:pt>
                <c:pt idx="74">
                  <c:v>801.13686829164908</c:v>
                </c:pt>
                <c:pt idx="75">
                  <c:v>806.27749652985403</c:v>
                </c:pt>
                <c:pt idx="76">
                  <c:v>811.45111046592046</c:v>
                </c:pt>
                <c:pt idx="77">
                  <c:v>816.65792175807655</c:v>
                </c:pt>
                <c:pt idx="78">
                  <c:v>821.89814342269074</c:v>
                </c:pt>
                <c:pt idx="79">
                  <c:v>827.17198984298648</c:v>
                </c:pt>
                <c:pt idx="80">
                  <c:v>832.47967677781253</c:v>
                </c:pt>
                <c:pt idx="81">
                  <c:v>837.82142137047049</c:v>
                </c:pt>
                <c:pt idx="82">
                  <c:v>843.19744215759783</c:v>
                </c:pt>
                <c:pt idx="83">
                  <c:v>848.60795907810916</c:v>
                </c:pt>
                <c:pt idx="84">
                  <c:v>854.05319348219382</c:v>
                </c:pt>
                <c:pt idx="85">
                  <c:v>859.53336814037084</c:v>
                </c:pt>
                <c:pt idx="86">
                  <c:v>865.0487072526048</c:v>
                </c:pt>
                <c:pt idx="87">
                  <c:v>870.59943645747626</c:v>
                </c:pt>
                <c:pt idx="88">
                  <c:v>876.18578284141131</c:v>
                </c:pt>
                <c:pt idx="89">
                  <c:v>881.80797494797753</c:v>
                </c:pt>
                <c:pt idx="90">
                  <c:v>887.46624278722629</c:v>
                </c:pt>
                <c:pt idx="91">
                  <c:v>893.16081784511152</c:v>
                </c:pt>
                <c:pt idx="92">
                  <c:v>898.89193309295069</c:v>
                </c:pt>
                <c:pt idx="93">
                  <c:v>904.65982299696407</c:v>
                </c:pt>
                <c:pt idx="94">
                  <c:v>910.46472352786122</c:v>
                </c:pt>
                <c:pt idx="95">
                  <c:v>916.30687217049854</c:v>
                </c:pt>
                <c:pt idx="96">
                  <c:v>922.18650793359257</c:v>
                </c:pt>
                <c:pt idx="97">
                  <c:v>928.10387135949941</c:v>
                </c:pt>
                <c:pt idx="98">
                  <c:v>934.05920453405633</c:v>
                </c:pt>
                <c:pt idx="99">
                  <c:v>940.05275109648301</c:v>
                </c:pt>
                <c:pt idx="100">
                  <c:v>946.08475624935181</c:v>
                </c:pt>
                <c:pt idx="101">
                  <c:v>952.15546676861823</c:v>
                </c:pt>
                <c:pt idx="102">
                  <c:v>958.26513101371711</c:v>
                </c:pt>
                <c:pt idx="103">
                  <c:v>964.41399893772177</c:v>
                </c:pt>
                <c:pt idx="104">
                  <c:v>970.60232209757214</c:v>
                </c:pt>
                <c:pt idx="105">
                  <c:v>976.83035366436434</c:v>
                </c:pt>
                <c:pt idx="106">
                  <c:v>983.09834843371073</c:v>
                </c:pt>
                <c:pt idx="107">
                  <c:v>989.40656283616045</c:v>
                </c:pt>
                <c:pt idx="108">
                  <c:v>995.75525494769226</c:v>
                </c:pt>
                <c:pt idx="109">
                  <c:v>1002.1446845002733</c:v>
                </c:pt>
                <c:pt idx="110">
                  <c:v>1008.575112892484</c:v>
                </c:pt>
                <c:pt idx="111">
                  <c:v>1015.04680320021</c:v>
                </c:pt>
                <c:pt idx="112">
                  <c:v>1021.5600201874117</c:v>
                </c:pt>
                <c:pt idx="113">
                  <c:v>1028.1150303169479</c:v>
                </c:pt>
                <c:pt idx="114">
                  <c:v>1034.7121017614818</c:v>
                </c:pt>
                <c:pt idx="115">
                  <c:v>1041.351504414451</c:v>
                </c:pt>
                <c:pt idx="116">
                  <c:v>1048.0335099011108</c:v>
                </c:pt>
                <c:pt idx="117">
                  <c:v>1054.758391589643</c:v>
                </c:pt>
                <c:pt idx="118">
                  <c:v>1061.526424602343</c:v>
                </c:pt>
                <c:pt idx="119">
                  <c:v>1068.3378858268752</c:v>
                </c:pt>
                <c:pt idx="120">
                  <c:v>1075.1930539275972</c:v>
                </c:pt>
                <c:pt idx="121">
                  <c:v>1082.0922093569661</c:v>
                </c:pt>
                <c:pt idx="122">
                  <c:v>1089.0356343670064</c:v>
                </c:pt>
                <c:pt idx="123">
                  <c:v>1096.0236130208614</c:v>
                </c:pt>
                <c:pt idx="124">
                  <c:v>1103.0564312044125</c:v>
                </c:pt>
                <c:pt idx="125">
                  <c:v>1110.1343766379741</c:v>
                </c:pt>
                <c:pt idx="126">
                  <c:v>1117.2577388880677</c:v>
                </c:pt>
                <c:pt idx="127">
                  <c:v>1124.4268093792662</c:v>
                </c:pt>
                <c:pt idx="128">
                  <c:v>1131.6418814061162</c:v>
                </c:pt>
                <c:pt idx="129">
                  <c:v>1138.9032501451384</c:v>
                </c:pt>
                <c:pt idx="130">
                  <c:v>1146.2112126669031</c:v>
                </c:pt>
                <c:pt idx="131">
                  <c:v>1153.5660679481825</c:v>
                </c:pt>
                <c:pt idx="132">
                  <c:v>1160.9681168841839</c:v>
                </c:pt>
                <c:pt idx="133">
                  <c:v>1168.417662300858</c:v>
                </c:pt>
                <c:pt idx="134">
                  <c:v>1175.9150089672885</c:v>
                </c:pt>
                <c:pt idx="135">
                  <c:v>1183.4604636081617</c:v>
                </c:pt>
                <c:pt idx="136">
                  <c:v>1191.054334916314</c:v>
                </c:pt>
                <c:pt idx="137">
                  <c:v>1198.6969335653603</c:v>
                </c:pt>
                <c:pt idx="138">
                  <c:v>1206.3885722224045</c:v>
                </c:pt>
                <c:pt idx="139">
                  <c:v>1214.1295655608315</c:v>
                </c:pt>
                <c:pt idx="140">
                  <c:v>1221.9202302731801</c:v>
                </c:pt>
                <c:pt idx="141">
                  <c:v>1229.7608850840998</c:v>
                </c:pt>
                <c:pt idx="142">
                  <c:v>1237.6518507633891</c:v>
                </c:pt>
                <c:pt idx="143">
                  <c:v>1245.5934501391207</c:v>
                </c:pt>
                <c:pt idx="144">
                  <c:v>1253.5860081108467</c:v>
                </c:pt>
                <c:pt idx="145">
                  <c:v>1261.6298516628917</c:v>
                </c:pt>
                <c:pt idx="146">
                  <c:v>1269.7253098777287</c:v>
                </c:pt>
                <c:pt idx="147">
                  <c:v>1277.8727139494445</c:v>
                </c:pt>
                <c:pt idx="148">
                  <c:v>1286.0723971972866</c:v>
                </c:pt>
                <c:pt idx="149">
                  <c:v>1294.3246950793023</c:v>
                </c:pt>
                <c:pt idx="150">
                  <c:v>1302.6299452060616</c:v>
                </c:pt>
                <c:pt idx="151">
                  <c:v>1310.9884873544675</c:v>
                </c:pt>
                <c:pt idx="152">
                  <c:v>1319.4006634816587</c:v>
                </c:pt>
                <c:pt idx="153">
                  <c:v>1327.8668177389991</c:v>
                </c:pt>
                <c:pt idx="154">
                  <c:v>1336.3872964861575</c:v>
                </c:pt>
                <c:pt idx="155">
                  <c:v>1344.9624483052776</c:v>
                </c:pt>
                <c:pt idx="156">
                  <c:v>1353.5926240152367</c:v>
                </c:pt>
                <c:pt idx="157">
                  <c:v>1362.2781766860012</c:v>
                </c:pt>
                <c:pt idx="158">
                  <c:v>1371.0194616530703</c:v>
                </c:pt>
                <c:pt idx="159">
                  <c:v>1379.8168365320107</c:v>
                </c:pt>
                <c:pt idx="160">
                  <c:v>1388.6706612330909</c:v>
                </c:pt>
                <c:pt idx="161">
                  <c:v>1397.5812979760035</c:v>
                </c:pt>
                <c:pt idx="162">
                  <c:v>1406.5491113046824</c:v>
                </c:pt>
                <c:pt idx="163">
                  <c:v>1415.5744681022211</c:v>
                </c:pt>
                <c:pt idx="164">
                  <c:v>1424.6577376058767</c:v>
                </c:pt>
                <c:pt idx="165">
                  <c:v>1433.7992914221809</c:v>
                </c:pt>
                <c:pt idx="166">
                  <c:v>1442.9995035421393</c:v>
                </c:pt>
                <c:pt idx="167">
                  <c:v>1452.2587503565346</c:v>
                </c:pt>
                <c:pt idx="168">
                  <c:v>1461.577410671322</c:v>
                </c:pt>
                <c:pt idx="169">
                  <c:v>1470.9558657231296</c:v>
                </c:pt>
                <c:pt idx="170">
                  <c:v>1480.3944991948524</c:v>
                </c:pt>
                <c:pt idx="171">
                  <c:v>1489.8936972313527</c:v>
                </c:pt>
                <c:pt idx="172">
                  <c:v>1499.4538484552536</c:v>
                </c:pt>
                <c:pt idx="173">
                  <c:v>1509.0753439828413</c:v>
                </c:pt>
                <c:pt idx="174">
                  <c:v>1518.758577440065</c:v>
                </c:pt>
                <c:pt idx="175">
                  <c:v>1528.5039449786386</c:v>
                </c:pt>
                <c:pt idx="176">
                  <c:v>1538.3118452922508</c:v>
                </c:pt>
                <c:pt idx="177">
                  <c:v>1548.182679632876</c:v>
                </c:pt>
                <c:pt idx="178">
                  <c:v>1558.1168518271875</c:v>
                </c:pt>
                <c:pt idx="179">
                  <c:v>1568.1147682930782</c:v>
                </c:pt>
                <c:pt idx="180">
                  <c:v>1578.1768380562921</c:v>
                </c:pt>
                <c:pt idx="181">
                  <c:v>1588.3034727671534</c:v>
                </c:pt>
                <c:pt idx="182">
                  <c:v>1598.4950867174089</c:v>
                </c:pt>
                <c:pt idx="183">
                  <c:v>1608.7520968571794</c:v>
                </c:pt>
                <c:pt idx="184">
                  <c:v>1619.0749228120126</c:v>
                </c:pt>
                <c:pt idx="185">
                  <c:v>1629.4639869000562</c:v>
                </c:pt>
                <c:pt idx="186">
                  <c:v>1639.9197141493319</c:v>
                </c:pt>
                <c:pt idx="187">
                  <c:v>1650.4425323151231</c:v>
                </c:pt>
                <c:pt idx="188">
                  <c:v>1661.0328718974788</c:v>
                </c:pt>
                <c:pt idx="189">
                  <c:v>1671.691166158821</c:v>
                </c:pt>
                <c:pt idx="190">
                  <c:v>1682.4178511416735</c:v>
                </c:pt>
                <c:pt idx="191">
                  <c:v>1693.2133656864989</c:v>
                </c:pt>
                <c:pt idx="192">
                  <c:v>1704.0781514496539</c:v>
                </c:pt>
                <c:pt idx="193">
                  <c:v>1715.0126529214563</c:v>
                </c:pt>
                <c:pt idx="194">
                  <c:v>1726.0173174443685</c:v>
                </c:pt>
                <c:pt idx="195">
                  <c:v>1737.0925952313032</c:v>
                </c:pt>
                <c:pt idx="196">
                  <c:v>1748.2389393840376</c:v>
                </c:pt>
                <c:pt idx="197">
                  <c:v>1759.4568059117519</c:v>
                </c:pt>
                <c:pt idx="198">
                  <c:v>1770.7466537496857</c:v>
                </c:pt>
                <c:pt idx="199">
                  <c:v>1782.1089447779127</c:v>
                </c:pt>
                <c:pt idx="200">
                  <c:v>1793.5441438402377</c:v>
                </c:pt>
                <c:pt idx="201">
                  <c:v>1805.0527187632129</c:v>
                </c:pt>
                <c:pt idx="202">
                  <c:v>1816.6351403752769</c:v>
                </c:pt>
                <c:pt idx="203">
                  <c:v>1828.2918825260181</c:v>
                </c:pt>
                <c:pt idx="204">
                  <c:v>1840.0234221055603</c:v>
                </c:pt>
                <c:pt idx="205">
                  <c:v>1851.8302390640711</c:v>
                </c:pt>
                <c:pt idx="206">
                  <c:v>1863.7128164313986</c:v>
                </c:pt>
                <c:pt idx="207">
                  <c:v>1875.6716403368337</c:v>
                </c:pt>
                <c:pt idx="208">
                  <c:v>1887.707200028995</c:v>
                </c:pt>
                <c:pt idx="209">
                  <c:v>1899.8199878958476</c:v>
                </c:pt>
                <c:pt idx="210">
                  <c:v>1912.0104994848457</c:v>
                </c:pt>
                <c:pt idx="211">
                  <c:v>1924.279233523207</c:v>
                </c:pt>
                <c:pt idx="212">
                  <c:v>1936.6266919383138</c:v>
                </c:pt>
                <c:pt idx="213">
                  <c:v>1949.0533798782517</c:v>
                </c:pt>
                <c:pt idx="214">
                  <c:v>1961.5598057324701</c:v>
                </c:pt>
                <c:pt idx="215">
                  <c:v>1974.1464811525866</c:v>
                </c:pt>
                <c:pt idx="216">
                  <c:v>1986.8139210733157</c:v>
                </c:pt>
                <c:pt idx="217">
                  <c:v>1999.5626437335363</c:v>
                </c:pt>
                <c:pt idx="218">
                  <c:v>2012.3931706974931</c:v>
                </c:pt>
                <c:pt idx="219">
                  <c:v>2025.3060268761351</c:v>
                </c:pt>
                <c:pt idx="220">
                  <c:v>2038.3017405485907</c:v>
                </c:pt>
                <c:pt idx="221">
                  <c:v>2051.3808433837771</c:v>
                </c:pt>
                <c:pt idx="222">
                  <c:v>2064.5438704621565</c:v>
                </c:pt>
                <c:pt idx="223">
                  <c:v>2077.7913602976218</c:v>
                </c:pt>
                <c:pt idx="224">
                  <c:v>2091.123854859532</c:v>
                </c:pt>
                <c:pt idx="225">
                  <c:v>2104.5418995948808</c:v>
                </c:pt>
                <c:pt idx="226">
                  <c:v>2118.0460434506144</c:v>
                </c:pt>
                <c:pt idx="227">
                  <c:v>2131.6368388960891</c:v>
                </c:pt>
                <c:pt idx="228">
                  <c:v>2145.3148419456725</c:v>
                </c:pt>
                <c:pt idx="229">
                  <c:v>2159.0806121814903</c:v>
                </c:pt>
                <c:pt idx="230">
                  <c:v>2172.9347127763217</c:v>
                </c:pt>
                <c:pt idx="231">
                  <c:v>2186.8777105166364</c:v>
                </c:pt>
                <c:pt idx="232">
                  <c:v>2200.9101758257848</c:v>
                </c:pt>
                <c:pt idx="233">
                  <c:v>2215.0326827873337</c:v>
                </c:pt>
                <c:pt idx="234">
                  <c:v>2229.2458091685521</c:v>
                </c:pt>
                <c:pt idx="235">
                  <c:v>2243.5501364440506</c:v>
                </c:pt>
                <c:pt idx="236">
                  <c:v>2257.9462498195667</c:v>
                </c:pt>
                <c:pt idx="237">
                  <c:v>2272.434738255909</c:v>
                </c:pt>
                <c:pt idx="238">
                  <c:v>2287.016194493051</c:v>
                </c:pt>
                <c:pt idx="239">
                  <c:v>2301.6912150743815</c:v>
                </c:pt>
                <c:pt idx="240">
                  <c:v>2316.4604003711088</c:v>
                </c:pt>
                <c:pt idx="241">
                  <c:v>2331.3243546068234</c:v>
                </c:pt>
                <c:pt idx="242">
                  <c:v>2346.283685882217</c:v>
                </c:pt>
                <c:pt idx="243">
                  <c:v>2361.3390061999612</c:v>
                </c:pt>
                <c:pt idx="244">
                  <c:v>2376.4909314897445</c:v>
                </c:pt>
                <c:pt idx="245">
                  <c:v>2391.7400816334703</c:v>
                </c:pt>
                <c:pt idx="246">
                  <c:v>2407.0870804906181</c:v>
                </c:pt>
                <c:pt idx="247">
                  <c:v>2422.5325559237663</c:v>
                </c:pt>
                <c:pt idx="248">
                  <c:v>2438.0771398242769</c:v>
                </c:pt>
                <c:pt idx="249">
                  <c:v>2453.7214681381492</c:v>
                </c:pt>
                <c:pt idx="250">
                  <c:v>2469.4661808920359</c:v>
                </c:pt>
                <c:pt idx="251">
                  <c:v>2485.3119222194264</c:v>
                </c:pt>
                <c:pt idx="252">
                  <c:v>2501.259340387001</c:v>
                </c:pt>
                <c:pt idx="253">
                  <c:v>2517.3090878211506</c:v>
                </c:pt>
                <c:pt idx="254">
                  <c:v>2533.4618211346701</c:v>
                </c:pt>
                <c:pt idx="255">
                  <c:v>2549.7182011536174</c:v>
                </c:pt>
                <c:pt idx="256">
                  <c:v>2566.0788929443529</c:v>
                </c:pt>
                <c:pt idx="257">
                  <c:v>2582.5445658407461</c:v>
                </c:pt>
                <c:pt idx="258">
                  <c:v>2599.1158934715577</c:v>
                </c:pt>
                <c:pt idx="259">
                  <c:v>2615.7935537880003</c:v>
                </c:pt>
                <c:pt idx="260">
                  <c:v>2632.5782290914731</c:v>
                </c:pt>
                <c:pt idx="261">
                  <c:v>2649.4706060614767</c:v>
                </c:pt>
                <c:pt idx="262">
                  <c:v>2666.4713757837044</c:v>
                </c:pt>
                <c:pt idx="263">
                  <c:v>2683.5812337783168</c:v>
                </c:pt>
                <c:pt idx="264">
                  <c:v>2700.8008800283942</c:v>
                </c:pt>
                <c:pt idx="265">
                  <c:v>2718.1310190085765</c:v>
                </c:pt>
                <c:pt idx="266">
                  <c:v>2735.5723597138817</c:v>
                </c:pt>
                <c:pt idx="267">
                  <c:v>2753.1256156887125</c:v>
                </c:pt>
                <c:pt idx="268">
                  <c:v>2770.7915050560487</c:v>
                </c:pt>
                <c:pt idx="269">
                  <c:v>2788.5707505468249</c:v>
                </c:pt>
                <c:pt idx="270">
                  <c:v>2806.4640795294999</c:v>
                </c:pt>
                <c:pt idx="271">
                  <c:v>2824.4722240398146</c:v>
                </c:pt>
                <c:pt idx="272">
                  <c:v>2842.595920810737</c:v>
                </c:pt>
                <c:pt idx="273">
                  <c:v>2860.8359113026054</c:v>
                </c:pt>
                <c:pt idx="274">
                  <c:v>2879.1929417334641</c:v>
                </c:pt>
                <c:pt idx="275">
                  <c:v>2897.6677631095868</c:v>
                </c:pt>
                <c:pt idx="276">
                  <c:v>2916.2611312562067</c:v>
                </c:pt>
                <c:pt idx="277">
                  <c:v>2934.9738068484339</c:v>
                </c:pt>
                <c:pt idx="278">
                  <c:v>2953.8065554423783</c:v>
                </c:pt>
                <c:pt idx="279">
                  <c:v>2972.7601475064671</c:v>
                </c:pt>
                <c:pt idx="280">
                  <c:v>2991.8353584529668</c:v>
                </c:pt>
                <c:pt idx="281">
                  <c:v>3011.0329686697069</c:v>
                </c:pt>
                <c:pt idx="282">
                  <c:v>3030.3537635520042</c:v>
                </c:pt>
                <c:pt idx="283">
                  <c:v>3049.7985335347967</c:v>
                </c:pt>
                <c:pt idx="284">
                  <c:v>3069.3680741249782</c:v>
                </c:pt>
                <c:pt idx="285">
                  <c:v>3089.0631859339469</c:v>
                </c:pt>
                <c:pt idx="286">
                  <c:v>3108.8846747103562</c:v>
                </c:pt>
                <c:pt idx="287">
                  <c:v>3128.8333513730809</c:v>
                </c:pt>
                <c:pt idx="288">
                  <c:v>3148.9100320443913</c:v>
                </c:pt>
                <c:pt idx="289">
                  <c:v>3169.1155380833429</c:v>
                </c:pt>
                <c:pt idx="290">
                  <c:v>3189.4506961193779</c:v>
                </c:pt>
                <c:pt idx="291">
                  <c:v>3209.9163380861442</c:v>
                </c:pt>
                <c:pt idx="292">
                  <c:v>3230.5133012555298</c:v>
                </c:pt>
                <c:pt idx="293">
                  <c:v>3251.2424282719194</c:v>
                </c:pt>
                <c:pt idx="294">
                  <c:v>3272.1045671866646</c:v>
                </c:pt>
                <c:pt idx="295">
                  <c:v>3293.1005714927787</c:v>
                </c:pt>
                <c:pt idx="296">
                  <c:v>3314.2313001598577</c:v>
                </c:pt>
                <c:pt idx="297">
                  <c:v>3335.4976176692167</c:v>
                </c:pt>
                <c:pt idx="298">
                  <c:v>3356.9003940492612</c:v>
                </c:pt>
                <c:pt idx="299">
                  <c:v>3378.4405049110774</c:v>
                </c:pt>
                <c:pt idx="300">
                  <c:v>3400.1188314842566</c:v>
                </c:pt>
                <c:pt idx="301">
                  <c:v>3421.9362606529471</c:v>
                </c:pt>
                <c:pt idx="302">
                  <c:v>3443.893684992137</c:v>
                </c:pt>
                <c:pt idx="303">
                  <c:v>3465.9920028041697</c:v>
                </c:pt>
                <c:pt idx="304">
                  <c:v>3488.2321181554962</c:v>
                </c:pt>
                <c:pt idx="305">
                  <c:v>3510.614940913661</c:v>
                </c:pt>
                <c:pt idx="306">
                  <c:v>3533.1413867845235</c:v>
                </c:pt>
                <c:pt idx="307">
                  <c:v>3555.8123773497246</c:v>
                </c:pt>
                <c:pt idx="308">
                  <c:v>3578.6288401043848</c:v>
                </c:pt>
                <c:pt idx="309">
                  <c:v>3601.5917084950552</c:v>
                </c:pt>
                <c:pt idx="310">
                  <c:v>3624.7019219578979</c:v>
                </c:pt>
                <c:pt idx="311">
                  <c:v>3647.9604259571279</c:v>
                </c:pt>
                <c:pt idx="312">
                  <c:v>3671.3681720236864</c:v>
                </c:pt>
                <c:pt idx="313">
                  <c:v>3694.9261177941717</c:v>
                </c:pt>
                <c:pt idx="314">
                  <c:v>3718.6352270500174</c:v>
                </c:pt>
                <c:pt idx="315">
                  <c:v>3742.4964697569217</c:v>
                </c:pt>
                <c:pt idx="316">
                  <c:v>3766.5108221045284</c:v>
                </c:pt>
                <c:pt idx="317">
                  <c:v>3790.6792665463659</c:v>
                </c:pt>
                <c:pt idx="318">
                  <c:v>3815.0027918400383</c:v>
                </c:pt>
                <c:pt idx="319">
                  <c:v>3839.4823930876787</c:v>
                </c:pt>
                <c:pt idx="320">
                  <c:v>3864.1190717766576</c:v>
                </c:pt>
                <c:pt idx="321">
                  <c:v>3888.9138358205582</c:v>
                </c:pt>
                <c:pt idx="322">
                  <c:v>3913.8676996004069</c:v>
                </c:pt>
                <c:pt idx="323">
                  <c:v>3938.9816840061758</c:v>
                </c:pt>
                <c:pt idx="324">
                  <c:v>3964.2568164785489</c:v>
                </c:pt>
                <c:pt idx="325">
                  <c:v>3989.6941310509528</c:v>
                </c:pt>
                <c:pt idx="326">
                  <c:v>4015.2946683918635</c:v>
                </c:pt>
                <c:pt idx="327">
                  <c:v>4041.0594758473781</c:v>
                </c:pt>
                <c:pt idx="328">
                  <c:v>4066.9896074840653</c:v>
                </c:pt>
                <c:pt idx="329">
                  <c:v>4093.0861241320877</c:v>
                </c:pt>
                <c:pt idx="330">
                  <c:v>4119.3500934286021</c:v>
                </c:pt>
                <c:pt idx="331">
                  <c:v>4145.7825898614356</c:v>
                </c:pt>
                <c:pt idx="332">
                  <c:v>4172.3846948130467</c:v>
                </c:pt>
                <c:pt idx="333">
                  <c:v>4199.1574966047638</c:v>
                </c:pt>
                <c:pt idx="334">
                  <c:v>4226.1020905413106</c:v>
                </c:pt>
                <c:pt idx="335">
                  <c:v>4253.2195789556172</c:v>
                </c:pt>
                <c:pt idx="336">
                  <c:v>4280.5110712539163</c:v>
                </c:pt>
                <c:pt idx="337">
                  <c:v>4307.9776839611286</c:v>
                </c:pt>
                <c:pt idx="338">
                  <c:v>4335.6205407665457</c:v>
                </c:pt>
                <c:pt idx="339">
                  <c:v>4363.4407725697984</c:v>
                </c:pt>
                <c:pt idx="340">
                  <c:v>4391.4395175271211</c:v>
                </c:pt>
                <c:pt idx="341">
                  <c:v>4419.6179210979199</c:v>
                </c:pt>
                <c:pt idx="342">
                  <c:v>4447.9771360916311</c:v>
                </c:pt>
                <c:pt idx="343">
                  <c:v>4476.5183227148864</c:v>
                </c:pt>
                <c:pt idx="344">
                  <c:v>4505.2426486189734</c:v>
                </c:pt>
                <c:pt idx="345">
                  <c:v>4534.1512889476116</c:v>
                </c:pt>
                <c:pt idx="346">
                  <c:v>4563.2454263850259</c:v>
                </c:pt>
                <c:pt idx="347">
                  <c:v>4592.5262512043291</c:v>
                </c:pt>
                <c:pt idx="348">
                  <c:v>4621.9949613162244</c:v>
                </c:pt>
                <c:pt idx="349">
                  <c:v>4651.6527623180027</c:v>
                </c:pt>
                <c:pt idx="350">
                  <c:v>4681.5008675428771</c:v>
                </c:pt>
                <c:pt idx="351">
                  <c:v>4711.5404981096108</c:v>
                </c:pt>
                <c:pt idx="352">
                  <c:v>4741.7728829724801</c:v>
                </c:pt>
                <c:pt idx="353">
                  <c:v>4772.1992589715537</c:v>
                </c:pt>
                <c:pt idx="354">
                  <c:v>4802.8208708832881</c:v>
                </c:pt>
                <c:pt idx="355">
                  <c:v>4833.638971471456</c:v>
                </c:pt>
                <c:pt idx="356">
                  <c:v>4864.6548215383973</c:v>
                </c:pt>
                <c:pt idx="357">
                  <c:v>4895.8696899766019</c:v>
                </c:pt>
                <c:pt idx="358">
                  <c:v>4927.284853820619</c:v>
                </c:pt>
                <c:pt idx="359">
                  <c:v>4958.9015982993014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47F-427E-83A8-519C72CCD637}"/>
            </c:ext>
          </c:extLst>
        </c:ser>
        <c:ser>
          <c:idx val="4"/>
          <c:order val="4"/>
          <c:tx>
            <c:strRef>
              <c:f>'1930 Congress Amortization'!$G$5</c:f>
              <c:strCache>
                <c:ptCount val="1"/>
                <c:pt idx="0">
                  <c:v>interestPayment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'1930 Congress Amortization'!$A$6:$A$365</c:f>
              <c:numCache>
                <c:formatCode>General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'1930 Congress Amortization'!$G$6:$G$365</c:f>
              <c:numCache>
                <c:formatCode>"$"#,##0.00_);[Red]\("$"#,##0.00\)</c:formatCode>
                <c:ptCount val="360"/>
                <c:pt idx="0">
                  <c:v>4491.666666666667</c:v>
                </c:pt>
                <c:pt idx="1">
                  <c:v>4488.4643999694099</c:v>
                </c:pt>
                <c:pt idx="2">
                  <c:v>4485.2415853941784</c:v>
                </c:pt>
                <c:pt idx="3">
                  <c:v>4481.9980910920895</c:v>
                </c:pt>
                <c:pt idx="4">
                  <c:v>4478.733784368228</c:v>
                </c:pt>
                <c:pt idx="5">
                  <c:v>4475.448531676222</c:v>
                </c:pt>
                <c:pt idx="6">
                  <c:v>4472.1421986127762</c:v>
                </c:pt>
                <c:pt idx="7">
                  <c:v>4468.8146499121731</c:v>
                </c:pt>
                <c:pt idx="8">
                  <c:v>4465.4657494407402</c:v>
                </c:pt>
                <c:pt idx="9">
                  <c:v>4462.0953601912834</c:v>
                </c:pt>
                <c:pt idx="10">
                  <c:v>4458.7033442774755</c:v>
                </c:pt>
                <c:pt idx="11">
                  <c:v>4455.2895629282202</c:v>
                </c:pt>
                <c:pt idx="12">
                  <c:v>4451.8538764819741</c:v>
                </c:pt>
                <c:pt idx="13">
                  <c:v>4448.3961443810322</c:v>
                </c:pt>
                <c:pt idx="14">
                  <c:v>4444.9162251657744</c:v>
                </c:pt>
                <c:pt idx="15">
                  <c:v>4441.4139764688871</c:v>
                </c:pt>
                <c:pt idx="16">
                  <c:v>4437.889255009527</c:v>
                </c:pt>
                <c:pt idx="17">
                  <c:v>4434.3419165874702</c:v>
                </c:pt>
                <c:pt idx="18">
                  <c:v>4430.7718160772038</c:v>
                </c:pt>
                <c:pt idx="19">
                  <c:v>4427.1788074219967</c:v>
                </c:pt>
                <c:pt idx="20">
                  <c:v>4423.5627436279201</c:v>
                </c:pt>
                <c:pt idx="21">
                  <c:v>4419.92347675783</c:v>
                </c:pt>
                <c:pt idx="22">
                  <c:v>4416.2608579253247</c:v>
                </c:pt>
                <c:pt idx="23">
                  <c:v>4412.5747372886435</c:v>
                </c:pt>
                <c:pt idx="24">
                  <c:v>4408.8649640445437</c:v>
                </c:pt>
                <c:pt idx="25">
                  <c:v>4405.1313864221274</c:v>
                </c:pt>
                <c:pt idx="26">
                  <c:v>4401.3738516766343</c:v>
                </c:pt>
                <c:pt idx="27">
                  <c:v>4397.5922060831908</c:v>
                </c:pt>
                <c:pt idx="28">
                  <c:v>4393.7862949305236</c:v>
                </c:pt>
                <c:pt idx="29">
                  <c:v>4389.9559625146248</c:v>
                </c:pt>
                <c:pt idx="30">
                  <c:v>4386.1010521323924</c:v>
                </c:pt>
                <c:pt idx="31">
                  <c:v>4382.2214060752067</c:v>
                </c:pt>
                <c:pt idx="32">
                  <c:v>4378.3168656224871</c:v>
                </c:pt>
                <c:pt idx="33">
                  <c:v>4374.3872710351961</c:v>
                </c:pt>
                <c:pt idx="34">
                  <c:v>4370.4324615493033</c:v>
                </c:pt>
                <c:pt idx="35">
                  <c:v>4366.452275369209</c:v>
                </c:pt>
                <c:pt idx="36">
                  <c:v>4362.4465496611265</c:v>
                </c:pt>
                <c:pt idx="37">
                  <c:v>4358.4151205464159</c:v>
                </c:pt>
                <c:pt idx="38">
                  <c:v>4354.357823094887</c:v>
                </c:pt>
                <c:pt idx="39">
                  <c:v>4350.2744913180441</c:v>
                </c:pt>
                <c:pt idx="40">
                  <c:v>4346.1649581622996</c:v>
                </c:pt>
                <c:pt idx="41">
                  <c:v>4342.0290555021393</c:v>
                </c:pt>
                <c:pt idx="42">
                  <c:v>4337.8666141332433</c:v>
                </c:pt>
                <c:pt idx="43">
                  <c:v>4333.6774637655626</c:v>
                </c:pt>
                <c:pt idx="44">
                  <c:v>4329.4614330163568</c:v>
                </c:pt>
                <c:pt idx="45">
                  <c:v>4325.218349403176</c:v>
                </c:pt>
                <c:pt idx="46">
                  <c:v>4320.9480393368112</c:v>
                </c:pt>
                <c:pt idx="47">
                  <c:v>4316.6503281141868</c:v>
                </c:pt>
                <c:pt idx="48">
                  <c:v>4312.3250399112176</c:v>
                </c:pt>
                <c:pt idx="49">
                  <c:v>4307.9719977756122</c:v>
                </c:pt>
                <c:pt idx="50">
                  <c:v>4303.5910236196369</c:v>
                </c:pt>
                <c:pt idx="51">
                  <c:v>4299.1819382128278</c:v>
                </c:pt>
                <c:pt idx="52">
                  <c:v>4294.744561174658</c:v>
                </c:pt>
                <c:pt idx="53">
                  <c:v>4290.2787109671599</c:v>
                </c:pt>
                <c:pt idx="54">
                  <c:v>4285.7842048874973</c:v>
                </c:pt>
                <c:pt idx="55">
                  <c:v>4281.2608590604905</c:v>
                </c:pt>
                <c:pt idx="56">
                  <c:v>4276.7084884310934</c:v>
                </c:pt>
                <c:pt idx="57">
                  <c:v>4272.1269067568246</c:v>
                </c:pt>
                <c:pt idx="58">
                  <c:v>4267.5159266001456</c:v>
                </c:pt>
                <c:pt idx="59">
                  <c:v>4262.8753593207948</c:v>
                </c:pt>
                <c:pt idx="60">
                  <c:v>4258.205015068068</c:v>
                </c:pt>
                <c:pt idx="61">
                  <c:v>4253.5047027730525</c:v>
                </c:pt>
                <c:pt idx="62">
                  <c:v>4248.7742301408107</c:v>
                </c:pt>
                <c:pt idx="63">
                  <c:v>4244.0134036425125</c:v>
                </c:pt>
                <c:pt idx="64">
                  <c:v>4239.2220285075173</c:v>
                </c:pt>
                <c:pt idx="65">
                  <c:v>4234.3999087154043</c:v>
                </c:pt>
                <c:pt idx="66">
                  <c:v>4229.5468469879597</c:v>
                </c:pt>
                <c:pt idx="67">
                  <c:v>4224.6626447810977</c:v>
                </c:pt>
                <c:pt idx="68">
                  <c:v>4219.7471022767413</c:v>
                </c:pt>
                <c:pt idx="69">
                  <c:v>4214.800018374649</c:v>
                </c:pt>
                <c:pt idx="70">
                  <c:v>4209.8211906841843</c:v>
                </c:pt>
                <c:pt idx="71">
                  <c:v>4204.810415516039</c:v>
                </c:pt>
                <c:pt idx="72">
                  <c:v>4199.7674878738981</c:v>
                </c:pt>
                <c:pt idx="73">
                  <c:v>4194.6922014460533</c:v>
                </c:pt>
                <c:pt idx="74">
                  <c:v>4189.5843485969635</c:v>
                </c:pt>
                <c:pt idx="75">
                  <c:v>4184.4437203587586</c:v>
                </c:pt>
                <c:pt idx="76">
                  <c:v>4179.2701064226922</c:v>
                </c:pt>
                <c:pt idx="77">
                  <c:v>4174.0632951305361</c:v>
                </c:pt>
                <c:pt idx="78">
                  <c:v>4168.8230734659219</c:v>
                </c:pt>
                <c:pt idx="79">
                  <c:v>4163.5492270456261</c:v>
                </c:pt>
                <c:pt idx="80">
                  <c:v>4158.2415401108001</c:v>
                </c:pt>
                <c:pt idx="81">
                  <c:v>4152.8997955181421</c:v>
                </c:pt>
                <c:pt idx="82">
                  <c:v>4147.5237747310148</c:v>
                </c:pt>
                <c:pt idx="83">
                  <c:v>4142.1132578105035</c:v>
                </c:pt>
                <c:pt idx="84">
                  <c:v>4136.6680234064188</c:v>
                </c:pt>
                <c:pt idx="85">
                  <c:v>4131.1878487482418</c:v>
                </c:pt>
                <c:pt idx="86">
                  <c:v>4125.6725096360078</c:v>
                </c:pt>
                <c:pt idx="87">
                  <c:v>4120.1217804311364</c:v>
                </c:pt>
                <c:pt idx="88">
                  <c:v>4114.5354340472013</c:v>
                </c:pt>
                <c:pt idx="89">
                  <c:v>4108.9132419406351</c:v>
                </c:pt>
                <c:pt idx="90">
                  <c:v>4103.2549741013863</c:v>
                </c:pt>
                <c:pt idx="91">
                  <c:v>4097.5603990435011</c:v>
                </c:pt>
                <c:pt idx="92">
                  <c:v>4091.8292837956619</c:v>
                </c:pt>
                <c:pt idx="93">
                  <c:v>4086.0613938916485</c:v>
                </c:pt>
                <c:pt idx="94">
                  <c:v>4080.2564933607514</c:v>
                </c:pt>
                <c:pt idx="95">
                  <c:v>4074.4143447181141</c:v>
                </c:pt>
                <c:pt idx="96">
                  <c:v>4068.5347089550201</c:v>
                </c:pt>
                <c:pt idx="97">
                  <c:v>4062.6173455291132</c:v>
                </c:pt>
                <c:pt idx="98">
                  <c:v>4056.6620123545563</c:v>
                </c:pt>
                <c:pt idx="99">
                  <c:v>4050.6684657921296</c:v>
                </c:pt>
                <c:pt idx="100">
                  <c:v>4044.6364606392608</c:v>
                </c:pt>
                <c:pt idx="101">
                  <c:v>4038.5657501199944</c:v>
                </c:pt>
                <c:pt idx="102">
                  <c:v>4032.4560858748955</c:v>
                </c:pt>
                <c:pt idx="103">
                  <c:v>4026.3072179508908</c:v>
                </c:pt>
                <c:pt idx="104">
                  <c:v>4020.1188947910405</c:v>
                </c:pt>
                <c:pt idx="105">
                  <c:v>4013.8908632242483</c:v>
                </c:pt>
                <c:pt idx="106">
                  <c:v>4007.6228684549019</c:v>
                </c:pt>
                <c:pt idx="107">
                  <c:v>4001.3146540524522</c:v>
                </c:pt>
                <c:pt idx="108">
                  <c:v>3994.9659619409204</c:v>
                </c:pt>
                <c:pt idx="109">
                  <c:v>3988.5765323883393</c:v>
                </c:pt>
                <c:pt idx="110">
                  <c:v>3982.1461039961287</c:v>
                </c:pt>
                <c:pt idx="111">
                  <c:v>3975.6744136884026</c:v>
                </c:pt>
                <c:pt idx="112">
                  <c:v>3969.1611967012009</c:v>
                </c:pt>
                <c:pt idx="113">
                  <c:v>3962.6061865716647</c:v>
                </c:pt>
                <c:pt idx="114">
                  <c:v>3956.0091151271308</c:v>
                </c:pt>
                <c:pt idx="115">
                  <c:v>3949.3697124741616</c:v>
                </c:pt>
                <c:pt idx="116">
                  <c:v>3942.6877069875018</c:v>
                </c:pt>
                <c:pt idx="117">
                  <c:v>3935.9628252989696</c:v>
                </c:pt>
                <c:pt idx="118">
                  <c:v>3929.1947922862696</c:v>
                </c:pt>
                <c:pt idx="119">
                  <c:v>3922.3833310617374</c:v>
                </c:pt>
                <c:pt idx="120">
                  <c:v>3915.5281629610154</c:v>
                </c:pt>
                <c:pt idx="121">
                  <c:v>3908.6290075316465</c:v>
                </c:pt>
                <c:pt idx="122">
                  <c:v>3901.6855825216062</c:v>
                </c:pt>
                <c:pt idx="123">
                  <c:v>3894.6976038677512</c:v>
                </c:pt>
                <c:pt idx="124">
                  <c:v>3887.6647856842001</c:v>
                </c:pt>
                <c:pt idx="125">
                  <c:v>3880.5868402506385</c:v>
                </c:pt>
                <c:pt idx="126">
                  <c:v>3873.4634780005449</c:v>
                </c:pt>
                <c:pt idx="127">
                  <c:v>3866.2944075093465</c:v>
                </c:pt>
                <c:pt idx="128">
                  <c:v>3859.0793354824964</c:v>
                </c:pt>
                <c:pt idx="129">
                  <c:v>3851.8179667434742</c:v>
                </c:pt>
                <c:pt idx="130">
                  <c:v>3844.5100042217096</c:v>
                </c:pt>
                <c:pt idx="131">
                  <c:v>3837.1551489404301</c:v>
                </c:pt>
                <c:pt idx="132">
                  <c:v>3829.7531000044287</c:v>
                </c:pt>
                <c:pt idx="133">
                  <c:v>3822.3035545877547</c:v>
                </c:pt>
                <c:pt idx="134">
                  <c:v>3814.8062079213241</c:v>
                </c:pt>
                <c:pt idx="135">
                  <c:v>3807.2607532804509</c:v>
                </c:pt>
                <c:pt idx="136">
                  <c:v>3799.6668819722986</c:v>
                </c:pt>
                <c:pt idx="137">
                  <c:v>3792.0242833232523</c:v>
                </c:pt>
                <c:pt idx="138">
                  <c:v>3784.3326446662081</c:v>
                </c:pt>
                <c:pt idx="139">
                  <c:v>3776.5916513277812</c:v>
                </c:pt>
                <c:pt idx="140">
                  <c:v>3768.8009866154325</c:v>
                </c:pt>
                <c:pt idx="141">
                  <c:v>3760.9603318045129</c:v>
                </c:pt>
                <c:pt idx="142">
                  <c:v>3753.0693661252235</c:v>
                </c:pt>
                <c:pt idx="143">
                  <c:v>3745.1277667494919</c:v>
                </c:pt>
                <c:pt idx="144">
                  <c:v>3737.1352087777659</c:v>
                </c:pt>
                <c:pt idx="145">
                  <c:v>3729.0913652257209</c:v>
                </c:pt>
                <c:pt idx="146">
                  <c:v>3720.9959070108839</c:v>
                </c:pt>
                <c:pt idx="147">
                  <c:v>3712.8485029391682</c:v>
                </c:pt>
                <c:pt idx="148">
                  <c:v>3704.648819691326</c:v>
                </c:pt>
                <c:pt idx="149">
                  <c:v>3696.3965218093103</c:v>
                </c:pt>
                <c:pt idx="150">
                  <c:v>3688.091271682551</c:v>
                </c:pt>
                <c:pt idx="151">
                  <c:v>3679.7327295341452</c:v>
                </c:pt>
                <c:pt idx="152">
                  <c:v>3671.3205534069539</c:v>
                </c:pt>
                <c:pt idx="153">
                  <c:v>3662.8543991496135</c:v>
                </c:pt>
                <c:pt idx="154">
                  <c:v>3654.3339204024551</c:v>
                </c:pt>
                <c:pt idx="155">
                  <c:v>3645.758768583335</c:v>
                </c:pt>
                <c:pt idx="156">
                  <c:v>3637.128592873376</c:v>
                </c:pt>
                <c:pt idx="157">
                  <c:v>3628.4430402026114</c:v>
                </c:pt>
                <c:pt idx="158">
                  <c:v>3619.7017552355424</c:v>
                </c:pt>
                <c:pt idx="159">
                  <c:v>3610.9043803566019</c:v>
                </c:pt>
                <c:pt idx="160">
                  <c:v>3602.0505556555217</c:v>
                </c:pt>
                <c:pt idx="161">
                  <c:v>3593.1399189126091</c:v>
                </c:pt>
                <c:pt idx="162">
                  <c:v>3584.1721055839303</c:v>
                </c:pt>
                <c:pt idx="163">
                  <c:v>3575.1467487863915</c:v>
                </c:pt>
                <c:pt idx="164">
                  <c:v>3566.0634792827359</c:v>
                </c:pt>
                <c:pt idx="165">
                  <c:v>3556.9219254664317</c:v>
                </c:pt>
                <c:pt idx="166">
                  <c:v>3547.7217133464733</c:v>
                </c:pt>
                <c:pt idx="167">
                  <c:v>3538.462466532078</c:v>
                </c:pt>
                <c:pt idx="168">
                  <c:v>3529.1438062172906</c:v>
                </c:pt>
                <c:pt idx="169">
                  <c:v>3519.765351165483</c:v>
                </c:pt>
                <c:pt idx="170">
                  <c:v>3510.3267176937602</c:v>
                </c:pt>
                <c:pt idx="171">
                  <c:v>3500.8275196572599</c:v>
                </c:pt>
                <c:pt idx="172">
                  <c:v>3491.267368433359</c:v>
                </c:pt>
                <c:pt idx="173">
                  <c:v>3481.6458729057713</c:v>
                </c:pt>
                <c:pt idx="174">
                  <c:v>3471.9626394485476</c:v>
                </c:pt>
                <c:pt idx="175">
                  <c:v>3462.217271909974</c:v>
                </c:pt>
                <c:pt idx="176">
                  <c:v>3452.4093715963618</c:v>
                </c:pt>
                <c:pt idx="177">
                  <c:v>3442.5385372557366</c:v>
                </c:pt>
                <c:pt idx="178">
                  <c:v>3432.6043650614251</c:v>
                </c:pt>
                <c:pt idx="179">
                  <c:v>3422.6064485955344</c:v>
                </c:pt>
                <c:pt idx="180">
                  <c:v>3412.5443788323205</c:v>
                </c:pt>
                <c:pt idx="181">
                  <c:v>3402.4177441214592</c:v>
                </c:pt>
                <c:pt idx="182">
                  <c:v>3392.2261301712037</c:v>
                </c:pt>
                <c:pt idx="183">
                  <c:v>3381.9691200314332</c:v>
                </c:pt>
                <c:pt idx="184">
                  <c:v>3371.6462940766</c:v>
                </c:pt>
                <c:pt idx="185">
                  <c:v>3361.2572299885564</c:v>
                </c:pt>
                <c:pt idx="186">
                  <c:v>3350.8015027392807</c:v>
                </c:pt>
                <c:pt idx="187">
                  <c:v>3340.2786845734895</c:v>
                </c:pt>
                <c:pt idx="188">
                  <c:v>3329.6883449911338</c:v>
                </c:pt>
                <c:pt idx="189">
                  <c:v>3319.0300507297916</c:v>
                </c:pt>
                <c:pt idx="190">
                  <c:v>3308.3033657469391</c:v>
                </c:pt>
                <c:pt idx="191">
                  <c:v>3297.5078512021137</c:v>
                </c:pt>
                <c:pt idx="192">
                  <c:v>3286.6430654389587</c:v>
                </c:pt>
                <c:pt idx="193">
                  <c:v>3275.7085639671564</c:v>
                </c:pt>
                <c:pt idx="194">
                  <c:v>3264.7038994442441</c:v>
                </c:pt>
                <c:pt idx="195">
                  <c:v>3253.6286216573094</c:v>
                </c:pt>
                <c:pt idx="196">
                  <c:v>3242.482277504575</c:v>
                </c:pt>
                <c:pt idx="197">
                  <c:v>3231.2644109768607</c:v>
                </c:pt>
                <c:pt idx="198">
                  <c:v>3219.9745631389269</c:v>
                </c:pt>
                <c:pt idx="199">
                  <c:v>3208.6122721106999</c:v>
                </c:pt>
                <c:pt idx="200">
                  <c:v>3197.177073048375</c:v>
                </c:pt>
                <c:pt idx="201">
                  <c:v>3185.6684981253998</c:v>
                </c:pt>
                <c:pt idx="202">
                  <c:v>3174.0860765133357</c:v>
                </c:pt>
                <c:pt idx="203">
                  <c:v>3162.4293343625945</c:v>
                </c:pt>
                <c:pt idx="204">
                  <c:v>3150.6977947830524</c:v>
                </c:pt>
                <c:pt idx="205">
                  <c:v>3138.8909778245416</c:v>
                </c:pt>
                <c:pt idx="206">
                  <c:v>3127.0084004572141</c:v>
                </c:pt>
                <c:pt idx="207">
                  <c:v>3115.049576551779</c:v>
                </c:pt>
                <c:pt idx="208">
                  <c:v>3103.0140168596176</c:v>
                </c:pt>
                <c:pt idx="209">
                  <c:v>3090.901228992765</c:v>
                </c:pt>
                <c:pt idx="210">
                  <c:v>3078.7107174037669</c:v>
                </c:pt>
                <c:pt idx="211">
                  <c:v>3066.4419833654056</c:v>
                </c:pt>
                <c:pt idx="212">
                  <c:v>3054.0945249502988</c:v>
                </c:pt>
                <c:pt idx="213">
                  <c:v>3041.6678370103609</c:v>
                </c:pt>
                <c:pt idx="214">
                  <c:v>3029.1614111561425</c:v>
                </c:pt>
                <c:pt idx="215">
                  <c:v>3016.574735736026</c:v>
                </c:pt>
                <c:pt idx="216">
                  <c:v>3003.9072958152969</c:v>
                </c:pt>
                <c:pt idx="217">
                  <c:v>2991.1585731550763</c:v>
                </c:pt>
                <c:pt idx="218">
                  <c:v>2978.3280461911195</c:v>
                </c:pt>
                <c:pt idx="219">
                  <c:v>2965.4151900124775</c:v>
                </c:pt>
                <c:pt idx="220">
                  <c:v>2952.4194763400219</c:v>
                </c:pt>
                <c:pt idx="221">
                  <c:v>2939.3403735048355</c:v>
                </c:pt>
                <c:pt idx="222">
                  <c:v>2926.1773464264561</c:v>
                </c:pt>
                <c:pt idx="223">
                  <c:v>2912.9298565909908</c:v>
                </c:pt>
                <c:pt idx="224">
                  <c:v>2899.5973620290806</c:v>
                </c:pt>
                <c:pt idx="225">
                  <c:v>2886.1793172937319</c:v>
                </c:pt>
                <c:pt idx="226">
                  <c:v>2872.6751734379982</c:v>
                </c:pt>
                <c:pt idx="227">
                  <c:v>2859.0843779925235</c:v>
                </c:pt>
                <c:pt idx="228">
                  <c:v>2845.4063749429401</c:v>
                </c:pt>
                <c:pt idx="229">
                  <c:v>2831.6406047071223</c:v>
                </c:pt>
                <c:pt idx="230">
                  <c:v>2817.7865041122909</c:v>
                </c:pt>
                <c:pt idx="231">
                  <c:v>2803.8435063719762</c:v>
                </c:pt>
                <c:pt idx="232">
                  <c:v>2789.8110410628278</c:v>
                </c:pt>
                <c:pt idx="233">
                  <c:v>2775.6885341012789</c:v>
                </c:pt>
                <c:pt idx="234">
                  <c:v>2761.4754077200605</c:v>
                </c:pt>
                <c:pt idx="235">
                  <c:v>2747.171080444562</c:v>
                </c:pt>
                <c:pt idx="236">
                  <c:v>2732.7749670690459</c:v>
                </c:pt>
                <c:pt idx="237">
                  <c:v>2718.2864786327036</c:v>
                </c:pt>
                <c:pt idx="238">
                  <c:v>2703.7050223955616</c:v>
                </c:pt>
                <c:pt idx="239">
                  <c:v>2689.0300018142311</c:v>
                </c:pt>
                <c:pt idx="240">
                  <c:v>2674.2608165175038</c:v>
                </c:pt>
                <c:pt idx="241">
                  <c:v>2659.3968622817893</c:v>
                </c:pt>
                <c:pt idx="242">
                  <c:v>2644.4375310063956</c:v>
                </c:pt>
                <c:pt idx="243">
                  <c:v>2629.3822106886514</c:v>
                </c:pt>
                <c:pt idx="244">
                  <c:v>2614.2302853988681</c:v>
                </c:pt>
                <c:pt idx="245">
                  <c:v>2598.9811352551424</c:v>
                </c:pt>
                <c:pt idx="246">
                  <c:v>2583.6341363979946</c:v>
                </c:pt>
                <c:pt idx="247">
                  <c:v>2568.1886609648463</c:v>
                </c:pt>
                <c:pt idx="248">
                  <c:v>2552.6440770643358</c:v>
                </c:pt>
                <c:pt idx="249">
                  <c:v>2536.9997487504634</c:v>
                </c:pt>
                <c:pt idx="250">
                  <c:v>2521.2550359965767</c:v>
                </c:pt>
                <c:pt idx="251">
                  <c:v>2505.4092946691862</c:v>
                </c:pt>
                <c:pt idx="252">
                  <c:v>2489.4618765016116</c:v>
                </c:pt>
                <c:pt idx="253">
                  <c:v>2473.412129067462</c:v>
                </c:pt>
                <c:pt idx="254">
                  <c:v>2457.2593957539425</c:v>
                </c:pt>
                <c:pt idx="255">
                  <c:v>2441.0030157349952</c:v>
                </c:pt>
                <c:pt idx="256">
                  <c:v>2424.6423239442597</c:v>
                </c:pt>
                <c:pt idx="257">
                  <c:v>2408.1766510478665</c:v>
                </c:pt>
                <c:pt idx="258">
                  <c:v>2391.6053234170549</c:v>
                </c:pt>
                <c:pt idx="259">
                  <c:v>2374.9276631006123</c:v>
                </c:pt>
                <c:pt idx="260">
                  <c:v>2358.1429877971395</c:v>
                </c:pt>
                <c:pt idx="261">
                  <c:v>2341.2506108271359</c:v>
                </c:pt>
                <c:pt idx="262">
                  <c:v>2324.2498411049082</c:v>
                </c:pt>
                <c:pt idx="263">
                  <c:v>2307.1399831102958</c:v>
                </c:pt>
                <c:pt idx="264">
                  <c:v>2289.9203368602184</c:v>
                </c:pt>
                <c:pt idx="265">
                  <c:v>2272.5901978800362</c:v>
                </c:pt>
                <c:pt idx="266">
                  <c:v>2255.1488571747309</c:v>
                </c:pt>
                <c:pt idx="267">
                  <c:v>2237.5956011999001</c:v>
                </c:pt>
                <c:pt idx="268">
                  <c:v>2219.929711832564</c:v>
                </c:pt>
                <c:pt idx="269">
                  <c:v>2202.1504663417877</c:v>
                </c:pt>
                <c:pt idx="270">
                  <c:v>2184.2571373591127</c:v>
                </c:pt>
                <c:pt idx="271">
                  <c:v>2166.248992848798</c:v>
                </c:pt>
                <c:pt idx="272">
                  <c:v>2148.1252960778756</c:v>
                </c:pt>
                <c:pt idx="273">
                  <c:v>2129.8853055860072</c:v>
                </c:pt>
                <c:pt idx="274">
                  <c:v>2111.5282751551485</c:v>
                </c:pt>
                <c:pt idx="275">
                  <c:v>2093.0534537790259</c:v>
                </c:pt>
                <c:pt idx="276">
                  <c:v>2074.4600856324059</c:v>
                </c:pt>
                <c:pt idx="277">
                  <c:v>2055.7474100401787</c:v>
                </c:pt>
                <c:pt idx="278">
                  <c:v>2036.9146614462343</c:v>
                </c:pt>
                <c:pt idx="279">
                  <c:v>2017.9610693821455</c:v>
                </c:pt>
                <c:pt idx="280">
                  <c:v>1998.8858584356456</c:v>
                </c:pt>
                <c:pt idx="281">
                  <c:v>1979.6882482189058</c:v>
                </c:pt>
                <c:pt idx="282">
                  <c:v>1960.3674533366082</c:v>
                </c:pt>
                <c:pt idx="283">
                  <c:v>1940.922683353816</c:v>
                </c:pt>
                <c:pt idx="284">
                  <c:v>1921.3531427636344</c:v>
                </c:pt>
                <c:pt idx="285">
                  <c:v>1901.6580309546657</c:v>
                </c:pt>
                <c:pt idx="286">
                  <c:v>1881.8365421782564</c:v>
                </c:pt>
                <c:pt idx="287">
                  <c:v>1861.8878655155318</c:v>
                </c:pt>
                <c:pt idx="288">
                  <c:v>1841.8111848442211</c:v>
                </c:pt>
                <c:pt idx="289">
                  <c:v>1821.6056788052697</c:v>
                </c:pt>
                <c:pt idx="290">
                  <c:v>1801.2705207692347</c:v>
                </c:pt>
                <c:pt idx="291">
                  <c:v>1780.8048788024685</c:v>
                </c:pt>
                <c:pt idx="292">
                  <c:v>1760.2079156330826</c:v>
                </c:pt>
                <c:pt idx="293">
                  <c:v>1739.478788616693</c:v>
                </c:pt>
                <c:pt idx="294">
                  <c:v>1718.6166497019481</c:v>
                </c:pt>
                <c:pt idx="295">
                  <c:v>1697.6206453958337</c:v>
                </c:pt>
                <c:pt idx="296">
                  <c:v>1676.4899167287549</c:v>
                </c:pt>
                <c:pt idx="297">
                  <c:v>1655.223599219396</c:v>
                </c:pt>
                <c:pt idx="298">
                  <c:v>1633.8208228393516</c:v>
                </c:pt>
                <c:pt idx="299">
                  <c:v>1612.2807119775355</c:v>
                </c:pt>
                <c:pt idx="300">
                  <c:v>1590.6023854043563</c:v>
                </c:pt>
                <c:pt idx="301">
                  <c:v>1568.7849562356655</c:v>
                </c:pt>
                <c:pt idx="302">
                  <c:v>1546.8275318964756</c:v>
                </c:pt>
                <c:pt idx="303">
                  <c:v>1524.7292140844429</c:v>
                </c:pt>
                <c:pt idx="304">
                  <c:v>1502.4890987331162</c:v>
                </c:pt>
                <c:pt idx="305">
                  <c:v>1480.1062759749516</c:v>
                </c:pt>
                <c:pt idx="306">
                  <c:v>1457.5798301040891</c:v>
                </c:pt>
                <c:pt idx="307">
                  <c:v>1434.9088395388883</c:v>
                </c:pt>
                <c:pt idx="308">
                  <c:v>1412.0923767842276</c:v>
                </c:pt>
                <c:pt idx="309">
                  <c:v>1389.1295083935577</c:v>
                </c:pt>
                <c:pt idx="310">
                  <c:v>1366.0192949307145</c:v>
                </c:pt>
                <c:pt idx="311">
                  <c:v>1342.7607909314847</c:v>
                </c:pt>
                <c:pt idx="312">
                  <c:v>1319.3530448649265</c:v>
                </c:pt>
                <c:pt idx="313">
                  <c:v>1295.7950990944412</c:v>
                </c:pt>
                <c:pt idx="314">
                  <c:v>1272.0859898385952</c:v>
                </c:pt>
                <c:pt idx="315">
                  <c:v>1248.2247471316909</c:v>
                </c:pt>
                <c:pt idx="316">
                  <c:v>1224.210394784084</c:v>
                </c:pt>
                <c:pt idx="317">
                  <c:v>1200.0419503422468</c:v>
                </c:pt>
                <c:pt idx="318">
                  <c:v>1175.7184250485741</c:v>
                </c:pt>
                <c:pt idx="319">
                  <c:v>1151.2388238009339</c:v>
                </c:pt>
                <c:pt idx="320">
                  <c:v>1126.6021451119548</c:v>
                </c:pt>
                <c:pt idx="321">
                  <c:v>1101.8073810680546</c:v>
                </c:pt>
                <c:pt idx="322">
                  <c:v>1076.8535172882059</c:v>
                </c:pt>
                <c:pt idx="323">
                  <c:v>1051.7395328824366</c:v>
                </c:pt>
                <c:pt idx="324">
                  <c:v>1026.4644004100637</c:v>
                </c:pt>
                <c:pt idx="325">
                  <c:v>1001.0270858376596</c:v>
                </c:pt>
                <c:pt idx="326">
                  <c:v>975.42654849674932</c:v>
                </c:pt>
                <c:pt idx="327">
                  <c:v>949.66174104123479</c:v>
                </c:pt>
                <c:pt idx="328">
                  <c:v>923.7316094045475</c:v>
                </c:pt>
                <c:pt idx="329">
                  <c:v>897.63509275652484</c:v>
                </c:pt>
                <c:pt idx="330">
                  <c:v>871.37112346001049</c:v>
                </c:pt>
                <c:pt idx="331">
                  <c:v>844.93862702717695</c:v>
                </c:pt>
                <c:pt idx="332">
                  <c:v>818.33652207556611</c:v>
                </c:pt>
                <c:pt idx="333">
                  <c:v>791.56372028384897</c:v>
                </c:pt>
                <c:pt idx="334">
                  <c:v>764.61912634730174</c:v>
                </c:pt>
                <c:pt idx="335">
                  <c:v>737.50163793299498</c:v>
                </c:pt>
                <c:pt idx="336">
                  <c:v>710.21014563469646</c:v>
                </c:pt>
                <c:pt idx="337">
                  <c:v>682.74353292748378</c:v>
                </c:pt>
                <c:pt idx="338">
                  <c:v>655.1006761220666</c:v>
                </c:pt>
                <c:pt idx="339">
                  <c:v>627.2804443188146</c:v>
                </c:pt>
                <c:pt idx="340">
                  <c:v>599.28169936149175</c:v>
                </c:pt>
                <c:pt idx="341">
                  <c:v>571.10329579069275</c:v>
                </c:pt>
                <c:pt idx="342">
                  <c:v>542.74408079698105</c:v>
                </c:pt>
                <c:pt idx="343">
                  <c:v>514.20289417372646</c:v>
                </c:pt>
                <c:pt idx="344">
                  <c:v>485.47856826963931</c:v>
                </c:pt>
                <c:pt idx="345">
                  <c:v>456.56992794100086</c:v>
                </c:pt>
                <c:pt idx="346">
                  <c:v>427.47579050358695</c:v>
                </c:pt>
                <c:pt idx="347">
                  <c:v>398.19496568428309</c:v>
                </c:pt>
                <c:pt idx="348">
                  <c:v>368.72625557238865</c:v>
                </c:pt>
                <c:pt idx="349">
                  <c:v>339.06845457060956</c:v>
                </c:pt>
                <c:pt idx="350">
                  <c:v>309.22034934573571</c:v>
                </c:pt>
                <c:pt idx="351">
                  <c:v>279.18071877900223</c:v>
                </c:pt>
                <c:pt idx="352">
                  <c:v>248.94833391613227</c:v>
                </c:pt>
                <c:pt idx="353">
                  <c:v>218.52195791705884</c:v>
                </c:pt>
                <c:pt idx="354">
                  <c:v>187.90034600532474</c:v>
                </c:pt>
                <c:pt idx="355">
                  <c:v>157.08224541715694</c:v>
                </c:pt>
                <c:pt idx="356">
                  <c:v>126.06639535021509</c:v>
                </c:pt>
                <c:pt idx="357">
                  <c:v>94.851526912010371</c:v>
                </c:pt>
                <c:pt idx="358">
                  <c:v>63.436363067993845</c:v>
                </c:pt>
                <c:pt idx="359">
                  <c:v>31.819618589311542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47F-427E-83A8-519C72CCD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930575"/>
        <c:axId val="1890929327"/>
      </c:scatterChart>
      <c:valAx>
        <c:axId val="912882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093855"/>
        <c:crosses val="autoZero"/>
        <c:crossBetween val="midCat"/>
      </c:valAx>
      <c:valAx>
        <c:axId val="106509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882367"/>
        <c:crosses val="autoZero"/>
        <c:crossBetween val="midCat"/>
      </c:valAx>
      <c:valAx>
        <c:axId val="1890929327"/>
        <c:scaling>
          <c:orientation val="minMax"/>
        </c:scaling>
        <c:delete val="0"/>
        <c:axPos val="r"/>
        <c:numFmt formatCode="&quot;$&quot;#,##0.00_);[Red]\(&quot;$&quot;#,##0.00\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930575"/>
        <c:crosses val="max"/>
        <c:crossBetween val="midCat"/>
      </c:valAx>
      <c:valAx>
        <c:axId val="1890930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90929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HELOC Amortization Schedule 11/13/2022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'HELOC Amortization Schedule'!$C$5</c:f>
              <c:strCache>
                <c:ptCount val="1"/>
                <c:pt idx="0">
                  <c:v>startingBalance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'HELOC Amortization Schedule'!$A$6:$A$365</c:f>
              <c:numCache>
                <c:formatCode>General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'HELOC Amortization Schedule'!$C$6:$C$365</c:f>
              <c:numCache>
                <c:formatCode>"$"#,##0.00_);[Red]\("$"#,##0.00\)</c:formatCode>
                <c:ptCount val="360"/>
                <c:pt idx="0">
                  <c:v>165732.80000000005</c:v>
                </c:pt>
                <c:pt idx="1">
                  <c:v>165659.48273155457</c:v>
                </c:pt>
                <c:pt idx="2">
                  <c:v>165585.55448587207</c:v>
                </c:pt>
                <c:pt idx="3">
                  <c:v>165511.01017147553</c:v>
                </c:pt>
                <c:pt idx="4">
                  <c:v>165435.84465445904</c:v>
                </c:pt>
                <c:pt idx="5">
                  <c:v>165360.05275813406</c:v>
                </c:pt>
                <c:pt idx="6">
                  <c:v>165283.62926267306</c:v>
                </c:pt>
                <c:pt idx="7">
                  <c:v>165206.56890474987</c:v>
                </c:pt>
                <c:pt idx="8">
                  <c:v>165128.86637717733</c:v>
                </c:pt>
                <c:pt idx="9">
                  <c:v>165050.51632854168</c:v>
                </c:pt>
                <c:pt idx="10">
                  <c:v>164971.51336283406</c:v>
                </c:pt>
                <c:pt idx="11">
                  <c:v>164891.85203907886</c:v>
                </c:pt>
                <c:pt idx="12">
                  <c:v>164811.52687095906</c:v>
                </c:pt>
                <c:pt idx="13">
                  <c:v>164730.53232643826</c:v>
                </c:pt>
                <c:pt idx="14">
                  <c:v>164648.86282737978</c:v>
                </c:pt>
                <c:pt idx="15">
                  <c:v>164566.51274916247</c:v>
                </c:pt>
                <c:pt idx="16">
                  <c:v>164483.47642029336</c:v>
                </c:pt>
                <c:pt idx="17">
                  <c:v>164399.74812201702</c:v>
                </c:pt>
                <c:pt idx="18">
                  <c:v>164315.3220879217</c:v>
                </c:pt>
                <c:pt idx="19">
                  <c:v>164230.19250354226</c:v>
                </c:pt>
                <c:pt idx="20">
                  <c:v>164144.35350595965</c:v>
                </c:pt>
                <c:pt idx="21">
                  <c:v>164057.79918339718</c:v>
                </c:pt>
                <c:pt idx="22">
                  <c:v>163970.52357481336</c:v>
                </c:pt>
                <c:pt idx="23">
                  <c:v>163882.52066949135</c:v>
                </c:pt>
                <c:pt idx="24">
                  <c:v>163793.78440662497</c:v>
                </c:pt>
                <c:pt idx="25">
                  <c:v>163704.30867490137</c:v>
                </c:pt>
                <c:pt idx="26">
                  <c:v>163614.08731208008</c:v>
                </c:pt>
                <c:pt idx="27">
                  <c:v>163523.11410456861</c:v>
                </c:pt>
                <c:pt idx="28">
                  <c:v>163431.38278699454</c:v>
                </c:pt>
                <c:pt idx="29">
                  <c:v>163338.88704177403</c:v>
                </c:pt>
                <c:pt idx="30">
                  <c:v>163245.62049867667</c:v>
                </c:pt>
                <c:pt idx="31">
                  <c:v>163151.57673438685</c:v>
                </c:pt>
                <c:pt idx="32">
                  <c:v>163056.74927206128</c:v>
                </c:pt>
                <c:pt idx="33">
                  <c:v>162961.131580883</c:v>
                </c:pt>
                <c:pt idx="34">
                  <c:v>162864.71707561155</c:v>
                </c:pt>
                <c:pt idx="35">
                  <c:v>162767.4991161295</c:v>
                </c:pt>
                <c:pt idx="36">
                  <c:v>162669.47100698511</c:v>
                </c:pt>
                <c:pt idx="37">
                  <c:v>162570.62599693119</c:v>
                </c:pt>
                <c:pt idx="38">
                  <c:v>162470.95727846015</c:v>
                </c:pt>
                <c:pt idx="39">
                  <c:v>162370.45798733519</c:v>
                </c:pt>
                <c:pt idx="40">
                  <c:v>162269.12120211753</c:v>
                </c:pt>
                <c:pt idx="41">
                  <c:v>162166.93994368971</c:v>
                </c:pt>
                <c:pt idx="42">
                  <c:v>162063.907174775</c:v>
                </c:pt>
                <c:pt idx="43">
                  <c:v>161960.01579945267</c:v>
                </c:pt>
                <c:pt idx="44">
                  <c:v>161855.25866266931</c:v>
                </c:pt>
                <c:pt idx="45">
                  <c:v>161749.62854974609</c:v>
                </c:pt>
                <c:pt idx="46">
                  <c:v>161643.11818588185</c:v>
                </c:pt>
                <c:pt idx="47">
                  <c:v>161535.72023565206</c:v>
                </c:pt>
                <c:pt idx="48">
                  <c:v>161427.4273025037</c:v>
                </c:pt>
                <c:pt idx="49">
                  <c:v>161318.23192824578</c:v>
                </c:pt>
                <c:pt idx="50">
                  <c:v>161208.1265925357</c:v>
                </c:pt>
                <c:pt idx="51">
                  <c:v>161097.10371236136</c:v>
                </c:pt>
                <c:pt idx="52">
                  <c:v>160985.15564151891</c:v>
                </c:pt>
                <c:pt idx="53">
                  <c:v>160872.2746700861</c:v>
                </c:pt>
                <c:pt idx="54">
                  <c:v>160758.45302389134</c:v>
                </c:pt>
                <c:pt idx="55">
                  <c:v>160643.68286397832</c:v>
                </c:pt>
                <c:pt idx="56">
                  <c:v>160527.95628606601</c:v>
                </c:pt>
                <c:pt idx="57">
                  <c:v>160411.26532000443</c:v>
                </c:pt>
                <c:pt idx="58">
                  <c:v>160293.60192922567</c:v>
                </c:pt>
                <c:pt idx="59">
                  <c:v>160174.95801019043</c:v>
                </c:pt>
                <c:pt idx="60">
                  <c:v>160055.32539182989</c:v>
                </c:pt>
                <c:pt idx="61">
                  <c:v>159934.69583498299</c:v>
                </c:pt>
                <c:pt idx="62">
                  <c:v>159813.06103182904</c:v>
                </c:pt>
                <c:pt idx="63">
                  <c:v>159690.41260531548</c:v>
                </c:pt>
                <c:pt idx="64">
                  <c:v>159566.74210858098</c:v>
                </c:pt>
                <c:pt idx="65">
                  <c:v>159442.0410243737</c:v>
                </c:pt>
                <c:pt idx="66">
                  <c:v>159316.30076446469</c:v>
                </c:pt>
                <c:pt idx="67">
                  <c:v>159189.51266905642</c:v>
                </c:pt>
                <c:pt idx="68">
                  <c:v>159061.66800618643</c:v>
                </c:pt>
                <c:pt idx="69">
                  <c:v>158932.75797112586</c:v>
                </c:pt>
                <c:pt idx="70">
                  <c:v>158802.77368577311</c:v>
                </c:pt>
                <c:pt idx="71">
                  <c:v>158671.70619804243</c:v>
                </c:pt>
                <c:pt idx="72">
                  <c:v>158539.54648124732</c:v>
                </c:pt>
                <c:pt idx="73">
                  <c:v>158406.28543347892</c:v>
                </c:pt>
                <c:pt idx="74">
                  <c:v>158271.91387697912</c:v>
                </c:pt>
                <c:pt idx="75">
                  <c:v>158136.42255750849</c:v>
                </c:pt>
                <c:pt idx="76">
                  <c:v>157999.80214370892</c:v>
                </c:pt>
                <c:pt idx="77">
                  <c:v>157862.04322646104</c:v>
                </c:pt>
                <c:pt idx="78">
                  <c:v>157723.13631823609</c:v>
                </c:pt>
                <c:pt idx="79">
                  <c:v>157583.0718524426</c:v>
                </c:pt>
                <c:pt idx="80">
                  <c:v>157441.84018276748</c:v>
                </c:pt>
                <c:pt idx="81">
                  <c:v>157299.43158251175</c:v>
                </c:pt>
                <c:pt idx="82">
                  <c:v>157155.83624392055</c:v>
                </c:pt>
                <c:pt idx="83">
                  <c:v>157011.04427750775</c:v>
                </c:pt>
                <c:pt idx="84">
                  <c:v>156865.04571137484</c:v>
                </c:pt>
                <c:pt idx="85">
                  <c:v>156717.83049052418</c:v>
                </c:pt>
                <c:pt idx="86">
                  <c:v>156569.38847616641</c:v>
                </c:pt>
                <c:pt idx="87">
                  <c:v>156419.70944502234</c:v>
                </c:pt>
                <c:pt idx="88">
                  <c:v>156268.78308861871</c:v>
                </c:pt>
                <c:pt idx="89">
                  <c:v>156116.5990125784</c:v>
                </c:pt>
                <c:pt idx="90">
                  <c:v>155963.14673590442</c:v>
                </c:pt>
                <c:pt idx="91">
                  <c:v>155808.41569025815</c:v>
                </c:pt>
                <c:pt idx="92">
                  <c:v>155652.39521923149</c:v>
                </c:pt>
                <c:pt idx="93">
                  <c:v>155495.07457761295</c:v>
                </c:pt>
                <c:pt idx="94">
                  <c:v>155336.44293064758</c:v>
                </c:pt>
                <c:pt idx="95">
                  <c:v>155176.48935329085</c:v>
                </c:pt>
                <c:pt idx="96">
                  <c:v>155015.20282945613</c:v>
                </c:pt>
                <c:pt idx="97">
                  <c:v>154852.57225125615</c:v>
                </c:pt>
                <c:pt idx="98">
                  <c:v>154688.58641823783</c:v>
                </c:pt>
                <c:pt idx="99">
                  <c:v>154523.23403661101</c:v>
                </c:pt>
                <c:pt idx="100">
                  <c:v>154356.50371847063</c:v>
                </c:pt>
                <c:pt idx="101">
                  <c:v>154188.38398101242</c:v>
                </c:pt>
                <c:pt idx="102">
                  <c:v>154018.86324574205</c:v>
                </c:pt>
                <c:pt idx="103">
                  <c:v>153847.92983767777</c:v>
                </c:pt>
                <c:pt idx="104">
                  <c:v>153675.57198454629</c:v>
                </c:pt>
                <c:pt idx="105">
                  <c:v>153501.77781597205</c:v>
                </c:pt>
                <c:pt idx="106">
                  <c:v>153326.53536265969</c:v>
                </c:pt>
                <c:pt idx="107">
                  <c:v>153149.83255556974</c:v>
                </c:pt>
                <c:pt idx="108">
                  <c:v>152971.65722508734</c:v>
                </c:pt>
                <c:pt idx="109">
                  <c:v>152791.99710018426</c:v>
                </c:pt>
                <c:pt idx="110">
                  <c:v>152610.83980757368</c:v>
                </c:pt>
                <c:pt idx="111">
                  <c:v>152428.17287085799</c:v>
                </c:pt>
                <c:pt idx="112">
                  <c:v>152243.98370966967</c:v>
                </c:pt>
                <c:pt idx="113">
                  <c:v>152058.2596388048</c:v>
                </c:pt>
                <c:pt idx="114">
                  <c:v>151870.98786734938</c:v>
                </c:pt>
                <c:pt idx="115">
                  <c:v>151682.15549779849</c:v>
                </c:pt>
                <c:pt idx="116">
                  <c:v>151491.74952516801</c:v>
                </c:pt>
                <c:pt idx="117">
                  <c:v>151299.75683609894</c:v>
                </c:pt>
                <c:pt idx="118">
                  <c:v>151106.16420795431</c:v>
                </c:pt>
                <c:pt idx="119">
                  <c:v>150910.95830790847</c:v>
                </c:pt>
                <c:pt idx="120">
                  <c:v>150714.1256920289</c:v>
                </c:pt>
                <c:pt idx="121">
                  <c:v>150515.65280435033</c:v>
                </c:pt>
                <c:pt idx="122">
                  <c:v>150315.52597594113</c:v>
                </c:pt>
                <c:pt idx="123">
                  <c:v>150113.73142396184</c:v>
                </c:pt>
                <c:pt idx="124">
                  <c:v>149910.25525071606</c:v>
                </c:pt>
                <c:pt idx="125">
                  <c:v>149705.08344269323</c:v>
                </c:pt>
                <c:pt idx="126">
                  <c:v>149498.20186960354</c:v>
                </c:pt>
                <c:pt idx="127">
                  <c:v>149289.59628340477</c:v>
                </c:pt>
                <c:pt idx="128">
                  <c:v>149079.25231732102</c:v>
                </c:pt>
                <c:pt idx="129">
                  <c:v>148867.15548485323</c:v>
                </c:pt>
                <c:pt idx="130">
                  <c:v>148653.29117878154</c:v>
                </c:pt>
                <c:pt idx="131">
                  <c:v>148437.64467015926</c:v>
                </c:pt>
                <c:pt idx="132">
                  <c:v>148220.20110729846</c:v>
                </c:pt>
                <c:pt idx="133">
                  <c:v>148000.94551474715</c:v>
                </c:pt>
                <c:pt idx="134">
                  <c:v>147779.86279225792</c:v>
                </c:pt>
                <c:pt idx="135">
                  <c:v>147556.93771374793</c:v>
                </c:pt>
                <c:pt idx="136">
                  <c:v>147332.15492625037</c:v>
                </c:pt>
                <c:pt idx="137">
                  <c:v>147105.49894885698</c:v>
                </c:pt>
                <c:pt idx="138">
                  <c:v>146876.954171652</c:v>
                </c:pt>
                <c:pt idx="139">
                  <c:v>146646.50485463697</c:v>
                </c:pt>
                <c:pt idx="140">
                  <c:v>146414.13512664681</c:v>
                </c:pt>
                <c:pt idx="141">
                  <c:v>146179.82898425675</c:v>
                </c:pt>
                <c:pt idx="142">
                  <c:v>145943.5702906801</c:v>
                </c:pt>
                <c:pt idx="143">
                  <c:v>145705.34277465698</c:v>
                </c:pt>
                <c:pt idx="144">
                  <c:v>145465.13002933367</c:v>
                </c:pt>
                <c:pt idx="145">
                  <c:v>145222.91551113265</c:v>
                </c:pt>
                <c:pt idx="146">
                  <c:v>144978.6825386133</c:v>
                </c:pt>
                <c:pt idx="147">
                  <c:v>144732.41429132296</c:v>
                </c:pt>
                <c:pt idx="148">
                  <c:v>144484.09380863851</c:v>
                </c:pt>
                <c:pt idx="149">
                  <c:v>144233.70398859837</c:v>
                </c:pt>
                <c:pt idx="150">
                  <c:v>143981.22758672456</c:v>
                </c:pt>
                <c:pt idx="151">
                  <c:v>143726.64721483513</c:v>
                </c:pt>
                <c:pt idx="152">
                  <c:v>143469.94533984663</c:v>
                </c:pt>
                <c:pt idx="153">
                  <c:v>143211.10428256655</c:v>
                </c:pt>
                <c:pt idx="154">
                  <c:v>142950.1062164758</c:v>
                </c:pt>
                <c:pt idx="155">
                  <c:v>142686.93316650097</c:v>
                </c:pt>
                <c:pt idx="156">
                  <c:v>142421.56700777635</c:v>
                </c:pt>
                <c:pt idx="157">
                  <c:v>142153.98946439568</c:v>
                </c:pt>
                <c:pt idx="158">
                  <c:v>141884.1821081535</c:v>
                </c:pt>
                <c:pt idx="159">
                  <c:v>141612.12635727599</c:v>
                </c:pt>
                <c:pt idx="160">
                  <c:v>141337.80347514118</c:v>
                </c:pt>
                <c:pt idx="161">
                  <c:v>141061.19456898855</c:v>
                </c:pt>
                <c:pt idx="162">
                  <c:v>140782.28058861798</c:v>
                </c:pt>
                <c:pt idx="163">
                  <c:v>140501.04232507767</c:v>
                </c:pt>
                <c:pt idx="164">
                  <c:v>140217.46040934118</c:v>
                </c:pt>
                <c:pt idx="165">
                  <c:v>139931.51531097357</c:v>
                </c:pt>
                <c:pt idx="166">
                  <c:v>139643.18733678621</c:v>
                </c:pt>
                <c:pt idx="167">
                  <c:v>139352.45662948064</c:v>
                </c:pt>
                <c:pt idx="168">
                  <c:v>139059.30316628085</c:v>
                </c:pt>
                <c:pt idx="169">
                  <c:v>138763.70675755441</c:v>
                </c:pt>
                <c:pt idx="170">
                  <c:v>138465.64704542191</c:v>
                </c:pt>
                <c:pt idx="171">
                  <c:v>138165.10350235496</c:v>
                </c:pt>
                <c:pt idx="172">
                  <c:v>137862.05542976246</c:v>
                </c:pt>
                <c:pt idx="173">
                  <c:v>137556.48195656503</c:v>
                </c:pt>
                <c:pt idx="174">
                  <c:v>137248.36203775762</c:v>
                </c:pt>
                <c:pt idx="175">
                  <c:v>136937.67445296014</c:v>
                </c:pt>
                <c:pt idx="176">
                  <c:v>136624.39780495601</c:v>
                </c:pt>
                <c:pt idx="177">
                  <c:v>136308.51051821851</c:v>
                </c:pt>
                <c:pt idx="178">
                  <c:v>135989.99083742488</c:v>
                </c:pt>
                <c:pt idx="179">
                  <c:v>135668.81682595794</c:v>
                </c:pt>
                <c:pt idx="180">
                  <c:v>135344.96636439546</c:v>
                </c:pt>
                <c:pt idx="181">
                  <c:v>135018.41714898663</c:v>
                </c:pt>
                <c:pt idx="182">
                  <c:v>134689.14669011606</c:v>
                </c:pt>
                <c:pt idx="183">
                  <c:v>134357.13231075491</c:v>
                </c:pt>
                <c:pt idx="184">
                  <c:v>134022.35114489906</c:v>
                </c:pt>
                <c:pt idx="185">
                  <c:v>133684.78013599443</c:v>
                </c:pt>
                <c:pt idx="186">
                  <c:v>133344.39603534891</c:v>
                </c:pt>
                <c:pt idx="187">
                  <c:v>133001.17540053136</c:v>
                </c:pt>
                <c:pt idx="188">
                  <c:v>132655.09459375698</c:v>
                </c:pt>
                <c:pt idx="189">
                  <c:v>132306.12978025948</c:v>
                </c:pt>
                <c:pt idx="190">
                  <c:v>131954.25692664951</c:v>
                </c:pt>
                <c:pt idx="191">
                  <c:v>131599.45179925946</c:v>
                </c:pt>
                <c:pt idx="192">
                  <c:v>131241.68996247448</c:v>
                </c:pt>
                <c:pt idx="193">
                  <c:v>130880.94677704964</c:v>
                </c:pt>
                <c:pt idx="194">
                  <c:v>130517.19739841293</c:v>
                </c:pt>
                <c:pt idx="195">
                  <c:v>130150.41677495424</c:v>
                </c:pt>
                <c:pt idx="196">
                  <c:v>129780.57964630006</c:v>
                </c:pt>
                <c:pt idx="197">
                  <c:v>129407.66054157376</c:v>
                </c:pt>
                <c:pt idx="198">
                  <c:v>129031.63377764141</c:v>
                </c:pt>
                <c:pt idx="199">
                  <c:v>128652.47345734296</c:v>
                </c:pt>
                <c:pt idx="200">
                  <c:v>128270.15346770869</c:v>
                </c:pt>
                <c:pt idx="201">
                  <c:v>127884.6474781608</c:v>
                </c:pt>
                <c:pt idx="202">
                  <c:v>127495.9289387</c:v>
                </c:pt>
                <c:pt idx="203">
                  <c:v>127103.97107807704</c:v>
                </c:pt>
                <c:pt idx="204">
                  <c:v>126708.74690194888</c:v>
                </c:pt>
                <c:pt idx="205">
                  <c:v>126310.22919101965</c:v>
                </c:pt>
                <c:pt idx="206">
                  <c:v>125908.39049916602</c:v>
                </c:pt>
                <c:pt idx="207">
                  <c:v>125503.20315154694</c:v>
                </c:pt>
                <c:pt idx="208">
                  <c:v>125094.6392426977</c:v>
                </c:pt>
                <c:pt idx="209">
                  <c:v>124682.67063460805</c:v>
                </c:pt>
                <c:pt idx="210">
                  <c:v>124267.26895478432</c:v>
                </c:pt>
                <c:pt idx="211">
                  <c:v>123848.40559429539</c:v>
                </c:pt>
                <c:pt idx="212">
                  <c:v>123426.05170580238</c:v>
                </c:pt>
                <c:pt idx="213">
                  <c:v>123000.17820157194</c:v>
                </c:pt>
                <c:pt idx="214">
                  <c:v>122570.75575147291</c:v>
                </c:pt>
                <c:pt idx="215">
                  <c:v>122137.75478095638</c:v>
                </c:pt>
                <c:pt idx="216">
                  <c:v>121701.14546901888</c:v>
                </c:pt>
                <c:pt idx="217">
                  <c:v>121260.89774614858</c:v>
                </c:pt>
                <c:pt idx="218">
                  <c:v>120816.98129225435</c:v>
                </c:pt>
                <c:pt idx="219">
                  <c:v>120369.36553457768</c:v>
                </c:pt>
                <c:pt idx="220">
                  <c:v>119918.01964558703</c:v>
                </c:pt>
                <c:pt idx="221">
                  <c:v>119462.9125408548</c:v>
                </c:pt>
                <c:pt idx="222">
                  <c:v>119004.01287691646</c:v>
                </c:pt>
                <c:pt idx="223">
                  <c:v>118541.28904911196</c:v>
                </c:pt>
                <c:pt idx="224">
                  <c:v>118074.7091894091</c:v>
                </c:pt>
                <c:pt idx="225">
                  <c:v>117604.24116420871</c:v>
                </c:pt>
                <c:pt idx="226">
                  <c:v>117129.85257213165</c:v>
                </c:pt>
                <c:pt idx="227">
                  <c:v>116651.51074178729</c:v>
                </c:pt>
                <c:pt idx="228">
                  <c:v>116169.1827295234</c:v>
                </c:pt>
                <c:pt idx="229">
                  <c:v>115682.8353171573</c:v>
                </c:pt>
                <c:pt idx="230">
                  <c:v>115192.43500968814</c:v>
                </c:pt>
                <c:pt idx="231">
                  <c:v>114697.94803299008</c:v>
                </c:pt>
                <c:pt idx="232">
                  <c:v>114199.34033148621</c:v>
                </c:pt>
                <c:pt idx="233">
                  <c:v>113696.57756580313</c:v>
                </c:pt>
                <c:pt idx="234">
                  <c:v>113189.62511040604</c:v>
                </c:pt>
                <c:pt idx="235">
                  <c:v>112678.44805121396</c:v>
                </c:pt>
                <c:pt idx="236">
                  <c:v>112163.01118319528</c:v>
                </c:pt>
                <c:pt idx="237">
                  <c:v>111643.27900794311</c:v>
                </c:pt>
                <c:pt idx="238">
                  <c:v>111119.21573123051</c:v>
                </c:pt>
                <c:pt idx="239">
                  <c:v>110590.78526054529</c:v>
                </c:pt>
                <c:pt idx="240">
                  <c:v>110057.95120260438</c:v>
                </c:pt>
                <c:pt idx="241">
                  <c:v>109520.67686084729</c:v>
                </c:pt>
                <c:pt idx="242">
                  <c:v>108978.92523290889</c:v>
                </c:pt>
                <c:pt idx="243">
                  <c:v>108432.659008071</c:v>
                </c:pt>
                <c:pt idx="244">
                  <c:v>107881.8405646928</c:v>
                </c:pt>
                <c:pt idx="245">
                  <c:v>107326.43196761978</c:v>
                </c:pt>
                <c:pt idx="246">
                  <c:v>106766.39496557115</c:v>
                </c:pt>
                <c:pt idx="247">
                  <c:v>106201.69098850545</c:v>
                </c:pt>
                <c:pt idx="248">
                  <c:v>105632.2811449642</c:v>
                </c:pt>
                <c:pt idx="249">
                  <c:v>105058.12621939344</c:v>
                </c:pt>
                <c:pt idx="250">
                  <c:v>104479.18666944292</c:v>
                </c:pt>
                <c:pt idx="251">
                  <c:v>103895.42262324282</c:v>
                </c:pt>
                <c:pt idx="252">
                  <c:v>103306.79387665771</c:v>
                </c:pt>
                <c:pt idx="253">
                  <c:v>102713.25989051773</c:v>
                </c:pt>
                <c:pt idx="254">
                  <c:v>102114.77978782658</c:v>
                </c:pt>
                <c:pt idx="255">
                  <c:v>101511.31235094635</c:v>
                </c:pt>
                <c:pt idx="256">
                  <c:v>100902.81601875876</c:v>
                </c:pt>
                <c:pt idx="257">
                  <c:v>100289.24888380295</c:v>
                </c:pt>
                <c:pt idx="258">
                  <c:v>99670.568689389183</c:v>
                </c:pt>
                <c:pt idx="259">
                  <c:v>99046.732826688632</c:v>
                </c:pt>
                <c:pt idx="260">
                  <c:v>98417.698331798907</c:v>
                </c:pt>
                <c:pt idx="261">
                  <c:v>97783.4218827851</c:v>
                </c:pt>
                <c:pt idx="262">
                  <c:v>97143.859796696182</c:v>
                </c:pt>
                <c:pt idx="263">
                  <c:v>96498.968026556526</c:v>
                </c:pt>
                <c:pt idx="264">
                  <c:v>95848.702158332366</c:v>
                </c:pt>
                <c:pt idx="265">
                  <c:v>95193.017407873005</c:v>
                </c:pt>
                <c:pt idx="266">
                  <c:v>94531.868617826476</c:v>
                </c:pt>
                <c:pt idx="267">
                  <c:v>93865.210254529564</c:v>
                </c:pt>
                <c:pt idx="268">
                  <c:v>93192.996404871839</c:v>
                </c:pt>
                <c:pt idx="269">
                  <c:v>92515.180773133645</c:v>
                </c:pt>
                <c:pt idx="270">
                  <c:v>91831.716677797624</c:v>
                </c:pt>
                <c:pt idx="271">
                  <c:v>91142.557048333809</c:v>
                </c:pt>
                <c:pt idx="272">
                  <c:v>90447.654421957792</c:v>
                </c:pt>
                <c:pt idx="273">
                  <c:v>89746.960940361983</c:v>
                </c:pt>
                <c:pt idx="274">
                  <c:v>89040.428346419532</c:v>
                </c:pt>
                <c:pt idx="275">
                  <c:v>88328.007980860901</c:v>
                </c:pt>
                <c:pt idx="276">
                  <c:v>87609.650778922616</c:v>
                </c:pt>
                <c:pt idx="277">
                  <c:v>86885.307266968171</c:v>
                </c:pt>
                <c:pt idx="278">
                  <c:v>86154.927559080781</c:v>
                </c:pt>
                <c:pt idx="279">
                  <c:v>85418.461353627659</c:v>
                </c:pt>
                <c:pt idx="280">
                  <c:v>84675.857929795762</c:v>
                </c:pt>
                <c:pt idx="281">
                  <c:v>83927.0661440986</c:v>
                </c:pt>
                <c:pt idx="282">
                  <c:v>83172.034426853963</c:v>
                </c:pt>
                <c:pt idx="283">
                  <c:v>82410.710778632289</c:v>
                </c:pt>
                <c:pt idx="284">
                  <c:v>81643.042766675426</c:v>
                </c:pt>
                <c:pt idx="285">
                  <c:v>80868.977521285589</c:v>
                </c:pt>
                <c:pt idx="286">
                  <c:v>80088.461732184165</c:v>
                </c:pt>
                <c:pt idx="287">
                  <c:v>79301.441644840233</c:v>
                </c:pt>
                <c:pt idx="288">
                  <c:v>78507.863056768445</c:v>
                </c:pt>
                <c:pt idx="289">
                  <c:v>77707.671313796047</c:v>
                </c:pt>
                <c:pt idx="290">
                  <c:v>76900.811306298885</c:v>
                </c:pt>
                <c:pt idx="291">
                  <c:v>76087.227465405915</c:v>
                </c:pt>
                <c:pt idx="292">
                  <c:v>75266.863759172164</c:v>
                </c:pt>
                <c:pt idx="293">
                  <c:v>74439.663688719796</c:v>
                </c:pt>
                <c:pt idx="294">
                  <c:v>73605.570284346992</c:v>
                </c:pt>
                <c:pt idx="295">
                  <c:v>72764.526101604424</c:v>
                </c:pt>
                <c:pt idx="296">
                  <c:v>71916.473217338993</c:v>
                </c:pt>
                <c:pt idx="297">
                  <c:v>71061.35322570469</c:v>
                </c:pt>
                <c:pt idx="298">
                  <c:v>70199.107234140101</c:v>
                </c:pt>
                <c:pt idx="299">
                  <c:v>69329.675859312469</c:v>
                </c:pt>
                <c:pt idx="300">
                  <c:v>68452.999223027946</c:v>
                </c:pt>
                <c:pt idx="301">
                  <c:v>67569.016948107717</c:v>
                </c:pt>
                <c:pt idx="302">
                  <c:v>66677.668154229817</c:v>
                </c:pt>
                <c:pt idx="303">
                  <c:v>65778.891453736273</c:v>
                </c:pt>
                <c:pt idx="304">
                  <c:v>64872.624947405275</c:v>
                </c:pt>
                <c:pt idx="305">
                  <c:v>63958.806220188191</c:v>
                </c:pt>
                <c:pt idx="306">
                  <c:v>63037.372336910965</c:v>
                </c:pt>
                <c:pt idx="307">
                  <c:v>62108.25983793976</c:v>
                </c:pt>
                <c:pt idx="308">
                  <c:v>61171.404734810465</c:v>
                </c:pt>
                <c:pt idx="309">
                  <c:v>60226.742505821756</c:v>
                </c:pt>
                <c:pt idx="310">
                  <c:v>59274.20809159147</c:v>
                </c:pt>
                <c:pt idx="311">
                  <c:v>58313.735890575932</c:v>
                </c:pt>
                <c:pt idx="312">
                  <c:v>57345.259754551931</c:v>
                </c:pt>
                <c:pt idx="313">
                  <c:v>56368.712984061065</c:v>
                </c:pt>
                <c:pt idx="314">
                  <c:v>55384.028323816114</c:v>
                </c:pt>
                <c:pt idx="315">
                  <c:v>54391.137958069121</c:v>
                </c:pt>
                <c:pt idx="316">
                  <c:v>53389.973505940899</c:v>
                </c:pt>
                <c:pt idx="317">
                  <c:v>52380.466016711609</c:v>
                </c:pt>
                <c:pt idx="318">
                  <c:v>51362.545965072073</c:v>
                </c:pt>
                <c:pt idx="319">
                  <c:v>50336.143246335545</c:v>
                </c:pt>
                <c:pt idx="320">
                  <c:v>49301.187171609541</c:v>
                </c:pt>
                <c:pt idx="321">
                  <c:v>48257.606462927492</c:v>
                </c:pt>
                <c:pt idx="322">
                  <c:v>47205.32924833976</c:v>
                </c:pt>
                <c:pt idx="323">
                  <c:v>46144.283056963795</c:v>
                </c:pt>
                <c:pt idx="324">
                  <c:v>45074.394813993029</c:v>
                </c:pt>
                <c:pt idx="325">
                  <c:v>43995.590835664174</c:v>
                </c:pt>
                <c:pt idx="326">
                  <c:v>42907.79682418258</c:v>
                </c:pt>
                <c:pt idx="327">
                  <c:v>41810.937862605308</c:v>
                </c:pt>
                <c:pt idx="328">
                  <c:v>40704.938409681556</c:v>
                </c:pt>
                <c:pt idx="329">
                  <c:v>39589.722294650106</c:v>
                </c:pt>
                <c:pt idx="330">
                  <c:v>38465.212711993394</c:v>
                </c:pt>
                <c:pt idx="331">
                  <c:v>37331.332216147872</c:v>
                </c:pt>
                <c:pt idx="332">
                  <c:v>36188.002716170304</c:v>
                </c:pt>
                <c:pt idx="333">
                  <c:v>35035.145470359595</c:v>
                </c:pt>
                <c:pt idx="334">
                  <c:v>33872.681080833798</c:v>
                </c:pt>
                <c:pt idx="335">
                  <c:v>32700.529488061948</c:v>
                </c:pt>
                <c:pt idx="336">
                  <c:v>31518.609965350333</c:v>
                </c:pt>
                <c:pt idx="337">
                  <c:v>30326.84111328279</c:v>
                </c:pt>
                <c:pt idx="338">
                  <c:v>29125.140854114681</c:v>
                </c:pt>
                <c:pt idx="339">
                  <c:v>27913.426426120172</c:v>
                </c:pt>
                <c:pt idx="340">
                  <c:v>26691.614377892376</c:v>
                </c:pt>
                <c:pt idx="341">
                  <c:v>25459.620562596014</c:v>
                </c:pt>
                <c:pt idx="342">
                  <c:v>24217.360132172184</c:v>
                </c:pt>
                <c:pt idx="343">
                  <c:v>22964.747531494821</c:v>
                </c:pt>
                <c:pt idx="344">
                  <c:v>21701.696492478481</c:v>
                </c:pt>
                <c:pt idx="345">
                  <c:v>20428.120028137004</c:v>
                </c:pt>
                <c:pt idx="346">
                  <c:v>19143.93042659268</c:v>
                </c:pt>
                <c:pt idx="347">
                  <c:v>17849.039245035488</c:v>
                </c:pt>
                <c:pt idx="348">
                  <c:v>16543.357303631987</c:v>
                </c:pt>
                <c:pt idx="349">
                  <c:v>15226.794679383456</c:v>
                </c:pt>
                <c:pt idx="350">
                  <c:v>13899.260699932855</c:v>
                </c:pt>
                <c:pt idx="351">
                  <c:v>12560.663937320165</c:v>
                </c:pt>
                <c:pt idx="352">
                  <c:v>11210.912201685704</c:v>
                </c:pt>
                <c:pt idx="353">
                  <c:v>9849.9125349209535</c:v>
                </c:pt>
                <c:pt idx="354">
                  <c:v>8477.5712042664982</c:v>
                </c:pt>
                <c:pt idx="355">
                  <c:v>7093.7936958565888</c:v>
                </c:pt>
                <c:pt idx="356">
                  <c:v>5698.4847082099295</c:v>
                </c:pt>
                <c:pt idx="357">
                  <c:v>4291.5481456662155</c:v>
                </c:pt>
                <c:pt idx="358">
                  <c:v>2872.8871117679705</c:v>
                </c:pt>
                <c:pt idx="359">
                  <c:v>1442.4039025872401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3C-423D-88A9-C66604B70DCB}"/>
            </c:ext>
          </c:extLst>
        </c:ser>
        <c:ser>
          <c:idx val="1"/>
          <c:order val="1"/>
          <c:tx>
            <c:strRef>
              <c:f>'HELOC Amortization Schedule'!$I$5</c:f>
              <c:strCache>
                <c:ptCount val="1"/>
                <c:pt idx="0">
                  <c:v>cumulativePrincipal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'HELOC Amortization Schedule'!$A$6:$A$365</c:f>
              <c:numCache>
                <c:formatCode>General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'HELOC Amortization Schedule'!$I$6:$I$365</c:f>
              <c:numCache>
                <c:formatCode>"$"#,##0.00_);[Red]\("$"#,##0.00\)</c:formatCode>
                <c:ptCount val="360"/>
                <c:pt idx="0">
                  <c:v>73.317268445463242</c:v>
                </c:pt>
                <c:pt idx="1">
                  <c:v>147.245514127972</c:v>
                </c:pt>
                <c:pt idx="2">
                  <c:v>221.78982852450167</c:v>
                </c:pt>
                <c:pt idx="3">
                  <c:v>296.95534554100254</c:v>
                </c:pt>
                <c:pt idx="4">
                  <c:v>372.74724186597405</c:v>
                </c:pt>
                <c:pt idx="5">
                  <c:v>449.17073732698714</c:v>
                </c:pt>
                <c:pt idx="6">
                  <c:v>526.23109525017526</c:v>
                </c:pt>
                <c:pt idx="7">
                  <c:v>603.93362282272324</c:v>
                </c:pt>
                <c:pt idx="8">
                  <c:v>682.28367145837569</c:v>
                </c:pt>
                <c:pt idx="9">
                  <c:v>761.28663716599203</c:v>
                </c:pt>
                <c:pt idx="10">
                  <c:v>840.9479609211719</c:v>
                </c:pt>
                <c:pt idx="11">
                  <c:v>921.27312904097835</c:v>
                </c:pt>
                <c:pt idx="12">
                  <c:v>1002.2676735617831</c:v>
                </c:pt>
                <c:pt idx="13">
                  <c:v>1083.9371726202612</c:v>
                </c:pt>
                <c:pt idx="14">
                  <c:v>1166.2872508375599</c:v>
                </c:pt>
                <c:pt idx="15">
                  <c:v>1249.3235797066695</c:v>
                </c:pt>
                <c:pt idx="16">
                  <c:v>1333.0518779830218</c:v>
                </c:pt>
                <c:pt idx="17">
                  <c:v>1417.4779120783435</c:v>
                </c:pt>
                <c:pt idx="18">
                  <c:v>1502.6074964577929</c:v>
                </c:pt>
                <c:pt idx="19">
                  <c:v>1588.4464940404043</c:v>
                </c:pt>
                <c:pt idx="20">
                  <c:v>1675.0008166028708</c:v>
                </c:pt>
                <c:pt idx="21">
                  <c:v>1762.2764251866913</c:v>
                </c:pt>
                <c:pt idx="22">
                  <c:v>1850.2793305087102</c:v>
                </c:pt>
                <c:pt idx="23">
                  <c:v>1939.0155933750793</c:v>
                </c:pt>
                <c:pt idx="24">
                  <c:v>2028.4913250986683</c:v>
                </c:pt>
                <c:pt idx="25">
                  <c:v>2118.7126879199541</c:v>
                </c:pt>
                <c:pt idx="26">
                  <c:v>2209.6858954314171</c:v>
                </c:pt>
                <c:pt idx="27">
                  <c:v>2301.4172130054758</c:v>
                </c:pt>
                <c:pt idx="28">
                  <c:v>2393.9129582259848</c:v>
                </c:pt>
                <c:pt idx="29">
                  <c:v>2487.1795013233314</c:v>
                </c:pt>
                <c:pt idx="30">
                  <c:v>2581.2232656131564</c:v>
                </c:pt>
                <c:pt idx="31">
                  <c:v>2676.0507279387293</c:v>
                </c:pt>
                <c:pt idx="32">
                  <c:v>2771.6684191170157</c:v>
                </c:pt>
                <c:pt idx="33">
                  <c:v>2868.0829243884546</c:v>
                </c:pt>
                <c:pt idx="34">
                  <c:v>2965.3008838704886</c:v>
                </c:pt>
                <c:pt idx="35">
                  <c:v>3063.328993014873</c:v>
                </c:pt>
                <c:pt idx="36">
                  <c:v>3162.1740030687943</c:v>
                </c:pt>
                <c:pt idx="37">
                  <c:v>3261.8427215398315</c:v>
                </c:pt>
                <c:pt idx="38">
                  <c:v>3362.3420126647939</c:v>
                </c:pt>
                <c:pt idx="39">
                  <c:v>3463.6787978824641</c:v>
                </c:pt>
                <c:pt idx="40">
                  <c:v>3565.8600563102818</c:v>
                </c:pt>
                <c:pt idx="41">
                  <c:v>3668.892825224998</c:v>
                </c:pt>
                <c:pt idx="42">
                  <c:v>3772.7842005473367</c:v>
                </c:pt>
                <c:pt idx="43">
                  <c:v>3877.5413373306947</c:v>
                </c:pt>
                <c:pt idx="44">
                  <c:v>3983.1714502539144</c:v>
                </c:pt>
                <c:pt idx="45">
                  <c:v>4089.6818141181602</c:v>
                </c:pt>
                <c:pt idx="46">
                  <c:v>4197.0797643479418</c:v>
                </c:pt>
                <c:pt idx="47">
                  <c:v>4305.3726974963047</c:v>
                </c:pt>
                <c:pt idx="48">
                  <c:v>4414.5680717542373</c:v>
                </c:pt>
                <c:pt idx="49">
                  <c:v>4524.6734074643191</c:v>
                </c:pt>
                <c:pt idx="50">
                  <c:v>4635.6962876386515</c:v>
                </c:pt>
                <c:pt idx="51">
                  <c:v>4747.6443584811041</c:v>
                </c:pt>
                <c:pt idx="52">
                  <c:v>4860.5253299139104</c:v>
                </c:pt>
                <c:pt idx="53">
                  <c:v>4974.3469761086562</c:v>
                </c:pt>
                <c:pt idx="54">
                  <c:v>5089.1171360216922</c:v>
                </c:pt>
                <c:pt idx="55">
                  <c:v>5204.8437139340031</c:v>
                </c:pt>
                <c:pt idx="56">
                  <c:v>5321.5346799955832</c:v>
                </c:pt>
                <c:pt idx="57">
                  <c:v>5439.1980707743433</c:v>
                </c:pt>
                <c:pt idx="58">
                  <c:v>5557.8419898095926</c:v>
                </c:pt>
                <c:pt idx="59">
                  <c:v>5677.474608170136</c:v>
                </c:pt>
                <c:pt idx="60">
                  <c:v>5798.1041650170173</c:v>
                </c:pt>
                <c:pt idx="61">
                  <c:v>5919.7389681709556</c:v>
                </c:pt>
                <c:pt idx="62">
                  <c:v>6042.3873946845106</c:v>
                </c:pt>
                <c:pt idx="63">
                  <c:v>6166.0578914190119</c:v>
                </c:pt>
                <c:pt idx="64">
                  <c:v>6290.7589756263005</c:v>
                </c:pt>
                <c:pt idx="65">
                  <c:v>6416.499235535317</c:v>
                </c:pt>
                <c:pt idx="66">
                  <c:v>6543.2873309435745</c:v>
                </c:pt>
                <c:pt idx="67">
                  <c:v>6671.1319938135675</c:v>
                </c:pt>
                <c:pt idx="68">
                  <c:v>6800.0420288741443</c:v>
                </c:pt>
                <c:pt idx="69">
                  <c:v>6930.0263142268923</c:v>
                </c:pt>
                <c:pt idx="70">
                  <c:v>7061.0938019575797</c:v>
                </c:pt>
                <c:pt idx="71">
                  <c:v>7193.2535187526901</c:v>
                </c:pt>
                <c:pt idx="72">
                  <c:v>7326.514566521093</c:v>
                </c:pt>
                <c:pt idx="73">
                  <c:v>7460.8861230208986</c:v>
                </c:pt>
                <c:pt idx="74">
                  <c:v>7596.3774424915364</c:v>
                </c:pt>
                <c:pt idx="75">
                  <c:v>7732.9978562910965</c:v>
                </c:pt>
                <c:pt idx="76">
                  <c:v>7870.7567735389857</c:v>
                </c:pt>
                <c:pt idx="77">
                  <c:v>8009.663681763941</c:v>
                </c:pt>
                <c:pt idx="78">
                  <c:v>8149.7281475574373</c:v>
                </c:pt>
                <c:pt idx="79">
                  <c:v>8290.9598172325459</c:v>
                </c:pt>
                <c:pt idx="80">
                  <c:v>8433.3684174882801</c:v>
                </c:pt>
                <c:pt idx="81">
                  <c:v>8576.9637560794799</c:v>
                </c:pt>
                <c:pt idx="82">
                  <c:v>8721.755722492273</c:v>
                </c:pt>
                <c:pt idx="83">
                  <c:v>8867.7542886251722</c:v>
                </c:pt>
                <c:pt idx="84">
                  <c:v>9014.9695094758463</c:v>
                </c:pt>
                <c:pt idx="85">
                  <c:v>9163.411523833609</c:v>
                </c:pt>
                <c:pt idx="86">
                  <c:v>9313.0905549776853</c:v>
                </c:pt>
                <c:pt idx="87">
                  <c:v>9464.0169113812954</c:v>
                </c:pt>
                <c:pt idx="88">
                  <c:v>9616.2009874216037</c:v>
                </c:pt>
                <c:pt idx="89">
                  <c:v>9769.6532640955811</c:v>
                </c:pt>
                <c:pt idx="90">
                  <c:v>9924.3843097418412</c:v>
                </c:pt>
                <c:pt idx="91">
                  <c:v>10080.404780768487</c:v>
                </c:pt>
                <c:pt idx="92">
                  <c:v>10237.725422387022</c:v>
                </c:pt>
                <c:pt idx="93">
                  <c:v>10396.357069352378</c:v>
                </c:pt>
                <c:pt idx="94">
                  <c:v>10556.310646709111</c:v>
                </c:pt>
                <c:pt idx="95">
                  <c:v>10717.597170543817</c:v>
                </c:pt>
                <c:pt idx="96">
                  <c:v>10880.227748743813</c:v>
                </c:pt>
                <c:pt idx="97">
                  <c:v>11044.213581762142</c:v>
                </c:pt>
                <c:pt idx="98">
                  <c:v>11209.565963388957</c:v>
                </c:pt>
                <c:pt idx="99">
                  <c:v>11376.296281529329</c:v>
                </c:pt>
                <c:pt idx="100">
                  <c:v>11544.416018987537</c:v>
                </c:pt>
                <c:pt idx="101">
                  <c:v>11713.936754257897</c:v>
                </c:pt>
                <c:pt idx="102">
                  <c:v>11884.870162322177</c:v>
                </c:pt>
                <c:pt idx="103">
                  <c:v>12057.228015453658</c:v>
                </c:pt>
                <c:pt idx="104">
                  <c:v>12231.022184027903</c:v>
                </c:pt>
                <c:pt idx="105">
                  <c:v>12406.264637340266</c:v>
                </c:pt>
                <c:pt idx="106">
                  <c:v>12582.967444430233</c:v>
                </c:pt>
                <c:pt idx="107">
                  <c:v>12761.142774912616</c:v>
                </c:pt>
                <c:pt idx="108">
                  <c:v>12940.802899815684</c:v>
                </c:pt>
                <c:pt idx="109">
                  <c:v>13121.960192426279</c:v>
                </c:pt>
                <c:pt idx="110">
                  <c:v>13304.627129141962</c:v>
                </c:pt>
                <c:pt idx="111">
                  <c:v>13488.816290330275</c:v>
                </c:pt>
                <c:pt idx="112">
                  <c:v>13674.540361195157</c:v>
                </c:pt>
                <c:pt idx="113">
                  <c:v>13861.812132650581</c:v>
                </c:pt>
                <c:pt idx="114">
                  <c:v>14050.644502201467</c:v>
                </c:pt>
                <c:pt idx="115">
                  <c:v>14241.050474831944</c:v>
                </c:pt>
                <c:pt idx="116">
                  <c:v>14433.043163901008</c:v>
                </c:pt>
                <c:pt idx="117">
                  <c:v>14626.635792045647</c:v>
                </c:pt>
                <c:pt idx="118">
                  <c:v>14821.841692091491</c:v>
                </c:pt>
                <c:pt idx="119">
                  <c:v>15018.67430797105</c:v>
                </c:pt>
                <c:pt idx="120">
                  <c:v>15217.147195649606</c:v>
                </c:pt>
                <c:pt idx="121">
                  <c:v>15417.274024058817</c:v>
                </c:pt>
                <c:pt idx="122">
                  <c:v>15619.068576038106</c:v>
                </c:pt>
                <c:pt idx="123">
                  <c:v>15822.544749283887</c:v>
                </c:pt>
                <c:pt idx="124">
                  <c:v>16027.716557306716</c:v>
                </c:pt>
                <c:pt idx="125">
                  <c:v>16234.598130396404</c:v>
                </c:pt>
                <c:pt idx="126">
                  <c:v>16443.20371659517</c:v>
                </c:pt>
                <c:pt idx="127">
                  <c:v>16653.547682678927</c:v>
                </c:pt>
                <c:pt idx="128">
                  <c:v>16865.644515146716</c:v>
                </c:pt>
                <c:pt idx="129">
                  <c:v>17079.508821218402</c:v>
                </c:pt>
                <c:pt idx="130">
                  <c:v>17295.155329840687</c:v>
                </c:pt>
                <c:pt idx="131">
                  <c:v>17512.598892701491</c:v>
                </c:pt>
                <c:pt idx="132">
                  <c:v>17731.854485252799</c:v>
                </c:pt>
                <c:pt idx="133">
                  <c:v>17952.937207742038</c:v>
                </c:pt>
                <c:pt idx="134">
                  <c:v>18175.862286252017</c:v>
                </c:pt>
                <c:pt idx="135">
                  <c:v>18400.64507374958</c:v>
                </c:pt>
                <c:pt idx="136">
                  <c:v>18627.301051142957</c:v>
                </c:pt>
                <c:pt idx="137">
                  <c:v>18855.845828347945</c:v>
                </c:pt>
                <c:pt idx="138">
                  <c:v>19086.295145362976</c:v>
                </c:pt>
                <c:pt idx="139">
                  <c:v>19318.664873353133</c:v>
                </c:pt>
                <c:pt idx="140">
                  <c:v>19552.971015743205</c:v>
                </c:pt>
                <c:pt idx="141">
                  <c:v>19789.229709319861</c:v>
                </c:pt>
                <c:pt idx="142">
                  <c:v>20027.457225342991</c:v>
                </c:pt>
                <c:pt idx="143">
                  <c:v>20267.669970666313</c:v>
                </c:pt>
                <c:pt idx="144">
                  <c:v>20509.88448886733</c:v>
                </c:pt>
                <c:pt idx="145">
                  <c:v>20754.11746138669</c:v>
                </c:pt>
                <c:pt idx="146">
                  <c:v>21000.385708677044</c:v>
                </c:pt>
                <c:pt idx="147">
                  <c:v>21248.706191361482</c:v>
                </c:pt>
                <c:pt idx="148">
                  <c:v>21499.096011401623</c:v>
                </c:pt>
                <c:pt idx="149">
                  <c:v>21751.572413275433</c:v>
                </c:pt>
                <c:pt idx="150">
                  <c:v>22006.152785164857</c:v>
                </c:pt>
                <c:pt idx="151">
                  <c:v>22262.85466015336</c:v>
                </c:pt>
                <c:pt idx="152">
                  <c:v>22521.695717433435</c:v>
                </c:pt>
                <c:pt idx="153">
                  <c:v>22782.693783524177</c:v>
                </c:pt>
                <c:pt idx="154">
                  <c:v>23045.866833499007</c:v>
                </c:pt>
                <c:pt idx="155">
                  <c:v>23311.232992223628</c:v>
                </c:pt>
                <c:pt idx="156">
                  <c:v>23578.810535604287</c:v>
                </c:pt>
                <c:pt idx="157">
                  <c:v>23848.617891846454</c:v>
                </c:pt>
                <c:pt idx="158">
                  <c:v>24120.67364272397</c:v>
                </c:pt>
                <c:pt idx="159">
                  <c:v>24394.996524858801</c:v>
                </c:pt>
                <c:pt idx="160">
                  <c:v>24671.605431011423</c:v>
                </c:pt>
                <c:pt idx="161">
                  <c:v>24950.519411381982</c:v>
                </c:pt>
                <c:pt idx="162">
                  <c:v>25231.757674922294</c:v>
                </c:pt>
                <c:pt idx="163">
                  <c:v>25515.339590658776</c:v>
                </c:pt>
                <c:pt idx="164">
                  <c:v>25801.284689026397</c:v>
                </c:pt>
                <c:pt idx="165">
                  <c:v>26089.612663213749</c:v>
                </c:pt>
                <c:pt idx="166">
                  <c:v>26380.343370519327</c:v>
                </c:pt>
                <c:pt idx="167">
                  <c:v>26673.49683371912</c:v>
                </c:pt>
                <c:pt idx="168">
                  <c:v>26969.093242445575</c:v>
                </c:pt>
                <c:pt idx="169">
                  <c:v>27267.152954578087</c:v>
                </c:pt>
                <c:pt idx="170">
                  <c:v>27567.696497645033</c:v>
                </c:pt>
                <c:pt idx="171">
                  <c:v>27870.744570237537</c:v>
                </c:pt>
                <c:pt idx="172">
                  <c:v>28176.318043434982</c:v>
                </c:pt>
                <c:pt idx="173">
                  <c:v>28484.437962242402</c:v>
                </c:pt>
                <c:pt idx="174">
                  <c:v>28795.125547039886</c:v>
                </c:pt>
                <c:pt idx="175">
                  <c:v>29108.402195044015</c:v>
                </c:pt>
                <c:pt idx="176">
                  <c:v>29424.28948178151</c:v>
                </c:pt>
                <c:pt idx="177">
                  <c:v>29742.809162575155</c:v>
                </c:pt>
                <c:pt idx="178">
                  <c:v>30063.983174042078</c:v>
                </c:pt>
                <c:pt idx="179">
                  <c:v>30387.833635604558</c:v>
                </c:pt>
                <c:pt idx="180">
                  <c:v>30714.382851013394</c:v>
                </c:pt>
                <c:pt idx="181">
                  <c:v>31043.653309883968</c:v>
                </c:pt>
                <c:pt idx="182">
                  <c:v>31375.667689245132</c:v>
                </c:pt>
                <c:pt idx="183">
                  <c:v>31710.448855100971</c:v>
                </c:pt>
                <c:pt idx="184">
                  <c:v>32048.019864005608</c:v>
                </c:pt>
                <c:pt idx="185">
                  <c:v>32388.403964651119</c:v>
                </c:pt>
                <c:pt idx="186">
                  <c:v>32731.624599468676</c:v>
                </c:pt>
                <c:pt idx="187">
                  <c:v>33077.705406243047</c:v>
                </c:pt>
                <c:pt idx="188">
                  <c:v>33426.670219740539</c:v>
                </c:pt>
                <c:pt idx="189">
                  <c:v>33778.543073350505</c:v>
                </c:pt>
                <c:pt idx="190">
                  <c:v>34133.348200740555</c:v>
                </c:pt>
                <c:pt idx="191">
                  <c:v>34491.110037525519</c:v>
                </c:pt>
                <c:pt idx="192">
                  <c:v>34851.853222950362</c:v>
                </c:pt>
                <c:pt idx="193">
                  <c:v>35215.602601587081</c:v>
                </c:pt>
                <c:pt idx="194">
                  <c:v>35582.383225045771</c:v>
                </c:pt>
                <c:pt idx="195">
                  <c:v>35952.220353699951</c:v>
                </c:pt>
                <c:pt idx="196">
                  <c:v>36325.139458426245</c:v>
                </c:pt>
                <c:pt idx="197">
                  <c:v>36701.166222358595</c:v>
                </c:pt>
                <c:pt idx="198">
                  <c:v>37080.326542657051</c:v>
                </c:pt>
                <c:pt idx="199">
                  <c:v>37462.646532291321</c:v>
                </c:pt>
                <c:pt idx="200">
                  <c:v>37848.152521839213</c:v>
                </c:pt>
                <c:pt idx="201">
                  <c:v>38236.8710613</c:v>
                </c:pt>
                <c:pt idx="202">
                  <c:v>38628.828921922963</c:v>
                </c:pt>
                <c:pt idx="203">
                  <c:v>39024.053098051118</c:v>
                </c:pt>
                <c:pt idx="204">
                  <c:v>39422.570808980337</c:v>
                </c:pt>
                <c:pt idx="205">
                  <c:v>39824.409500833972</c:v>
                </c:pt>
                <c:pt idx="206">
                  <c:v>40229.596848453053</c:v>
                </c:pt>
                <c:pt idx="207">
                  <c:v>40638.160757302292</c:v>
                </c:pt>
                <c:pt idx="208">
                  <c:v>41050.129365391942</c:v>
                </c:pt>
                <c:pt idx="209">
                  <c:v>41465.53104521567</c:v>
                </c:pt>
                <c:pt idx="210">
                  <c:v>41884.394405704596</c:v>
                </c:pt>
                <c:pt idx="211">
                  <c:v>42306.748294197598</c:v>
                </c:pt>
                <c:pt idx="212">
                  <c:v>42732.621798428045</c:v>
                </c:pt>
                <c:pt idx="213">
                  <c:v>43162.044248527076</c:v>
                </c:pt>
                <c:pt idx="214">
                  <c:v>43595.045219043597</c:v>
                </c:pt>
                <c:pt idx="215">
                  <c:v>44031.65453098109</c:v>
                </c:pt>
                <c:pt idx="216">
                  <c:v>44471.902253851396</c:v>
                </c:pt>
                <c:pt idx="217">
                  <c:v>44915.818707745624</c:v>
                </c:pt>
                <c:pt idx="218">
                  <c:v>45363.434465422302</c:v>
                </c:pt>
                <c:pt idx="219">
                  <c:v>45814.780354412949</c:v>
                </c:pt>
                <c:pt idx="220">
                  <c:v>46269.887459145189</c:v>
                </c:pt>
                <c:pt idx="221">
                  <c:v>46728.78712308353</c:v>
                </c:pt>
                <c:pt idx="222">
                  <c:v>47191.51095088802</c:v>
                </c:pt>
                <c:pt idx="223">
                  <c:v>47658.090810590882</c:v>
                </c:pt>
                <c:pt idx="224">
                  <c:v>48128.558835791271</c:v>
                </c:pt>
                <c:pt idx="225">
                  <c:v>48602.947427868326</c:v>
                </c:pt>
                <c:pt idx="226">
                  <c:v>49081.289258212695</c:v>
                </c:pt>
                <c:pt idx="227">
                  <c:v>49563.6172704766</c:v>
                </c:pt>
                <c:pt idx="228">
                  <c:v>50049.964682842699</c:v>
                </c:pt>
                <c:pt idx="229">
                  <c:v>50540.364990311849</c:v>
                </c:pt>
                <c:pt idx="230">
                  <c:v>51034.851967009912</c:v>
                </c:pt>
                <c:pt idx="231">
                  <c:v>51533.459668513795</c:v>
                </c:pt>
                <c:pt idx="232">
                  <c:v>52036.222434196876</c:v>
                </c:pt>
                <c:pt idx="233">
                  <c:v>52543.174889593982</c:v>
                </c:pt>
                <c:pt idx="234">
                  <c:v>53054.351948786061</c:v>
                </c:pt>
                <c:pt idx="235">
                  <c:v>53569.788816804743</c:v>
                </c:pt>
                <c:pt idx="236">
                  <c:v>54089.52099205691</c:v>
                </c:pt>
                <c:pt idx="237">
                  <c:v>54613.584268769511</c:v>
                </c:pt>
                <c:pt idx="238">
                  <c:v>55142.014739454724</c:v>
                </c:pt>
                <c:pt idx="239">
                  <c:v>55674.848797395643</c:v>
                </c:pt>
                <c:pt idx="240">
                  <c:v>56212.12313915274</c:v>
                </c:pt>
                <c:pt idx="241">
                  <c:v>56753.87476709114</c:v>
                </c:pt>
                <c:pt idx="242">
                  <c:v>57300.140991929031</c:v>
                </c:pt>
                <c:pt idx="243">
                  <c:v>57850.959435307239</c:v>
                </c:pt>
                <c:pt idx="244">
                  <c:v>58406.368032380262</c:v>
                </c:pt>
                <c:pt idx="245">
                  <c:v>58966.405034428892</c:v>
                </c:pt>
                <c:pt idx="246">
                  <c:v>59531.109011494598</c:v>
                </c:pt>
                <c:pt idx="247">
                  <c:v>60100.518855035851</c:v>
                </c:pt>
                <c:pt idx="248">
                  <c:v>60674.673780606616</c:v>
                </c:pt>
                <c:pt idx="249">
                  <c:v>61253.613330557135</c:v>
                </c:pt>
                <c:pt idx="250">
                  <c:v>61837.377376757242</c:v>
                </c:pt>
                <c:pt idx="251">
                  <c:v>62426.006123342348</c:v>
                </c:pt>
                <c:pt idx="252">
                  <c:v>63019.540109482332</c:v>
                </c:pt>
                <c:pt idx="253">
                  <c:v>63618.020212173484</c:v>
                </c:pt>
                <c:pt idx="254">
                  <c:v>64221.487649053728</c:v>
                </c:pt>
                <c:pt idx="255">
                  <c:v>64829.983981241305</c:v>
                </c:pt>
                <c:pt idx="256">
                  <c:v>65443.551116197115</c:v>
                </c:pt>
                <c:pt idx="257">
                  <c:v>66062.231310610892</c:v>
                </c:pt>
                <c:pt idx="258">
                  <c:v>66686.067173311443</c:v>
                </c:pt>
                <c:pt idx="259">
                  <c:v>67315.101668201169</c:v>
                </c:pt>
                <c:pt idx="260">
                  <c:v>67949.378117214976</c:v>
                </c:pt>
                <c:pt idx="261">
                  <c:v>68588.940203303893</c:v>
                </c:pt>
                <c:pt idx="262">
                  <c:v>69233.83197344355</c:v>
                </c:pt>
                <c:pt idx="263">
                  <c:v>69884.09784166771</c:v>
                </c:pt>
                <c:pt idx="264">
                  <c:v>70539.782592127071</c:v>
                </c:pt>
                <c:pt idx="265">
                  <c:v>71200.9313821736</c:v>
                </c:pt>
                <c:pt idx="266">
                  <c:v>71867.589745470512</c:v>
                </c:pt>
                <c:pt idx="267">
                  <c:v>72539.803595128236</c:v>
                </c:pt>
                <c:pt idx="268">
                  <c:v>73217.619226866431</c:v>
                </c:pt>
                <c:pt idx="269">
                  <c:v>73901.083322202452</c:v>
                </c:pt>
                <c:pt idx="270">
                  <c:v>74590.242951666267</c:v>
                </c:pt>
                <c:pt idx="271">
                  <c:v>75285.145578042284</c:v>
                </c:pt>
                <c:pt idx="272">
                  <c:v>75985.839059638092</c:v>
                </c:pt>
                <c:pt idx="273">
                  <c:v>76692.371653580543</c:v>
                </c:pt>
                <c:pt idx="274">
                  <c:v>77404.792019139175</c:v>
                </c:pt>
                <c:pt idx="275">
                  <c:v>78123.14922107746</c:v>
                </c:pt>
                <c:pt idx="276">
                  <c:v>78847.492733031904</c:v>
                </c:pt>
                <c:pt idx="277">
                  <c:v>79577.872440919295</c:v>
                </c:pt>
                <c:pt idx="278">
                  <c:v>80314.338646372416</c:v>
                </c:pt>
                <c:pt idx="279">
                  <c:v>81056.942070204313</c:v>
                </c:pt>
                <c:pt idx="280">
                  <c:v>81805.733855901475</c:v>
                </c:pt>
                <c:pt idx="281">
                  <c:v>82560.765573146113</c:v>
                </c:pt>
                <c:pt idx="282">
                  <c:v>83322.089221367787</c:v>
                </c:pt>
                <c:pt idx="283">
                  <c:v>84089.75723332465</c:v>
                </c:pt>
                <c:pt idx="284">
                  <c:v>84863.822478714486</c:v>
                </c:pt>
                <c:pt idx="285">
                  <c:v>85644.338267815911</c:v>
                </c:pt>
                <c:pt idx="286">
                  <c:v>86431.358355159842</c:v>
                </c:pt>
                <c:pt idx="287">
                  <c:v>87224.936943231631</c:v>
                </c:pt>
                <c:pt idx="288">
                  <c:v>88025.128686204029</c:v>
                </c:pt>
                <c:pt idx="289">
                  <c:v>88831.988693701191</c:v>
                </c:pt>
                <c:pt idx="290">
                  <c:v>89645.572534594161</c:v>
                </c:pt>
                <c:pt idx="291">
                  <c:v>90465.936240827912</c:v>
                </c:pt>
                <c:pt idx="292">
                  <c:v>91293.136311280279</c:v>
                </c:pt>
                <c:pt idx="293">
                  <c:v>92127.229715653084</c:v>
                </c:pt>
                <c:pt idx="294">
                  <c:v>92968.273898395651</c:v>
                </c:pt>
                <c:pt idx="295">
                  <c:v>93816.326782661083</c:v>
                </c:pt>
                <c:pt idx="296">
                  <c:v>94671.446774295386</c:v>
                </c:pt>
                <c:pt idx="297">
                  <c:v>95533.692765859974</c:v>
                </c:pt>
                <c:pt idx="298">
                  <c:v>96403.124140687607</c:v>
                </c:pt>
                <c:pt idx="299">
                  <c:v>97279.80077697213</c:v>
                </c:pt>
                <c:pt idx="300">
                  <c:v>98163.783051892358</c:v>
                </c:pt>
                <c:pt idx="301">
                  <c:v>99055.131845770258</c:v>
                </c:pt>
                <c:pt idx="302">
                  <c:v>99953.908546263803</c:v>
                </c:pt>
                <c:pt idx="303">
                  <c:v>100860.1750525948</c:v>
                </c:pt>
                <c:pt idx="304">
                  <c:v>101773.99377981189</c:v>
                </c:pt>
                <c:pt idx="305">
                  <c:v>102695.42766308913</c:v>
                </c:pt>
                <c:pt idx="306">
                  <c:v>103624.54016206034</c:v>
                </c:pt>
                <c:pt idx="307">
                  <c:v>104561.39526518964</c:v>
                </c:pt>
                <c:pt idx="308">
                  <c:v>105506.05749417836</c:v>
                </c:pt>
                <c:pt idx="309">
                  <c:v>106458.59190840863</c:v>
                </c:pt>
                <c:pt idx="310">
                  <c:v>107419.06410942417</c:v>
                </c:pt>
                <c:pt idx="311">
                  <c:v>108387.54024544817</c:v>
                </c:pt>
                <c:pt idx="312">
                  <c:v>109364.08701593903</c:v>
                </c:pt>
                <c:pt idx="313">
                  <c:v>110348.77167618398</c:v>
                </c:pt>
                <c:pt idx="314">
                  <c:v>111341.66204193098</c:v>
                </c:pt>
                <c:pt idx="315">
                  <c:v>112342.82649405919</c:v>
                </c:pt>
                <c:pt idx="316">
                  <c:v>113352.33398328848</c:v>
                </c:pt>
                <c:pt idx="317">
                  <c:v>114370.25403492802</c:v>
                </c:pt>
                <c:pt idx="318">
                  <c:v>115396.65675366455</c:v>
                </c:pt>
                <c:pt idx="319">
                  <c:v>116431.61282839054</c:v>
                </c:pt>
                <c:pt idx="320">
                  <c:v>117475.1935370726</c:v>
                </c:pt>
                <c:pt idx="321">
                  <c:v>118527.47075166034</c:v>
                </c:pt>
                <c:pt idx="322">
                  <c:v>119588.5169430363</c:v>
                </c:pt>
                <c:pt idx="323">
                  <c:v>120658.40518600706</c:v>
                </c:pt>
                <c:pt idx="324">
                  <c:v>121737.20916433592</c:v>
                </c:pt>
                <c:pt idx="325">
                  <c:v>122825.00317581752</c:v>
                </c:pt>
                <c:pt idx="326">
                  <c:v>123921.8621373948</c:v>
                </c:pt>
                <c:pt idx="327">
                  <c:v>125027.86159031856</c:v>
                </c:pt>
                <c:pt idx="328">
                  <c:v>126143.07770535001</c:v>
                </c:pt>
                <c:pt idx="329">
                  <c:v>127267.58728800672</c:v>
                </c:pt>
                <c:pt idx="330">
                  <c:v>128401.46778385223</c:v>
                </c:pt>
                <c:pt idx="331">
                  <c:v>129544.7972838298</c:v>
                </c:pt>
                <c:pt idx="332">
                  <c:v>130697.65452964051</c:v>
                </c:pt>
                <c:pt idx="333">
                  <c:v>131860.1189191663</c:v>
                </c:pt>
                <c:pt idx="334">
                  <c:v>133032.27051193814</c:v>
                </c:pt>
                <c:pt idx="335">
                  <c:v>134214.19003464974</c:v>
                </c:pt>
                <c:pt idx="336">
                  <c:v>135405.9588867173</c:v>
                </c:pt>
                <c:pt idx="337">
                  <c:v>136607.65914588541</c:v>
                </c:pt>
                <c:pt idx="338">
                  <c:v>137819.37357387992</c:v>
                </c:pt>
                <c:pt idx="339">
                  <c:v>139041.1856221077</c:v>
                </c:pt>
                <c:pt idx="340">
                  <c:v>140273.17943740406</c:v>
                </c:pt>
                <c:pt idx="341">
                  <c:v>141515.4398678279</c:v>
                </c:pt>
                <c:pt idx="342">
                  <c:v>142768.05246850525</c:v>
                </c:pt>
                <c:pt idx="343">
                  <c:v>144031.10350752159</c:v>
                </c:pt>
                <c:pt idx="344">
                  <c:v>145304.67997186308</c:v>
                </c:pt>
                <c:pt idx="345">
                  <c:v>146588.8695734074</c:v>
                </c:pt>
                <c:pt idx="346">
                  <c:v>147883.76075496458</c:v>
                </c:pt>
                <c:pt idx="347">
                  <c:v>149189.44269636809</c:v>
                </c:pt>
                <c:pt idx="348">
                  <c:v>150506.00532061662</c:v>
                </c:pt>
                <c:pt idx="349">
                  <c:v>151833.53930006723</c:v>
                </c:pt>
                <c:pt idx="350">
                  <c:v>153172.13606267993</c:v>
                </c:pt>
                <c:pt idx="351">
                  <c:v>154521.88779831439</c:v>
                </c:pt>
                <c:pt idx="352">
                  <c:v>155882.88746507914</c:v>
                </c:pt>
                <c:pt idx="353">
                  <c:v>157255.22879573359</c:v>
                </c:pt>
                <c:pt idx="354">
                  <c:v>158639.00630414349</c:v>
                </c:pt>
                <c:pt idx="355">
                  <c:v>160034.31529179015</c:v>
                </c:pt>
                <c:pt idx="356">
                  <c:v>161441.25185433385</c:v>
                </c:pt>
                <c:pt idx="357">
                  <c:v>162859.91288823209</c:v>
                </c:pt>
                <c:pt idx="358">
                  <c:v>164290.39609741283</c:v>
                </c:pt>
                <c:pt idx="359">
                  <c:v>165732.80000000339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3C-423D-88A9-C66604B70DCB}"/>
            </c:ext>
          </c:extLst>
        </c:ser>
        <c:ser>
          <c:idx val="2"/>
          <c:order val="2"/>
          <c:tx>
            <c:strRef>
              <c:f>'HELOC Amortization Schedule'!$J$5</c:f>
              <c:strCache>
                <c:ptCount val="1"/>
                <c:pt idx="0">
                  <c:v>cumulativeInterest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'HELOC Amortization Schedule'!$A$6:$A$365</c:f>
              <c:numCache>
                <c:formatCode>General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'HELOC Amortization Schedule'!$J$6:$J$365</c:f>
              <c:numCache>
                <c:formatCode>"$"#,##0.00_);[Red]\("$"#,##0.00\)</c:formatCode>
                <c:ptCount val="360"/>
                <c:pt idx="0">
                  <c:v>1381.106666666667</c:v>
                </c:pt>
                <c:pt idx="1">
                  <c:v>2761.6023560962885</c:v>
                </c:pt>
                <c:pt idx="2">
                  <c:v>4141.4819768118887</c:v>
                </c:pt>
                <c:pt idx="3">
                  <c:v>5520.7403949075178</c:v>
                </c:pt>
                <c:pt idx="4">
                  <c:v>6899.3724336946761</c:v>
                </c:pt>
                <c:pt idx="5">
                  <c:v>8277.3728733457938</c:v>
                </c:pt>
                <c:pt idx="6">
                  <c:v>9654.7364505347359</c:v>
                </c:pt>
                <c:pt idx="7">
                  <c:v>11031.457858074318</c:v>
                </c:pt>
                <c:pt idx="8">
                  <c:v>12407.531744550795</c:v>
                </c:pt>
                <c:pt idx="9">
                  <c:v>13782.95271395531</c:v>
                </c:pt>
                <c:pt idx="10">
                  <c:v>15157.71532531226</c:v>
                </c:pt>
                <c:pt idx="11">
                  <c:v>16531.814092304583</c:v>
                </c:pt>
                <c:pt idx="12">
                  <c:v>17905.243482895909</c:v>
                </c:pt>
                <c:pt idx="13">
                  <c:v>19277.997918949561</c:v>
                </c:pt>
                <c:pt idx="14">
                  <c:v>20650.071775844393</c:v>
                </c:pt>
                <c:pt idx="15">
                  <c:v>22021.459382087414</c:v>
                </c:pt>
                <c:pt idx="16">
                  <c:v>23392.155018923193</c:v>
                </c:pt>
                <c:pt idx="17">
                  <c:v>24762.152919940003</c:v>
                </c:pt>
                <c:pt idx="18">
                  <c:v>26131.447270672685</c:v>
                </c:pt>
                <c:pt idx="19">
                  <c:v>27500.032208202203</c:v>
                </c:pt>
                <c:pt idx="20">
                  <c:v>28867.901820751867</c:v>
                </c:pt>
                <c:pt idx="21">
                  <c:v>30235.050147280177</c:v>
                </c:pt>
                <c:pt idx="22">
                  <c:v>31601.471177070289</c:v>
                </c:pt>
                <c:pt idx="23">
                  <c:v>32967.158849316053</c:v>
                </c:pt>
                <c:pt idx="24">
                  <c:v>34332.107052704596</c:v>
                </c:pt>
                <c:pt idx="25">
                  <c:v>35696.30962499544</c:v>
                </c:pt>
                <c:pt idx="26">
                  <c:v>37059.760352596109</c:v>
                </c:pt>
                <c:pt idx="27">
                  <c:v>38422.452970134182</c:v>
                </c:pt>
                <c:pt idx="28">
                  <c:v>39784.381160025805</c:v>
                </c:pt>
                <c:pt idx="29">
                  <c:v>41145.538552040591</c:v>
                </c:pt>
                <c:pt idx="30">
                  <c:v>42505.918722862894</c:v>
                </c:pt>
                <c:pt idx="31">
                  <c:v>43865.515195649452</c:v>
                </c:pt>
                <c:pt idx="32">
                  <c:v>45224.321439583298</c:v>
                </c:pt>
                <c:pt idx="33">
                  <c:v>46582.330869423989</c:v>
                </c:pt>
                <c:pt idx="34">
                  <c:v>47939.536845054085</c:v>
                </c:pt>
                <c:pt idx="35">
                  <c:v>49295.93267102183</c:v>
                </c:pt>
                <c:pt idx="36">
                  <c:v>50651.511596080039</c:v>
                </c:pt>
                <c:pt idx="37">
                  <c:v>52006.266812721136</c:v>
                </c:pt>
                <c:pt idx="38">
                  <c:v>53360.191456708308</c:v>
                </c:pt>
                <c:pt idx="39">
                  <c:v>54713.278606602769</c:v>
                </c:pt>
                <c:pt idx="40">
                  <c:v>56065.521283287082</c:v>
                </c:pt>
                <c:pt idx="41">
                  <c:v>57416.912449484495</c:v>
                </c:pt>
                <c:pt idx="42">
                  <c:v>58767.445009274285</c:v>
                </c:pt>
                <c:pt idx="43">
                  <c:v>60117.111807603054</c:v>
                </c:pt>
                <c:pt idx="44">
                  <c:v>61465.905629791967</c:v>
                </c:pt>
                <c:pt idx="45">
                  <c:v>62813.819201039849</c:v>
                </c:pt>
                <c:pt idx="46">
                  <c:v>64160.845185922197</c:v>
                </c:pt>
                <c:pt idx="47">
                  <c:v>65506.976187885964</c:v>
                </c:pt>
                <c:pt idx="48">
                  <c:v>66852.204748740158</c:v>
                </c:pt>
                <c:pt idx="49">
                  <c:v>68196.523348142204</c:v>
                </c:pt>
                <c:pt idx="50">
                  <c:v>69539.924403080004</c:v>
                </c:pt>
                <c:pt idx="51">
                  <c:v>70882.400267349687</c:v>
                </c:pt>
                <c:pt idx="52">
                  <c:v>72223.943231029014</c:v>
                </c:pt>
                <c:pt idx="53">
                  <c:v>73564.545519946405</c:v>
                </c:pt>
                <c:pt idx="54">
                  <c:v>74904.199295145503</c:v>
                </c:pt>
                <c:pt idx="55">
                  <c:v>76242.896652345327</c:v>
                </c:pt>
                <c:pt idx="56">
                  <c:v>77580.62962139587</c:v>
                </c:pt>
                <c:pt idx="57">
                  <c:v>78917.390165729244</c:v>
                </c:pt>
                <c:pt idx="58">
                  <c:v>80253.170181806126</c:v>
                </c:pt>
                <c:pt idx="59">
                  <c:v>81587.961498557706</c:v>
                </c:pt>
                <c:pt idx="60">
                  <c:v>82921.75587682295</c:v>
                </c:pt>
                <c:pt idx="61">
                  <c:v>84254.545008781148</c:v>
                </c:pt>
                <c:pt idx="62">
                  <c:v>85586.320517379718</c:v>
                </c:pt>
                <c:pt idx="63">
                  <c:v>86917.07395575734</c:v>
                </c:pt>
                <c:pt idx="64">
                  <c:v>88246.796806662183</c:v>
                </c:pt>
                <c:pt idx="65">
                  <c:v>89575.480481865292</c:v>
                </c:pt>
                <c:pt idx="66">
                  <c:v>90903.116321569163</c:v>
                </c:pt>
                <c:pt idx="67">
                  <c:v>92229.695593811295</c:v>
                </c:pt>
                <c:pt idx="68">
                  <c:v>93555.209493862843</c:v>
                </c:pt>
                <c:pt idx="69">
                  <c:v>94879.649143622228</c:v>
                </c:pt>
                <c:pt idx="70">
                  <c:v>96203.005591003675</c:v>
                </c:pt>
                <c:pt idx="71">
                  <c:v>97525.2698093207</c:v>
                </c:pt>
                <c:pt idx="72">
                  <c:v>98846.432696664429</c:v>
                </c:pt>
                <c:pt idx="73">
                  <c:v>100166.48507527675</c:v>
                </c:pt>
                <c:pt idx="74">
                  <c:v>101485.41769091824</c:v>
                </c:pt>
                <c:pt idx="75">
                  <c:v>102803.22121223081</c:v>
                </c:pt>
                <c:pt idx="76">
                  <c:v>104119.88623009506</c:v>
                </c:pt>
                <c:pt idx="77">
                  <c:v>105435.40325698223</c:v>
                </c:pt>
                <c:pt idx="78">
                  <c:v>106749.76272630086</c:v>
                </c:pt>
                <c:pt idx="79">
                  <c:v>108062.95499173789</c:v>
                </c:pt>
                <c:pt idx="80">
                  <c:v>109374.97032659428</c:v>
                </c:pt>
                <c:pt idx="81">
                  <c:v>110685.79892311522</c:v>
                </c:pt>
                <c:pt idx="82">
                  <c:v>111995.43089181455</c:v>
                </c:pt>
                <c:pt idx="83">
                  <c:v>113303.85626079378</c:v>
                </c:pt>
                <c:pt idx="84">
                  <c:v>114611.06497505524</c:v>
                </c:pt>
                <c:pt idx="85">
                  <c:v>115917.0468958096</c:v>
                </c:pt>
                <c:pt idx="86">
                  <c:v>117221.79179977765</c:v>
                </c:pt>
                <c:pt idx="87">
                  <c:v>118525.28937848617</c:v>
                </c:pt>
                <c:pt idx="88">
                  <c:v>119827.52923755799</c:v>
                </c:pt>
                <c:pt idx="89">
                  <c:v>121128.50089599614</c:v>
                </c:pt>
                <c:pt idx="90">
                  <c:v>122428.193785462</c:v>
                </c:pt>
                <c:pt idx="91">
                  <c:v>123726.59724954749</c:v>
                </c:pt>
                <c:pt idx="92">
                  <c:v>125023.70054304108</c:v>
                </c:pt>
                <c:pt idx="93">
                  <c:v>126319.49283118785</c:v>
                </c:pt>
                <c:pt idx="94">
                  <c:v>127613.96318894325</c:v>
                </c:pt>
                <c:pt idx="95">
                  <c:v>128907.10060022067</c:v>
                </c:pt>
                <c:pt idx="96">
                  <c:v>130198.89395713281</c:v>
                </c:pt>
                <c:pt idx="97">
                  <c:v>131489.33205922661</c:v>
                </c:pt>
                <c:pt idx="98">
                  <c:v>132778.40361271193</c:v>
                </c:pt>
                <c:pt idx="99">
                  <c:v>134066.09722968368</c:v>
                </c:pt>
                <c:pt idx="100">
                  <c:v>135352.40142733761</c:v>
                </c:pt>
                <c:pt idx="101">
                  <c:v>136637.30462717937</c:v>
                </c:pt>
                <c:pt idx="102">
                  <c:v>137920.79515422723</c:v>
                </c:pt>
                <c:pt idx="103">
                  <c:v>139202.86123620789</c:v>
                </c:pt>
                <c:pt idx="104">
                  <c:v>140483.49100274578</c:v>
                </c:pt>
                <c:pt idx="105">
                  <c:v>141762.67248454556</c:v>
                </c:pt>
                <c:pt idx="106">
                  <c:v>143040.39361256771</c:v>
                </c:pt>
                <c:pt idx="107">
                  <c:v>144316.64221719746</c:v>
                </c:pt>
                <c:pt idx="108">
                  <c:v>145591.40602740651</c:v>
                </c:pt>
                <c:pt idx="109">
                  <c:v>146864.67266990806</c:v>
                </c:pt>
                <c:pt idx="110">
                  <c:v>148136.42966830451</c:v>
                </c:pt>
                <c:pt idx="111">
                  <c:v>149406.66444222833</c:v>
                </c:pt>
                <c:pt idx="112">
                  <c:v>150675.36430647559</c:v>
                </c:pt>
                <c:pt idx="113">
                  <c:v>151942.51647013231</c:v>
                </c:pt>
                <c:pt idx="114">
                  <c:v>153208.10803569356</c:v>
                </c:pt>
                <c:pt idx="115">
                  <c:v>154472.12599817521</c:v>
                </c:pt>
                <c:pt idx="116">
                  <c:v>155734.55724421827</c:v>
                </c:pt>
                <c:pt idx="117">
                  <c:v>156995.38855118575</c:v>
                </c:pt>
                <c:pt idx="118">
                  <c:v>158254.60658625205</c:v>
                </c:pt>
                <c:pt idx="119">
                  <c:v>159512.19790548462</c:v>
                </c:pt>
                <c:pt idx="120">
                  <c:v>160768.14895291819</c:v>
                </c:pt>
                <c:pt idx="121">
                  <c:v>162022.44605962111</c:v>
                </c:pt>
                <c:pt idx="122">
                  <c:v>163275.07544275397</c:v>
                </c:pt>
                <c:pt idx="123">
                  <c:v>164526.02320462032</c:v>
                </c:pt>
                <c:pt idx="124">
                  <c:v>165775.27533170962</c:v>
                </c:pt>
                <c:pt idx="125">
                  <c:v>167022.81769373207</c:v>
                </c:pt>
                <c:pt idx="126">
                  <c:v>168268.63604264543</c:v>
                </c:pt>
                <c:pt idx="127">
                  <c:v>169512.71601167379</c:v>
                </c:pt>
                <c:pt idx="128">
                  <c:v>170755.04311431813</c:v>
                </c:pt>
                <c:pt idx="129">
                  <c:v>171995.60274335858</c:v>
                </c:pt>
                <c:pt idx="130">
                  <c:v>173234.38016984842</c:v>
                </c:pt>
                <c:pt idx="131">
                  <c:v>174471.36054209975</c:v>
                </c:pt>
                <c:pt idx="132">
                  <c:v>175706.52888466057</c:v>
                </c:pt>
                <c:pt idx="133">
                  <c:v>176939.87009728345</c:v>
                </c:pt>
                <c:pt idx="134">
                  <c:v>178171.3689538856</c:v>
                </c:pt>
                <c:pt idx="135">
                  <c:v>179401.01010150017</c:v>
                </c:pt>
                <c:pt idx="136">
                  <c:v>180628.77805921892</c:v>
                </c:pt>
                <c:pt idx="137">
                  <c:v>181854.65721712608</c:v>
                </c:pt>
                <c:pt idx="138">
                  <c:v>183078.63183522318</c:v>
                </c:pt>
                <c:pt idx="139">
                  <c:v>184300.68604234516</c:v>
                </c:pt>
                <c:pt idx="140">
                  <c:v>185520.80383506723</c:v>
                </c:pt>
                <c:pt idx="141">
                  <c:v>186738.96907660269</c:v>
                </c:pt>
                <c:pt idx="142">
                  <c:v>187955.1654956917</c:v>
                </c:pt>
                <c:pt idx="143">
                  <c:v>189169.3766854805</c:v>
                </c:pt>
                <c:pt idx="144">
                  <c:v>190381.58610239162</c:v>
                </c:pt>
                <c:pt idx="145">
                  <c:v>191591.7770649844</c:v>
                </c:pt>
                <c:pt idx="146">
                  <c:v>192799.93275280617</c:v>
                </c:pt>
                <c:pt idx="147">
                  <c:v>194006.03620523386</c:v>
                </c:pt>
                <c:pt idx="148">
                  <c:v>195210.07032030585</c:v>
                </c:pt>
                <c:pt idx="149">
                  <c:v>196412.01785354418</c:v>
                </c:pt>
                <c:pt idx="150">
                  <c:v>197611.86141676689</c:v>
                </c:pt>
                <c:pt idx="151">
                  <c:v>198809.58347689052</c:v>
                </c:pt>
                <c:pt idx="152">
                  <c:v>200005.16635472258</c:v>
                </c:pt>
                <c:pt idx="153">
                  <c:v>201198.59222374397</c:v>
                </c:pt>
                <c:pt idx="154">
                  <c:v>202389.84310888126</c:v>
                </c:pt>
                <c:pt idx="155">
                  <c:v>203578.90088526878</c:v>
                </c:pt>
                <c:pt idx="156">
                  <c:v>204765.74727700025</c:v>
                </c:pt>
                <c:pt idx="157">
                  <c:v>205950.36385587021</c:v>
                </c:pt>
                <c:pt idx="158">
                  <c:v>207132.73204010483</c:v>
                </c:pt>
                <c:pt idx="159">
                  <c:v>208312.83309308212</c:v>
                </c:pt>
                <c:pt idx="160">
                  <c:v>209490.64812204163</c:v>
                </c:pt>
                <c:pt idx="161">
                  <c:v>210666.15807678321</c:v>
                </c:pt>
                <c:pt idx="162">
                  <c:v>211839.34374835502</c:v>
                </c:pt>
                <c:pt idx="163">
                  <c:v>213010.18576773067</c:v>
                </c:pt>
                <c:pt idx="164">
                  <c:v>214178.66460447517</c:v>
                </c:pt>
                <c:pt idx="165">
                  <c:v>215344.76056539995</c:v>
                </c:pt>
                <c:pt idx="166">
                  <c:v>216508.45379320651</c:v>
                </c:pt>
                <c:pt idx="167">
                  <c:v>217669.72426511886</c:v>
                </c:pt>
                <c:pt idx="168">
                  <c:v>218828.55179150452</c:v>
                </c:pt>
                <c:pt idx="169">
                  <c:v>219984.91601448413</c:v>
                </c:pt>
                <c:pt idx="170">
                  <c:v>221138.79640652932</c:v>
                </c:pt>
                <c:pt idx="171">
                  <c:v>222290.17226904896</c:v>
                </c:pt>
                <c:pt idx="172">
                  <c:v>223439.02273096365</c:v>
                </c:pt>
                <c:pt idx="173">
                  <c:v>224585.32674726835</c:v>
                </c:pt>
                <c:pt idx="174">
                  <c:v>225729.06309758298</c:v>
                </c:pt>
                <c:pt idx="175">
                  <c:v>226870.21038469099</c:v>
                </c:pt>
                <c:pt idx="176">
                  <c:v>228008.74703306562</c:v>
                </c:pt>
                <c:pt idx="177">
                  <c:v>229144.6512873841</c:v>
                </c:pt>
                <c:pt idx="178">
                  <c:v>230277.9012110293</c:v>
                </c:pt>
                <c:pt idx="179">
                  <c:v>231408.47468457895</c:v>
                </c:pt>
                <c:pt idx="180">
                  <c:v>232536.34940428226</c:v>
                </c:pt>
                <c:pt idx="181">
                  <c:v>233661.50288052383</c:v>
                </c:pt>
                <c:pt idx="182">
                  <c:v>234783.91243627478</c:v>
                </c:pt>
                <c:pt idx="183">
                  <c:v>235903.55520553107</c:v>
                </c:pt>
                <c:pt idx="184">
                  <c:v>237020.40813173857</c:v>
                </c:pt>
                <c:pt idx="185">
                  <c:v>238134.44796620519</c:v>
                </c:pt>
                <c:pt idx="186">
                  <c:v>239245.65126649977</c:v>
                </c:pt>
                <c:pt idx="187">
                  <c:v>240353.99439483753</c:v>
                </c:pt>
                <c:pt idx="188">
                  <c:v>241459.45351645217</c:v>
                </c:pt>
                <c:pt idx="189">
                  <c:v>242562.00459795434</c:v>
                </c:pt>
                <c:pt idx="190">
                  <c:v>243661.62340567642</c:v>
                </c:pt>
                <c:pt idx="191">
                  <c:v>244758.28550400358</c:v>
                </c:pt>
                <c:pt idx="192">
                  <c:v>245851.96625369086</c:v>
                </c:pt>
                <c:pt idx="193">
                  <c:v>246942.64081016628</c:v>
                </c:pt>
                <c:pt idx="194">
                  <c:v>248030.28412181971</c:v>
                </c:pt>
                <c:pt idx="195">
                  <c:v>249114.87092827767</c:v>
                </c:pt>
                <c:pt idx="196">
                  <c:v>250196.37575866349</c:v>
                </c:pt>
                <c:pt idx="197">
                  <c:v>251274.77292984328</c:v>
                </c:pt>
                <c:pt idx="198">
                  <c:v>252350.03654465696</c:v>
                </c:pt>
                <c:pt idx="199">
                  <c:v>253422.14049013483</c:v>
                </c:pt>
                <c:pt idx="200">
                  <c:v>254491.05843569906</c:v>
                </c:pt>
                <c:pt idx="201">
                  <c:v>255556.7638313504</c:v>
                </c:pt>
                <c:pt idx="202">
                  <c:v>256619.22990583957</c:v>
                </c:pt>
                <c:pt idx="203">
                  <c:v>257678.42966482355</c:v>
                </c:pt>
                <c:pt idx="204">
                  <c:v>258734.33588900644</c:v>
                </c:pt>
                <c:pt idx="205">
                  <c:v>259786.92113226495</c:v>
                </c:pt>
                <c:pt idx="206">
                  <c:v>260836.15771975799</c:v>
                </c:pt>
                <c:pt idx="207">
                  <c:v>261882.01774602089</c:v>
                </c:pt>
                <c:pt idx="208">
                  <c:v>262924.47307304339</c:v>
                </c:pt>
                <c:pt idx="209">
                  <c:v>263963.49532833177</c:v>
                </c:pt>
                <c:pt idx="210">
                  <c:v>264999.05590295495</c:v>
                </c:pt>
                <c:pt idx="211">
                  <c:v>266031.12594957405</c:v>
                </c:pt>
                <c:pt idx="212">
                  <c:v>267059.67638045573</c:v>
                </c:pt>
                <c:pt idx="213">
                  <c:v>268084.67786546884</c:v>
                </c:pt>
                <c:pt idx="214">
                  <c:v>269106.10083006445</c:v>
                </c:pt>
                <c:pt idx="215">
                  <c:v>270123.91545323911</c:v>
                </c:pt>
                <c:pt idx="216">
                  <c:v>271138.09166548093</c:v>
                </c:pt>
                <c:pt idx="217">
                  <c:v>272148.59914669883</c:v>
                </c:pt>
                <c:pt idx="218">
                  <c:v>273155.40732413431</c:v>
                </c:pt>
                <c:pt idx="219">
                  <c:v>274158.48537025577</c:v>
                </c:pt>
                <c:pt idx="220">
                  <c:v>275157.80220063566</c:v>
                </c:pt>
                <c:pt idx="221">
                  <c:v>276153.32647180947</c:v>
                </c:pt>
                <c:pt idx="222">
                  <c:v>277145.02657911711</c:v>
                </c:pt>
                <c:pt idx="223">
                  <c:v>278132.8706545264</c:v>
                </c:pt>
                <c:pt idx="224">
                  <c:v>279116.82656443812</c:v>
                </c:pt>
                <c:pt idx="225">
                  <c:v>280096.86190747318</c:v>
                </c:pt>
                <c:pt idx="226">
                  <c:v>281072.94401224097</c:v>
                </c:pt>
                <c:pt idx="227">
                  <c:v>282045.03993508918</c:v>
                </c:pt>
                <c:pt idx="228">
                  <c:v>283013.11645783519</c:v>
                </c:pt>
                <c:pt idx="229">
                  <c:v>283977.14008547814</c:v>
                </c:pt>
                <c:pt idx="230">
                  <c:v>284937.07704389223</c:v>
                </c:pt>
                <c:pt idx="231">
                  <c:v>285892.89327750047</c:v>
                </c:pt>
                <c:pt idx="232">
                  <c:v>286844.55444692954</c:v>
                </c:pt>
                <c:pt idx="233">
                  <c:v>287792.02592664456</c:v>
                </c:pt>
                <c:pt idx="234">
                  <c:v>288735.27280256461</c:v>
                </c:pt>
                <c:pt idx="235">
                  <c:v>289674.25986965804</c:v>
                </c:pt>
                <c:pt idx="236">
                  <c:v>290608.95162951801</c:v>
                </c:pt>
                <c:pt idx="237">
                  <c:v>291539.31228791754</c:v>
                </c:pt>
                <c:pt idx="238">
                  <c:v>292465.30575234443</c:v>
                </c:pt>
                <c:pt idx="239">
                  <c:v>293386.89562951564</c:v>
                </c:pt>
                <c:pt idx="240">
                  <c:v>294304.04522287066</c:v>
                </c:pt>
                <c:pt idx="241">
                  <c:v>295216.71753004438</c:v>
                </c:pt>
                <c:pt idx="242">
                  <c:v>296124.87524031859</c:v>
                </c:pt>
                <c:pt idx="243">
                  <c:v>297028.48073205253</c:v>
                </c:pt>
                <c:pt idx="244">
                  <c:v>297927.49607009161</c:v>
                </c:pt>
                <c:pt idx="245">
                  <c:v>298821.88300315512</c:v>
                </c:pt>
                <c:pt idx="246">
                  <c:v>299711.60296120157</c:v>
                </c:pt>
                <c:pt idx="247">
                  <c:v>300596.61705277243</c:v>
                </c:pt>
                <c:pt idx="248">
                  <c:v>301476.8860623138</c:v>
                </c:pt>
                <c:pt idx="249">
                  <c:v>302352.3704474754</c:v>
                </c:pt>
                <c:pt idx="250">
                  <c:v>303223.03033638746</c:v>
                </c:pt>
                <c:pt idx="251">
                  <c:v>304088.82552491449</c:v>
                </c:pt>
                <c:pt idx="252">
                  <c:v>304949.71547388664</c:v>
                </c:pt>
                <c:pt idx="253">
                  <c:v>305805.65930630761</c:v>
                </c:pt>
                <c:pt idx="254">
                  <c:v>306656.61580453953</c:v>
                </c:pt>
                <c:pt idx="255">
                  <c:v>307502.54340746411</c:v>
                </c:pt>
                <c:pt idx="256">
                  <c:v>308343.40020762041</c:v>
                </c:pt>
                <c:pt idx="257">
                  <c:v>309179.14394831879</c:v>
                </c:pt>
                <c:pt idx="258">
                  <c:v>310009.73202073039</c:v>
                </c:pt>
                <c:pt idx="259">
                  <c:v>310835.1214609528</c:v>
                </c:pt>
                <c:pt idx="260">
                  <c:v>311655.26894705114</c:v>
                </c:pt>
                <c:pt idx="261">
                  <c:v>312470.13079607434</c:v>
                </c:pt>
                <c:pt idx="262">
                  <c:v>313279.66296104679</c:v>
                </c:pt>
                <c:pt idx="263">
                  <c:v>314083.82102793478</c:v>
                </c:pt>
                <c:pt idx="264">
                  <c:v>314882.56021258753</c:v>
                </c:pt>
                <c:pt idx="265">
                  <c:v>315675.83535765315</c:v>
                </c:pt>
                <c:pt idx="266">
                  <c:v>316463.60092946835</c:v>
                </c:pt>
                <c:pt idx="267">
                  <c:v>317245.81101492274</c:v>
                </c:pt>
                <c:pt idx="268">
                  <c:v>318022.41931829666</c:v>
                </c:pt>
                <c:pt idx="269">
                  <c:v>318793.37915807276</c:v>
                </c:pt>
                <c:pt idx="270">
                  <c:v>319558.64346372109</c:v>
                </c:pt>
                <c:pt idx="271">
                  <c:v>320318.16477245721</c:v>
                </c:pt>
                <c:pt idx="272">
                  <c:v>321071.89522597351</c:v>
                </c:pt>
                <c:pt idx="273">
                  <c:v>321819.78656714316</c:v>
                </c:pt>
                <c:pt idx="274">
                  <c:v>322561.79013669665</c:v>
                </c:pt>
                <c:pt idx="275">
                  <c:v>323297.85686987051</c:v>
                </c:pt>
                <c:pt idx="276">
                  <c:v>324027.93729302817</c:v>
                </c:pt>
                <c:pt idx="277">
                  <c:v>324751.98152025288</c:v>
                </c:pt>
                <c:pt idx="278">
                  <c:v>325469.93924991187</c:v>
                </c:pt>
                <c:pt idx="279">
                  <c:v>326181.75976119208</c:v>
                </c:pt>
                <c:pt idx="280">
                  <c:v>326887.39191060705</c:v>
                </c:pt>
                <c:pt idx="281">
                  <c:v>327586.78412847454</c:v>
                </c:pt>
                <c:pt idx="282">
                  <c:v>328279.884415365</c:v>
                </c:pt>
                <c:pt idx="283">
                  <c:v>328966.64033852029</c:v>
                </c:pt>
                <c:pt idx="284">
                  <c:v>329646.9990282426</c:v>
                </c:pt>
                <c:pt idx="285">
                  <c:v>330320.90717425331</c:v>
                </c:pt>
                <c:pt idx="286">
                  <c:v>330988.31102202152</c:v>
                </c:pt>
                <c:pt idx="287">
                  <c:v>331649.15636906185</c:v>
                </c:pt>
                <c:pt idx="288">
                  <c:v>332303.38856120157</c:v>
                </c:pt>
                <c:pt idx="289">
                  <c:v>332950.95248881652</c:v>
                </c:pt>
                <c:pt idx="290">
                  <c:v>333591.79258303565</c:v>
                </c:pt>
                <c:pt idx="291">
                  <c:v>334225.85281191405</c:v>
                </c:pt>
                <c:pt idx="292">
                  <c:v>334853.07667657384</c:v>
                </c:pt>
                <c:pt idx="293">
                  <c:v>335473.40720731317</c:v>
                </c:pt>
                <c:pt idx="294">
                  <c:v>336086.78695968271</c:v>
                </c:pt>
                <c:pt idx="295">
                  <c:v>336693.15801052941</c:v>
                </c:pt>
                <c:pt idx="296">
                  <c:v>337292.46195400722</c:v>
                </c:pt>
                <c:pt idx="297">
                  <c:v>337884.63989755476</c:v>
                </c:pt>
                <c:pt idx="298">
                  <c:v>338469.63245783927</c:v>
                </c:pt>
                <c:pt idx="299">
                  <c:v>339047.37975666689</c:v>
                </c:pt>
                <c:pt idx="300">
                  <c:v>339617.82141685882</c:v>
                </c:pt>
                <c:pt idx="301">
                  <c:v>340180.89655809302</c:v>
                </c:pt>
                <c:pt idx="302">
                  <c:v>340736.54379271163</c:v>
                </c:pt>
                <c:pt idx="303">
                  <c:v>341284.70122149278</c:v>
                </c:pt>
                <c:pt idx="304">
                  <c:v>341825.30642938783</c:v>
                </c:pt>
                <c:pt idx="305">
                  <c:v>342358.29648122273</c:v>
                </c:pt>
                <c:pt idx="306">
                  <c:v>342883.60791736364</c:v>
                </c:pt>
                <c:pt idx="307">
                  <c:v>343401.17674934649</c:v>
                </c:pt>
                <c:pt idx="308">
                  <c:v>343910.93845546991</c:v>
                </c:pt>
                <c:pt idx="309">
                  <c:v>344412.82797635178</c:v>
                </c:pt>
                <c:pt idx="310">
                  <c:v>344906.77971044835</c:v>
                </c:pt>
                <c:pt idx="311">
                  <c:v>345392.72750953649</c:v>
                </c:pt>
                <c:pt idx="312">
                  <c:v>345870.60467415774</c:v>
                </c:pt>
                <c:pt idx="313">
                  <c:v>346340.34394902491</c:v>
                </c:pt>
                <c:pt idx="314">
                  <c:v>346801.87751839007</c:v>
                </c:pt>
                <c:pt idx="315">
                  <c:v>347255.13700137398</c:v>
                </c:pt>
                <c:pt idx="316">
                  <c:v>347700.0534472568</c:v>
                </c:pt>
                <c:pt idx="317">
                  <c:v>348136.55733072938</c:v>
                </c:pt>
                <c:pt idx="318">
                  <c:v>348564.57854710496</c:v>
                </c:pt>
                <c:pt idx="319">
                  <c:v>348984.04640749109</c:v>
                </c:pt>
                <c:pt idx="320">
                  <c:v>349394.88963392115</c:v>
                </c:pt>
                <c:pt idx="321">
                  <c:v>349797.03635444556</c:v>
                </c:pt>
                <c:pt idx="322">
                  <c:v>350190.4140981817</c:v>
                </c:pt>
                <c:pt idx="323">
                  <c:v>350574.94979032309</c:v>
                </c:pt>
                <c:pt idx="324">
                  <c:v>350950.56974710635</c:v>
                </c:pt>
                <c:pt idx="325">
                  <c:v>351317.19967073685</c:v>
                </c:pt>
                <c:pt idx="326">
                  <c:v>351674.76464427169</c:v>
                </c:pt>
                <c:pt idx="327">
                  <c:v>352023.18912646006</c:v>
                </c:pt>
                <c:pt idx="328">
                  <c:v>352362.39694654074</c:v>
                </c:pt>
                <c:pt idx="329">
                  <c:v>352692.31129899615</c:v>
                </c:pt>
                <c:pt idx="330">
                  <c:v>353012.85473826277</c:v>
                </c:pt>
                <c:pt idx="331">
                  <c:v>353323.94917339733</c:v>
                </c:pt>
                <c:pt idx="332">
                  <c:v>353625.51586269872</c:v>
                </c:pt>
                <c:pt idx="333">
                  <c:v>353917.47540828504</c:v>
                </c:pt>
                <c:pt idx="334">
                  <c:v>354199.74775062531</c:v>
                </c:pt>
                <c:pt idx="335">
                  <c:v>354472.25216302584</c:v>
                </c:pt>
                <c:pt idx="336">
                  <c:v>354734.90724607045</c:v>
                </c:pt>
                <c:pt idx="337">
                  <c:v>354987.63092201448</c:v>
                </c:pt>
                <c:pt idx="338">
                  <c:v>355230.34042913211</c:v>
                </c:pt>
                <c:pt idx="339">
                  <c:v>355462.95231601642</c:v>
                </c:pt>
                <c:pt idx="340">
                  <c:v>355685.38243583217</c:v>
                </c:pt>
                <c:pt idx="341">
                  <c:v>355897.54594052047</c:v>
                </c:pt>
                <c:pt idx="342">
                  <c:v>356099.35727495525</c:v>
                </c:pt>
                <c:pt idx="343">
                  <c:v>356290.73017105105</c:v>
                </c:pt>
                <c:pt idx="344">
                  <c:v>356471.5776418217</c:v>
                </c:pt>
                <c:pt idx="345">
                  <c:v>356641.81197538949</c:v>
                </c:pt>
                <c:pt idx="346">
                  <c:v>356801.34472894442</c:v>
                </c:pt>
                <c:pt idx="347">
                  <c:v>356950.08672265307</c:v>
                </c:pt>
                <c:pt idx="348">
                  <c:v>357087.94803351664</c:v>
                </c:pt>
                <c:pt idx="349">
                  <c:v>357214.8379891782</c:v>
                </c:pt>
                <c:pt idx="350">
                  <c:v>357330.66516167764</c:v>
                </c:pt>
                <c:pt idx="351">
                  <c:v>357435.33736115531</c:v>
                </c:pt>
                <c:pt idx="352">
                  <c:v>357528.7616295027</c:v>
                </c:pt>
                <c:pt idx="353">
                  <c:v>357610.84423396038</c:v>
                </c:pt>
                <c:pt idx="354">
                  <c:v>357681.49066066259</c:v>
                </c:pt>
                <c:pt idx="355">
                  <c:v>357740.60560812807</c:v>
                </c:pt>
                <c:pt idx="356">
                  <c:v>357788.09298069647</c:v>
                </c:pt>
                <c:pt idx="357">
                  <c:v>357823.85588191036</c:v>
                </c:pt>
                <c:pt idx="358">
                  <c:v>357847.79660784174</c:v>
                </c:pt>
                <c:pt idx="359">
                  <c:v>357859.81664036331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23C-423D-88A9-C66604B70DCB}"/>
            </c:ext>
          </c:extLst>
        </c:ser>
        <c:ser>
          <c:idx val="5"/>
          <c:order val="5"/>
          <c:tx>
            <c:strRef>
              <c:f>'HELOC Amortization Schedule'!$L$5</c:f>
              <c:strCache>
                <c:ptCount val="1"/>
                <c:pt idx="0">
                  <c:v>Total Paid End of Loan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'HELOC Amortization Schedule'!$A$6:$A$365</c:f>
              <c:numCache>
                <c:formatCode>General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'HELOC Amortization Schedule'!$L$6:$L$365</c:f>
              <c:numCache>
                <c:formatCode>"$"#,##0.00_);[Red]\("$"#,##0.00\)</c:formatCode>
                <c:ptCount val="360"/>
                <c:pt idx="0">
                  <c:v>1454.4239351121303</c:v>
                </c:pt>
                <c:pt idx="1">
                  <c:v>2908.8478702242605</c:v>
                </c:pt>
                <c:pt idx="2">
                  <c:v>4363.2718053363906</c:v>
                </c:pt>
                <c:pt idx="3">
                  <c:v>5817.6957404485202</c:v>
                </c:pt>
                <c:pt idx="4">
                  <c:v>7272.1196755606506</c:v>
                </c:pt>
                <c:pt idx="5">
                  <c:v>8726.5436106727811</c:v>
                </c:pt>
                <c:pt idx="6">
                  <c:v>10180.967545784912</c:v>
                </c:pt>
                <c:pt idx="7">
                  <c:v>11635.391480897042</c:v>
                </c:pt>
                <c:pt idx="8">
                  <c:v>13089.815416009171</c:v>
                </c:pt>
                <c:pt idx="9">
                  <c:v>14544.239351121301</c:v>
                </c:pt>
                <c:pt idx="10">
                  <c:v>15998.663286233432</c:v>
                </c:pt>
                <c:pt idx="11">
                  <c:v>17453.087221345562</c:v>
                </c:pt>
                <c:pt idx="12">
                  <c:v>18907.511156457691</c:v>
                </c:pt>
                <c:pt idx="13">
                  <c:v>20361.935091569823</c:v>
                </c:pt>
                <c:pt idx="14">
                  <c:v>21816.359026681952</c:v>
                </c:pt>
                <c:pt idx="15">
                  <c:v>23270.782961794084</c:v>
                </c:pt>
                <c:pt idx="16">
                  <c:v>24725.206896906217</c:v>
                </c:pt>
                <c:pt idx="17">
                  <c:v>26179.630832018345</c:v>
                </c:pt>
                <c:pt idx="18">
                  <c:v>27634.054767130478</c:v>
                </c:pt>
                <c:pt idx="19">
                  <c:v>29088.478702242606</c:v>
                </c:pt>
                <c:pt idx="20">
                  <c:v>30542.902637354739</c:v>
                </c:pt>
                <c:pt idx="21">
                  <c:v>31997.326572466867</c:v>
                </c:pt>
                <c:pt idx="22">
                  <c:v>33451.750507578996</c:v>
                </c:pt>
                <c:pt idx="23">
                  <c:v>34906.174442691132</c:v>
                </c:pt>
                <c:pt idx="24">
                  <c:v>36360.598377803268</c:v>
                </c:pt>
                <c:pt idx="25">
                  <c:v>37815.022312915396</c:v>
                </c:pt>
                <c:pt idx="26">
                  <c:v>39269.446248027525</c:v>
                </c:pt>
                <c:pt idx="27">
                  <c:v>40723.870183139661</c:v>
                </c:pt>
                <c:pt idx="28">
                  <c:v>42178.29411825179</c:v>
                </c:pt>
                <c:pt idx="29">
                  <c:v>43632.718053363918</c:v>
                </c:pt>
                <c:pt idx="30">
                  <c:v>45087.141988476054</c:v>
                </c:pt>
                <c:pt idx="31">
                  <c:v>46541.565923588183</c:v>
                </c:pt>
                <c:pt idx="32">
                  <c:v>47995.989858700312</c:v>
                </c:pt>
                <c:pt idx="33">
                  <c:v>49450.413793812448</c:v>
                </c:pt>
                <c:pt idx="34">
                  <c:v>50904.837728924576</c:v>
                </c:pt>
                <c:pt idx="35">
                  <c:v>52359.261664036705</c:v>
                </c:pt>
                <c:pt idx="36">
                  <c:v>53813.685599148834</c:v>
                </c:pt>
                <c:pt idx="37">
                  <c:v>55268.10953426097</c:v>
                </c:pt>
                <c:pt idx="38">
                  <c:v>56722.533469373098</c:v>
                </c:pt>
                <c:pt idx="39">
                  <c:v>58176.957404485234</c:v>
                </c:pt>
                <c:pt idx="40">
                  <c:v>59631.381339597363</c:v>
                </c:pt>
                <c:pt idx="41">
                  <c:v>61085.805274709492</c:v>
                </c:pt>
                <c:pt idx="42">
                  <c:v>62540.22920982162</c:v>
                </c:pt>
                <c:pt idx="43">
                  <c:v>63994.653144933749</c:v>
                </c:pt>
                <c:pt idx="44">
                  <c:v>65449.077080045885</c:v>
                </c:pt>
                <c:pt idx="45">
                  <c:v>66903.501015158006</c:v>
                </c:pt>
                <c:pt idx="46">
                  <c:v>68357.924950270142</c:v>
                </c:pt>
                <c:pt idx="47">
                  <c:v>69812.348885382264</c:v>
                </c:pt>
                <c:pt idx="48">
                  <c:v>71266.7728204944</c:v>
                </c:pt>
                <c:pt idx="49">
                  <c:v>72721.196755606521</c:v>
                </c:pt>
                <c:pt idx="50">
                  <c:v>74175.620690718657</c:v>
                </c:pt>
                <c:pt idx="51">
                  <c:v>75630.044625830793</c:v>
                </c:pt>
                <c:pt idx="52">
                  <c:v>77084.468560942929</c:v>
                </c:pt>
                <c:pt idx="53">
                  <c:v>78538.892496055065</c:v>
                </c:pt>
                <c:pt idx="54">
                  <c:v>79993.316431167201</c:v>
                </c:pt>
                <c:pt idx="55">
                  <c:v>81447.740366279337</c:v>
                </c:pt>
                <c:pt idx="56">
                  <c:v>82902.164301391458</c:v>
                </c:pt>
                <c:pt idx="57">
                  <c:v>84356.588236503594</c:v>
                </c:pt>
                <c:pt idx="58">
                  <c:v>85811.012171615715</c:v>
                </c:pt>
                <c:pt idx="59">
                  <c:v>87265.436106727837</c:v>
                </c:pt>
                <c:pt idx="60">
                  <c:v>88719.860041839973</c:v>
                </c:pt>
                <c:pt idx="61">
                  <c:v>90174.283976952109</c:v>
                </c:pt>
                <c:pt idx="62">
                  <c:v>91628.70791206423</c:v>
                </c:pt>
                <c:pt idx="63">
                  <c:v>93083.131847176352</c:v>
                </c:pt>
                <c:pt idx="64">
                  <c:v>94537.555782288488</c:v>
                </c:pt>
                <c:pt idx="65">
                  <c:v>95991.979717400609</c:v>
                </c:pt>
                <c:pt idx="66">
                  <c:v>97446.40365251273</c:v>
                </c:pt>
                <c:pt idx="67">
                  <c:v>98900.827587624866</c:v>
                </c:pt>
                <c:pt idx="68">
                  <c:v>100355.25152273699</c:v>
                </c:pt>
                <c:pt idx="69">
                  <c:v>101809.67545784912</c:v>
                </c:pt>
                <c:pt idx="70">
                  <c:v>103264.09939296126</c:v>
                </c:pt>
                <c:pt idx="71">
                  <c:v>104718.5233280734</c:v>
                </c:pt>
                <c:pt idx="72">
                  <c:v>106172.94726318552</c:v>
                </c:pt>
                <c:pt idx="73">
                  <c:v>107627.37119829765</c:v>
                </c:pt>
                <c:pt idx="74">
                  <c:v>109081.79513340977</c:v>
                </c:pt>
                <c:pt idx="75">
                  <c:v>110536.21906852191</c:v>
                </c:pt>
                <c:pt idx="76">
                  <c:v>111990.64300363405</c:v>
                </c:pt>
                <c:pt idx="77">
                  <c:v>113445.06693874617</c:v>
                </c:pt>
                <c:pt idx="78">
                  <c:v>114899.4908738583</c:v>
                </c:pt>
                <c:pt idx="79">
                  <c:v>116353.91480897044</c:v>
                </c:pt>
                <c:pt idx="80">
                  <c:v>117808.33874408256</c:v>
                </c:pt>
                <c:pt idx="81">
                  <c:v>119262.7626791947</c:v>
                </c:pt>
                <c:pt idx="82">
                  <c:v>120717.18661430683</c:v>
                </c:pt>
                <c:pt idx="83">
                  <c:v>122171.61054941895</c:v>
                </c:pt>
                <c:pt idx="84">
                  <c:v>123626.03448453109</c:v>
                </c:pt>
                <c:pt idx="85">
                  <c:v>125080.45841964321</c:v>
                </c:pt>
                <c:pt idx="86">
                  <c:v>126534.88235475533</c:v>
                </c:pt>
                <c:pt idx="87">
                  <c:v>127989.30628986747</c:v>
                </c:pt>
                <c:pt idx="88">
                  <c:v>129443.73022497959</c:v>
                </c:pt>
                <c:pt idx="89">
                  <c:v>130898.15416009173</c:v>
                </c:pt>
                <c:pt idx="90">
                  <c:v>132352.57809520385</c:v>
                </c:pt>
                <c:pt idx="91">
                  <c:v>133807.00203031598</c:v>
                </c:pt>
                <c:pt idx="92">
                  <c:v>135261.42596542809</c:v>
                </c:pt>
                <c:pt idx="93">
                  <c:v>136715.84990054023</c:v>
                </c:pt>
                <c:pt idx="94">
                  <c:v>138170.27383565236</c:v>
                </c:pt>
                <c:pt idx="95">
                  <c:v>139624.6977707645</c:v>
                </c:pt>
                <c:pt idx="96">
                  <c:v>141079.12170587663</c:v>
                </c:pt>
                <c:pt idx="97">
                  <c:v>142533.54564098874</c:v>
                </c:pt>
                <c:pt idx="98">
                  <c:v>143987.96957610088</c:v>
                </c:pt>
                <c:pt idx="99">
                  <c:v>145442.39351121301</c:v>
                </c:pt>
                <c:pt idx="100">
                  <c:v>146896.81744632515</c:v>
                </c:pt>
                <c:pt idx="101">
                  <c:v>148351.24138143726</c:v>
                </c:pt>
                <c:pt idx="102">
                  <c:v>149805.66531654942</c:v>
                </c:pt>
                <c:pt idx="103">
                  <c:v>151260.08925166156</c:v>
                </c:pt>
                <c:pt idx="104">
                  <c:v>152714.51318677369</c:v>
                </c:pt>
                <c:pt idx="105">
                  <c:v>154168.93712188583</c:v>
                </c:pt>
                <c:pt idx="106">
                  <c:v>155623.36105699794</c:v>
                </c:pt>
                <c:pt idx="107">
                  <c:v>157077.78499211007</c:v>
                </c:pt>
                <c:pt idx="108">
                  <c:v>158532.20892722221</c:v>
                </c:pt>
                <c:pt idx="109">
                  <c:v>159986.63286233434</c:v>
                </c:pt>
                <c:pt idx="110">
                  <c:v>161441.05679744648</c:v>
                </c:pt>
                <c:pt idx="111">
                  <c:v>162895.48073255862</c:v>
                </c:pt>
                <c:pt idx="112">
                  <c:v>164349.90466767075</c:v>
                </c:pt>
                <c:pt idx="113">
                  <c:v>165804.32860278289</c:v>
                </c:pt>
                <c:pt idx="114">
                  <c:v>167258.75253789502</c:v>
                </c:pt>
                <c:pt idx="115">
                  <c:v>168713.17647300716</c:v>
                </c:pt>
                <c:pt idx="116">
                  <c:v>170167.6004081193</c:v>
                </c:pt>
                <c:pt idx="117">
                  <c:v>171622.0243432314</c:v>
                </c:pt>
                <c:pt idx="118">
                  <c:v>173076.44827834354</c:v>
                </c:pt>
                <c:pt idx="119">
                  <c:v>174530.87221345567</c:v>
                </c:pt>
                <c:pt idx="120">
                  <c:v>175985.29614856778</c:v>
                </c:pt>
                <c:pt idx="121">
                  <c:v>177439.72008367995</c:v>
                </c:pt>
                <c:pt idx="122">
                  <c:v>178894.14401879208</c:v>
                </c:pt>
                <c:pt idx="123">
                  <c:v>180348.56795390422</c:v>
                </c:pt>
                <c:pt idx="124">
                  <c:v>181802.99188901632</c:v>
                </c:pt>
                <c:pt idx="125">
                  <c:v>183257.41582412846</c:v>
                </c:pt>
                <c:pt idx="126">
                  <c:v>184711.8397592406</c:v>
                </c:pt>
                <c:pt idx="127">
                  <c:v>186166.26369435273</c:v>
                </c:pt>
                <c:pt idx="128">
                  <c:v>187620.68762946484</c:v>
                </c:pt>
                <c:pt idx="129">
                  <c:v>189075.11156457698</c:v>
                </c:pt>
                <c:pt idx="130">
                  <c:v>190529.53549968911</c:v>
                </c:pt>
                <c:pt idx="131">
                  <c:v>191983.95943480125</c:v>
                </c:pt>
                <c:pt idx="132">
                  <c:v>193438.38336991338</c:v>
                </c:pt>
                <c:pt idx="133">
                  <c:v>194892.80730502549</c:v>
                </c:pt>
                <c:pt idx="134">
                  <c:v>196347.23124013763</c:v>
                </c:pt>
                <c:pt idx="135">
                  <c:v>197801.65517524976</c:v>
                </c:pt>
                <c:pt idx="136">
                  <c:v>199256.07911036187</c:v>
                </c:pt>
                <c:pt idx="137">
                  <c:v>200710.50304547403</c:v>
                </c:pt>
                <c:pt idx="138">
                  <c:v>202164.92698058614</c:v>
                </c:pt>
                <c:pt idx="139">
                  <c:v>203619.35091569828</c:v>
                </c:pt>
                <c:pt idx="140">
                  <c:v>205073.77485081044</c:v>
                </c:pt>
                <c:pt idx="141">
                  <c:v>206528.19878592255</c:v>
                </c:pt>
                <c:pt idx="142">
                  <c:v>207982.62272103468</c:v>
                </c:pt>
                <c:pt idx="143">
                  <c:v>209437.04665614682</c:v>
                </c:pt>
                <c:pt idx="144">
                  <c:v>210891.47059125896</c:v>
                </c:pt>
                <c:pt idx="145">
                  <c:v>212345.89452637109</c:v>
                </c:pt>
                <c:pt idx="146">
                  <c:v>213800.31846148323</c:v>
                </c:pt>
                <c:pt idx="147">
                  <c:v>215254.74239659533</c:v>
                </c:pt>
                <c:pt idx="148">
                  <c:v>216709.16633170747</c:v>
                </c:pt>
                <c:pt idx="149">
                  <c:v>218163.59026681961</c:v>
                </c:pt>
                <c:pt idx="150">
                  <c:v>219618.01420193174</c:v>
                </c:pt>
                <c:pt idx="151">
                  <c:v>221072.43813704388</c:v>
                </c:pt>
                <c:pt idx="152">
                  <c:v>222526.86207215601</c:v>
                </c:pt>
                <c:pt idx="153">
                  <c:v>223981.28600726815</c:v>
                </c:pt>
                <c:pt idx="154">
                  <c:v>225435.70994238026</c:v>
                </c:pt>
                <c:pt idx="155">
                  <c:v>226890.13387749242</c:v>
                </c:pt>
                <c:pt idx="156">
                  <c:v>228344.55781260453</c:v>
                </c:pt>
                <c:pt idx="157">
                  <c:v>229798.98174771667</c:v>
                </c:pt>
                <c:pt idx="158">
                  <c:v>231253.4056828288</c:v>
                </c:pt>
                <c:pt idx="159">
                  <c:v>232707.82961794094</c:v>
                </c:pt>
                <c:pt idx="160">
                  <c:v>234162.25355305304</c:v>
                </c:pt>
                <c:pt idx="161">
                  <c:v>235616.67748816518</c:v>
                </c:pt>
                <c:pt idx="162">
                  <c:v>237071.10142327732</c:v>
                </c:pt>
                <c:pt idx="163">
                  <c:v>238525.52535838945</c:v>
                </c:pt>
                <c:pt idx="164">
                  <c:v>239979.94929350156</c:v>
                </c:pt>
                <c:pt idx="165">
                  <c:v>241434.37322861369</c:v>
                </c:pt>
                <c:pt idx="166">
                  <c:v>242888.79716372583</c:v>
                </c:pt>
                <c:pt idx="167">
                  <c:v>244343.22109883797</c:v>
                </c:pt>
                <c:pt idx="168">
                  <c:v>245797.6450339501</c:v>
                </c:pt>
                <c:pt idx="169">
                  <c:v>247252.06896906221</c:v>
                </c:pt>
                <c:pt idx="170">
                  <c:v>248706.49290417435</c:v>
                </c:pt>
                <c:pt idx="171">
                  <c:v>250160.91683928648</c:v>
                </c:pt>
                <c:pt idx="172">
                  <c:v>251615.34077439865</c:v>
                </c:pt>
                <c:pt idx="173">
                  <c:v>253069.76470951075</c:v>
                </c:pt>
                <c:pt idx="174">
                  <c:v>254524.18864462286</c:v>
                </c:pt>
                <c:pt idx="175">
                  <c:v>255978.612579735</c:v>
                </c:pt>
                <c:pt idx="176">
                  <c:v>257433.03651484713</c:v>
                </c:pt>
                <c:pt idx="177">
                  <c:v>258887.46044995927</c:v>
                </c:pt>
                <c:pt idx="178">
                  <c:v>260341.88438507137</c:v>
                </c:pt>
                <c:pt idx="179">
                  <c:v>261796.30832018351</c:v>
                </c:pt>
                <c:pt idx="180">
                  <c:v>263250.73225529568</c:v>
                </c:pt>
                <c:pt idx="181">
                  <c:v>264705.15619040781</c:v>
                </c:pt>
                <c:pt idx="182">
                  <c:v>266159.58012551989</c:v>
                </c:pt>
                <c:pt idx="183">
                  <c:v>267614.00406063203</c:v>
                </c:pt>
                <c:pt idx="184">
                  <c:v>269068.42799574416</c:v>
                </c:pt>
                <c:pt idx="185">
                  <c:v>270522.8519308563</c:v>
                </c:pt>
                <c:pt idx="186">
                  <c:v>271977.27586596843</c:v>
                </c:pt>
                <c:pt idx="187">
                  <c:v>273431.69980108057</c:v>
                </c:pt>
                <c:pt idx="188">
                  <c:v>274886.12373619271</c:v>
                </c:pt>
                <c:pt idx="189">
                  <c:v>276340.54767130484</c:v>
                </c:pt>
                <c:pt idx="190">
                  <c:v>277794.97160641698</c:v>
                </c:pt>
                <c:pt idx="191">
                  <c:v>279249.39554152911</c:v>
                </c:pt>
                <c:pt idx="192">
                  <c:v>280703.81947664125</c:v>
                </c:pt>
                <c:pt idx="193">
                  <c:v>282158.24341175338</c:v>
                </c:pt>
                <c:pt idx="194">
                  <c:v>283612.66734686546</c:v>
                </c:pt>
                <c:pt idx="195">
                  <c:v>285067.0912819776</c:v>
                </c:pt>
                <c:pt idx="196">
                  <c:v>286521.51521708973</c:v>
                </c:pt>
                <c:pt idx="197">
                  <c:v>287975.93915220187</c:v>
                </c:pt>
                <c:pt idx="198">
                  <c:v>289430.36308731401</c:v>
                </c:pt>
                <c:pt idx="199">
                  <c:v>290884.78702242614</c:v>
                </c:pt>
                <c:pt idx="200">
                  <c:v>292339.21095753828</c:v>
                </c:pt>
                <c:pt idx="201">
                  <c:v>293793.63489265041</c:v>
                </c:pt>
                <c:pt idx="202">
                  <c:v>295248.05882776255</c:v>
                </c:pt>
                <c:pt idx="203">
                  <c:v>296702.48276287469</c:v>
                </c:pt>
                <c:pt idx="204">
                  <c:v>298156.90669798676</c:v>
                </c:pt>
                <c:pt idx="205">
                  <c:v>299611.3306330989</c:v>
                </c:pt>
                <c:pt idx="206">
                  <c:v>301065.75456821104</c:v>
                </c:pt>
                <c:pt idx="207">
                  <c:v>302520.17850332317</c:v>
                </c:pt>
                <c:pt idx="208">
                  <c:v>303974.60243843531</c:v>
                </c:pt>
                <c:pt idx="209">
                  <c:v>305429.02637354744</c:v>
                </c:pt>
                <c:pt idx="210">
                  <c:v>306883.45030865952</c:v>
                </c:pt>
                <c:pt idx="211">
                  <c:v>308337.87424377166</c:v>
                </c:pt>
                <c:pt idx="212">
                  <c:v>309792.29817888379</c:v>
                </c:pt>
                <c:pt idx="213">
                  <c:v>311246.72211399593</c:v>
                </c:pt>
                <c:pt idx="214">
                  <c:v>312701.14604910807</c:v>
                </c:pt>
                <c:pt idx="215">
                  <c:v>314155.5699842202</c:v>
                </c:pt>
                <c:pt idx="216">
                  <c:v>315609.99391933234</c:v>
                </c:pt>
                <c:pt idx="217">
                  <c:v>317064.41785444447</c:v>
                </c:pt>
                <c:pt idx="218">
                  <c:v>318518.84178955661</c:v>
                </c:pt>
                <c:pt idx="219">
                  <c:v>319973.26572466874</c:v>
                </c:pt>
                <c:pt idx="220">
                  <c:v>321427.68965978082</c:v>
                </c:pt>
                <c:pt idx="221">
                  <c:v>322882.11359489302</c:v>
                </c:pt>
                <c:pt idx="222">
                  <c:v>324336.53753000515</c:v>
                </c:pt>
                <c:pt idx="223">
                  <c:v>325790.96146511729</c:v>
                </c:pt>
                <c:pt idx="224">
                  <c:v>327245.38540022937</c:v>
                </c:pt>
                <c:pt idx="225">
                  <c:v>328699.8093353415</c:v>
                </c:pt>
                <c:pt idx="226">
                  <c:v>330154.23327045364</c:v>
                </c:pt>
                <c:pt idx="227">
                  <c:v>331608.65720556577</c:v>
                </c:pt>
                <c:pt idx="228">
                  <c:v>333063.08114067791</c:v>
                </c:pt>
                <c:pt idx="229">
                  <c:v>334517.50507578999</c:v>
                </c:pt>
                <c:pt idx="230">
                  <c:v>335971.92901090212</c:v>
                </c:pt>
                <c:pt idx="231">
                  <c:v>337426.35294601426</c:v>
                </c:pt>
                <c:pt idx="232">
                  <c:v>338880.7768811264</c:v>
                </c:pt>
                <c:pt idx="233">
                  <c:v>340335.20081623853</c:v>
                </c:pt>
                <c:pt idx="234">
                  <c:v>341789.62475135067</c:v>
                </c:pt>
                <c:pt idx="235">
                  <c:v>343244.0486864628</c:v>
                </c:pt>
                <c:pt idx="236">
                  <c:v>344698.47262157494</c:v>
                </c:pt>
                <c:pt idx="237">
                  <c:v>346152.89655668708</c:v>
                </c:pt>
                <c:pt idx="238">
                  <c:v>347607.32049179915</c:v>
                </c:pt>
                <c:pt idx="239">
                  <c:v>349061.74442691129</c:v>
                </c:pt>
                <c:pt idx="240">
                  <c:v>350516.16836202343</c:v>
                </c:pt>
                <c:pt idx="241">
                  <c:v>351970.5922971355</c:v>
                </c:pt>
                <c:pt idx="242">
                  <c:v>353425.01623224764</c:v>
                </c:pt>
                <c:pt idx="243">
                  <c:v>354879.44016735977</c:v>
                </c:pt>
                <c:pt idx="244">
                  <c:v>356333.86410247185</c:v>
                </c:pt>
                <c:pt idx="245">
                  <c:v>357788.28803758399</c:v>
                </c:pt>
                <c:pt idx="246">
                  <c:v>359242.71197269618</c:v>
                </c:pt>
                <c:pt idx="247">
                  <c:v>360697.13590780826</c:v>
                </c:pt>
                <c:pt idx="248">
                  <c:v>362151.5598429204</c:v>
                </c:pt>
                <c:pt idx="249">
                  <c:v>363605.98377803253</c:v>
                </c:pt>
                <c:pt idx="250">
                  <c:v>365060.40771314467</c:v>
                </c:pt>
                <c:pt idx="251">
                  <c:v>366514.83164825686</c:v>
                </c:pt>
                <c:pt idx="252">
                  <c:v>367969.25558336894</c:v>
                </c:pt>
                <c:pt idx="253">
                  <c:v>369423.67951848108</c:v>
                </c:pt>
                <c:pt idx="254">
                  <c:v>370878.10345359327</c:v>
                </c:pt>
                <c:pt idx="255">
                  <c:v>372332.52738870541</c:v>
                </c:pt>
                <c:pt idx="256">
                  <c:v>373786.95132381754</c:v>
                </c:pt>
                <c:pt idx="257">
                  <c:v>375241.37525892968</c:v>
                </c:pt>
                <c:pt idx="258">
                  <c:v>376695.79919404181</c:v>
                </c:pt>
                <c:pt idx="259">
                  <c:v>378150.22312915395</c:v>
                </c:pt>
                <c:pt idx="260">
                  <c:v>379604.64706426614</c:v>
                </c:pt>
                <c:pt idx="261">
                  <c:v>381059.07099937822</c:v>
                </c:pt>
                <c:pt idx="262">
                  <c:v>382513.49493449036</c:v>
                </c:pt>
                <c:pt idx="263">
                  <c:v>383967.91886960249</c:v>
                </c:pt>
                <c:pt idx="264">
                  <c:v>385422.34280471457</c:v>
                </c:pt>
                <c:pt idx="265">
                  <c:v>386876.76673982677</c:v>
                </c:pt>
                <c:pt idx="266">
                  <c:v>388331.19067493884</c:v>
                </c:pt>
                <c:pt idx="267">
                  <c:v>389785.61461005098</c:v>
                </c:pt>
                <c:pt idx="268">
                  <c:v>391240.03854516312</c:v>
                </c:pt>
                <c:pt idx="269">
                  <c:v>392694.46248027519</c:v>
                </c:pt>
                <c:pt idx="270">
                  <c:v>394148.88641538739</c:v>
                </c:pt>
                <c:pt idx="271">
                  <c:v>395603.31035049947</c:v>
                </c:pt>
                <c:pt idx="272">
                  <c:v>397057.7342856116</c:v>
                </c:pt>
                <c:pt idx="273">
                  <c:v>398512.15822072374</c:v>
                </c:pt>
                <c:pt idx="274">
                  <c:v>399966.58215583581</c:v>
                </c:pt>
                <c:pt idx="275">
                  <c:v>401421.00609094795</c:v>
                </c:pt>
                <c:pt idx="276">
                  <c:v>402875.43002606009</c:v>
                </c:pt>
                <c:pt idx="277">
                  <c:v>404329.85396117216</c:v>
                </c:pt>
                <c:pt idx="278">
                  <c:v>405784.2778962843</c:v>
                </c:pt>
                <c:pt idx="279">
                  <c:v>407238.70183139638</c:v>
                </c:pt>
                <c:pt idx="280">
                  <c:v>408693.12576650851</c:v>
                </c:pt>
                <c:pt idx="281">
                  <c:v>410147.54970162065</c:v>
                </c:pt>
                <c:pt idx="282">
                  <c:v>411601.97363673279</c:v>
                </c:pt>
                <c:pt idx="283">
                  <c:v>413056.39757184492</c:v>
                </c:pt>
                <c:pt idx="284">
                  <c:v>414510.82150695706</c:v>
                </c:pt>
                <c:pt idx="285">
                  <c:v>415965.24544206925</c:v>
                </c:pt>
                <c:pt idx="286">
                  <c:v>417419.66937718133</c:v>
                </c:pt>
                <c:pt idx="287">
                  <c:v>418874.09331229347</c:v>
                </c:pt>
                <c:pt idx="288">
                  <c:v>420328.5172474056</c:v>
                </c:pt>
                <c:pt idx="289">
                  <c:v>421782.94118251768</c:v>
                </c:pt>
                <c:pt idx="290">
                  <c:v>423237.36511762982</c:v>
                </c:pt>
                <c:pt idx="291">
                  <c:v>424691.78905274195</c:v>
                </c:pt>
                <c:pt idx="292">
                  <c:v>426146.21298785415</c:v>
                </c:pt>
                <c:pt idx="293">
                  <c:v>427600.63692296622</c:v>
                </c:pt>
                <c:pt idx="294">
                  <c:v>429055.06085807836</c:v>
                </c:pt>
                <c:pt idx="295">
                  <c:v>430509.4847931905</c:v>
                </c:pt>
                <c:pt idx="296">
                  <c:v>431963.90872830257</c:v>
                </c:pt>
                <c:pt idx="297">
                  <c:v>433418.33266341477</c:v>
                </c:pt>
                <c:pt idx="298">
                  <c:v>434872.75659852684</c:v>
                </c:pt>
                <c:pt idx="299">
                  <c:v>436327.18053363904</c:v>
                </c:pt>
                <c:pt idx="300">
                  <c:v>437781.60446875117</c:v>
                </c:pt>
                <c:pt idx="301">
                  <c:v>439236.02840386331</c:v>
                </c:pt>
                <c:pt idx="302">
                  <c:v>440690.45233897545</c:v>
                </c:pt>
                <c:pt idx="303">
                  <c:v>442144.87627408758</c:v>
                </c:pt>
                <c:pt idx="304">
                  <c:v>443599.30020919972</c:v>
                </c:pt>
                <c:pt idx="305">
                  <c:v>445053.72414431185</c:v>
                </c:pt>
                <c:pt idx="306">
                  <c:v>446508.14807942399</c:v>
                </c:pt>
                <c:pt idx="307">
                  <c:v>447962.57201453613</c:v>
                </c:pt>
                <c:pt idx="308">
                  <c:v>449416.99594964826</c:v>
                </c:pt>
                <c:pt idx="309">
                  <c:v>450871.4198847604</c:v>
                </c:pt>
                <c:pt idx="310">
                  <c:v>452325.84381987253</c:v>
                </c:pt>
                <c:pt idx="311">
                  <c:v>453780.26775498467</c:v>
                </c:pt>
                <c:pt idx="312">
                  <c:v>455234.69169009675</c:v>
                </c:pt>
                <c:pt idx="313">
                  <c:v>456689.11562520888</c:v>
                </c:pt>
                <c:pt idx="314">
                  <c:v>458143.53956032102</c:v>
                </c:pt>
                <c:pt idx="315">
                  <c:v>459597.96349543316</c:v>
                </c:pt>
                <c:pt idx="316">
                  <c:v>461052.38743054529</c:v>
                </c:pt>
                <c:pt idx="317">
                  <c:v>462506.81136565737</c:v>
                </c:pt>
                <c:pt idx="318">
                  <c:v>463961.23530076951</c:v>
                </c:pt>
                <c:pt idx="319">
                  <c:v>465415.65923588164</c:v>
                </c:pt>
                <c:pt idx="320">
                  <c:v>466870.08317099372</c:v>
                </c:pt>
                <c:pt idx="321">
                  <c:v>468324.50710610591</c:v>
                </c:pt>
                <c:pt idx="322">
                  <c:v>469778.93104121799</c:v>
                </c:pt>
                <c:pt idx="323">
                  <c:v>471233.35497633019</c:v>
                </c:pt>
                <c:pt idx="324">
                  <c:v>472687.77891144226</c:v>
                </c:pt>
                <c:pt idx="325">
                  <c:v>474142.20284655434</c:v>
                </c:pt>
                <c:pt idx="326">
                  <c:v>475596.62678166648</c:v>
                </c:pt>
                <c:pt idx="327">
                  <c:v>477051.05071677861</c:v>
                </c:pt>
                <c:pt idx="328">
                  <c:v>478505.47465189075</c:v>
                </c:pt>
                <c:pt idx="329">
                  <c:v>479959.89858700288</c:v>
                </c:pt>
                <c:pt idx="330">
                  <c:v>481414.32252211502</c:v>
                </c:pt>
                <c:pt idx="331">
                  <c:v>482868.74645722716</c:v>
                </c:pt>
                <c:pt idx="332">
                  <c:v>484323.17039233923</c:v>
                </c:pt>
                <c:pt idx="333">
                  <c:v>485777.59432745131</c:v>
                </c:pt>
                <c:pt idx="334">
                  <c:v>487232.01826256345</c:v>
                </c:pt>
                <c:pt idx="335">
                  <c:v>488686.44219767558</c:v>
                </c:pt>
                <c:pt idx="336">
                  <c:v>490140.86613278778</c:v>
                </c:pt>
                <c:pt idx="337">
                  <c:v>491595.29006789986</c:v>
                </c:pt>
                <c:pt idx="338">
                  <c:v>493049.71400301205</c:v>
                </c:pt>
                <c:pt idx="339">
                  <c:v>494504.13793812413</c:v>
                </c:pt>
                <c:pt idx="340">
                  <c:v>495958.56187323621</c:v>
                </c:pt>
                <c:pt idx="341">
                  <c:v>497412.9858083484</c:v>
                </c:pt>
                <c:pt idx="342">
                  <c:v>498867.40974346048</c:v>
                </c:pt>
                <c:pt idx="343">
                  <c:v>500321.83367857267</c:v>
                </c:pt>
                <c:pt idx="344">
                  <c:v>501776.25761368475</c:v>
                </c:pt>
                <c:pt idx="345">
                  <c:v>503230.68154879689</c:v>
                </c:pt>
                <c:pt idx="346">
                  <c:v>504685.10548390902</c:v>
                </c:pt>
                <c:pt idx="347">
                  <c:v>506139.52941902116</c:v>
                </c:pt>
                <c:pt idx="348">
                  <c:v>507593.95335413329</c:v>
                </c:pt>
                <c:pt idx="349">
                  <c:v>509048.37728924543</c:v>
                </c:pt>
                <c:pt idx="350">
                  <c:v>510502.80122435756</c:v>
                </c:pt>
                <c:pt idx="351">
                  <c:v>511957.2251594697</c:v>
                </c:pt>
                <c:pt idx="352">
                  <c:v>513411.64909458184</c:v>
                </c:pt>
                <c:pt idx="353">
                  <c:v>514866.07302969397</c:v>
                </c:pt>
                <c:pt idx="354">
                  <c:v>516320.49696480611</c:v>
                </c:pt>
                <c:pt idx="355">
                  <c:v>517774.92089991819</c:v>
                </c:pt>
                <c:pt idx="356">
                  <c:v>519229.34483503032</c:v>
                </c:pt>
                <c:pt idx="357">
                  <c:v>520683.76877014246</c:v>
                </c:pt>
                <c:pt idx="358">
                  <c:v>522138.19270525454</c:v>
                </c:pt>
                <c:pt idx="359">
                  <c:v>523592.61664036673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23C-423D-88A9-C66604B70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2882367"/>
        <c:axId val="1065093855"/>
      </c:scatterChart>
      <c:scatterChart>
        <c:scatterStyle val="smoothMarker"/>
        <c:varyColors val="0"/>
        <c:ser>
          <c:idx val="3"/>
          <c:order val="3"/>
          <c:tx>
            <c:strRef>
              <c:f>'HELOC Amortization Schedule'!$E$5</c:f>
              <c:strCache>
                <c:ptCount val="1"/>
                <c:pt idx="0">
                  <c:v>principalPayment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'HELOC Amortization Schedule'!$A$6:$A$365</c:f>
              <c:numCache>
                <c:formatCode>General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'HELOC Amortization Schedule'!$E$6:$E$365</c:f>
              <c:numCache>
                <c:formatCode>"$"#,##0.00_);[Red]\("$"#,##0.00\)</c:formatCode>
                <c:ptCount val="360"/>
                <c:pt idx="0">
                  <c:v>73.317268445463242</c:v>
                </c:pt>
                <c:pt idx="1">
                  <c:v>73.928245682508759</c:v>
                </c:pt>
                <c:pt idx="2">
                  <c:v>74.544314396529671</c:v>
                </c:pt>
                <c:pt idx="3">
                  <c:v>75.165517016500871</c:v>
                </c:pt>
                <c:pt idx="4">
                  <c:v>75.791896324971503</c:v>
                </c:pt>
                <c:pt idx="5">
                  <c:v>76.42349546101309</c:v>
                </c:pt>
                <c:pt idx="6">
                  <c:v>77.060357923188121</c:v>
                </c:pt>
                <c:pt idx="7">
                  <c:v>77.702527572547979</c:v>
                </c:pt>
                <c:pt idx="8">
                  <c:v>78.350048635652456</c:v>
                </c:pt>
                <c:pt idx="9">
                  <c:v>79.00296570761634</c:v>
                </c:pt>
                <c:pt idx="10">
                  <c:v>79.661323755179865</c:v>
                </c:pt>
                <c:pt idx="11">
                  <c:v>80.325168119806449</c:v>
                </c:pt>
                <c:pt idx="12">
                  <c:v>80.994544520804766</c:v>
                </c:pt>
                <c:pt idx="13">
                  <c:v>81.669499058478095</c:v>
                </c:pt>
                <c:pt idx="14">
                  <c:v>82.350078217298687</c:v>
                </c:pt>
                <c:pt idx="15">
                  <c:v>83.036328869109639</c:v>
                </c:pt>
                <c:pt idx="16">
                  <c:v>83.728298276352234</c:v>
                </c:pt>
                <c:pt idx="17">
                  <c:v>84.426034095321711</c:v>
                </c:pt>
                <c:pt idx="18">
                  <c:v>85.129584379449398</c:v>
                </c:pt>
                <c:pt idx="19">
                  <c:v>85.838997582611455</c:v>
                </c:pt>
                <c:pt idx="20">
                  <c:v>86.554322562466496</c:v>
                </c:pt>
                <c:pt idx="21">
                  <c:v>87.275608583820485</c:v>
                </c:pt>
                <c:pt idx="22">
                  <c:v>88.002905322018933</c:v>
                </c:pt>
                <c:pt idx="23">
                  <c:v>88.736262866369088</c:v>
                </c:pt>
                <c:pt idx="24">
                  <c:v>89.475731723588979</c:v>
                </c:pt>
                <c:pt idx="25">
                  <c:v>90.221362821285538</c:v>
                </c:pt>
                <c:pt idx="26">
                  <c:v>90.973207511462988</c:v>
                </c:pt>
                <c:pt idx="27">
                  <c:v>91.731317574058494</c:v>
                </c:pt>
                <c:pt idx="28">
                  <c:v>92.495745220509207</c:v>
                </c:pt>
                <c:pt idx="29">
                  <c:v>93.266543097346812</c:v>
                </c:pt>
                <c:pt idx="30">
                  <c:v>94.043764289824821</c:v>
                </c:pt>
                <c:pt idx="31">
                  <c:v>94.827462325573151</c:v>
                </c:pt>
                <c:pt idx="32">
                  <c:v>95.61769117828635</c:v>
                </c:pt>
                <c:pt idx="33">
                  <c:v>96.414505271438657</c:v>
                </c:pt>
                <c:pt idx="34">
                  <c:v>97.217959482034075</c:v>
                </c:pt>
                <c:pt idx="35">
                  <c:v>98.028109144384416</c:v>
                </c:pt>
                <c:pt idx="36">
                  <c:v>98.845010053920987</c:v>
                </c:pt>
                <c:pt idx="37">
                  <c:v>99.668718471036982</c:v>
                </c:pt>
                <c:pt idx="38">
                  <c:v>100.49929112496238</c:v>
                </c:pt>
                <c:pt idx="39">
                  <c:v>101.33678521767047</c:v>
                </c:pt>
                <c:pt idx="40">
                  <c:v>102.18125842781751</c:v>
                </c:pt>
                <c:pt idx="41">
                  <c:v>103.03276891471614</c:v>
                </c:pt>
                <c:pt idx="42">
                  <c:v>103.89137532233872</c:v>
                </c:pt>
                <c:pt idx="43">
                  <c:v>104.75713678335796</c:v>
                </c:pt>
                <c:pt idx="44">
                  <c:v>105.63011292321949</c:v>
                </c:pt>
                <c:pt idx="45">
                  <c:v>106.51036386424607</c:v>
                </c:pt>
                <c:pt idx="46">
                  <c:v>107.3979502297816</c:v>
                </c:pt>
                <c:pt idx="47">
                  <c:v>108.29293314836309</c:v>
                </c:pt>
                <c:pt idx="48">
                  <c:v>109.19537425793283</c:v>
                </c:pt>
                <c:pt idx="49">
                  <c:v>110.10533571008204</c:v>
                </c:pt>
                <c:pt idx="50">
                  <c:v>111.02288017433284</c:v>
                </c:pt>
                <c:pt idx="51">
                  <c:v>111.94807084245235</c:v>
                </c:pt>
                <c:pt idx="52">
                  <c:v>112.88097143280606</c:v>
                </c:pt>
                <c:pt idx="53">
                  <c:v>113.82164619474611</c:v>
                </c:pt>
                <c:pt idx="54">
                  <c:v>114.77015991303574</c:v>
                </c:pt>
                <c:pt idx="55">
                  <c:v>115.72657791231086</c:v>
                </c:pt>
                <c:pt idx="56">
                  <c:v>116.69096606158018</c:v>
                </c:pt>
                <c:pt idx="57">
                  <c:v>117.66339077876</c:v>
                </c:pt>
                <c:pt idx="58">
                  <c:v>118.64391903524961</c:v>
                </c:pt>
                <c:pt idx="59">
                  <c:v>119.63261836054335</c:v>
                </c:pt>
                <c:pt idx="60">
                  <c:v>120.62955684688131</c:v>
                </c:pt>
                <c:pt idx="61">
                  <c:v>121.63480315393872</c:v>
                </c:pt>
                <c:pt idx="62">
                  <c:v>122.64842651355502</c:v>
                </c:pt>
                <c:pt idx="63">
                  <c:v>123.67049673450128</c:v>
                </c:pt>
                <c:pt idx="64">
                  <c:v>124.70108420728889</c:v>
                </c:pt>
                <c:pt idx="65">
                  <c:v>125.74025990901623</c:v>
                </c:pt>
                <c:pt idx="66">
                  <c:v>126.78809540825796</c:v>
                </c:pt>
                <c:pt idx="67">
                  <c:v>127.8446628699935</c:v>
                </c:pt>
                <c:pt idx="68">
                  <c:v>128.91003506057677</c:v>
                </c:pt>
                <c:pt idx="69">
                  <c:v>129.9842853527482</c:v>
                </c:pt>
                <c:pt idx="70">
                  <c:v>131.06748773068762</c:v>
                </c:pt>
                <c:pt idx="71">
                  <c:v>132.15971679510994</c:v>
                </c:pt>
                <c:pt idx="72">
                  <c:v>133.2610477684027</c:v>
                </c:pt>
                <c:pt idx="73">
                  <c:v>134.37155649980605</c:v>
                </c:pt>
                <c:pt idx="74">
                  <c:v>135.49131947063756</c:v>
                </c:pt>
                <c:pt idx="75">
                  <c:v>136.62041379955963</c:v>
                </c:pt>
                <c:pt idx="76">
                  <c:v>137.75891724788926</c:v>
                </c:pt>
                <c:pt idx="77">
                  <c:v>138.90690822495503</c:v>
                </c:pt>
                <c:pt idx="78">
                  <c:v>140.06446579349608</c:v>
                </c:pt>
                <c:pt idx="79">
                  <c:v>141.23166967510861</c:v>
                </c:pt>
                <c:pt idx="80">
                  <c:v>142.40860025573465</c:v>
                </c:pt>
                <c:pt idx="81">
                  <c:v>143.59533859119892</c:v>
                </c:pt>
                <c:pt idx="82">
                  <c:v>144.79196641279236</c:v>
                </c:pt>
                <c:pt idx="83">
                  <c:v>145.99856613289899</c:v>
                </c:pt>
                <c:pt idx="84">
                  <c:v>147.21522085067318</c:v>
                </c:pt>
                <c:pt idx="85">
                  <c:v>148.44201435776199</c:v>
                </c:pt>
                <c:pt idx="86">
                  <c:v>149.67903114407682</c:v>
                </c:pt>
                <c:pt idx="87">
                  <c:v>150.92635640361073</c:v>
                </c:pt>
                <c:pt idx="88">
                  <c:v>152.18407604030767</c:v>
                </c:pt>
                <c:pt idx="89">
                  <c:v>153.45227667397694</c:v>
                </c:pt>
                <c:pt idx="90">
                  <c:v>154.7310456462601</c:v>
                </c:pt>
                <c:pt idx="91">
                  <c:v>156.02047102664574</c:v>
                </c:pt>
                <c:pt idx="92">
                  <c:v>157.32064161853464</c:v>
                </c:pt>
                <c:pt idx="93">
                  <c:v>158.63164696535569</c:v>
                </c:pt>
                <c:pt idx="94">
                  <c:v>159.95357735673383</c:v>
                </c:pt>
                <c:pt idx="95">
                  <c:v>161.28652383470649</c:v>
                </c:pt>
                <c:pt idx="96">
                  <c:v>162.63057819999585</c:v>
                </c:pt>
                <c:pt idx="97">
                  <c:v>163.985833018329</c:v>
                </c:pt>
                <c:pt idx="98">
                  <c:v>165.35238162681503</c:v>
                </c:pt>
                <c:pt idx="99">
                  <c:v>166.73031814037176</c:v>
                </c:pt>
                <c:pt idx="100">
                  <c:v>168.11973745820842</c:v>
                </c:pt>
                <c:pt idx="101">
                  <c:v>169.52073527036009</c:v>
                </c:pt>
                <c:pt idx="102">
                  <c:v>170.93340806428</c:v>
                </c:pt>
                <c:pt idx="103">
                  <c:v>172.35785313148222</c:v>
                </c:pt>
                <c:pt idx="104">
                  <c:v>173.79416857424462</c:v>
                </c:pt>
                <c:pt idx="105">
                  <c:v>175.2424533123633</c:v>
                </c:pt>
                <c:pt idx="106">
                  <c:v>176.7028070899662</c:v>
                </c:pt>
                <c:pt idx="107">
                  <c:v>178.17533048238238</c:v>
                </c:pt>
                <c:pt idx="108">
                  <c:v>179.66012490306912</c:v>
                </c:pt>
                <c:pt idx="109">
                  <c:v>181.15729261059482</c:v>
                </c:pt>
                <c:pt idx="110">
                  <c:v>182.66693671568305</c:v>
                </c:pt>
                <c:pt idx="111">
                  <c:v>184.18916118831362</c:v>
                </c:pt>
                <c:pt idx="112">
                  <c:v>185.72407086488306</c:v>
                </c:pt>
                <c:pt idx="113">
                  <c:v>187.27177145542373</c:v>
                </c:pt>
                <c:pt idx="114">
                  <c:v>188.83236955088546</c:v>
                </c:pt>
                <c:pt idx="115">
                  <c:v>190.40597263047607</c:v>
                </c:pt>
                <c:pt idx="116">
                  <c:v>191.99268906906354</c:v>
                </c:pt>
                <c:pt idx="117">
                  <c:v>193.59262814463909</c:v>
                </c:pt>
                <c:pt idx="118">
                  <c:v>195.20590004584437</c:v>
                </c:pt>
                <c:pt idx="119">
                  <c:v>196.83261587955963</c:v>
                </c:pt>
                <c:pt idx="120">
                  <c:v>198.47288767855616</c:v>
                </c:pt>
                <c:pt idx="121">
                  <c:v>200.12682840921093</c:v>
                </c:pt>
                <c:pt idx="122">
                  <c:v>201.79455197928746</c:v>
                </c:pt>
                <c:pt idx="123">
                  <c:v>203.47617324578164</c:v>
                </c:pt>
                <c:pt idx="124">
                  <c:v>205.17180802282974</c:v>
                </c:pt>
                <c:pt idx="125">
                  <c:v>206.88157308968675</c:v>
                </c:pt>
                <c:pt idx="126">
                  <c:v>208.60558619876747</c:v>
                </c:pt>
                <c:pt idx="127">
                  <c:v>210.34396608375732</c:v>
                </c:pt>
                <c:pt idx="128">
                  <c:v>212.09683246778854</c:v>
                </c:pt>
                <c:pt idx="129">
                  <c:v>213.86430607168677</c:v>
                </c:pt>
                <c:pt idx="130">
                  <c:v>215.64650862228405</c:v>
                </c:pt>
                <c:pt idx="131">
                  <c:v>217.44356286080301</c:v>
                </c:pt>
                <c:pt idx="132">
                  <c:v>219.25559255130975</c:v>
                </c:pt>
                <c:pt idx="133">
                  <c:v>221.08272248923731</c:v>
                </c:pt>
                <c:pt idx="134">
                  <c:v>222.92507850998095</c:v>
                </c:pt>
                <c:pt idx="135">
                  <c:v>224.78278749756419</c:v>
                </c:pt>
                <c:pt idx="136">
                  <c:v>226.65597739337727</c:v>
                </c:pt>
                <c:pt idx="137">
                  <c:v>228.5447772049888</c:v>
                </c:pt>
                <c:pt idx="138">
                  <c:v>230.44931701503015</c:v>
                </c:pt>
                <c:pt idx="139">
                  <c:v>232.36972799015552</c:v>
                </c:pt>
                <c:pt idx="140">
                  <c:v>234.30614239007355</c:v>
                </c:pt>
                <c:pt idx="141">
                  <c:v>236.25869357665738</c:v>
                </c:pt>
                <c:pt idx="142">
                  <c:v>238.22751602312951</c:v>
                </c:pt>
                <c:pt idx="143">
                  <c:v>240.21274532332222</c:v>
                </c:pt>
                <c:pt idx="144">
                  <c:v>242.21451820101629</c:v>
                </c:pt>
                <c:pt idx="145">
                  <c:v>244.2329725193581</c:v>
                </c:pt>
                <c:pt idx="146">
                  <c:v>246.26824729035275</c:v>
                </c:pt>
                <c:pt idx="147">
                  <c:v>248.32048268443896</c:v>
                </c:pt>
                <c:pt idx="148">
                  <c:v>250.38982004014269</c:v>
                </c:pt>
                <c:pt idx="149">
                  <c:v>252.47640187381057</c:v>
                </c:pt>
                <c:pt idx="150">
                  <c:v>254.58037188942558</c:v>
                </c:pt>
                <c:pt idx="151">
                  <c:v>256.70187498850419</c:v>
                </c:pt>
                <c:pt idx="152">
                  <c:v>258.84105728007512</c:v>
                </c:pt>
                <c:pt idx="153">
                  <c:v>260.99806609074244</c:v>
                </c:pt>
                <c:pt idx="154">
                  <c:v>263.17304997483188</c:v>
                </c:pt>
                <c:pt idx="155">
                  <c:v>265.36615872462221</c:v>
                </c:pt>
                <c:pt idx="156">
                  <c:v>267.5775433806607</c:v>
                </c:pt>
                <c:pt idx="157">
                  <c:v>269.80735624216618</c:v>
                </c:pt>
                <c:pt idx="158">
                  <c:v>272.05575087751777</c:v>
                </c:pt>
                <c:pt idx="159">
                  <c:v>274.32288213483025</c:v>
                </c:pt>
                <c:pt idx="160">
                  <c:v>276.60890615262042</c:v>
                </c:pt>
                <c:pt idx="161">
                  <c:v>278.9139803705591</c:v>
                </c:pt>
                <c:pt idx="162">
                  <c:v>281.23826354031371</c:v>
                </c:pt>
                <c:pt idx="163">
                  <c:v>283.5819157364831</c:v>
                </c:pt>
                <c:pt idx="164">
                  <c:v>285.9450983676204</c:v>
                </c:pt>
                <c:pt idx="165">
                  <c:v>288.32797418735049</c:v>
                </c:pt>
                <c:pt idx="166">
                  <c:v>290.73070730557856</c:v>
                </c:pt>
                <c:pt idx="167">
                  <c:v>293.15346319979153</c:v>
                </c:pt>
                <c:pt idx="168">
                  <c:v>295.5964087264565</c:v>
                </c:pt>
                <c:pt idx="169">
                  <c:v>298.05971213251019</c:v>
                </c:pt>
                <c:pt idx="170">
                  <c:v>300.54354306694768</c:v>
                </c:pt>
                <c:pt idx="171">
                  <c:v>303.0480725925056</c:v>
                </c:pt>
                <c:pt idx="172">
                  <c:v>305.57347319744304</c:v>
                </c:pt>
                <c:pt idx="173">
                  <c:v>308.11991880742175</c:v>
                </c:pt>
                <c:pt idx="174">
                  <c:v>310.6875847974834</c:v>
                </c:pt>
                <c:pt idx="175">
                  <c:v>313.27664800412913</c:v>
                </c:pt>
                <c:pt idx="176">
                  <c:v>315.88728673749688</c:v>
                </c:pt>
                <c:pt idx="177">
                  <c:v>318.51968079364269</c:v>
                </c:pt>
                <c:pt idx="178">
                  <c:v>321.17401146692305</c:v>
                </c:pt>
                <c:pt idx="179">
                  <c:v>323.85046156248086</c:v>
                </c:pt>
                <c:pt idx="180">
                  <c:v>326.54921540883493</c:v>
                </c:pt>
                <c:pt idx="181">
                  <c:v>329.27045887057511</c:v>
                </c:pt>
                <c:pt idx="182">
                  <c:v>332.01437936116304</c:v>
                </c:pt>
                <c:pt idx="183">
                  <c:v>334.78116585583939</c:v>
                </c:pt>
                <c:pt idx="184">
                  <c:v>337.57100890463812</c:v>
                </c:pt>
                <c:pt idx="185">
                  <c:v>340.38410064550999</c:v>
                </c:pt>
                <c:pt idx="186">
                  <c:v>343.22063481755595</c:v>
                </c:pt>
                <c:pt idx="187">
                  <c:v>346.08080677436897</c:v>
                </c:pt>
                <c:pt idx="188">
                  <c:v>348.96481349748888</c:v>
                </c:pt>
                <c:pt idx="189">
                  <c:v>351.87285360996793</c:v>
                </c:pt>
                <c:pt idx="190">
                  <c:v>354.80512739005098</c:v>
                </c:pt>
                <c:pt idx="191">
                  <c:v>357.76183678496818</c:v>
                </c:pt>
                <c:pt idx="192">
                  <c:v>360.74318542484298</c:v>
                </c:pt>
                <c:pt idx="193">
                  <c:v>363.74937863671653</c:v>
                </c:pt>
                <c:pt idx="194">
                  <c:v>366.78062345868921</c:v>
                </c:pt>
                <c:pt idx="195">
                  <c:v>369.83712865417829</c:v>
                </c:pt>
                <c:pt idx="196">
                  <c:v>372.91910472629638</c:v>
                </c:pt>
                <c:pt idx="197">
                  <c:v>376.02676393234901</c:v>
                </c:pt>
                <c:pt idx="198">
                  <c:v>379.16032029845178</c:v>
                </c:pt>
                <c:pt idx="199">
                  <c:v>382.31998963427236</c:v>
                </c:pt>
                <c:pt idx="200">
                  <c:v>385.5059895478912</c:v>
                </c:pt>
                <c:pt idx="201">
                  <c:v>388.71853946079023</c:v>
                </c:pt>
                <c:pt idx="202">
                  <c:v>391.95786062296361</c:v>
                </c:pt>
                <c:pt idx="203">
                  <c:v>395.22417612815502</c:v>
                </c:pt>
                <c:pt idx="204">
                  <c:v>398.51771092922286</c:v>
                </c:pt>
                <c:pt idx="205">
                  <c:v>401.83869185363324</c:v>
                </c:pt>
                <c:pt idx="206">
                  <c:v>405.18734761908013</c:v>
                </c:pt>
                <c:pt idx="207">
                  <c:v>408.56390884923917</c:v>
                </c:pt>
                <c:pt idx="208">
                  <c:v>411.96860808964948</c:v>
                </c:pt>
                <c:pt idx="209">
                  <c:v>415.40167982372986</c:v>
                </c:pt>
                <c:pt idx="210">
                  <c:v>418.86336048892758</c:v>
                </c:pt>
                <c:pt idx="211">
                  <c:v>422.35388849300216</c:v>
                </c:pt>
                <c:pt idx="212">
                  <c:v>425.87350423044381</c:v>
                </c:pt>
                <c:pt idx="213">
                  <c:v>429.42245009903081</c:v>
                </c:pt>
                <c:pt idx="214">
                  <c:v>433.00097051652267</c:v>
                </c:pt>
                <c:pt idx="215">
                  <c:v>436.60931193749377</c:v>
                </c:pt>
                <c:pt idx="216">
                  <c:v>440.24772287030623</c:v>
                </c:pt>
                <c:pt idx="217">
                  <c:v>443.91645389422547</c:v>
                </c:pt>
                <c:pt idx="218">
                  <c:v>447.61575767667739</c:v>
                </c:pt>
                <c:pt idx="219">
                  <c:v>451.34588899064966</c:v>
                </c:pt>
                <c:pt idx="220">
                  <c:v>455.10710473223833</c:v>
                </c:pt>
                <c:pt idx="221">
                  <c:v>458.89966393834027</c:v>
                </c:pt>
                <c:pt idx="222">
                  <c:v>462.72382780449311</c:v>
                </c:pt>
                <c:pt idx="223">
                  <c:v>466.57985970286393</c:v>
                </c:pt>
                <c:pt idx="224">
                  <c:v>470.46802520038784</c:v>
                </c:pt>
                <c:pt idx="225">
                  <c:v>474.38859207705775</c:v>
                </c:pt>
                <c:pt idx="226">
                  <c:v>478.34183034436649</c:v>
                </c:pt>
                <c:pt idx="227">
                  <c:v>482.32801226390279</c:v>
                </c:pt>
                <c:pt idx="228">
                  <c:v>486.34741236610193</c:v>
                </c:pt>
                <c:pt idx="229">
                  <c:v>490.40030746915284</c:v>
                </c:pt>
                <c:pt idx="230">
                  <c:v>494.48697669806245</c:v>
                </c:pt>
                <c:pt idx="231">
                  <c:v>498.60770150387964</c:v>
                </c:pt>
                <c:pt idx="232">
                  <c:v>502.76276568307856</c:v>
                </c:pt>
                <c:pt idx="233">
                  <c:v>506.95245539710413</c:v>
                </c:pt>
                <c:pt idx="234">
                  <c:v>511.17705919208004</c:v>
                </c:pt>
                <c:pt idx="235">
                  <c:v>515.43686801868068</c:v>
                </c:pt>
                <c:pt idx="236">
                  <c:v>519.73217525216955</c:v>
                </c:pt>
                <c:pt idx="237">
                  <c:v>524.06327671260431</c:v>
                </c:pt>
                <c:pt idx="238">
                  <c:v>528.43047068520934</c:v>
                </c:pt>
                <c:pt idx="239">
                  <c:v>532.83405794091948</c:v>
                </c:pt>
                <c:pt idx="240">
                  <c:v>537.27434175709379</c:v>
                </c:pt>
                <c:pt idx="241">
                  <c:v>541.75162793840286</c:v>
                </c:pt>
                <c:pt idx="242">
                  <c:v>546.26622483788947</c:v>
                </c:pt>
                <c:pt idx="243">
                  <c:v>550.8184433782053</c:v>
                </c:pt>
                <c:pt idx="244">
                  <c:v>555.40859707302366</c:v>
                </c:pt>
                <c:pt idx="245">
                  <c:v>560.03700204863219</c:v>
                </c:pt>
                <c:pt idx="246">
                  <c:v>564.70397706570407</c:v>
                </c:pt>
                <c:pt idx="247">
                  <c:v>569.40984354125158</c:v>
                </c:pt>
                <c:pt idx="248">
                  <c:v>574.15492557076197</c:v>
                </c:pt>
                <c:pt idx="249">
                  <c:v>578.93954995051831</c:v>
                </c:pt>
                <c:pt idx="250">
                  <c:v>583.76404620010601</c:v>
                </c:pt>
                <c:pt idx="251">
                  <c:v>588.6287465851068</c:v>
                </c:pt>
                <c:pt idx="252">
                  <c:v>593.53398613998263</c:v>
                </c:pt>
                <c:pt idx="253">
                  <c:v>598.48010269114923</c:v>
                </c:pt>
                <c:pt idx="254">
                  <c:v>603.46743688024208</c:v>
                </c:pt>
                <c:pt idx="255">
                  <c:v>608.49633218757742</c:v>
                </c:pt>
                <c:pt idx="256">
                  <c:v>613.56713495580721</c:v>
                </c:pt>
                <c:pt idx="257">
                  <c:v>618.68019441377237</c:v>
                </c:pt>
                <c:pt idx="258">
                  <c:v>623.83586270055378</c:v>
                </c:pt>
                <c:pt idx="259">
                  <c:v>629.03449488972501</c:v>
                </c:pt>
                <c:pt idx="260">
                  <c:v>634.27644901380609</c:v>
                </c:pt>
                <c:pt idx="261">
                  <c:v>639.56208608892109</c:v>
                </c:pt>
                <c:pt idx="262">
                  <c:v>644.89177013966207</c:v>
                </c:pt>
                <c:pt idx="263">
                  <c:v>650.26586822415925</c:v>
                </c:pt>
                <c:pt idx="264">
                  <c:v>655.68475045936054</c:v>
                </c:pt>
                <c:pt idx="265">
                  <c:v>661.14879004652187</c:v>
                </c:pt>
                <c:pt idx="266">
                  <c:v>666.65836329690967</c:v>
                </c:pt>
                <c:pt idx="267">
                  <c:v>672.21384965771722</c:v>
                </c:pt>
                <c:pt idx="268">
                  <c:v>677.81563173819825</c:v>
                </c:pt>
                <c:pt idx="269">
                  <c:v>683.46409533601661</c:v>
                </c:pt>
                <c:pt idx="270">
                  <c:v>689.15962946381671</c:v>
                </c:pt>
                <c:pt idx="271">
                  <c:v>694.90262637601518</c:v>
                </c:pt>
                <c:pt idx="272">
                  <c:v>700.69348159581534</c:v>
                </c:pt>
                <c:pt idx="273">
                  <c:v>706.53259394244708</c:v>
                </c:pt>
                <c:pt idx="274">
                  <c:v>712.42036555863422</c:v>
                </c:pt>
                <c:pt idx="275">
                  <c:v>718.35720193828945</c:v>
                </c:pt>
                <c:pt idx="276">
                  <c:v>724.34351195444185</c:v>
                </c:pt>
                <c:pt idx="277">
                  <c:v>730.37970788739551</c:v>
                </c:pt>
                <c:pt idx="278">
                  <c:v>736.46620545312373</c:v>
                </c:pt>
                <c:pt idx="279">
                  <c:v>742.60342383189982</c:v>
                </c:pt>
                <c:pt idx="280">
                  <c:v>748.79178569716555</c:v>
                </c:pt>
                <c:pt idx="281">
                  <c:v>755.03171724464198</c:v>
                </c:pt>
                <c:pt idx="282">
                  <c:v>761.32364822168063</c:v>
                </c:pt>
                <c:pt idx="283">
                  <c:v>767.66801195686116</c:v>
                </c:pt>
                <c:pt idx="284">
                  <c:v>774.06524538983501</c:v>
                </c:pt>
                <c:pt idx="285">
                  <c:v>780.515789101417</c:v>
                </c:pt>
                <c:pt idx="286">
                  <c:v>787.02008734392894</c:v>
                </c:pt>
                <c:pt idx="287">
                  <c:v>793.57858807179502</c:v>
                </c:pt>
                <c:pt idx="288">
                  <c:v>800.19174297239329</c:v>
                </c:pt>
                <c:pt idx="289">
                  <c:v>806.86000749716322</c:v>
                </c:pt>
                <c:pt idx="290">
                  <c:v>813.58384089297294</c:v>
                </c:pt>
                <c:pt idx="291">
                  <c:v>820.36370623374762</c:v>
                </c:pt>
                <c:pt idx="292">
                  <c:v>827.2000704523623</c:v>
                </c:pt>
                <c:pt idx="293">
                  <c:v>834.09340437279866</c:v>
                </c:pt>
                <c:pt idx="294">
                  <c:v>841.04418274257205</c:v>
                </c:pt>
                <c:pt idx="295">
                  <c:v>848.05288426542677</c:v>
                </c:pt>
                <c:pt idx="296">
                  <c:v>855.11999163430528</c:v>
                </c:pt>
                <c:pt idx="297">
                  <c:v>862.24599156459124</c:v>
                </c:pt>
                <c:pt idx="298">
                  <c:v>869.43137482762938</c:v>
                </c:pt>
                <c:pt idx="299">
                  <c:v>876.67663628452635</c:v>
                </c:pt>
                <c:pt idx="300">
                  <c:v>883.98227492023068</c:v>
                </c:pt>
                <c:pt idx="301">
                  <c:v>891.34879387789931</c:v>
                </c:pt>
                <c:pt idx="302">
                  <c:v>898.77670049354845</c:v>
                </c:pt>
                <c:pt idx="303">
                  <c:v>906.26650633099462</c:v>
                </c:pt>
                <c:pt idx="304">
                  <c:v>913.81872721708635</c:v>
                </c:pt>
                <c:pt idx="305">
                  <c:v>921.43388327722869</c:v>
                </c:pt>
                <c:pt idx="306">
                  <c:v>929.11249897120558</c:v>
                </c:pt>
                <c:pt idx="307">
                  <c:v>936.85510312929898</c:v>
                </c:pt>
                <c:pt idx="308">
                  <c:v>944.66222898870978</c:v>
                </c:pt>
                <c:pt idx="309">
                  <c:v>952.53441423028232</c:v>
                </c:pt>
                <c:pt idx="310">
                  <c:v>960.47220101553467</c:v>
                </c:pt>
                <c:pt idx="311">
                  <c:v>968.47613602399747</c:v>
                </c:pt>
                <c:pt idx="312">
                  <c:v>976.54677049086422</c:v>
                </c:pt>
                <c:pt idx="313">
                  <c:v>984.68466024495478</c:v>
                </c:pt>
                <c:pt idx="314">
                  <c:v>992.89036574699594</c:v>
                </c:pt>
                <c:pt idx="315">
                  <c:v>1001.164452128221</c:v>
                </c:pt>
                <c:pt idx="316">
                  <c:v>1009.5074892292894</c:v>
                </c:pt>
                <c:pt idx="317">
                  <c:v>1017.9200516395335</c:v>
                </c:pt>
                <c:pt idx="318">
                  <c:v>1026.4027187365296</c:v>
                </c:pt>
                <c:pt idx="319">
                  <c:v>1034.9560747260007</c:v>
                </c:pt>
                <c:pt idx="320">
                  <c:v>1043.5807086820507</c:v>
                </c:pt>
                <c:pt idx="321">
                  <c:v>1052.2772145877345</c:v>
                </c:pt>
                <c:pt idx="322">
                  <c:v>1061.0461913759655</c:v>
                </c:pt>
                <c:pt idx="323">
                  <c:v>1069.8882429707653</c:v>
                </c:pt>
                <c:pt idx="324">
                  <c:v>1078.803978328855</c:v>
                </c:pt>
                <c:pt idx="325">
                  <c:v>1087.7940114815956</c:v>
                </c:pt>
                <c:pt idx="326">
                  <c:v>1096.8589615772753</c:v>
                </c:pt>
                <c:pt idx="327">
                  <c:v>1105.9994529237526</c:v>
                </c:pt>
                <c:pt idx="328">
                  <c:v>1115.2161150314505</c:v>
                </c:pt>
                <c:pt idx="329">
                  <c:v>1124.5095826567126</c:v>
                </c:pt>
                <c:pt idx="330">
                  <c:v>1133.8804958455187</c:v>
                </c:pt>
                <c:pt idx="331">
                  <c:v>1143.3294999775646</c:v>
                </c:pt>
                <c:pt idx="332">
                  <c:v>1152.857245810711</c:v>
                </c:pt>
                <c:pt idx="333">
                  <c:v>1162.4643895258002</c:v>
                </c:pt>
                <c:pt idx="334">
                  <c:v>1172.1515927718488</c:v>
                </c:pt>
                <c:pt idx="335">
                  <c:v>1181.919522711614</c:v>
                </c:pt>
                <c:pt idx="336">
                  <c:v>1191.7688520675442</c:v>
                </c:pt>
                <c:pt idx="337">
                  <c:v>1201.7002591681071</c:v>
                </c:pt>
                <c:pt idx="338">
                  <c:v>1211.714427994508</c:v>
                </c:pt>
                <c:pt idx="339">
                  <c:v>1221.8120482277955</c:v>
                </c:pt>
                <c:pt idx="340">
                  <c:v>1231.9938152963605</c:v>
                </c:pt>
                <c:pt idx="341">
                  <c:v>1242.2604304238303</c:v>
                </c:pt>
                <c:pt idx="342">
                  <c:v>1252.612600677362</c:v>
                </c:pt>
                <c:pt idx="343">
                  <c:v>1263.0510390163402</c:v>
                </c:pt>
                <c:pt idx="344">
                  <c:v>1273.5764643414764</c:v>
                </c:pt>
                <c:pt idx="345">
                  <c:v>1284.1896015443219</c:v>
                </c:pt>
                <c:pt idx="346">
                  <c:v>1294.8911815571912</c:v>
                </c:pt>
                <c:pt idx="347">
                  <c:v>1305.6819414035012</c:v>
                </c:pt>
                <c:pt idx="348">
                  <c:v>1316.5626242485305</c:v>
                </c:pt>
                <c:pt idx="349">
                  <c:v>1327.5339794506015</c:v>
                </c:pt>
                <c:pt idx="350">
                  <c:v>1338.5967626126899</c:v>
                </c:pt>
                <c:pt idx="351">
                  <c:v>1349.7517356344622</c:v>
                </c:pt>
                <c:pt idx="352">
                  <c:v>1360.9996667647495</c:v>
                </c:pt>
                <c:pt idx="353">
                  <c:v>1372.3413306544558</c:v>
                </c:pt>
                <c:pt idx="354">
                  <c:v>1383.7775084099094</c:v>
                </c:pt>
                <c:pt idx="355">
                  <c:v>1395.3089876466588</c:v>
                </c:pt>
                <c:pt idx="356">
                  <c:v>1406.9365625437142</c:v>
                </c:pt>
                <c:pt idx="357">
                  <c:v>1418.661033898245</c:v>
                </c:pt>
                <c:pt idx="358">
                  <c:v>1430.4832091807305</c:v>
                </c:pt>
                <c:pt idx="359">
                  <c:v>1442.4039025905699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23C-423D-88A9-C66604B70DCB}"/>
            </c:ext>
          </c:extLst>
        </c:ser>
        <c:ser>
          <c:idx val="4"/>
          <c:order val="4"/>
          <c:tx>
            <c:strRef>
              <c:f>'HELOC Amortization Schedule'!$G$5</c:f>
              <c:strCache>
                <c:ptCount val="1"/>
                <c:pt idx="0">
                  <c:v>interestPayment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'HELOC Amortization Schedule'!$A$6:$A$365</c:f>
              <c:numCache>
                <c:formatCode>General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'HELOC Amortization Schedule'!$G$6:$G$365</c:f>
              <c:numCache>
                <c:formatCode>"$"#,##0.00_);[Red]\("$"#,##0.00\)</c:formatCode>
                <c:ptCount val="360"/>
                <c:pt idx="0">
                  <c:v>1381.106666666667</c:v>
                </c:pt>
                <c:pt idx="1">
                  <c:v>1380.4956894296215</c:v>
                </c:pt>
                <c:pt idx="2">
                  <c:v>1379.8796207156006</c:v>
                </c:pt>
                <c:pt idx="3">
                  <c:v>1379.2584180956294</c:v>
                </c:pt>
                <c:pt idx="4">
                  <c:v>1378.6320387871588</c:v>
                </c:pt>
                <c:pt idx="5">
                  <c:v>1378.0004396511172</c:v>
                </c:pt>
                <c:pt idx="6">
                  <c:v>1377.3635771889421</c:v>
                </c:pt>
                <c:pt idx="7">
                  <c:v>1376.7214075395823</c:v>
                </c:pt>
                <c:pt idx="8">
                  <c:v>1376.0738864764778</c:v>
                </c:pt>
                <c:pt idx="9">
                  <c:v>1375.4209694045139</c:v>
                </c:pt>
                <c:pt idx="10">
                  <c:v>1374.7626113569504</c:v>
                </c:pt>
                <c:pt idx="11">
                  <c:v>1374.0987669923238</c:v>
                </c:pt>
                <c:pt idx="12">
                  <c:v>1373.4293905913255</c:v>
                </c:pt>
                <c:pt idx="13">
                  <c:v>1372.7544360536522</c:v>
                </c:pt>
                <c:pt idx="14">
                  <c:v>1372.0738568948316</c:v>
                </c:pt>
                <c:pt idx="15">
                  <c:v>1371.3876062430206</c:v>
                </c:pt>
                <c:pt idx="16">
                  <c:v>1370.695636835778</c:v>
                </c:pt>
                <c:pt idx="17">
                  <c:v>1369.9979010168086</c:v>
                </c:pt>
                <c:pt idx="18">
                  <c:v>1369.2943507326809</c:v>
                </c:pt>
                <c:pt idx="19">
                  <c:v>1368.5849375295188</c:v>
                </c:pt>
                <c:pt idx="20">
                  <c:v>1367.8696125496638</c:v>
                </c:pt>
                <c:pt idx="21">
                  <c:v>1367.1483265283098</c:v>
                </c:pt>
                <c:pt idx="22">
                  <c:v>1366.4210297901113</c:v>
                </c:pt>
                <c:pt idx="23">
                  <c:v>1365.6876722457612</c:v>
                </c:pt>
                <c:pt idx="24">
                  <c:v>1364.9482033885413</c:v>
                </c:pt>
                <c:pt idx="25">
                  <c:v>1364.2025722908447</c:v>
                </c:pt>
                <c:pt idx="26">
                  <c:v>1363.4507276006673</c:v>
                </c:pt>
                <c:pt idx="27">
                  <c:v>1362.6926175380718</c:v>
                </c:pt>
                <c:pt idx="28">
                  <c:v>1361.9281898916211</c:v>
                </c:pt>
                <c:pt idx="29">
                  <c:v>1361.1573920147835</c:v>
                </c:pt>
                <c:pt idx="30">
                  <c:v>1360.3801708223054</c:v>
                </c:pt>
                <c:pt idx="31">
                  <c:v>1359.5964727865571</c:v>
                </c:pt>
                <c:pt idx="32">
                  <c:v>1358.8062439338439</c:v>
                </c:pt>
                <c:pt idx="33">
                  <c:v>1358.0094298406916</c:v>
                </c:pt>
                <c:pt idx="34">
                  <c:v>1357.2059756300962</c:v>
                </c:pt>
                <c:pt idx="35">
                  <c:v>1356.3958259677458</c:v>
                </c:pt>
                <c:pt idx="36">
                  <c:v>1355.5789250582093</c:v>
                </c:pt>
                <c:pt idx="37">
                  <c:v>1354.7552166410933</c:v>
                </c:pt>
                <c:pt idx="38">
                  <c:v>1353.9246439871679</c:v>
                </c:pt>
                <c:pt idx="39">
                  <c:v>1353.0871498944598</c:v>
                </c:pt>
                <c:pt idx="40">
                  <c:v>1352.2426766843128</c:v>
                </c:pt>
                <c:pt idx="41">
                  <c:v>1351.3911661974141</c:v>
                </c:pt>
                <c:pt idx="42">
                  <c:v>1350.5325597897915</c:v>
                </c:pt>
                <c:pt idx="43">
                  <c:v>1349.6667983287723</c:v>
                </c:pt>
                <c:pt idx="44">
                  <c:v>1348.7938221889108</c:v>
                </c:pt>
                <c:pt idx="45">
                  <c:v>1347.9135712478842</c:v>
                </c:pt>
                <c:pt idx="46">
                  <c:v>1347.0259848823487</c:v>
                </c:pt>
                <c:pt idx="47">
                  <c:v>1346.1310019637672</c:v>
                </c:pt>
                <c:pt idx="48">
                  <c:v>1345.2285608541974</c:v>
                </c:pt>
                <c:pt idx="49">
                  <c:v>1344.3185994020482</c:v>
                </c:pt>
                <c:pt idx="50">
                  <c:v>1343.4010549377974</c:v>
                </c:pt>
                <c:pt idx="51">
                  <c:v>1342.4758642696779</c:v>
                </c:pt>
                <c:pt idx="52">
                  <c:v>1341.5429636793242</c:v>
                </c:pt>
                <c:pt idx="53">
                  <c:v>1340.6022889173842</c:v>
                </c:pt>
                <c:pt idx="54">
                  <c:v>1339.6537751990945</c:v>
                </c:pt>
                <c:pt idx="55">
                  <c:v>1338.6973571998194</c:v>
                </c:pt>
                <c:pt idx="56">
                  <c:v>1337.7329690505501</c:v>
                </c:pt>
                <c:pt idx="57">
                  <c:v>1336.7605443333703</c:v>
                </c:pt>
                <c:pt idx="58">
                  <c:v>1335.7800160768807</c:v>
                </c:pt>
                <c:pt idx="59">
                  <c:v>1334.7913167515869</c:v>
                </c:pt>
                <c:pt idx="60">
                  <c:v>1333.794378265249</c:v>
                </c:pt>
                <c:pt idx="61">
                  <c:v>1332.7891319581915</c:v>
                </c:pt>
                <c:pt idx="62">
                  <c:v>1331.7755085985752</c:v>
                </c:pt>
                <c:pt idx="63">
                  <c:v>1330.753438377629</c:v>
                </c:pt>
                <c:pt idx="64">
                  <c:v>1329.7228509048414</c:v>
                </c:pt>
                <c:pt idx="65">
                  <c:v>1328.683675203114</c:v>
                </c:pt>
                <c:pt idx="66">
                  <c:v>1327.6358397038723</c:v>
                </c:pt>
                <c:pt idx="67">
                  <c:v>1326.5792722421368</c:v>
                </c:pt>
                <c:pt idx="68">
                  <c:v>1325.5139000515535</c:v>
                </c:pt>
                <c:pt idx="69">
                  <c:v>1324.4396497593821</c:v>
                </c:pt>
                <c:pt idx="70">
                  <c:v>1323.3564473814426</c:v>
                </c:pt>
                <c:pt idx="71">
                  <c:v>1322.2642183170203</c:v>
                </c:pt>
                <c:pt idx="72">
                  <c:v>1321.1628873437276</c:v>
                </c:pt>
                <c:pt idx="73">
                  <c:v>1320.0523786123242</c:v>
                </c:pt>
                <c:pt idx="74">
                  <c:v>1318.9326156414927</c:v>
                </c:pt>
                <c:pt idx="75">
                  <c:v>1317.8035213125706</c:v>
                </c:pt>
                <c:pt idx="76">
                  <c:v>1316.665017864241</c:v>
                </c:pt>
                <c:pt idx="77">
                  <c:v>1315.5170268871752</c:v>
                </c:pt>
                <c:pt idx="78">
                  <c:v>1314.3594693186342</c:v>
                </c:pt>
                <c:pt idx="79">
                  <c:v>1313.1922654370217</c:v>
                </c:pt>
                <c:pt idx="80">
                  <c:v>1312.0153348563956</c:v>
                </c:pt>
                <c:pt idx="81">
                  <c:v>1310.8285965209313</c:v>
                </c:pt>
                <c:pt idx="82">
                  <c:v>1309.6319686993379</c:v>
                </c:pt>
                <c:pt idx="83">
                  <c:v>1308.4253689792313</c:v>
                </c:pt>
                <c:pt idx="84">
                  <c:v>1307.2087142614571</c:v>
                </c:pt>
                <c:pt idx="85">
                  <c:v>1305.9819207543683</c:v>
                </c:pt>
                <c:pt idx="86">
                  <c:v>1304.7449039680534</c:v>
                </c:pt>
                <c:pt idx="87">
                  <c:v>1303.4975787085195</c:v>
                </c:pt>
                <c:pt idx="88">
                  <c:v>1302.2398590718226</c:v>
                </c:pt>
                <c:pt idx="89">
                  <c:v>1300.9716584381533</c:v>
                </c:pt>
                <c:pt idx="90">
                  <c:v>1299.6928894658702</c:v>
                </c:pt>
                <c:pt idx="91">
                  <c:v>1298.4034640854845</c:v>
                </c:pt>
                <c:pt idx="92">
                  <c:v>1297.1032934935956</c:v>
                </c:pt>
                <c:pt idx="93">
                  <c:v>1295.7922881467746</c:v>
                </c:pt>
                <c:pt idx="94">
                  <c:v>1294.4703577553964</c:v>
                </c:pt>
                <c:pt idx="95">
                  <c:v>1293.1374112774238</c:v>
                </c:pt>
                <c:pt idx="96">
                  <c:v>1291.7933569121344</c:v>
                </c:pt>
                <c:pt idx="97">
                  <c:v>1290.4381020938013</c:v>
                </c:pt>
                <c:pt idx="98">
                  <c:v>1289.0715534853152</c:v>
                </c:pt>
                <c:pt idx="99">
                  <c:v>1287.6936169717585</c:v>
                </c:pt>
                <c:pt idx="100">
                  <c:v>1286.3041976539218</c:v>
                </c:pt>
                <c:pt idx="101">
                  <c:v>1284.9031998417702</c:v>
                </c:pt>
                <c:pt idx="102">
                  <c:v>1283.4905270478503</c:v>
                </c:pt>
                <c:pt idx="103">
                  <c:v>1282.0660819806481</c:v>
                </c:pt>
                <c:pt idx="104">
                  <c:v>1280.6297665378856</c:v>
                </c:pt>
                <c:pt idx="105">
                  <c:v>1279.181481799767</c:v>
                </c:pt>
                <c:pt idx="106">
                  <c:v>1277.7211280221641</c:v>
                </c:pt>
                <c:pt idx="107">
                  <c:v>1276.2486046297479</c:v>
                </c:pt>
                <c:pt idx="108">
                  <c:v>1274.7638102090611</c:v>
                </c:pt>
                <c:pt idx="109">
                  <c:v>1273.2666425015354</c:v>
                </c:pt>
                <c:pt idx="110">
                  <c:v>1271.7569983964472</c:v>
                </c:pt>
                <c:pt idx="111">
                  <c:v>1270.2347739238166</c:v>
                </c:pt>
                <c:pt idx="112">
                  <c:v>1268.6998642472472</c:v>
                </c:pt>
                <c:pt idx="113">
                  <c:v>1267.1521636567065</c:v>
                </c:pt>
                <c:pt idx="114">
                  <c:v>1265.5915655612448</c:v>
                </c:pt>
                <c:pt idx="115">
                  <c:v>1264.0179624816542</c:v>
                </c:pt>
                <c:pt idx="116">
                  <c:v>1262.4312460430667</c:v>
                </c:pt>
                <c:pt idx="117">
                  <c:v>1260.8313069674912</c:v>
                </c:pt>
                <c:pt idx="118">
                  <c:v>1259.2180350662859</c:v>
                </c:pt>
                <c:pt idx="119">
                  <c:v>1257.5913192325706</c:v>
                </c:pt>
                <c:pt idx="120">
                  <c:v>1255.9510474335741</c:v>
                </c:pt>
                <c:pt idx="121">
                  <c:v>1254.2971067029193</c:v>
                </c:pt>
                <c:pt idx="122">
                  <c:v>1252.6293831328428</c:v>
                </c:pt>
                <c:pt idx="123">
                  <c:v>1250.9477618663486</c:v>
                </c:pt>
                <c:pt idx="124">
                  <c:v>1249.2521270893005</c:v>
                </c:pt>
                <c:pt idx="125">
                  <c:v>1247.5423620224435</c:v>
                </c:pt>
                <c:pt idx="126">
                  <c:v>1245.8183489133628</c:v>
                </c:pt>
                <c:pt idx="127">
                  <c:v>1244.0799690283729</c:v>
                </c:pt>
                <c:pt idx="128">
                  <c:v>1242.3271026443417</c:v>
                </c:pt>
                <c:pt idx="129">
                  <c:v>1240.5596290404435</c:v>
                </c:pt>
                <c:pt idx="130">
                  <c:v>1238.7774264898462</c:v>
                </c:pt>
                <c:pt idx="131">
                  <c:v>1236.9803722513273</c:v>
                </c:pt>
                <c:pt idx="132">
                  <c:v>1235.1683425608205</c:v>
                </c:pt>
                <c:pt idx="133">
                  <c:v>1233.341212622893</c:v>
                </c:pt>
                <c:pt idx="134">
                  <c:v>1231.4988566021493</c:v>
                </c:pt>
                <c:pt idx="135">
                  <c:v>1229.6411476145661</c:v>
                </c:pt>
                <c:pt idx="136">
                  <c:v>1227.767957718753</c:v>
                </c:pt>
                <c:pt idx="137">
                  <c:v>1225.8791579071415</c:v>
                </c:pt>
                <c:pt idx="138">
                  <c:v>1223.9746180971001</c:v>
                </c:pt>
                <c:pt idx="139">
                  <c:v>1222.0542071219747</c:v>
                </c:pt>
                <c:pt idx="140">
                  <c:v>1220.1177927220567</c:v>
                </c:pt>
                <c:pt idx="141">
                  <c:v>1218.1652415354729</c:v>
                </c:pt>
                <c:pt idx="142">
                  <c:v>1216.1964190890008</c:v>
                </c:pt>
                <c:pt idx="143">
                  <c:v>1214.211189788808</c:v>
                </c:pt>
                <c:pt idx="144">
                  <c:v>1212.209416911114</c:v>
                </c:pt>
                <c:pt idx="145">
                  <c:v>1210.1909625927722</c:v>
                </c:pt>
                <c:pt idx="146">
                  <c:v>1208.1556878217775</c:v>
                </c:pt>
                <c:pt idx="147">
                  <c:v>1206.1034524276913</c:v>
                </c:pt>
                <c:pt idx="148">
                  <c:v>1204.0341150719876</c:v>
                </c:pt>
                <c:pt idx="149">
                  <c:v>1201.9475332383197</c:v>
                </c:pt>
                <c:pt idx="150">
                  <c:v>1199.8435632227047</c:v>
                </c:pt>
                <c:pt idx="151">
                  <c:v>1197.7220601236261</c:v>
                </c:pt>
                <c:pt idx="152">
                  <c:v>1195.5828778320551</c:v>
                </c:pt>
                <c:pt idx="153">
                  <c:v>1193.4258690213878</c:v>
                </c:pt>
                <c:pt idx="154">
                  <c:v>1191.2508851372984</c:v>
                </c:pt>
                <c:pt idx="155">
                  <c:v>1189.0577763875081</c:v>
                </c:pt>
                <c:pt idx="156">
                  <c:v>1186.8463917314696</c:v>
                </c:pt>
                <c:pt idx="157">
                  <c:v>1184.6165788699641</c:v>
                </c:pt>
                <c:pt idx="158">
                  <c:v>1182.3681842346125</c:v>
                </c:pt>
                <c:pt idx="159">
                  <c:v>1180.1010529773</c:v>
                </c:pt>
                <c:pt idx="160">
                  <c:v>1177.8150289595098</c:v>
                </c:pt>
                <c:pt idx="161">
                  <c:v>1175.5099547415712</c:v>
                </c:pt>
                <c:pt idx="162">
                  <c:v>1173.1856715718166</c:v>
                </c:pt>
                <c:pt idx="163">
                  <c:v>1170.8420193756472</c:v>
                </c:pt>
                <c:pt idx="164">
                  <c:v>1168.4788367445099</c:v>
                </c:pt>
                <c:pt idx="165">
                  <c:v>1166.0959609247798</c:v>
                </c:pt>
                <c:pt idx="166">
                  <c:v>1163.6932278065517</c:v>
                </c:pt>
                <c:pt idx="167">
                  <c:v>1161.2704719123387</c:v>
                </c:pt>
                <c:pt idx="168">
                  <c:v>1158.8275263856738</c:v>
                </c:pt>
                <c:pt idx="169">
                  <c:v>1156.3642229796201</c:v>
                </c:pt>
                <c:pt idx="170">
                  <c:v>1153.8803920451826</c:v>
                </c:pt>
                <c:pt idx="171">
                  <c:v>1151.3758625196247</c:v>
                </c:pt>
                <c:pt idx="172">
                  <c:v>1148.8504619146872</c:v>
                </c:pt>
                <c:pt idx="173">
                  <c:v>1146.3040163047085</c:v>
                </c:pt>
                <c:pt idx="174">
                  <c:v>1143.7363503146469</c:v>
                </c:pt>
                <c:pt idx="175">
                  <c:v>1141.1472871080011</c:v>
                </c:pt>
                <c:pt idx="176">
                  <c:v>1138.5366483746334</c:v>
                </c:pt>
                <c:pt idx="177">
                  <c:v>1135.9042543184876</c:v>
                </c:pt>
                <c:pt idx="178">
                  <c:v>1133.2499236452072</c:v>
                </c:pt>
                <c:pt idx="179">
                  <c:v>1130.5734735496494</c:v>
                </c:pt>
                <c:pt idx="180">
                  <c:v>1127.8747197032953</c:v>
                </c:pt>
                <c:pt idx="181">
                  <c:v>1125.1534762415552</c:v>
                </c:pt>
                <c:pt idx="182">
                  <c:v>1122.4095557509672</c:v>
                </c:pt>
                <c:pt idx="183">
                  <c:v>1119.6427692562909</c:v>
                </c:pt>
                <c:pt idx="184">
                  <c:v>1116.8529262074921</c:v>
                </c:pt>
                <c:pt idx="185">
                  <c:v>1114.0398344666203</c:v>
                </c:pt>
                <c:pt idx="186">
                  <c:v>1111.2033002945743</c:v>
                </c:pt>
                <c:pt idx="187">
                  <c:v>1108.3431283377613</c:v>
                </c:pt>
                <c:pt idx="188">
                  <c:v>1105.4591216146414</c:v>
                </c:pt>
                <c:pt idx="189">
                  <c:v>1102.5510815021623</c:v>
                </c:pt>
                <c:pt idx="190">
                  <c:v>1099.6188077220793</c:v>
                </c:pt>
                <c:pt idx="191">
                  <c:v>1096.6620983271621</c:v>
                </c:pt>
                <c:pt idx="192">
                  <c:v>1093.6807496872873</c:v>
                </c:pt>
                <c:pt idx="193">
                  <c:v>1090.6745564754137</c:v>
                </c:pt>
                <c:pt idx="194">
                  <c:v>1087.6433116534411</c:v>
                </c:pt>
                <c:pt idx="195">
                  <c:v>1084.586806457952</c:v>
                </c:pt>
                <c:pt idx="196">
                  <c:v>1081.5048303858339</c:v>
                </c:pt>
                <c:pt idx="197">
                  <c:v>1078.3971711797813</c:v>
                </c:pt>
                <c:pt idx="198">
                  <c:v>1075.2636148136785</c:v>
                </c:pt>
                <c:pt idx="199">
                  <c:v>1072.1039454778579</c:v>
                </c:pt>
                <c:pt idx="200">
                  <c:v>1068.9179455642391</c:v>
                </c:pt>
                <c:pt idx="201">
                  <c:v>1065.70539565134</c:v>
                </c:pt>
                <c:pt idx="202">
                  <c:v>1062.4660744891667</c:v>
                </c:pt>
                <c:pt idx="203">
                  <c:v>1059.1997589839752</c:v>
                </c:pt>
                <c:pt idx="204">
                  <c:v>1055.9062241829074</c:v>
                </c:pt>
                <c:pt idx="205">
                  <c:v>1052.585243258497</c:v>
                </c:pt>
                <c:pt idx="206">
                  <c:v>1049.2365874930501</c:v>
                </c:pt>
                <c:pt idx="207">
                  <c:v>1045.8600262628911</c:v>
                </c:pt>
                <c:pt idx="208">
                  <c:v>1042.4553270224808</c:v>
                </c:pt>
                <c:pt idx="209">
                  <c:v>1039.0222552884004</c:v>
                </c:pt>
                <c:pt idx="210">
                  <c:v>1035.5605746232027</c:v>
                </c:pt>
                <c:pt idx="211">
                  <c:v>1032.0700466191281</c:v>
                </c:pt>
                <c:pt idx="212">
                  <c:v>1028.5504308816865</c:v>
                </c:pt>
                <c:pt idx="213">
                  <c:v>1025.0014850130995</c:v>
                </c:pt>
                <c:pt idx="214">
                  <c:v>1021.4229645956076</c:v>
                </c:pt>
                <c:pt idx="215">
                  <c:v>1017.8146231746365</c:v>
                </c:pt>
                <c:pt idx="216">
                  <c:v>1014.176212241824</c:v>
                </c:pt>
                <c:pt idx="217">
                  <c:v>1010.5074812179048</c:v>
                </c:pt>
                <c:pt idx="218">
                  <c:v>1006.8081774354529</c:v>
                </c:pt>
                <c:pt idx="219">
                  <c:v>1003.0780461214806</c:v>
                </c:pt>
                <c:pt idx="220">
                  <c:v>999.31683037989194</c:v>
                </c:pt>
                <c:pt idx="221">
                  <c:v>995.52427117379</c:v>
                </c:pt>
                <c:pt idx="222">
                  <c:v>991.70010730763715</c:v>
                </c:pt>
                <c:pt idx="223">
                  <c:v>987.84407540926634</c:v>
                </c:pt>
                <c:pt idx="224">
                  <c:v>983.95590991174242</c:v>
                </c:pt>
                <c:pt idx="225">
                  <c:v>980.03534303507251</c:v>
                </c:pt>
                <c:pt idx="226">
                  <c:v>976.08210476776378</c:v>
                </c:pt>
                <c:pt idx="227">
                  <c:v>972.09592284822747</c:v>
                </c:pt>
                <c:pt idx="228">
                  <c:v>968.07652274602833</c:v>
                </c:pt>
                <c:pt idx="229">
                  <c:v>964.02362764297743</c:v>
                </c:pt>
                <c:pt idx="230">
                  <c:v>959.93695841406782</c:v>
                </c:pt>
                <c:pt idx="231">
                  <c:v>955.81623360825063</c:v>
                </c:pt>
                <c:pt idx="232">
                  <c:v>951.66116942905171</c:v>
                </c:pt>
                <c:pt idx="233">
                  <c:v>947.47147971502613</c:v>
                </c:pt>
                <c:pt idx="234">
                  <c:v>943.24687592005023</c:v>
                </c:pt>
                <c:pt idx="235">
                  <c:v>938.98706709344958</c:v>
                </c:pt>
                <c:pt idx="236">
                  <c:v>934.69175985996071</c:v>
                </c:pt>
                <c:pt idx="237">
                  <c:v>930.36065839952596</c:v>
                </c:pt>
                <c:pt idx="238">
                  <c:v>925.99346442692092</c:v>
                </c:pt>
                <c:pt idx="239">
                  <c:v>921.58987717121079</c:v>
                </c:pt>
                <c:pt idx="240">
                  <c:v>917.14959335503647</c:v>
                </c:pt>
                <c:pt idx="241">
                  <c:v>912.6723071737274</c:v>
                </c:pt>
                <c:pt idx="242">
                  <c:v>908.1577102742408</c:v>
                </c:pt>
                <c:pt idx="243">
                  <c:v>903.60549173392496</c:v>
                </c:pt>
                <c:pt idx="244">
                  <c:v>899.01533803910661</c:v>
                </c:pt>
                <c:pt idx="245">
                  <c:v>894.38693306349808</c:v>
                </c:pt>
                <c:pt idx="246">
                  <c:v>889.7199580464262</c:v>
                </c:pt>
                <c:pt idx="247">
                  <c:v>885.01409157087869</c:v>
                </c:pt>
                <c:pt idx="248">
                  <c:v>880.26900954136829</c:v>
                </c:pt>
                <c:pt idx="249">
                  <c:v>875.48438516161195</c:v>
                </c:pt>
                <c:pt idx="250">
                  <c:v>870.65988891202426</c:v>
                </c:pt>
                <c:pt idx="251">
                  <c:v>865.79518852702347</c:v>
                </c:pt>
                <c:pt idx="252">
                  <c:v>860.88994897214764</c:v>
                </c:pt>
                <c:pt idx="253">
                  <c:v>855.94383242098104</c:v>
                </c:pt>
                <c:pt idx="254">
                  <c:v>850.95649823188819</c:v>
                </c:pt>
                <c:pt idx="255">
                  <c:v>845.92760292455284</c:v>
                </c:pt>
                <c:pt idx="256">
                  <c:v>840.85680015632306</c:v>
                </c:pt>
                <c:pt idx="257">
                  <c:v>835.7437406983579</c:v>
                </c:pt>
                <c:pt idx="258">
                  <c:v>830.58807241157649</c:v>
                </c:pt>
                <c:pt idx="259">
                  <c:v>825.38944022240526</c:v>
                </c:pt>
                <c:pt idx="260">
                  <c:v>820.14748609832418</c:v>
                </c:pt>
                <c:pt idx="261">
                  <c:v>814.86184902320917</c:v>
                </c:pt>
                <c:pt idx="262">
                  <c:v>809.53216497246819</c:v>
                </c:pt>
                <c:pt idx="263">
                  <c:v>804.15806688797102</c:v>
                </c:pt>
                <c:pt idx="264">
                  <c:v>798.73918465276972</c:v>
                </c:pt>
                <c:pt idx="265">
                  <c:v>793.2751450656084</c:v>
                </c:pt>
                <c:pt idx="266">
                  <c:v>787.7655718152206</c:v>
                </c:pt>
                <c:pt idx="267">
                  <c:v>782.21008545441305</c:v>
                </c:pt>
                <c:pt idx="268">
                  <c:v>776.60830337393202</c:v>
                </c:pt>
                <c:pt idx="269">
                  <c:v>770.95983977611365</c:v>
                </c:pt>
                <c:pt idx="270">
                  <c:v>765.26430564831355</c:v>
                </c:pt>
                <c:pt idx="271">
                  <c:v>759.52130873611509</c:v>
                </c:pt>
                <c:pt idx="272">
                  <c:v>753.73045351631492</c:v>
                </c:pt>
                <c:pt idx="273">
                  <c:v>747.89134116968319</c:v>
                </c:pt>
                <c:pt idx="274">
                  <c:v>742.00356955349605</c:v>
                </c:pt>
                <c:pt idx="275">
                  <c:v>736.06673317384082</c:v>
                </c:pt>
                <c:pt idx="276">
                  <c:v>730.08042315768841</c:v>
                </c:pt>
                <c:pt idx="277">
                  <c:v>724.04422722473475</c:v>
                </c:pt>
                <c:pt idx="278">
                  <c:v>717.95772965900653</c:v>
                </c:pt>
                <c:pt idx="279">
                  <c:v>711.82051128023045</c:v>
                </c:pt>
                <c:pt idx="280">
                  <c:v>705.63214941496472</c:v>
                </c:pt>
                <c:pt idx="281">
                  <c:v>699.39221786748828</c:v>
                </c:pt>
                <c:pt idx="282">
                  <c:v>693.10028689044964</c:v>
                </c:pt>
                <c:pt idx="283">
                  <c:v>686.7559231552691</c:v>
                </c:pt>
                <c:pt idx="284">
                  <c:v>680.35868972229525</c:v>
                </c:pt>
                <c:pt idx="285">
                  <c:v>673.90814601071327</c:v>
                </c:pt>
                <c:pt idx="286">
                  <c:v>667.40384776820133</c:v>
                </c:pt>
                <c:pt idx="287">
                  <c:v>660.84534704033524</c:v>
                </c:pt>
                <c:pt idx="288">
                  <c:v>654.23219213973698</c:v>
                </c:pt>
                <c:pt idx="289">
                  <c:v>647.56392761496704</c:v>
                </c:pt>
                <c:pt idx="290">
                  <c:v>640.84009421915732</c:v>
                </c:pt>
                <c:pt idx="291">
                  <c:v>634.06022887838265</c:v>
                </c:pt>
                <c:pt idx="292">
                  <c:v>627.22386465976797</c:v>
                </c:pt>
                <c:pt idx="293">
                  <c:v>620.33053073933161</c:v>
                </c:pt>
                <c:pt idx="294">
                  <c:v>613.37975236955822</c:v>
                </c:pt>
                <c:pt idx="295">
                  <c:v>606.3710508467035</c:v>
                </c:pt>
                <c:pt idx="296">
                  <c:v>599.30394347782499</c:v>
                </c:pt>
                <c:pt idx="297">
                  <c:v>592.17794354753903</c:v>
                </c:pt>
                <c:pt idx="298">
                  <c:v>584.99256028450088</c:v>
                </c:pt>
                <c:pt idx="299">
                  <c:v>577.74729882760391</c:v>
                </c:pt>
                <c:pt idx="300">
                  <c:v>570.44166019189959</c:v>
                </c:pt>
                <c:pt idx="301">
                  <c:v>563.07514123423095</c:v>
                </c:pt>
                <c:pt idx="302">
                  <c:v>555.64723461858182</c:v>
                </c:pt>
                <c:pt idx="303">
                  <c:v>548.15742878113565</c:v>
                </c:pt>
                <c:pt idx="304">
                  <c:v>540.60520789504392</c:v>
                </c:pt>
                <c:pt idx="305">
                  <c:v>532.99005183490158</c:v>
                </c:pt>
                <c:pt idx="306">
                  <c:v>525.31143614092468</c:v>
                </c:pt>
                <c:pt idx="307">
                  <c:v>517.56883198283128</c:v>
                </c:pt>
                <c:pt idx="308">
                  <c:v>509.76170612342054</c:v>
                </c:pt>
                <c:pt idx="309">
                  <c:v>501.88952088184794</c:v>
                </c:pt>
                <c:pt idx="310">
                  <c:v>493.9517340965956</c:v>
                </c:pt>
                <c:pt idx="311">
                  <c:v>485.94779908813274</c:v>
                </c:pt>
                <c:pt idx="312">
                  <c:v>477.8771646212661</c:v>
                </c:pt>
                <c:pt idx="313">
                  <c:v>469.73927486717554</c:v>
                </c:pt>
                <c:pt idx="314">
                  <c:v>461.53356936513427</c:v>
                </c:pt>
                <c:pt idx="315">
                  <c:v>453.25948298390932</c:v>
                </c:pt>
                <c:pt idx="316">
                  <c:v>444.91644588284083</c:v>
                </c:pt>
                <c:pt idx="317">
                  <c:v>436.50388347259673</c:v>
                </c:pt>
                <c:pt idx="318">
                  <c:v>428.0212163756006</c:v>
                </c:pt>
                <c:pt idx="319">
                  <c:v>419.46786038612953</c:v>
                </c:pt>
                <c:pt idx="320">
                  <c:v>410.84322643007948</c:v>
                </c:pt>
                <c:pt idx="321">
                  <c:v>402.14672052439573</c:v>
                </c:pt>
                <c:pt idx="322">
                  <c:v>393.37774373616469</c:v>
                </c:pt>
                <c:pt idx="323">
                  <c:v>384.53569214136496</c:v>
                </c:pt>
                <c:pt idx="324">
                  <c:v>375.61995678327526</c:v>
                </c:pt>
                <c:pt idx="325">
                  <c:v>366.62992363053479</c:v>
                </c:pt>
                <c:pt idx="326">
                  <c:v>357.56497353485486</c:v>
                </c:pt>
                <c:pt idx="327">
                  <c:v>348.42448218837757</c:v>
                </c:pt>
                <c:pt idx="328">
                  <c:v>339.20782008067965</c:v>
                </c:pt>
                <c:pt idx="329">
                  <c:v>329.91435245541754</c:v>
                </c:pt>
                <c:pt idx="330">
                  <c:v>320.54343926661159</c:v>
                </c:pt>
                <c:pt idx="331">
                  <c:v>311.09443513456557</c:v>
                </c:pt>
                <c:pt idx="332">
                  <c:v>301.56668930141922</c:v>
                </c:pt>
                <c:pt idx="333">
                  <c:v>291.95954558632997</c:v>
                </c:pt>
                <c:pt idx="334">
                  <c:v>282.27234234028163</c:v>
                </c:pt>
                <c:pt idx="335">
                  <c:v>272.50441240051623</c:v>
                </c:pt>
                <c:pt idx="336">
                  <c:v>262.65508304458609</c:v>
                </c:pt>
                <c:pt idx="337">
                  <c:v>252.72367594402326</c:v>
                </c:pt>
                <c:pt idx="338">
                  <c:v>242.70950711762234</c:v>
                </c:pt>
                <c:pt idx="339">
                  <c:v>232.61188688433475</c:v>
                </c:pt>
                <c:pt idx="340">
                  <c:v>222.43011981576979</c:v>
                </c:pt>
                <c:pt idx="341">
                  <c:v>212.16350468830012</c:v>
                </c:pt>
                <c:pt idx="342">
                  <c:v>201.81133443476818</c:v>
                </c:pt>
                <c:pt idx="343">
                  <c:v>191.37289609579017</c:v>
                </c:pt>
                <c:pt idx="344">
                  <c:v>180.84747077065401</c:v>
                </c:pt>
                <c:pt idx="345">
                  <c:v>170.23433356780836</c:v>
                </c:pt>
                <c:pt idx="346">
                  <c:v>159.53275355493901</c:v>
                </c:pt>
                <c:pt idx="347">
                  <c:v>148.74199370862908</c:v>
                </c:pt>
                <c:pt idx="348">
                  <c:v>137.8613108635999</c:v>
                </c:pt>
                <c:pt idx="349">
                  <c:v>126.8899556615288</c:v>
                </c:pt>
                <c:pt idx="350">
                  <c:v>115.82717249944045</c:v>
                </c:pt>
                <c:pt idx="351">
                  <c:v>104.67219947766804</c:v>
                </c:pt>
                <c:pt idx="352">
                  <c:v>93.42426834738086</c:v>
                </c:pt>
                <c:pt idx="353">
                  <c:v>82.082604457674606</c:v>
                </c:pt>
                <c:pt idx="354">
                  <c:v>70.646426702220822</c:v>
                </c:pt>
                <c:pt idx="355">
                  <c:v>59.114947465471573</c:v>
                </c:pt>
                <c:pt idx="356">
                  <c:v>47.487372568416077</c:v>
                </c:pt>
                <c:pt idx="357">
                  <c:v>35.762901213885129</c:v>
                </c:pt>
                <c:pt idx="358">
                  <c:v>23.940725931399754</c:v>
                </c:pt>
                <c:pt idx="359">
                  <c:v>12.020032521560333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23C-423D-88A9-C66604B70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930575"/>
        <c:axId val="1890929327"/>
      </c:scatterChart>
      <c:valAx>
        <c:axId val="912882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093855"/>
        <c:crosses val="autoZero"/>
        <c:crossBetween val="midCat"/>
      </c:valAx>
      <c:valAx>
        <c:axId val="106509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882367"/>
        <c:crosses val="autoZero"/>
        <c:crossBetween val="midCat"/>
      </c:valAx>
      <c:valAx>
        <c:axId val="1890929327"/>
        <c:scaling>
          <c:orientation val="minMax"/>
        </c:scaling>
        <c:delete val="0"/>
        <c:axPos val="r"/>
        <c:numFmt formatCode="&quot;$&quot;#,##0.00_);[Red]\(&quot;$&quot;#,##0.00\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930575"/>
        <c:crosses val="max"/>
        <c:crossBetween val="midCat"/>
      </c:valAx>
      <c:valAx>
        <c:axId val="1890930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90929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501014</xdr:colOff>
      <xdr:row>7</xdr:row>
      <xdr:rowOff>17145</xdr:rowOff>
    </xdr:from>
    <xdr:to>
      <xdr:col>13</xdr:col>
      <xdr:colOff>283844</xdr:colOff>
      <xdr:row>35</xdr:row>
      <xdr:rowOff>55245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B69894-6643-47DC-B40F-8394040363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276224</xdr:colOff>
      <xdr:row>1</xdr:row>
      <xdr:rowOff>110815</xdr:rowOff>
    </xdr:from>
    <xdr:to>
      <xdr:col>17</xdr:col>
      <xdr:colOff>549153</xdr:colOff>
      <xdr:row>7</xdr:row>
      <xdr:rowOff>57401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34C1E8-D639-4734-9C35-3D1B35384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89479" y="291790"/>
          <a:ext cx="2103634" cy="10286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874394</xdr:colOff>
      <xdr:row>7</xdr:row>
      <xdr:rowOff>17145</xdr:rowOff>
    </xdr:from>
    <xdr:to>
      <xdr:col>12</xdr:col>
      <xdr:colOff>154304</xdr:colOff>
      <xdr:row>35</xdr:row>
      <xdr:rowOff>55245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6A3ABF-603C-461B-83F8-909B9C499A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276224</xdr:colOff>
      <xdr:row>1</xdr:row>
      <xdr:rowOff>110815</xdr:rowOff>
    </xdr:from>
    <xdr:to>
      <xdr:col>17</xdr:col>
      <xdr:colOff>552963</xdr:colOff>
      <xdr:row>7</xdr:row>
      <xdr:rowOff>53591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2EE518-AF7F-709C-7A8D-DB65BD3F7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44649" y="291790"/>
          <a:ext cx="2094109" cy="10191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EAF4A-6A4C-4FB8-B12E-29055D0249AD}">
  <dimension ref="A1:M57"/>
  <sheetViews>
    <sheetView zoomScale="105" workbookViewId="0">
      <selection activeCell="C16" sqref="C16"/>
    </sheetView>
  </sheetViews>
  <sheetFormatPr defaultRowHeight="14.4" x14ac:dyDescent="0.3"/>
  <cols>
    <col min="1" max="1" width="39.21875" customWidth="1"/>
    <col min="2" max="2" width="16.33203125" customWidth="1"/>
    <col min="3" max="3" width="14.33203125" customWidth="1"/>
    <col min="4" max="5" width="9.6640625" customWidth="1"/>
    <col min="6" max="6" width="3.33203125" customWidth="1"/>
    <col min="7" max="7" width="49.21875" customWidth="1"/>
    <col min="8" max="8" width="12.33203125" bestFit="1" customWidth="1"/>
    <col min="9" max="9" width="3.77734375" customWidth="1"/>
    <col min="10" max="10" width="2.88671875" customWidth="1"/>
    <col min="11" max="11" width="39.33203125" bestFit="1" customWidth="1"/>
    <col min="12" max="12" width="12.77734375" bestFit="1" customWidth="1"/>
    <col min="13" max="13" width="11.77734375" bestFit="1" customWidth="1"/>
  </cols>
  <sheetData>
    <row r="1" spans="1:13" x14ac:dyDescent="0.3">
      <c r="A1" s="18" t="s">
        <v>101</v>
      </c>
    </row>
    <row r="2" spans="1:13" x14ac:dyDescent="0.3">
      <c r="A2">
        <v>5271</v>
      </c>
      <c r="B2" t="s">
        <v>18</v>
      </c>
    </row>
    <row r="3" spans="1:13" x14ac:dyDescent="0.3">
      <c r="A3" s="17">
        <v>875000</v>
      </c>
      <c r="B3" t="s">
        <v>51</v>
      </c>
      <c r="C3" s="6">
        <f>A3/A2</f>
        <v>166.00265604249668</v>
      </c>
    </row>
    <row r="5" spans="1:13" x14ac:dyDescent="0.3">
      <c r="A5" t="s">
        <v>0</v>
      </c>
      <c r="B5" s="6">
        <v>875000</v>
      </c>
      <c r="C5" s="7">
        <f>B5/A2</f>
        <v>166.00265604249668</v>
      </c>
      <c r="G5" s="39" t="s">
        <v>9</v>
      </c>
      <c r="H5" s="51">
        <v>0.09</v>
      </c>
      <c r="K5" t="s">
        <v>11</v>
      </c>
      <c r="L5">
        <v>4</v>
      </c>
      <c r="M5" s="7">
        <f>B5*(L5/100)</f>
        <v>35000</v>
      </c>
    </row>
    <row r="6" spans="1:13" ht="15" thickBot="1" x14ac:dyDescent="0.35">
      <c r="A6" t="s">
        <v>48</v>
      </c>
      <c r="B6" s="6">
        <f>B5*0.03</f>
        <v>26250</v>
      </c>
      <c r="G6" s="39" t="s">
        <v>32</v>
      </c>
      <c r="H6" s="55">
        <f>((B5-B7)*H5)/12</f>
        <v>5250</v>
      </c>
      <c r="K6" t="s">
        <v>12</v>
      </c>
      <c r="L6">
        <v>24</v>
      </c>
    </row>
    <row r="7" spans="1:13" x14ac:dyDescent="0.3">
      <c r="A7" s="56" t="s">
        <v>27</v>
      </c>
      <c r="B7" s="57">
        <f>B5*0.2</f>
        <v>175000</v>
      </c>
      <c r="H7" s="6"/>
      <c r="K7" t="s">
        <v>13</v>
      </c>
      <c r="L7" s="5">
        <v>0.12</v>
      </c>
    </row>
    <row r="8" spans="1:13" x14ac:dyDescent="0.3">
      <c r="A8" s="39" t="s">
        <v>87</v>
      </c>
      <c r="B8" s="55">
        <f>B5-B7</f>
        <v>700000</v>
      </c>
      <c r="G8" s="39" t="s">
        <v>44</v>
      </c>
      <c r="H8" s="53">
        <f>SUM(C44:C48,C53:C55)</f>
        <v>7805.6960660885716</v>
      </c>
      <c r="K8" t="s">
        <v>14</v>
      </c>
      <c r="L8" s="7">
        <f>(B5*L7)/12</f>
        <v>8750</v>
      </c>
    </row>
    <row r="9" spans="1:13" x14ac:dyDescent="0.3">
      <c r="B9" s="47"/>
      <c r="G9" s="39" t="s">
        <v>43</v>
      </c>
      <c r="H9" s="23">
        <f>SUM(C49:C52)</f>
        <v>649</v>
      </c>
    </row>
    <row r="10" spans="1:13" x14ac:dyDescent="0.3">
      <c r="B10" s="6"/>
      <c r="G10" s="49" t="s">
        <v>45</v>
      </c>
      <c r="H10" s="54">
        <f>H9+H8</f>
        <v>8454.6960660885707</v>
      </c>
    </row>
    <row r="11" spans="1:13" x14ac:dyDescent="0.3">
      <c r="A11" t="s">
        <v>8</v>
      </c>
      <c r="B11" s="9">
        <f>SUM(B5,E41)</f>
        <v>876948.88888888888</v>
      </c>
      <c r="G11" t="s">
        <v>99</v>
      </c>
      <c r="H11" s="7">
        <f>H10+E41</f>
        <v>10403.584954977459</v>
      </c>
    </row>
    <row r="12" spans="1:13" x14ac:dyDescent="0.3">
      <c r="A12" t="s">
        <v>10</v>
      </c>
      <c r="B12" s="9">
        <v>875000</v>
      </c>
      <c r="C12" s="7">
        <f>B12/A2</f>
        <v>166.00265604249668</v>
      </c>
    </row>
    <row r="13" spans="1:13" x14ac:dyDescent="0.3">
      <c r="B13" s="9"/>
      <c r="G13" s="7"/>
    </row>
    <row r="14" spans="1:13" ht="15" thickBot="1" x14ac:dyDescent="0.35">
      <c r="A14" s="39" t="s">
        <v>102</v>
      </c>
      <c r="B14" s="23">
        <v>1811</v>
      </c>
      <c r="C14" s="39" t="s">
        <v>86</v>
      </c>
      <c r="K14" t="s">
        <v>49</v>
      </c>
      <c r="L14" s="7">
        <f>SUM(M5+B6+B7)</f>
        <v>236250</v>
      </c>
    </row>
    <row r="15" spans="1:13" ht="15" thickBot="1" x14ac:dyDescent="0.35">
      <c r="A15" s="39"/>
      <c r="B15" s="23">
        <f>B14*4</f>
        <v>7244</v>
      </c>
      <c r="C15" s="39" t="s">
        <v>92</v>
      </c>
      <c r="G15" s="62" t="s">
        <v>53</v>
      </c>
      <c r="H15" s="63"/>
      <c r="K15" t="s">
        <v>50</v>
      </c>
      <c r="L15" s="16">
        <f>E41</f>
        <v>1948.8888888888889</v>
      </c>
    </row>
    <row r="16" spans="1:13" x14ac:dyDescent="0.3">
      <c r="A16" s="39" t="s">
        <v>94</v>
      </c>
      <c r="B16" s="23">
        <f>B15*$C$43</f>
        <v>86928</v>
      </c>
      <c r="C16" s="39" t="s">
        <v>93</v>
      </c>
      <c r="G16" s="36" t="s">
        <v>78</v>
      </c>
      <c r="H16" s="48">
        <f>B15-H10</f>
        <v>-1210.6960660885707</v>
      </c>
    </row>
    <row r="17" spans="1:9" x14ac:dyDescent="0.3">
      <c r="G17" s="20" t="s">
        <v>54</v>
      </c>
      <c r="H17" s="58">
        <f>(H16*C43)/(B7)</f>
        <v>-8.3019158817501992E-2</v>
      </c>
    </row>
    <row r="18" spans="1:9" x14ac:dyDescent="0.3">
      <c r="A18" t="s">
        <v>95</v>
      </c>
      <c r="B18" s="9">
        <v>86970</v>
      </c>
      <c r="G18" s="20" t="s">
        <v>96</v>
      </c>
      <c r="H18" s="58">
        <f>(B15-C55-C47-C46-C45-C53-C54)*C43/(B5)</f>
        <v>6.3826630639543427E-2</v>
      </c>
    </row>
    <row r="19" spans="1:9" x14ac:dyDescent="0.3">
      <c r="A19" t="s">
        <v>65</v>
      </c>
      <c r="B19" s="9">
        <f>SUM(B45,B53:B54)</f>
        <v>12183.298190399502</v>
      </c>
      <c r="C19" s="9"/>
      <c r="G19" s="20" t="s">
        <v>56</v>
      </c>
      <c r="H19" s="58">
        <f>((B20+(B24-B5))/B22)/B25*12</f>
        <v>8.3245560719512557E-2</v>
      </c>
    </row>
    <row r="20" spans="1:9" x14ac:dyDescent="0.3">
      <c r="A20" s="49" t="s">
        <v>66</v>
      </c>
      <c r="B20" s="23">
        <f>B18-B19</f>
        <v>74786.70180960049</v>
      </c>
      <c r="C20" s="41">
        <f>B20/12</f>
        <v>6232.2251508000409</v>
      </c>
      <c r="D20" s="39" t="s">
        <v>90</v>
      </c>
      <c r="G20" s="20" t="s">
        <v>55</v>
      </c>
      <c r="H20" s="58">
        <f>((H16*12)/(B7+H22))</f>
        <v>-8.0176516161607356E-2</v>
      </c>
      <c r="I20" t="s">
        <v>100</v>
      </c>
    </row>
    <row r="21" spans="1:9" ht="15" thickBot="1" x14ac:dyDescent="0.35">
      <c r="A21" t="s">
        <v>67</v>
      </c>
      <c r="B21" s="9">
        <f>E41*12</f>
        <v>23386.666666666668</v>
      </c>
      <c r="C21" s="7"/>
      <c r="G21" s="21" t="s">
        <v>97</v>
      </c>
      <c r="H21" s="59">
        <f>H16*C43</f>
        <v>-14528.352793062848</v>
      </c>
    </row>
    <row r="22" spans="1:9" ht="28.8" x14ac:dyDescent="0.3">
      <c r="A22" s="49" t="s">
        <v>68</v>
      </c>
      <c r="B22" s="23">
        <f>B5+B21</f>
        <v>898386.66666666663</v>
      </c>
      <c r="G22" s="40" t="s">
        <v>85</v>
      </c>
      <c r="H22" s="23">
        <f>SUM('1930 Congress Amortization'!E6:E17)</f>
        <v>6204.5906781338881</v>
      </c>
    </row>
    <row r="23" spans="1:9" x14ac:dyDescent="0.3">
      <c r="A23" s="18"/>
      <c r="B23" s="9"/>
    </row>
    <row r="24" spans="1:9" x14ac:dyDescent="0.3">
      <c r="A24" s="18" t="s">
        <v>69</v>
      </c>
      <c r="B24" s="9">
        <v>875000</v>
      </c>
      <c r="G24" s="49" t="s">
        <v>88</v>
      </c>
      <c r="H24" s="39"/>
    </row>
    <row r="25" spans="1:9" x14ac:dyDescent="0.3">
      <c r="A25" t="s">
        <v>70</v>
      </c>
      <c r="B25" s="28">
        <v>12</v>
      </c>
      <c r="G25" s="39" t="s">
        <v>89</v>
      </c>
      <c r="H25" s="41">
        <f>(B15/2)-C44</f>
        <v>-1368.7212168886126</v>
      </c>
    </row>
    <row r="26" spans="1:9" x14ac:dyDescent="0.3">
      <c r="B26" s="9"/>
      <c r="G26" s="39" t="s">
        <v>98</v>
      </c>
      <c r="H26" s="42">
        <f>B15/B5</f>
        <v>8.2788571428571434E-3</v>
      </c>
    </row>
    <row r="27" spans="1:9" x14ac:dyDescent="0.3">
      <c r="A27" s="18"/>
      <c r="B27" s="5"/>
    </row>
    <row r="28" spans="1:9" ht="15" thickBot="1" x14ac:dyDescent="0.35"/>
    <row r="29" spans="1:9" ht="43.8" thickBot="1" x14ac:dyDescent="0.35">
      <c r="A29" s="44" t="s">
        <v>77</v>
      </c>
      <c r="B29" s="33" t="s">
        <v>71</v>
      </c>
      <c r="C29" s="33" t="s">
        <v>76</v>
      </c>
      <c r="D29" s="33" t="s">
        <v>75</v>
      </c>
      <c r="E29" s="3" t="s">
        <v>73</v>
      </c>
    </row>
    <row r="30" spans="1:9" x14ac:dyDescent="0.3">
      <c r="A30" s="19" t="s">
        <v>72</v>
      </c>
      <c r="B30">
        <v>25</v>
      </c>
      <c r="C30">
        <v>7000</v>
      </c>
      <c r="D30">
        <f>C30*4</f>
        <v>28000</v>
      </c>
      <c r="E30" s="34">
        <f t="shared" ref="E30:E40" si="0">D30/B30/12</f>
        <v>93.333333333333329</v>
      </c>
      <c r="F30" s="8"/>
    </row>
    <row r="31" spans="1:9" x14ac:dyDescent="0.3">
      <c r="A31" s="2" t="s">
        <v>1</v>
      </c>
      <c r="B31" s="29">
        <v>20</v>
      </c>
      <c r="C31" s="29">
        <v>10000</v>
      </c>
      <c r="D31">
        <f t="shared" ref="D31:D40" si="1">C31*4</f>
        <v>40000</v>
      </c>
      <c r="E31" s="34">
        <f t="shared" si="0"/>
        <v>166.66666666666666</v>
      </c>
      <c r="F31" s="8"/>
    </row>
    <row r="32" spans="1:9" x14ac:dyDescent="0.3">
      <c r="A32" s="1" t="s">
        <v>2</v>
      </c>
      <c r="B32" s="30">
        <v>20</v>
      </c>
      <c r="C32" s="30">
        <v>5000</v>
      </c>
      <c r="D32">
        <f t="shared" si="1"/>
        <v>20000</v>
      </c>
      <c r="E32" s="34">
        <f t="shared" si="0"/>
        <v>83.333333333333329</v>
      </c>
      <c r="F32" s="8"/>
    </row>
    <row r="33" spans="1:10" x14ac:dyDescent="0.3">
      <c r="A33" s="1" t="s">
        <v>6</v>
      </c>
      <c r="B33" s="30">
        <v>10</v>
      </c>
      <c r="C33" s="30">
        <v>8000</v>
      </c>
      <c r="D33">
        <f t="shared" si="1"/>
        <v>32000</v>
      </c>
      <c r="E33" s="34">
        <f t="shared" si="0"/>
        <v>266.66666666666669</v>
      </c>
      <c r="F33" s="8"/>
    </row>
    <row r="34" spans="1:10" x14ac:dyDescent="0.3">
      <c r="A34" s="1" t="s">
        <v>74</v>
      </c>
      <c r="B34" s="30">
        <v>20</v>
      </c>
      <c r="C34" s="30">
        <v>3000</v>
      </c>
      <c r="D34">
        <f t="shared" si="1"/>
        <v>12000</v>
      </c>
      <c r="E34" s="34">
        <f t="shared" si="0"/>
        <v>50</v>
      </c>
      <c r="F34" s="8"/>
    </row>
    <row r="35" spans="1:10" x14ac:dyDescent="0.3">
      <c r="A35" s="1" t="s">
        <v>4</v>
      </c>
      <c r="B35" s="30">
        <v>6</v>
      </c>
      <c r="C35" s="30">
        <v>5000</v>
      </c>
      <c r="D35">
        <f t="shared" si="1"/>
        <v>20000</v>
      </c>
      <c r="E35" s="34">
        <f t="shared" si="0"/>
        <v>277.77777777777777</v>
      </c>
      <c r="F35" s="8"/>
    </row>
    <row r="36" spans="1:10" x14ac:dyDescent="0.3">
      <c r="A36" s="1" t="s">
        <v>5</v>
      </c>
      <c r="B36" s="30">
        <v>6</v>
      </c>
      <c r="C36" s="30">
        <v>5000</v>
      </c>
      <c r="D36">
        <f t="shared" si="1"/>
        <v>20000</v>
      </c>
      <c r="E36" s="34">
        <f t="shared" si="0"/>
        <v>277.77777777777777</v>
      </c>
      <c r="F36" s="8"/>
    </row>
    <row r="37" spans="1:10" x14ac:dyDescent="0.3">
      <c r="A37" s="1" t="s">
        <v>7</v>
      </c>
      <c r="B37" s="30">
        <v>20</v>
      </c>
      <c r="C37" s="30">
        <v>5000</v>
      </c>
      <c r="D37">
        <f t="shared" si="1"/>
        <v>20000</v>
      </c>
      <c r="E37" s="34">
        <f t="shared" si="0"/>
        <v>83.333333333333329</v>
      </c>
      <c r="F37" s="8"/>
    </row>
    <row r="38" spans="1:10" x14ac:dyDescent="0.3">
      <c r="A38" s="1" t="s">
        <v>46</v>
      </c>
      <c r="B38" s="30">
        <v>10</v>
      </c>
      <c r="C38" s="30">
        <v>4000</v>
      </c>
      <c r="D38">
        <f t="shared" si="1"/>
        <v>16000</v>
      </c>
      <c r="E38" s="34">
        <f t="shared" si="0"/>
        <v>133.33333333333334</v>
      </c>
      <c r="F38" s="8"/>
    </row>
    <row r="39" spans="1:10" x14ac:dyDescent="0.3">
      <c r="A39" s="4" t="s">
        <v>52</v>
      </c>
      <c r="B39" s="31">
        <v>10</v>
      </c>
      <c r="C39" s="31">
        <v>15000</v>
      </c>
      <c r="D39">
        <f t="shared" si="1"/>
        <v>60000</v>
      </c>
      <c r="E39" s="34">
        <f t="shared" si="0"/>
        <v>500</v>
      </c>
      <c r="F39" s="8"/>
    </row>
    <row r="40" spans="1:10" ht="15" thickBot="1" x14ac:dyDescent="0.35">
      <c r="A40" s="4" t="s">
        <v>47</v>
      </c>
      <c r="B40" s="31">
        <v>10</v>
      </c>
      <c r="C40" s="31">
        <v>500</v>
      </c>
      <c r="D40">
        <f t="shared" si="1"/>
        <v>2000</v>
      </c>
      <c r="E40" s="34">
        <f t="shared" si="0"/>
        <v>16.666666666666668</v>
      </c>
      <c r="F40" s="8"/>
    </row>
    <row r="41" spans="1:10" ht="15" thickBot="1" x14ac:dyDescent="0.35">
      <c r="A41" s="15" t="s">
        <v>3</v>
      </c>
      <c r="B41" s="32"/>
      <c r="C41" s="32"/>
      <c r="D41" s="32"/>
      <c r="E41" s="35">
        <f>SUM(E30:E40)</f>
        <v>1948.8888888888889</v>
      </c>
      <c r="F41" s="43"/>
    </row>
    <row r="42" spans="1:10" x14ac:dyDescent="0.3">
      <c r="A42" s="18"/>
      <c r="B42" s="18"/>
      <c r="C42" s="18"/>
      <c r="D42" s="18"/>
      <c r="E42" s="43"/>
      <c r="F42" s="43"/>
    </row>
    <row r="43" spans="1:10" x14ac:dyDescent="0.3">
      <c r="A43" s="49" t="s">
        <v>79</v>
      </c>
      <c r="B43" s="39"/>
      <c r="C43" s="49">
        <v>12</v>
      </c>
      <c r="D43" s="49" t="s">
        <v>57</v>
      </c>
    </row>
    <row r="44" spans="1:10" x14ac:dyDescent="0.3">
      <c r="A44" s="39" t="s">
        <v>80</v>
      </c>
      <c r="B44" s="45">
        <f>C44*$C$43</f>
        <v>59888.654602663351</v>
      </c>
      <c r="C44" s="45">
        <f>'1930 Congress Amortization'!D6</f>
        <v>4990.7212168886126</v>
      </c>
      <c r="D44" s="39"/>
    </row>
    <row r="45" spans="1:10" x14ac:dyDescent="0.3">
      <c r="A45" s="39" t="s">
        <v>82</v>
      </c>
      <c r="B45" s="45">
        <f>C45*C43</f>
        <v>8983.2981903995023</v>
      </c>
      <c r="C45" s="45">
        <f>C44*D45</f>
        <v>748.60818253329182</v>
      </c>
      <c r="D45" s="46">
        <v>0.15</v>
      </c>
    </row>
    <row r="46" spans="1:10" x14ac:dyDescent="0.3">
      <c r="A46" s="39" t="s">
        <v>26</v>
      </c>
      <c r="B46" s="23">
        <f>B5*D46</f>
        <v>12250</v>
      </c>
      <c r="C46" s="23">
        <f>B46/$C$43</f>
        <v>1020.8333333333334</v>
      </c>
      <c r="D46" s="51">
        <v>1.4E-2</v>
      </c>
      <c r="H46" s="7"/>
      <c r="J46" s="12"/>
    </row>
    <row r="47" spans="1:10" x14ac:dyDescent="0.3">
      <c r="A47" s="39" t="s">
        <v>25</v>
      </c>
      <c r="B47" s="52">
        <v>2300</v>
      </c>
      <c r="C47" s="52">
        <f>B47/$C$43</f>
        <v>191.66666666666666</v>
      </c>
      <c r="D47" s="23"/>
      <c r="H47" s="38"/>
    </row>
    <row r="48" spans="1:10" x14ac:dyDescent="0.3">
      <c r="A48" s="39" t="s">
        <v>28</v>
      </c>
      <c r="B48" s="60">
        <v>2700</v>
      </c>
      <c r="C48" s="60">
        <f>B48/$C$43</f>
        <v>225</v>
      </c>
      <c r="D48" s="23"/>
      <c r="E48" s="37"/>
      <c r="F48" s="37"/>
    </row>
    <row r="49" spans="1:6" x14ac:dyDescent="0.3">
      <c r="A49" s="39" t="s">
        <v>29</v>
      </c>
      <c r="B49" s="24">
        <f>C49*$C$43</f>
        <v>408</v>
      </c>
      <c r="C49" s="23">
        <v>34</v>
      </c>
      <c r="D49" s="23"/>
      <c r="E49" s="37"/>
      <c r="F49" s="37"/>
    </row>
    <row r="50" spans="1:6" x14ac:dyDescent="0.3">
      <c r="A50" s="39" t="s">
        <v>30</v>
      </c>
      <c r="B50" s="24">
        <f t="shared" ref="B50:B52" si="2">C50*$C$43</f>
        <v>5220</v>
      </c>
      <c r="C50" s="23">
        <v>435</v>
      </c>
      <c r="D50" s="23"/>
      <c r="E50" s="37"/>
      <c r="F50" s="37"/>
    </row>
    <row r="51" spans="1:6" x14ac:dyDescent="0.3">
      <c r="A51" s="39" t="s">
        <v>31</v>
      </c>
      <c r="B51" s="24">
        <f t="shared" si="2"/>
        <v>1560</v>
      </c>
      <c r="C51" s="23">
        <v>130</v>
      </c>
      <c r="D51" s="23"/>
      <c r="E51" s="37"/>
      <c r="F51" s="37"/>
    </row>
    <row r="52" spans="1:6" x14ac:dyDescent="0.3">
      <c r="A52" s="39" t="s">
        <v>103</v>
      </c>
      <c r="B52" s="24">
        <f t="shared" si="2"/>
        <v>600</v>
      </c>
      <c r="C52" s="23">
        <v>50</v>
      </c>
      <c r="D52" s="23"/>
      <c r="E52" s="37"/>
      <c r="F52" s="37"/>
    </row>
    <row r="53" spans="1:6" x14ac:dyDescent="0.3">
      <c r="A53" s="39" t="s">
        <v>83</v>
      </c>
      <c r="B53" s="23">
        <v>3200</v>
      </c>
      <c r="C53" s="23">
        <f>B53/C43</f>
        <v>266.66666666666669</v>
      </c>
      <c r="D53" s="23" t="s">
        <v>86</v>
      </c>
      <c r="E53" s="37"/>
      <c r="F53" s="37"/>
    </row>
    <row r="54" spans="1:6" x14ac:dyDescent="0.3">
      <c r="A54" s="39" t="s">
        <v>84</v>
      </c>
      <c r="B54" s="23">
        <v>0</v>
      </c>
      <c r="C54" s="23">
        <f>B54/C43</f>
        <v>0</v>
      </c>
      <c r="D54" s="23" t="s">
        <v>86</v>
      </c>
      <c r="E54" s="37"/>
      <c r="F54" s="37"/>
    </row>
    <row r="55" spans="1:6" x14ac:dyDescent="0.3">
      <c r="A55" s="39" t="s">
        <v>91</v>
      </c>
      <c r="B55" s="39"/>
      <c r="C55" s="23">
        <f>B15*0.05</f>
        <v>362.20000000000005</v>
      </c>
      <c r="D55" s="50"/>
      <c r="E55" s="37"/>
      <c r="F55" s="37"/>
    </row>
    <row r="56" spans="1:6" x14ac:dyDescent="0.3">
      <c r="C56" s="37"/>
      <c r="D56" s="37"/>
      <c r="E56" s="37"/>
      <c r="F56" s="37"/>
    </row>
    <row r="57" spans="1:6" x14ac:dyDescent="0.3">
      <c r="B57" s="14">
        <f>SUM(B44:B54)</f>
        <v>97109.952793062854</v>
      </c>
      <c r="C57" s="14">
        <f>SUM(C44:C55)</f>
        <v>8454.6960660885725</v>
      </c>
    </row>
  </sheetData>
  <mergeCells count="1">
    <mergeCell ref="G15:H15"/>
  </mergeCells>
  <conditionalFormatting sqref="B27">
    <cfRule type="cellIs" dxfId="0" priority="1" operator="greaterThan">
      <formula>10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8BB6A-B9A6-4835-AAC8-869719463301}">
  <dimension ref="A1:L365"/>
  <sheetViews>
    <sheetView workbookViewId="0">
      <selection activeCell="D6" sqref="D6"/>
    </sheetView>
  </sheetViews>
  <sheetFormatPr defaultRowHeight="14.4" x14ac:dyDescent="0.3"/>
  <cols>
    <col min="1" max="1" width="15.77734375" bestFit="1" customWidth="1"/>
    <col min="2" max="2" width="12.77734375" bestFit="1" customWidth="1"/>
    <col min="3" max="3" width="14.33203125" bestFit="1" customWidth="1"/>
    <col min="4" max="4" width="16.44140625" customWidth="1"/>
    <col min="5" max="5" width="16.21875" bestFit="1" customWidth="1"/>
    <col min="6" max="6" width="19.44140625" customWidth="1"/>
    <col min="7" max="7" width="15.5546875" bestFit="1" customWidth="1"/>
    <col min="8" max="8" width="15.5546875" customWidth="1"/>
    <col min="9" max="9" width="18.33203125" bestFit="1" customWidth="1"/>
    <col min="10" max="10" width="17.6640625" bestFit="1" customWidth="1"/>
    <col min="11" max="11" width="13.77734375" bestFit="1" customWidth="1"/>
    <col min="12" max="12" width="19.44140625" bestFit="1" customWidth="1"/>
  </cols>
  <sheetData>
    <row r="1" spans="1:12" x14ac:dyDescent="0.3">
      <c r="A1" t="s">
        <v>81</v>
      </c>
      <c r="B1" s="61">
        <v>7.6999999999999999E-2</v>
      </c>
      <c r="E1">
        <f>B1/12</f>
        <v>6.4166666666666669E-3</v>
      </c>
      <c r="F1" t="s">
        <v>62</v>
      </c>
    </row>
    <row r="2" spans="1:12" x14ac:dyDescent="0.3">
      <c r="A2" t="s">
        <v>59</v>
      </c>
      <c r="B2">
        <f>30*12</f>
        <v>360</v>
      </c>
      <c r="C2" t="s">
        <v>60</v>
      </c>
      <c r="E2">
        <f>(1+E1)^B2</f>
        <v>10.000352095114817</v>
      </c>
      <c r="F2" t="s">
        <v>63</v>
      </c>
    </row>
    <row r="5" spans="1:12" x14ac:dyDescent="0.3">
      <c r="A5" t="s">
        <v>33</v>
      </c>
      <c r="B5" t="s">
        <v>34</v>
      </c>
      <c r="C5" t="s">
        <v>35</v>
      </c>
      <c r="D5" t="s">
        <v>61</v>
      </c>
      <c r="E5" t="s">
        <v>36</v>
      </c>
      <c r="F5" t="s">
        <v>41</v>
      </c>
      <c r="G5" t="s">
        <v>37</v>
      </c>
      <c r="H5" t="s">
        <v>42</v>
      </c>
      <c r="I5" t="s">
        <v>38</v>
      </c>
      <c r="J5" t="s">
        <v>39</v>
      </c>
      <c r="K5" t="s">
        <v>40</v>
      </c>
      <c r="L5" s="5" t="s">
        <v>64</v>
      </c>
    </row>
    <row r="6" spans="1:12" x14ac:dyDescent="0.3">
      <c r="A6">
        <v>1</v>
      </c>
      <c r="B6" s="13">
        <v>44866</v>
      </c>
      <c r="C6" s="7">
        <f>'1930 Congress Numbers'!B5-'1930 Congress Numbers'!B7</f>
        <v>700000</v>
      </c>
      <c r="D6" s="26">
        <f>$C$6/((($E$2)-1)/($E$1*$E$2))</f>
        <v>4990.7212168886126</v>
      </c>
      <c r="E6" s="14">
        <f>D6-G6</f>
        <v>499.05455022194565</v>
      </c>
      <c r="F6" s="12">
        <f>(E6/C6)*12</f>
        <v>8.5552208609476384E-3</v>
      </c>
      <c r="G6" s="14">
        <f>C6*($B$1/12)</f>
        <v>4491.666666666667</v>
      </c>
      <c r="H6" s="12">
        <f>(G6/C6)*12</f>
        <v>7.6999999999999999E-2</v>
      </c>
      <c r="I6" s="14">
        <f>E6</f>
        <v>499.05455022194565</v>
      </c>
      <c r="J6" s="14">
        <f>G6</f>
        <v>4491.666666666667</v>
      </c>
      <c r="K6" s="14">
        <f>C6-E6</f>
        <v>699500.94544977811</v>
      </c>
      <c r="L6" s="14">
        <f>I6+J6</f>
        <v>4990.7212168886126</v>
      </c>
    </row>
    <row r="7" spans="1:12" x14ac:dyDescent="0.3">
      <c r="A7">
        <v>2</v>
      </c>
      <c r="B7" s="13">
        <v>44896</v>
      </c>
      <c r="C7" s="14">
        <f>K6</f>
        <v>699500.94544977811</v>
      </c>
      <c r="D7" s="14">
        <f t="shared" ref="D7:D70" si="0">$C$6/((($E$2)-1)/($E$1*$E$2))</f>
        <v>4990.7212168886126</v>
      </c>
      <c r="E7" s="14">
        <f t="shared" ref="E7:E70" si="1">D7-G7</f>
        <v>502.25681691920272</v>
      </c>
      <c r="F7" s="12">
        <f t="shared" ref="F7:F70" si="2">(E7/C7)*12</f>
        <v>8.6162596951960199E-3</v>
      </c>
      <c r="G7" s="14">
        <f t="shared" ref="G7:G70" si="3">C7*($B$1/12)</f>
        <v>4488.4643999694099</v>
      </c>
      <c r="H7" s="12">
        <f t="shared" ref="H7:H70" si="4">(G7/C7)*12</f>
        <v>7.6999999999999999E-2</v>
      </c>
      <c r="I7" s="14">
        <f>I6+E7</f>
        <v>1001.3113671411484</v>
      </c>
      <c r="J7" s="14">
        <f>J6+G7</f>
        <v>8980.1310666360769</v>
      </c>
      <c r="K7" s="14">
        <f t="shared" ref="K7:K70" si="5">C7-E7</f>
        <v>698998.68863285892</v>
      </c>
      <c r="L7" s="14">
        <f t="shared" ref="L7:L70" si="6">I7+J7</f>
        <v>9981.4424337772252</v>
      </c>
    </row>
    <row r="8" spans="1:12" x14ac:dyDescent="0.3">
      <c r="A8">
        <v>3</v>
      </c>
      <c r="B8" s="13">
        <v>44927</v>
      </c>
      <c r="C8" s="14">
        <f t="shared" ref="C8:C71" si="7">K7</f>
        <v>698998.68863285892</v>
      </c>
      <c r="D8" s="14">
        <f t="shared" si="0"/>
        <v>4990.7212168886126</v>
      </c>
      <c r="E8" s="14">
        <f t="shared" si="1"/>
        <v>505.47963149443422</v>
      </c>
      <c r="F8" s="12">
        <f t="shared" si="2"/>
        <v>8.6777781941150094E-3</v>
      </c>
      <c r="G8" s="14">
        <f t="shared" si="3"/>
        <v>4485.2415853941784</v>
      </c>
      <c r="H8" s="12">
        <f t="shared" si="4"/>
        <v>7.6999999999999999E-2</v>
      </c>
      <c r="I8" s="14">
        <f t="shared" ref="I8:I71" si="8">I7+E8</f>
        <v>1506.7909986355826</v>
      </c>
      <c r="J8" s="14">
        <f t="shared" ref="J8:J71" si="9">J7+G8</f>
        <v>13465.372652030255</v>
      </c>
      <c r="K8" s="14">
        <f t="shared" si="5"/>
        <v>698493.20900136454</v>
      </c>
      <c r="L8" s="14">
        <f t="shared" si="6"/>
        <v>14972.163650665838</v>
      </c>
    </row>
    <row r="9" spans="1:12" x14ac:dyDescent="0.3">
      <c r="A9">
        <v>4</v>
      </c>
      <c r="B9" s="13">
        <v>44958</v>
      </c>
      <c r="C9" s="14">
        <f t="shared" si="7"/>
        <v>698493.20900136454</v>
      </c>
      <c r="D9" s="14">
        <f t="shared" si="0"/>
        <v>4990.7212168886126</v>
      </c>
      <c r="E9" s="14">
        <f t="shared" si="1"/>
        <v>508.72312579652316</v>
      </c>
      <c r="F9" s="12">
        <f t="shared" si="2"/>
        <v>8.7397807607695055E-3</v>
      </c>
      <c r="G9" s="14">
        <f t="shared" si="3"/>
        <v>4481.9980910920895</v>
      </c>
      <c r="H9" s="12">
        <f t="shared" si="4"/>
        <v>7.6999999999999999E-2</v>
      </c>
      <c r="I9" s="14">
        <f t="shared" si="8"/>
        <v>2015.5141244321057</v>
      </c>
      <c r="J9" s="14">
        <f t="shared" si="9"/>
        <v>17947.370743122345</v>
      </c>
      <c r="K9" s="14">
        <f t="shared" si="5"/>
        <v>697984.485875568</v>
      </c>
      <c r="L9" s="14">
        <f t="shared" si="6"/>
        <v>19962.88486755445</v>
      </c>
    </row>
    <row r="10" spans="1:12" x14ac:dyDescent="0.3">
      <c r="A10">
        <v>5</v>
      </c>
      <c r="B10" s="13">
        <v>44986</v>
      </c>
      <c r="C10" s="14">
        <f t="shared" si="7"/>
        <v>697984.485875568</v>
      </c>
      <c r="D10" s="14">
        <f t="shared" si="0"/>
        <v>4990.7212168886126</v>
      </c>
      <c r="E10" s="14">
        <f t="shared" si="1"/>
        <v>511.98743252038457</v>
      </c>
      <c r="F10" s="12">
        <f t="shared" si="2"/>
        <v>8.8022718478300097E-3</v>
      </c>
      <c r="G10" s="14">
        <f t="shared" si="3"/>
        <v>4478.733784368228</v>
      </c>
      <c r="H10" s="12">
        <f t="shared" si="4"/>
        <v>7.6999999999999999E-2</v>
      </c>
      <c r="I10" s="14">
        <f t="shared" si="8"/>
        <v>2527.5015569524903</v>
      </c>
      <c r="J10" s="14">
        <f t="shared" si="9"/>
        <v>22426.104527490574</v>
      </c>
      <c r="K10" s="14">
        <f t="shared" si="5"/>
        <v>697472.49844304763</v>
      </c>
      <c r="L10" s="14">
        <f t="shared" si="6"/>
        <v>24953.606084443065</v>
      </c>
    </row>
    <row r="11" spans="1:12" x14ac:dyDescent="0.3">
      <c r="A11">
        <v>6</v>
      </c>
      <c r="B11" s="13">
        <v>45017</v>
      </c>
      <c r="C11" s="14">
        <f t="shared" si="7"/>
        <v>697472.49844304763</v>
      </c>
      <c r="D11" s="14">
        <f t="shared" si="0"/>
        <v>4990.7212168886126</v>
      </c>
      <c r="E11" s="14">
        <f t="shared" si="1"/>
        <v>515.27268521239057</v>
      </c>
      <c r="F11" s="12">
        <f t="shared" si="2"/>
        <v>8.8652559582656915E-3</v>
      </c>
      <c r="G11" s="14">
        <f t="shared" si="3"/>
        <v>4475.448531676222</v>
      </c>
      <c r="H11" s="12">
        <f t="shared" si="4"/>
        <v>7.6999999999999985E-2</v>
      </c>
      <c r="I11" s="14">
        <f t="shared" si="8"/>
        <v>3042.7742421648809</v>
      </c>
      <c r="J11" s="14">
        <f t="shared" si="9"/>
        <v>26901.553059166796</v>
      </c>
      <c r="K11" s="14">
        <f t="shared" si="5"/>
        <v>696957.2257578352</v>
      </c>
      <c r="L11" s="14">
        <f t="shared" si="6"/>
        <v>29944.327301331676</v>
      </c>
    </row>
    <row r="12" spans="1:12" x14ac:dyDescent="0.3">
      <c r="A12">
        <v>7</v>
      </c>
      <c r="B12" s="13">
        <v>45047</v>
      </c>
      <c r="C12" s="14">
        <f t="shared" si="7"/>
        <v>696957.2257578352</v>
      </c>
      <c r="D12" s="14">
        <f t="shared" si="0"/>
        <v>4990.7212168886126</v>
      </c>
      <c r="E12" s="14">
        <f t="shared" si="1"/>
        <v>518.57901827583646</v>
      </c>
      <c r="F12" s="12">
        <f t="shared" si="2"/>
        <v>8.9287376460492618E-3</v>
      </c>
      <c r="G12" s="14">
        <f t="shared" si="3"/>
        <v>4472.1421986127762</v>
      </c>
      <c r="H12" s="12">
        <f t="shared" si="4"/>
        <v>7.6999999999999999E-2</v>
      </c>
      <c r="I12" s="14">
        <f t="shared" si="8"/>
        <v>3561.3532604407173</v>
      </c>
      <c r="J12" s="14">
        <f t="shared" si="9"/>
        <v>31373.695257779571</v>
      </c>
      <c r="K12" s="14">
        <f t="shared" si="5"/>
        <v>696438.64673955936</v>
      </c>
      <c r="L12" s="14">
        <f t="shared" si="6"/>
        <v>34935.04851822029</v>
      </c>
    </row>
    <row r="13" spans="1:12" x14ac:dyDescent="0.3">
      <c r="A13">
        <v>8</v>
      </c>
      <c r="B13" s="13">
        <v>45078</v>
      </c>
      <c r="C13" s="14">
        <f t="shared" si="7"/>
        <v>696438.64673955936</v>
      </c>
      <c r="D13" s="14">
        <f t="shared" si="0"/>
        <v>4990.7212168886126</v>
      </c>
      <c r="E13" s="14">
        <f t="shared" si="1"/>
        <v>521.90656697643954</v>
      </c>
      <c r="F13" s="12">
        <f t="shared" si="2"/>
        <v>8.9927215168737543E-3</v>
      </c>
      <c r="G13" s="14">
        <f t="shared" si="3"/>
        <v>4468.8146499121731</v>
      </c>
      <c r="H13" s="12">
        <f t="shared" si="4"/>
        <v>7.7000000000000013E-2</v>
      </c>
      <c r="I13" s="14">
        <f t="shared" si="8"/>
        <v>4083.2598274171569</v>
      </c>
      <c r="J13" s="14">
        <f t="shared" si="9"/>
        <v>35842.509907691747</v>
      </c>
      <c r="K13" s="14">
        <f t="shared" si="5"/>
        <v>695916.74017258291</v>
      </c>
      <c r="L13" s="14">
        <f t="shared" si="6"/>
        <v>39925.769735108901</v>
      </c>
    </row>
    <row r="14" spans="1:12" x14ac:dyDescent="0.3">
      <c r="A14">
        <v>9</v>
      </c>
      <c r="B14" s="13">
        <v>45108</v>
      </c>
      <c r="C14" s="14">
        <f t="shared" si="7"/>
        <v>695916.74017258291</v>
      </c>
      <c r="D14" s="14">
        <f t="shared" si="0"/>
        <v>4990.7212168886126</v>
      </c>
      <c r="E14" s="14">
        <f t="shared" si="1"/>
        <v>525.25546744787243</v>
      </c>
      <c r="F14" s="12">
        <f t="shared" si="2"/>
        <v>9.0572122288815025E-3</v>
      </c>
      <c r="G14" s="14">
        <f t="shared" si="3"/>
        <v>4465.4657494407402</v>
      </c>
      <c r="H14" s="12">
        <f t="shared" si="4"/>
        <v>7.6999999999999985E-2</v>
      </c>
      <c r="I14" s="14">
        <f t="shared" si="8"/>
        <v>4608.5152948650293</v>
      </c>
      <c r="J14" s="14">
        <f t="shared" si="9"/>
        <v>40307.975657132483</v>
      </c>
      <c r="K14" s="14">
        <f t="shared" si="5"/>
        <v>695391.48470513499</v>
      </c>
      <c r="L14" s="14">
        <f t="shared" si="6"/>
        <v>44916.490951997512</v>
      </c>
    </row>
    <row r="15" spans="1:12" x14ac:dyDescent="0.3">
      <c r="A15">
        <v>10</v>
      </c>
      <c r="B15" s="13">
        <v>45139</v>
      </c>
      <c r="C15" s="14">
        <f t="shared" si="7"/>
        <v>695391.48470513499</v>
      </c>
      <c r="D15" s="14">
        <f t="shared" si="0"/>
        <v>4990.7212168886126</v>
      </c>
      <c r="E15" s="14">
        <f t="shared" si="1"/>
        <v>528.62585669732925</v>
      </c>
      <c r="F15" s="12">
        <f t="shared" si="2"/>
        <v>9.1222144934055005E-3</v>
      </c>
      <c r="G15" s="14">
        <f t="shared" si="3"/>
        <v>4462.0953601912834</v>
      </c>
      <c r="H15" s="12">
        <f t="shared" si="4"/>
        <v>7.7000000000000013E-2</v>
      </c>
      <c r="I15" s="14">
        <f t="shared" si="8"/>
        <v>5137.1411515623586</v>
      </c>
      <c r="J15" s="14">
        <f t="shared" si="9"/>
        <v>44770.071017323768</v>
      </c>
      <c r="K15" s="14">
        <f t="shared" si="5"/>
        <v>694862.85884843767</v>
      </c>
      <c r="L15" s="14">
        <f t="shared" si="6"/>
        <v>49907.212168886123</v>
      </c>
    </row>
    <row r="16" spans="1:12" x14ac:dyDescent="0.3">
      <c r="A16">
        <v>11</v>
      </c>
      <c r="B16" s="13">
        <v>45170</v>
      </c>
      <c r="C16" s="14">
        <f t="shared" si="7"/>
        <v>694862.85884843767</v>
      </c>
      <c r="D16" s="14">
        <f t="shared" si="0"/>
        <v>4990.7212168886126</v>
      </c>
      <c r="E16" s="14">
        <f t="shared" si="1"/>
        <v>532.01787261113714</v>
      </c>
      <c r="F16" s="12">
        <f t="shared" si="2"/>
        <v>9.1877330757235941E-3</v>
      </c>
      <c r="G16" s="14">
        <f t="shared" si="3"/>
        <v>4458.7033442774755</v>
      </c>
      <c r="H16" s="12">
        <f t="shared" si="4"/>
        <v>7.7000000000000013E-2</v>
      </c>
      <c r="I16" s="14">
        <f t="shared" si="8"/>
        <v>5669.1590241734957</v>
      </c>
      <c r="J16" s="14">
        <f t="shared" si="9"/>
        <v>49228.774361601245</v>
      </c>
      <c r="K16" s="14">
        <f t="shared" si="5"/>
        <v>694330.84097582649</v>
      </c>
      <c r="L16" s="14">
        <f t="shared" si="6"/>
        <v>54897.933385774741</v>
      </c>
    </row>
    <row r="17" spans="1:12" x14ac:dyDescent="0.3">
      <c r="A17">
        <v>12</v>
      </c>
      <c r="B17" s="13">
        <v>45200</v>
      </c>
      <c r="C17" s="14">
        <f t="shared" si="7"/>
        <v>694330.84097582649</v>
      </c>
      <c r="D17" s="14">
        <f t="shared" si="0"/>
        <v>4990.7212168886126</v>
      </c>
      <c r="E17" s="14">
        <f t="shared" si="1"/>
        <v>535.4316539603924</v>
      </c>
      <c r="F17" s="12">
        <f t="shared" si="2"/>
        <v>9.2537727958254476E-3</v>
      </c>
      <c r="G17" s="14">
        <f t="shared" si="3"/>
        <v>4455.2895629282202</v>
      </c>
      <c r="H17" s="12">
        <f t="shared" si="4"/>
        <v>7.6999999999999999E-2</v>
      </c>
      <c r="I17" s="14">
        <f t="shared" si="8"/>
        <v>6204.5906781338881</v>
      </c>
      <c r="J17" s="14">
        <f t="shared" si="9"/>
        <v>53684.063924529466</v>
      </c>
      <c r="K17" s="14">
        <f t="shared" si="5"/>
        <v>693795.40932186611</v>
      </c>
      <c r="L17" s="14">
        <f t="shared" si="6"/>
        <v>59888.654602663351</v>
      </c>
    </row>
    <row r="18" spans="1:12" x14ac:dyDescent="0.3">
      <c r="A18">
        <v>13</v>
      </c>
      <c r="B18" s="13">
        <v>45231</v>
      </c>
      <c r="C18" s="14">
        <f t="shared" si="7"/>
        <v>693795.40932186611</v>
      </c>
      <c r="D18" s="14">
        <f t="shared" si="0"/>
        <v>4990.7212168886126</v>
      </c>
      <c r="E18" s="14">
        <f t="shared" si="1"/>
        <v>538.8673404066385</v>
      </c>
      <c r="F18" s="12">
        <f t="shared" si="2"/>
        <v>9.3203385291927773E-3</v>
      </c>
      <c r="G18" s="14">
        <f t="shared" si="3"/>
        <v>4451.8538764819741</v>
      </c>
      <c r="H18" s="12">
        <f t="shared" si="4"/>
        <v>7.6999999999999999E-2</v>
      </c>
      <c r="I18" s="14">
        <f t="shared" si="8"/>
        <v>6743.4580185405266</v>
      </c>
      <c r="J18" s="14">
        <f t="shared" si="9"/>
        <v>58135.917801011441</v>
      </c>
      <c r="K18" s="14">
        <f t="shared" si="5"/>
        <v>693256.54198145948</v>
      </c>
      <c r="L18" s="14">
        <f t="shared" si="6"/>
        <v>64879.375819551969</v>
      </c>
    </row>
    <row r="19" spans="1:12" x14ac:dyDescent="0.3">
      <c r="A19">
        <v>14</v>
      </c>
      <c r="B19" s="13">
        <v>45261</v>
      </c>
      <c r="C19" s="14">
        <f t="shared" si="7"/>
        <v>693256.54198145948</v>
      </c>
      <c r="D19" s="14">
        <f t="shared" si="0"/>
        <v>4990.7212168886126</v>
      </c>
      <c r="E19" s="14">
        <f t="shared" si="1"/>
        <v>542.32507250758044</v>
      </c>
      <c r="F19" s="12">
        <f t="shared" si="2"/>
        <v>9.3874352075930534E-3</v>
      </c>
      <c r="G19" s="14">
        <f t="shared" si="3"/>
        <v>4448.3961443810322</v>
      </c>
      <c r="H19" s="12">
        <f t="shared" si="4"/>
        <v>7.7000000000000013E-2</v>
      </c>
      <c r="I19" s="14">
        <f t="shared" si="8"/>
        <v>7285.7830910481071</v>
      </c>
      <c r="J19" s="14">
        <f t="shared" si="9"/>
        <v>62584.313945392474</v>
      </c>
      <c r="K19" s="14">
        <f t="shared" si="5"/>
        <v>692714.21690895187</v>
      </c>
      <c r="L19" s="14">
        <f t="shared" si="6"/>
        <v>69870.09703644058</v>
      </c>
    </row>
    <row r="20" spans="1:12" x14ac:dyDescent="0.3">
      <c r="A20">
        <v>15</v>
      </c>
      <c r="B20" s="13">
        <v>45292</v>
      </c>
      <c r="C20" s="14">
        <f t="shared" si="7"/>
        <v>692714.21690895187</v>
      </c>
      <c r="D20" s="14">
        <f t="shared" si="0"/>
        <v>4990.7212168886126</v>
      </c>
      <c r="E20" s="14">
        <f t="shared" si="1"/>
        <v>545.80499172283817</v>
      </c>
      <c r="F20" s="12">
        <f t="shared" si="2"/>
        <v>9.4550678198870065E-3</v>
      </c>
      <c r="G20" s="14">
        <f t="shared" si="3"/>
        <v>4444.9162251657744</v>
      </c>
      <c r="H20" s="12">
        <f t="shared" si="4"/>
        <v>7.6999999999999999E-2</v>
      </c>
      <c r="I20" s="14">
        <f t="shared" si="8"/>
        <v>7831.5880827709452</v>
      </c>
      <c r="J20" s="14">
        <f t="shared" si="9"/>
        <v>67029.23017055825</v>
      </c>
      <c r="K20" s="14">
        <f t="shared" si="5"/>
        <v>692168.41191722907</v>
      </c>
      <c r="L20" s="14">
        <f t="shared" si="6"/>
        <v>74860.818253329198</v>
      </c>
    </row>
    <row r="21" spans="1:12" x14ac:dyDescent="0.3">
      <c r="A21">
        <v>16</v>
      </c>
      <c r="B21" s="13">
        <v>45323</v>
      </c>
      <c r="C21" s="14">
        <f t="shared" si="7"/>
        <v>692168.41191722907</v>
      </c>
      <c r="D21" s="14">
        <f t="shared" si="0"/>
        <v>4990.7212168886126</v>
      </c>
      <c r="E21" s="14">
        <f t="shared" si="1"/>
        <v>549.30724041972553</v>
      </c>
      <c r="F21" s="12">
        <f t="shared" si="2"/>
        <v>9.5232414128499036E-3</v>
      </c>
      <c r="G21" s="14">
        <f t="shared" si="3"/>
        <v>4441.4139764688871</v>
      </c>
      <c r="H21" s="12">
        <f t="shared" si="4"/>
        <v>7.7000000000000013E-2</v>
      </c>
      <c r="I21" s="14">
        <f t="shared" si="8"/>
        <v>8380.8953231906708</v>
      </c>
      <c r="J21" s="14">
        <f t="shared" si="9"/>
        <v>71470.644147027138</v>
      </c>
      <c r="K21" s="14">
        <f t="shared" si="5"/>
        <v>691619.10467680939</v>
      </c>
      <c r="L21" s="14">
        <f t="shared" si="6"/>
        <v>79851.539470217802</v>
      </c>
    </row>
    <row r="22" spans="1:12" x14ac:dyDescent="0.3">
      <c r="A22">
        <v>17</v>
      </c>
      <c r="B22" s="13">
        <v>45352</v>
      </c>
      <c r="C22" s="14">
        <f t="shared" si="7"/>
        <v>691619.10467680939</v>
      </c>
      <c r="D22" s="14">
        <f t="shared" si="0"/>
        <v>4990.7212168886126</v>
      </c>
      <c r="E22" s="14">
        <f t="shared" si="1"/>
        <v>552.83196187908561</v>
      </c>
      <c r="F22" s="12">
        <f t="shared" si="2"/>
        <v>9.5919610920075123E-3</v>
      </c>
      <c r="G22" s="14">
        <f t="shared" si="3"/>
        <v>4437.889255009527</v>
      </c>
      <c r="H22" s="12">
        <f t="shared" si="4"/>
        <v>7.6999999999999999E-2</v>
      </c>
      <c r="I22" s="14">
        <f t="shared" si="8"/>
        <v>8933.7272850697555</v>
      </c>
      <c r="J22" s="14">
        <f t="shared" si="9"/>
        <v>75908.533402036672</v>
      </c>
      <c r="K22" s="14">
        <f t="shared" si="5"/>
        <v>691066.27271493035</v>
      </c>
      <c r="L22" s="14">
        <f t="shared" si="6"/>
        <v>84842.260687106434</v>
      </c>
    </row>
    <row r="23" spans="1:12" x14ac:dyDescent="0.3">
      <c r="A23">
        <v>18</v>
      </c>
      <c r="B23" s="13">
        <v>45383</v>
      </c>
      <c r="C23" s="14">
        <f t="shared" si="7"/>
        <v>691066.27271493035</v>
      </c>
      <c r="D23" s="14">
        <f t="shared" si="0"/>
        <v>4990.7212168886126</v>
      </c>
      <c r="E23" s="14">
        <f t="shared" si="1"/>
        <v>556.37930030114239</v>
      </c>
      <c r="F23" s="12">
        <f t="shared" si="2"/>
        <v>9.6612320224862616E-3</v>
      </c>
      <c r="G23" s="14">
        <f t="shared" si="3"/>
        <v>4434.3419165874702</v>
      </c>
      <c r="H23" s="12">
        <f t="shared" si="4"/>
        <v>7.7000000000000013E-2</v>
      </c>
      <c r="I23" s="14">
        <f t="shared" si="8"/>
        <v>9490.1065853708969</v>
      </c>
      <c r="J23" s="14">
        <f t="shared" si="9"/>
        <v>80342.875318624137</v>
      </c>
      <c r="K23" s="14">
        <f t="shared" si="5"/>
        <v>690509.89341462916</v>
      </c>
      <c r="L23" s="14">
        <f t="shared" si="6"/>
        <v>89832.981903995038</v>
      </c>
    </row>
    <row r="24" spans="1:12" x14ac:dyDescent="0.3">
      <c r="A24">
        <v>19</v>
      </c>
      <c r="B24" s="13">
        <v>45413</v>
      </c>
      <c r="C24" s="14">
        <f t="shared" si="7"/>
        <v>690509.89341462916</v>
      </c>
      <c r="D24" s="14">
        <f t="shared" si="0"/>
        <v>4990.7212168886126</v>
      </c>
      <c r="E24" s="14">
        <f t="shared" si="1"/>
        <v>559.94940081140885</v>
      </c>
      <c r="F24" s="12">
        <f t="shared" si="2"/>
        <v>9.7310594298786173E-3</v>
      </c>
      <c r="G24" s="14">
        <f t="shared" si="3"/>
        <v>4430.7718160772038</v>
      </c>
      <c r="H24" s="12">
        <f t="shared" si="4"/>
        <v>7.6999999999999999E-2</v>
      </c>
      <c r="I24" s="14">
        <f t="shared" si="8"/>
        <v>10050.055986182306</v>
      </c>
      <c r="J24" s="14">
        <f t="shared" si="9"/>
        <v>84773.647134701343</v>
      </c>
      <c r="K24" s="14">
        <f t="shared" si="5"/>
        <v>689949.9440138177</v>
      </c>
      <c r="L24" s="14">
        <f t="shared" si="6"/>
        <v>94823.703120883642</v>
      </c>
    </row>
    <row r="25" spans="1:12" x14ac:dyDescent="0.3">
      <c r="A25">
        <v>20</v>
      </c>
      <c r="B25" s="13">
        <v>45444</v>
      </c>
      <c r="C25" s="14">
        <f t="shared" si="7"/>
        <v>689949.9440138177</v>
      </c>
      <c r="D25" s="14">
        <f t="shared" si="0"/>
        <v>4990.7212168886126</v>
      </c>
      <c r="E25" s="14">
        <f t="shared" si="1"/>
        <v>563.54240946661594</v>
      </c>
      <c r="F25" s="12">
        <f t="shared" si="2"/>
        <v>9.8014486011233845E-3</v>
      </c>
      <c r="G25" s="14">
        <f t="shared" si="3"/>
        <v>4427.1788074219967</v>
      </c>
      <c r="H25" s="12">
        <f t="shared" si="4"/>
        <v>7.6999999999999985E-2</v>
      </c>
      <c r="I25" s="14">
        <f t="shared" si="8"/>
        <v>10613.598395648922</v>
      </c>
      <c r="J25" s="14">
        <f t="shared" si="9"/>
        <v>89200.825942123338</v>
      </c>
      <c r="K25" s="14">
        <f t="shared" si="5"/>
        <v>689386.40160435112</v>
      </c>
      <c r="L25" s="14">
        <f t="shared" si="6"/>
        <v>99814.42433777226</v>
      </c>
    </row>
    <row r="26" spans="1:12" x14ac:dyDescent="0.3">
      <c r="A26">
        <v>21</v>
      </c>
      <c r="B26" s="13">
        <v>45474</v>
      </c>
      <c r="C26" s="14">
        <f t="shared" si="7"/>
        <v>689386.40160435112</v>
      </c>
      <c r="D26" s="14">
        <f t="shared" si="0"/>
        <v>4990.7212168886126</v>
      </c>
      <c r="E26" s="14">
        <f t="shared" si="1"/>
        <v>567.15847326069252</v>
      </c>
      <c r="F26" s="12">
        <f t="shared" si="2"/>
        <v>9.872404885401722E-3</v>
      </c>
      <c r="G26" s="14">
        <f t="shared" si="3"/>
        <v>4423.5627436279201</v>
      </c>
      <c r="H26" s="12">
        <f t="shared" si="4"/>
        <v>7.6999999999999999E-2</v>
      </c>
      <c r="I26" s="14">
        <f t="shared" si="8"/>
        <v>11180.756868909615</v>
      </c>
      <c r="J26" s="14">
        <f t="shared" si="9"/>
        <v>93624.388685751255</v>
      </c>
      <c r="K26" s="14">
        <f t="shared" si="5"/>
        <v>688819.24313109042</v>
      </c>
      <c r="L26" s="14">
        <f t="shared" si="6"/>
        <v>104805.14555466088</v>
      </c>
    </row>
    <row r="27" spans="1:12" x14ac:dyDescent="0.3">
      <c r="A27">
        <v>22</v>
      </c>
      <c r="B27" s="13">
        <v>45505</v>
      </c>
      <c r="C27" s="14">
        <f t="shared" si="7"/>
        <v>688819.24313109042</v>
      </c>
      <c r="D27" s="14">
        <f t="shared" si="0"/>
        <v>4990.7212168886126</v>
      </c>
      <c r="E27" s="14">
        <f t="shared" si="1"/>
        <v>570.79774013078259</v>
      </c>
      <c r="F27" s="12">
        <f t="shared" si="2"/>
        <v>9.9439336950489874E-3</v>
      </c>
      <c r="G27" s="14">
        <f t="shared" si="3"/>
        <v>4419.92347675783</v>
      </c>
      <c r="H27" s="12">
        <f t="shared" si="4"/>
        <v>7.6999999999999985E-2</v>
      </c>
      <c r="I27" s="14">
        <f t="shared" si="8"/>
        <v>11751.554609040399</v>
      </c>
      <c r="J27" s="14">
        <f t="shared" si="9"/>
        <v>98044.312162509086</v>
      </c>
      <c r="K27" s="14">
        <f t="shared" si="5"/>
        <v>688248.44539095962</v>
      </c>
      <c r="L27" s="14">
        <f t="shared" si="6"/>
        <v>109795.86677154948</v>
      </c>
    </row>
    <row r="28" spans="1:12" x14ac:dyDescent="0.3">
      <c r="A28">
        <v>23</v>
      </c>
      <c r="B28" s="13">
        <v>45536</v>
      </c>
      <c r="C28" s="14">
        <f t="shared" si="7"/>
        <v>688248.44539095962</v>
      </c>
      <c r="D28" s="14">
        <f t="shared" si="0"/>
        <v>4990.7212168886126</v>
      </c>
      <c r="E28" s="14">
        <f t="shared" si="1"/>
        <v>574.46035896328794</v>
      </c>
      <c r="F28" s="12">
        <f t="shared" si="2"/>
        <v>1.0016040506482493E-2</v>
      </c>
      <c r="G28" s="14">
        <f t="shared" si="3"/>
        <v>4416.2608579253247</v>
      </c>
      <c r="H28" s="12">
        <f t="shared" si="4"/>
        <v>7.7000000000000013E-2</v>
      </c>
      <c r="I28" s="14">
        <f t="shared" si="8"/>
        <v>12326.014968003687</v>
      </c>
      <c r="J28" s="14">
        <f t="shared" si="9"/>
        <v>102460.57302043441</v>
      </c>
      <c r="K28" s="14">
        <f t="shared" si="5"/>
        <v>687673.98503199639</v>
      </c>
      <c r="L28" s="14">
        <f t="shared" si="6"/>
        <v>114786.5879884381</v>
      </c>
    </row>
    <row r="29" spans="1:12" x14ac:dyDescent="0.3">
      <c r="A29">
        <v>24</v>
      </c>
      <c r="B29" s="13">
        <v>45566</v>
      </c>
      <c r="C29" s="14">
        <f t="shared" si="7"/>
        <v>687673.98503199639</v>
      </c>
      <c r="D29" s="14">
        <f t="shared" si="0"/>
        <v>4990.7212168886126</v>
      </c>
      <c r="E29" s="14">
        <f t="shared" si="1"/>
        <v>578.1464795999691</v>
      </c>
      <c r="F29" s="12">
        <f t="shared" si="2"/>
        <v>1.0088730861146108E-2</v>
      </c>
      <c r="G29" s="14">
        <f t="shared" si="3"/>
        <v>4412.5747372886435</v>
      </c>
      <c r="H29" s="12">
        <f t="shared" si="4"/>
        <v>7.6999999999999999E-2</v>
      </c>
      <c r="I29" s="14">
        <f t="shared" si="8"/>
        <v>12904.161447603656</v>
      </c>
      <c r="J29" s="14">
        <f t="shared" si="9"/>
        <v>106873.14775772305</v>
      </c>
      <c r="K29" s="14">
        <f t="shared" si="5"/>
        <v>687095.8385523964</v>
      </c>
      <c r="L29" s="14">
        <f t="shared" si="6"/>
        <v>119777.30920532672</v>
      </c>
    </row>
    <row r="30" spans="1:12" x14ac:dyDescent="0.3">
      <c r="A30">
        <v>25</v>
      </c>
      <c r="B30" s="13">
        <v>45597</v>
      </c>
      <c r="C30" s="14">
        <f t="shared" si="7"/>
        <v>687095.8385523964</v>
      </c>
      <c r="D30" s="14">
        <f t="shared" si="0"/>
        <v>4990.7212168886126</v>
      </c>
      <c r="E30" s="14">
        <f t="shared" si="1"/>
        <v>581.85625284406888</v>
      </c>
      <c r="F30" s="12">
        <f t="shared" si="2"/>
        <v>1.0162010366471422E-2</v>
      </c>
      <c r="G30" s="14">
        <f t="shared" si="3"/>
        <v>4408.8649640445437</v>
      </c>
      <c r="H30" s="12">
        <f t="shared" si="4"/>
        <v>7.6999999999999999E-2</v>
      </c>
      <c r="I30" s="14">
        <f t="shared" si="8"/>
        <v>13486.017700447725</v>
      </c>
      <c r="J30" s="14">
        <f t="shared" si="9"/>
        <v>111282.01272176759</v>
      </c>
      <c r="K30" s="14">
        <f t="shared" si="5"/>
        <v>686513.9822995523</v>
      </c>
      <c r="L30" s="14">
        <f t="shared" si="6"/>
        <v>124768.03042221532</v>
      </c>
    </row>
    <row r="31" spans="1:12" x14ac:dyDescent="0.3">
      <c r="A31">
        <v>26</v>
      </c>
      <c r="B31" s="13">
        <v>45627</v>
      </c>
      <c r="C31" s="14">
        <f t="shared" si="7"/>
        <v>686513.9822995523</v>
      </c>
      <c r="D31" s="14">
        <f t="shared" si="0"/>
        <v>4990.7212168886126</v>
      </c>
      <c r="E31" s="14">
        <f t="shared" si="1"/>
        <v>585.58983046648518</v>
      </c>
      <c r="F31" s="12">
        <f t="shared" si="2"/>
        <v>1.0235884696856238E-2</v>
      </c>
      <c r="G31" s="14">
        <f t="shared" si="3"/>
        <v>4405.1313864221274</v>
      </c>
      <c r="H31" s="12">
        <f t="shared" si="4"/>
        <v>7.6999999999999999E-2</v>
      </c>
      <c r="I31" s="14">
        <f t="shared" si="8"/>
        <v>14071.607530914211</v>
      </c>
      <c r="J31" s="14">
        <f t="shared" si="9"/>
        <v>115687.14410818972</v>
      </c>
      <c r="K31" s="14">
        <f t="shared" si="5"/>
        <v>685928.39246908587</v>
      </c>
      <c r="L31" s="14">
        <f t="shared" si="6"/>
        <v>129758.75163910392</v>
      </c>
    </row>
    <row r="32" spans="1:12" x14ac:dyDescent="0.3">
      <c r="A32">
        <v>27</v>
      </c>
      <c r="B32" s="13">
        <v>45658</v>
      </c>
      <c r="C32" s="14">
        <f t="shared" si="7"/>
        <v>685928.39246908587</v>
      </c>
      <c r="D32" s="14">
        <f t="shared" si="0"/>
        <v>4990.7212168886126</v>
      </c>
      <c r="E32" s="14">
        <f t="shared" si="1"/>
        <v>589.34736521197829</v>
      </c>
      <c r="F32" s="12">
        <f t="shared" si="2"/>
        <v>1.0310359594660569E-2</v>
      </c>
      <c r="G32" s="14">
        <f t="shared" si="3"/>
        <v>4401.3738516766343</v>
      </c>
      <c r="H32" s="12">
        <f t="shared" si="4"/>
        <v>7.6999999999999999E-2</v>
      </c>
      <c r="I32" s="14">
        <f t="shared" si="8"/>
        <v>14660.95489612619</v>
      </c>
      <c r="J32" s="14">
        <f t="shared" si="9"/>
        <v>120088.51795986635</v>
      </c>
      <c r="K32" s="14">
        <f t="shared" si="5"/>
        <v>685339.04510387394</v>
      </c>
      <c r="L32" s="14">
        <f t="shared" si="6"/>
        <v>134749.47285599256</v>
      </c>
    </row>
    <row r="33" spans="1:12" x14ac:dyDescent="0.3">
      <c r="A33">
        <v>28</v>
      </c>
      <c r="B33" s="13">
        <v>45689</v>
      </c>
      <c r="C33" s="14">
        <f t="shared" si="7"/>
        <v>685339.04510387394</v>
      </c>
      <c r="D33" s="14">
        <f t="shared" si="0"/>
        <v>4990.7212168886126</v>
      </c>
      <c r="E33" s="14">
        <f t="shared" si="1"/>
        <v>593.12901080542179</v>
      </c>
      <c r="F33" s="12">
        <f t="shared" si="2"/>
        <v>1.0385440871220586E-2</v>
      </c>
      <c r="G33" s="14">
        <f t="shared" si="3"/>
        <v>4397.5922060831908</v>
      </c>
      <c r="H33" s="12">
        <f t="shared" si="4"/>
        <v>7.6999999999999985E-2</v>
      </c>
      <c r="I33" s="14">
        <f t="shared" si="8"/>
        <v>15254.083906931612</v>
      </c>
      <c r="J33" s="14">
        <f t="shared" si="9"/>
        <v>124486.11016594955</v>
      </c>
      <c r="K33" s="14">
        <f t="shared" si="5"/>
        <v>684745.91609306855</v>
      </c>
      <c r="L33" s="14">
        <f t="shared" si="6"/>
        <v>139740.19407288116</v>
      </c>
    </row>
    <row r="34" spans="1:12" x14ac:dyDescent="0.3">
      <c r="A34">
        <v>29</v>
      </c>
      <c r="B34" s="13">
        <v>45717</v>
      </c>
      <c r="C34" s="14">
        <f t="shared" si="7"/>
        <v>684745.91609306855</v>
      </c>
      <c r="D34" s="14">
        <f t="shared" si="0"/>
        <v>4990.7212168886126</v>
      </c>
      <c r="E34" s="14">
        <f t="shared" si="1"/>
        <v>596.93492195808903</v>
      </c>
      <c r="F34" s="12">
        <f t="shared" si="2"/>
        <v>1.0461134407880813E-2</v>
      </c>
      <c r="G34" s="14">
        <f t="shared" si="3"/>
        <v>4393.7862949305236</v>
      </c>
      <c r="H34" s="12">
        <f t="shared" si="4"/>
        <v>7.6999999999999999E-2</v>
      </c>
      <c r="I34" s="14">
        <f t="shared" si="8"/>
        <v>15851.018828889701</v>
      </c>
      <c r="J34" s="14">
        <f t="shared" si="9"/>
        <v>128879.89646088007</v>
      </c>
      <c r="K34" s="14">
        <f t="shared" si="5"/>
        <v>684148.98117111041</v>
      </c>
      <c r="L34" s="14">
        <f t="shared" si="6"/>
        <v>144730.91528976976</v>
      </c>
    </row>
    <row r="35" spans="1:12" x14ac:dyDescent="0.3">
      <c r="A35">
        <v>30</v>
      </c>
      <c r="B35" s="13">
        <v>45748</v>
      </c>
      <c r="C35" s="14">
        <f t="shared" si="7"/>
        <v>684148.98117111041</v>
      </c>
      <c r="D35" s="14">
        <f t="shared" si="0"/>
        <v>4990.7212168886126</v>
      </c>
      <c r="E35" s="14">
        <f t="shared" si="1"/>
        <v>600.76525437398777</v>
      </c>
      <c r="F35" s="12">
        <f t="shared" si="2"/>
        <v>1.0537446157045122E-2</v>
      </c>
      <c r="G35" s="14">
        <f t="shared" si="3"/>
        <v>4389.9559625146248</v>
      </c>
      <c r="H35" s="12">
        <f t="shared" si="4"/>
        <v>7.6999999999999985E-2</v>
      </c>
      <c r="I35" s="14">
        <f t="shared" si="8"/>
        <v>16451.784083263687</v>
      </c>
      <c r="J35" s="14">
        <f t="shared" si="9"/>
        <v>133269.85242339471</v>
      </c>
      <c r="K35" s="14">
        <f t="shared" si="5"/>
        <v>683548.2159167364</v>
      </c>
      <c r="L35" s="14">
        <f t="shared" si="6"/>
        <v>149721.6365066584</v>
      </c>
    </row>
    <row r="36" spans="1:12" x14ac:dyDescent="0.3">
      <c r="A36">
        <v>31</v>
      </c>
      <c r="B36" s="13">
        <v>45778</v>
      </c>
      <c r="C36" s="14">
        <f t="shared" si="7"/>
        <v>683548.2159167364</v>
      </c>
      <c r="D36" s="14">
        <f t="shared" si="0"/>
        <v>4990.7212168886126</v>
      </c>
      <c r="E36" s="14">
        <f t="shared" si="1"/>
        <v>604.62016475622022</v>
      </c>
      <c r="F36" s="12">
        <f t="shared" si="2"/>
        <v>1.0614382143246549E-2</v>
      </c>
      <c r="G36" s="14">
        <f t="shared" si="3"/>
        <v>4386.1010521323924</v>
      </c>
      <c r="H36" s="12">
        <f t="shared" si="4"/>
        <v>7.7000000000000013E-2</v>
      </c>
      <c r="I36" s="14">
        <f t="shared" si="8"/>
        <v>17056.404248019906</v>
      </c>
      <c r="J36" s="14">
        <f t="shared" si="9"/>
        <v>137655.95347552712</v>
      </c>
      <c r="K36" s="14">
        <f t="shared" si="5"/>
        <v>682943.5957519802</v>
      </c>
      <c r="L36" s="14">
        <f t="shared" si="6"/>
        <v>154712.35772354703</v>
      </c>
    </row>
    <row r="37" spans="1:12" x14ac:dyDescent="0.3">
      <c r="A37">
        <v>32</v>
      </c>
      <c r="B37" s="13">
        <v>45809</v>
      </c>
      <c r="C37" s="14">
        <f t="shared" si="7"/>
        <v>682943.5957519802</v>
      </c>
      <c r="D37" s="14">
        <f t="shared" si="0"/>
        <v>4990.7212168886126</v>
      </c>
      <c r="E37" s="14">
        <f t="shared" si="1"/>
        <v>608.49981081340593</v>
      </c>
      <c r="F37" s="12">
        <f t="shared" si="2"/>
        <v>1.0691948464236989E-2</v>
      </c>
      <c r="G37" s="14">
        <f t="shared" si="3"/>
        <v>4382.2214060752067</v>
      </c>
      <c r="H37" s="12">
        <f t="shared" si="4"/>
        <v>7.6999999999999999E-2</v>
      </c>
      <c r="I37" s="14">
        <f t="shared" si="8"/>
        <v>17664.904058833312</v>
      </c>
      <c r="J37" s="14">
        <f t="shared" si="9"/>
        <v>142038.17488160232</v>
      </c>
      <c r="K37" s="14">
        <f t="shared" si="5"/>
        <v>682335.09594116674</v>
      </c>
      <c r="L37" s="14">
        <f t="shared" si="6"/>
        <v>159703.07894043563</v>
      </c>
    </row>
    <row r="38" spans="1:12" x14ac:dyDescent="0.3">
      <c r="A38">
        <v>33</v>
      </c>
      <c r="B38" s="13">
        <v>45839</v>
      </c>
      <c r="C38" s="14">
        <f t="shared" si="7"/>
        <v>682335.09594116674</v>
      </c>
      <c r="D38" s="14">
        <f t="shared" si="0"/>
        <v>4990.7212168886126</v>
      </c>
      <c r="E38" s="14">
        <f t="shared" si="1"/>
        <v>612.40435126612556</v>
      </c>
      <c r="F38" s="12">
        <f t="shared" si="2"/>
        <v>1.0770151292096441E-2</v>
      </c>
      <c r="G38" s="14">
        <f t="shared" si="3"/>
        <v>4378.3168656224871</v>
      </c>
      <c r="H38" s="12">
        <f t="shared" si="4"/>
        <v>7.7000000000000013E-2</v>
      </c>
      <c r="I38" s="14">
        <f t="shared" si="8"/>
        <v>18277.308410099438</v>
      </c>
      <c r="J38" s="14">
        <f t="shared" si="9"/>
        <v>146416.49174722479</v>
      </c>
      <c r="K38" s="14">
        <f t="shared" si="5"/>
        <v>681722.69158990064</v>
      </c>
      <c r="L38" s="14">
        <f t="shared" si="6"/>
        <v>164693.80015732424</v>
      </c>
    </row>
    <row r="39" spans="1:12" x14ac:dyDescent="0.3">
      <c r="A39">
        <v>34</v>
      </c>
      <c r="B39" s="13">
        <v>45870</v>
      </c>
      <c r="C39" s="14">
        <f t="shared" si="7"/>
        <v>681722.69158990064</v>
      </c>
      <c r="D39" s="14">
        <f t="shared" si="0"/>
        <v>4990.7212168886126</v>
      </c>
      <c r="E39" s="14">
        <f t="shared" si="1"/>
        <v>616.33394585341648</v>
      </c>
      <c r="F39" s="12">
        <f t="shared" si="2"/>
        <v>1.0848996874362755E-2</v>
      </c>
      <c r="G39" s="14">
        <f t="shared" si="3"/>
        <v>4374.3872710351961</v>
      </c>
      <c r="H39" s="12">
        <f t="shared" si="4"/>
        <v>7.6999999999999999E-2</v>
      </c>
      <c r="I39" s="14">
        <f t="shared" si="8"/>
        <v>18893.642355952856</v>
      </c>
      <c r="J39" s="14">
        <f t="shared" si="9"/>
        <v>150790.87901825999</v>
      </c>
      <c r="K39" s="14">
        <f t="shared" si="5"/>
        <v>681106.35764404724</v>
      </c>
      <c r="L39" s="14">
        <f t="shared" si="6"/>
        <v>169684.52137421284</v>
      </c>
    </row>
    <row r="40" spans="1:12" x14ac:dyDescent="0.3">
      <c r="A40">
        <v>35</v>
      </c>
      <c r="B40" s="13">
        <v>45901</v>
      </c>
      <c r="C40" s="14">
        <f t="shared" si="7"/>
        <v>681106.35764404724</v>
      </c>
      <c r="D40" s="14">
        <f t="shared" si="0"/>
        <v>4990.7212168886126</v>
      </c>
      <c r="E40" s="14">
        <f t="shared" si="1"/>
        <v>620.28875533930932</v>
      </c>
      <c r="F40" s="12">
        <f t="shared" si="2"/>
        <v>1.0928491535182144E-2</v>
      </c>
      <c r="G40" s="14">
        <f t="shared" si="3"/>
        <v>4370.4324615493033</v>
      </c>
      <c r="H40" s="12">
        <f t="shared" si="4"/>
        <v>7.6999999999999999E-2</v>
      </c>
      <c r="I40" s="14">
        <f t="shared" si="8"/>
        <v>19513.931111292164</v>
      </c>
      <c r="J40" s="14">
        <f t="shared" si="9"/>
        <v>155161.31147980929</v>
      </c>
      <c r="K40" s="14">
        <f t="shared" si="5"/>
        <v>680486.0688887079</v>
      </c>
      <c r="L40" s="14">
        <f t="shared" si="6"/>
        <v>174675.24259110144</v>
      </c>
    </row>
    <row r="41" spans="1:12" x14ac:dyDescent="0.3">
      <c r="A41">
        <v>36</v>
      </c>
      <c r="B41" s="13">
        <v>45931</v>
      </c>
      <c r="C41" s="14">
        <f t="shared" si="7"/>
        <v>680486.0688887079</v>
      </c>
      <c r="D41" s="14">
        <f t="shared" si="0"/>
        <v>4990.7212168886126</v>
      </c>
      <c r="E41" s="14">
        <f t="shared" si="1"/>
        <v>624.2689415194036</v>
      </c>
      <c r="F41" s="12">
        <f t="shared" si="2"/>
        <v>1.1008641676480843E-2</v>
      </c>
      <c r="G41" s="14">
        <f t="shared" si="3"/>
        <v>4366.452275369209</v>
      </c>
      <c r="H41" s="12">
        <f t="shared" si="4"/>
        <v>7.6999999999999999E-2</v>
      </c>
      <c r="I41" s="14">
        <f t="shared" si="8"/>
        <v>20138.200052811568</v>
      </c>
      <c r="J41" s="14">
        <f t="shared" si="9"/>
        <v>159527.76375517849</v>
      </c>
      <c r="K41" s="14">
        <f t="shared" si="5"/>
        <v>679861.79994718847</v>
      </c>
      <c r="L41" s="14">
        <f t="shared" si="6"/>
        <v>179665.96380799005</v>
      </c>
    </row>
    <row r="42" spans="1:12" x14ac:dyDescent="0.3">
      <c r="A42">
        <v>37</v>
      </c>
      <c r="B42" s="13">
        <v>45962</v>
      </c>
      <c r="C42" s="14">
        <f t="shared" si="7"/>
        <v>679861.79994718847</v>
      </c>
      <c r="D42" s="14">
        <f t="shared" si="0"/>
        <v>4990.7212168886126</v>
      </c>
      <c r="E42" s="14">
        <f t="shared" si="1"/>
        <v>628.27466722748613</v>
      </c>
      <c r="F42" s="12">
        <f t="shared" si="2"/>
        <v>1.1089453779158476E-2</v>
      </c>
      <c r="G42" s="14">
        <f t="shared" si="3"/>
        <v>4362.4465496611265</v>
      </c>
      <c r="H42" s="12">
        <f t="shared" si="4"/>
        <v>7.7000000000000013E-2</v>
      </c>
      <c r="I42" s="14">
        <f t="shared" si="8"/>
        <v>20766.474720039056</v>
      </c>
      <c r="J42" s="14">
        <f t="shared" si="9"/>
        <v>163890.21030483962</v>
      </c>
      <c r="K42" s="14">
        <f t="shared" si="5"/>
        <v>679233.52527996094</v>
      </c>
      <c r="L42" s="14">
        <f t="shared" si="6"/>
        <v>184656.68502487868</v>
      </c>
    </row>
    <row r="43" spans="1:12" x14ac:dyDescent="0.3">
      <c r="A43">
        <v>38</v>
      </c>
      <c r="B43" s="13">
        <v>45992</v>
      </c>
      <c r="C43" s="14">
        <f t="shared" si="7"/>
        <v>679233.52527996094</v>
      </c>
      <c r="D43" s="14">
        <f t="shared" si="0"/>
        <v>4990.7212168886126</v>
      </c>
      <c r="E43" s="14">
        <f t="shared" si="1"/>
        <v>632.30609634219672</v>
      </c>
      <c r="F43" s="12">
        <f t="shared" si="2"/>
        <v>1.117093440430364E-2</v>
      </c>
      <c r="G43" s="14">
        <f t="shared" si="3"/>
        <v>4358.4151205464159</v>
      </c>
      <c r="H43" s="12">
        <f t="shared" si="4"/>
        <v>7.6999999999999985E-2</v>
      </c>
      <c r="I43" s="14">
        <f t="shared" si="8"/>
        <v>21398.780816381251</v>
      </c>
      <c r="J43" s="14">
        <f t="shared" si="9"/>
        <v>168248.62542538604</v>
      </c>
      <c r="K43" s="14">
        <f t="shared" si="5"/>
        <v>678601.21918361878</v>
      </c>
      <c r="L43" s="14">
        <f t="shared" si="6"/>
        <v>189647.40624176728</v>
      </c>
    </row>
    <row r="44" spans="1:12" x14ac:dyDescent="0.3">
      <c r="A44">
        <v>39</v>
      </c>
      <c r="B44" s="13">
        <v>46023</v>
      </c>
      <c r="C44" s="14">
        <f t="shared" si="7"/>
        <v>678601.21918361878</v>
      </c>
      <c r="D44" s="14">
        <f t="shared" si="0"/>
        <v>4990.7212168886126</v>
      </c>
      <c r="E44" s="14">
        <f t="shared" si="1"/>
        <v>636.36339379372566</v>
      </c>
      <c r="F44" s="12">
        <f t="shared" si="2"/>
        <v>1.1253090194431891E-2</v>
      </c>
      <c r="G44" s="14">
        <f t="shared" si="3"/>
        <v>4354.357823094887</v>
      </c>
      <c r="H44" s="12">
        <f t="shared" si="4"/>
        <v>7.6999999999999985E-2</v>
      </c>
      <c r="I44" s="14">
        <f t="shared" si="8"/>
        <v>22035.144210174978</v>
      </c>
      <c r="J44" s="14">
        <f t="shared" si="9"/>
        <v>172602.98324848092</v>
      </c>
      <c r="K44" s="14">
        <f t="shared" si="5"/>
        <v>677964.85578982509</v>
      </c>
      <c r="L44" s="14">
        <f t="shared" si="6"/>
        <v>194638.12745865589</v>
      </c>
    </row>
    <row r="45" spans="1:12" x14ac:dyDescent="0.3">
      <c r="A45">
        <v>40</v>
      </c>
      <c r="B45" s="13">
        <v>46054</v>
      </c>
      <c r="C45" s="14">
        <f t="shared" si="7"/>
        <v>677964.85578982509</v>
      </c>
      <c r="D45" s="14">
        <f t="shared" si="0"/>
        <v>4990.7212168886126</v>
      </c>
      <c r="E45" s="14">
        <f t="shared" si="1"/>
        <v>640.44672557056856</v>
      </c>
      <c r="F45" s="12">
        <f t="shared" si="2"/>
        <v>1.133592787474717E-2</v>
      </c>
      <c r="G45" s="14">
        <f t="shared" si="3"/>
        <v>4350.2744913180441</v>
      </c>
      <c r="H45" s="12">
        <f t="shared" si="4"/>
        <v>7.6999999999999985E-2</v>
      </c>
      <c r="I45" s="14">
        <f t="shared" si="8"/>
        <v>22675.590935745546</v>
      </c>
      <c r="J45" s="14">
        <f t="shared" si="9"/>
        <v>176953.25773979895</v>
      </c>
      <c r="K45" s="14">
        <f t="shared" si="5"/>
        <v>677324.40906425449</v>
      </c>
      <c r="L45" s="14">
        <f t="shared" si="6"/>
        <v>199628.84867554449</v>
      </c>
    </row>
    <row r="46" spans="1:12" x14ac:dyDescent="0.3">
      <c r="A46">
        <v>41</v>
      </c>
      <c r="B46" s="13">
        <v>46082</v>
      </c>
      <c r="C46" s="14">
        <f t="shared" si="7"/>
        <v>677324.40906425449</v>
      </c>
      <c r="D46" s="14">
        <f t="shared" si="0"/>
        <v>4990.7212168886126</v>
      </c>
      <c r="E46" s="14">
        <f t="shared" si="1"/>
        <v>644.55625872631299</v>
      </c>
      <c r="F46" s="12">
        <f t="shared" si="2"/>
        <v>1.1419454254426559E-2</v>
      </c>
      <c r="G46" s="14">
        <f t="shared" si="3"/>
        <v>4346.1649581622996</v>
      </c>
      <c r="H46" s="12">
        <f t="shared" si="4"/>
        <v>7.6999999999999999E-2</v>
      </c>
      <c r="I46" s="14">
        <f t="shared" si="8"/>
        <v>23320.147194471858</v>
      </c>
      <c r="J46" s="14">
        <f t="shared" si="9"/>
        <v>181299.42269796124</v>
      </c>
      <c r="K46" s="14">
        <f t="shared" si="5"/>
        <v>676679.85280552821</v>
      </c>
      <c r="L46" s="14">
        <f t="shared" si="6"/>
        <v>204619.56989243309</v>
      </c>
    </row>
    <row r="47" spans="1:12" x14ac:dyDescent="0.3">
      <c r="A47">
        <v>42</v>
      </c>
      <c r="B47" s="13">
        <v>46113</v>
      </c>
      <c r="C47" s="14">
        <f t="shared" si="7"/>
        <v>676679.85280552821</v>
      </c>
      <c r="D47" s="14">
        <f t="shared" si="0"/>
        <v>4990.7212168886126</v>
      </c>
      <c r="E47" s="14">
        <f t="shared" si="1"/>
        <v>648.69216138647334</v>
      </c>
      <c r="F47" s="12">
        <f t="shared" si="2"/>
        <v>1.1503676227929341E-2</v>
      </c>
      <c r="G47" s="14">
        <f t="shared" si="3"/>
        <v>4342.0290555021393</v>
      </c>
      <c r="H47" s="12">
        <f t="shared" si="4"/>
        <v>7.6999999999999999E-2</v>
      </c>
      <c r="I47" s="14">
        <f t="shared" si="8"/>
        <v>23968.83935585833</v>
      </c>
      <c r="J47" s="14">
        <f t="shared" si="9"/>
        <v>185641.45175346339</v>
      </c>
      <c r="K47" s="14">
        <f t="shared" si="5"/>
        <v>676031.16064414172</v>
      </c>
      <c r="L47" s="14">
        <f t="shared" si="6"/>
        <v>209610.29110932173</v>
      </c>
    </row>
    <row r="48" spans="1:12" x14ac:dyDescent="0.3">
      <c r="A48">
        <v>43</v>
      </c>
      <c r="B48" s="13">
        <v>46143</v>
      </c>
      <c r="C48" s="14">
        <f t="shared" si="7"/>
        <v>676031.16064414172</v>
      </c>
      <c r="D48" s="14">
        <f t="shared" si="0"/>
        <v>4990.7212168886126</v>
      </c>
      <c r="E48" s="14">
        <f t="shared" si="1"/>
        <v>652.85460275536934</v>
      </c>
      <c r="F48" s="12">
        <f t="shared" si="2"/>
        <v>1.1588600776330681E-2</v>
      </c>
      <c r="G48" s="14">
        <f t="shared" si="3"/>
        <v>4337.8666141332433</v>
      </c>
      <c r="H48" s="12">
        <f t="shared" si="4"/>
        <v>7.7000000000000013E-2</v>
      </c>
      <c r="I48" s="14">
        <f t="shared" si="8"/>
        <v>24621.693958613701</v>
      </c>
      <c r="J48" s="14">
        <f t="shared" si="9"/>
        <v>189979.31836759663</v>
      </c>
      <c r="K48" s="14">
        <f t="shared" si="5"/>
        <v>675378.30604138633</v>
      </c>
      <c r="L48" s="14">
        <f t="shared" si="6"/>
        <v>214601.01232621033</v>
      </c>
    </row>
    <row r="49" spans="1:12" x14ac:dyDescent="0.3">
      <c r="A49">
        <v>44</v>
      </c>
      <c r="B49" s="13">
        <v>46174</v>
      </c>
      <c r="C49" s="14">
        <f t="shared" si="7"/>
        <v>675378.30604138633</v>
      </c>
      <c r="D49" s="14">
        <f t="shared" si="0"/>
        <v>4990.7212168886126</v>
      </c>
      <c r="E49" s="14">
        <f t="shared" si="1"/>
        <v>657.04375312305001</v>
      </c>
      <c r="F49" s="12">
        <f t="shared" si="2"/>
        <v>1.167423496868057E-2</v>
      </c>
      <c r="G49" s="14">
        <f t="shared" si="3"/>
        <v>4333.6774637655626</v>
      </c>
      <c r="H49" s="12">
        <f t="shared" si="4"/>
        <v>7.6999999999999999E-2</v>
      </c>
      <c r="I49" s="14">
        <f t="shared" si="8"/>
        <v>25278.73771173675</v>
      </c>
      <c r="J49" s="14">
        <f t="shared" si="9"/>
        <v>194312.9958313622</v>
      </c>
      <c r="K49" s="14">
        <f t="shared" si="5"/>
        <v>674721.2622882633</v>
      </c>
      <c r="L49" s="14">
        <f t="shared" si="6"/>
        <v>219591.73354309896</v>
      </c>
    </row>
    <row r="50" spans="1:12" x14ac:dyDescent="0.3">
      <c r="A50">
        <v>45</v>
      </c>
      <c r="B50" s="13">
        <v>46204</v>
      </c>
      <c r="C50" s="14">
        <f t="shared" si="7"/>
        <v>674721.2622882633</v>
      </c>
      <c r="D50" s="14">
        <f t="shared" si="0"/>
        <v>4990.7212168886126</v>
      </c>
      <c r="E50" s="14">
        <f t="shared" si="1"/>
        <v>661.25978387225587</v>
      </c>
      <c r="F50" s="12">
        <f t="shared" si="2"/>
        <v>1.1760585963388429E-2</v>
      </c>
      <c r="G50" s="14">
        <f t="shared" si="3"/>
        <v>4329.4614330163568</v>
      </c>
      <c r="H50" s="12">
        <f t="shared" si="4"/>
        <v>7.7000000000000013E-2</v>
      </c>
      <c r="I50" s="14">
        <f t="shared" si="8"/>
        <v>25939.997495609008</v>
      </c>
      <c r="J50" s="14">
        <f t="shared" si="9"/>
        <v>198642.45726437855</v>
      </c>
      <c r="K50" s="14">
        <f t="shared" si="5"/>
        <v>674060.00250439101</v>
      </c>
      <c r="L50" s="14">
        <f t="shared" si="6"/>
        <v>224582.45475998757</v>
      </c>
    </row>
    <row r="51" spans="1:12" x14ac:dyDescent="0.3">
      <c r="A51">
        <v>46</v>
      </c>
      <c r="B51" s="13">
        <v>46235</v>
      </c>
      <c r="C51" s="14">
        <f t="shared" si="7"/>
        <v>674060.00250439101</v>
      </c>
      <c r="D51" s="14">
        <f t="shared" si="0"/>
        <v>4990.7212168886126</v>
      </c>
      <c r="E51" s="14">
        <f t="shared" si="1"/>
        <v>665.50286748543658</v>
      </c>
      <c r="F51" s="12">
        <f t="shared" si="2"/>
        <v>1.1847661009634251E-2</v>
      </c>
      <c r="G51" s="14">
        <f t="shared" si="3"/>
        <v>4325.218349403176</v>
      </c>
      <c r="H51" s="12">
        <f t="shared" si="4"/>
        <v>7.6999999999999999E-2</v>
      </c>
      <c r="I51" s="14">
        <f t="shared" si="8"/>
        <v>26605.500363094445</v>
      </c>
      <c r="J51" s="14">
        <f t="shared" si="9"/>
        <v>202967.67561378173</v>
      </c>
      <c r="K51" s="14">
        <f t="shared" si="5"/>
        <v>673394.49963690562</v>
      </c>
      <c r="L51" s="14">
        <f t="shared" si="6"/>
        <v>229573.17597687617</v>
      </c>
    </row>
    <row r="52" spans="1:12" x14ac:dyDescent="0.3">
      <c r="A52">
        <v>47</v>
      </c>
      <c r="B52" s="13">
        <v>46266</v>
      </c>
      <c r="C52" s="14">
        <f t="shared" si="7"/>
        <v>673394.49963690562</v>
      </c>
      <c r="D52" s="14">
        <f t="shared" si="0"/>
        <v>4990.7212168886126</v>
      </c>
      <c r="E52" s="14">
        <f t="shared" si="1"/>
        <v>669.77317755180138</v>
      </c>
      <c r="F52" s="12">
        <f t="shared" si="2"/>
        <v>1.1935467448806483E-2</v>
      </c>
      <c r="G52" s="14">
        <f t="shared" si="3"/>
        <v>4320.9480393368112</v>
      </c>
      <c r="H52" s="12">
        <f t="shared" si="4"/>
        <v>7.6999999999999999E-2</v>
      </c>
      <c r="I52" s="14">
        <f t="shared" si="8"/>
        <v>27275.273540646245</v>
      </c>
      <c r="J52" s="14">
        <f t="shared" si="9"/>
        <v>207288.62365311853</v>
      </c>
      <c r="K52" s="14">
        <f t="shared" si="5"/>
        <v>672724.72645935381</v>
      </c>
      <c r="L52" s="14">
        <f t="shared" si="6"/>
        <v>234563.89719376477</v>
      </c>
    </row>
    <row r="53" spans="1:12" x14ac:dyDescent="0.3">
      <c r="A53">
        <v>48</v>
      </c>
      <c r="B53" s="13">
        <v>46296</v>
      </c>
      <c r="C53" s="14">
        <f t="shared" si="7"/>
        <v>672724.72645935381</v>
      </c>
      <c r="D53" s="14">
        <f t="shared" si="0"/>
        <v>4990.7212168886126</v>
      </c>
      <c r="E53" s="14">
        <f t="shared" si="1"/>
        <v>674.07088877442584</v>
      </c>
      <c r="F53" s="12">
        <f t="shared" si="2"/>
        <v>1.2024012715967621E-2</v>
      </c>
      <c r="G53" s="14">
        <f t="shared" si="3"/>
        <v>4316.6503281141868</v>
      </c>
      <c r="H53" s="12">
        <f t="shared" si="4"/>
        <v>7.6999999999999985E-2</v>
      </c>
      <c r="I53" s="14">
        <f t="shared" si="8"/>
        <v>27949.344429420671</v>
      </c>
      <c r="J53" s="14">
        <f t="shared" si="9"/>
        <v>211605.27398123272</v>
      </c>
      <c r="K53" s="14">
        <f t="shared" si="5"/>
        <v>672050.65557057934</v>
      </c>
      <c r="L53" s="14">
        <f t="shared" si="6"/>
        <v>239554.61841065338</v>
      </c>
    </row>
    <row r="54" spans="1:12" x14ac:dyDescent="0.3">
      <c r="A54">
        <v>49</v>
      </c>
      <c r="B54" s="13">
        <v>46327</v>
      </c>
      <c r="C54" s="14">
        <f t="shared" si="7"/>
        <v>672050.65557057934</v>
      </c>
      <c r="D54" s="14">
        <f t="shared" si="0"/>
        <v>4990.7212168886126</v>
      </c>
      <c r="E54" s="14">
        <f t="shared" si="1"/>
        <v>678.39617697739504</v>
      </c>
      <c r="F54" s="12">
        <f t="shared" si="2"/>
        <v>1.2113304341347811E-2</v>
      </c>
      <c r="G54" s="14">
        <f t="shared" si="3"/>
        <v>4312.3250399112176</v>
      </c>
      <c r="H54" s="12">
        <f t="shared" si="4"/>
        <v>7.6999999999999999E-2</v>
      </c>
      <c r="I54" s="14">
        <f t="shared" si="8"/>
        <v>28627.740606398067</v>
      </c>
      <c r="J54" s="14">
        <f t="shared" si="9"/>
        <v>215917.59902114395</v>
      </c>
      <c r="K54" s="14">
        <f t="shared" si="5"/>
        <v>671372.25939360191</v>
      </c>
      <c r="L54" s="14">
        <f t="shared" si="6"/>
        <v>244545.33962754201</v>
      </c>
    </row>
    <row r="55" spans="1:12" x14ac:dyDescent="0.3">
      <c r="A55">
        <v>50</v>
      </c>
      <c r="B55" s="13">
        <v>46357</v>
      </c>
      <c r="C55" s="14">
        <f t="shared" si="7"/>
        <v>671372.25939360191</v>
      </c>
      <c r="D55" s="14">
        <f t="shared" si="0"/>
        <v>4990.7212168886126</v>
      </c>
      <c r="E55" s="14">
        <f t="shared" si="1"/>
        <v>682.74921911300044</v>
      </c>
      <c r="F55" s="12">
        <f t="shared" si="2"/>
        <v>1.2203349951867379E-2</v>
      </c>
      <c r="G55" s="14">
        <f t="shared" si="3"/>
        <v>4307.9719977756122</v>
      </c>
      <c r="H55" s="12">
        <f t="shared" si="4"/>
        <v>7.6999999999999999E-2</v>
      </c>
      <c r="I55" s="14">
        <f t="shared" si="8"/>
        <v>29310.489825511067</v>
      </c>
      <c r="J55" s="14">
        <f t="shared" si="9"/>
        <v>220225.57101891955</v>
      </c>
      <c r="K55" s="14">
        <f t="shared" si="5"/>
        <v>670689.51017448888</v>
      </c>
      <c r="L55" s="14">
        <f t="shared" si="6"/>
        <v>249536.06084443061</v>
      </c>
    </row>
    <row r="56" spans="1:12" x14ac:dyDescent="0.3">
      <c r="A56">
        <v>51</v>
      </c>
      <c r="B56" s="13">
        <v>46388</v>
      </c>
      <c r="C56" s="14">
        <f t="shared" si="7"/>
        <v>670689.51017448888</v>
      </c>
      <c r="D56" s="14">
        <f t="shared" si="0"/>
        <v>4990.7212168886126</v>
      </c>
      <c r="E56" s="14">
        <f t="shared" si="1"/>
        <v>687.13019326897575</v>
      </c>
      <c r="F56" s="12">
        <f t="shared" si="2"/>
        <v>1.2294157272688693E-2</v>
      </c>
      <c r="G56" s="14">
        <f t="shared" si="3"/>
        <v>4303.5910236196369</v>
      </c>
      <c r="H56" s="12">
        <f t="shared" si="4"/>
        <v>7.6999999999999999E-2</v>
      </c>
      <c r="I56" s="14">
        <f t="shared" si="8"/>
        <v>29997.620018780042</v>
      </c>
      <c r="J56" s="14">
        <f t="shared" si="9"/>
        <v>224529.16204253919</v>
      </c>
      <c r="K56" s="14">
        <f t="shared" si="5"/>
        <v>670002.37998121988</v>
      </c>
      <c r="L56" s="14">
        <f t="shared" si="6"/>
        <v>254526.78206131922</v>
      </c>
    </row>
    <row r="57" spans="1:12" x14ac:dyDescent="0.3">
      <c r="A57">
        <v>52</v>
      </c>
      <c r="B57" s="13">
        <v>46419</v>
      </c>
      <c r="C57" s="14">
        <f t="shared" si="7"/>
        <v>670002.37998121988</v>
      </c>
      <c r="D57" s="14">
        <f t="shared" si="0"/>
        <v>4990.7212168886126</v>
      </c>
      <c r="E57" s="14">
        <f t="shared" si="1"/>
        <v>691.53927867578477</v>
      </c>
      <c r="F57" s="12">
        <f t="shared" si="2"/>
        <v>1.2385734128798204E-2</v>
      </c>
      <c r="G57" s="14">
        <f t="shared" si="3"/>
        <v>4299.1819382128278</v>
      </c>
      <c r="H57" s="12">
        <f t="shared" si="4"/>
        <v>7.6999999999999999E-2</v>
      </c>
      <c r="I57" s="14">
        <f t="shared" si="8"/>
        <v>30689.159297455826</v>
      </c>
      <c r="J57" s="14">
        <f t="shared" si="9"/>
        <v>228828.34398075202</v>
      </c>
      <c r="K57" s="14">
        <f t="shared" si="5"/>
        <v>669310.84070254408</v>
      </c>
      <c r="L57" s="14">
        <f t="shared" si="6"/>
        <v>259517.50327820785</v>
      </c>
    </row>
    <row r="58" spans="1:12" x14ac:dyDescent="0.3">
      <c r="A58">
        <v>53</v>
      </c>
      <c r="B58" s="13">
        <v>46447</v>
      </c>
      <c r="C58" s="14">
        <f t="shared" si="7"/>
        <v>669310.84070254408</v>
      </c>
      <c r="D58" s="14">
        <f t="shared" si="0"/>
        <v>4990.7212168886126</v>
      </c>
      <c r="E58" s="14">
        <f t="shared" si="1"/>
        <v>695.97665571395464</v>
      </c>
      <c r="F58" s="12">
        <f t="shared" si="2"/>
        <v>1.2478088446619285E-2</v>
      </c>
      <c r="G58" s="14">
        <f t="shared" si="3"/>
        <v>4294.744561174658</v>
      </c>
      <c r="H58" s="12">
        <f t="shared" si="4"/>
        <v>7.6999999999999999E-2</v>
      </c>
      <c r="I58" s="14">
        <f t="shared" si="8"/>
        <v>31385.135953169782</v>
      </c>
      <c r="J58" s="14">
        <f t="shared" si="9"/>
        <v>233123.08854192667</v>
      </c>
      <c r="K58" s="14">
        <f t="shared" si="5"/>
        <v>668614.8640468301</v>
      </c>
      <c r="L58" s="14">
        <f t="shared" si="6"/>
        <v>264508.22449509648</v>
      </c>
    </row>
    <row r="59" spans="1:12" x14ac:dyDescent="0.3">
      <c r="A59">
        <v>54</v>
      </c>
      <c r="B59" s="13">
        <v>46478</v>
      </c>
      <c r="C59" s="14">
        <f t="shared" si="7"/>
        <v>668614.8640468301</v>
      </c>
      <c r="D59" s="14">
        <f t="shared" si="0"/>
        <v>4990.7212168886126</v>
      </c>
      <c r="E59" s="14">
        <f t="shared" si="1"/>
        <v>700.44250592145272</v>
      </c>
      <c r="F59" s="12">
        <f t="shared" si="2"/>
        <v>1.2571228255656489E-2</v>
      </c>
      <c r="G59" s="14">
        <f t="shared" si="3"/>
        <v>4290.2787109671599</v>
      </c>
      <c r="H59" s="12">
        <f t="shared" si="4"/>
        <v>7.6999999999999999E-2</v>
      </c>
      <c r="I59" s="14">
        <f t="shared" si="8"/>
        <v>32085.578459091234</v>
      </c>
      <c r="J59" s="14">
        <f t="shared" si="9"/>
        <v>237413.36725289383</v>
      </c>
      <c r="K59" s="14">
        <f t="shared" si="5"/>
        <v>667914.42154090863</v>
      </c>
      <c r="L59" s="14">
        <f t="shared" si="6"/>
        <v>269498.94571198506</v>
      </c>
    </row>
    <row r="60" spans="1:12" x14ac:dyDescent="0.3">
      <c r="A60">
        <v>55</v>
      </c>
      <c r="B60" s="13">
        <v>46508</v>
      </c>
      <c r="C60" s="14">
        <f t="shared" si="7"/>
        <v>667914.42154090863</v>
      </c>
      <c r="D60" s="14">
        <f t="shared" si="0"/>
        <v>4990.7212168886126</v>
      </c>
      <c r="E60" s="14">
        <f t="shared" si="1"/>
        <v>704.93701200111536</v>
      </c>
      <c r="F60" s="12">
        <f t="shared" si="2"/>
        <v>1.2665161690172115E-2</v>
      </c>
      <c r="G60" s="14">
        <f t="shared" si="3"/>
        <v>4285.7842048874973</v>
      </c>
      <c r="H60" s="12">
        <f t="shared" si="4"/>
        <v>7.6999999999999999E-2</v>
      </c>
      <c r="I60" s="14">
        <f t="shared" si="8"/>
        <v>32790.515471092353</v>
      </c>
      <c r="J60" s="14">
        <f t="shared" si="9"/>
        <v>241699.15145778132</v>
      </c>
      <c r="K60" s="14">
        <f t="shared" si="5"/>
        <v>667209.48452890757</v>
      </c>
      <c r="L60" s="14">
        <f t="shared" si="6"/>
        <v>274489.66692887369</v>
      </c>
    </row>
    <row r="61" spans="1:12" x14ac:dyDescent="0.3">
      <c r="A61">
        <v>56</v>
      </c>
      <c r="B61" s="13">
        <v>46539</v>
      </c>
      <c r="C61" s="14">
        <f t="shared" si="7"/>
        <v>667209.48452890757</v>
      </c>
      <c r="D61" s="14">
        <f t="shared" si="0"/>
        <v>4990.7212168886126</v>
      </c>
      <c r="E61" s="14">
        <f t="shared" si="1"/>
        <v>709.46035782812214</v>
      </c>
      <c r="F61" s="12">
        <f t="shared" si="2"/>
        <v>1.2759896990895679E-2</v>
      </c>
      <c r="G61" s="14">
        <f t="shared" si="3"/>
        <v>4281.2608590604905</v>
      </c>
      <c r="H61" s="12">
        <f t="shared" si="4"/>
        <v>7.6999999999999999E-2</v>
      </c>
      <c r="I61" s="14">
        <f t="shared" si="8"/>
        <v>33499.975828920476</v>
      </c>
      <c r="J61" s="14">
        <f t="shared" si="9"/>
        <v>245980.4123168418</v>
      </c>
      <c r="K61" s="14">
        <f t="shared" si="5"/>
        <v>666500.02417107951</v>
      </c>
      <c r="L61" s="14">
        <f t="shared" si="6"/>
        <v>279480.38814576226</v>
      </c>
    </row>
    <row r="62" spans="1:12" x14ac:dyDescent="0.3">
      <c r="A62">
        <v>57</v>
      </c>
      <c r="B62" s="13">
        <v>46569</v>
      </c>
      <c r="C62" s="14">
        <f t="shared" si="7"/>
        <v>666500.02417107951</v>
      </c>
      <c r="D62" s="14">
        <f t="shared" si="0"/>
        <v>4990.7212168886126</v>
      </c>
      <c r="E62" s="14">
        <f t="shared" si="1"/>
        <v>714.01272845751919</v>
      </c>
      <c r="F62" s="12">
        <f t="shared" si="2"/>
        <v>1.2855442506767152E-2</v>
      </c>
      <c r="G62" s="14">
        <f t="shared" si="3"/>
        <v>4276.7084884310934</v>
      </c>
      <c r="H62" s="12">
        <f t="shared" si="4"/>
        <v>7.6999999999999999E-2</v>
      </c>
      <c r="I62" s="14">
        <f t="shared" si="8"/>
        <v>34213.988557377997</v>
      </c>
      <c r="J62" s="14">
        <f t="shared" si="9"/>
        <v>250257.12080527289</v>
      </c>
      <c r="K62" s="14">
        <f t="shared" si="5"/>
        <v>665786.01144262194</v>
      </c>
      <c r="L62" s="14">
        <f t="shared" si="6"/>
        <v>284471.1093626509</v>
      </c>
    </row>
    <row r="63" spans="1:12" x14ac:dyDescent="0.3">
      <c r="A63">
        <v>58</v>
      </c>
      <c r="B63" s="13">
        <v>46600</v>
      </c>
      <c r="C63" s="14">
        <f t="shared" si="7"/>
        <v>665786.01144262194</v>
      </c>
      <c r="D63" s="14">
        <f t="shared" si="0"/>
        <v>4990.7212168886126</v>
      </c>
      <c r="E63" s="14">
        <f t="shared" si="1"/>
        <v>718.59431013178801</v>
      </c>
      <c r="F63" s="12">
        <f t="shared" si="2"/>
        <v>1.2951806696714604E-2</v>
      </c>
      <c r="G63" s="14">
        <f t="shared" si="3"/>
        <v>4272.1269067568246</v>
      </c>
      <c r="H63" s="12">
        <f t="shared" si="4"/>
        <v>7.7000000000000013E-2</v>
      </c>
      <c r="I63" s="14">
        <f t="shared" si="8"/>
        <v>34932.582867509787</v>
      </c>
      <c r="J63" s="14">
        <f t="shared" si="9"/>
        <v>254529.24771202973</v>
      </c>
      <c r="K63" s="14">
        <f t="shared" si="5"/>
        <v>665067.4171324902</v>
      </c>
      <c r="L63" s="14">
        <f t="shared" si="6"/>
        <v>289461.83057953953</v>
      </c>
    </row>
    <row r="64" spans="1:12" x14ac:dyDescent="0.3">
      <c r="A64">
        <v>59</v>
      </c>
      <c r="B64" s="13">
        <v>46631</v>
      </c>
      <c r="C64" s="14">
        <f t="shared" si="7"/>
        <v>665067.4171324902</v>
      </c>
      <c r="D64" s="14">
        <f t="shared" si="0"/>
        <v>4990.7212168886126</v>
      </c>
      <c r="E64" s="14">
        <f t="shared" si="1"/>
        <v>723.20529028846704</v>
      </c>
      <c r="F64" s="12">
        <f t="shared" si="2"/>
        <v>1.3048998131467234E-2</v>
      </c>
      <c r="G64" s="14">
        <f t="shared" si="3"/>
        <v>4267.5159266001456</v>
      </c>
      <c r="H64" s="12">
        <f t="shared" si="4"/>
        <v>7.6999999999999999E-2</v>
      </c>
      <c r="I64" s="14">
        <f t="shared" si="8"/>
        <v>35655.788157798255</v>
      </c>
      <c r="J64" s="14">
        <f t="shared" si="9"/>
        <v>258796.76363862987</v>
      </c>
      <c r="K64" s="14">
        <f t="shared" si="5"/>
        <v>664344.21184220177</v>
      </c>
      <c r="L64" s="14">
        <f t="shared" si="6"/>
        <v>294452.5517964281</v>
      </c>
    </row>
    <row r="65" spans="1:12" x14ac:dyDescent="0.3">
      <c r="A65">
        <v>60</v>
      </c>
      <c r="B65" s="13">
        <v>46661</v>
      </c>
      <c r="C65" s="14">
        <f t="shared" si="7"/>
        <v>664344.21184220177</v>
      </c>
      <c r="D65" s="14">
        <f t="shared" si="0"/>
        <v>4990.7212168886126</v>
      </c>
      <c r="E65" s="14">
        <f t="shared" si="1"/>
        <v>727.8458575678178</v>
      </c>
      <c r="F65" s="12">
        <f t="shared" si="2"/>
        <v>1.3147025495404467E-2</v>
      </c>
      <c r="G65" s="14">
        <f t="shared" si="3"/>
        <v>4262.8753593207948</v>
      </c>
      <c r="H65" s="12">
        <f t="shared" si="4"/>
        <v>7.6999999999999999E-2</v>
      </c>
      <c r="I65" s="14">
        <f t="shared" si="8"/>
        <v>36383.634015366071</v>
      </c>
      <c r="J65" s="14">
        <f t="shared" si="9"/>
        <v>263059.63899795065</v>
      </c>
      <c r="K65" s="14">
        <f t="shared" si="5"/>
        <v>663616.36598463391</v>
      </c>
      <c r="L65" s="14">
        <f t="shared" si="6"/>
        <v>299443.27301331674</v>
      </c>
    </row>
    <row r="66" spans="1:12" x14ac:dyDescent="0.3">
      <c r="A66">
        <v>61</v>
      </c>
      <c r="B66" s="13">
        <v>46692</v>
      </c>
      <c r="C66" s="14">
        <f t="shared" si="7"/>
        <v>663616.36598463391</v>
      </c>
      <c r="D66" s="14">
        <f t="shared" si="0"/>
        <v>4990.7212168886126</v>
      </c>
      <c r="E66" s="14">
        <f t="shared" si="1"/>
        <v>732.51620182054467</v>
      </c>
      <c r="F66" s="12">
        <f t="shared" si="2"/>
        <v>1.3245897588442045E-2</v>
      </c>
      <c r="G66" s="14">
        <f t="shared" si="3"/>
        <v>4258.205015068068</v>
      </c>
      <c r="H66" s="12">
        <f t="shared" si="4"/>
        <v>7.6999999999999999E-2</v>
      </c>
      <c r="I66" s="14">
        <f t="shared" si="8"/>
        <v>37116.150217186616</v>
      </c>
      <c r="J66" s="14">
        <f t="shared" si="9"/>
        <v>267317.84401301871</v>
      </c>
      <c r="K66" s="14">
        <f t="shared" si="5"/>
        <v>662883.84978281334</v>
      </c>
      <c r="L66" s="14">
        <f t="shared" si="6"/>
        <v>304433.99423020531</v>
      </c>
    </row>
    <row r="67" spans="1:12" x14ac:dyDescent="0.3">
      <c r="A67">
        <v>62</v>
      </c>
      <c r="B67" s="13">
        <v>46722</v>
      </c>
      <c r="C67" s="14">
        <f t="shared" si="7"/>
        <v>662883.84978281334</v>
      </c>
      <c r="D67" s="14">
        <f t="shared" si="0"/>
        <v>4990.7212168886126</v>
      </c>
      <c r="E67" s="14">
        <f t="shared" si="1"/>
        <v>737.21651411556013</v>
      </c>
      <c r="F67" s="12">
        <f t="shared" si="2"/>
        <v>1.3345623327955889E-2</v>
      </c>
      <c r="G67" s="14">
        <f t="shared" si="3"/>
        <v>4253.5047027730525</v>
      </c>
      <c r="H67" s="12">
        <f t="shared" si="4"/>
        <v>7.6999999999999999E-2</v>
      </c>
      <c r="I67" s="14">
        <f t="shared" si="8"/>
        <v>37853.366731302172</v>
      </c>
      <c r="J67" s="14">
        <f t="shared" si="9"/>
        <v>271571.34871579177</v>
      </c>
      <c r="K67" s="14">
        <f t="shared" si="5"/>
        <v>662146.63326869777</v>
      </c>
      <c r="L67" s="14">
        <f t="shared" si="6"/>
        <v>309424.71544709394</v>
      </c>
    </row>
    <row r="68" spans="1:12" x14ac:dyDescent="0.3">
      <c r="A68">
        <v>63</v>
      </c>
      <c r="B68" s="13">
        <v>46753</v>
      </c>
      <c r="C68" s="14">
        <f t="shared" si="7"/>
        <v>662146.63326869777</v>
      </c>
      <c r="D68" s="14">
        <f t="shared" si="0"/>
        <v>4990.7212168886126</v>
      </c>
      <c r="E68" s="14">
        <f t="shared" si="1"/>
        <v>741.94698674780193</v>
      </c>
      <c r="F68" s="12">
        <f t="shared" si="2"/>
        <v>1.3446211750744726E-2</v>
      </c>
      <c r="G68" s="14">
        <f t="shared" si="3"/>
        <v>4248.7742301408107</v>
      </c>
      <c r="H68" s="12">
        <f t="shared" si="4"/>
        <v>7.6999999999999999E-2</v>
      </c>
      <c r="I68" s="14">
        <f t="shared" si="8"/>
        <v>38595.313718049976</v>
      </c>
      <c r="J68" s="14">
        <f t="shared" si="9"/>
        <v>275820.12294593256</v>
      </c>
      <c r="K68" s="14">
        <f t="shared" si="5"/>
        <v>661404.68628194998</v>
      </c>
      <c r="L68" s="14">
        <f t="shared" si="6"/>
        <v>314415.43666398252</v>
      </c>
    </row>
    <row r="69" spans="1:12" x14ac:dyDescent="0.3">
      <c r="A69">
        <v>64</v>
      </c>
      <c r="B69" s="13">
        <v>46784</v>
      </c>
      <c r="C69" s="14">
        <f t="shared" si="7"/>
        <v>661404.68628194998</v>
      </c>
      <c r="D69" s="14">
        <f t="shared" si="0"/>
        <v>4990.7212168886126</v>
      </c>
      <c r="E69" s="14">
        <f t="shared" si="1"/>
        <v>746.70781324610016</v>
      </c>
      <c r="F69" s="12">
        <f t="shared" si="2"/>
        <v>1.3547672015032316E-2</v>
      </c>
      <c r="G69" s="14">
        <f t="shared" si="3"/>
        <v>4244.0134036425125</v>
      </c>
      <c r="H69" s="12">
        <f t="shared" si="4"/>
        <v>7.6999999999999999E-2</v>
      </c>
      <c r="I69" s="14">
        <f t="shared" si="8"/>
        <v>39342.021531296079</v>
      </c>
      <c r="J69" s="14">
        <f t="shared" si="9"/>
        <v>280064.13634957507</v>
      </c>
      <c r="K69" s="14">
        <f t="shared" si="5"/>
        <v>660657.97846870392</v>
      </c>
      <c r="L69" s="14">
        <f t="shared" si="6"/>
        <v>319406.15788087115</v>
      </c>
    </row>
    <row r="70" spans="1:12" x14ac:dyDescent="0.3">
      <c r="A70">
        <v>65</v>
      </c>
      <c r="B70" s="13">
        <v>46813</v>
      </c>
      <c r="C70" s="14">
        <f t="shared" si="7"/>
        <v>660657.97846870392</v>
      </c>
      <c r="D70" s="14">
        <f t="shared" si="0"/>
        <v>4990.7212168886126</v>
      </c>
      <c r="E70" s="14">
        <f t="shared" si="1"/>
        <v>751.49918838109534</v>
      </c>
      <c r="F70" s="12">
        <f t="shared" si="2"/>
        <v>1.365001340251026E-2</v>
      </c>
      <c r="G70" s="14">
        <f t="shared" si="3"/>
        <v>4239.2220285075173</v>
      </c>
      <c r="H70" s="12">
        <f t="shared" si="4"/>
        <v>7.7000000000000013E-2</v>
      </c>
      <c r="I70" s="14">
        <f t="shared" si="8"/>
        <v>40093.520719677173</v>
      </c>
      <c r="J70" s="14">
        <f t="shared" si="9"/>
        <v>284303.35837808257</v>
      </c>
      <c r="K70" s="14">
        <f t="shared" si="5"/>
        <v>659906.47928032279</v>
      </c>
      <c r="L70" s="14">
        <f t="shared" si="6"/>
        <v>324396.87909775972</v>
      </c>
    </row>
    <row r="71" spans="1:12" x14ac:dyDescent="0.3">
      <c r="A71">
        <v>66</v>
      </c>
      <c r="B71" s="13">
        <v>46844</v>
      </c>
      <c r="C71" s="14">
        <f t="shared" si="7"/>
        <v>659906.47928032279</v>
      </c>
      <c r="D71" s="14">
        <f t="shared" ref="D71:D134" si="10">$C$6/((($E$2)-1)/($E$1*$E$2))</f>
        <v>4990.7212168886126</v>
      </c>
      <c r="E71" s="14">
        <f t="shared" ref="E71:E134" si="11">D71-G71</f>
        <v>756.32130817320831</v>
      </c>
      <c r="F71" s="12">
        <f t="shared" ref="F71:F134" si="12">(E71/C71)*12</f>
        <v>1.3753245320422366E-2</v>
      </c>
      <c r="G71" s="14">
        <f t="shared" ref="G71:G134" si="13">C71*($B$1/12)</f>
        <v>4234.3999087154043</v>
      </c>
      <c r="H71" s="12">
        <f t="shared" ref="H71:H134" si="14">(G71/C71)*12</f>
        <v>7.6999999999999985E-2</v>
      </c>
      <c r="I71" s="14">
        <f t="shared" si="8"/>
        <v>40849.842027850384</v>
      </c>
      <c r="J71" s="14">
        <f t="shared" si="9"/>
        <v>288537.75828679797</v>
      </c>
      <c r="K71" s="14">
        <f t="shared" ref="K71:K134" si="15">C71-E71</f>
        <v>659150.15797214955</v>
      </c>
      <c r="L71" s="14">
        <f t="shared" ref="L71:L134" si="16">I71+J71</f>
        <v>329387.60031464836</v>
      </c>
    </row>
    <row r="72" spans="1:12" x14ac:dyDescent="0.3">
      <c r="A72">
        <v>67</v>
      </c>
      <c r="B72" s="13">
        <v>46874</v>
      </c>
      <c r="C72" s="14">
        <f t="shared" ref="C72:C135" si="17">K71</f>
        <v>659150.15797214955</v>
      </c>
      <c r="D72" s="14">
        <f t="shared" si="10"/>
        <v>4990.7212168886126</v>
      </c>
      <c r="E72" s="14">
        <f t="shared" si="11"/>
        <v>761.17436990065289</v>
      </c>
      <c r="F72" s="12">
        <f t="shared" si="12"/>
        <v>1.3857377303691352E-2</v>
      </c>
      <c r="G72" s="14">
        <f t="shared" si="13"/>
        <v>4229.5468469879597</v>
      </c>
      <c r="H72" s="12">
        <f t="shared" si="14"/>
        <v>7.6999999999999999E-2</v>
      </c>
      <c r="I72" s="14">
        <f t="shared" ref="I72:I135" si="18">I71+E72</f>
        <v>41611.016397751038</v>
      </c>
      <c r="J72" s="14">
        <f t="shared" ref="J72:J135" si="19">J71+G72</f>
        <v>292767.30513378594</v>
      </c>
      <c r="K72" s="14">
        <f t="shared" si="15"/>
        <v>658388.98360224895</v>
      </c>
      <c r="L72" s="14">
        <f t="shared" si="16"/>
        <v>334378.32153153699</v>
      </c>
    </row>
    <row r="73" spans="1:12" x14ac:dyDescent="0.3">
      <c r="A73">
        <v>68</v>
      </c>
      <c r="B73" s="13">
        <v>46905</v>
      </c>
      <c r="C73" s="14">
        <f t="shared" si="17"/>
        <v>658388.98360224895</v>
      </c>
      <c r="D73" s="14">
        <f t="shared" si="10"/>
        <v>4990.7212168886126</v>
      </c>
      <c r="E73" s="14">
        <f t="shared" si="11"/>
        <v>766.05857210751492</v>
      </c>
      <c r="F73" s="12">
        <f t="shared" si="12"/>
        <v>1.3962419017089365E-2</v>
      </c>
      <c r="G73" s="14">
        <f t="shared" si="13"/>
        <v>4224.6626447810977</v>
      </c>
      <c r="H73" s="12">
        <f t="shared" si="14"/>
        <v>7.6999999999999999E-2</v>
      </c>
      <c r="I73" s="14">
        <f t="shared" si="18"/>
        <v>42377.074969858557</v>
      </c>
      <c r="J73" s="14">
        <f t="shared" si="19"/>
        <v>296991.96777856705</v>
      </c>
      <c r="K73" s="14">
        <f t="shared" si="15"/>
        <v>657622.92503014149</v>
      </c>
      <c r="L73" s="14">
        <f t="shared" si="16"/>
        <v>339369.04274842562</v>
      </c>
    </row>
    <row r="74" spans="1:12" x14ac:dyDescent="0.3">
      <c r="A74">
        <v>69</v>
      </c>
      <c r="B74" s="13">
        <v>46935</v>
      </c>
      <c r="C74" s="14">
        <f t="shared" si="17"/>
        <v>657622.92503014149</v>
      </c>
      <c r="D74" s="14">
        <f t="shared" si="10"/>
        <v>4990.7212168886126</v>
      </c>
      <c r="E74" s="14">
        <f t="shared" si="11"/>
        <v>770.9741146118713</v>
      </c>
      <c r="F74" s="12">
        <f t="shared" si="12"/>
        <v>1.4068380257452877E-2</v>
      </c>
      <c r="G74" s="14">
        <f t="shared" si="13"/>
        <v>4219.7471022767413</v>
      </c>
      <c r="H74" s="12">
        <f t="shared" si="14"/>
        <v>7.6999999999999999E-2</v>
      </c>
      <c r="I74" s="14">
        <f t="shared" si="18"/>
        <v>43148.049084470425</v>
      </c>
      <c r="J74" s="14">
        <f t="shared" si="19"/>
        <v>301211.71488084376</v>
      </c>
      <c r="K74" s="14">
        <f t="shared" si="15"/>
        <v>656851.95091552963</v>
      </c>
      <c r="L74" s="14">
        <f t="shared" si="16"/>
        <v>344359.7639653142</v>
      </c>
    </row>
    <row r="75" spans="1:12" x14ac:dyDescent="0.3">
      <c r="A75">
        <v>70</v>
      </c>
      <c r="B75" s="13">
        <v>46966</v>
      </c>
      <c r="C75" s="14">
        <f t="shared" si="17"/>
        <v>656851.95091552963</v>
      </c>
      <c r="D75" s="14">
        <f t="shared" si="10"/>
        <v>4990.7212168886126</v>
      </c>
      <c r="E75" s="14">
        <f t="shared" si="11"/>
        <v>775.92119851396365</v>
      </c>
      <c r="F75" s="12">
        <f t="shared" si="12"/>
        <v>1.4175270955943241E-2</v>
      </c>
      <c r="G75" s="14">
        <f t="shared" si="13"/>
        <v>4214.800018374649</v>
      </c>
      <c r="H75" s="12">
        <f t="shared" si="14"/>
        <v>7.7000000000000013E-2</v>
      </c>
      <c r="I75" s="14">
        <f t="shared" si="18"/>
        <v>43923.970282984388</v>
      </c>
      <c r="J75" s="14">
        <f t="shared" si="19"/>
        <v>305426.5148992184</v>
      </c>
      <c r="K75" s="14">
        <f t="shared" si="15"/>
        <v>656076.02971701568</v>
      </c>
      <c r="L75" s="14">
        <f t="shared" si="16"/>
        <v>349350.48518220277</v>
      </c>
    </row>
    <row r="76" spans="1:12" x14ac:dyDescent="0.3">
      <c r="A76">
        <v>71</v>
      </c>
      <c r="B76" s="13">
        <v>46997</v>
      </c>
      <c r="C76" s="14">
        <f t="shared" si="17"/>
        <v>656076.02971701568</v>
      </c>
      <c r="D76" s="14">
        <f t="shared" si="10"/>
        <v>4990.7212168886126</v>
      </c>
      <c r="E76" s="14">
        <f t="shared" si="11"/>
        <v>780.90002620442829</v>
      </c>
      <c r="F76" s="12">
        <f t="shared" si="12"/>
        <v>1.4283101180354103E-2</v>
      </c>
      <c r="G76" s="14">
        <f t="shared" si="13"/>
        <v>4209.8211906841843</v>
      </c>
      <c r="H76" s="12">
        <f t="shared" si="14"/>
        <v>7.6999999999999999E-2</v>
      </c>
      <c r="I76" s="14">
        <f t="shared" si="18"/>
        <v>44704.870309188816</v>
      </c>
      <c r="J76" s="14">
        <f t="shared" si="19"/>
        <v>309636.33608990256</v>
      </c>
      <c r="K76" s="14">
        <f t="shared" si="15"/>
        <v>655295.12969081127</v>
      </c>
      <c r="L76" s="14">
        <f t="shared" si="16"/>
        <v>354341.2063990914</v>
      </c>
    </row>
    <row r="77" spans="1:12" x14ac:dyDescent="0.3">
      <c r="A77">
        <v>72</v>
      </c>
      <c r="B77" s="13">
        <v>47027</v>
      </c>
      <c r="C77" s="14">
        <f t="shared" si="17"/>
        <v>655295.12969081127</v>
      </c>
      <c r="D77" s="14">
        <f t="shared" si="10"/>
        <v>4990.7212168886126</v>
      </c>
      <c r="E77" s="14">
        <f t="shared" si="11"/>
        <v>785.91080137257359</v>
      </c>
      <c r="F77" s="12">
        <f t="shared" si="12"/>
        <v>1.4391881137466551E-2</v>
      </c>
      <c r="G77" s="14">
        <f t="shared" si="13"/>
        <v>4204.810415516039</v>
      </c>
      <c r="H77" s="12">
        <f t="shared" si="14"/>
        <v>7.6999999999999999E-2</v>
      </c>
      <c r="I77" s="14">
        <f t="shared" si="18"/>
        <v>45490.781110561387</v>
      </c>
      <c r="J77" s="14">
        <f t="shared" si="19"/>
        <v>313841.14650541858</v>
      </c>
      <c r="K77" s="14">
        <f t="shared" si="15"/>
        <v>654509.21888943866</v>
      </c>
      <c r="L77" s="14">
        <f t="shared" si="16"/>
        <v>359331.92761597998</v>
      </c>
    </row>
    <row r="78" spans="1:12" x14ac:dyDescent="0.3">
      <c r="A78">
        <v>73</v>
      </c>
      <c r="B78" s="13">
        <v>47058</v>
      </c>
      <c r="C78" s="14">
        <f t="shared" si="17"/>
        <v>654509.21888943866</v>
      </c>
      <c r="D78" s="14">
        <f t="shared" si="10"/>
        <v>4990.7212168886126</v>
      </c>
      <c r="E78" s="14">
        <f t="shared" si="11"/>
        <v>790.95372901471455</v>
      </c>
      <c r="F78" s="12">
        <f t="shared" si="12"/>
        <v>1.4501621175453439E-2</v>
      </c>
      <c r="G78" s="14">
        <f t="shared" si="13"/>
        <v>4199.7674878738981</v>
      </c>
      <c r="H78" s="12">
        <f t="shared" si="14"/>
        <v>7.6999999999999999E-2</v>
      </c>
      <c r="I78" s="14">
        <f t="shared" si="18"/>
        <v>46281.7348395761</v>
      </c>
      <c r="J78" s="14">
        <f t="shared" si="19"/>
        <v>318040.91399329249</v>
      </c>
      <c r="K78" s="14">
        <f t="shared" si="15"/>
        <v>653718.26516042394</v>
      </c>
      <c r="L78" s="14">
        <f t="shared" si="16"/>
        <v>364322.64883286861</v>
      </c>
    </row>
    <row r="79" spans="1:12" x14ac:dyDescent="0.3">
      <c r="A79">
        <v>74</v>
      </c>
      <c r="B79" s="13">
        <v>47088</v>
      </c>
      <c r="C79" s="14">
        <f t="shared" si="17"/>
        <v>653718.26516042394</v>
      </c>
      <c r="D79" s="14">
        <f t="shared" si="10"/>
        <v>4990.7212168886126</v>
      </c>
      <c r="E79" s="14">
        <f t="shared" si="11"/>
        <v>796.02901544255928</v>
      </c>
      <c r="F79" s="12">
        <f t="shared" si="12"/>
        <v>1.4612331786333893E-2</v>
      </c>
      <c r="G79" s="14">
        <f t="shared" si="13"/>
        <v>4194.6922014460533</v>
      </c>
      <c r="H79" s="12">
        <f t="shared" si="14"/>
        <v>7.6999999999999985E-2</v>
      </c>
      <c r="I79" s="14">
        <f t="shared" si="18"/>
        <v>47077.76385501866</v>
      </c>
      <c r="J79" s="14">
        <f t="shared" si="19"/>
        <v>322235.60619473853</v>
      </c>
      <c r="K79" s="14">
        <f t="shared" si="15"/>
        <v>652922.23614498135</v>
      </c>
      <c r="L79" s="14">
        <f t="shared" si="16"/>
        <v>369313.37004975718</v>
      </c>
    </row>
    <row r="80" spans="1:12" x14ac:dyDescent="0.3">
      <c r="A80">
        <v>75</v>
      </c>
      <c r="B80" s="13">
        <v>47119</v>
      </c>
      <c r="C80" s="14">
        <f t="shared" si="17"/>
        <v>652922.23614498135</v>
      </c>
      <c r="D80" s="14">
        <f t="shared" si="10"/>
        <v>4990.7212168886126</v>
      </c>
      <c r="E80" s="14">
        <f t="shared" si="11"/>
        <v>801.13686829164908</v>
      </c>
      <c r="F80" s="12">
        <f t="shared" si="12"/>
        <v>1.472402360847928E-2</v>
      </c>
      <c r="G80" s="14">
        <f t="shared" si="13"/>
        <v>4189.5843485969635</v>
      </c>
      <c r="H80" s="12">
        <f t="shared" si="14"/>
        <v>7.6999999999999999E-2</v>
      </c>
      <c r="I80" s="14">
        <f t="shared" si="18"/>
        <v>47878.900723310311</v>
      </c>
      <c r="J80" s="14">
        <f t="shared" si="19"/>
        <v>326425.19054333551</v>
      </c>
      <c r="K80" s="14">
        <f t="shared" si="15"/>
        <v>652121.0992766897</v>
      </c>
      <c r="L80" s="14">
        <f t="shared" si="16"/>
        <v>374304.09126664582</v>
      </c>
    </row>
    <row r="81" spans="1:12" x14ac:dyDescent="0.3">
      <c r="A81">
        <v>76</v>
      </c>
      <c r="B81" s="13">
        <v>47150</v>
      </c>
      <c r="C81" s="14">
        <f t="shared" si="17"/>
        <v>652121.0992766897</v>
      </c>
      <c r="D81" s="14">
        <f t="shared" si="10"/>
        <v>4990.7212168886126</v>
      </c>
      <c r="E81" s="14">
        <f t="shared" si="11"/>
        <v>806.27749652985403</v>
      </c>
      <c r="F81" s="12">
        <f t="shared" si="12"/>
        <v>1.4836707429171963E-2</v>
      </c>
      <c r="G81" s="14">
        <f t="shared" si="13"/>
        <v>4184.4437203587586</v>
      </c>
      <c r="H81" s="12">
        <f t="shared" si="14"/>
        <v>7.6999999999999985E-2</v>
      </c>
      <c r="I81" s="14">
        <f t="shared" si="18"/>
        <v>48685.178219840163</v>
      </c>
      <c r="J81" s="14">
        <f t="shared" si="19"/>
        <v>330609.63426369429</v>
      </c>
      <c r="K81" s="14">
        <f t="shared" si="15"/>
        <v>651314.82178015984</v>
      </c>
      <c r="L81" s="14">
        <f t="shared" si="16"/>
        <v>379294.81248353445</v>
      </c>
    </row>
    <row r="82" spans="1:12" x14ac:dyDescent="0.3">
      <c r="A82">
        <v>77</v>
      </c>
      <c r="B82" s="13">
        <v>47178</v>
      </c>
      <c r="C82" s="14">
        <f t="shared" si="17"/>
        <v>651314.82178015984</v>
      </c>
      <c r="D82" s="14">
        <f t="shared" si="10"/>
        <v>4990.7212168886126</v>
      </c>
      <c r="E82" s="14">
        <f t="shared" si="11"/>
        <v>811.45111046592046</v>
      </c>
      <c r="F82" s="12">
        <f t="shared" si="12"/>
        <v>1.4950394187218026E-2</v>
      </c>
      <c r="G82" s="14">
        <f t="shared" si="13"/>
        <v>4179.2701064226922</v>
      </c>
      <c r="H82" s="12">
        <f t="shared" si="14"/>
        <v>7.6999999999999999E-2</v>
      </c>
      <c r="I82" s="14">
        <f t="shared" si="18"/>
        <v>49496.629330306081</v>
      </c>
      <c r="J82" s="14">
        <f t="shared" si="19"/>
        <v>334788.904370117</v>
      </c>
      <c r="K82" s="14">
        <f t="shared" si="15"/>
        <v>650503.37066969392</v>
      </c>
      <c r="L82" s="14">
        <f t="shared" si="16"/>
        <v>384285.53370042308</v>
      </c>
    </row>
    <row r="83" spans="1:12" x14ac:dyDescent="0.3">
      <c r="A83">
        <v>78</v>
      </c>
      <c r="B83" s="13">
        <v>47209</v>
      </c>
      <c r="C83" s="14">
        <f t="shared" si="17"/>
        <v>650503.37066969392</v>
      </c>
      <c r="D83" s="14">
        <f t="shared" si="10"/>
        <v>4990.7212168886126</v>
      </c>
      <c r="E83" s="14">
        <f t="shared" si="11"/>
        <v>816.65792175807655</v>
      </c>
      <c r="F83" s="12">
        <f t="shared" si="12"/>
        <v>1.5065094975615447E-2</v>
      </c>
      <c r="G83" s="14">
        <f t="shared" si="13"/>
        <v>4174.0632951305361</v>
      </c>
      <c r="H83" s="12">
        <f t="shared" si="14"/>
        <v>7.6999999999999999E-2</v>
      </c>
      <c r="I83" s="14">
        <f t="shared" si="18"/>
        <v>50313.287252064154</v>
      </c>
      <c r="J83" s="14">
        <f t="shared" si="19"/>
        <v>338962.96766524756</v>
      </c>
      <c r="K83" s="14">
        <f t="shared" si="15"/>
        <v>649686.71274793579</v>
      </c>
      <c r="L83" s="14">
        <f t="shared" si="16"/>
        <v>389276.25491731171</v>
      </c>
    </row>
    <row r="84" spans="1:12" x14ac:dyDescent="0.3">
      <c r="A84">
        <v>79</v>
      </c>
      <c r="B84" s="13">
        <v>47239</v>
      </c>
      <c r="C84" s="14">
        <f t="shared" si="17"/>
        <v>649686.71274793579</v>
      </c>
      <c r="D84" s="14">
        <f t="shared" si="10"/>
        <v>4990.7212168886126</v>
      </c>
      <c r="E84" s="14">
        <f t="shared" si="11"/>
        <v>821.89814342269074</v>
      </c>
      <c r="F84" s="12">
        <f t="shared" si="12"/>
        <v>1.518082104427897E-2</v>
      </c>
      <c r="G84" s="14">
        <f t="shared" si="13"/>
        <v>4168.8230734659219</v>
      </c>
      <c r="H84" s="12">
        <f t="shared" si="14"/>
        <v>7.7000000000000013E-2</v>
      </c>
      <c r="I84" s="14">
        <f t="shared" si="18"/>
        <v>51135.185395486842</v>
      </c>
      <c r="J84" s="14">
        <f t="shared" si="19"/>
        <v>343131.79073871346</v>
      </c>
      <c r="K84" s="14">
        <f t="shared" si="15"/>
        <v>648864.81460451311</v>
      </c>
      <c r="L84" s="14">
        <f t="shared" si="16"/>
        <v>394266.97613420029</v>
      </c>
    </row>
    <row r="85" spans="1:12" x14ac:dyDescent="0.3">
      <c r="A85">
        <v>80</v>
      </c>
      <c r="B85" s="13">
        <v>47270</v>
      </c>
      <c r="C85" s="14">
        <f t="shared" si="17"/>
        <v>648864.81460451311</v>
      </c>
      <c r="D85" s="14">
        <f t="shared" si="10"/>
        <v>4990.7212168886126</v>
      </c>
      <c r="E85" s="14">
        <f t="shared" si="11"/>
        <v>827.17198984298648</v>
      </c>
      <c r="F85" s="12">
        <f t="shared" si="12"/>
        <v>1.5297583802823138E-2</v>
      </c>
      <c r="G85" s="14">
        <f t="shared" si="13"/>
        <v>4163.5492270456261</v>
      </c>
      <c r="H85" s="12">
        <f t="shared" si="14"/>
        <v>7.6999999999999999E-2</v>
      </c>
      <c r="I85" s="14">
        <f t="shared" si="18"/>
        <v>51962.357385329829</v>
      </c>
      <c r="J85" s="14">
        <f t="shared" si="19"/>
        <v>347295.33996575908</v>
      </c>
      <c r="K85" s="14">
        <f t="shared" si="15"/>
        <v>648037.6426146701</v>
      </c>
      <c r="L85" s="14">
        <f t="shared" si="16"/>
        <v>399257.69735108892</v>
      </c>
    </row>
    <row r="86" spans="1:12" x14ac:dyDescent="0.3">
      <c r="A86">
        <v>81</v>
      </c>
      <c r="B86" s="13">
        <v>47300</v>
      </c>
      <c r="C86" s="14">
        <f t="shared" si="17"/>
        <v>648037.6426146701</v>
      </c>
      <c r="D86" s="14">
        <f t="shared" si="10"/>
        <v>4990.7212168886126</v>
      </c>
      <c r="E86" s="14">
        <f t="shared" si="11"/>
        <v>832.47967677781253</v>
      </c>
      <c r="F86" s="12">
        <f t="shared" si="12"/>
        <v>1.5415394823404979E-2</v>
      </c>
      <c r="G86" s="14">
        <f t="shared" si="13"/>
        <v>4158.2415401108001</v>
      </c>
      <c r="H86" s="12">
        <f t="shared" si="14"/>
        <v>7.6999999999999999E-2</v>
      </c>
      <c r="I86" s="14">
        <f t="shared" si="18"/>
        <v>52794.837062107639</v>
      </c>
      <c r="J86" s="14">
        <f t="shared" si="19"/>
        <v>351453.58150586986</v>
      </c>
      <c r="K86" s="14">
        <f t="shared" si="15"/>
        <v>647205.16293789225</v>
      </c>
      <c r="L86" s="14">
        <f t="shared" si="16"/>
        <v>404248.4185679775</v>
      </c>
    </row>
    <row r="87" spans="1:12" x14ac:dyDescent="0.3">
      <c r="A87">
        <v>82</v>
      </c>
      <c r="B87" s="13">
        <v>47331</v>
      </c>
      <c r="C87" s="14">
        <f t="shared" si="17"/>
        <v>647205.16293789225</v>
      </c>
      <c r="D87" s="14">
        <f t="shared" si="10"/>
        <v>4990.7212168886126</v>
      </c>
      <c r="E87" s="14">
        <f t="shared" si="11"/>
        <v>837.82142137047049</v>
      </c>
      <c r="F87" s="12">
        <f t="shared" si="12"/>
        <v>1.553426584362777E-2</v>
      </c>
      <c r="G87" s="14">
        <f t="shared" si="13"/>
        <v>4152.8997955181421</v>
      </c>
      <c r="H87" s="12">
        <f t="shared" si="14"/>
        <v>7.6999999999999999E-2</v>
      </c>
      <c r="I87" s="14">
        <f t="shared" si="18"/>
        <v>53632.65848347811</v>
      </c>
      <c r="J87" s="14">
        <f t="shared" si="19"/>
        <v>355606.481301388</v>
      </c>
      <c r="K87" s="14">
        <f t="shared" si="15"/>
        <v>646367.34151652176</v>
      </c>
      <c r="L87" s="14">
        <f t="shared" si="16"/>
        <v>409239.13978486613</v>
      </c>
    </row>
    <row r="88" spans="1:12" x14ac:dyDescent="0.3">
      <c r="A88">
        <v>83</v>
      </c>
      <c r="B88" s="13">
        <v>47362</v>
      </c>
      <c r="C88" s="14">
        <f t="shared" si="17"/>
        <v>646367.34151652176</v>
      </c>
      <c r="D88" s="14">
        <f t="shared" si="10"/>
        <v>4990.7212168886126</v>
      </c>
      <c r="E88" s="14">
        <f t="shared" si="11"/>
        <v>843.19744215759783</v>
      </c>
      <c r="F88" s="12">
        <f t="shared" si="12"/>
        <v>1.5654208769507485E-2</v>
      </c>
      <c r="G88" s="14">
        <f t="shared" si="13"/>
        <v>4147.5237747310148</v>
      </c>
      <c r="H88" s="12">
        <f t="shared" si="14"/>
        <v>7.6999999999999999E-2</v>
      </c>
      <c r="I88" s="14">
        <f t="shared" si="18"/>
        <v>54475.855925635711</v>
      </c>
      <c r="J88" s="14">
        <f t="shared" si="19"/>
        <v>359754.00507611904</v>
      </c>
      <c r="K88" s="14">
        <f t="shared" si="15"/>
        <v>645524.14407436422</v>
      </c>
      <c r="L88" s="14">
        <f t="shared" si="16"/>
        <v>414229.86100175476</v>
      </c>
    </row>
    <row r="89" spans="1:12" x14ac:dyDescent="0.3">
      <c r="A89">
        <v>84</v>
      </c>
      <c r="B89" s="13">
        <v>47392</v>
      </c>
      <c r="C89" s="14">
        <f t="shared" si="17"/>
        <v>645524.14407436422</v>
      </c>
      <c r="D89" s="14">
        <f t="shared" si="10"/>
        <v>4990.7212168886126</v>
      </c>
      <c r="E89" s="14">
        <f t="shared" si="11"/>
        <v>848.60795907810916</v>
      </c>
      <c r="F89" s="12">
        <f t="shared" si="12"/>
        <v>1.5775235678503446E-2</v>
      </c>
      <c r="G89" s="14">
        <f t="shared" si="13"/>
        <v>4142.1132578105035</v>
      </c>
      <c r="H89" s="12">
        <f t="shared" si="14"/>
        <v>7.6999999999999985E-2</v>
      </c>
      <c r="I89" s="14">
        <f t="shared" si="18"/>
        <v>55324.463884713819</v>
      </c>
      <c r="J89" s="14">
        <f t="shared" si="19"/>
        <v>363896.11833392957</v>
      </c>
      <c r="K89" s="14">
        <f t="shared" si="15"/>
        <v>644675.53611528606</v>
      </c>
      <c r="L89" s="14">
        <f t="shared" si="16"/>
        <v>419220.58221864339</v>
      </c>
    </row>
    <row r="90" spans="1:12" x14ac:dyDescent="0.3">
      <c r="A90">
        <v>85</v>
      </c>
      <c r="B90" s="13">
        <v>47423</v>
      </c>
      <c r="C90" s="14">
        <f t="shared" si="17"/>
        <v>644675.53611528606</v>
      </c>
      <c r="D90" s="14">
        <f t="shared" si="10"/>
        <v>4990.7212168886126</v>
      </c>
      <c r="E90" s="14">
        <f t="shared" si="11"/>
        <v>854.05319348219382</v>
      </c>
      <c r="F90" s="12">
        <f t="shared" si="12"/>
        <v>1.589735882261489E-2</v>
      </c>
      <c r="G90" s="14">
        <f t="shared" si="13"/>
        <v>4136.6680234064188</v>
      </c>
      <c r="H90" s="12">
        <f t="shared" si="14"/>
        <v>7.6999999999999999E-2</v>
      </c>
      <c r="I90" s="14">
        <f t="shared" si="18"/>
        <v>56178.517078196011</v>
      </c>
      <c r="J90" s="14">
        <f t="shared" si="19"/>
        <v>368032.78635733598</v>
      </c>
      <c r="K90" s="14">
        <f t="shared" si="15"/>
        <v>643821.48292180384</v>
      </c>
      <c r="L90" s="14">
        <f t="shared" si="16"/>
        <v>424211.30343553197</v>
      </c>
    </row>
    <row r="91" spans="1:12" x14ac:dyDescent="0.3">
      <c r="A91">
        <v>86</v>
      </c>
      <c r="B91" s="13">
        <v>47453</v>
      </c>
      <c r="C91" s="14">
        <f t="shared" si="17"/>
        <v>643821.48292180384</v>
      </c>
      <c r="D91" s="14">
        <f t="shared" si="10"/>
        <v>4990.7212168886126</v>
      </c>
      <c r="E91" s="14">
        <f t="shared" si="11"/>
        <v>859.53336814037084</v>
      </c>
      <c r="F91" s="12">
        <f t="shared" si="12"/>
        <v>1.6020590631544984E-2</v>
      </c>
      <c r="G91" s="14">
        <f t="shared" si="13"/>
        <v>4131.1878487482418</v>
      </c>
      <c r="H91" s="12">
        <f t="shared" si="14"/>
        <v>7.7000000000000013E-2</v>
      </c>
      <c r="I91" s="14">
        <f t="shared" si="18"/>
        <v>57038.050446336383</v>
      </c>
      <c r="J91" s="14">
        <f t="shared" si="19"/>
        <v>372163.97420608421</v>
      </c>
      <c r="K91" s="14">
        <f t="shared" si="15"/>
        <v>642961.94955366349</v>
      </c>
      <c r="L91" s="14">
        <f t="shared" si="16"/>
        <v>429202.0246524206</v>
      </c>
    </row>
    <row r="92" spans="1:12" x14ac:dyDescent="0.3">
      <c r="A92">
        <v>87</v>
      </c>
      <c r="B92" s="13">
        <v>47484</v>
      </c>
      <c r="C92" s="14">
        <f t="shared" si="17"/>
        <v>642961.94955366349</v>
      </c>
      <c r="D92" s="14">
        <f t="shared" si="10"/>
        <v>4990.7212168886126</v>
      </c>
      <c r="E92" s="14">
        <f t="shared" si="11"/>
        <v>865.0487072526048</v>
      </c>
      <c r="F92" s="12">
        <f t="shared" si="12"/>
        <v>1.6144943715934255E-2</v>
      </c>
      <c r="G92" s="14">
        <f t="shared" si="13"/>
        <v>4125.6725096360078</v>
      </c>
      <c r="H92" s="12">
        <f t="shared" si="14"/>
        <v>7.6999999999999999E-2</v>
      </c>
      <c r="I92" s="14">
        <f t="shared" si="18"/>
        <v>57903.099153588992</v>
      </c>
      <c r="J92" s="14">
        <f t="shared" si="19"/>
        <v>376289.64671572024</v>
      </c>
      <c r="K92" s="14">
        <f t="shared" si="15"/>
        <v>642096.90084641089</v>
      </c>
      <c r="L92" s="14">
        <f t="shared" si="16"/>
        <v>434192.74586930923</v>
      </c>
    </row>
    <row r="93" spans="1:12" x14ac:dyDescent="0.3">
      <c r="A93">
        <v>88</v>
      </c>
      <c r="B93" s="13">
        <v>47515</v>
      </c>
      <c r="C93" s="14">
        <f t="shared" si="17"/>
        <v>642096.90084641089</v>
      </c>
      <c r="D93" s="14">
        <f t="shared" si="10"/>
        <v>4990.7212168886126</v>
      </c>
      <c r="E93" s="14">
        <f t="shared" si="11"/>
        <v>870.59943645747626</v>
      </c>
      <c r="F93" s="12">
        <f t="shared" si="12"/>
        <v>1.6270430870664918E-2</v>
      </c>
      <c r="G93" s="14">
        <f t="shared" si="13"/>
        <v>4120.1217804311364</v>
      </c>
      <c r="H93" s="12">
        <f t="shared" si="14"/>
        <v>7.6999999999999985E-2</v>
      </c>
      <c r="I93" s="14">
        <f t="shared" si="18"/>
        <v>58773.698590046464</v>
      </c>
      <c r="J93" s="14">
        <f t="shared" si="19"/>
        <v>380409.76849615137</v>
      </c>
      <c r="K93" s="14">
        <f t="shared" si="15"/>
        <v>641226.30140995339</v>
      </c>
      <c r="L93" s="14">
        <f t="shared" si="16"/>
        <v>439183.46708619781</v>
      </c>
    </row>
    <row r="94" spans="1:12" x14ac:dyDescent="0.3">
      <c r="A94">
        <v>89</v>
      </c>
      <c r="B94" s="13">
        <v>47543</v>
      </c>
      <c r="C94" s="14">
        <f t="shared" si="17"/>
        <v>641226.30140995339</v>
      </c>
      <c r="D94" s="14">
        <f t="shared" si="10"/>
        <v>4990.7212168886126</v>
      </c>
      <c r="E94" s="14">
        <f t="shared" si="11"/>
        <v>876.18578284141131</v>
      </c>
      <c r="F94" s="12">
        <f t="shared" si="12"/>
        <v>1.639706507823812E-2</v>
      </c>
      <c r="G94" s="14">
        <f t="shared" si="13"/>
        <v>4114.5354340472013</v>
      </c>
      <c r="H94" s="12">
        <f t="shared" si="14"/>
        <v>7.6999999999999999E-2</v>
      </c>
      <c r="I94" s="14">
        <f t="shared" si="18"/>
        <v>59649.884372887878</v>
      </c>
      <c r="J94" s="14">
        <f t="shared" si="19"/>
        <v>384524.3039301986</v>
      </c>
      <c r="K94" s="14">
        <f t="shared" si="15"/>
        <v>640350.11562711198</v>
      </c>
      <c r="L94" s="14">
        <f t="shared" si="16"/>
        <v>444174.1883030865</v>
      </c>
    </row>
    <row r="95" spans="1:12" x14ac:dyDescent="0.3">
      <c r="A95">
        <v>90</v>
      </c>
      <c r="B95" s="13">
        <v>47574</v>
      </c>
      <c r="C95" s="14">
        <f t="shared" si="17"/>
        <v>640350.11562711198</v>
      </c>
      <c r="D95" s="14">
        <f t="shared" si="10"/>
        <v>4990.7212168886126</v>
      </c>
      <c r="E95" s="14">
        <f t="shared" si="11"/>
        <v>881.80797494797753</v>
      </c>
      <c r="F95" s="12">
        <f t="shared" si="12"/>
        <v>1.6524859512226046E-2</v>
      </c>
      <c r="G95" s="14">
        <f t="shared" si="13"/>
        <v>4108.9132419406351</v>
      </c>
      <c r="H95" s="12">
        <f t="shared" si="14"/>
        <v>7.6999999999999999E-2</v>
      </c>
      <c r="I95" s="14">
        <f t="shared" si="18"/>
        <v>60531.692347835859</v>
      </c>
      <c r="J95" s="14">
        <f t="shared" si="19"/>
        <v>388633.21717213921</v>
      </c>
      <c r="K95" s="14">
        <f t="shared" si="15"/>
        <v>639468.30765216402</v>
      </c>
      <c r="L95" s="14">
        <f t="shared" si="16"/>
        <v>449164.90951997507</v>
      </c>
    </row>
    <row r="96" spans="1:12" x14ac:dyDescent="0.3">
      <c r="A96">
        <v>91</v>
      </c>
      <c r="B96" s="13">
        <v>47604</v>
      </c>
      <c r="C96" s="14">
        <f t="shared" si="17"/>
        <v>639468.30765216402</v>
      </c>
      <c r="D96" s="14">
        <f t="shared" si="10"/>
        <v>4990.7212168886126</v>
      </c>
      <c r="E96" s="14">
        <f t="shared" si="11"/>
        <v>887.46624278722629</v>
      </c>
      <c r="F96" s="12">
        <f t="shared" si="12"/>
        <v>1.6653827540800529E-2</v>
      </c>
      <c r="G96" s="14">
        <f t="shared" si="13"/>
        <v>4103.2549741013863</v>
      </c>
      <c r="H96" s="12">
        <f t="shared" si="14"/>
        <v>7.7000000000000013E-2</v>
      </c>
      <c r="I96" s="14">
        <f t="shared" si="18"/>
        <v>61419.158590623083</v>
      </c>
      <c r="J96" s="14">
        <f t="shared" si="19"/>
        <v>392736.47214624059</v>
      </c>
      <c r="K96" s="14">
        <f t="shared" si="15"/>
        <v>638580.84140937682</v>
      </c>
      <c r="L96" s="14">
        <f t="shared" si="16"/>
        <v>454155.63073686365</v>
      </c>
    </row>
    <row r="97" spans="1:12" x14ac:dyDescent="0.3">
      <c r="A97">
        <v>92</v>
      </c>
      <c r="B97" s="13">
        <v>47635</v>
      </c>
      <c r="C97" s="14">
        <f t="shared" si="17"/>
        <v>638580.84140937682</v>
      </c>
      <c r="D97" s="14">
        <f t="shared" si="10"/>
        <v>4990.7212168886126</v>
      </c>
      <c r="E97" s="14">
        <f t="shared" si="11"/>
        <v>893.16081784511152</v>
      </c>
      <c r="F97" s="12">
        <f t="shared" si="12"/>
        <v>1.6783982730340583E-2</v>
      </c>
      <c r="G97" s="14">
        <f t="shared" si="13"/>
        <v>4097.5603990435011</v>
      </c>
      <c r="H97" s="12">
        <f t="shared" si="14"/>
        <v>7.6999999999999985E-2</v>
      </c>
      <c r="I97" s="14">
        <f t="shared" si="18"/>
        <v>62312.319408468196</v>
      </c>
      <c r="J97" s="14">
        <f t="shared" si="19"/>
        <v>396834.03254528408</v>
      </c>
      <c r="K97" s="14">
        <f t="shared" si="15"/>
        <v>637687.68059153168</v>
      </c>
      <c r="L97" s="14">
        <f t="shared" si="16"/>
        <v>459146.35195375228</v>
      </c>
    </row>
    <row r="98" spans="1:12" x14ac:dyDescent="0.3">
      <c r="A98">
        <v>93</v>
      </c>
      <c r="B98" s="13">
        <v>47665</v>
      </c>
      <c r="C98" s="14">
        <f t="shared" si="17"/>
        <v>637687.68059153168</v>
      </c>
      <c r="D98" s="14">
        <f t="shared" si="10"/>
        <v>4990.7212168886126</v>
      </c>
      <c r="E98" s="14">
        <f t="shared" si="11"/>
        <v>898.89193309295069</v>
      </c>
      <c r="F98" s="12">
        <f t="shared" si="12"/>
        <v>1.6915338849120387E-2</v>
      </c>
      <c r="G98" s="14">
        <f t="shared" si="13"/>
        <v>4091.8292837956619</v>
      </c>
      <c r="H98" s="12">
        <f t="shared" si="14"/>
        <v>7.6999999999999999E-2</v>
      </c>
      <c r="I98" s="14">
        <f t="shared" si="18"/>
        <v>63211.211341561146</v>
      </c>
      <c r="J98" s="14">
        <f t="shared" si="19"/>
        <v>400925.86182907975</v>
      </c>
      <c r="K98" s="14">
        <f t="shared" si="15"/>
        <v>636788.78865843872</v>
      </c>
      <c r="L98" s="14">
        <f t="shared" si="16"/>
        <v>464137.07317064091</v>
      </c>
    </row>
    <row r="99" spans="1:12" x14ac:dyDescent="0.3">
      <c r="A99">
        <v>94</v>
      </c>
      <c r="B99" s="13">
        <v>47696</v>
      </c>
      <c r="C99" s="14">
        <f t="shared" si="17"/>
        <v>636788.78865843872</v>
      </c>
      <c r="D99" s="14">
        <f t="shared" si="10"/>
        <v>4990.7212168886126</v>
      </c>
      <c r="E99" s="14">
        <f t="shared" si="11"/>
        <v>904.65982299696407</v>
      </c>
      <c r="F99" s="12">
        <f t="shared" si="12"/>
        <v>1.7047909871080465E-2</v>
      </c>
      <c r="G99" s="14">
        <f t="shared" si="13"/>
        <v>4086.0613938916485</v>
      </c>
      <c r="H99" s="12">
        <f t="shared" si="14"/>
        <v>7.6999999999999999E-2</v>
      </c>
      <c r="I99" s="14">
        <f t="shared" si="18"/>
        <v>64115.871164558106</v>
      </c>
      <c r="J99" s="14">
        <f t="shared" si="19"/>
        <v>405011.92322297138</v>
      </c>
      <c r="K99" s="14">
        <f t="shared" si="15"/>
        <v>635884.12883544178</v>
      </c>
      <c r="L99" s="14">
        <f t="shared" si="16"/>
        <v>469127.79438752949</v>
      </c>
    </row>
    <row r="100" spans="1:12" x14ac:dyDescent="0.3">
      <c r="A100">
        <v>95</v>
      </c>
      <c r="B100" s="13">
        <v>47727</v>
      </c>
      <c r="C100" s="14">
        <f t="shared" si="17"/>
        <v>635884.12883544178</v>
      </c>
      <c r="D100" s="14">
        <f t="shared" si="10"/>
        <v>4990.7212168886126</v>
      </c>
      <c r="E100" s="14">
        <f t="shared" si="11"/>
        <v>910.46472352786122</v>
      </c>
      <c r="F100" s="12">
        <f t="shared" si="12"/>
        <v>1.7181709979683622E-2</v>
      </c>
      <c r="G100" s="14">
        <f t="shared" si="13"/>
        <v>4080.2564933607514</v>
      </c>
      <c r="H100" s="12">
        <f t="shared" si="14"/>
        <v>7.6999999999999999E-2</v>
      </c>
      <c r="I100" s="14">
        <f t="shared" si="18"/>
        <v>65026.335888085967</v>
      </c>
      <c r="J100" s="14">
        <f t="shared" si="19"/>
        <v>409092.17971633212</v>
      </c>
      <c r="K100" s="14">
        <f t="shared" si="15"/>
        <v>634973.66411191388</v>
      </c>
      <c r="L100" s="14">
        <f t="shared" si="16"/>
        <v>474118.51560441806</v>
      </c>
    </row>
    <row r="101" spans="1:12" x14ac:dyDescent="0.3">
      <c r="A101">
        <v>96</v>
      </c>
      <c r="B101" s="13">
        <v>47757</v>
      </c>
      <c r="C101" s="14">
        <f t="shared" si="17"/>
        <v>634973.66411191388</v>
      </c>
      <c r="D101" s="14">
        <f t="shared" si="10"/>
        <v>4990.7212168886126</v>
      </c>
      <c r="E101" s="14">
        <f t="shared" si="11"/>
        <v>916.30687217049854</v>
      </c>
      <c r="F101" s="12">
        <f t="shared" si="12"/>
        <v>1.731675357185837E-2</v>
      </c>
      <c r="G101" s="14">
        <f t="shared" si="13"/>
        <v>4074.4143447181141</v>
      </c>
      <c r="H101" s="12">
        <f t="shared" si="14"/>
        <v>7.6999999999999999E-2</v>
      </c>
      <c r="I101" s="14">
        <f t="shared" si="18"/>
        <v>65942.642760256465</v>
      </c>
      <c r="J101" s="14">
        <f t="shared" si="19"/>
        <v>413166.59406105021</v>
      </c>
      <c r="K101" s="14">
        <f t="shared" si="15"/>
        <v>634057.35723974335</v>
      </c>
      <c r="L101" s="14">
        <f t="shared" si="16"/>
        <v>479109.23682130669</v>
      </c>
    </row>
    <row r="102" spans="1:12" x14ac:dyDescent="0.3">
      <c r="A102">
        <v>97</v>
      </c>
      <c r="B102" s="13">
        <v>47788</v>
      </c>
      <c r="C102" s="14">
        <f t="shared" si="17"/>
        <v>634057.35723974335</v>
      </c>
      <c r="D102" s="14">
        <f t="shared" si="10"/>
        <v>4990.7212168886126</v>
      </c>
      <c r="E102" s="14">
        <f t="shared" si="11"/>
        <v>922.18650793359257</v>
      </c>
      <c r="F102" s="12">
        <f t="shared" si="12"/>
        <v>1.745305526203185E-2</v>
      </c>
      <c r="G102" s="14">
        <f t="shared" si="13"/>
        <v>4068.5347089550201</v>
      </c>
      <c r="H102" s="12">
        <f t="shared" si="14"/>
        <v>7.6999999999999999E-2</v>
      </c>
      <c r="I102" s="14">
        <f t="shared" si="18"/>
        <v>66864.829268190064</v>
      </c>
      <c r="J102" s="14">
        <f t="shared" si="19"/>
        <v>417235.12877000525</v>
      </c>
      <c r="K102" s="14">
        <f t="shared" si="15"/>
        <v>633135.17073180981</v>
      </c>
      <c r="L102" s="14">
        <f t="shared" si="16"/>
        <v>484099.95803819533</v>
      </c>
    </row>
    <row r="103" spans="1:12" x14ac:dyDescent="0.3">
      <c r="A103">
        <v>98</v>
      </c>
      <c r="B103" s="13">
        <v>47818</v>
      </c>
      <c r="C103" s="14">
        <f t="shared" si="17"/>
        <v>633135.17073180981</v>
      </c>
      <c r="D103" s="14">
        <f t="shared" si="10"/>
        <v>4990.7212168886126</v>
      </c>
      <c r="E103" s="14">
        <f t="shared" si="11"/>
        <v>928.10387135949941</v>
      </c>
      <c r="F103" s="12">
        <f t="shared" si="12"/>
        <v>1.7590629886254774E-2</v>
      </c>
      <c r="G103" s="14">
        <f t="shared" si="13"/>
        <v>4062.6173455291132</v>
      </c>
      <c r="H103" s="12">
        <f t="shared" si="14"/>
        <v>7.6999999999999999E-2</v>
      </c>
      <c r="I103" s="14">
        <f t="shared" si="18"/>
        <v>67792.933139549568</v>
      </c>
      <c r="J103" s="14">
        <f t="shared" si="19"/>
        <v>421297.74611553433</v>
      </c>
      <c r="K103" s="14">
        <f t="shared" si="15"/>
        <v>632207.06686045032</v>
      </c>
      <c r="L103" s="14">
        <f t="shared" si="16"/>
        <v>489090.6792550839</v>
      </c>
    </row>
    <row r="104" spans="1:12" x14ac:dyDescent="0.3">
      <c r="A104">
        <v>99</v>
      </c>
      <c r="B104" s="13">
        <v>47849</v>
      </c>
      <c r="C104" s="14">
        <f t="shared" si="17"/>
        <v>632207.06686045032</v>
      </c>
      <c r="D104" s="14">
        <f t="shared" si="10"/>
        <v>4990.7212168886126</v>
      </c>
      <c r="E104" s="14">
        <f t="shared" si="11"/>
        <v>934.05920453405633</v>
      </c>
      <c r="F104" s="12">
        <f t="shared" si="12"/>
        <v>1.7729492506420877E-2</v>
      </c>
      <c r="G104" s="14">
        <f t="shared" si="13"/>
        <v>4056.6620123545563</v>
      </c>
      <c r="H104" s="12">
        <f t="shared" si="14"/>
        <v>7.6999999999999999E-2</v>
      </c>
      <c r="I104" s="14">
        <f t="shared" si="18"/>
        <v>68726.992344083628</v>
      </c>
      <c r="J104" s="14">
        <f t="shared" si="19"/>
        <v>425354.40812788886</v>
      </c>
      <c r="K104" s="14">
        <f t="shared" si="15"/>
        <v>631273.00765591627</v>
      </c>
      <c r="L104" s="14">
        <f t="shared" si="16"/>
        <v>494081.40047197248</v>
      </c>
    </row>
    <row r="105" spans="1:12" x14ac:dyDescent="0.3">
      <c r="A105">
        <v>100</v>
      </c>
      <c r="B105" s="13">
        <v>47880</v>
      </c>
      <c r="C105" s="14">
        <f t="shared" si="17"/>
        <v>631273.00765591627</v>
      </c>
      <c r="D105" s="14">
        <f t="shared" si="10"/>
        <v>4990.7212168886126</v>
      </c>
      <c r="E105" s="14">
        <f t="shared" si="11"/>
        <v>940.05275109648301</v>
      </c>
      <c r="F105" s="12">
        <f t="shared" si="12"/>
        <v>1.7869658414583212E-2</v>
      </c>
      <c r="G105" s="14">
        <f t="shared" si="13"/>
        <v>4050.6684657921296</v>
      </c>
      <c r="H105" s="12">
        <f t="shared" si="14"/>
        <v>7.6999999999999999E-2</v>
      </c>
      <c r="I105" s="14">
        <f t="shared" si="18"/>
        <v>69667.045095180118</v>
      </c>
      <c r="J105" s="14">
        <f t="shared" si="19"/>
        <v>429405.07659368101</v>
      </c>
      <c r="K105" s="14">
        <f t="shared" si="15"/>
        <v>630332.95490481984</v>
      </c>
      <c r="L105" s="14">
        <f t="shared" si="16"/>
        <v>499072.12168886111</v>
      </c>
    </row>
    <row r="106" spans="1:12" x14ac:dyDescent="0.3">
      <c r="A106">
        <v>101</v>
      </c>
      <c r="B106" s="13">
        <v>47908</v>
      </c>
      <c r="C106" s="14">
        <f t="shared" si="17"/>
        <v>630332.95490481984</v>
      </c>
      <c r="D106" s="14">
        <f t="shared" si="10"/>
        <v>4990.7212168886126</v>
      </c>
      <c r="E106" s="14">
        <f t="shared" si="11"/>
        <v>946.08475624935181</v>
      </c>
      <c r="F106" s="12">
        <f t="shared" si="12"/>
        <v>1.8011143137370192E-2</v>
      </c>
      <c r="G106" s="14">
        <f t="shared" si="13"/>
        <v>4044.6364606392608</v>
      </c>
      <c r="H106" s="12">
        <f t="shared" si="14"/>
        <v>7.6999999999999999E-2</v>
      </c>
      <c r="I106" s="14">
        <f t="shared" si="18"/>
        <v>70613.129851429476</v>
      </c>
      <c r="J106" s="14">
        <f t="shared" si="19"/>
        <v>433449.71305432025</v>
      </c>
      <c r="K106" s="14">
        <f t="shared" si="15"/>
        <v>629386.87014857051</v>
      </c>
      <c r="L106" s="14">
        <f t="shared" si="16"/>
        <v>504062.84290574974</v>
      </c>
    </row>
    <row r="107" spans="1:12" x14ac:dyDescent="0.3">
      <c r="A107">
        <v>102</v>
      </c>
      <c r="B107" s="13">
        <v>47939</v>
      </c>
      <c r="C107" s="14">
        <f t="shared" si="17"/>
        <v>629386.87014857051</v>
      </c>
      <c r="D107" s="14">
        <f t="shared" si="10"/>
        <v>4990.7212168886126</v>
      </c>
      <c r="E107" s="14">
        <f t="shared" si="11"/>
        <v>952.15546676861823</v>
      </c>
      <c r="F107" s="12">
        <f t="shared" si="12"/>
        <v>1.8153962440503844E-2</v>
      </c>
      <c r="G107" s="14">
        <f t="shared" si="13"/>
        <v>4038.5657501199944</v>
      </c>
      <c r="H107" s="12">
        <f t="shared" si="14"/>
        <v>7.6999999999999999E-2</v>
      </c>
      <c r="I107" s="14">
        <f t="shared" si="18"/>
        <v>71565.28531819809</v>
      </c>
      <c r="J107" s="14">
        <f t="shared" si="19"/>
        <v>437488.27880444023</v>
      </c>
      <c r="K107" s="14">
        <f t="shared" si="15"/>
        <v>628434.71468180185</v>
      </c>
      <c r="L107" s="14">
        <f t="shared" si="16"/>
        <v>509053.56412263832</v>
      </c>
    </row>
    <row r="108" spans="1:12" x14ac:dyDescent="0.3">
      <c r="A108">
        <v>103</v>
      </c>
      <c r="B108" s="13">
        <v>47969</v>
      </c>
      <c r="C108" s="14">
        <f t="shared" si="17"/>
        <v>628434.71468180185</v>
      </c>
      <c r="D108" s="14">
        <f t="shared" si="10"/>
        <v>4990.7212168886126</v>
      </c>
      <c r="E108" s="14">
        <f t="shared" si="11"/>
        <v>958.26513101371711</v>
      </c>
      <c r="F108" s="12">
        <f t="shared" si="12"/>
        <v>1.829813233342311E-2</v>
      </c>
      <c r="G108" s="14">
        <f t="shared" si="13"/>
        <v>4032.4560858748955</v>
      </c>
      <c r="H108" s="12">
        <f t="shared" si="14"/>
        <v>7.6999999999999999E-2</v>
      </c>
      <c r="I108" s="14">
        <f t="shared" si="18"/>
        <v>72523.550449211805</v>
      </c>
      <c r="J108" s="14">
        <f t="shared" si="19"/>
        <v>441520.7348903151</v>
      </c>
      <c r="K108" s="14">
        <f t="shared" si="15"/>
        <v>627476.44955078815</v>
      </c>
      <c r="L108" s="14">
        <f t="shared" si="16"/>
        <v>514044.28533952689</v>
      </c>
    </row>
    <row r="109" spans="1:12" x14ac:dyDescent="0.3">
      <c r="A109">
        <v>104</v>
      </c>
      <c r="B109" s="13">
        <v>48000</v>
      </c>
      <c r="C109" s="14">
        <f t="shared" si="17"/>
        <v>627476.44955078815</v>
      </c>
      <c r="D109" s="14">
        <f t="shared" si="10"/>
        <v>4990.7212168886126</v>
      </c>
      <c r="E109" s="14">
        <f t="shared" si="11"/>
        <v>964.41399893772177</v>
      </c>
      <c r="F109" s="12">
        <f t="shared" si="12"/>
        <v>1.8443669074015089E-2</v>
      </c>
      <c r="G109" s="14">
        <f t="shared" si="13"/>
        <v>4026.3072179508908</v>
      </c>
      <c r="H109" s="12">
        <f t="shared" si="14"/>
        <v>7.6999999999999999E-2</v>
      </c>
      <c r="I109" s="14">
        <f t="shared" si="18"/>
        <v>73487.96444814952</v>
      </c>
      <c r="J109" s="14">
        <f t="shared" si="19"/>
        <v>445547.04210826597</v>
      </c>
      <c r="K109" s="14">
        <f t="shared" si="15"/>
        <v>626512.03555185045</v>
      </c>
      <c r="L109" s="14">
        <f t="shared" si="16"/>
        <v>519035.00655641546</v>
      </c>
    </row>
    <row r="110" spans="1:12" x14ac:dyDescent="0.3">
      <c r="A110">
        <v>105</v>
      </c>
      <c r="B110" s="13">
        <v>48030</v>
      </c>
      <c r="C110" s="14">
        <f t="shared" si="17"/>
        <v>626512.03555185045</v>
      </c>
      <c r="D110" s="14">
        <f t="shared" si="10"/>
        <v>4990.7212168886126</v>
      </c>
      <c r="E110" s="14">
        <f t="shared" si="11"/>
        <v>970.60232209757214</v>
      </c>
      <c r="F110" s="12">
        <f t="shared" si="12"/>
        <v>1.8590589173457205E-2</v>
      </c>
      <c r="G110" s="14">
        <f t="shared" si="13"/>
        <v>4020.1188947910405</v>
      </c>
      <c r="H110" s="12">
        <f t="shared" si="14"/>
        <v>7.6999999999999999E-2</v>
      </c>
      <c r="I110" s="14">
        <f t="shared" si="18"/>
        <v>74458.566770247096</v>
      </c>
      <c r="J110" s="14">
        <f t="shared" si="19"/>
        <v>449567.16100305703</v>
      </c>
      <c r="K110" s="14">
        <f t="shared" si="15"/>
        <v>625541.43322975293</v>
      </c>
      <c r="L110" s="14">
        <f t="shared" si="16"/>
        <v>524025.7277733041</v>
      </c>
    </row>
    <row r="111" spans="1:12" x14ac:dyDescent="0.3">
      <c r="A111">
        <v>106</v>
      </c>
      <c r="B111" s="13">
        <v>48061</v>
      </c>
      <c r="C111" s="14">
        <f t="shared" si="17"/>
        <v>625541.43322975293</v>
      </c>
      <c r="D111" s="14">
        <f t="shared" si="10"/>
        <v>4990.7212168886126</v>
      </c>
      <c r="E111" s="14">
        <f t="shared" si="11"/>
        <v>976.83035366436434</v>
      </c>
      <c r="F111" s="12">
        <f t="shared" si="12"/>
        <v>1.8738909401173197E-2</v>
      </c>
      <c r="G111" s="14">
        <f t="shared" si="13"/>
        <v>4013.8908632242483</v>
      </c>
      <c r="H111" s="12">
        <f t="shared" si="14"/>
        <v>7.6999999999999999E-2</v>
      </c>
      <c r="I111" s="14">
        <f t="shared" si="18"/>
        <v>75435.397123911462</v>
      </c>
      <c r="J111" s="14">
        <f t="shared" si="19"/>
        <v>453581.05186628125</v>
      </c>
      <c r="K111" s="14">
        <f t="shared" si="15"/>
        <v>624564.60287608858</v>
      </c>
      <c r="L111" s="14">
        <f t="shared" si="16"/>
        <v>529016.44899019273</v>
      </c>
    </row>
    <row r="112" spans="1:12" x14ac:dyDescent="0.3">
      <c r="A112">
        <v>107</v>
      </c>
      <c r="B112" s="13">
        <v>48092</v>
      </c>
      <c r="C112" s="14">
        <f t="shared" si="17"/>
        <v>624564.60287608858</v>
      </c>
      <c r="D112" s="14">
        <f t="shared" si="10"/>
        <v>4990.7212168886126</v>
      </c>
      <c r="E112" s="14">
        <f t="shared" si="11"/>
        <v>983.09834843371073</v>
      </c>
      <c r="F112" s="12">
        <f t="shared" si="12"/>
        <v>1.8888646789906292E-2</v>
      </c>
      <c r="G112" s="14">
        <f t="shared" si="13"/>
        <v>4007.6228684549019</v>
      </c>
      <c r="H112" s="12">
        <f t="shared" si="14"/>
        <v>7.6999999999999999E-2</v>
      </c>
      <c r="I112" s="14">
        <f t="shared" si="18"/>
        <v>76418.495472345166</v>
      </c>
      <c r="J112" s="14">
        <f t="shared" si="19"/>
        <v>457588.67473473615</v>
      </c>
      <c r="K112" s="14">
        <f t="shared" si="15"/>
        <v>623581.50452765485</v>
      </c>
      <c r="L112" s="14">
        <f t="shared" si="16"/>
        <v>534007.17020708136</v>
      </c>
    </row>
    <row r="113" spans="1:12" x14ac:dyDescent="0.3">
      <c r="A113">
        <v>108</v>
      </c>
      <c r="B113" s="13">
        <v>48122</v>
      </c>
      <c r="C113" s="14">
        <f t="shared" si="17"/>
        <v>623581.50452765485</v>
      </c>
      <c r="D113" s="14">
        <f t="shared" si="10"/>
        <v>4990.7212168886126</v>
      </c>
      <c r="E113" s="14">
        <f t="shared" si="11"/>
        <v>989.40656283616045</v>
      </c>
      <c r="F113" s="12">
        <f t="shared" si="12"/>
        <v>1.9039818640912531E-2</v>
      </c>
      <c r="G113" s="14">
        <f t="shared" si="13"/>
        <v>4001.3146540524522</v>
      </c>
      <c r="H113" s="12">
        <f t="shared" si="14"/>
        <v>7.6999999999999999E-2</v>
      </c>
      <c r="I113" s="14">
        <f t="shared" si="18"/>
        <v>77407.902035181323</v>
      </c>
      <c r="J113" s="14">
        <f t="shared" si="19"/>
        <v>461589.98938878858</v>
      </c>
      <c r="K113" s="14">
        <f t="shared" si="15"/>
        <v>622592.09796481871</v>
      </c>
      <c r="L113" s="14">
        <f t="shared" si="16"/>
        <v>538997.89142396988</v>
      </c>
    </row>
    <row r="114" spans="1:12" x14ac:dyDescent="0.3">
      <c r="A114">
        <v>109</v>
      </c>
      <c r="B114" s="13">
        <v>48153</v>
      </c>
      <c r="C114" s="14">
        <f t="shared" si="17"/>
        <v>622592.09796481871</v>
      </c>
      <c r="D114" s="14">
        <f t="shared" si="10"/>
        <v>4990.7212168886126</v>
      </c>
      <c r="E114" s="14">
        <f t="shared" si="11"/>
        <v>995.75525494769226</v>
      </c>
      <c r="F114" s="12">
        <f t="shared" si="12"/>
        <v>1.9192442529277848E-2</v>
      </c>
      <c r="G114" s="14">
        <f t="shared" si="13"/>
        <v>3994.9659619409204</v>
      </c>
      <c r="H114" s="12">
        <f t="shared" si="14"/>
        <v>7.6999999999999999E-2</v>
      </c>
      <c r="I114" s="14">
        <f t="shared" si="18"/>
        <v>78403.65729012902</v>
      </c>
      <c r="J114" s="14">
        <f t="shared" si="19"/>
        <v>465584.95535072952</v>
      </c>
      <c r="K114" s="14">
        <f t="shared" si="15"/>
        <v>621596.34270987101</v>
      </c>
      <c r="L114" s="14">
        <f t="shared" si="16"/>
        <v>543988.61264085851</v>
      </c>
    </row>
    <row r="115" spans="1:12" x14ac:dyDescent="0.3">
      <c r="A115">
        <v>110</v>
      </c>
      <c r="B115" s="13">
        <v>48183</v>
      </c>
      <c r="C115" s="14">
        <f t="shared" si="17"/>
        <v>621596.34270987101</v>
      </c>
      <c r="D115" s="14">
        <f t="shared" si="10"/>
        <v>4990.7212168886126</v>
      </c>
      <c r="E115" s="14">
        <f t="shared" si="11"/>
        <v>1002.1446845002733</v>
      </c>
      <c r="F115" s="12">
        <f t="shared" si="12"/>
        <v>1.9346536309362217E-2</v>
      </c>
      <c r="G115" s="14">
        <f t="shared" si="13"/>
        <v>3988.5765323883393</v>
      </c>
      <c r="H115" s="12">
        <f t="shared" si="14"/>
        <v>7.6999999999999999E-2</v>
      </c>
      <c r="I115" s="14">
        <f t="shared" si="18"/>
        <v>79405.801974629299</v>
      </c>
      <c r="J115" s="14">
        <f t="shared" si="19"/>
        <v>469573.53188311786</v>
      </c>
      <c r="K115" s="14">
        <f t="shared" si="15"/>
        <v>620594.19802537072</v>
      </c>
      <c r="L115" s="14">
        <f t="shared" si="16"/>
        <v>548979.33385774714</v>
      </c>
    </row>
    <row r="116" spans="1:12" x14ac:dyDescent="0.3">
      <c r="A116">
        <v>111</v>
      </c>
      <c r="B116" s="13">
        <v>48214</v>
      </c>
      <c r="C116" s="14">
        <f t="shared" si="17"/>
        <v>620594.19802537072</v>
      </c>
      <c r="D116" s="14">
        <f t="shared" si="10"/>
        <v>4990.7212168886126</v>
      </c>
      <c r="E116" s="14">
        <f t="shared" si="11"/>
        <v>1008.575112892484</v>
      </c>
      <c r="F116" s="12">
        <f t="shared" si="12"/>
        <v>1.9502118120374411E-2</v>
      </c>
      <c r="G116" s="14">
        <f t="shared" si="13"/>
        <v>3982.1461039961287</v>
      </c>
      <c r="H116" s="12">
        <f t="shared" si="14"/>
        <v>7.6999999999999999E-2</v>
      </c>
      <c r="I116" s="14">
        <f t="shared" si="18"/>
        <v>80414.377087521789</v>
      </c>
      <c r="J116" s="14">
        <f t="shared" si="19"/>
        <v>473555.677987114</v>
      </c>
      <c r="K116" s="14">
        <f t="shared" si="15"/>
        <v>619585.62291247828</v>
      </c>
      <c r="L116" s="14">
        <f t="shared" si="16"/>
        <v>553970.05507463578</v>
      </c>
    </row>
    <row r="117" spans="1:12" x14ac:dyDescent="0.3">
      <c r="A117">
        <v>112</v>
      </c>
      <c r="B117" s="13">
        <v>48245</v>
      </c>
      <c r="C117" s="14">
        <f t="shared" si="17"/>
        <v>619585.62291247828</v>
      </c>
      <c r="D117" s="14">
        <f t="shared" si="10"/>
        <v>4990.7212168886126</v>
      </c>
      <c r="E117" s="14">
        <f t="shared" si="11"/>
        <v>1015.04680320021</v>
      </c>
      <c r="F117" s="12">
        <f t="shared" si="12"/>
        <v>1.9659206392081064E-2</v>
      </c>
      <c r="G117" s="14">
        <f t="shared" si="13"/>
        <v>3975.6744136884026</v>
      </c>
      <c r="H117" s="12">
        <f t="shared" si="14"/>
        <v>7.6999999999999999E-2</v>
      </c>
      <c r="I117" s="14">
        <f t="shared" si="18"/>
        <v>81429.423890721999</v>
      </c>
      <c r="J117" s="14">
        <f t="shared" si="19"/>
        <v>477531.35240080243</v>
      </c>
      <c r="K117" s="14">
        <f t="shared" si="15"/>
        <v>618570.57610927802</v>
      </c>
      <c r="L117" s="14">
        <f t="shared" si="16"/>
        <v>558960.77629152441</v>
      </c>
    </row>
    <row r="118" spans="1:12" x14ac:dyDescent="0.3">
      <c r="A118">
        <v>113</v>
      </c>
      <c r="B118" s="13">
        <v>48274</v>
      </c>
      <c r="C118" s="14">
        <f t="shared" si="17"/>
        <v>618570.57610927802</v>
      </c>
      <c r="D118" s="14">
        <f t="shared" si="10"/>
        <v>4990.7212168886126</v>
      </c>
      <c r="E118" s="14">
        <f t="shared" si="11"/>
        <v>1021.5600201874117</v>
      </c>
      <c r="F118" s="12">
        <f t="shared" si="12"/>
        <v>1.9817819850654016E-2</v>
      </c>
      <c r="G118" s="14">
        <f t="shared" si="13"/>
        <v>3969.1611967012009</v>
      </c>
      <c r="H118" s="12">
        <f t="shared" si="14"/>
        <v>7.6999999999999999E-2</v>
      </c>
      <c r="I118" s="14">
        <f t="shared" si="18"/>
        <v>82450.983910909417</v>
      </c>
      <c r="J118" s="14">
        <f t="shared" si="19"/>
        <v>481500.51359750365</v>
      </c>
      <c r="K118" s="14">
        <f t="shared" si="15"/>
        <v>617549.01608909061</v>
      </c>
      <c r="L118" s="14">
        <f t="shared" si="16"/>
        <v>563951.49750841304</v>
      </c>
    </row>
    <row r="119" spans="1:12" x14ac:dyDescent="0.3">
      <c r="A119">
        <v>114</v>
      </c>
      <c r="B119" s="13">
        <v>48305</v>
      </c>
      <c r="C119" s="14">
        <f t="shared" si="17"/>
        <v>617549.01608909061</v>
      </c>
      <c r="D119" s="14">
        <f t="shared" si="10"/>
        <v>4990.7212168886126</v>
      </c>
      <c r="E119" s="14">
        <f t="shared" si="11"/>
        <v>1028.1150303169479</v>
      </c>
      <c r="F119" s="12">
        <f t="shared" si="12"/>
        <v>1.9977977524659393E-2</v>
      </c>
      <c r="G119" s="14">
        <f t="shared" si="13"/>
        <v>3962.6061865716647</v>
      </c>
      <c r="H119" s="12">
        <f t="shared" si="14"/>
        <v>7.6999999999999999E-2</v>
      </c>
      <c r="I119" s="14">
        <f t="shared" si="18"/>
        <v>83479.098941226359</v>
      </c>
      <c r="J119" s="14">
        <f t="shared" si="19"/>
        <v>485463.1197840753</v>
      </c>
      <c r="K119" s="14">
        <f t="shared" si="15"/>
        <v>616520.90105877363</v>
      </c>
      <c r="L119" s="14">
        <f t="shared" si="16"/>
        <v>568942.21872530167</v>
      </c>
    </row>
    <row r="120" spans="1:12" x14ac:dyDescent="0.3">
      <c r="A120">
        <v>115</v>
      </c>
      <c r="B120" s="13">
        <v>48335</v>
      </c>
      <c r="C120" s="14">
        <f t="shared" si="17"/>
        <v>616520.90105877363</v>
      </c>
      <c r="D120" s="14">
        <f t="shared" si="10"/>
        <v>4990.7212168886126</v>
      </c>
      <c r="E120" s="14">
        <f t="shared" si="11"/>
        <v>1034.7121017614818</v>
      </c>
      <c r="F120" s="12">
        <f t="shared" si="12"/>
        <v>2.0139698751193025E-2</v>
      </c>
      <c r="G120" s="14">
        <f t="shared" si="13"/>
        <v>3956.0091151271308</v>
      </c>
      <c r="H120" s="12">
        <f t="shared" si="14"/>
        <v>7.6999999999999999E-2</v>
      </c>
      <c r="I120" s="14">
        <f t="shared" si="18"/>
        <v>84513.811042987843</v>
      </c>
      <c r="J120" s="14">
        <f t="shared" si="19"/>
        <v>489419.12889920245</v>
      </c>
      <c r="K120" s="14">
        <f t="shared" si="15"/>
        <v>615486.18895701214</v>
      </c>
      <c r="L120" s="14">
        <f t="shared" si="16"/>
        <v>573932.93994219031</v>
      </c>
    </row>
    <row r="121" spans="1:12" x14ac:dyDescent="0.3">
      <c r="A121">
        <v>116</v>
      </c>
      <c r="B121" s="13">
        <v>48366</v>
      </c>
      <c r="C121" s="14">
        <f t="shared" si="17"/>
        <v>615486.18895701214</v>
      </c>
      <c r="D121" s="14">
        <f t="shared" si="10"/>
        <v>4990.7212168886126</v>
      </c>
      <c r="E121" s="14">
        <f t="shared" si="11"/>
        <v>1041.351504414451</v>
      </c>
      <c r="F121" s="12">
        <f t="shared" si="12"/>
        <v>2.0303003182165952E-2</v>
      </c>
      <c r="G121" s="14">
        <f t="shared" si="13"/>
        <v>3949.3697124741616</v>
      </c>
      <c r="H121" s="12">
        <f t="shared" si="14"/>
        <v>7.6999999999999999E-2</v>
      </c>
      <c r="I121" s="14">
        <f t="shared" si="18"/>
        <v>85555.162547402288</v>
      </c>
      <c r="J121" s="14">
        <f t="shared" si="19"/>
        <v>493368.49861167662</v>
      </c>
      <c r="K121" s="14">
        <f t="shared" si="15"/>
        <v>614444.83745259768</v>
      </c>
      <c r="L121" s="14">
        <f t="shared" si="16"/>
        <v>578923.66115907894</v>
      </c>
    </row>
    <row r="122" spans="1:12" x14ac:dyDescent="0.3">
      <c r="A122">
        <v>117</v>
      </c>
      <c r="B122" s="13">
        <v>48396</v>
      </c>
      <c r="C122" s="14">
        <f t="shared" si="17"/>
        <v>614444.83745259768</v>
      </c>
      <c r="D122" s="14">
        <f t="shared" si="10"/>
        <v>4990.7212168886126</v>
      </c>
      <c r="E122" s="14">
        <f t="shared" si="11"/>
        <v>1048.0335099011108</v>
      </c>
      <c r="F122" s="12">
        <f t="shared" si="12"/>
        <v>2.046791079074459E-2</v>
      </c>
      <c r="G122" s="14">
        <f t="shared" si="13"/>
        <v>3942.6877069875018</v>
      </c>
      <c r="H122" s="12">
        <f t="shared" si="14"/>
        <v>7.6999999999999999E-2</v>
      </c>
      <c r="I122" s="14">
        <f t="shared" si="18"/>
        <v>86603.196057303401</v>
      </c>
      <c r="J122" s="14">
        <f t="shared" si="19"/>
        <v>497311.18631866411</v>
      </c>
      <c r="K122" s="14">
        <f t="shared" si="15"/>
        <v>613396.80394269654</v>
      </c>
      <c r="L122" s="14">
        <f t="shared" si="16"/>
        <v>583914.38237596746</v>
      </c>
    </row>
    <row r="123" spans="1:12" x14ac:dyDescent="0.3">
      <c r="A123">
        <v>118</v>
      </c>
      <c r="B123" s="13">
        <v>48427</v>
      </c>
      <c r="C123" s="14">
        <f t="shared" si="17"/>
        <v>613396.80394269654</v>
      </c>
      <c r="D123" s="14">
        <f t="shared" si="10"/>
        <v>4990.7212168886126</v>
      </c>
      <c r="E123" s="14">
        <f t="shared" si="11"/>
        <v>1054.758391589643</v>
      </c>
      <c r="F123" s="12">
        <f t="shared" si="12"/>
        <v>2.0634441877949761E-2</v>
      </c>
      <c r="G123" s="14">
        <f t="shared" si="13"/>
        <v>3935.9628252989696</v>
      </c>
      <c r="H123" s="12">
        <f t="shared" si="14"/>
        <v>7.6999999999999999E-2</v>
      </c>
      <c r="I123" s="14">
        <f t="shared" si="18"/>
        <v>87657.954448893041</v>
      </c>
      <c r="J123" s="14">
        <f t="shared" si="19"/>
        <v>501247.14914396306</v>
      </c>
      <c r="K123" s="14">
        <f t="shared" si="15"/>
        <v>612342.04555110692</v>
      </c>
      <c r="L123" s="14">
        <f t="shared" si="16"/>
        <v>588905.10359285609</v>
      </c>
    </row>
    <row r="124" spans="1:12" x14ac:dyDescent="0.3">
      <c r="A124">
        <v>119</v>
      </c>
      <c r="B124" s="13">
        <v>48458</v>
      </c>
      <c r="C124" s="14">
        <f t="shared" si="17"/>
        <v>612342.04555110692</v>
      </c>
      <c r="D124" s="14">
        <f t="shared" si="10"/>
        <v>4990.7212168886126</v>
      </c>
      <c r="E124" s="14">
        <f t="shared" si="11"/>
        <v>1061.526424602343</v>
      </c>
      <c r="F124" s="12">
        <f t="shared" si="12"/>
        <v>2.0802617079419477E-2</v>
      </c>
      <c r="G124" s="14">
        <f t="shared" si="13"/>
        <v>3929.1947922862696</v>
      </c>
      <c r="H124" s="12">
        <f t="shared" si="14"/>
        <v>7.6999999999999999E-2</v>
      </c>
      <c r="I124" s="14">
        <f t="shared" si="18"/>
        <v>88719.480873495384</v>
      </c>
      <c r="J124" s="14">
        <f t="shared" si="19"/>
        <v>505176.34393624932</v>
      </c>
      <c r="K124" s="14">
        <f t="shared" si="15"/>
        <v>611280.51912650454</v>
      </c>
      <c r="L124" s="14">
        <f t="shared" si="16"/>
        <v>593895.82480974472</v>
      </c>
    </row>
    <row r="125" spans="1:12" x14ac:dyDescent="0.3">
      <c r="A125">
        <v>120</v>
      </c>
      <c r="B125" s="13">
        <v>48488</v>
      </c>
      <c r="C125" s="14">
        <f t="shared" si="17"/>
        <v>611280.51912650454</v>
      </c>
      <c r="D125" s="14">
        <f t="shared" si="10"/>
        <v>4990.7212168886126</v>
      </c>
      <c r="E125" s="14">
        <f t="shared" si="11"/>
        <v>1068.3378858268752</v>
      </c>
      <c r="F125" s="12">
        <f t="shared" si="12"/>
        <v>2.0972457372340034E-2</v>
      </c>
      <c r="G125" s="14">
        <f t="shared" si="13"/>
        <v>3922.3833310617374</v>
      </c>
      <c r="H125" s="12">
        <f t="shared" si="14"/>
        <v>7.6999999999999999E-2</v>
      </c>
      <c r="I125" s="14">
        <f t="shared" si="18"/>
        <v>89787.818759322254</v>
      </c>
      <c r="J125" s="14">
        <f t="shared" si="19"/>
        <v>509098.72726731107</v>
      </c>
      <c r="K125" s="14">
        <f t="shared" si="15"/>
        <v>610212.18124067772</v>
      </c>
      <c r="L125" s="14">
        <f t="shared" si="16"/>
        <v>598886.54602663335</v>
      </c>
    </row>
    <row r="126" spans="1:12" x14ac:dyDescent="0.3">
      <c r="A126">
        <v>121</v>
      </c>
      <c r="B126" s="13">
        <v>48519</v>
      </c>
      <c r="C126" s="14">
        <f t="shared" si="17"/>
        <v>610212.18124067772</v>
      </c>
      <c r="D126" s="14">
        <f t="shared" si="10"/>
        <v>4990.7212168886126</v>
      </c>
      <c r="E126" s="14">
        <f t="shared" si="11"/>
        <v>1075.1930539275972</v>
      </c>
      <c r="F126" s="12">
        <f t="shared" si="12"/>
        <v>2.1143984082550266E-2</v>
      </c>
      <c r="G126" s="14">
        <f t="shared" si="13"/>
        <v>3915.5281629610154</v>
      </c>
      <c r="H126" s="12">
        <f t="shared" si="14"/>
        <v>7.6999999999999999E-2</v>
      </c>
      <c r="I126" s="14">
        <f t="shared" si="18"/>
        <v>90863.011813249846</v>
      </c>
      <c r="J126" s="14">
        <f t="shared" si="19"/>
        <v>513014.25543027208</v>
      </c>
      <c r="K126" s="14">
        <f t="shared" si="15"/>
        <v>609136.9881867501</v>
      </c>
      <c r="L126" s="14">
        <f t="shared" si="16"/>
        <v>603877.26724352199</v>
      </c>
    </row>
    <row r="127" spans="1:12" x14ac:dyDescent="0.3">
      <c r="A127">
        <v>122</v>
      </c>
      <c r="B127" s="13">
        <v>48549</v>
      </c>
      <c r="C127" s="14">
        <f t="shared" si="17"/>
        <v>609136.9881867501</v>
      </c>
      <c r="D127" s="14">
        <f t="shared" si="10"/>
        <v>4990.7212168886126</v>
      </c>
      <c r="E127" s="14">
        <f t="shared" si="11"/>
        <v>1082.0922093569661</v>
      </c>
      <c r="F127" s="12">
        <f t="shared" si="12"/>
        <v>2.1317218891824381E-2</v>
      </c>
      <c r="G127" s="14">
        <f t="shared" si="13"/>
        <v>3908.6290075316465</v>
      </c>
      <c r="H127" s="12">
        <f t="shared" si="14"/>
        <v>7.6999999999999999E-2</v>
      </c>
      <c r="I127" s="14">
        <f t="shared" si="18"/>
        <v>91945.104022606814</v>
      </c>
      <c r="J127" s="14">
        <f t="shared" si="19"/>
        <v>516922.8844378037</v>
      </c>
      <c r="K127" s="14">
        <f t="shared" si="15"/>
        <v>608054.89597739314</v>
      </c>
      <c r="L127" s="14">
        <f t="shared" si="16"/>
        <v>608867.9884604105</v>
      </c>
    </row>
    <row r="128" spans="1:12" x14ac:dyDescent="0.3">
      <c r="A128">
        <v>123</v>
      </c>
      <c r="B128" s="13">
        <v>48580</v>
      </c>
      <c r="C128" s="14">
        <f t="shared" si="17"/>
        <v>608054.89597739314</v>
      </c>
      <c r="D128" s="14">
        <f t="shared" si="10"/>
        <v>4990.7212168886126</v>
      </c>
      <c r="E128" s="14">
        <f t="shared" si="11"/>
        <v>1089.0356343670064</v>
      </c>
      <c r="F128" s="12">
        <f t="shared" si="12"/>
        <v>2.1492183845338117E-2</v>
      </c>
      <c r="G128" s="14">
        <f t="shared" si="13"/>
        <v>3901.6855825216062</v>
      </c>
      <c r="H128" s="12">
        <f t="shared" si="14"/>
        <v>7.6999999999999999E-2</v>
      </c>
      <c r="I128" s="14">
        <f t="shared" si="18"/>
        <v>93034.139656973828</v>
      </c>
      <c r="J128" s="14">
        <f t="shared" si="19"/>
        <v>520824.57002032531</v>
      </c>
      <c r="K128" s="14">
        <f t="shared" si="15"/>
        <v>606965.86034302611</v>
      </c>
      <c r="L128" s="14">
        <f t="shared" si="16"/>
        <v>613858.70967729914</v>
      </c>
    </row>
    <row r="129" spans="1:12" x14ac:dyDescent="0.3">
      <c r="A129">
        <v>124</v>
      </c>
      <c r="B129" s="13">
        <v>48611</v>
      </c>
      <c r="C129" s="14">
        <f t="shared" si="17"/>
        <v>606965.86034302611</v>
      </c>
      <c r="D129" s="14">
        <f t="shared" si="10"/>
        <v>4990.7212168886126</v>
      </c>
      <c r="E129" s="14">
        <f t="shared" si="11"/>
        <v>1096.0236130208614</v>
      </c>
      <c r="F129" s="12">
        <f t="shared" si="12"/>
        <v>2.1668901359324127E-2</v>
      </c>
      <c r="G129" s="14">
        <f t="shared" si="13"/>
        <v>3894.6976038677512</v>
      </c>
      <c r="H129" s="12">
        <f t="shared" si="14"/>
        <v>7.6999999999999999E-2</v>
      </c>
      <c r="I129" s="14">
        <f t="shared" si="18"/>
        <v>94130.163269994693</v>
      </c>
      <c r="J129" s="14">
        <f t="shared" si="19"/>
        <v>524719.2676241931</v>
      </c>
      <c r="K129" s="14">
        <f t="shared" si="15"/>
        <v>605869.83673000522</v>
      </c>
      <c r="L129" s="14">
        <f t="shared" si="16"/>
        <v>618849.43089418777</v>
      </c>
    </row>
    <row r="130" spans="1:12" x14ac:dyDescent="0.3">
      <c r="A130">
        <v>125</v>
      </c>
      <c r="B130" s="13">
        <v>48639</v>
      </c>
      <c r="C130" s="14">
        <f t="shared" si="17"/>
        <v>605869.83673000522</v>
      </c>
      <c r="D130" s="14">
        <f t="shared" si="10"/>
        <v>4990.7212168886126</v>
      </c>
      <c r="E130" s="14">
        <f t="shared" si="11"/>
        <v>1103.0564312044125</v>
      </c>
      <c r="F130" s="12">
        <f t="shared" si="12"/>
        <v>2.184739422892187E-2</v>
      </c>
      <c r="G130" s="14">
        <f t="shared" si="13"/>
        <v>3887.6647856842001</v>
      </c>
      <c r="H130" s="12">
        <f t="shared" si="14"/>
        <v>7.6999999999999999E-2</v>
      </c>
      <c r="I130" s="14">
        <f t="shared" si="18"/>
        <v>95233.219701199108</v>
      </c>
      <c r="J130" s="14">
        <f t="shared" si="19"/>
        <v>528606.93240987731</v>
      </c>
      <c r="K130" s="14">
        <f t="shared" si="15"/>
        <v>604766.78029880079</v>
      </c>
      <c r="L130" s="14">
        <f t="shared" si="16"/>
        <v>623840.1521110764</v>
      </c>
    </row>
    <row r="131" spans="1:12" x14ac:dyDescent="0.3">
      <c r="A131">
        <v>126</v>
      </c>
      <c r="B131" s="13">
        <v>48670</v>
      </c>
      <c r="C131" s="14">
        <f t="shared" si="17"/>
        <v>604766.78029880079</v>
      </c>
      <c r="D131" s="14">
        <f t="shared" si="10"/>
        <v>4990.7212168886126</v>
      </c>
      <c r="E131" s="14">
        <f t="shared" si="11"/>
        <v>1110.1343766379741</v>
      </c>
      <c r="F131" s="12">
        <f t="shared" si="12"/>
        <v>2.2027685636227902E-2</v>
      </c>
      <c r="G131" s="14">
        <f t="shared" si="13"/>
        <v>3880.5868402506385</v>
      </c>
      <c r="H131" s="12">
        <f t="shared" si="14"/>
        <v>7.6999999999999999E-2</v>
      </c>
      <c r="I131" s="14">
        <f t="shared" si="18"/>
        <v>96343.354077837081</v>
      </c>
      <c r="J131" s="14">
        <f t="shared" si="19"/>
        <v>532487.51925012795</v>
      </c>
      <c r="K131" s="14">
        <f t="shared" si="15"/>
        <v>603656.6459221628</v>
      </c>
      <c r="L131" s="14">
        <f t="shared" si="16"/>
        <v>628830.87332796503</v>
      </c>
    </row>
    <row r="132" spans="1:12" x14ac:dyDescent="0.3">
      <c r="A132">
        <v>127</v>
      </c>
      <c r="B132" s="13">
        <v>48700</v>
      </c>
      <c r="C132" s="14">
        <f t="shared" si="17"/>
        <v>603656.6459221628</v>
      </c>
      <c r="D132" s="14">
        <f t="shared" si="10"/>
        <v>4990.7212168886126</v>
      </c>
      <c r="E132" s="14">
        <f t="shared" si="11"/>
        <v>1117.2577388880677</v>
      </c>
      <c r="F132" s="12">
        <f t="shared" si="12"/>
        <v>2.2209799158552725E-2</v>
      </c>
      <c r="G132" s="14">
        <f t="shared" si="13"/>
        <v>3873.4634780005449</v>
      </c>
      <c r="H132" s="12">
        <f t="shared" si="14"/>
        <v>7.6999999999999999E-2</v>
      </c>
      <c r="I132" s="14">
        <f t="shared" si="18"/>
        <v>97460.611816725155</v>
      </c>
      <c r="J132" s="14">
        <f t="shared" si="19"/>
        <v>536360.98272812855</v>
      </c>
      <c r="K132" s="14">
        <f t="shared" si="15"/>
        <v>602539.38818327477</v>
      </c>
      <c r="L132" s="14">
        <f t="shared" si="16"/>
        <v>633821.59454485367</v>
      </c>
    </row>
    <row r="133" spans="1:12" x14ac:dyDescent="0.3">
      <c r="A133">
        <v>128</v>
      </c>
      <c r="B133" s="13">
        <v>48731</v>
      </c>
      <c r="C133" s="14">
        <f t="shared" si="17"/>
        <v>602539.38818327477</v>
      </c>
      <c r="D133" s="14">
        <f t="shared" si="10"/>
        <v>4990.7212168886126</v>
      </c>
      <c r="E133" s="14">
        <f t="shared" si="11"/>
        <v>1124.4268093792662</v>
      </c>
      <c r="F133" s="12">
        <f t="shared" si="12"/>
        <v>2.239375877689009E-2</v>
      </c>
      <c r="G133" s="14">
        <f t="shared" si="13"/>
        <v>3866.2944075093465</v>
      </c>
      <c r="H133" s="12">
        <f t="shared" si="14"/>
        <v>7.6999999999999999E-2</v>
      </c>
      <c r="I133" s="14">
        <f t="shared" si="18"/>
        <v>98585.038626104419</v>
      </c>
      <c r="J133" s="14">
        <f t="shared" si="19"/>
        <v>540227.27713563794</v>
      </c>
      <c r="K133" s="14">
        <f t="shared" si="15"/>
        <v>601414.96137389552</v>
      </c>
      <c r="L133" s="14">
        <f t="shared" si="16"/>
        <v>638812.31576174241</v>
      </c>
    </row>
    <row r="134" spans="1:12" x14ac:dyDescent="0.3">
      <c r="A134">
        <v>129</v>
      </c>
      <c r="B134" s="13">
        <v>48761</v>
      </c>
      <c r="C134" s="14">
        <f t="shared" si="17"/>
        <v>601414.96137389552</v>
      </c>
      <c r="D134" s="14">
        <f t="shared" si="10"/>
        <v>4990.7212168886126</v>
      </c>
      <c r="E134" s="14">
        <f t="shared" si="11"/>
        <v>1131.6418814061162</v>
      </c>
      <c r="F134" s="12">
        <f t="shared" si="12"/>
        <v>2.2579588884605394E-2</v>
      </c>
      <c r="G134" s="14">
        <f t="shared" si="13"/>
        <v>3859.0793354824964</v>
      </c>
      <c r="H134" s="12">
        <f t="shared" si="14"/>
        <v>7.6999999999999999E-2</v>
      </c>
      <c r="I134" s="14">
        <f t="shared" si="18"/>
        <v>99716.680507510537</v>
      </c>
      <c r="J134" s="14">
        <f t="shared" si="19"/>
        <v>544086.35647112038</v>
      </c>
      <c r="K134" s="14">
        <f t="shared" si="15"/>
        <v>600283.31949248945</v>
      </c>
      <c r="L134" s="14">
        <f t="shared" si="16"/>
        <v>643803.03697863093</v>
      </c>
    </row>
    <row r="135" spans="1:12" x14ac:dyDescent="0.3">
      <c r="A135">
        <v>130</v>
      </c>
      <c r="B135" s="13">
        <v>48792</v>
      </c>
      <c r="C135" s="14">
        <f t="shared" si="17"/>
        <v>600283.31949248945</v>
      </c>
      <c r="D135" s="14">
        <f t="shared" ref="D135:D198" si="20">$C$6/((($E$2)-1)/($E$1*$E$2))</f>
        <v>4990.7212168886126</v>
      </c>
      <c r="E135" s="14">
        <f t="shared" ref="E135:E198" si="21">D135-G135</f>
        <v>1138.9032501451384</v>
      </c>
      <c r="F135" s="12">
        <f t="shared" ref="F135:F198" si="22">(E135/C135)*12</f>
        <v>2.2767314296349785E-2</v>
      </c>
      <c r="G135" s="14">
        <f t="shared" ref="G135:G198" si="23">C135*($B$1/12)</f>
        <v>3851.8179667434742</v>
      </c>
      <c r="H135" s="12">
        <f t="shared" ref="H135:H198" si="24">(G135/C135)*12</f>
        <v>7.6999999999999999E-2</v>
      </c>
      <c r="I135" s="14">
        <f t="shared" si="18"/>
        <v>100855.58375765568</v>
      </c>
      <c r="J135" s="14">
        <f t="shared" si="19"/>
        <v>547938.17443786387</v>
      </c>
      <c r="K135" s="14">
        <f t="shared" ref="K135:K198" si="25">C135-E135</f>
        <v>599144.4162423443</v>
      </c>
      <c r="L135" s="14">
        <f t="shared" ref="L135:L198" si="26">I135+J135</f>
        <v>648793.75819551956</v>
      </c>
    </row>
    <row r="136" spans="1:12" x14ac:dyDescent="0.3">
      <c r="A136">
        <v>131</v>
      </c>
      <c r="B136" s="13">
        <v>48823</v>
      </c>
      <c r="C136" s="14">
        <f t="shared" ref="C136:C199" si="27">K135</f>
        <v>599144.4162423443</v>
      </c>
      <c r="D136" s="14">
        <f t="shared" si="20"/>
        <v>4990.7212168886126</v>
      </c>
      <c r="E136" s="14">
        <f t="shared" si="21"/>
        <v>1146.2112126669031</v>
      </c>
      <c r="F136" s="12">
        <f t="shared" si="22"/>
        <v>2.2956960257206751E-2</v>
      </c>
      <c r="G136" s="14">
        <f t="shared" si="23"/>
        <v>3844.5100042217096</v>
      </c>
      <c r="H136" s="12">
        <f t="shared" si="24"/>
        <v>7.6999999999999999E-2</v>
      </c>
      <c r="I136" s="14">
        <f t="shared" ref="I136:I199" si="28">I135+E136</f>
        <v>102001.79497032259</v>
      </c>
      <c r="J136" s="14">
        <f t="shared" ref="J136:J199" si="29">J135+G136</f>
        <v>551782.68444208556</v>
      </c>
      <c r="K136" s="14">
        <f t="shared" si="25"/>
        <v>597998.20502967737</v>
      </c>
      <c r="L136" s="14">
        <f t="shared" si="26"/>
        <v>653784.4794124082</v>
      </c>
    </row>
    <row r="137" spans="1:12" x14ac:dyDescent="0.3">
      <c r="A137">
        <v>132</v>
      </c>
      <c r="B137" s="13">
        <v>48853</v>
      </c>
      <c r="C137" s="14">
        <f t="shared" si="27"/>
        <v>597998.20502967737</v>
      </c>
      <c r="D137" s="14">
        <f t="shared" si="20"/>
        <v>4990.7212168886126</v>
      </c>
      <c r="E137" s="14">
        <f t="shared" si="21"/>
        <v>1153.5660679481825</v>
      </c>
      <c r="F137" s="12">
        <f t="shared" si="22"/>
        <v>2.314855245207835E-2</v>
      </c>
      <c r="G137" s="14">
        <f t="shared" si="23"/>
        <v>3837.1551489404301</v>
      </c>
      <c r="H137" s="12">
        <f t="shared" si="24"/>
        <v>7.6999999999999999E-2</v>
      </c>
      <c r="I137" s="14">
        <f t="shared" si="28"/>
        <v>103155.36103827077</v>
      </c>
      <c r="J137" s="14">
        <f t="shared" si="29"/>
        <v>555619.83959102596</v>
      </c>
      <c r="K137" s="14">
        <f t="shared" si="25"/>
        <v>596844.63896172913</v>
      </c>
      <c r="L137" s="14">
        <f t="shared" si="26"/>
        <v>658775.20062929671</v>
      </c>
    </row>
    <row r="138" spans="1:12" x14ac:dyDescent="0.3">
      <c r="A138">
        <v>133</v>
      </c>
      <c r="B138" s="13">
        <v>48884</v>
      </c>
      <c r="C138" s="14">
        <f t="shared" si="27"/>
        <v>596844.63896172913</v>
      </c>
      <c r="D138" s="14">
        <f t="shared" si="20"/>
        <v>4990.7212168886126</v>
      </c>
      <c r="E138" s="14">
        <f t="shared" si="21"/>
        <v>1160.9681168841839</v>
      </c>
      <c r="F138" s="12">
        <f t="shared" si="22"/>
        <v>2.3342117015318506E-2</v>
      </c>
      <c r="G138" s="14">
        <f t="shared" si="23"/>
        <v>3829.7531000044287</v>
      </c>
      <c r="H138" s="12">
        <f t="shared" si="24"/>
        <v>7.6999999999999999E-2</v>
      </c>
      <c r="I138" s="14">
        <f t="shared" si="28"/>
        <v>104316.32915515495</v>
      </c>
      <c r="J138" s="14">
        <f t="shared" si="29"/>
        <v>559449.59269103035</v>
      </c>
      <c r="K138" s="14">
        <f t="shared" si="25"/>
        <v>595683.67084484489</v>
      </c>
      <c r="L138" s="14">
        <f t="shared" si="26"/>
        <v>663765.92184618535</v>
      </c>
    </row>
    <row r="139" spans="1:12" x14ac:dyDescent="0.3">
      <c r="A139">
        <v>134</v>
      </c>
      <c r="B139" s="13">
        <v>48914</v>
      </c>
      <c r="C139" s="14">
        <f t="shared" si="27"/>
        <v>595683.67084484489</v>
      </c>
      <c r="D139" s="14">
        <f t="shared" si="20"/>
        <v>4990.7212168886126</v>
      </c>
      <c r="E139" s="14">
        <f t="shared" si="21"/>
        <v>1168.417662300858</v>
      </c>
      <c r="F139" s="12">
        <f t="shared" si="22"/>
        <v>2.3537680540620838E-2</v>
      </c>
      <c r="G139" s="14">
        <f t="shared" si="23"/>
        <v>3822.3035545877547</v>
      </c>
      <c r="H139" s="12">
        <f t="shared" si="24"/>
        <v>7.6999999999999999E-2</v>
      </c>
      <c r="I139" s="14">
        <f t="shared" si="28"/>
        <v>105484.7468174558</v>
      </c>
      <c r="J139" s="14">
        <f t="shared" si="29"/>
        <v>563271.89624561812</v>
      </c>
      <c r="K139" s="14">
        <f t="shared" si="25"/>
        <v>594515.25318254402</v>
      </c>
      <c r="L139" s="14">
        <f t="shared" si="26"/>
        <v>668756.64306307398</v>
      </c>
    </row>
    <row r="140" spans="1:12" x14ac:dyDescent="0.3">
      <c r="A140">
        <v>135</v>
      </c>
      <c r="B140" s="13">
        <v>48945</v>
      </c>
      <c r="C140" s="14">
        <f t="shared" si="27"/>
        <v>594515.25318254402</v>
      </c>
      <c r="D140" s="14">
        <f t="shared" si="20"/>
        <v>4990.7212168886126</v>
      </c>
      <c r="E140" s="14">
        <f t="shared" si="21"/>
        <v>1175.9150089672885</v>
      </c>
      <c r="F140" s="12">
        <f t="shared" si="22"/>
        <v>2.3735270091169099E-2</v>
      </c>
      <c r="G140" s="14">
        <f t="shared" si="23"/>
        <v>3814.8062079213241</v>
      </c>
      <c r="H140" s="12">
        <f t="shared" si="24"/>
        <v>7.6999999999999999E-2</v>
      </c>
      <c r="I140" s="14">
        <f t="shared" si="28"/>
        <v>106660.66182642309</v>
      </c>
      <c r="J140" s="14">
        <f t="shared" si="29"/>
        <v>567086.70245353947</v>
      </c>
      <c r="K140" s="14">
        <f t="shared" si="25"/>
        <v>593339.33817357675</v>
      </c>
      <c r="L140" s="14">
        <f t="shared" si="26"/>
        <v>673747.36427996261</v>
      </c>
    </row>
    <row r="141" spans="1:12" x14ac:dyDescent="0.3">
      <c r="A141">
        <v>136</v>
      </c>
      <c r="B141" s="13">
        <v>48976</v>
      </c>
      <c r="C141" s="14">
        <f t="shared" si="27"/>
        <v>593339.33817357675</v>
      </c>
      <c r="D141" s="14">
        <f t="shared" si="20"/>
        <v>4990.7212168886126</v>
      </c>
      <c r="E141" s="14">
        <f t="shared" si="21"/>
        <v>1183.4604636081617</v>
      </c>
      <c r="F141" s="12">
        <f t="shared" si="22"/>
        <v>2.3934913210058216E-2</v>
      </c>
      <c r="G141" s="14">
        <f t="shared" si="23"/>
        <v>3807.2607532804509</v>
      </c>
      <c r="H141" s="12">
        <f t="shared" si="24"/>
        <v>7.6999999999999999E-2</v>
      </c>
      <c r="I141" s="14">
        <f t="shared" si="28"/>
        <v>107844.12229003126</v>
      </c>
      <c r="J141" s="14">
        <f t="shared" si="29"/>
        <v>570893.96320681996</v>
      </c>
      <c r="K141" s="14">
        <f t="shared" si="25"/>
        <v>592155.8777099686</v>
      </c>
      <c r="L141" s="14">
        <f t="shared" si="26"/>
        <v>678738.08549685124</v>
      </c>
    </row>
    <row r="142" spans="1:12" x14ac:dyDescent="0.3">
      <c r="A142">
        <v>137</v>
      </c>
      <c r="B142" s="13">
        <v>49004</v>
      </c>
      <c r="C142" s="14">
        <f t="shared" si="27"/>
        <v>592155.8777099686</v>
      </c>
      <c r="D142" s="14">
        <f t="shared" si="20"/>
        <v>4990.7212168886126</v>
      </c>
      <c r="E142" s="14">
        <f t="shared" si="21"/>
        <v>1191.054334916314</v>
      </c>
      <c r="F142" s="12">
        <f t="shared" si="22"/>
        <v>2.4136637930994499E-2</v>
      </c>
      <c r="G142" s="14">
        <f t="shared" si="23"/>
        <v>3799.6668819722986</v>
      </c>
      <c r="H142" s="12">
        <f t="shared" si="24"/>
        <v>7.6999999999999999E-2</v>
      </c>
      <c r="I142" s="14">
        <f t="shared" si="28"/>
        <v>109035.17662494758</v>
      </c>
      <c r="J142" s="14">
        <f t="shared" si="29"/>
        <v>574693.6300887923</v>
      </c>
      <c r="K142" s="14">
        <f t="shared" si="25"/>
        <v>590964.82337505231</v>
      </c>
      <c r="L142" s="14">
        <f t="shared" si="26"/>
        <v>683728.80671373988</v>
      </c>
    </row>
    <row r="143" spans="1:12" x14ac:dyDescent="0.3">
      <c r="A143">
        <v>138</v>
      </c>
      <c r="B143" s="13">
        <v>49035</v>
      </c>
      <c r="C143" s="14">
        <f t="shared" si="27"/>
        <v>590964.82337505231</v>
      </c>
      <c r="D143" s="14">
        <f t="shared" si="20"/>
        <v>4990.7212168886126</v>
      </c>
      <c r="E143" s="14">
        <f t="shared" si="21"/>
        <v>1198.6969335653603</v>
      </c>
      <c r="F143" s="12">
        <f t="shared" si="22"/>
        <v>2.4340472789283724E-2</v>
      </c>
      <c r="G143" s="14">
        <f t="shared" si="23"/>
        <v>3792.0242833232523</v>
      </c>
      <c r="H143" s="12">
        <f t="shared" si="24"/>
        <v>7.6999999999999999E-2</v>
      </c>
      <c r="I143" s="14">
        <f t="shared" si="28"/>
        <v>110233.87355851293</v>
      </c>
      <c r="J143" s="14">
        <f t="shared" si="29"/>
        <v>578485.6543721155</v>
      </c>
      <c r="K143" s="14">
        <f t="shared" si="25"/>
        <v>589766.12644148699</v>
      </c>
      <c r="L143" s="14">
        <f t="shared" si="26"/>
        <v>688719.52793062839</v>
      </c>
    </row>
    <row r="144" spans="1:12" x14ac:dyDescent="0.3">
      <c r="A144">
        <v>139</v>
      </c>
      <c r="B144" s="13">
        <v>49065</v>
      </c>
      <c r="C144" s="14">
        <f t="shared" si="27"/>
        <v>589766.12644148699</v>
      </c>
      <c r="D144" s="14">
        <f t="shared" si="20"/>
        <v>4990.7212168886126</v>
      </c>
      <c r="E144" s="14">
        <f t="shared" si="21"/>
        <v>1206.3885722224045</v>
      </c>
      <c r="F144" s="12">
        <f t="shared" si="22"/>
        <v>2.4546446833116211E-2</v>
      </c>
      <c r="G144" s="14">
        <f t="shared" si="23"/>
        <v>3784.3326446662081</v>
      </c>
      <c r="H144" s="12">
        <f t="shared" si="24"/>
        <v>7.6999999999999999E-2</v>
      </c>
      <c r="I144" s="14">
        <f t="shared" si="28"/>
        <v>111440.26213073534</v>
      </c>
      <c r="J144" s="14">
        <f t="shared" si="29"/>
        <v>582269.9870167817</v>
      </c>
      <c r="K144" s="14">
        <f t="shared" si="25"/>
        <v>588559.73786926456</v>
      </c>
      <c r="L144" s="14">
        <f t="shared" si="26"/>
        <v>693710.24914751702</v>
      </c>
    </row>
    <row r="145" spans="1:12" x14ac:dyDescent="0.3">
      <c r="A145">
        <v>140</v>
      </c>
      <c r="B145" s="13">
        <v>49096</v>
      </c>
      <c r="C145" s="14">
        <f t="shared" si="27"/>
        <v>588559.73786926456</v>
      </c>
      <c r="D145" s="14">
        <f t="shared" si="20"/>
        <v>4990.7212168886126</v>
      </c>
      <c r="E145" s="14">
        <f t="shared" si="21"/>
        <v>1214.1295655608315</v>
      </c>
      <c r="F145" s="12">
        <f t="shared" si="22"/>
        <v>2.4754589635158291E-2</v>
      </c>
      <c r="G145" s="14">
        <f t="shared" si="23"/>
        <v>3776.5916513277812</v>
      </c>
      <c r="H145" s="12">
        <f t="shared" si="24"/>
        <v>7.6999999999999999E-2</v>
      </c>
      <c r="I145" s="14">
        <f t="shared" si="28"/>
        <v>112654.39169629617</v>
      </c>
      <c r="J145" s="14">
        <f t="shared" si="29"/>
        <v>586046.57866810949</v>
      </c>
      <c r="K145" s="14">
        <f t="shared" si="25"/>
        <v>587345.60830370372</v>
      </c>
      <c r="L145" s="14">
        <f t="shared" si="26"/>
        <v>698700.97036440566</v>
      </c>
    </row>
    <row r="146" spans="1:12" x14ac:dyDescent="0.3">
      <c r="A146">
        <v>141</v>
      </c>
      <c r="B146" s="13">
        <v>49126</v>
      </c>
      <c r="C146" s="14">
        <f t="shared" si="27"/>
        <v>587345.60830370372</v>
      </c>
      <c r="D146" s="14">
        <f t="shared" si="20"/>
        <v>4990.7212168886126</v>
      </c>
      <c r="E146" s="14">
        <f t="shared" si="21"/>
        <v>1221.9202302731801</v>
      </c>
      <c r="F146" s="12">
        <f t="shared" si="22"/>
        <v>2.4964931304459873E-2</v>
      </c>
      <c r="G146" s="14">
        <f t="shared" si="23"/>
        <v>3768.8009866154325</v>
      </c>
      <c r="H146" s="12">
        <f t="shared" si="24"/>
        <v>7.6999999999999999E-2</v>
      </c>
      <c r="I146" s="14">
        <f t="shared" si="28"/>
        <v>113876.31192656935</v>
      </c>
      <c r="J146" s="14">
        <f t="shared" si="29"/>
        <v>589815.37965472497</v>
      </c>
      <c r="K146" s="14">
        <f t="shared" si="25"/>
        <v>586123.68807343056</v>
      </c>
      <c r="L146" s="14">
        <f t="shared" si="26"/>
        <v>703691.69158129429</v>
      </c>
    </row>
    <row r="147" spans="1:12" x14ac:dyDescent="0.3">
      <c r="A147">
        <v>142</v>
      </c>
      <c r="B147" s="13">
        <v>49157</v>
      </c>
      <c r="C147" s="14">
        <f t="shared" si="27"/>
        <v>586123.68807343056</v>
      </c>
      <c r="D147" s="14">
        <f t="shared" si="20"/>
        <v>4990.7212168886126</v>
      </c>
      <c r="E147" s="14">
        <f t="shared" si="21"/>
        <v>1229.7608850840998</v>
      </c>
      <c r="F147" s="12">
        <f t="shared" si="22"/>
        <v>2.5177502498688296E-2</v>
      </c>
      <c r="G147" s="14">
        <f t="shared" si="23"/>
        <v>3760.9603318045129</v>
      </c>
      <c r="H147" s="12">
        <f t="shared" si="24"/>
        <v>7.6999999999999999E-2</v>
      </c>
      <c r="I147" s="14">
        <f t="shared" si="28"/>
        <v>115106.07281165346</v>
      </c>
      <c r="J147" s="14">
        <f t="shared" si="29"/>
        <v>593576.33998652943</v>
      </c>
      <c r="K147" s="14">
        <f t="shared" si="25"/>
        <v>584893.92718834651</v>
      </c>
      <c r="L147" s="14">
        <f t="shared" si="26"/>
        <v>708682.41279818292</v>
      </c>
    </row>
    <row r="148" spans="1:12" x14ac:dyDescent="0.3">
      <c r="A148">
        <v>143</v>
      </c>
      <c r="B148" s="13">
        <v>49188</v>
      </c>
      <c r="C148" s="14">
        <f t="shared" si="27"/>
        <v>584893.92718834651</v>
      </c>
      <c r="D148" s="14">
        <f t="shared" si="20"/>
        <v>4990.7212168886126</v>
      </c>
      <c r="E148" s="14">
        <f t="shared" si="21"/>
        <v>1237.6518507633891</v>
      </c>
      <c r="F148" s="12">
        <f t="shared" si="22"/>
        <v>2.5392334436698832E-2</v>
      </c>
      <c r="G148" s="14">
        <f t="shared" si="23"/>
        <v>3753.0693661252235</v>
      </c>
      <c r="H148" s="12">
        <f t="shared" si="24"/>
        <v>7.6999999999999999E-2</v>
      </c>
      <c r="I148" s="14">
        <f t="shared" si="28"/>
        <v>116343.72466241685</v>
      </c>
      <c r="J148" s="14">
        <f t="shared" si="29"/>
        <v>597329.40935265471</v>
      </c>
      <c r="K148" s="14">
        <f t="shared" si="25"/>
        <v>583656.27533758315</v>
      </c>
      <c r="L148" s="14">
        <f t="shared" si="26"/>
        <v>713673.13401507156</v>
      </c>
    </row>
    <row r="149" spans="1:12" x14ac:dyDescent="0.3">
      <c r="A149">
        <v>144</v>
      </c>
      <c r="B149" s="13">
        <v>49218</v>
      </c>
      <c r="C149" s="14">
        <f t="shared" si="27"/>
        <v>583656.27533758315</v>
      </c>
      <c r="D149" s="14">
        <f t="shared" si="20"/>
        <v>4990.7212168886126</v>
      </c>
      <c r="E149" s="14">
        <f t="shared" si="21"/>
        <v>1245.5934501391207</v>
      </c>
      <c r="F149" s="12">
        <f t="shared" si="22"/>
        <v>2.5609458911452852E-2</v>
      </c>
      <c r="G149" s="14">
        <f t="shared" si="23"/>
        <v>3745.1277667494919</v>
      </c>
      <c r="H149" s="12">
        <f t="shared" si="24"/>
        <v>7.6999999999999999E-2</v>
      </c>
      <c r="I149" s="14">
        <f t="shared" si="28"/>
        <v>117589.31811255596</v>
      </c>
      <c r="J149" s="14">
        <f t="shared" si="29"/>
        <v>601074.53711940418</v>
      </c>
      <c r="K149" s="14">
        <f t="shared" si="25"/>
        <v>582410.68188744399</v>
      </c>
      <c r="L149" s="14">
        <f t="shared" si="26"/>
        <v>718663.85523196019</v>
      </c>
    </row>
    <row r="150" spans="1:12" x14ac:dyDescent="0.3">
      <c r="A150">
        <v>145</v>
      </c>
      <c r="B150" s="13">
        <v>49249</v>
      </c>
      <c r="C150" s="14">
        <f t="shared" si="27"/>
        <v>582410.68188744399</v>
      </c>
      <c r="D150" s="14">
        <f t="shared" si="20"/>
        <v>4990.7212168886126</v>
      </c>
      <c r="E150" s="14">
        <f t="shared" si="21"/>
        <v>1253.5860081108467</v>
      </c>
      <c r="F150" s="12">
        <f t="shared" si="22"/>
        <v>2.5828908303294748E-2</v>
      </c>
      <c r="G150" s="14">
        <f t="shared" si="23"/>
        <v>3737.1352087777659</v>
      </c>
      <c r="H150" s="12">
        <f t="shared" si="24"/>
        <v>7.6999999999999999E-2</v>
      </c>
      <c r="I150" s="14">
        <f t="shared" si="28"/>
        <v>118842.9041206668</v>
      </c>
      <c r="J150" s="14">
        <f t="shared" si="29"/>
        <v>604811.67232818191</v>
      </c>
      <c r="K150" s="14">
        <f t="shared" si="25"/>
        <v>581157.09587933309</v>
      </c>
      <c r="L150" s="14">
        <f t="shared" si="26"/>
        <v>723654.5764488487</v>
      </c>
    </row>
    <row r="151" spans="1:12" x14ac:dyDescent="0.3">
      <c r="A151">
        <v>146</v>
      </c>
      <c r="B151" s="13">
        <v>49279</v>
      </c>
      <c r="C151" s="14">
        <f t="shared" si="27"/>
        <v>581157.09587933309</v>
      </c>
      <c r="D151" s="14">
        <f t="shared" si="20"/>
        <v>4990.7212168886126</v>
      </c>
      <c r="E151" s="14">
        <f t="shared" si="21"/>
        <v>1261.6298516628917</v>
      </c>
      <c r="F151" s="12">
        <f t="shared" si="22"/>
        <v>2.6050715593599429E-2</v>
      </c>
      <c r="G151" s="14">
        <f t="shared" si="23"/>
        <v>3729.0913652257209</v>
      </c>
      <c r="H151" s="12">
        <f t="shared" si="24"/>
        <v>7.6999999999999999E-2</v>
      </c>
      <c r="I151" s="14">
        <f t="shared" si="28"/>
        <v>120104.53397232969</v>
      </c>
      <c r="J151" s="14">
        <f t="shared" si="29"/>
        <v>608540.76369340764</v>
      </c>
      <c r="K151" s="14">
        <f t="shared" si="25"/>
        <v>579895.46602767019</v>
      </c>
      <c r="L151" s="14">
        <f t="shared" si="26"/>
        <v>728645.29766573734</v>
      </c>
    </row>
    <row r="152" spans="1:12" x14ac:dyDescent="0.3">
      <c r="A152">
        <v>147</v>
      </c>
      <c r="B152" s="13">
        <v>49310</v>
      </c>
      <c r="C152" s="14">
        <f t="shared" si="27"/>
        <v>579895.46602767019</v>
      </c>
      <c r="D152" s="14">
        <f t="shared" si="20"/>
        <v>4990.7212168886126</v>
      </c>
      <c r="E152" s="14">
        <f t="shared" si="21"/>
        <v>1269.7253098777287</v>
      </c>
      <c r="F152" s="12">
        <f t="shared" si="22"/>
        <v>2.6274914378802389E-2</v>
      </c>
      <c r="G152" s="14">
        <f t="shared" si="23"/>
        <v>3720.9959070108839</v>
      </c>
      <c r="H152" s="12">
        <f t="shared" si="24"/>
        <v>7.6999999999999999E-2</v>
      </c>
      <c r="I152" s="14">
        <f t="shared" si="28"/>
        <v>121374.25928220742</v>
      </c>
      <c r="J152" s="14">
        <f t="shared" si="29"/>
        <v>612261.7596004185</v>
      </c>
      <c r="K152" s="14">
        <f t="shared" si="25"/>
        <v>578625.74071779242</v>
      </c>
      <c r="L152" s="14">
        <f t="shared" si="26"/>
        <v>733636.01888262597</v>
      </c>
    </row>
    <row r="153" spans="1:12" x14ac:dyDescent="0.3">
      <c r="A153">
        <v>148</v>
      </c>
      <c r="B153" s="13">
        <v>49341</v>
      </c>
      <c r="C153" s="14">
        <f t="shared" si="27"/>
        <v>578625.74071779242</v>
      </c>
      <c r="D153" s="14">
        <f t="shared" si="20"/>
        <v>4990.7212168886126</v>
      </c>
      <c r="E153" s="14">
        <f t="shared" si="21"/>
        <v>1277.8727139494445</v>
      </c>
      <c r="F153" s="12">
        <f t="shared" si="22"/>
        <v>2.6501538884825156E-2</v>
      </c>
      <c r="G153" s="14">
        <f t="shared" si="23"/>
        <v>3712.8485029391682</v>
      </c>
      <c r="H153" s="12">
        <f t="shared" si="24"/>
        <v>7.6999999999999999E-2</v>
      </c>
      <c r="I153" s="14">
        <f t="shared" si="28"/>
        <v>122652.13199615687</v>
      </c>
      <c r="J153" s="14">
        <f t="shared" si="29"/>
        <v>615974.60810335772</v>
      </c>
      <c r="K153" s="14">
        <f t="shared" si="25"/>
        <v>577347.868003843</v>
      </c>
      <c r="L153" s="14">
        <f t="shared" si="26"/>
        <v>738626.7400995146</v>
      </c>
    </row>
    <row r="154" spans="1:12" x14ac:dyDescent="0.3">
      <c r="A154">
        <v>149</v>
      </c>
      <c r="B154" s="13">
        <v>49369</v>
      </c>
      <c r="C154" s="14">
        <f t="shared" si="27"/>
        <v>577347.868003843</v>
      </c>
      <c r="D154" s="14">
        <f t="shared" si="20"/>
        <v>4990.7212168886126</v>
      </c>
      <c r="E154" s="14">
        <f t="shared" si="21"/>
        <v>1286.0723971972866</v>
      </c>
      <c r="F154" s="12">
        <f t="shared" si="22"/>
        <v>2.6730623981908792E-2</v>
      </c>
      <c r="G154" s="14">
        <f t="shared" si="23"/>
        <v>3704.648819691326</v>
      </c>
      <c r="H154" s="12">
        <f t="shared" si="24"/>
        <v>7.6999999999999999E-2</v>
      </c>
      <c r="I154" s="14">
        <f t="shared" si="28"/>
        <v>123938.20439335416</v>
      </c>
      <c r="J154" s="14">
        <f t="shared" si="29"/>
        <v>619679.25692304899</v>
      </c>
      <c r="K154" s="14">
        <f t="shared" si="25"/>
        <v>576061.79560664576</v>
      </c>
      <c r="L154" s="14">
        <f t="shared" si="26"/>
        <v>743617.46131640312</v>
      </c>
    </row>
    <row r="155" spans="1:12" x14ac:dyDescent="0.3">
      <c r="A155">
        <v>150</v>
      </c>
      <c r="B155" s="13">
        <v>49400</v>
      </c>
      <c r="C155" s="14">
        <f t="shared" si="27"/>
        <v>576061.79560664576</v>
      </c>
      <c r="D155" s="14">
        <f t="shared" si="20"/>
        <v>4990.7212168886126</v>
      </c>
      <c r="E155" s="14">
        <f t="shared" si="21"/>
        <v>1294.3246950793023</v>
      </c>
      <c r="F155" s="12">
        <f t="shared" si="22"/>
        <v>2.6962205199869436E-2</v>
      </c>
      <c r="G155" s="14">
        <f t="shared" si="23"/>
        <v>3696.3965218093103</v>
      </c>
      <c r="H155" s="12">
        <f t="shared" si="24"/>
        <v>7.6999999999999999E-2</v>
      </c>
      <c r="I155" s="14">
        <f t="shared" si="28"/>
        <v>125232.52908843345</v>
      </c>
      <c r="J155" s="14">
        <f t="shared" si="29"/>
        <v>623375.65344485827</v>
      </c>
      <c r="K155" s="14">
        <f t="shared" si="25"/>
        <v>574767.4709115664</v>
      </c>
      <c r="L155" s="14">
        <f t="shared" si="26"/>
        <v>748608.18253329175</v>
      </c>
    </row>
    <row r="156" spans="1:12" x14ac:dyDescent="0.3">
      <c r="A156">
        <v>151</v>
      </c>
      <c r="B156" s="13">
        <v>49430</v>
      </c>
      <c r="C156" s="14">
        <f t="shared" si="27"/>
        <v>574767.4709115664</v>
      </c>
      <c r="D156" s="14">
        <f t="shared" si="20"/>
        <v>4990.7212168886126</v>
      </c>
      <c r="E156" s="14">
        <f t="shared" si="21"/>
        <v>1302.6299452060616</v>
      </c>
      <c r="F156" s="12">
        <f t="shared" si="22"/>
        <v>2.7196318743789534E-2</v>
      </c>
      <c r="G156" s="14">
        <f t="shared" si="23"/>
        <v>3688.091271682551</v>
      </c>
      <c r="H156" s="12">
        <f t="shared" si="24"/>
        <v>7.6999999999999999E-2</v>
      </c>
      <c r="I156" s="14">
        <f t="shared" si="28"/>
        <v>126535.15903363952</v>
      </c>
      <c r="J156" s="14">
        <f t="shared" si="29"/>
        <v>627063.74471654079</v>
      </c>
      <c r="K156" s="14">
        <f t="shared" si="25"/>
        <v>573464.84096636029</v>
      </c>
      <c r="L156" s="14">
        <f t="shared" si="26"/>
        <v>753598.90375018027</v>
      </c>
    </row>
    <row r="157" spans="1:12" x14ac:dyDescent="0.3">
      <c r="A157">
        <v>152</v>
      </c>
      <c r="B157" s="13">
        <v>49461</v>
      </c>
      <c r="C157" s="14">
        <f t="shared" si="27"/>
        <v>573464.84096636029</v>
      </c>
      <c r="D157" s="14">
        <f t="shared" si="20"/>
        <v>4990.7212168886126</v>
      </c>
      <c r="E157" s="14">
        <f t="shared" si="21"/>
        <v>1310.9884873544675</v>
      </c>
      <c r="F157" s="12">
        <f t="shared" si="22"/>
        <v>2.7433001510159621E-2</v>
      </c>
      <c r="G157" s="14">
        <f t="shared" si="23"/>
        <v>3679.7327295341452</v>
      </c>
      <c r="H157" s="12">
        <f t="shared" si="24"/>
        <v>7.6999999999999999E-2</v>
      </c>
      <c r="I157" s="14">
        <f t="shared" si="28"/>
        <v>127846.14752099398</v>
      </c>
      <c r="J157" s="14">
        <f t="shared" si="29"/>
        <v>630743.47744607495</v>
      </c>
      <c r="K157" s="14">
        <f t="shared" si="25"/>
        <v>572153.85247900581</v>
      </c>
      <c r="L157" s="14">
        <f t="shared" si="26"/>
        <v>758589.6249670689</v>
      </c>
    </row>
    <row r="158" spans="1:12" x14ac:dyDescent="0.3">
      <c r="A158">
        <v>153</v>
      </c>
      <c r="B158" s="13">
        <v>49491</v>
      </c>
      <c r="C158" s="14">
        <f t="shared" si="27"/>
        <v>572153.85247900581</v>
      </c>
      <c r="D158" s="14">
        <f t="shared" si="20"/>
        <v>4990.7212168886126</v>
      </c>
      <c r="E158" s="14">
        <f t="shared" si="21"/>
        <v>1319.4006634816587</v>
      </c>
      <c r="F158" s="12">
        <f t="shared" si="22"/>
        <v>2.7672291103485774E-2</v>
      </c>
      <c r="G158" s="14">
        <f t="shared" si="23"/>
        <v>3671.3205534069539</v>
      </c>
      <c r="H158" s="12">
        <f t="shared" si="24"/>
        <v>7.6999999999999999E-2</v>
      </c>
      <c r="I158" s="14">
        <f t="shared" si="28"/>
        <v>129165.54818447564</v>
      </c>
      <c r="J158" s="14">
        <f t="shared" si="29"/>
        <v>634414.7979994819</v>
      </c>
      <c r="K158" s="14">
        <f t="shared" si="25"/>
        <v>570834.45181552414</v>
      </c>
      <c r="L158" s="14">
        <f t="shared" si="26"/>
        <v>763580.34618395753</v>
      </c>
    </row>
    <row r="159" spans="1:12" x14ac:dyDescent="0.3">
      <c r="A159">
        <v>154</v>
      </c>
      <c r="B159" s="13">
        <v>49522</v>
      </c>
      <c r="C159" s="14">
        <f t="shared" si="27"/>
        <v>570834.45181552414</v>
      </c>
      <c r="D159" s="14">
        <f t="shared" si="20"/>
        <v>4990.7212168886126</v>
      </c>
      <c r="E159" s="14">
        <f t="shared" si="21"/>
        <v>1327.8668177389991</v>
      </c>
      <c r="F159" s="12">
        <f t="shared" si="22"/>
        <v>2.7914225853378397E-2</v>
      </c>
      <c r="G159" s="14">
        <f t="shared" si="23"/>
        <v>3662.8543991496135</v>
      </c>
      <c r="H159" s="12">
        <f t="shared" si="24"/>
        <v>7.6999999999999999E-2</v>
      </c>
      <c r="I159" s="14">
        <f t="shared" si="28"/>
        <v>130493.41500221464</v>
      </c>
      <c r="J159" s="14">
        <f t="shared" si="29"/>
        <v>638077.65239863156</v>
      </c>
      <c r="K159" s="14">
        <f t="shared" si="25"/>
        <v>569506.58499778516</v>
      </c>
      <c r="L159" s="14">
        <f t="shared" si="26"/>
        <v>768571.06740084616</v>
      </c>
    </row>
    <row r="160" spans="1:12" x14ac:dyDescent="0.3">
      <c r="A160">
        <v>155</v>
      </c>
      <c r="B160" s="13">
        <v>49553</v>
      </c>
      <c r="C160" s="14">
        <f t="shared" si="27"/>
        <v>569506.58499778516</v>
      </c>
      <c r="D160" s="14">
        <f t="shared" si="20"/>
        <v>4990.7212168886126</v>
      </c>
      <c r="E160" s="14">
        <f t="shared" si="21"/>
        <v>1336.3872964861575</v>
      </c>
      <c r="F160" s="12">
        <f t="shared" si="22"/>
        <v>2.8158844832138784E-2</v>
      </c>
      <c r="G160" s="14">
        <f t="shared" si="23"/>
        <v>3654.3339204024551</v>
      </c>
      <c r="H160" s="12">
        <f t="shared" si="24"/>
        <v>7.6999999999999999E-2</v>
      </c>
      <c r="I160" s="14">
        <f t="shared" si="28"/>
        <v>131829.80229870079</v>
      </c>
      <c r="J160" s="14">
        <f t="shared" si="29"/>
        <v>641731.98631903401</v>
      </c>
      <c r="K160" s="14">
        <f t="shared" si="25"/>
        <v>568170.19770129898</v>
      </c>
      <c r="L160" s="14">
        <f t="shared" si="26"/>
        <v>773561.7886177348</v>
      </c>
    </row>
    <row r="161" spans="1:12" x14ac:dyDescent="0.3">
      <c r="A161">
        <v>156</v>
      </c>
      <c r="B161" s="13">
        <v>49583</v>
      </c>
      <c r="C161" s="14">
        <f t="shared" si="27"/>
        <v>568170.19770129898</v>
      </c>
      <c r="D161" s="14">
        <f t="shared" si="20"/>
        <v>4990.7212168886126</v>
      </c>
      <c r="E161" s="14">
        <f t="shared" si="21"/>
        <v>1344.9624483052776</v>
      </c>
      <c r="F161" s="12">
        <f t="shared" si="22"/>
        <v>2.8406187872860394E-2</v>
      </c>
      <c r="G161" s="14">
        <f t="shared" si="23"/>
        <v>3645.758768583335</v>
      </c>
      <c r="H161" s="12">
        <f t="shared" si="24"/>
        <v>7.6999999999999999E-2</v>
      </c>
      <c r="I161" s="14">
        <f t="shared" si="28"/>
        <v>133174.76474700606</v>
      </c>
      <c r="J161" s="14">
        <f t="shared" si="29"/>
        <v>645377.74508761731</v>
      </c>
      <c r="K161" s="14">
        <f t="shared" si="25"/>
        <v>566825.23525299365</v>
      </c>
      <c r="L161" s="14">
        <f t="shared" si="26"/>
        <v>778552.50983462343</v>
      </c>
    </row>
    <row r="162" spans="1:12" x14ac:dyDescent="0.3">
      <c r="A162">
        <v>157</v>
      </c>
      <c r="B162" s="13">
        <v>49614</v>
      </c>
      <c r="C162" s="14">
        <f t="shared" si="27"/>
        <v>566825.23525299365</v>
      </c>
      <c r="D162" s="14">
        <f t="shared" si="20"/>
        <v>4990.7212168886126</v>
      </c>
      <c r="E162" s="14">
        <f t="shared" si="21"/>
        <v>1353.5926240152367</v>
      </c>
      <c r="F162" s="12">
        <f t="shared" si="22"/>
        <v>2.8656295588062479E-2</v>
      </c>
      <c r="G162" s="14">
        <f t="shared" si="23"/>
        <v>3637.128592873376</v>
      </c>
      <c r="H162" s="12">
        <f t="shared" si="24"/>
        <v>7.6999999999999999E-2</v>
      </c>
      <c r="I162" s="14">
        <f t="shared" si="28"/>
        <v>134528.35737102129</v>
      </c>
      <c r="J162" s="14">
        <f t="shared" si="29"/>
        <v>649014.87368049065</v>
      </c>
      <c r="K162" s="14">
        <f t="shared" si="25"/>
        <v>565471.64262897836</v>
      </c>
      <c r="L162" s="14">
        <f t="shared" si="26"/>
        <v>783543.23105151195</v>
      </c>
    </row>
    <row r="163" spans="1:12" x14ac:dyDescent="0.3">
      <c r="A163">
        <v>158</v>
      </c>
      <c r="B163" s="13">
        <v>49644</v>
      </c>
      <c r="C163" s="14">
        <f t="shared" si="27"/>
        <v>565471.64262897836</v>
      </c>
      <c r="D163" s="14">
        <f t="shared" si="20"/>
        <v>4990.7212168886126</v>
      </c>
      <c r="E163" s="14">
        <f t="shared" si="21"/>
        <v>1362.2781766860012</v>
      </c>
      <c r="F163" s="12">
        <f t="shared" si="22"/>
        <v>2.8909209388874618E-2</v>
      </c>
      <c r="G163" s="14">
        <f t="shared" si="23"/>
        <v>3628.4430402026114</v>
      </c>
      <c r="H163" s="12">
        <f t="shared" si="24"/>
        <v>7.6999999999999999E-2</v>
      </c>
      <c r="I163" s="14">
        <f t="shared" si="28"/>
        <v>135890.63554770729</v>
      </c>
      <c r="J163" s="14">
        <f t="shared" si="29"/>
        <v>652643.31672069326</v>
      </c>
      <c r="K163" s="14">
        <f t="shared" si="25"/>
        <v>564109.36445229233</v>
      </c>
      <c r="L163" s="14">
        <f t="shared" si="26"/>
        <v>788533.95226840058</v>
      </c>
    </row>
    <row r="164" spans="1:12" x14ac:dyDescent="0.3">
      <c r="A164">
        <v>159</v>
      </c>
      <c r="B164" s="13">
        <v>49675</v>
      </c>
      <c r="C164" s="14">
        <f t="shared" si="27"/>
        <v>564109.36445229233</v>
      </c>
      <c r="D164" s="14">
        <f t="shared" si="20"/>
        <v>4990.7212168886126</v>
      </c>
      <c r="E164" s="14">
        <f t="shared" si="21"/>
        <v>1371.0194616530703</v>
      </c>
      <c r="F164" s="12">
        <f t="shared" si="22"/>
        <v>2.9164971504790957E-2</v>
      </c>
      <c r="G164" s="14">
        <f t="shared" si="23"/>
        <v>3619.7017552355424</v>
      </c>
      <c r="H164" s="12">
        <f t="shared" si="24"/>
        <v>7.6999999999999999E-2</v>
      </c>
      <c r="I164" s="14">
        <f t="shared" si="28"/>
        <v>137261.65500936037</v>
      </c>
      <c r="J164" s="14">
        <f t="shared" si="29"/>
        <v>656263.01847592881</v>
      </c>
      <c r="K164" s="14">
        <f t="shared" si="25"/>
        <v>562738.34499063925</v>
      </c>
      <c r="L164" s="14">
        <f t="shared" si="26"/>
        <v>793524.67348528921</v>
      </c>
    </row>
    <row r="165" spans="1:12" x14ac:dyDescent="0.3">
      <c r="A165">
        <v>160</v>
      </c>
      <c r="B165" s="13">
        <v>49706</v>
      </c>
      <c r="C165" s="14">
        <f t="shared" si="27"/>
        <v>562738.34499063925</v>
      </c>
      <c r="D165" s="14">
        <f t="shared" si="20"/>
        <v>4990.7212168886126</v>
      </c>
      <c r="E165" s="14">
        <f t="shared" si="21"/>
        <v>1379.8168365320107</v>
      </c>
      <c r="F165" s="12">
        <f t="shared" si="22"/>
        <v>2.9423625004014176E-2</v>
      </c>
      <c r="G165" s="14">
        <f t="shared" si="23"/>
        <v>3610.9043803566019</v>
      </c>
      <c r="H165" s="12">
        <f t="shared" si="24"/>
        <v>7.6999999999999999E-2</v>
      </c>
      <c r="I165" s="14">
        <f t="shared" si="28"/>
        <v>138641.47184589237</v>
      </c>
      <c r="J165" s="14">
        <f t="shared" si="29"/>
        <v>659873.92285628547</v>
      </c>
      <c r="K165" s="14">
        <f t="shared" si="25"/>
        <v>561358.52815410728</v>
      </c>
      <c r="L165" s="14">
        <f t="shared" si="26"/>
        <v>798515.39470217784</v>
      </c>
    </row>
    <row r="166" spans="1:12" x14ac:dyDescent="0.3">
      <c r="A166">
        <v>161</v>
      </c>
      <c r="B166" s="13">
        <v>49735</v>
      </c>
      <c r="C166" s="14">
        <f t="shared" si="27"/>
        <v>561358.52815410728</v>
      </c>
      <c r="D166" s="14">
        <f t="shared" si="20"/>
        <v>4990.7212168886126</v>
      </c>
      <c r="E166" s="14">
        <f t="shared" si="21"/>
        <v>1388.6706612330909</v>
      </c>
      <c r="F166" s="12">
        <f t="shared" si="22"/>
        <v>2.9685213814409857E-2</v>
      </c>
      <c r="G166" s="14">
        <f t="shared" si="23"/>
        <v>3602.0505556555217</v>
      </c>
      <c r="H166" s="12">
        <f t="shared" si="24"/>
        <v>7.6999999999999999E-2</v>
      </c>
      <c r="I166" s="14">
        <f t="shared" si="28"/>
        <v>140030.14250712548</v>
      </c>
      <c r="J166" s="14">
        <f t="shared" si="29"/>
        <v>663475.97341194097</v>
      </c>
      <c r="K166" s="14">
        <f t="shared" si="25"/>
        <v>559969.85749287414</v>
      </c>
      <c r="L166" s="14">
        <f t="shared" si="26"/>
        <v>803506.11591906648</v>
      </c>
    </row>
    <row r="167" spans="1:12" x14ac:dyDescent="0.3">
      <c r="A167">
        <v>162</v>
      </c>
      <c r="B167" s="13">
        <v>49766</v>
      </c>
      <c r="C167" s="14">
        <f t="shared" si="27"/>
        <v>559969.85749287414</v>
      </c>
      <c r="D167" s="14">
        <f t="shared" si="20"/>
        <v>4990.7212168886126</v>
      </c>
      <c r="E167" s="14">
        <f t="shared" si="21"/>
        <v>1397.5812979760035</v>
      </c>
      <c r="F167" s="12">
        <f t="shared" si="22"/>
        <v>2.99497827450926E-2</v>
      </c>
      <c r="G167" s="14">
        <f t="shared" si="23"/>
        <v>3593.1399189126091</v>
      </c>
      <c r="H167" s="12">
        <f t="shared" si="24"/>
        <v>7.6999999999999999E-2</v>
      </c>
      <c r="I167" s="14">
        <f t="shared" si="28"/>
        <v>141427.72380510147</v>
      </c>
      <c r="J167" s="14">
        <f t="shared" si="29"/>
        <v>667069.11333085352</v>
      </c>
      <c r="K167" s="14">
        <f t="shared" si="25"/>
        <v>558572.27619489818</v>
      </c>
      <c r="L167" s="14">
        <f t="shared" si="26"/>
        <v>808496.83713595499</v>
      </c>
    </row>
    <row r="168" spans="1:12" x14ac:dyDescent="0.3">
      <c r="A168">
        <v>163</v>
      </c>
      <c r="B168" s="13">
        <v>49796</v>
      </c>
      <c r="C168" s="14">
        <f t="shared" si="27"/>
        <v>558572.27619489818</v>
      </c>
      <c r="D168" s="14">
        <f t="shared" si="20"/>
        <v>4990.7212168886126</v>
      </c>
      <c r="E168" s="14">
        <f t="shared" si="21"/>
        <v>1406.5491113046824</v>
      </c>
      <c r="F168" s="12">
        <f t="shared" si="22"/>
        <v>3.0217377508666179E-2</v>
      </c>
      <c r="G168" s="14">
        <f t="shared" si="23"/>
        <v>3584.1721055839303</v>
      </c>
      <c r="H168" s="12">
        <f t="shared" si="24"/>
        <v>7.6999999999999999E-2</v>
      </c>
      <c r="I168" s="14">
        <f t="shared" si="28"/>
        <v>142834.27291640616</v>
      </c>
      <c r="J168" s="14">
        <f t="shared" si="29"/>
        <v>670653.28543643747</v>
      </c>
      <c r="K168" s="14">
        <f t="shared" si="25"/>
        <v>557165.72708359349</v>
      </c>
      <c r="L168" s="14">
        <f t="shared" si="26"/>
        <v>813487.55835284363</v>
      </c>
    </row>
    <row r="169" spans="1:12" x14ac:dyDescent="0.3">
      <c r="A169">
        <v>164</v>
      </c>
      <c r="B169" s="13">
        <v>49827</v>
      </c>
      <c r="C169" s="14">
        <f t="shared" si="27"/>
        <v>557165.72708359349</v>
      </c>
      <c r="D169" s="14">
        <f t="shared" si="20"/>
        <v>4990.7212168886126</v>
      </c>
      <c r="E169" s="14">
        <f t="shared" si="21"/>
        <v>1415.5744681022211</v>
      </c>
      <c r="F169" s="12">
        <f t="shared" si="22"/>
        <v>3.0488044744141362E-2</v>
      </c>
      <c r="G169" s="14">
        <f t="shared" si="23"/>
        <v>3575.1467487863915</v>
      </c>
      <c r="H169" s="12">
        <f t="shared" si="24"/>
        <v>7.6999999999999999E-2</v>
      </c>
      <c r="I169" s="14">
        <f t="shared" si="28"/>
        <v>144249.84738450838</v>
      </c>
      <c r="J169" s="14">
        <f t="shared" si="29"/>
        <v>674228.43218522391</v>
      </c>
      <c r="K169" s="14">
        <f t="shared" si="25"/>
        <v>555750.1526154913</v>
      </c>
      <c r="L169" s="14">
        <f t="shared" si="26"/>
        <v>818478.27956973226</v>
      </c>
    </row>
    <row r="170" spans="1:12" x14ac:dyDescent="0.3">
      <c r="A170">
        <v>165</v>
      </c>
      <c r="B170" s="13">
        <v>49857</v>
      </c>
      <c r="C170" s="14">
        <f t="shared" si="27"/>
        <v>555750.1526154913</v>
      </c>
      <c r="D170" s="14">
        <f t="shared" si="20"/>
        <v>4990.7212168886126</v>
      </c>
      <c r="E170" s="14">
        <f t="shared" si="21"/>
        <v>1424.6577376058767</v>
      </c>
      <c r="F170" s="12">
        <f t="shared" si="22"/>
        <v>3.0761832040554944E-2</v>
      </c>
      <c r="G170" s="14">
        <f t="shared" si="23"/>
        <v>3566.0634792827359</v>
      </c>
      <c r="H170" s="12">
        <f t="shared" si="24"/>
        <v>7.6999999999999999E-2</v>
      </c>
      <c r="I170" s="14">
        <f t="shared" si="28"/>
        <v>145674.50512211426</v>
      </c>
      <c r="J170" s="14">
        <f t="shared" si="29"/>
        <v>677794.49566450668</v>
      </c>
      <c r="K170" s="14">
        <f t="shared" si="25"/>
        <v>554325.49487788545</v>
      </c>
      <c r="L170" s="14">
        <f t="shared" si="26"/>
        <v>823469.00078662089</v>
      </c>
    </row>
    <row r="171" spans="1:12" x14ac:dyDescent="0.3">
      <c r="A171">
        <v>166</v>
      </c>
      <c r="B171" s="13">
        <v>49888</v>
      </c>
      <c r="C171" s="14">
        <f t="shared" si="27"/>
        <v>554325.49487788545</v>
      </c>
      <c r="D171" s="14">
        <f t="shared" si="20"/>
        <v>4990.7212168886126</v>
      </c>
      <c r="E171" s="14">
        <f t="shared" si="21"/>
        <v>1433.7992914221809</v>
      </c>
      <c r="F171" s="12">
        <f t="shared" si="22"/>
        <v>3.1038787961315865E-2</v>
      </c>
      <c r="G171" s="14">
        <f t="shared" si="23"/>
        <v>3556.9219254664317</v>
      </c>
      <c r="H171" s="12">
        <f t="shared" si="24"/>
        <v>7.6999999999999999E-2</v>
      </c>
      <c r="I171" s="14">
        <f t="shared" si="28"/>
        <v>147108.30441353645</v>
      </c>
      <c r="J171" s="14">
        <f t="shared" si="29"/>
        <v>681351.41758997308</v>
      </c>
      <c r="K171" s="14">
        <f t="shared" si="25"/>
        <v>552891.69558646332</v>
      </c>
      <c r="L171" s="14">
        <f t="shared" si="26"/>
        <v>828459.72200350952</v>
      </c>
    </row>
    <row r="172" spans="1:12" x14ac:dyDescent="0.3">
      <c r="A172">
        <v>167</v>
      </c>
      <c r="B172" s="13">
        <v>49919</v>
      </c>
      <c r="C172" s="14">
        <f t="shared" si="27"/>
        <v>552891.69558646332</v>
      </c>
      <c r="D172" s="14">
        <f t="shared" si="20"/>
        <v>4990.7212168886126</v>
      </c>
      <c r="E172" s="14">
        <f t="shared" si="21"/>
        <v>1442.9995035421393</v>
      </c>
      <c r="F172" s="12">
        <f t="shared" si="22"/>
        <v>3.1318962069304096E-2</v>
      </c>
      <c r="G172" s="14">
        <f t="shared" si="23"/>
        <v>3547.7217133464733</v>
      </c>
      <c r="H172" s="12">
        <f t="shared" si="24"/>
        <v>7.6999999999999999E-2</v>
      </c>
      <c r="I172" s="14">
        <f t="shared" si="28"/>
        <v>148551.30391707859</v>
      </c>
      <c r="J172" s="14">
        <f t="shared" si="29"/>
        <v>684899.13930331951</v>
      </c>
      <c r="K172" s="14">
        <f t="shared" si="25"/>
        <v>551448.69608292123</v>
      </c>
      <c r="L172" s="14">
        <f t="shared" si="26"/>
        <v>833450.44322039816</v>
      </c>
    </row>
    <row r="173" spans="1:12" x14ac:dyDescent="0.3">
      <c r="A173">
        <v>168</v>
      </c>
      <c r="B173" s="13">
        <v>49949</v>
      </c>
      <c r="C173" s="14">
        <f t="shared" si="27"/>
        <v>551448.69608292123</v>
      </c>
      <c r="D173" s="14">
        <f t="shared" si="20"/>
        <v>4990.7212168886126</v>
      </c>
      <c r="E173" s="14">
        <f t="shared" si="21"/>
        <v>1452.2587503565346</v>
      </c>
      <c r="F173" s="12">
        <f t="shared" si="22"/>
        <v>3.1602404952749956E-2</v>
      </c>
      <c r="G173" s="14">
        <f t="shared" si="23"/>
        <v>3538.462466532078</v>
      </c>
      <c r="H173" s="12">
        <f t="shared" si="24"/>
        <v>7.6999999999999999E-2</v>
      </c>
      <c r="I173" s="14">
        <f t="shared" si="28"/>
        <v>150003.56266743512</v>
      </c>
      <c r="J173" s="14">
        <f t="shared" si="29"/>
        <v>688437.60176985164</v>
      </c>
      <c r="K173" s="14">
        <f t="shared" si="25"/>
        <v>549996.43733256473</v>
      </c>
      <c r="L173" s="14">
        <f t="shared" si="26"/>
        <v>838441.16443728679</v>
      </c>
    </row>
    <row r="174" spans="1:12" x14ac:dyDescent="0.3">
      <c r="A174">
        <v>169</v>
      </c>
      <c r="B174" s="13">
        <v>49980</v>
      </c>
      <c r="C174" s="14">
        <f t="shared" si="27"/>
        <v>549996.43733256473</v>
      </c>
      <c r="D174" s="14">
        <f t="shared" si="20"/>
        <v>4990.7212168886126</v>
      </c>
      <c r="E174" s="14">
        <f t="shared" si="21"/>
        <v>1461.577410671322</v>
      </c>
      <c r="F174" s="12">
        <f t="shared" si="22"/>
        <v>3.1889168251922062E-2</v>
      </c>
      <c r="G174" s="14">
        <f t="shared" si="23"/>
        <v>3529.1438062172906</v>
      </c>
      <c r="H174" s="12">
        <f t="shared" si="24"/>
        <v>7.6999999999999999E-2</v>
      </c>
      <c r="I174" s="14">
        <f t="shared" si="28"/>
        <v>151465.14007810646</v>
      </c>
      <c r="J174" s="14">
        <f t="shared" si="29"/>
        <v>691966.74557606888</v>
      </c>
      <c r="K174" s="14">
        <f t="shared" si="25"/>
        <v>548534.85992189345</v>
      </c>
      <c r="L174" s="14">
        <f t="shared" si="26"/>
        <v>843431.8856541753</v>
      </c>
    </row>
    <row r="175" spans="1:12" x14ac:dyDescent="0.3">
      <c r="A175">
        <v>170</v>
      </c>
      <c r="B175" s="13">
        <v>50010</v>
      </c>
      <c r="C175" s="14">
        <f t="shared" si="27"/>
        <v>548534.85992189345</v>
      </c>
      <c r="D175" s="14">
        <f t="shared" si="20"/>
        <v>4990.7212168886126</v>
      </c>
      <c r="E175" s="14">
        <f t="shared" si="21"/>
        <v>1470.9558657231296</v>
      </c>
      <c r="F175" s="12">
        <f t="shared" si="22"/>
        <v>3.2179304686653767E-2</v>
      </c>
      <c r="G175" s="14">
        <f t="shared" si="23"/>
        <v>3519.765351165483</v>
      </c>
      <c r="H175" s="12">
        <f t="shared" si="24"/>
        <v>7.6999999999999999E-2</v>
      </c>
      <c r="I175" s="14">
        <f t="shared" si="28"/>
        <v>152936.0959438296</v>
      </c>
      <c r="J175" s="14">
        <f t="shared" si="29"/>
        <v>695486.51092723431</v>
      </c>
      <c r="K175" s="14">
        <f t="shared" si="25"/>
        <v>547063.90405617037</v>
      </c>
      <c r="L175" s="14">
        <f t="shared" si="26"/>
        <v>848422.60687106394</v>
      </c>
    </row>
    <row r="176" spans="1:12" x14ac:dyDescent="0.3">
      <c r="A176">
        <v>171</v>
      </c>
      <c r="B176" s="13">
        <v>50041</v>
      </c>
      <c r="C176" s="14">
        <f t="shared" si="27"/>
        <v>547063.90405617037</v>
      </c>
      <c r="D176" s="14">
        <f t="shared" si="20"/>
        <v>4990.7212168886126</v>
      </c>
      <c r="E176" s="14">
        <f t="shared" si="21"/>
        <v>1480.3944991948524</v>
      </c>
      <c r="F176" s="12">
        <f t="shared" si="22"/>
        <v>3.2472868084738815E-2</v>
      </c>
      <c r="G176" s="14">
        <f t="shared" si="23"/>
        <v>3510.3267176937602</v>
      </c>
      <c r="H176" s="12">
        <f t="shared" si="24"/>
        <v>7.6999999999999999E-2</v>
      </c>
      <c r="I176" s="14">
        <f t="shared" si="28"/>
        <v>154416.49044302446</v>
      </c>
      <c r="J176" s="14">
        <f t="shared" si="29"/>
        <v>698996.83764492802</v>
      </c>
      <c r="K176" s="14">
        <f t="shared" si="25"/>
        <v>545583.50955697556</v>
      </c>
      <c r="L176" s="14">
        <f t="shared" si="26"/>
        <v>853413.32808795245</v>
      </c>
    </row>
    <row r="177" spans="1:12" x14ac:dyDescent="0.3">
      <c r="A177">
        <v>172</v>
      </c>
      <c r="B177" s="13">
        <v>50072</v>
      </c>
      <c r="C177" s="14">
        <f t="shared" si="27"/>
        <v>545583.50955697556</v>
      </c>
      <c r="D177" s="14">
        <f t="shared" si="20"/>
        <v>4990.7212168886126</v>
      </c>
      <c r="E177" s="14">
        <f t="shared" si="21"/>
        <v>1489.8936972313527</v>
      </c>
      <c r="F177" s="12">
        <f t="shared" si="22"/>
        <v>3.2769913411228473E-2</v>
      </c>
      <c r="G177" s="14">
        <f t="shared" si="23"/>
        <v>3500.8275196572599</v>
      </c>
      <c r="H177" s="12">
        <f t="shared" si="24"/>
        <v>7.6999999999999999E-2</v>
      </c>
      <c r="I177" s="14">
        <f t="shared" si="28"/>
        <v>155906.3841402558</v>
      </c>
      <c r="J177" s="14">
        <f t="shared" si="29"/>
        <v>702497.66516458523</v>
      </c>
      <c r="K177" s="14">
        <f t="shared" si="25"/>
        <v>544093.61585974426</v>
      </c>
      <c r="L177" s="14">
        <f t="shared" si="26"/>
        <v>858404.04930484109</v>
      </c>
    </row>
    <row r="178" spans="1:12" x14ac:dyDescent="0.3">
      <c r="A178">
        <v>173</v>
      </c>
      <c r="B178" s="13">
        <v>50100</v>
      </c>
      <c r="C178" s="14">
        <f t="shared" si="27"/>
        <v>544093.61585974426</v>
      </c>
      <c r="D178" s="14">
        <f t="shared" si="20"/>
        <v>4990.7212168886126</v>
      </c>
      <c r="E178" s="14">
        <f t="shared" si="21"/>
        <v>1499.4538484552536</v>
      </c>
      <c r="F178" s="12">
        <f t="shared" si="22"/>
        <v>3.3070496798663723E-2</v>
      </c>
      <c r="G178" s="14">
        <f t="shared" si="23"/>
        <v>3491.267368433359</v>
      </c>
      <c r="H178" s="12">
        <f t="shared" si="24"/>
        <v>7.6999999999999999E-2</v>
      </c>
      <c r="I178" s="14">
        <f t="shared" si="28"/>
        <v>157405.83798871105</v>
      </c>
      <c r="J178" s="14">
        <f t="shared" si="29"/>
        <v>705988.93253301864</v>
      </c>
      <c r="K178" s="14">
        <f t="shared" si="25"/>
        <v>542594.16201128904</v>
      </c>
      <c r="L178" s="14">
        <f t="shared" si="26"/>
        <v>863394.77052172972</v>
      </c>
    </row>
    <row r="179" spans="1:12" x14ac:dyDescent="0.3">
      <c r="A179">
        <v>174</v>
      </c>
      <c r="B179" s="13">
        <v>50131</v>
      </c>
      <c r="C179" s="14">
        <f t="shared" si="27"/>
        <v>542594.16201128904</v>
      </c>
      <c r="D179" s="14">
        <f t="shared" si="20"/>
        <v>4990.7212168886126</v>
      </c>
      <c r="E179" s="14">
        <f t="shared" si="21"/>
        <v>1509.0753439828413</v>
      </c>
      <c r="F179" s="12">
        <f t="shared" si="22"/>
        <v>3.3374675578277467E-2</v>
      </c>
      <c r="G179" s="14">
        <f t="shared" si="23"/>
        <v>3481.6458729057713</v>
      </c>
      <c r="H179" s="12">
        <f t="shared" si="24"/>
        <v>7.6999999999999999E-2</v>
      </c>
      <c r="I179" s="14">
        <f t="shared" si="28"/>
        <v>158914.91333269389</v>
      </c>
      <c r="J179" s="14">
        <f t="shared" si="29"/>
        <v>709470.57840592437</v>
      </c>
      <c r="K179" s="14">
        <f t="shared" si="25"/>
        <v>541085.08666730614</v>
      </c>
      <c r="L179" s="14">
        <f t="shared" si="26"/>
        <v>868385.49173861824</v>
      </c>
    </row>
    <row r="180" spans="1:12" x14ac:dyDescent="0.3">
      <c r="A180">
        <v>175</v>
      </c>
      <c r="B180" s="13">
        <v>50161</v>
      </c>
      <c r="C180" s="14">
        <f t="shared" si="27"/>
        <v>541085.08666730614</v>
      </c>
      <c r="D180" s="14">
        <f t="shared" si="20"/>
        <v>4990.7212168886126</v>
      </c>
      <c r="E180" s="14">
        <f t="shared" si="21"/>
        <v>1518.758577440065</v>
      </c>
      <c r="F180" s="12">
        <f t="shared" si="22"/>
        <v>3.3682508312203291E-2</v>
      </c>
      <c r="G180" s="14">
        <f t="shared" si="23"/>
        <v>3471.9626394485476</v>
      </c>
      <c r="H180" s="12">
        <f t="shared" si="24"/>
        <v>7.6999999999999999E-2</v>
      </c>
      <c r="I180" s="14">
        <f t="shared" si="28"/>
        <v>160433.67191013397</v>
      </c>
      <c r="J180" s="14">
        <f t="shared" si="29"/>
        <v>712942.54104537296</v>
      </c>
      <c r="K180" s="14">
        <f t="shared" si="25"/>
        <v>539566.32808986609</v>
      </c>
      <c r="L180" s="14">
        <f t="shared" si="26"/>
        <v>873376.21295550698</v>
      </c>
    </row>
    <row r="181" spans="1:12" x14ac:dyDescent="0.3">
      <c r="A181">
        <v>176</v>
      </c>
      <c r="B181" s="13">
        <v>50192</v>
      </c>
      <c r="C181" s="14">
        <f t="shared" si="27"/>
        <v>539566.32808986609</v>
      </c>
      <c r="D181" s="14">
        <f t="shared" si="20"/>
        <v>4990.7212168886126</v>
      </c>
      <c r="E181" s="14">
        <f t="shared" si="21"/>
        <v>1528.5039449786386</v>
      </c>
      <c r="F181" s="12">
        <f t="shared" si="22"/>
        <v>3.3994054826728834E-2</v>
      </c>
      <c r="G181" s="14">
        <f t="shared" si="23"/>
        <v>3462.217271909974</v>
      </c>
      <c r="H181" s="12">
        <f t="shared" si="24"/>
        <v>7.6999999999999999E-2</v>
      </c>
      <c r="I181" s="14">
        <f t="shared" si="28"/>
        <v>161962.17585511261</v>
      </c>
      <c r="J181" s="14">
        <f t="shared" si="29"/>
        <v>716404.75831728289</v>
      </c>
      <c r="K181" s="14">
        <f t="shared" si="25"/>
        <v>538037.82414488751</v>
      </c>
      <c r="L181" s="14">
        <f t="shared" si="26"/>
        <v>878366.9341723955</v>
      </c>
    </row>
    <row r="182" spans="1:12" x14ac:dyDescent="0.3">
      <c r="A182">
        <v>177</v>
      </c>
      <c r="B182" s="13">
        <v>50222</v>
      </c>
      <c r="C182" s="14">
        <f t="shared" si="27"/>
        <v>538037.82414488751</v>
      </c>
      <c r="D182" s="14">
        <f t="shared" si="20"/>
        <v>4990.7212168886126</v>
      </c>
      <c r="E182" s="14">
        <f t="shared" si="21"/>
        <v>1538.3118452922508</v>
      </c>
      <c r="F182" s="12">
        <f t="shared" si="22"/>
        <v>3.4309376246633563E-2</v>
      </c>
      <c r="G182" s="14">
        <f t="shared" si="23"/>
        <v>3452.4093715963618</v>
      </c>
      <c r="H182" s="12">
        <f t="shared" si="24"/>
        <v>7.6999999999999999E-2</v>
      </c>
      <c r="I182" s="14">
        <f t="shared" si="28"/>
        <v>163500.48770040486</v>
      </c>
      <c r="J182" s="14">
        <f t="shared" si="29"/>
        <v>719857.1676888793</v>
      </c>
      <c r="K182" s="14">
        <f t="shared" si="25"/>
        <v>536499.51229959528</v>
      </c>
      <c r="L182" s="14">
        <f t="shared" si="26"/>
        <v>883357.65538928413</v>
      </c>
    </row>
    <row r="183" spans="1:12" x14ac:dyDescent="0.3">
      <c r="A183">
        <v>178</v>
      </c>
      <c r="B183" s="13">
        <v>50253</v>
      </c>
      <c r="C183" s="14">
        <f t="shared" si="27"/>
        <v>536499.51229959528</v>
      </c>
      <c r="D183" s="14">
        <f t="shared" si="20"/>
        <v>4990.7212168886126</v>
      </c>
      <c r="E183" s="14">
        <f t="shared" si="21"/>
        <v>1548.182679632876</v>
      </c>
      <c r="F183" s="12">
        <f t="shared" si="22"/>
        <v>3.4628535030652489E-2</v>
      </c>
      <c r="G183" s="14">
        <f t="shared" si="23"/>
        <v>3442.5385372557366</v>
      </c>
      <c r="H183" s="12">
        <f t="shared" si="24"/>
        <v>7.6999999999999999E-2</v>
      </c>
      <c r="I183" s="14">
        <f t="shared" si="28"/>
        <v>165048.67038003774</v>
      </c>
      <c r="J183" s="14">
        <f t="shared" si="29"/>
        <v>723299.70622613502</v>
      </c>
      <c r="K183" s="14">
        <f t="shared" si="25"/>
        <v>534951.32961996237</v>
      </c>
      <c r="L183" s="14">
        <f t="shared" si="26"/>
        <v>888348.37660617277</v>
      </c>
    </row>
    <row r="184" spans="1:12" x14ac:dyDescent="0.3">
      <c r="A184">
        <v>179</v>
      </c>
      <c r="B184" s="13">
        <v>50284</v>
      </c>
      <c r="C184" s="14">
        <f t="shared" si="27"/>
        <v>534951.32961996237</v>
      </c>
      <c r="D184" s="14">
        <f t="shared" si="20"/>
        <v>4990.7212168886126</v>
      </c>
      <c r="E184" s="14">
        <f t="shared" si="21"/>
        <v>1558.1168518271875</v>
      </c>
      <c r="F184" s="12">
        <f t="shared" si="22"/>
        <v>3.4951595008108814E-2</v>
      </c>
      <c r="G184" s="14">
        <f t="shared" si="23"/>
        <v>3432.6043650614251</v>
      </c>
      <c r="H184" s="12">
        <f t="shared" si="24"/>
        <v>7.6999999999999999E-2</v>
      </c>
      <c r="I184" s="14">
        <f t="shared" si="28"/>
        <v>166606.78723186493</v>
      </c>
      <c r="J184" s="14">
        <f t="shared" si="29"/>
        <v>726732.31059119641</v>
      </c>
      <c r="K184" s="14">
        <f t="shared" si="25"/>
        <v>533393.21276813524</v>
      </c>
      <c r="L184" s="14">
        <f t="shared" si="26"/>
        <v>893339.09782306128</v>
      </c>
    </row>
    <row r="185" spans="1:12" x14ac:dyDescent="0.3">
      <c r="A185">
        <v>180</v>
      </c>
      <c r="B185" s="13">
        <v>50314</v>
      </c>
      <c r="C185" s="14">
        <f t="shared" si="27"/>
        <v>533393.21276813524</v>
      </c>
      <c r="D185" s="14">
        <f t="shared" si="20"/>
        <v>4990.7212168886126</v>
      </c>
      <c r="E185" s="14">
        <f t="shared" si="21"/>
        <v>1568.1147682930782</v>
      </c>
      <c r="F185" s="12">
        <f t="shared" si="22"/>
        <v>3.5278621416761087E-2</v>
      </c>
      <c r="G185" s="14">
        <f t="shared" si="23"/>
        <v>3422.6064485955344</v>
      </c>
      <c r="H185" s="12">
        <f t="shared" si="24"/>
        <v>7.6999999999999999E-2</v>
      </c>
      <c r="I185" s="14">
        <f t="shared" si="28"/>
        <v>168174.90200015801</v>
      </c>
      <c r="J185" s="14">
        <f t="shared" si="29"/>
        <v>730154.91703979194</v>
      </c>
      <c r="K185" s="14">
        <f t="shared" si="25"/>
        <v>531825.09799984214</v>
      </c>
      <c r="L185" s="14">
        <f t="shared" si="26"/>
        <v>898329.81903994991</v>
      </c>
    </row>
    <row r="186" spans="1:12" x14ac:dyDescent="0.3">
      <c r="A186">
        <v>181</v>
      </c>
      <c r="B186" s="13">
        <v>50345</v>
      </c>
      <c r="C186" s="14">
        <f t="shared" si="27"/>
        <v>531825.09799984214</v>
      </c>
      <c r="D186" s="14">
        <f t="shared" si="20"/>
        <v>4990.7212168886126</v>
      </c>
      <c r="E186" s="14">
        <f t="shared" si="21"/>
        <v>1578.1768380562921</v>
      </c>
      <c r="F186" s="12">
        <f t="shared" si="22"/>
        <v>3.5609680941912081E-2</v>
      </c>
      <c r="G186" s="14">
        <f t="shared" si="23"/>
        <v>3412.5443788323205</v>
      </c>
      <c r="H186" s="12">
        <f t="shared" si="24"/>
        <v>7.6999999999999999E-2</v>
      </c>
      <c r="I186" s="14">
        <f t="shared" si="28"/>
        <v>169753.07883821431</v>
      </c>
      <c r="J186" s="14">
        <f t="shared" si="29"/>
        <v>733567.46141862427</v>
      </c>
      <c r="K186" s="14">
        <f t="shared" si="25"/>
        <v>530246.92116178584</v>
      </c>
      <c r="L186" s="14">
        <f t="shared" si="26"/>
        <v>903320.54025683855</v>
      </c>
    </row>
    <row r="187" spans="1:12" x14ac:dyDescent="0.3">
      <c r="A187">
        <v>182</v>
      </c>
      <c r="B187" s="13">
        <v>50375</v>
      </c>
      <c r="C187" s="14">
        <f t="shared" si="27"/>
        <v>530246.92116178584</v>
      </c>
      <c r="D187" s="14">
        <f t="shared" si="20"/>
        <v>4990.7212168886126</v>
      </c>
      <c r="E187" s="14">
        <f t="shared" si="21"/>
        <v>1588.3034727671534</v>
      </c>
      <c r="F187" s="12">
        <f t="shared" si="22"/>
        <v>3.5944841756828369E-2</v>
      </c>
      <c r="G187" s="14">
        <f t="shared" si="23"/>
        <v>3402.4177441214592</v>
      </c>
      <c r="H187" s="12">
        <f t="shared" si="24"/>
        <v>7.6999999999999999E-2</v>
      </c>
      <c r="I187" s="14">
        <f t="shared" si="28"/>
        <v>171341.38231098145</v>
      </c>
      <c r="J187" s="14">
        <f t="shared" si="29"/>
        <v>736969.87916274578</v>
      </c>
      <c r="K187" s="14">
        <f t="shared" si="25"/>
        <v>528658.61768901872</v>
      </c>
      <c r="L187" s="14">
        <f t="shared" si="26"/>
        <v>908311.26147372718</v>
      </c>
    </row>
    <row r="188" spans="1:12" x14ac:dyDescent="0.3">
      <c r="A188">
        <v>183</v>
      </c>
      <c r="B188" s="13">
        <v>50406</v>
      </c>
      <c r="C188" s="14">
        <f t="shared" si="27"/>
        <v>528658.61768901872</v>
      </c>
      <c r="D188" s="14">
        <f t="shared" si="20"/>
        <v>4990.7212168886126</v>
      </c>
      <c r="E188" s="14">
        <f t="shared" si="21"/>
        <v>1598.4950867174089</v>
      </c>
      <c r="F188" s="12">
        <f t="shared" si="22"/>
        <v>3.6284173564522508E-2</v>
      </c>
      <c r="G188" s="14">
        <f t="shared" si="23"/>
        <v>3392.2261301712037</v>
      </c>
      <c r="H188" s="12">
        <f t="shared" si="24"/>
        <v>7.6999999999999999E-2</v>
      </c>
      <c r="I188" s="14">
        <f t="shared" si="28"/>
        <v>172939.87739769887</v>
      </c>
      <c r="J188" s="14">
        <f t="shared" si="29"/>
        <v>740362.105292917</v>
      </c>
      <c r="K188" s="14">
        <f t="shared" si="25"/>
        <v>527060.1226023013</v>
      </c>
      <c r="L188" s="14">
        <f t="shared" si="26"/>
        <v>913301.98269061581</v>
      </c>
    </row>
    <row r="189" spans="1:12" x14ac:dyDescent="0.3">
      <c r="A189">
        <v>184</v>
      </c>
      <c r="B189" s="13">
        <v>50437</v>
      </c>
      <c r="C189" s="14">
        <f t="shared" si="27"/>
        <v>527060.1226023013</v>
      </c>
      <c r="D189" s="14">
        <f t="shared" si="20"/>
        <v>4990.7212168886126</v>
      </c>
      <c r="E189" s="14">
        <f t="shared" si="21"/>
        <v>1608.7520968571794</v>
      </c>
      <c r="F189" s="12">
        <f t="shared" si="22"/>
        <v>3.6627747640951697E-2</v>
      </c>
      <c r="G189" s="14">
        <f t="shared" si="23"/>
        <v>3381.9691200314332</v>
      </c>
      <c r="H189" s="12">
        <f t="shared" si="24"/>
        <v>7.6999999999999999E-2</v>
      </c>
      <c r="I189" s="14">
        <f t="shared" si="28"/>
        <v>174548.62949455605</v>
      </c>
      <c r="J189" s="14">
        <f t="shared" si="29"/>
        <v>743744.07441294845</v>
      </c>
      <c r="K189" s="14">
        <f t="shared" si="25"/>
        <v>525451.37050544412</v>
      </c>
      <c r="L189" s="14">
        <f t="shared" si="26"/>
        <v>918292.70390750444</v>
      </c>
    </row>
    <row r="190" spans="1:12" x14ac:dyDescent="0.3">
      <c r="A190">
        <v>185</v>
      </c>
      <c r="B190" s="13">
        <v>50465</v>
      </c>
      <c r="C190" s="14">
        <f t="shared" si="27"/>
        <v>525451.37050544412</v>
      </c>
      <c r="D190" s="14">
        <f t="shared" si="20"/>
        <v>4990.7212168886126</v>
      </c>
      <c r="E190" s="14">
        <f t="shared" si="21"/>
        <v>1619.0749228120126</v>
      </c>
      <c r="F190" s="12">
        <f t="shared" si="22"/>
        <v>3.6975636879688856E-2</v>
      </c>
      <c r="G190" s="14">
        <f t="shared" si="23"/>
        <v>3371.6462940766</v>
      </c>
      <c r="H190" s="12">
        <f t="shared" si="24"/>
        <v>7.6999999999999999E-2</v>
      </c>
      <c r="I190" s="14">
        <f t="shared" si="28"/>
        <v>176167.70441736808</v>
      </c>
      <c r="J190" s="14">
        <f t="shared" si="29"/>
        <v>747115.72070702503</v>
      </c>
      <c r="K190" s="14">
        <f t="shared" si="25"/>
        <v>523832.29558263213</v>
      </c>
      <c r="L190" s="14">
        <f t="shared" si="26"/>
        <v>923283.42512439308</v>
      </c>
    </row>
    <row r="191" spans="1:12" x14ac:dyDescent="0.3">
      <c r="A191">
        <v>186</v>
      </c>
      <c r="B191" s="13">
        <v>50496</v>
      </c>
      <c r="C191" s="14">
        <f t="shared" si="27"/>
        <v>523832.29558263213</v>
      </c>
      <c r="D191" s="14">
        <f t="shared" si="20"/>
        <v>4990.7212168886126</v>
      </c>
      <c r="E191" s="14">
        <f t="shared" si="21"/>
        <v>1629.4639869000562</v>
      </c>
      <c r="F191" s="12">
        <f t="shared" si="22"/>
        <v>3.7327915838125697E-2</v>
      </c>
      <c r="G191" s="14">
        <f t="shared" si="23"/>
        <v>3361.2572299885564</v>
      </c>
      <c r="H191" s="12">
        <f t="shared" si="24"/>
        <v>7.6999999999999999E-2</v>
      </c>
      <c r="I191" s="14">
        <f t="shared" si="28"/>
        <v>177797.16840426813</v>
      </c>
      <c r="J191" s="14">
        <f t="shared" si="29"/>
        <v>750476.97793701361</v>
      </c>
      <c r="K191" s="14">
        <f t="shared" si="25"/>
        <v>522202.83159573207</v>
      </c>
      <c r="L191" s="14">
        <f t="shared" si="26"/>
        <v>928274.14634128171</v>
      </c>
    </row>
    <row r="192" spans="1:12" x14ac:dyDescent="0.3">
      <c r="A192">
        <v>187</v>
      </c>
      <c r="B192" s="13">
        <v>50526</v>
      </c>
      <c r="C192" s="14">
        <f t="shared" si="27"/>
        <v>522202.83159573207</v>
      </c>
      <c r="D192" s="14">
        <f t="shared" si="20"/>
        <v>4990.7212168886126</v>
      </c>
      <c r="E192" s="14">
        <f t="shared" si="21"/>
        <v>1639.9197141493319</v>
      </c>
      <c r="F192" s="12">
        <f t="shared" si="22"/>
        <v>3.7684660785268748E-2</v>
      </c>
      <c r="G192" s="14">
        <f t="shared" si="23"/>
        <v>3350.8015027392807</v>
      </c>
      <c r="H192" s="12">
        <f t="shared" si="24"/>
        <v>7.6999999999999999E-2</v>
      </c>
      <c r="I192" s="14">
        <f t="shared" si="28"/>
        <v>179437.08811841745</v>
      </c>
      <c r="J192" s="14">
        <f t="shared" si="29"/>
        <v>753827.77943975292</v>
      </c>
      <c r="K192" s="14">
        <f t="shared" si="25"/>
        <v>520562.91188158275</v>
      </c>
      <c r="L192" s="14">
        <f t="shared" si="26"/>
        <v>933264.86755817034</v>
      </c>
    </row>
    <row r="193" spans="1:12" x14ac:dyDescent="0.3">
      <c r="A193">
        <v>188</v>
      </c>
      <c r="B193" s="13">
        <v>50557</v>
      </c>
      <c r="C193" s="14">
        <f t="shared" si="27"/>
        <v>520562.91188158275</v>
      </c>
      <c r="D193" s="14">
        <f t="shared" si="20"/>
        <v>4990.7212168886126</v>
      </c>
      <c r="E193" s="14">
        <f t="shared" si="21"/>
        <v>1650.4425323151231</v>
      </c>
      <c r="F193" s="12">
        <f t="shared" si="22"/>
        <v>3.8045949751193138E-2</v>
      </c>
      <c r="G193" s="14">
        <f t="shared" si="23"/>
        <v>3340.2786845734895</v>
      </c>
      <c r="H193" s="12">
        <f t="shared" si="24"/>
        <v>7.6999999999999999E-2</v>
      </c>
      <c r="I193" s="14">
        <f t="shared" si="28"/>
        <v>181087.53065073257</v>
      </c>
      <c r="J193" s="14">
        <f t="shared" si="29"/>
        <v>757168.0581243264</v>
      </c>
      <c r="K193" s="14">
        <f t="shared" si="25"/>
        <v>518912.4693492676</v>
      </c>
      <c r="L193" s="14">
        <f t="shared" si="26"/>
        <v>938255.58877505898</v>
      </c>
    </row>
    <row r="194" spans="1:12" x14ac:dyDescent="0.3">
      <c r="A194">
        <v>189</v>
      </c>
      <c r="B194" s="13">
        <v>50587</v>
      </c>
      <c r="C194" s="14">
        <f t="shared" si="27"/>
        <v>518912.4693492676</v>
      </c>
      <c r="D194" s="14">
        <f t="shared" si="20"/>
        <v>4990.7212168886126</v>
      </c>
      <c r="E194" s="14">
        <f t="shared" si="21"/>
        <v>1661.0328718974788</v>
      </c>
      <c r="F194" s="12">
        <f t="shared" si="22"/>
        <v>3.8411862578221698E-2</v>
      </c>
      <c r="G194" s="14">
        <f t="shared" si="23"/>
        <v>3329.6883449911338</v>
      </c>
      <c r="H194" s="12">
        <f t="shared" si="24"/>
        <v>7.6999999999999999E-2</v>
      </c>
      <c r="I194" s="14">
        <f t="shared" si="28"/>
        <v>182748.56352263005</v>
      </c>
      <c r="J194" s="14">
        <f t="shared" si="29"/>
        <v>760497.74646931759</v>
      </c>
      <c r="K194" s="14">
        <f t="shared" si="25"/>
        <v>517251.43647737009</v>
      </c>
      <c r="L194" s="14">
        <f t="shared" si="26"/>
        <v>943246.30999194761</v>
      </c>
    </row>
    <row r="195" spans="1:12" x14ac:dyDescent="0.3">
      <c r="A195">
        <v>190</v>
      </c>
      <c r="B195" s="13">
        <v>50618</v>
      </c>
      <c r="C195" s="14">
        <f t="shared" si="27"/>
        <v>517251.43647737009</v>
      </c>
      <c r="D195" s="14">
        <f t="shared" si="20"/>
        <v>4990.7212168886126</v>
      </c>
      <c r="E195" s="14">
        <f t="shared" si="21"/>
        <v>1671.691166158821</v>
      </c>
      <c r="F195" s="12">
        <f t="shared" si="22"/>
        <v>3.8782480973899615E-2</v>
      </c>
      <c r="G195" s="14">
        <f t="shared" si="23"/>
        <v>3319.0300507297916</v>
      </c>
      <c r="H195" s="12">
        <f t="shared" si="24"/>
        <v>7.6999999999999999E-2</v>
      </c>
      <c r="I195" s="14">
        <f t="shared" si="28"/>
        <v>184420.25468878887</v>
      </c>
      <c r="J195" s="14">
        <f t="shared" si="29"/>
        <v>763816.77652004734</v>
      </c>
      <c r="K195" s="14">
        <f t="shared" si="25"/>
        <v>515579.74531121127</v>
      </c>
      <c r="L195" s="14">
        <f t="shared" si="26"/>
        <v>948237.03120883624</v>
      </c>
    </row>
    <row r="196" spans="1:12" x14ac:dyDescent="0.3">
      <c r="A196">
        <v>191</v>
      </c>
      <c r="B196" s="13">
        <v>50649</v>
      </c>
      <c r="C196" s="14">
        <f t="shared" si="27"/>
        <v>515579.74531121127</v>
      </c>
      <c r="D196" s="14">
        <f t="shared" si="20"/>
        <v>4990.7212168886126</v>
      </c>
      <c r="E196" s="14">
        <f t="shared" si="21"/>
        <v>1682.4178511416735</v>
      </c>
      <c r="F196" s="12">
        <f t="shared" si="22"/>
        <v>3.9157888565839037E-2</v>
      </c>
      <c r="G196" s="14">
        <f t="shared" si="23"/>
        <v>3308.3033657469391</v>
      </c>
      <c r="H196" s="12">
        <f t="shared" si="24"/>
        <v>7.6999999999999999E-2</v>
      </c>
      <c r="I196" s="14">
        <f t="shared" si="28"/>
        <v>186102.67253993056</v>
      </c>
      <c r="J196" s="14">
        <f t="shared" si="29"/>
        <v>767125.07988579432</v>
      </c>
      <c r="K196" s="14">
        <f t="shared" si="25"/>
        <v>513897.32746006962</v>
      </c>
      <c r="L196" s="14">
        <f t="shared" si="26"/>
        <v>953227.75242572487</v>
      </c>
    </row>
    <row r="197" spans="1:12" x14ac:dyDescent="0.3">
      <c r="A197">
        <v>192</v>
      </c>
      <c r="B197" s="13">
        <v>50679</v>
      </c>
      <c r="C197" s="14">
        <f t="shared" si="27"/>
        <v>513897.32746006962</v>
      </c>
      <c r="D197" s="14">
        <f t="shared" si="20"/>
        <v>4990.7212168886126</v>
      </c>
      <c r="E197" s="14">
        <f t="shared" si="21"/>
        <v>1693.2133656864989</v>
      </c>
      <c r="F197" s="12">
        <f t="shared" si="22"/>
        <v>3.9538170958510699E-2</v>
      </c>
      <c r="G197" s="14">
        <f t="shared" si="23"/>
        <v>3297.5078512021137</v>
      </c>
      <c r="H197" s="12">
        <f t="shared" si="24"/>
        <v>7.6999999999999999E-2</v>
      </c>
      <c r="I197" s="14">
        <f t="shared" si="28"/>
        <v>187795.88590561706</v>
      </c>
      <c r="J197" s="14">
        <f t="shared" si="29"/>
        <v>770422.58773699647</v>
      </c>
      <c r="K197" s="14">
        <f t="shared" si="25"/>
        <v>512204.11409438314</v>
      </c>
      <c r="L197" s="14">
        <f t="shared" si="26"/>
        <v>958218.47364261351</v>
      </c>
    </row>
    <row r="198" spans="1:12" x14ac:dyDescent="0.3">
      <c r="A198">
        <v>193</v>
      </c>
      <c r="B198" s="13">
        <v>50710</v>
      </c>
      <c r="C198" s="14">
        <f t="shared" si="27"/>
        <v>512204.11409438314</v>
      </c>
      <c r="D198" s="14">
        <f t="shared" si="20"/>
        <v>4990.7212168886126</v>
      </c>
      <c r="E198" s="14">
        <f t="shared" si="21"/>
        <v>1704.0781514496539</v>
      </c>
      <c r="F198" s="12">
        <f t="shared" si="22"/>
        <v>3.9923415792064001E-2</v>
      </c>
      <c r="G198" s="14">
        <f t="shared" si="23"/>
        <v>3286.6430654389587</v>
      </c>
      <c r="H198" s="12">
        <f t="shared" si="24"/>
        <v>7.6999999999999999E-2</v>
      </c>
      <c r="I198" s="14">
        <f t="shared" si="28"/>
        <v>189499.96405706671</v>
      </c>
      <c r="J198" s="14">
        <f t="shared" si="29"/>
        <v>773709.23080243543</v>
      </c>
      <c r="K198" s="14">
        <f t="shared" si="25"/>
        <v>510500.03594293346</v>
      </c>
      <c r="L198" s="14">
        <f t="shared" si="26"/>
        <v>963209.19485950214</v>
      </c>
    </row>
    <row r="199" spans="1:12" x14ac:dyDescent="0.3">
      <c r="A199">
        <v>194</v>
      </c>
      <c r="B199" s="13">
        <v>50740</v>
      </c>
      <c r="C199" s="14">
        <f t="shared" si="27"/>
        <v>510500.03594293346</v>
      </c>
      <c r="D199" s="14">
        <f t="shared" ref="D199:D262" si="30">$C$6/((($E$2)-1)/($E$1*$E$2))</f>
        <v>4990.7212168886126</v>
      </c>
      <c r="E199" s="14">
        <f t="shared" ref="E199:E262" si="31">D199-G199</f>
        <v>1715.0126529214563</v>
      </c>
      <c r="F199" s="12">
        <f t="shared" ref="F199:F262" si="32">(E199/C199)*12</f>
        <v>4.0313712803260286E-2</v>
      </c>
      <c r="G199" s="14">
        <f t="shared" ref="G199:G262" si="33">C199*($B$1/12)</f>
        <v>3275.7085639671564</v>
      </c>
      <c r="H199" s="12">
        <f t="shared" ref="H199:H262" si="34">(G199/C199)*12</f>
        <v>7.6999999999999999E-2</v>
      </c>
      <c r="I199" s="14">
        <f t="shared" si="28"/>
        <v>191214.97670998817</v>
      </c>
      <c r="J199" s="14">
        <f t="shared" si="29"/>
        <v>776984.93936640257</v>
      </c>
      <c r="K199" s="14">
        <f t="shared" ref="K199:K262" si="35">C199-E199</f>
        <v>508785.02329001203</v>
      </c>
      <c r="L199" s="14">
        <f t="shared" ref="L199:L262" si="36">I199+J199</f>
        <v>968199.91607639077</v>
      </c>
    </row>
    <row r="200" spans="1:12" x14ac:dyDescent="0.3">
      <c r="A200">
        <v>195</v>
      </c>
      <c r="B200" s="13">
        <v>50771</v>
      </c>
      <c r="C200" s="14">
        <f t="shared" ref="C200:C263" si="37">K199</f>
        <v>508785.02329001203</v>
      </c>
      <c r="D200" s="14">
        <f t="shared" si="30"/>
        <v>4990.7212168886126</v>
      </c>
      <c r="E200" s="14">
        <f t="shared" si="31"/>
        <v>1726.0173174443685</v>
      </c>
      <c r="F200" s="12">
        <f t="shared" si="32"/>
        <v>4.0709153888608622E-2</v>
      </c>
      <c r="G200" s="14">
        <f t="shared" si="33"/>
        <v>3264.7038994442441</v>
      </c>
      <c r="H200" s="12">
        <f t="shared" si="34"/>
        <v>7.6999999999999999E-2</v>
      </c>
      <c r="I200" s="14">
        <f t="shared" ref="I200:I263" si="38">I199+E200</f>
        <v>192940.99402743255</v>
      </c>
      <c r="J200" s="14">
        <f t="shared" ref="J200:J263" si="39">J199+G200</f>
        <v>780249.64326584677</v>
      </c>
      <c r="K200" s="14">
        <f t="shared" si="35"/>
        <v>507059.00597256765</v>
      </c>
      <c r="L200" s="14">
        <f t="shared" si="36"/>
        <v>973190.63729327929</v>
      </c>
    </row>
    <row r="201" spans="1:12" x14ac:dyDescent="0.3">
      <c r="A201">
        <v>196</v>
      </c>
      <c r="B201" s="13">
        <v>50802</v>
      </c>
      <c r="C201" s="14">
        <f t="shared" si="37"/>
        <v>507059.00597256765</v>
      </c>
      <c r="D201" s="14">
        <f t="shared" si="30"/>
        <v>4990.7212168886126</v>
      </c>
      <c r="E201" s="14">
        <f t="shared" si="31"/>
        <v>1737.0925952313032</v>
      </c>
      <c r="F201" s="12">
        <f t="shared" si="32"/>
        <v>4.1109833169797556E-2</v>
      </c>
      <c r="G201" s="14">
        <f t="shared" si="33"/>
        <v>3253.6286216573094</v>
      </c>
      <c r="H201" s="12">
        <f t="shared" si="34"/>
        <v>7.6999999999999999E-2</v>
      </c>
      <c r="I201" s="14">
        <f t="shared" si="38"/>
        <v>194678.08662266386</v>
      </c>
      <c r="J201" s="14">
        <f t="shared" si="39"/>
        <v>783503.27188750403</v>
      </c>
      <c r="K201" s="14">
        <f t="shared" si="35"/>
        <v>505321.91337733634</v>
      </c>
      <c r="L201" s="14">
        <f t="shared" si="36"/>
        <v>978181.35851016792</v>
      </c>
    </row>
    <row r="202" spans="1:12" x14ac:dyDescent="0.3">
      <c r="A202">
        <v>197</v>
      </c>
      <c r="B202" s="13">
        <v>50830</v>
      </c>
      <c r="C202" s="14">
        <f t="shared" si="37"/>
        <v>505321.91337733634</v>
      </c>
      <c r="D202" s="14">
        <f t="shared" si="30"/>
        <v>4990.7212168886126</v>
      </c>
      <c r="E202" s="14">
        <f t="shared" si="31"/>
        <v>1748.2389393840376</v>
      </c>
      <c r="F202" s="12">
        <f t="shared" si="32"/>
        <v>4.1515847061520589E-2</v>
      </c>
      <c r="G202" s="14">
        <f t="shared" si="33"/>
        <v>3242.482277504575</v>
      </c>
      <c r="H202" s="12">
        <f t="shared" si="34"/>
        <v>7.6999999999999999E-2</v>
      </c>
      <c r="I202" s="14">
        <f t="shared" si="38"/>
        <v>196426.32556204789</v>
      </c>
      <c r="J202" s="14">
        <f t="shared" si="39"/>
        <v>786745.75416500855</v>
      </c>
      <c r="K202" s="14">
        <f t="shared" si="35"/>
        <v>503573.67443795229</v>
      </c>
      <c r="L202" s="14">
        <f t="shared" si="36"/>
        <v>983172.07972705644</v>
      </c>
    </row>
    <row r="203" spans="1:12" x14ac:dyDescent="0.3">
      <c r="A203">
        <v>198</v>
      </c>
      <c r="B203" s="13">
        <v>50861</v>
      </c>
      <c r="C203" s="14">
        <f t="shared" si="37"/>
        <v>503573.67443795229</v>
      </c>
      <c r="D203" s="14">
        <f t="shared" si="30"/>
        <v>4990.7212168886126</v>
      </c>
      <c r="E203" s="14">
        <f t="shared" si="31"/>
        <v>1759.4568059117519</v>
      </c>
      <c r="F203" s="12">
        <f t="shared" si="32"/>
        <v>4.1927294341798475E-2</v>
      </c>
      <c r="G203" s="14">
        <f t="shared" si="33"/>
        <v>3231.2644109768607</v>
      </c>
      <c r="H203" s="12">
        <f t="shared" si="34"/>
        <v>7.6999999999999999E-2</v>
      </c>
      <c r="I203" s="14">
        <f t="shared" si="38"/>
        <v>198185.78236795965</v>
      </c>
      <c r="J203" s="14">
        <f t="shared" si="39"/>
        <v>789977.01857598545</v>
      </c>
      <c r="K203" s="14">
        <f t="shared" si="35"/>
        <v>501814.21763204056</v>
      </c>
      <c r="L203" s="14">
        <f t="shared" si="36"/>
        <v>988162.80094394507</v>
      </c>
    </row>
    <row r="204" spans="1:12" x14ac:dyDescent="0.3">
      <c r="A204">
        <v>199</v>
      </c>
      <c r="B204" s="13">
        <v>50891</v>
      </c>
      <c r="C204" s="14">
        <f t="shared" si="37"/>
        <v>501814.21763204056</v>
      </c>
      <c r="D204" s="14">
        <f t="shared" si="30"/>
        <v>4990.7212168886126</v>
      </c>
      <c r="E204" s="14">
        <f t="shared" si="31"/>
        <v>1770.7466537496857</v>
      </c>
      <c r="F204" s="12">
        <f t="shared" si="32"/>
        <v>4.2344276224906018E-2</v>
      </c>
      <c r="G204" s="14">
        <f t="shared" si="33"/>
        <v>3219.9745631389269</v>
      </c>
      <c r="H204" s="12">
        <f t="shared" si="34"/>
        <v>7.6999999999999999E-2</v>
      </c>
      <c r="I204" s="14">
        <f t="shared" si="38"/>
        <v>199956.52902170934</v>
      </c>
      <c r="J204" s="14">
        <f t="shared" si="39"/>
        <v>793196.99313912436</v>
      </c>
      <c r="K204" s="14">
        <f t="shared" si="35"/>
        <v>500043.47097829089</v>
      </c>
      <c r="L204" s="14">
        <f t="shared" si="36"/>
        <v>993153.5221608337</v>
      </c>
    </row>
    <row r="205" spans="1:12" x14ac:dyDescent="0.3">
      <c r="A205">
        <v>200</v>
      </c>
      <c r="B205" s="13">
        <v>50922</v>
      </c>
      <c r="C205" s="14">
        <f t="shared" si="37"/>
        <v>500043.47097829089</v>
      </c>
      <c r="D205" s="14">
        <f t="shared" si="30"/>
        <v>4990.7212168886126</v>
      </c>
      <c r="E205" s="14">
        <f t="shared" si="31"/>
        <v>1782.1089447779127</v>
      </c>
      <c r="F205" s="12">
        <f t="shared" si="32"/>
        <v>4.2766896437016741E-2</v>
      </c>
      <c r="G205" s="14">
        <f t="shared" si="33"/>
        <v>3208.6122721106999</v>
      </c>
      <c r="H205" s="12">
        <f t="shared" si="34"/>
        <v>7.6999999999999999E-2</v>
      </c>
      <c r="I205" s="14">
        <f t="shared" si="38"/>
        <v>201738.63796648727</v>
      </c>
      <c r="J205" s="14">
        <f t="shared" si="39"/>
        <v>796405.60541123501</v>
      </c>
      <c r="K205" s="14">
        <f t="shared" si="35"/>
        <v>498261.36203351297</v>
      </c>
      <c r="L205" s="14">
        <f t="shared" si="36"/>
        <v>998144.24337772233</v>
      </c>
    </row>
    <row r="206" spans="1:12" x14ac:dyDescent="0.3">
      <c r="A206">
        <v>201</v>
      </c>
      <c r="B206" s="13">
        <v>50952</v>
      </c>
      <c r="C206" s="14">
        <f t="shared" si="37"/>
        <v>498261.36203351297</v>
      </c>
      <c r="D206" s="14">
        <f t="shared" si="30"/>
        <v>4990.7212168886126</v>
      </c>
      <c r="E206" s="14">
        <f t="shared" si="31"/>
        <v>1793.5441438402377</v>
      </c>
      <c r="F206" s="12">
        <f t="shared" si="32"/>
        <v>4.3195261294684234E-2</v>
      </c>
      <c r="G206" s="14">
        <f t="shared" si="33"/>
        <v>3197.177073048375</v>
      </c>
      <c r="H206" s="12">
        <f t="shared" si="34"/>
        <v>7.6999999999999999E-2</v>
      </c>
      <c r="I206" s="14">
        <f t="shared" si="38"/>
        <v>203532.1821103275</v>
      </c>
      <c r="J206" s="14">
        <f t="shared" si="39"/>
        <v>799602.78248428344</v>
      </c>
      <c r="K206" s="14">
        <f t="shared" si="35"/>
        <v>496467.8178896727</v>
      </c>
      <c r="L206" s="14">
        <f t="shared" si="36"/>
        <v>1003134.964594611</v>
      </c>
    </row>
    <row r="207" spans="1:12" x14ac:dyDescent="0.3">
      <c r="A207">
        <v>202</v>
      </c>
      <c r="B207" s="13">
        <v>50983</v>
      </c>
      <c r="C207" s="14">
        <f t="shared" si="37"/>
        <v>496467.8178896727</v>
      </c>
      <c r="D207" s="14">
        <f t="shared" si="30"/>
        <v>4990.7212168886126</v>
      </c>
      <c r="E207" s="14">
        <f t="shared" si="31"/>
        <v>1805.0527187632129</v>
      </c>
      <c r="F207" s="12">
        <f t="shared" si="32"/>
        <v>4.3629479786285112E-2</v>
      </c>
      <c r="G207" s="14">
        <f t="shared" si="33"/>
        <v>3185.6684981253998</v>
      </c>
      <c r="H207" s="12">
        <f t="shared" si="34"/>
        <v>7.6999999999999999E-2</v>
      </c>
      <c r="I207" s="14">
        <f t="shared" si="38"/>
        <v>205337.23482909071</v>
      </c>
      <c r="J207" s="14">
        <f t="shared" si="39"/>
        <v>802788.45098240883</v>
      </c>
      <c r="K207" s="14">
        <f t="shared" si="35"/>
        <v>494662.76517090946</v>
      </c>
      <c r="L207" s="14">
        <f t="shared" si="36"/>
        <v>1008125.6858114996</v>
      </c>
    </row>
    <row r="208" spans="1:12" x14ac:dyDescent="0.3">
      <c r="A208">
        <v>203</v>
      </c>
      <c r="B208" s="13">
        <v>51014</v>
      </c>
      <c r="C208" s="14">
        <f t="shared" si="37"/>
        <v>494662.76517090946</v>
      </c>
      <c r="D208" s="14">
        <f t="shared" si="30"/>
        <v>4990.7212168886126</v>
      </c>
      <c r="E208" s="14">
        <f t="shared" si="31"/>
        <v>1816.6351403752769</v>
      </c>
      <c r="F208" s="12">
        <f t="shared" si="32"/>
        <v>4.4069663656554785E-2</v>
      </c>
      <c r="G208" s="14">
        <f t="shared" si="33"/>
        <v>3174.0860765133357</v>
      </c>
      <c r="H208" s="12">
        <f t="shared" si="34"/>
        <v>7.6999999999999999E-2</v>
      </c>
      <c r="I208" s="14">
        <f t="shared" si="38"/>
        <v>207153.86996946597</v>
      </c>
      <c r="J208" s="14">
        <f t="shared" si="39"/>
        <v>805962.53705892211</v>
      </c>
      <c r="K208" s="14">
        <f t="shared" si="35"/>
        <v>492846.13003053417</v>
      </c>
      <c r="L208" s="14">
        <f t="shared" si="36"/>
        <v>1013116.4070283881</v>
      </c>
    </row>
    <row r="209" spans="1:12" x14ac:dyDescent="0.3">
      <c r="A209">
        <v>204</v>
      </c>
      <c r="B209" s="13">
        <v>51044</v>
      </c>
      <c r="C209" s="14">
        <f t="shared" si="37"/>
        <v>492846.13003053417</v>
      </c>
      <c r="D209" s="14">
        <f t="shared" si="30"/>
        <v>4990.7212168886126</v>
      </c>
      <c r="E209" s="14">
        <f t="shared" si="31"/>
        <v>1828.2918825260181</v>
      </c>
      <c r="F209" s="12">
        <f t="shared" si="32"/>
        <v>4.4515927494353985E-2</v>
      </c>
      <c r="G209" s="14">
        <f t="shared" si="33"/>
        <v>3162.4293343625945</v>
      </c>
      <c r="H209" s="12">
        <f t="shared" si="34"/>
        <v>7.6999999999999999E-2</v>
      </c>
      <c r="I209" s="14">
        <f t="shared" si="38"/>
        <v>208982.16185199199</v>
      </c>
      <c r="J209" s="14">
        <f t="shared" si="39"/>
        <v>809124.96639328473</v>
      </c>
      <c r="K209" s="14">
        <f t="shared" si="35"/>
        <v>491017.83814800816</v>
      </c>
      <c r="L209" s="14">
        <f t="shared" si="36"/>
        <v>1018107.1282452767</v>
      </c>
    </row>
    <row r="210" spans="1:12" x14ac:dyDescent="0.3">
      <c r="A210">
        <v>205</v>
      </c>
      <c r="B210" s="13">
        <v>51075</v>
      </c>
      <c r="C210" s="14">
        <f t="shared" si="37"/>
        <v>491017.83814800816</v>
      </c>
      <c r="D210" s="14">
        <f t="shared" si="30"/>
        <v>4990.7212168886126</v>
      </c>
      <c r="E210" s="14">
        <f t="shared" si="31"/>
        <v>1840.0234221055603</v>
      </c>
      <c r="F210" s="12">
        <f t="shared" si="32"/>
        <v>4.496838882381099E-2</v>
      </c>
      <c r="G210" s="14">
        <f t="shared" si="33"/>
        <v>3150.6977947830524</v>
      </c>
      <c r="H210" s="12">
        <f t="shared" si="34"/>
        <v>7.6999999999999999E-2</v>
      </c>
      <c r="I210" s="14">
        <f t="shared" si="38"/>
        <v>210822.18527409754</v>
      </c>
      <c r="J210" s="14">
        <f t="shared" si="39"/>
        <v>812275.66418806778</v>
      </c>
      <c r="K210" s="14">
        <f t="shared" si="35"/>
        <v>489177.81472590257</v>
      </c>
      <c r="L210" s="14">
        <f t="shared" si="36"/>
        <v>1023097.8494621653</v>
      </c>
    </row>
    <row r="211" spans="1:12" x14ac:dyDescent="0.3">
      <c r="A211">
        <v>206</v>
      </c>
      <c r="B211" s="13">
        <v>51105</v>
      </c>
      <c r="C211" s="14">
        <f t="shared" si="37"/>
        <v>489177.81472590257</v>
      </c>
      <c r="D211" s="14">
        <f t="shared" si="30"/>
        <v>4990.7212168886126</v>
      </c>
      <c r="E211" s="14">
        <f t="shared" si="31"/>
        <v>1851.8302390640711</v>
      </c>
      <c r="F211" s="12">
        <f t="shared" si="32"/>
        <v>4.5427168198991855E-2</v>
      </c>
      <c r="G211" s="14">
        <f t="shared" si="33"/>
        <v>3138.8909778245416</v>
      </c>
      <c r="H211" s="12">
        <f t="shared" si="34"/>
        <v>7.6999999999999999E-2</v>
      </c>
      <c r="I211" s="14">
        <f t="shared" si="38"/>
        <v>212674.0155131616</v>
      </c>
      <c r="J211" s="14">
        <f t="shared" si="39"/>
        <v>815414.55516589235</v>
      </c>
      <c r="K211" s="14">
        <f t="shared" si="35"/>
        <v>487325.98448683851</v>
      </c>
      <c r="L211" s="14">
        <f t="shared" si="36"/>
        <v>1028088.5706790539</v>
      </c>
    </row>
    <row r="212" spans="1:12" x14ac:dyDescent="0.3">
      <c r="A212">
        <v>207</v>
      </c>
      <c r="B212" s="13">
        <v>51136</v>
      </c>
      <c r="C212" s="14">
        <f t="shared" si="37"/>
        <v>487325.98448683851</v>
      </c>
      <c r="D212" s="14">
        <f t="shared" si="30"/>
        <v>4990.7212168886126</v>
      </c>
      <c r="E212" s="14">
        <f t="shared" si="31"/>
        <v>1863.7128164313986</v>
      </c>
      <c r="F212" s="12">
        <f t="shared" si="32"/>
        <v>4.5892389302259327E-2</v>
      </c>
      <c r="G212" s="14">
        <f t="shared" si="33"/>
        <v>3127.0084004572141</v>
      </c>
      <c r="H212" s="12">
        <f t="shared" si="34"/>
        <v>7.6999999999999999E-2</v>
      </c>
      <c r="I212" s="14">
        <f t="shared" si="38"/>
        <v>214537.728329593</v>
      </c>
      <c r="J212" s="14">
        <f t="shared" si="39"/>
        <v>818541.56356634956</v>
      </c>
      <c r="K212" s="14">
        <f t="shared" si="35"/>
        <v>485462.27167040709</v>
      </c>
      <c r="L212" s="14">
        <f t="shared" si="36"/>
        <v>1033079.2918959425</v>
      </c>
    </row>
    <row r="213" spans="1:12" x14ac:dyDescent="0.3">
      <c r="A213">
        <v>208</v>
      </c>
      <c r="B213" s="13">
        <v>51167</v>
      </c>
      <c r="C213" s="14">
        <f t="shared" si="37"/>
        <v>485462.27167040709</v>
      </c>
      <c r="D213" s="14">
        <f t="shared" si="30"/>
        <v>4990.7212168886126</v>
      </c>
      <c r="E213" s="14">
        <f t="shared" si="31"/>
        <v>1875.6716403368337</v>
      </c>
      <c r="F213" s="12">
        <f t="shared" si="32"/>
        <v>4.6364179046488929E-2</v>
      </c>
      <c r="G213" s="14">
        <f t="shared" si="33"/>
        <v>3115.049576551779</v>
      </c>
      <c r="H213" s="12">
        <f t="shared" si="34"/>
        <v>7.6999999999999999E-2</v>
      </c>
      <c r="I213" s="14">
        <f t="shared" si="38"/>
        <v>216413.39996992983</v>
      </c>
      <c r="J213" s="14">
        <f t="shared" si="39"/>
        <v>821656.61314290133</v>
      </c>
      <c r="K213" s="14">
        <f t="shared" si="35"/>
        <v>483586.60003007029</v>
      </c>
      <c r="L213" s="14">
        <f t="shared" si="36"/>
        <v>1038070.0131128312</v>
      </c>
    </row>
    <row r="214" spans="1:12" x14ac:dyDescent="0.3">
      <c r="A214">
        <v>209</v>
      </c>
      <c r="B214" s="13">
        <v>51196</v>
      </c>
      <c r="C214" s="14">
        <f t="shared" si="37"/>
        <v>483586.60003007029</v>
      </c>
      <c r="D214" s="14">
        <f t="shared" si="30"/>
        <v>4990.7212168886126</v>
      </c>
      <c r="E214" s="14">
        <f t="shared" si="31"/>
        <v>1887.707200028995</v>
      </c>
      <c r="F214" s="12">
        <f t="shared" si="32"/>
        <v>4.6842667681319887E-2</v>
      </c>
      <c r="G214" s="14">
        <f t="shared" si="33"/>
        <v>3103.0140168596176</v>
      </c>
      <c r="H214" s="12">
        <f t="shared" si="34"/>
        <v>7.6999999999999999E-2</v>
      </c>
      <c r="I214" s="14">
        <f t="shared" si="38"/>
        <v>218301.10716995882</v>
      </c>
      <c r="J214" s="14">
        <f t="shared" si="39"/>
        <v>824759.62715976092</v>
      </c>
      <c r="K214" s="14">
        <f t="shared" si="35"/>
        <v>481698.8928300413</v>
      </c>
      <c r="L214" s="14">
        <f t="shared" si="36"/>
        <v>1043060.7343297198</v>
      </c>
    </row>
    <row r="215" spans="1:12" x14ac:dyDescent="0.3">
      <c r="A215">
        <v>210</v>
      </c>
      <c r="B215" s="13">
        <v>51227</v>
      </c>
      <c r="C215" s="14">
        <f t="shared" si="37"/>
        <v>481698.8928300413</v>
      </c>
      <c r="D215" s="14">
        <f t="shared" si="30"/>
        <v>4990.7212168886126</v>
      </c>
      <c r="E215" s="14">
        <f t="shared" si="31"/>
        <v>1899.8199878958476</v>
      </c>
      <c r="F215" s="12">
        <f t="shared" si="32"/>
        <v>4.7327988903628174E-2</v>
      </c>
      <c r="G215" s="14">
        <f t="shared" si="33"/>
        <v>3090.901228992765</v>
      </c>
      <c r="H215" s="12">
        <f t="shared" si="34"/>
        <v>7.6999999999999999E-2</v>
      </c>
      <c r="I215" s="14">
        <f t="shared" si="38"/>
        <v>220200.92715785466</v>
      </c>
      <c r="J215" s="14">
        <f t="shared" si="39"/>
        <v>827850.52838875365</v>
      </c>
      <c r="K215" s="14">
        <f t="shared" si="35"/>
        <v>479799.07284214546</v>
      </c>
      <c r="L215" s="14">
        <f t="shared" si="36"/>
        <v>1048051.4555466083</v>
      </c>
    </row>
    <row r="216" spans="1:12" x14ac:dyDescent="0.3">
      <c r="A216">
        <v>211</v>
      </c>
      <c r="B216" s="13">
        <v>51257</v>
      </c>
      <c r="C216" s="14">
        <f t="shared" si="37"/>
        <v>479799.07284214546</v>
      </c>
      <c r="D216" s="14">
        <f t="shared" si="30"/>
        <v>4990.7212168886126</v>
      </c>
      <c r="E216" s="14">
        <f t="shared" si="31"/>
        <v>1912.0104994848457</v>
      </c>
      <c r="F216" s="12">
        <f t="shared" si="32"/>
        <v>4.7820279972418361E-2</v>
      </c>
      <c r="G216" s="14">
        <f t="shared" si="33"/>
        <v>3078.7107174037669</v>
      </c>
      <c r="H216" s="12">
        <f t="shared" si="34"/>
        <v>7.6999999999999999E-2</v>
      </c>
      <c r="I216" s="14">
        <f t="shared" si="38"/>
        <v>222112.9376573395</v>
      </c>
      <c r="J216" s="14">
        <f t="shared" si="39"/>
        <v>830929.23910615745</v>
      </c>
      <c r="K216" s="14">
        <f t="shared" si="35"/>
        <v>477887.06234266062</v>
      </c>
      <c r="L216" s="14">
        <f t="shared" si="36"/>
        <v>1053042.1767634968</v>
      </c>
    </row>
    <row r="217" spans="1:12" x14ac:dyDescent="0.3">
      <c r="A217">
        <v>212</v>
      </c>
      <c r="B217" s="13">
        <v>51288</v>
      </c>
      <c r="C217" s="14">
        <f t="shared" si="37"/>
        <v>477887.06234266062</v>
      </c>
      <c r="D217" s="14">
        <f t="shared" si="30"/>
        <v>4990.7212168886126</v>
      </c>
      <c r="E217" s="14">
        <f t="shared" si="31"/>
        <v>1924.279233523207</v>
      </c>
      <c r="F217" s="12">
        <f t="shared" si="32"/>
        <v>4.8319681828342183E-2</v>
      </c>
      <c r="G217" s="14">
        <f t="shared" si="33"/>
        <v>3066.4419833654056</v>
      </c>
      <c r="H217" s="12">
        <f t="shared" si="34"/>
        <v>7.6999999999999999E-2</v>
      </c>
      <c r="I217" s="14">
        <f t="shared" si="38"/>
        <v>224037.21689086271</v>
      </c>
      <c r="J217" s="14">
        <f t="shared" si="39"/>
        <v>833995.6810895229</v>
      </c>
      <c r="K217" s="14">
        <f t="shared" si="35"/>
        <v>475962.78310913744</v>
      </c>
      <c r="L217" s="14">
        <f t="shared" si="36"/>
        <v>1058032.8979803857</v>
      </c>
    </row>
    <row r="218" spans="1:12" x14ac:dyDescent="0.3">
      <c r="A218">
        <v>213</v>
      </c>
      <c r="B218" s="13">
        <v>51318</v>
      </c>
      <c r="C218" s="14">
        <f t="shared" si="37"/>
        <v>475962.78310913744</v>
      </c>
      <c r="D218" s="14">
        <f t="shared" si="30"/>
        <v>4990.7212168886126</v>
      </c>
      <c r="E218" s="14">
        <f t="shared" si="31"/>
        <v>1936.6266919383138</v>
      </c>
      <c r="F218" s="12">
        <f t="shared" si="32"/>
        <v>4.8826339218062315E-2</v>
      </c>
      <c r="G218" s="14">
        <f t="shared" si="33"/>
        <v>3054.0945249502988</v>
      </c>
      <c r="H218" s="12">
        <f t="shared" si="34"/>
        <v>7.6999999999999999E-2</v>
      </c>
      <c r="I218" s="14">
        <f t="shared" si="38"/>
        <v>225973.84358280103</v>
      </c>
      <c r="J218" s="14">
        <f t="shared" si="39"/>
        <v>837049.77561447315</v>
      </c>
      <c r="K218" s="14">
        <f t="shared" si="35"/>
        <v>474026.15641719912</v>
      </c>
      <c r="L218" s="14">
        <f t="shared" si="36"/>
        <v>1063023.6191972741</v>
      </c>
    </row>
    <row r="219" spans="1:12" x14ac:dyDescent="0.3">
      <c r="A219">
        <v>214</v>
      </c>
      <c r="B219" s="13">
        <v>51349</v>
      </c>
      <c r="C219" s="14">
        <f t="shared" si="37"/>
        <v>474026.15641719912</v>
      </c>
      <c r="D219" s="14">
        <f t="shared" si="30"/>
        <v>4990.7212168886126</v>
      </c>
      <c r="E219" s="14">
        <f t="shared" si="31"/>
        <v>1949.0533798782517</v>
      </c>
      <c r="F219" s="12">
        <f t="shared" si="32"/>
        <v>4.9340400823692628E-2</v>
      </c>
      <c r="G219" s="14">
        <f t="shared" si="33"/>
        <v>3041.6678370103609</v>
      </c>
      <c r="H219" s="12">
        <f t="shared" si="34"/>
        <v>7.6999999999999999E-2</v>
      </c>
      <c r="I219" s="14">
        <f t="shared" si="38"/>
        <v>227922.89696267928</v>
      </c>
      <c r="J219" s="14">
        <f t="shared" si="39"/>
        <v>840091.4434514835</v>
      </c>
      <c r="K219" s="14">
        <f t="shared" si="35"/>
        <v>472077.10303732089</v>
      </c>
      <c r="L219" s="14">
        <f t="shared" si="36"/>
        <v>1068014.3404141627</v>
      </c>
    </row>
    <row r="220" spans="1:12" x14ac:dyDescent="0.3">
      <c r="A220">
        <v>215</v>
      </c>
      <c r="B220" s="13">
        <v>51380</v>
      </c>
      <c r="C220" s="14">
        <f t="shared" si="37"/>
        <v>472077.10303732089</v>
      </c>
      <c r="D220" s="14">
        <f t="shared" si="30"/>
        <v>4990.7212168886126</v>
      </c>
      <c r="E220" s="14">
        <f t="shared" si="31"/>
        <v>1961.5598057324701</v>
      </c>
      <c r="F220" s="12">
        <f t="shared" si="32"/>
        <v>4.9862019397557494E-2</v>
      </c>
      <c r="G220" s="14">
        <f t="shared" si="33"/>
        <v>3029.1614111561425</v>
      </c>
      <c r="H220" s="12">
        <f t="shared" si="34"/>
        <v>7.6999999999999999E-2</v>
      </c>
      <c r="I220" s="14">
        <f t="shared" si="38"/>
        <v>229884.45676841176</v>
      </c>
      <c r="J220" s="14">
        <f t="shared" si="39"/>
        <v>843120.60486263968</v>
      </c>
      <c r="K220" s="14">
        <f t="shared" si="35"/>
        <v>470115.54323158844</v>
      </c>
      <c r="L220" s="14">
        <f t="shared" si="36"/>
        <v>1073005.0616310514</v>
      </c>
    </row>
    <row r="221" spans="1:12" x14ac:dyDescent="0.3">
      <c r="A221">
        <v>216</v>
      </c>
      <c r="B221" s="13">
        <v>51410</v>
      </c>
      <c r="C221" s="14">
        <f t="shared" si="37"/>
        <v>470115.54323158844</v>
      </c>
      <c r="D221" s="14">
        <f t="shared" si="30"/>
        <v>4990.7212168886126</v>
      </c>
      <c r="E221" s="14">
        <f t="shared" si="31"/>
        <v>1974.1464811525866</v>
      </c>
      <c r="F221" s="12">
        <f t="shared" si="32"/>
        <v>5.0391351902527901E-2</v>
      </c>
      <c r="G221" s="14">
        <f t="shared" si="33"/>
        <v>3016.574735736026</v>
      </c>
      <c r="H221" s="12">
        <f t="shared" si="34"/>
        <v>7.6999999999999999E-2</v>
      </c>
      <c r="I221" s="14">
        <f t="shared" si="38"/>
        <v>231858.60324956436</v>
      </c>
      <c r="J221" s="14">
        <f t="shared" si="39"/>
        <v>846137.17959837569</v>
      </c>
      <c r="K221" s="14">
        <f t="shared" si="35"/>
        <v>468141.39675043587</v>
      </c>
      <c r="L221" s="14">
        <f t="shared" si="36"/>
        <v>1077995.78284794</v>
      </c>
    </row>
    <row r="222" spans="1:12" x14ac:dyDescent="0.3">
      <c r="A222">
        <v>217</v>
      </c>
      <c r="B222" s="13">
        <v>51441</v>
      </c>
      <c r="C222" s="14">
        <f t="shared" si="37"/>
        <v>468141.39675043587</v>
      </c>
      <c r="D222" s="14">
        <f t="shared" si="30"/>
        <v>4990.7212168886126</v>
      </c>
      <c r="E222" s="14">
        <f t="shared" si="31"/>
        <v>1986.8139210733157</v>
      </c>
      <c r="F222" s="12">
        <f t="shared" si="32"/>
        <v>5.0928559658204565E-2</v>
      </c>
      <c r="G222" s="14">
        <f t="shared" si="33"/>
        <v>3003.9072958152969</v>
      </c>
      <c r="H222" s="12">
        <f t="shared" si="34"/>
        <v>7.6999999999999999E-2</v>
      </c>
      <c r="I222" s="14">
        <f t="shared" si="38"/>
        <v>233845.41717063767</v>
      </c>
      <c r="J222" s="14">
        <f t="shared" si="39"/>
        <v>849141.08689419099</v>
      </c>
      <c r="K222" s="14">
        <f t="shared" si="35"/>
        <v>466154.58282936254</v>
      </c>
      <c r="L222" s="14">
        <f t="shared" si="36"/>
        <v>1082986.5040648286</v>
      </c>
    </row>
    <row r="223" spans="1:12" x14ac:dyDescent="0.3">
      <c r="A223">
        <v>218</v>
      </c>
      <c r="B223" s="13">
        <v>51471</v>
      </c>
      <c r="C223" s="14">
        <f t="shared" si="37"/>
        <v>466154.58282936254</v>
      </c>
      <c r="D223" s="14">
        <f t="shared" si="30"/>
        <v>4990.7212168886126</v>
      </c>
      <c r="E223" s="14">
        <f t="shared" si="31"/>
        <v>1999.5626437335363</v>
      </c>
      <c r="F223" s="12">
        <f t="shared" si="32"/>
        <v>5.1473808493234949E-2</v>
      </c>
      <c r="G223" s="14">
        <f t="shared" si="33"/>
        <v>2991.1585731550763</v>
      </c>
      <c r="H223" s="12">
        <f t="shared" si="34"/>
        <v>7.6999999999999999E-2</v>
      </c>
      <c r="I223" s="14">
        <f t="shared" si="38"/>
        <v>235844.97981437121</v>
      </c>
      <c r="J223" s="14">
        <f t="shared" si="39"/>
        <v>852132.24546734605</v>
      </c>
      <c r="K223" s="14">
        <f t="shared" si="35"/>
        <v>464155.02018562902</v>
      </c>
      <c r="L223" s="14">
        <f t="shared" si="36"/>
        <v>1087977.2252817173</v>
      </c>
    </row>
    <row r="224" spans="1:12" x14ac:dyDescent="0.3">
      <c r="A224">
        <v>219</v>
      </c>
      <c r="B224" s="13">
        <v>51502</v>
      </c>
      <c r="C224" s="14">
        <f t="shared" si="37"/>
        <v>464155.02018562902</v>
      </c>
      <c r="D224" s="14">
        <f t="shared" si="30"/>
        <v>4990.7212168886126</v>
      </c>
      <c r="E224" s="14">
        <f t="shared" si="31"/>
        <v>2012.3931706974931</v>
      </c>
      <c r="F224" s="12">
        <f t="shared" si="32"/>
        <v>5.2027268904066032E-2</v>
      </c>
      <c r="G224" s="14">
        <f t="shared" si="33"/>
        <v>2978.3280461911195</v>
      </c>
      <c r="H224" s="12">
        <f t="shared" si="34"/>
        <v>7.6999999999999999E-2</v>
      </c>
      <c r="I224" s="14">
        <f t="shared" si="38"/>
        <v>237857.37298506871</v>
      </c>
      <c r="J224" s="14">
        <f t="shared" si="39"/>
        <v>855110.57351353718</v>
      </c>
      <c r="K224" s="14">
        <f t="shared" si="35"/>
        <v>462142.62701493152</v>
      </c>
      <c r="L224" s="14">
        <f t="shared" si="36"/>
        <v>1092967.9464986059</v>
      </c>
    </row>
    <row r="225" spans="1:12" x14ac:dyDescent="0.3">
      <c r="A225">
        <v>220</v>
      </c>
      <c r="B225" s="13">
        <v>51533</v>
      </c>
      <c r="C225" s="14">
        <f t="shared" si="37"/>
        <v>462142.62701493152</v>
      </c>
      <c r="D225" s="14">
        <f t="shared" si="30"/>
        <v>4990.7212168886126</v>
      </c>
      <c r="E225" s="14">
        <f t="shared" si="31"/>
        <v>2025.3060268761351</v>
      </c>
      <c r="F225" s="12">
        <f t="shared" si="32"/>
        <v>5.2589116220452842E-2</v>
      </c>
      <c r="G225" s="14">
        <f t="shared" si="33"/>
        <v>2965.4151900124775</v>
      </c>
      <c r="H225" s="12">
        <f t="shared" si="34"/>
        <v>7.6999999999999999E-2</v>
      </c>
      <c r="I225" s="14">
        <f t="shared" si="38"/>
        <v>239882.67901194486</v>
      </c>
      <c r="J225" s="14">
        <f t="shared" si="39"/>
        <v>858075.98870354961</v>
      </c>
      <c r="K225" s="14">
        <f t="shared" si="35"/>
        <v>460117.32098805538</v>
      </c>
      <c r="L225" s="14">
        <f t="shared" si="36"/>
        <v>1097958.6677154945</v>
      </c>
    </row>
    <row r="226" spans="1:12" x14ac:dyDescent="0.3">
      <c r="A226">
        <v>221</v>
      </c>
      <c r="B226" s="13">
        <v>51561</v>
      </c>
      <c r="C226" s="14">
        <f t="shared" si="37"/>
        <v>460117.32098805538</v>
      </c>
      <c r="D226" s="14">
        <f t="shared" si="30"/>
        <v>4990.7212168886126</v>
      </c>
      <c r="E226" s="14">
        <f t="shared" si="31"/>
        <v>2038.3017405485907</v>
      </c>
      <c r="F226" s="12">
        <f t="shared" si="32"/>
        <v>5.3159530778060099E-2</v>
      </c>
      <c r="G226" s="14">
        <f t="shared" si="33"/>
        <v>2952.4194763400219</v>
      </c>
      <c r="H226" s="12">
        <f t="shared" si="34"/>
        <v>7.6999999999999999E-2</v>
      </c>
      <c r="I226" s="14">
        <f t="shared" si="38"/>
        <v>241920.98075249346</v>
      </c>
      <c r="J226" s="14">
        <f t="shared" si="39"/>
        <v>861028.40817988967</v>
      </c>
      <c r="K226" s="14">
        <f t="shared" si="35"/>
        <v>458079.0192475068</v>
      </c>
      <c r="L226" s="14">
        <f t="shared" si="36"/>
        <v>1102949.3889323832</v>
      </c>
    </row>
    <row r="227" spans="1:12" x14ac:dyDescent="0.3">
      <c r="A227">
        <v>222</v>
      </c>
      <c r="B227" s="13">
        <v>51592</v>
      </c>
      <c r="C227" s="14">
        <f t="shared" si="37"/>
        <v>458079.0192475068</v>
      </c>
      <c r="D227" s="14">
        <f t="shared" si="30"/>
        <v>4990.7212168886126</v>
      </c>
      <c r="E227" s="14">
        <f t="shared" si="31"/>
        <v>2051.3808433837771</v>
      </c>
      <c r="F227" s="12">
        <f t="shared" si="32"/>
        <v>5.3738698098514379E-2</v>
      </c>
      <c r="G227" s="14">
        <f t="shared" si="33"/>
        <v>2939.3403735048355</v>
      </c>
      <c r="H227" s="12">
        <f t="shared" si="34"/>
        <v>7.6999999999999999E-2</v>
      </c>
      <c r="I227" s="14">
        <f t="shared" si="38"/>
        <v>243972.36159587724</v>
      </c>
      <c r="J227" s="14">
        <f t="shared" si="39"/>
        <v>863967.74855339446</v>
      </c>
      <c r="K227" s="14">
        <f t="shared" si="35"/>
        <v>456027.63840412302</v>
      </c>
      <c r="L227" s="14">
        <f t="shared" si="36"/>
        <v>1107940.1101492718</v>
      </c>
    </row>
    <row r="228" spans="1:12" x14ac:dyDescent="0.3">
      <c r="A228">
        <v>223</v>
      </c>
      <c r="B228" s="13">
        <v>51622</v>
      </c>
      <c r="C228" s="14">
        <f t="shared" si="37"/>
        <v>456027.63840412302</v>
      </c>
      <c r="D228" s="14">
        <f t="shared" si="30"/>
        <v>4990.7212168886126</v>
      </c>
      <c r="E228" s="14">
        <f t="shared" si="31"/>
        <v>2064.5438704621565</v>
      </c>
      <c r="F228" s="12">
        <f t="shared" si="32"/>
        <v>5.4326809077284842E-2</v>
      </c>
      <c r="G228" s="14">
        <f t="shared" si="33"/>
        <v>2926.1773464264561</v>
      </c>
      <c r="H228" s="12">
        <f t="shared" si="34"/>
        <v>7.6999999999999999E-2</v>
      </c>
      <c r="I228" s="14">
        <f t="shared" si="38"/>
        <v>246036.90546633941</v>
      </c>
      <c r="J228" s="14">
        <f t="shared" si="39"/>
        <v>866893.92589982087</v>
      </c>
      <c r="K228" s="14">
        <f t="shared" si="35"/>
        <v>453963.09453366086</v>
      </c>
      <c r="L228" s="14">
        <f t="shared" si="36"/>
        <v>1112930.8313661602</v>
      </c>
    </row>
    <row r="229" spans="1:12" x14ac:dyDescent="0.3">
      <c r="A229">
        <v>224</v>
      </c>
      <c r="B229" s="13">
        <v>51653</v>
      </c>
      <c r="C229" s="14">
        <f t="shared" si="37"/>
        <v>453963.09453366086</v>
      </c>
      <c r="D229" s="14">
        <f t="shared" si="30"/>
        <v>4990.7212168886126</v>
      </c>
      <c r="E229" s="14">
        <f t="shared" si="31"/>
        <v>2077.7913602976218</v>
      </c>
      <c r="F229" s="12">
        <f t="shared" si="32"/>
        <v>5.492406017979215E-2</v>
      </c>
      <c r="G229" s="14">
        <f t="shared" si="33"/>
        <v>2912.9298565909908</v>
      </c>
      <c r="H229" s="12">
        <f t="shared" si="34"/>
        <v>7.6999999999999999E-2</v>
      </c>
      <c r="I229" s="14">
        <f t="shared" si="38"/>
        <v>248114.69682663702</v>
      </c>
      <c r="J229" s="14">
        <f t="shared" si="39"/>
        <v>869806.85575641191</v>
      </c>
      <c r="K229" s="14">
        <f t="shared" si="35"/>
        <v>451885.30317336321</v>
      </c>
      <c r="L229" s="14">
        <f t="shared" si="36"/>
        <v>1117921.5525830491</v>
      </c>
    </row>
    <row r="230" spans="1:12" x14ac:dyDescent="0.3">
      <c r="A230">
        <v>225</v>
      </c>
      <c r="B230" s="13">
        <v>51683</v>
      </c>
      <c r="C230" s="14">
        <f t="shared" si="37"/>
        <v>451885.30317336321</v>
      </c>
      <c r="D230" s="14">
        <f t="shared" si="30"/>
        <v>4990.7212168886126</v>
      </c>
      <c r="E230" s="14">
        <f t="shared" si="31"/>
        <v>2091.123854859532</v>
      </c>
      <c r="F230" s="12">
        <f t="shared" si="32"/>
        <v>5.5530653646169617E-2</v>
      </c>
      <c r="G230" s="14">
        <f t="shared" si="33"/>
        <v>2899.5973620290806</v>
      </c>
      <c r="H230" s="12">
        <f t="shared" si="34"/>
        <v>7.6999999999999999E-2</v>
      </c>
      <c r="I230" s="14">
        <f t="shared" si="38"/>
        <v>250205.82068149655</v>
      </c>
      <c r="J230" s="14">
        <f t="shared" si="39"/>
        <v>872706.45311844104</v>
      </c>
      <c r="K230" s="14">
        <f t="shared" si="35"/>
        <v>449794.17931850365</v>
      </c>
      <c r="L230" s="14">
        <f t="shared" si="36"/>
        <v>1122912.2737999377</v>
      </c>
    </row>
    <row r="231" spans="1:12" x14ac:dyDescent="0.3">
      <c r="A231">
        <v>226</v>
      </c>
      <c r="B231" s="13">
        <v>51714</v>
      </c>
      <c r="C231" s="14">
        <f t="shared" si="37"/>
        <v>449794.17931850365</v>
      </c>
      <c r="D231" s="14">
        <f t="shared" si="30"/>
        <v>4990.7212168886126</v>
      </c>
      <c r="E231" s="14">
        <f t="shared" si="31"/>
        <v>2104.5418995948808</v>
      </c>
      <c r="F231" s="12">
        <f t="shared" si="32"/>
        <v>5.614679770512461E-2</v>
      </c>
      <c r="G231" s="14">
        <f t="shared" si="33"/>
        <v>2886.1793172937319</v>
      </c>
      <c r="H231" s="12">
        <f t="shared" si="34"/>
        <v>7.6999999999999999E-2</v>
      </c>
      <c r="I231" s="14">
        <f t="shared" si="38"/>
        <v>252310.36258109144</v>
      </c>
      <c r="J231" s="14">
        <f t="shared" si="39"/>
        <v>875592.63243573473</v>
      </c>
      <c r="K231" s="14">
        <f t="shared" si="35"/>
        <v>447689.63741890877</v>
      </c>
      <c r="L231" s="14">
        <f t="shared" si="36"/>
        <v>1127902.9950168261</v>
      </c>
    </row>
    <row r="232" spans="1:12" x14ac:dyDescent="0.3">
      <c r="A232">
        <v>227</v>
      </c>
      <c r="B232" s="13">
        <v>51745</v>
      </c>
      <c r="C232" s="14">
        <f t="shared" si="37"/>
        <v>447689.63741890877</v>
      </c>
      <c r="D232" s="14">
        <f t="shared" si="30"/>
        <v>4990.7212168886126</v>
      </c>
      <c r="E232" s="14">
        <f t="shared" si="31"/>
        <v>2118.0460434506144</v>
      </c>
      <c r="F232" s="12">
        <f t="shared" si="32"/>
        <v>5.6772706797376213E-2</v>
      </c>
      <c r="G232" s="14">
        <f t="shared" si="33"/>
        <v>2872.6751734379982</v>
      </c>
      <c r="H232" s="12">
        <f t="shared" si="34"/>
        <v>7.6999999999999999E-2</v>
      </c>
      <c r="I232" s="14">
        <f t="shared" si="38"/>
        <v>254428.40862454206</v>
      </c>
      <c r="J232" s="14">
        <f t="shared" si="39"/>
        <v>878465.30760917277</v>
      </c>
      <c r="K232" s="14">
        <f t="shared" si="35"/>
        <v>445571.59137545817</v>
      </c>
      <c r="L232" s="14">
        <f t="shared" si="36"/>
        <v>1132893.7162337149</v>
      </c>
    </row>
    <row r="233" spans="1:12" x14ac:dyDescent="0.3">
      <c r="A233">
        <v>228</v>
      </c>
      <c r="B233" s="13">
        <v>51775</v>
      </c>
      <c r="C233" s="14">
        <f t="shared" si="37"/>
        <v>445571.59137545817</v>
      </c>
      <c r="D233" s="14">
        <f t="shared" si="30"/>
        <v>4990.7212168886126</v>
      </c>
      <c r="E233" s="14">
        <f t="shared" si="31"/>
        <v>2131.6368388960891</v>
      </c>
      <c r="F233" s="12">
        <f t="shared" si="32"/>
        <v>5.7408601809172663E-2</v>
      </c>
      <c r="G233" s="14">
        <f t="shared" si="33"/>
        <v>2859.0843779925235</v>
      </c>
      <c r="H233" s="12">
        <f t="shared" si="34"/>
        <v>7.6999999999999999E-2</v>
      </c>
      <c r="I233" s="14">
        <f t="shared" si="38"/>
        <v>256560.04546343815</v>
      </c>
      <c r="J233" s="14">
        <f t="shared" si="39"/>
        <v>881324.39198716532</v>
      </c>
      <c r="K233" s="14">
        <f t="shared" si="35"/>
        <v>443439.95453656209</v>
      </c>
      <c r="L233" s="14">
        <f t="shared" si="36"/>
        <v>1137884.4374506036</v>
      </c>
    </row>
    <row r="234" spans="1:12" x14ac:dyDescent="0.3">
      <c r="A234">
        <v>229</v>
      </c>
      <c r="B234" s="13">
        <v>51806</v>
      </c>
      <c r="C234" s="14">
        <f t="shared" si="37"/>
        <v>443439.95453656209</v>
      </c>
      <c r="D234" s="14">
        <f t="shared" si="30"/>
        <v>4990.7212168886126</v>
      </c>
      <c r="E234" s="14">
        <f t="shared" si="31"/>
        <v>2145.3148419456725</v>
      </c>
      <c r="F234" s="12">
        <f t="shared" si="32"/>
        <v>5.8054710316423397E-2</v>
      </c>
      <c r="G234" s="14">
        <f t="shared" si="33"/>
        <v>2845.4063749429401</v>
      </c>
      <c r="H234" s="12">
        <f t="shared" si="34"/>
        <v>7.6999999999999999E-2</v>
      </c>
      <c r="I234" s="14">
        <f t="shared" si="38"/>
        <v>258705.36030538383</v>
      </c>
      <c r="J234" s="14">
        <f t="shared" si="39"/>
        <v>884169.7983621083</v>
      </c>
      <c r="K234" s="14">
        <f t="shared" si="35"/>
        <v>441294.63969461643</v>
      </c>
      <c r="L234" s="14">
        <f t="shared" si="36"/>
        <v>1142875.1586674922</v>
      </c>
    </row>
    <row r="235" spans="1:12" x14ac:dyDescent="0.3">
      <c r="A235">
        <v>230</v>
      </c>
      <c r="B235" s="13">
        <v>51836</v>
      </c>
      <c r="C235" s="14">
        <f t="shared" si="37"/>
        <v>441294.63969461643</v>
      </c>
      <c r="D235" s="14">
        <f t="shared" si="30"/>
        <v>4990.7212168886126</v>
      </c>
      <c r="E235" s="14">
        <f t="shared" si="31"/>
        <v>2159.0806121814903</v>
      </c>
      <c r="F235" s="12">
        <f t="shared" si="32"/>
        <v>5.8711266840012696E-2</v>
      </c>
      <c r="G235" s="14">
        <f t="shared" si="33"/>
        <v>2831.6406047071223</v>
      </c>
      <c r="H235" s="12">
        <f t="shared" si="34"/>
        <v>7.6999999999999999E-2</v>
      </c>
      <c r="I235" s="14">
        <f t="shared" si="38"/>
        <v>260864.44091756531</v>
      </c>
      <c r="J235" s="14">
        <f t="shared" si="39"/>
        <v>887001.43896681548</v>
      </c>
      <c r="K235" s="14">
        <f t="shared" si="35"/>
        <v>439135.55908243492</v>
      </c>
      <c r="L235" s="14">
        <f t="shared" si="36"/>
        <v>1147865.8798843808</v>
      </c>
    </row>
    <row r="236" spans="1:12" x14ac:dyDescent="0.3">
      <c r="A236">
        <v>231</v>
      </c>
      <c r="B236" s="13">
        <v>51867</v>
      </c>
      <c r="C236" s="14">
        <f t="shared" si="37"/>
        <v>439135.55908243492</v>
      </c>
      <c r="D236" s="14">
        <f t="shared" si="30"/>
        <v>4990.7212168886126</v>
      </c>
      <c r="E236" s="14">
        <f t="shared" si="31"/>
        <v>2172.9347127763217</v>
      </c>
      <c r="F236" s="12">
        <f t="shared" si="32"/>
        <v>5.9378513112897324E-2</v>
      </c>
      <c r="G236" s="14">
        <f t="shared" si="33"/>
        <v>2817.7865041122909</v>
      </c>
      <c r="H236" s="12">
        <f t="shared" si="34"/>
        <v>7.6999999999999999E-2</v>
      </c>
      <c r="I236" s="14">
        <f t="shared" si="38"/>
        <v>263037.37563034164</v>
      </c>
      <c r="J236" s="14">
        <f t="shared" si="39"/>
        <v>889819.22547092778</v>
      </c>
      <c r="K236" s="14">
        <f t="shared" si="35"/>
        <v>436962.62436965859</v>
      </c>
      <c r="L236" s="14">
        <f t="shared" si="36"/>
        <v>1152856.6011012695</v>
      </c>
    </row>
    <row r="237" spans="1:12" x14ac:dyDescent="0.3">
      <c r="A237">
        <v>232</v>
      </c>
      <c r="B237" s="13">
        <v>51898</v>
      </c>
      <c r="C237" s="14">
        <f t="shared" si="37"/>
        <v>436962.62436965859</v>
      </c>
      <c r="D237" s="14">
        <f t="shared" si="30"/>
        <v>4990.7212168886126</v>
      </c>
      <c r="E237" s="14">
        <f t="shared" si="31"/>
        <v>2186.8777105166364</v>
      </c>
      <c r="F237" s="12">
        <f t="shared" si="32"/>
        <v>6.0056698359627118E-2</v>
      </c>
      <c r="G237" s="14">
        <f t="shared" si="33"/>
        <v>2803.8435063719762</v>
      </c>
      <c r="H237" s="12">
        <f t="shared" si="34"/>
        <v>7.6999999999999999E-2</v>
      </c>
      <c r="I237" s="14">
        <f t="shared" si="38"/>
        <v>265224.25334085827</v>
      </c>
      <c r="J237" s="14">
        <f t="shared" si="39"/>
        <v>892623.06897729973</v>
      </c>
      <c r="K237" s="14">
        <f t="shared" si="35"/>
        <v>434775.74665914197</v>
      </c>
      <c r="L237" s="14">
        <f t="shared" si="36"/>
        <v>1157847.3223181581</v>
      </c>
    </row>
    <row r="238" spans="1:12" x14ac:dyDescent="0.3">
      <c r="A238">
        <v>233</v>
      </c>
      <c r="B238" s="13">
        <v>51926</v>
      </c>
      <c r="C238" s="14">
        <f t="shared" si="37"/>
        <v>434775.74665914197</v>
      </c>
      <c r="D238" s="14">
        <f t="shared" si="30"/>
        <v>4990.7212168886126</v>
      </c>
      <c r="E238" s="14">
        <f t="shared" si="31"/>
        <v>2200.9101758257848</v>
      </c>
      <c r="F238" s="12">
        <f t="shared" si="32"/>
        <v>6.0746079588968438E-2</v>
      </c>
      <c r="G238" s="14">
        <f t="shared" si="33"/>
        <v>2789.8110410628278</v>
      </c>
      <c r="H238" s="12">
        <f t="shared" si="34"/>
        <v>7.6999999999999999E-2</v>
      </c>
      <c r="I238" s="14">
        <f t="shared" si="38"/>
        <v>267425.16351668403</v>
      </c>
      <c r="J238" s="14">
        <f t="shared" si="39"/>
        <v>895412.88001836254</v>
      </c>
      <c r="K238" s="14">
        <f t="shared" si="35"/>
        <v>432574.8364833162</v>
      </c>
      <c r="L238" s="14">
        <f t="shared" si="36"/>
        <v>1162838.0435350465</v>
      </c>
    </row>
    <row r="239" spans="1:12" x14ac:dyDescent="0.3">
      <c r="A239">
        <v>234</v>
      </c>
      <c r="B239" s="13">
        <v>51957</v>
      </c>
      <c r="C239" s="14">
        <f t="shared" si="37"/>
        <v>432574.8364833162</v>
      </c>
      <c r="D239" s="14">
        <f t="shared" si="30"/>
        <v>4990.7212168886126</v>
      </c>
      <c r="E239" s="14">
        <f t="shared" si="31"/>
        <v>2215.0326827873337</v>
      </c>
      <c r="F239" s="12">
        <f t="shared" si="32"/>
        <v>6.1446921900352322E-2</v>
      </c>
      <c r="G239" s="14">
        <f t="shared" si="33"/>
        <v>2775.6885341012789</v>
      </c>
      <c r="H239" s="12">
        <f t="shared" si="34"/>
        <v>7.6999999999999999E-2</v>
      </c>
      <c r="I239" s="14">
        <f t="shared" si="38"/>
        <v>269640.19619947136</v>
      </c>
      <c r="J239" s="14">
        <f t="shared" si="39"/>
        <v>898188.56855246378</v>
      </c>
      <c r="K239" s="14">
        <f t="shared" si="35"/>
        <v>430359.80380052887</v>
      </c>
      <c r="L239" s="14">
        <f t="shared" si="36"/>
        <v>1167828.7647519351</v>
      </c>
    </row>
    <row r="240" spans="1:12" x14ac:dyDescent="0.3">
      <c r="A240">
        <v>235</v>
      </c>
      <c r="B240" s="13">
        <v>51987</v>
      </c>
      <c r="C240" s="14">
        <f t="shared" si="37"/>
        <v>430359.80380052887</v>
      </c>
      <c r="D240" s="14">
        <f t="shared" si="30"/>
        <v>4990.7212168886126</v>
      </c>
      <c r="E240" s="14">
        <f t="shared" si="31"/>
        <v>2229.2458091685521</v>
      </c>
      <c r="F240" s="12">
        <f t="shared" si="32"/>
        <v>6.2159498804915461E-2</v>
      </c>
      <c r="G240" s="14">
        <f t="shared" si="33"/>
        <v>2761.4754077200605</v>
      </c>
      <c r="H240" s="12">
        <f t="shared" si="34"/>
        <v>7.6999999999999999E-2</v>
      </c>
      <c r="I240" s="14">
        <f t="shared" si="38"/>
        <v>271869.44200863992</v>
      </c>
      <c r="J240" s="14">
        <f t="shared" si="39"/>
        <v>900950.04396018386</v>
      </c>
      <c r="K240" s="14">
        <f t="shared" si="35"/>
        <v>428130.55799136031</v>
      </c>
      <c r="L240" s="14">
        <f t="shared" si="36"/>
        <v>1172819.4859688238</v>
      </c>
    </row>
    <row r="241" spans="1:12" x14ac:dyDescent="0.3">
      <c r="A241">
        <v>236</v>
      </c>
      <c r="B241" s="13">
        <v>52018</v>
      </c>
      <c r="C241" s="14">
        <f t="shared" si="37"/>
        <v>428130.55799136031</v>
      </c>
      <c r="D241" s="14">
        <f t="shared" si="30"/>
        <v>4990.7212168886126</v>
      </c>
      <c r="E241" s="14">
        <f t="shared" si="31"/>
        <v>2243.5501364440506</v>
      </c>
      <c r="F241" s="12">
        <f t="shared" si="32"/>
        <v>6.2884092561951405E-2</v>
      </c>
      <c r="G241" s="14">
        <f t="shared" si="33"/>
        <v>2747.171080444562</v>
      </c>
      <c r="H241" s="12">
        <f t="shared" si="34"/>
        <v>7.6999999999999999E-2</v>
      </c>
      <c r="I241" s="14">
        <f t="shared" si="38"/>
        <v>274112.99214508396</v>
      </c>
      <c r="J241" s="14">
        <f t="shared" si="39"/>
        <v>903697.21504062845</v>
      </c>
      <c r="K241" s="14">
        <f t="shared" si="35"/>
        <v>425887.00785491627</v>
      </c>
      <c r="L241" s="14">
        <f t="shared" si="36"/>
        <v>1177810.2071857124</v>
      </c>
    </row>
    <row r="242" spans="1:12" x14ac:dyDescent="0.3">
      <c r="A242">
        <v>237</v>
      </c>
      <c r="B242" s="13">
        <v>52048</v>
      </c>
      <c r="C242" s="14">
        <f t="shared" si="37"/>
        <v>425887.00785491627</v>
      </c>
      <c r="D242" s="14">
        <f t="shared" si="30"/>
        <v>4990.7212168886126</v>
      </c>
      <c r="E242" s="14">
        <f t="shared" si="31"/>
        <v>2257.9462498195667</v>
      </c>
      <c r="F242" s="12">
        <f t="shared" si="32"/>
        <v>6.3620994531641523E-2</v>
      </c>
      <c r="G242" s="14">
        <f t="shared" si="33"/>
        <v>2732.7749670690459</v>
      </c>
      <c r="H242" s="12">
        <f t="shared" si="34"/>
        <v>7.6999999999999985E-2</v>
      </c>
      <c r="I242" s="14">
        <f t="shared" si="38"/>
        <v>276370.93839490355</v>
      </c>
      <c r="J242" s="14">
        <f t="shared" si="39"/>
        <v>906429.99000769749</v>
      </c>
      <c r="K242" s="14">
        <f t="shared" si="35"/>
        <v>423629.06160509668</v>
      </c>
      <c r="L242" s="14">
        <f t="shared" si="36"/>
        <v>1182800.928402601</v>
      </c>
    </row>
    <row r="243" spans="1:12" x14ac:dyDescent="0.3">
      <c r="A243">
        <v>238</v>
      </c>
      <c r="B243" s="13">
        <v>52079</v>
      </c>
      <c r="C243" s="14">
        <f t="shared" si="37"/>
        <v>423629.06160509668</v>
      </c>
      <c r="D243" s="14">
        <f t="shared" si="30"/>
        <v>4990.7212168886126</v>
      </c>
      <c r="E243" s="14">
        <f t="shared" si="31"/>
        <v>2272.434738255909</v>
      </c>
      <c r="F243" s="12">
        <f t="shared" si="32"/>
        <v>6.4370505544992643E-2</v>
      </c>
      <c r="G243" s="14">
        <f t="shared" si="33"/>
        <v>2718.2864786327036</v>
      </c>
      <c r="H243" s="12">
        <f t="shared" si="34"/>
        <v>7.6999999999999999E-2</v>
      </c>
      <c r="I243" s="14">
        <f t="shared" si="38"/>
        <v>278643.37313315948</v>
      </c>
      <c r="J243" s="14">
        <f t="shared" si="39"/>
        <v>909148.2764863302</v>
      </c>
      <c r="K243" s="14">
        <f t="shared" si="35"/>
        <v>421356.62686684076</v>
      </c>
      <c r="L243" s="14">
        <f t="shared" si="36"/>
        <v>1187791.6496194897</v>
      </c>
    </row>
    <row r="244" spans="1:12" x14ac:dyDescent="0.3">
      <c r="A244">
        <v>239</v>
      </c>
      <c r="B244" s="13">
        <v>52110</v>
      </c>
      <c r="C244" s="14">
        <f t="shared" si="37"/>
        <v>421356.62686684076</v>
      </c>
      <c r="D244" s="14">
        <f t="shared" si="30"/>
        <v>4990.7212168886126</v>
      </c>
      <c r="E244" s="14">
        <f t="shared" si="31"/>
        <v>2287.016194493051</v>
      </c>
      <c r="F244" s="12">
        <f t="shared" si="32"/>
        <v>6.5132936291968327E-2</v>
      </c>
      <c r="G244" s="14">
        <f t="shared" si="33"/>
        <v>2703.7050223955616</v>
      </c>
      <c r="H244" s="12">
        <f t="shared" si="34"/>
        <v>7.6999999999999999E-2</v>
      </c>
      <c r="I244" s="14">
        <f t="shared" si="38"/>
        <v>280930.38932765252</v>
      </c>
      <c r="J244" s="14">
        <f t="shared" si="39"/>
        <v>911851.98150872579</v>
      </c>
      <c r="K244" s="14">
        <f t="shared" si="35"/>
        <v>419069.61067234771</v>
      </c>
      <c r="L244" s="14">
        <f t="shared" si="36"/>
        <v>1192782.3708363783</v>
      </c>
    </row>
    <row r="245" spans="1:12" x14ac:dyDescent="0.3">
      <c r="A245">
        <v>240</v>
      </c>
      <c r="B245" s="13">
        <v>52140</v>
      </c>
      <c r="C245" s="14">
        <f t="shared" si="37"/>
        <v>419069.61067234771</v>
      </c>
      <c r="D245" s="14">
        <f t="shared" si="30"/>
        <v>4990.7212168886126</v>
      </c>
      <c r="E245" s="14">
        <f t="shared" si="31"/>
        <v>2301.6912150743815</v>
      </c>
      <c r="F245" s="12">
        <f t="shared" si="32"/>
        <v>6.5908607728866517E-2</v>
      </c>
      <c r="G245" s="14">
        <f t="shared" si="33"/>
        <v>2689.0300018142311</v>
      </c>
      <c r="H245" s="12">
        <f t="shared" si="34"/>
        <v>7.6999999999999999E-2</v>
      </c>
      <c r="I245" s="14">
        <f t="shared" si="38"/>
        <v>283232.08054272691</v>
      </c>
      <c r="J245" s="14">
        <f t="shared" si="39"/>
        <v>914541.01151054003</v>
      </c>
      <c r="K245" s="14">
        <f t="shared" si="35"/>
        <v>416767.91945727332</v>
      </c>
      <c r="L245" s="14">
        <f t="shared" si="36"/>
        <v>1197773.0920532669</v>
      </c>
    </row>
    <row r="246" spans="1:12" x14ac:dyDescent="0.3">
      <c r="A246">
        <v>241</v>
      </c>
      <c r="B246" s="13">
        <v>52171</v>
      </c>
      <c r="C246" s="14">
        <f t="shared" si="37"/>
        <v>416767.91945727332</v>
      </c>
      <c r="D246" s="14">
        <f t="shared" si="30"/>
        <v>4990.7212168886126</v>
      </c>
      <c r="E246" s="14">
        <f t="shared" si="31"/>
        <v>2316.4604003711088</v>
      </c>
      <c r="F246" s="12">
        <f t="shared" si="32"/>
        <v>6.6697851506066025E-2</v>
      </c>
      <c r="G246" s="14">
        <f t="shared" si="33"/>
        <v>2674.2608165175038</v>
      </c>
      <c r="H246" s="12">
        <f t="shared" si="34"/>
        <v>7.6999999999999999E-2</v>
      </c>
      <c r="I246" s="14">
        <f t="shared" si="38"/>
        <v>285548.54094309802</v>
      </c>
      <c r="J246" s="14">
        <f t="shared" si="39"/>
        <v>917215.27232705755</v>
      </c>
      <c r="K246" s="14">
        <f t="shared" si="35"/>
        <v>414451.45905690221</v>
      </c>
      <c r="L246" s="14">
        <f t="shared" si="36"/>
        <v>1202763.8132701556</v>
      </c>
    </row>
    <row r="247" spans="1:12" x14ac:dyDescent="0.3">
      <c r="A247">
        <v>242</v>
      </c>
      <c r="B247" s="13">
        <v>52201</v>
      </c>
      <c r="C247" s="14">
        <f t="shared" si="37"/>
        <v>414451.45905690221</v>
      </c>
      <c r="D247" s="14">
        <f t="shared" si="30"/>
        <v>4990.7212168886126</v>
      </c>
      <c r="E247" s="14">
        <f t="shared" si="31"/>
        <v>2331.3243546068234</v>
      </c>
      <c r="F247" s="12">
        <f t="shared" si="32"/>
        <v>6.7501010417340385E-2</v>
      </c>
      <c r="G247" s="14">
        <f t="shared" si="33"/>
        <v>2659.3968622817893</v>
      </c>
      <c r="H247" s="12">
        <f t="shared" si="34"/>
        <v>7.6999999999999999E-2</v>
      </c>
      <c r="I247" s="14">
        <f t="shared" si="38"/>
        <v>287879.86529770482</v>
      </c>
      <c r="J247" s="14">
        <f t="shared" si="39"/>
        <v>919874.66918933939</v>
      </c>
      <c r="K247" s="14">
        <f t="shared" si="35"/>
        <v>412120.13470229541</v>
      </c>
      <c r="L247" s="14">
        <f t="shared" si="36"/>
        <v>1207754.5344870442</v>
      </c>
    </row>
    <row r="248" spans="1:12" x14ac:dyDescent="0.3">
      <c r="A248">
        <v>243</v>
      </c>
      <c r="B248" s="13">
        <v>52232</v>
      </c>
      <c r="C248" s="14">
        <f t="shared" si="37"/>
        <v>412120.13470229541</v>
      </c>
      <c r="D248" s="14">
        <f t="shared" si="30"/>
        <v>4990.7212168886126</v>
      </c>
      <c r="E248" s="14">
        <f t="shared" si="31"/>
        <v>2346.283685882217</v>
      </c>
      <c r="F248" s="12">
        <f t="shared" si="32"/>
        <v>6.8318438872018022E-2</v>
      </c>
      <c r="G248" s="14">
        <f t="shared" si="33"/>
        <v>2644.4375310063956</v>
      </c>
      <c r="H248" s="12">
        <f t="shared" si="34"/>
        <v>7.6999999999999999E-2</v>
      </c>
      <c r="I248" s="14">
        <f t="shared" si="38"/>
        <v>290226.14898358705</v>
      </c>
      <c r="J248" s="14">
        <f t="shared" si="39"/>
        <v>922519.10672034579</v>
      </c>
      <c r="K248" s="14">
        <f t="shared" si="35"/>
        <v>409773.85101641319</v>
      </c>
      <c r="L248" s="14">
        <f t="shared" si="36"/>
        <v>1212745.2557039328</v>
      </c>
    </row>
    <row r="249" spans="1:12" x14ac:dyDescent="0.3">
      <c r="A249">
        <v>244</v>
      </c>
      <c r="B249" s="13">
        <v>52263</v>
      </c>
      <c r="C249" s="14">
        <f t="shared" si="37"/>
        <v>409773.85101641319</v>
      </c>
      <c r="D249" s="14">
        <f t="shared" si="30"/>
        <v>4990.7212168886126</v>
      </c>
      <c r="E249" s="14">
        <f t="shared" si="31"/>
        <v>2361.3390061999612</v>
      </c>
      <c r="F249" s="12">
        <f t="shared" si="32"/>
        <v>6.9150503391356116E-2</v>
      </c>
      <c r="G249" s="14">
        <f t="shared" si="33"/>
        <v>2629.3822106886514</v>
      </c>
      <c r="H249" s="12">
        <f t="shared" si="34"/>
        <v>7.6999999999999999E-2</v>
      </c>
      <c r="I249" s="14">
        <f t="shared" si="38"/>
        <v>292587.48798978701</v>
      </c>
      <c r="J249" s="14">
        <f t="shared" si="39"/>
        <v>925148.48893103446</v>
      </c>
      <c r="K249" s="14">
        <f t="shared" si="35"/>
        <v>407412.51201021322</v>
      </c>
      <c r="L249" s="14">
        <f t="shared" si="36"/>
        <v>1217735.9769208215</v>
      </c>
    </row>
    <row r="250" spans="1:12" x14ac:dyDescent="0.3">
      <c r="A250">
        <v>245</v>
      </c>
      <c r="B250" s="13">
        <v>52291</v>
      </c>
      <c r="C250" s="14">
        <f t="shared" si="37"/>
        <v>407412.51201021322</v>
      </c>
      <c r="D250" s="14">
        <f t="shared" si="30"/>
        <v>4990.7212168886126</v>
      </c>
      <c r="E250" s="14">
        <f t="shared" si="31"/>
        <v>2376.4909314897445</v>
      </c>
      <c r="F250" s="12">
        <f t="shared" si="32"/>
        <v>6.9997583130588875E-2</v>
      </c>
      <c r="G250" s="14">
        <f t="shared" si="33"/>
        <v>2614.2302853988681</v>
      </c>
      <c r="H250" s="12">
        <f t="shared" si="34"/>
        <v>7.6999999999999999E-2</v>
      </c>
      <c r="I250" s="14">
        <f t="shared" si="38"/>
        <v>294963.97892127675</v>
      </c>
      <c r="J250" s="14">
        <f t="shared" si="39"/>
        <v>927762.71921643335</v>
      </c>
      <c r="K250" s="14">
        <f t="shared" si="35"/>
        <v>405036.02107872348</v>
      </c>
      <c r="L250" s="14">
        <f t="shared" si="36"/>
        <v>1222726.6981377101</v>
      </c>
    </row>
    <row r="251" spans="1:12" x14ac:dyDescent="0.3">
      <c r="A251">
        <v>246</v>
      </c>
      <c r="B251" s="13">
        <v>52322</v>
      </c>
      <c r="C251" s="14">
        <f t="shared" si="37"/>
        <v>405036.02107872348</v>
      </c>
      <c r="D251" s="14">
        <f t="shared" si="30"/>
        <v>4990.7212168886126</v>
      </c>
      <c r="E251" s="14">
        <f t="shared" si="31"/>
        <v>2391.7400816334703</v>
      </c>
      <c r="F251" s="12">
        <f t="shared" si="32"/>
        <v>7.0860070428213323E-2</v>
      </c>
      <c r="G251" s="14">
        <f t="shared" si="33"/>
        <v>2598.9811352551424</v>
      </c>
      <c r="H251" s="12">
        <f t="shared" si="34"/>
        <v>7.6999999999999999E-2</v>
      </c>
      <c r="I251" s="14">
        <f t="shared" si="38"/>
        <v>297355.71900291019</v>
      </c>
      <c r="J251" s="14">
        <f t="shared" si="39"/>
        <v>930361.70035168855</v>
      </c>
      <c r="K251" s="14">
        <f t="shared" si="35"/>
        <v>402644.28099709004</v>
      </c>
      <c r="L251" s="14">
        <f t="shared" si="36"/>
        <v>1227717.4193545987</v>
      </c>
    </row>
    <row r="252" spans="1:12" x14ac:dyDescent="0.3">
      <c r="A252">
        <v>247</v>
      </c>
      <c r="B252" s="13">
        <v>52352</v>
      </c>
      <c r="C252" s="14">
        <f t="shared" si="37"/>
        <v>402644.28099709004</v>
      </c>
      <c r="D252" s="14">
        <f t="shared" si="30"/>
        <v>4990.7212168886126</v>
      </c>
      <c r="E252" s="14">
        <f t="shared" si="31"/>
        <v>2407.0870804906181</v>
      </c>
      <c r="F252" s="12">
        <f t="shared" si="32"/>
        <v>7.1738371384185068E-2</v>
      </c>
      <c r="G252" s="14">
        <f t="shared" si="33"/>
        <v>2583.6341363979946</v>
      </c>
      <c r="H252" s="12">
        <f t="shared" si="34"/>
        <v>7.6999999999999999E-2</v>
      </c>
      <c r="I252" s="14">
        <f t="shared" si="38"/>
        <v>299762.80608340079</v>
      </c>
      <c r="J252" s="14">
        <f t="shared" si="39"/>
        <v>932945.33448808652</v>
      </c>
      <c r="K252" s="14">
        <f t="shared" si="35"/>
        <v>400237.19391659944</v>
      </c>
      <c r="L252" s="14">
        <f t="shared" si="36"/>
        <v>1232708.1405714874</v>
      </c>
    </row>
    <row r="253" spans="1:12" x14ac:dyDescent="0.3">
      <c r="A253">
        <v>248</v>
      </c>
      <c r="B253" s="13">
        <v>52383</v>
      </c>
      <c r="C253" s="14">
        <f t="shared" si="37"/>
        <v>400237.19391659944</v>
      </c>
      <c r="D253" s="14">
        <f t="shared" si="30"/>
        <v>4990.7212168886126</v>
      </c>
      <c r="E253" s="14">
        <f t="shared" si="31"/>
        <v>2422.5325559237663</v>
      </c>
      <c r="F253" s="12">
        <f t="shared" si="32"/>
        <v>7.2632906468814637E-2</v>
      </c>
      <c r="G253" s="14">
        <f t="shared" si="33"/>
        <v>2568.1886609648463</v>
      </c>
      <c r="H253" s="12">
        <f t="shared" si="34"/>
        <v>7.6999999999999999E-2</v>
      </c>
      <c r="I253" s="14">
        <f t="shared" si="38"/>
        <v>302185.33863932453</v>
      </c>
      <c r="J253" s="14">
        <f t="shared" si="39"/>
        <v>935513.52314905135</v>
      </c>
      <c r="K253" s="14">
        <f t="shared" si="35"/>
        <v>397814.6613606757</v>
      </c>
      <c r="L253" s="14">
        <f t="shared" si="36"/>
        <v>1237698.8617883758</v>
      </c>
    </row>
    <row r="254" spans="1:12" x14ac:dyDescent="0.3">
      <c r="A254">
        <v>249</v>
      </c>
      <c r="B254" s="13">
        <v>52413</v>
      </c>
      <c r="C254" s="14">
        <f t="shared" si="37"/>
        <v>397814.6613606757</v>
      </c>
      <c r="D254" s="14">
        <f t="shared" si="30"/>
        <v>4990.7212168886126</v>
      </c>
      <c r="E254" s="14">
        <f t="shared" si="31"/>
        <v>2438.0771398242769</v>
      </c>
      <c r="F254" s="12">
        <f t="shared" si="32"/>
        <v>7.3544111164283471E-2</v>
      </c>
      <c r="G254" s="14">
        <f t="shared" si="33"/>
        <v>2552.6440770643358</v>
      </c>
      <c r="H254" s="12">
        <f t="shared" si="34"/>
        <v>7.6999999999999999E-2</v>
      </c>
      <c r="I254" s="14">
        <f t="shared" si="38"/>
        <v>304623.41577914881</v>
      </c>
      <c r="J254" s="14">
        <f t="shared" si="39"/>
        <v>938066.16722611571</v>
      </c>
      <c r="K254" s="14">
        <f t="shared" si="35"/>
        <v>395376.58422085142</v>
      </c>
      <c r="L254" s="14">
        <f t="shared" si="36"/>
        <v>1242689.5830052644</v>
      </c>
    </row>
    <row r="255" spans="1:12" x14ac:dyDescent="0.3">
      <c r="A255">
        <v>250</v>
      </c>
      <c r="B255" s="13">
        <v>52444</v>
      </c>
      <c r="C255" s="14">
        <f t="shared" si="37"/>
        <v>395376.58422085142</v>
      </c>
      <c r="D255" s="14">
        <f t="shared" si="30"/>
        <v>4990.7212168886126</v>
      </c>
      <c r="E255" s="14">
        <f t="shared" si="31"/>
        <v>2453.7214681381492</v>
      </c>
      <c r="F255" s="12">
        <f t="shared" si="32"/>
        <v>7.4472436640836692E-2</v>
      </c>
      <c r="G255" s="14">
        <f t="shared" si="33"/>
        <v>2536.9997487504634</v>
      </c>
      <c r="H255" s="12">
        <f t="shared" si="34"/>
        <v>7.6999999999999999E-2</v>
      </c>
      <c r="I255" s="14">
        <f t="shared" si="38"/>
        <v>307077.13724728697</v>
      </c>
      <c r="J255" s="14">
        <f t="shared" si="39"/>
        <v>940603.16697486618</v>
      </c>
      <c r="K255" s="14">
        <f t="shared" si="35"/>
        <v>392922.86275271326</v>
      </c>
      <c r="L255" s="14">
        <f t="shared" si="36"/>
        <v>1247680.304222153</v>
      </c>
    </row>
    <row r="256" spans="1:12" x14ac:dyDescent="0.3">
      <c r="A256">
        <v>251</v>
      </c>
      <c r="B256" s="13">
        <v>52475</v>
      </c>
      <c r="C256" s="14">
        <f t="shared" si="37"/>
        <v>392922.86275271326</v>
      </c>
      <c r="D256" s="14">
        <f t="shared" si="30"/>
        <v>4990.7212168886126</v>
      </c>
      <c r="E256" s="14">
        <f t="shared" si="31"/>
        <v>2469.4661808920359</v>
      </c>
      <c r="F256" s="12">
        <f t="shared" si="32"/>
        <v>7.541835046985898E-2</v>
      </c>
      <c r="G256" s="14">
        <f t="shared" si="33"/>
        <v>2521.2550359965767</v>
      </c>
      <c r="H256" s="12">
        <f t="shared" si="34"/>
        <v>7.6999999999999985E-2</v>
      </c>
      <c r="I256" s="14">
        <f t="shared" si="38"/>
        <v>309546.60342817899</v>
      </c>
      <c r="J256" s="14">
        <f t="shared" si="39"/>
        <v>943124.42201086273</v>
      </c>
      <c r="K256" s="14">
        <f t="shared" si="35"/>
        <v>390453.39657182124</v>
      </c>
      <c r="L256" s="14">
        <f t="shared" si="36"/>
        <v>1252671.0254390417</v>
      </c>
    </row>
    <row r="257" spans="1:12" x14ac:dyDescent="0.3">
      <c r="A257">
        <v>252</v>
      </c>
      <c r="B257" s="13">
        <v>52505</v>
      </c>
      <c r="C257" s="14">
        <f t="shared" si="37"/>
        <v>390453.39657182124</v>
      </c>
      <c r="D257" s="14">
        <f t="shared" si="30"/>
        <v>4990.7212168886126</v>
      </c>
      <c r="E257" s="14">
        <f t="shared" si="31"/>
        <v>2485.3119222194264</v>
      </c>
      <c r="F257" s="12">
        <f t="shared" si="32"/>
        <v>7.6382337376202702E-2</v>
      </c>
      <c r="G257" s="14">
        <f t="shared" si="33"/>
        <v>2505.4092946691862</v>
      </c>
      <c r="H257" s="12">
        <f t="shared" si="34"/>
        <v>7.6999999999999999E-2</v>
      </c>
      <c r="I257" s="14">
        <f t="shared" si="38"/>
        <v>312031.9153503984</v>
      </c>
      <c r="J257" s="14">
        <f t="shared" si="39"/>
        <v>945629.8313055319</v>
      </c>
      <c r="K257" s="14">
        <f t="shared" si="35"/>
        <v>387968.08464960183</v>
      </c>
      <c r="L257" s="14">
        <f t="shared" si="36"/>
        <v>1257661.7466559303</v>
      </c>
    </row>
    <row r="258" spans="1:12" x14ac:dyDescent="0.3">
      <c r="A258">
        <v>253</v>
      </c>
      <c r="B258" s="13">
        <v>52536</v>
      </c>
      <c r="C258" s="14">
        <f t="shared" si="37"/>
        <v>387968.08464960183</v>
      </c>
      <c r="D258" s="14">
        <f t="shared" si="30"/>
        <v>4990.7212168886126</v>
      </c>
      <c r="E258" s="14">
        <f t="shared" si="31"/>
        <v>2501.259340387001</v>
      </c>
      <c r="F258" s="12">
        <f t="shared" si="32"/>
        <v>7.7364900032312015E-2</v>
      </c>
      <c r="G258" s="14">
        <f t="shared" si="33"/>
        <v>2489.4618765016116</v>
      </c>
      <c r="H258" s="12">
        <f t="shared" si="34"/>
        <v>7.6999999999999985E-2</v>
      </c>
      <c r="I258" s="14">
        <f t="shared" si="38"/>
        <v>314533.17469078541</v>
      </c>
      <c r="J258" s="14">
        <f t="shared" si="39"/>
        <v>948119.29318203346</v>
      </c>
      <c r="K258" s="14">
        <f t="shared" si="35"/>
        <v>385466.82530921482</v>
      </c>
      <c r="L258" s="14">
        <f t="shared" si="36"/>
        <v>1262652.4678728189</v>
      </c>
    </row>
    <row r="259" spans="1:12" x14ac:dyDescent="0.3">
      <c r="A259">
        <v>254</v>
      </c>
      <c r="B259" s="13">
        <v>52566</v>
      </c>
      <c r="C259" s="14">
        <f t="shared" si="37"/>
        <v>385466.82530921482</v>
      </c>
      <c r="D259" s="14">
        <f t="shared" si="30"/>
        <v>4990.7212168886126</v>
      </c>
      <c r="E259" s="14">
        <f t="shared" si="31"/>
        <v>2517.3090878211506</v>
      </c>
      <c r="F259" s="12">
        <f t="shared" si="32"/>
        <v>7.8366559896877519E-2</v>
      </c>
      <c r="G259" s="14">
        <f t="shared" si="33"/>
        <v>2473.412129067462</v>
      </c>
      <c r="H259" s="12">
        <f t="shared" si="34"/>
        <v>7.7000000000000013E-2</v>
      </c>
      <c r="I259" s="14">
        <f t="shared" si="38"/>
        <v>317050.48377860658</v>
      </c>
      <c r="J259" s="14">
        <f t="shared" si="39"/>
        <v>950592.70531110093</v>
      </c>
      <c r="K259" s="14">
        <f t="shared" si="35"/>
        <v>382949.51622139366</v>
      </c>
      <c r="L259" s="14">
        <f t="shared" si="36"/>
        <v>1267643.1890897076</v>
      </c>
    </row>
    <row r="260" spans="1:12" x14ac:dyDescent="0.3">
      <c r="A260">
        <v>255</v>
      </c>
      <c r="B260" s="13">
        <v>52597</v>
      </c>
      <c r="C260" s="14">
        <f t="shared" si="37"/>
        <v>382949.51622139366</v>
      </c>
      <c r="D260" s="14">
        <f t="shared" si="30"/>
        <v>4990.7212168886126</v>
      </c>
      <c r="E260" s="14">
        <f t="shared" si="31"/>
        <v>2533.4618211346701</v>
      </c>
      <c r="F260" s="12">
        <f t="shared" si="32"/>
        <v>7.9387858100961994E-2</v>
      </c>
      <c r="G260" s="14">
        <f t="shared" si="33"/>
        <v>2457.2593957539425</v>
      </c>
      <c r="H260" s="12">
        <f t="shared" si="34"/>
        <v>7.6999999999999985E-2</v>
      </c>
      <c r="I260" s="14">
        <f t="shared" si="38"/>
        <v>319583.94559974124</v>
      </c>
      <c r="J260" s="14">
        <f t="shared" si="39"/>
        <v>953049.96470685489</v>
      </c>
      <c r="K260" s="14">
        <f t="shared" si="35"/>
        <v>380416.05440025899</v>
      </c>
      <c r="L260" s="14">
        <f t="shared" si="36"/>
        <v>1272633.9103065962</v>
      </c>
    </row>
    <row r="261" spans="1:12" x14ac:dyDescent="0.3">
      <c r="A261">
        <v>256</v>
      </c>
      <c r="B261" s="13">
        <v>52628</v>
      </c>
      <c r="C261" s="14">
        <f t="shared" si="37"/>
        <v>380416.05440025899</v>
      </c>
      <c r="D261" s="14">
        <f t="shared" si="30"/>
        <v>4990.7212168886126</v>
      </c>
      <c r="E261" s="14">
        <f t="shared" si="31"/>
        <v>2549.7182011536174</v>
      </c>
      <c r="F261" s="12">
        <f t="shared" si="32"/>
        <v>8.0429356384761924E-2</v>
      </c>
      <c r="G261" s="14">
        <f t="shared" si="33"/>
        <v>2441.0030157349952</v>
      </c>
      <c r="H261" s="12">
        <f t="shared" si="34"/>
        <v>7.6999999999999999E-2</v>
      </c>
      <c r="I261" s="14">
        <f t="shared" si="38"/>
        <v>322133.66380089486</v>
      </c>
      <c r="J261" s="14">
        <f t="shared" si="39"/>
        <v>955490.96772258985</v>
      </c>
      <c r="K261" s="14">
        <f t="shared" si="35"/>
        <v>377866.33619910537</v>
      </c>
      <c r="L261" s="14">
        <f t="shared" si="36"/>
        <v>1277624.6315234848</v>
      </c>
    </row>
    <row r="262" spans="1:12" x14ac:dyDescent="0.3">
      <c r="A262">
        <v>257</v>
      </c>
      <c r="B262" s="13">
        <v>52657</v>
      </c>
      <c r="C262" s="14">
        <f t="shared" si="37"/>
        <v>377866.33619910537</v>
      </c>
      <c r="D262" s="14">
        <f t="shared" si="30"/>
        <v>4990.7212168886126</v>
      </c>
      <c r="E262" s="14">
        <f t="shared" si="31"/>
        <v>2566.0788929443529</v>
      </c>
      <c r="F262" s="12">
        <f t="shared" si="32"/>
        <v>8.1491638088413393E-2</v>
      </c>
      <c r="G262" s="14">
        <f t="shared" si="33"/>
        <v>2424.6423239442597</v>
      </c>
      <c r="H262" s="12">
        <f t="shared" si="34"/>
        <v>7.7000000000000013E-2</v>
      </c>
      <c r="I262" s="14">
        <f t="shared" si="38"/>
        <v>324699.74269383925</v>
      </c>
      <c r="J262" s="14">
        <f t="shared" si="39"/>
        <v>957915.6100465341</v>
      </c>
      <c r="K262" s="14">
        <f t="shared" si="35"/>
        <v>375300.25730616099</v>
      </c>
      <c r="L262" s="14">
        <f t="shared" si="36"/>
        <v>1282615.3527403735</v>
      </c>
    </row>
    <row r="263" spans="1:12" x14ac:dyDescent="0.3">
      <c r="A263">
        <v>258</v>
      </c>
      <c r="B263" s="13">
        <v>52688</v>
      </c>
      <c r="C263" s="14">
        <f t="shared" si="37"/>
        <v>375300.25730616099</v>
      </c>
      <c r="D263" s="14">
        <f t="shared" ref="D263:D326" si="40">$C$6/((($E$2)-1)/($E$1*$E$2))</f>
        <v>4990.7212168886126</v>
      </c>
      <c r="E263" s="14">
        <f t="shared" ref="E263:E326" si="41">D263-G263</f>
        <v>2582.5445658407461</v>
      </c>
      <c r="F263" s="12">
        <f t="shared" ref="F263:F326" si="42">(E263/C263)*12</f>
        <v>8.2575309200514646E-2</v>
      </c>
      <c r="G263" s="14">
        <f t="shared" ref="G263:G326" si="43">C263*($B$1/12)</f>
        <v>2408.1766510478665</v>
      </c>
      <c r="H263" s="12">
        <f t="shared" ref="H263:H326" si="44">(G263/C263)*12</f>
        <v>7.6999999999999999E-2</v>
      </c>
      <c r="I263" s="14">
        <f t="shared" si="38"/>
        <v>327282.28725967999</v>
      </c>
      <c r="J263" s="14">
        <f t="shared" si="39"/>
        <v>960323.78669758199</v>
      </c>
      <c r="K263" s="14">
        <f t="shared" ref="K263:K326" si="45">C263-E263</f>
        <v>372717.71274032025</v>
      </c>
      <c r="L263" s="14">
        <f t="shared" ref="L263:L326" si="46">I263+J263</f>
        <v>1287606.0739572621</v>
      </c>
    </row>
    <row r="264" spans="1:12" x14ac:dyDescent="0.3">
      <c r="A264">
        <v>259</v>
      </c>
      <c r="B264" s="13">
        <v>52718</v>
      </c>
      <c r="C264" s="14">
        <f t="shared" ref="C264:C327" si="47">K263</f>
        <v>372717.71274032025</v>
      </c>
      <c r="D264" s="14">
        <f t="shared" si="40"/>
        <v>4990.7212168886126</v>
      </c>
      <c r="E264" s="14">
        <f t="shared" si="41"/>
        <v>2599.1158934715577</v>
      </c>
      <c r="F264" s="12">
        <f t="shared" si="42"/>
        <v>8.3680999468326717E-2</v>
      </c>
      <c r="G264" s="14">
        <f t="shared" si="43"/>
        <v>2391.6053234170549</v>
      </c>
      <c r="H264" s="12">
        <f t="shared" si="44"/>
        <v>7.6999999999999999E-2</v>
      </c>
      <c r="I264" s="14">
        <f t="shared" ref="I264:I327" si="48">I263+E264</f>
        <v>329881.40315315156</v>
      </c>
      <c r="J264" s="14">
        <f t="shared" ref="J264:J327" si="49">J263+G264</f>
        <v>962715.3920209991</v>
      </c>
      <c r="K264" s="14">
        <f t="shared" si="45"/>
        <v>370118.59684684867</v>
      </c>
      <c r="L264" s="14">
        <f t="shared" si="46"/>
        <v>1292596.7951741507</v>
      </c>
    </row>
    <row r="265" spans="1:12" x14ac:dyDescent="0.3">
      <c r="A265">
        <v>260</v>
      </c>
      <c r="B265" s="13">
        <v>52749</v>
      </c>
      <c r="C265" s="14">
        <f t="shared" si="47"/>
        <v>370118.59684684867</v>
      </c>
      <c r="D265" s="14">
        <f t="shared" si="40"/>
        <v>4990.7212168886126</v>
      </c>
      <c r="E265" s="14">
        <f t="shared" si="41"/>
        <v>2615.7935537880003</v>
      </c>
      <c r="F265" s="12">
        <f t="shared" si="42"/>
        <v>8.4809363573926738E-2</v>
      </c>
      <c r="G265" s="14">
        <f t="shared" si="43"/>
        <v>2374.9276631006123</v>
      </c>
      <c r="H265" s="12">
        <f t="shared" si="44"/>
        <v>7.6999999999999999E-2</v>
      </c>
      <c r="I265" s="14">
        <f t="shared" si="48"/>
        <v>332497.19670693955</v>
      </c>
      <c r="J265" s="14">
        <f t="shared" si="49"/>
        <v>965090.31968409976</v>
      </c>
      <c r="K265" s="14">
        <f t="shared" si="45"/>
        <v>367502.80329306069</v>
      </c>
      <c r="L265" s="14">
        <f t="shared" si="46"/>
        <v>1297587.5163910394</v>
      </c>
    </row>
    <row r="266" spans="1:12" x14ac:dyDescent="0.3">
      <c r="A266">
        <v>261</v>
      </c>
      <c r="B266" s="13">
        <v>52779</v>
      </c>
      <c r="C266" s="14">
        <f t="shared" si="47"/>
        <v>367502.80329306069</v>
      </c>
      <c r="D266" s="14">
        <f t="shared" si="40"/>
        <v>4990.7212168886126</v>
      </c>
      <c r="E266" s="14">
        <f t="shared" si="41"/>
        <v>2632.5782290914731</v>
      </c>
      <c r="F266" s="12">
        <f t="shared" si="42"/>
        <v>8.5961082380930476E-2</v>
      </c>
      <c r="G266" s="14">
        <f t="shared" si="43"/>
        <v>2358.1429877971395</v>
      </c>
      <c r="H266" s="12">
        <f t="shared" si="44"/>
        <v>7.6999999999999999E-2</v>
      </c>
      <c r="I266" s="14">
        <f t="shared" si="48"/>
        <v>335129.77493603103</v>
      </c>
      <c r="J266" s="14">
        <f t="shared" si="49"/>
        <v>967448.46267189691</v>
      </c>
      <c r="K266" s="14">
        <f t="shared" si="45"/>
        <v>364870.22506396921</v>
      </c>
      <c r="L266" s="14">
        <f t="shared" si="46"/>
        <v>1302578.237607928</v>
      </c>
    </row>
    <row r="267" spans="1:12" x14ac:dyDescent="0.3">
      <c r="A267">
        <v>262</v>
      </c>
      <c r="B267" s="13">
        <v>52810</v>
      </c>
      <c r="C267" s="14">
        <f t="shared" si="47"/>
        <v>364870.22506396921</v>
      </c>
      <c r="D267" s="14">
        <f t="shared" si="40"/>
        <v>4990.7212168886126</v>
      </c>
      <c r="E267" s="14">
        <f t="shared" si="41"/>
        <v>2649.4706060614767</v>
      </c>
      <c r="F267" s="12">
        <f t="shared" si="42"/>
        <v>8.7136864256774152E-2</v>
      </c>
      <c r="G267" s="14">
        <f t="shared" si="43"/>
        <v>2341.2506108271359</v>
      </c>
      <c r="H267" s="12">
        <f t="shared" si="44"/>
        <v>7.6999999999999999E-2</v>
      </c>
      <c r="I267" s="14">
        <f t="shared" si="48"/>
        <v>337779.24554209248</v>
      </c>
      <c r="J267" s="14">
        <f t="shared" si="49"/>
        <v>969789.71328272403</v>
      </c>
      <c r="K267" s="14">
        <f t="shared" si="45"/>
        <v>362220.75445790775</v>
      </c>
      <c r="L267" s="14">
        <f t="shared" si="46"/>
        <v>1307568.9588248166</v>
      </c>
    </row>
    <row r="268" spans="1:12" x14ac:dyDescent="0.3">
      <c r="A268">
        <v>263</v>
      </c>
      <c r="B268" s="13">
        <v>52841</v>
      </c>
      <c r="C268" s="14">
        <f t="shared" si="47"/>
        <v>362220.75445790775</v>
      </c>
      <c r="D268" s="14">
        <f t="shared" si="40"/>
        <v>4990.7212168886126</v>
      </c>
      <c r="E268" s="14">
        <f t="shared" si="41"/>
        <v>2666.4713757837044</v>
      </c>
      <c r="F268" s="12">
        <f t="shared" si="42"/>
        <v>8.8337446475952208E-2</v>
      </c>
      <c r="G268" s="14">
        <f t="shared" si="43"/>
        <v>2324.2498411049082</v>
      </c>
      <c r="H268" s="12">
        <f t="shared" si="44"/>
        <v>7.6999999999999999E-2</v>
      </c>
      <c r="I268" s="14">
        <f t="shared" si="48"/>
        <v>340445.71691787621</v>
      </c>
      <c r="J268" s="14">
        <f t="shared" si="49"/>
        <v>972113.96312382899</v>
      </c>
      <c r="K268" s="14">
        <f t="shared" si="45"/>
        <v>359554.28308212402</v>
      </c>
      <c r="L268" s="14">
        <f t="shared" si="46"/>
        <v>1312559.6800417053</v>
      </c>
    </row>
    <row r="269" spans="1:12" x14ac:dyDescent="0.3">
      <c r="A269">
        <v>264</v>
      </c>
      <c r="B269" s="13">
        <v>52871</v>
      </c>
      <c r="C269" s="14">
        <f t="shared" si="47"/>
        <v>359554.28308212402</v>
      </c>
      <c r="D269" s="14">
        <f t="shared" si="40"/>
        <v>4990.7212168886126</v>
      </c>
      <c r="E269" s="14">
        <f t="shared" si="41"/>
        <v>2683.5812337783168</v>
      </c>
      <c r="F269" s="12">
        <f t="shared" si="42"/>
        <v>8.9563596710053595E-2</v>
      </c>
      <c r="G269" s="14">
        <f t="shared" si="43"/>
        <v>2307.1399831102958</v>
      </c>
      <c r="H269" s="12">
        <f t="shared" si="44"/>
        <v>7.6999999999999999E-2</v>
      </c>
      <c r="I269" s="14">
        <f t="shared" si="48"/>
        <v>343129.29815165454</v>
      </c>
      <c r="J269" s="14">
        <f t="shared" si="49"/>
        <v>974421.10310693923</v>
      </c>
      <c r="K269" s="14">
        <f t="shared" si="45"/>
        <v>356870.70184834569</v>
      </c>
      <c r="L269" s="14">
        <f t="shared" si="46"/>
        <v>1317550.4012585939</v>
      </c>
    </row>
    <row r="270" spans="1:12" x14ac:dyDescent="0.3">
      <c r="A270">
        <v>265</v>
      </c>
      <c r="B270" s="13">
        <v>52902</v>
      </c>
      <c r="C270" s="14">
        <f t="shared" si="47"/>
        <v>356870.70184834569</v>
      </c>
      <c r="D270" s="14">
        <f t="shared" si="40"/>
        <v>4990.7212168886126</v>
      </c>
      <c r="E270" s="14">
        <f t="shared" si="41"/>
        <v>2700.8008800283942</v>
      </c>
      <c r="F270" s="12">
        <f t="shared" si="42"/>
        <v>9.0816114610925341E-2</v>
      </c>
      <c r="G270" s="14">
        <f t="shared" si="43"/>
        <v>2289.9203368602184</v>
      </c>
      <c r="H270" s="12">
        <f t="shared" si="44"/>
        <v>7.6999999999999999E-2</v>
      </c>
      <c r="I270" s="14">
        <f t="shared" si="48"/>
        <v>345830.09903168294</v>
      </c>
      <c r="J270" s="14">
        <f t="shared" si="49"/>
        <v>976711.02344379947</v>
      </c>
      <c r="K270" s="14">
        <f t="shared" si="45"/>
        <v>354169.90096831729</v>
      </c>
      <c r="L270" s="14">
        <f t="shared" si="46"/>
        <v>1322541.1224754825</v>
      </c>
    </row>
    <row r="271" spans="1:12" x14ac:dyDescent="0.3">
      <c r="A271">
        <v>266</v>
      </c>
      <c r="B271" s="13">
        <v>52932</v>
      </c>
      <c r="C271" s="14">
        <f t="shared" si="47"/>
        <v>354169.90096831729</v>
      </c>
      <c r="D271" s="14">
        <f t="shared" si="40"/>
        <v>4990.7212168886126</v>
      </c>
      <c r="E271" s="14">
        <f t="shared" si="41"/>
        <v>2718.1310190085765</v>
      </c>
      <c r="F271" s="12">
        <f t="shared" si="42"/>
        <v>9.2095833493825788E-2</v>
      </c>
      <c r="G271" s="14">
        <f t="shared" si="43"/>
        <v>2272.5901978800362</v>
      </c>
      <c r="H271" s="12">
        <f t="shared" si="44"/>
        <v>7.6999999999999999E-2</v>
      </c>
      <c r="I271" s="14">
        <f t="shared" si="48"/>
        <v>348548.23005069152</v>
      </c>
      <c r="J271" s="14">
        <f t="shared" si="49"/>
        <v>978983.61364167952</v>
      </c>
      <c r="K271" s="14">
        <f t="shared" si="45"/>
        <v>351451.76994930871</v>
      </c>
      <c r="L271" s="14">
        <f t="shared" si="46"/>
        <v>1327531.8436923712</v>
      </c>
    </row>
    <row r="272" spans="1:12" x14ac:dyDescent="0.3">
      <c r="A272">
        <v>267</v>
      </c>
      <c r="B272" s="13">
        <v>52963</v>
      </c>
      <c r="C272" s="14">
        <f t="shared" si="47"/>
        <v>351451.76994930871</v>
      </c>
      <c r="D272" s="14">
        <f t="shared" si="40"/>
        <v>4990.7212168886126</v>
      </c>
      <c r="E272" s="14">
        <f t="shared" si="41"/>
        <v>2735.5723597138817</v>
      </c>
      <c r="F272" s="12">
        <f t="shared" si="42"/>
        <v>9.3403622128012981E-2</v>
      </c>
      <c r="G272" s="14">
        <f t="shared" si="43"/>
        <v>2255.1488571747309</v>
      </c>
      <c r="H272" s="12">
        <f t="shared" si="44"/>
        <v>7.6999999999999999E-2</v>
      </c>
      <c r="I272" s="14">
        <f t="shared" si="48"/>
        <v>351283.80241040542</v>
      </c>
      <c r="J272" s="14">
        <f t="shared" si="49"/>
        <v>981238.76249885419</v>
      </c>
      <c r="K272" s="14">
        <f t="shared" si="45"/>
        <v>348716.19758959481</v>
      </c>
      <c r="L272" s="14">
        <f t="shared" si="46"/>
        <v>1332522.5649092596</v>
      </c>
    </row>
    <row r="273" spans="1:12" x14ac:dyDescent="0.3">
      <c r="A273">
        <v>268</v>
      </c>
      <c r="B273" s="13">
        <v>52994</v>
      </c>
      <c r="C273" s="14">
        <f t="shared" si="47"/>
        <v>348716.19758959481</v>
      </c>
      <c r="D273" s="14">
        <f t="shared" si="40"/>
        <v>4990.7212168886126</v>
      </c>
      <c r="E273" s="14">
        <f t="shared" si="41"/>
        <v>2753.1256156887125</v>
      </c>
      <c r="F273" s="12">
        <f t="shared" si="42"/>
        <v>9.4740386642855334E-2</v>
      </c>
      <c r="G273" s="14">
        <f t="shared" si="43"/>
        <v>2237.5956011999001</v>
      </c>
      <c r="H273" s="12">
        <f t="shared" si="44"/>
        <v>7.6999999999999999E-2</v>
      </c>
      <c r="I273" s="14">
        <f t="shared" si="48"/>
        <v>354036.92802609416</v>
      </c>
      <c r="J273" s="14">
        <f t="shared" si="49"/>
        <v>983476.35810005409</v>
      </c>
      <c r="K273" s="14">
        <f t="shared" si="45"/>
        <v>345963.07197390607</v>
      </c>
      <c r="L273" s="14">
        <f t="shared" si="46"/>
        <v>1337513.2861261482</v>
      </c>
    </row>
    <row r="274" spans="1:12" x14ac:dyDescent="0.3">
      <c r="A274">
        <v>269</v>
      </c>
      <c r="B274" s="13">
        <v>53022</v>
      </c>
      <c r="C274" s="14">
        <f t="shared" si="47"/>
        <v>345963.07197390607</v>
      </c>
      <c r="D274" s="14">
        <f t="shared" si="40"/>
        <v>4990.7212168886126</v>
      </c>
      <c r="E274" s="14">
        <f t="shared" si="41"/>
        <v>2770.7915050560487</v>
      </c>
      <c r="F274" s="12">
        <f t="shared" si="42"/>
        <v>9.6107072558253834E-2</v>
      </c>
      <c r="G274" s="14">
        <f t="shared" si="43"/>
        <v>2219.929711832564</v>
      </c>
      <c r="H274" s="12">
        <f t="shared" si="44"/>
        <v>7.6999999999999999E-2</v>
      </c>
      <c r="I274" s="14">
        <f t="shared" si="48"/>
        <v>356807.71953115019</v>
      </c>
      <c r="J274" s="14">
        <f t="shared" si="49"/>
        <v>985696.28781188664</v>
      </c>
      <c r="K274" s="14">
        <f t="shared" si="45"/>
        <v>343192.28046885005</v>
      </c>
      <c r="L274" s="14">
        <f t="shared" si="46"/>
        <v>1342504.0073430368</v>
      </c>
    </row>
    <row r="275" spans="1:12" x14ac:dyDescent="0.3">
      <c r="A275">
        <v>270</v>
      </c>
      <c r="B275" s="13">
        <v>53053</v>
      </c>
      <c r="C275" s="14">
        <f t="shared" si="47"/>
        <v>343192.28046885005</v>
      </c>
      <c r="D275" s="14">
        <f t="shared" si="40"/>
        <v>4990.7212168886126</v>
      </c>
      <c r="E275" s="14">
        <f t="shared" si="41"/>
        <v>2788.5707505468249</v>
      </c>
      <c r="F275" s="12">
        <f t="shared" si="42"/>
        <v>9.7504666948938445E-2</v>
      </c>
      <c r="G275" s="14">
        <f t="shared" si="43"/>
        <v>2202.1504663417877</v>
      </c>
      <c r="H275" s="12">
        <f t="shared" si="44"/>
        <v>7.6999999999999985E-2</v>
      </c>
      <c r="I275" s="14">
        <f t="shared" si="48"/>
        <v>359596.290281697</v>
      </c>
      <c r="J275" s="14">
        <f t="shared" si="49"/>
        <v>987898.43827822839</v>
      </c>
      <c r="K275" s="14">
        <f t="shared" si="45"/>
        <v>340403.70971830323</v>
      </c>
      <c r="L275" s="14">
        <f t="shared" si="46"/>
        <v>1347494.7285599255</v>
      </c>
    </row>
    <row r="276" spans="1:12" x14ac:dyDescent="0.3">
      <c r="A276">
        <v>271</v>
      </c>
      <c r="B276" s="13">
        <v>53083</v>
      </c>
      <c r="C276" s="14">
        <f t="shared" si="47"/>
        <v>340403.70971830323</v>
      </c>
      <c r="D276" s="14">
        <f t="shared" si="40"/>
        <v>4990.7212168886126</v>
      </c>
      <c r="E276" s="14">
        <f t="shared" si="41"/>
        <v>2806.4640795294999</v>
      </c>
      <c r="F276" s="12">
        <f t="shared" si="42"/>
        <v>9.893420075305126E-2</v>
      </c>
      <c r="G276" s="14">
        <f t="shared" si="43"/>
        <v>2184.2571373591127</v>
      </c>
      <c r="H276" s="12">
        <f t="shared" si="44"/>
        <v>7.7000000000000013E-2</v>
      </c>
      <c r="I276" s="14">
        <f t="shared" si="48"/>
        <v>362402.75436122651</v>
      </c>
      <c r="J276" s="14">
        <f t="shared" si="49"/>
        <v>990082.69541558751</v>
      </c>
      <c r="K276" s="14">
        <f t="shared" si="45"/>
        <v>337597.24563877372</v>
      </c>
      <c r="L276" s="14">
        <f t="shared" si="46"/>
        <v>1352485.4497768141</v>
      </c>
    </row>
    <row r="277" spans="1:12" x14ac:dyDescent="0.3">
      <c r="A277">
        <v>272</v>
      </c>
      <c r="B277" s="13">
        <v>53114</v>
      </c>
      <c r="C277" s="14">
        <f t="shared" si="47"/>
        <v>337597.24563877372</v>
      </c>
      <c r="D277" s="14">
        <f t="shared" si="40"/>
        <v>4990.7212168886126</v>
      </c>
      <c r="E277" s="14">
        <f t="shared" si="41"/>
        <v>2824.4722240398146</v>
      </c>
      <c r="F277" s="12">
        <f t="shared" si="42"/>
        <v>0.10039675123636441</v>
      </c>
      <c r="G277" s="14">
        <f t="shared" si="43"/>
        <v>2166.248992848798</v>
      </c>
      <c r="H277" s="12">
        <f t="shared" si="44"/>
        <v>7.6999999999999999E-2</v>
      </c>
      <c r="I277" s="14">
        <f t="shared" si="48"/>
        <v>365227.22658526635</v>
      </c>
      <c r="J277" s="14">
        <f t="shared" si="49"/>
        <v>992248.94440843631</v>
      </c>
      <c r="K277" s="14">
        <f t="shared" si="45"/>
        <v>334772.77341473388</v>
      </c>
      <c r="L277" s="14">
        <f t="shared" si="46"/>
        <v>1357476.1709937027</v>
      </c>
    </row>
    <row r="278" spans="1:12" x14ac:dyDescent="0.3">
      <c r="A278">
        <v>273</v>
      </c>
      <c r="B278" s="13">
        <v>53144</v>
      </c>
      <c r="C278" s="14">
        <f t="shared" si="47"/>
        <v>334772.77341473388</v>
      </c>
      <c r="D278" s="14">
        <f t="shared" si="40"/>
        <v>4990.7212168886126</v>
      </c>
      <c r="E278" s="14">
        <f t="shared" si="41"/>
        <v>2842.595920810737</v>
      </c>
      <c r="F278" s="12">
        <f t="shared" si="42"/>
        <v>0.10189344462451305</v>
      </c>
      <c r="G278" s="14">
        <f t="shared" si="43"/>
        <v>2148.1252960778756</v>
      </c>
      <c r="H278" s="12">
        <f t="shared" si="44"/>
        <v>7.6999999999999999E-2</v>
      </c>
      <c r="I278" s="14">
        <f t="shared" si="48"/>
        <v>368069.82250607706</v>
      </c>
      <c r="J278" s="14">
        <f t="shared" si="49"/>
        <v>994397.06970451423</v>
      </c>
      <c r="K278" s="14">
        <f t="shared" si="45"/>
        <v>331930.17749392317</v>
      </c>
      <c r="L278" s="14">
        <f t="shared" si="46"/>
        <v>1362466.8922105914</v>
      </c>
    </row>
    <row r="279" spans="1:12" x14ac:dyDescent="0.3">
      <c r="A279">
        <v>274</v>
      </c>
      <c r="B279" s="13">
        <v>53175</v>
      </c>
      <c r="C279" s="14">
        <f t="shared" si="47"/>
        <v>331930.17749392317</v>
      </c>
      <c r="D279" s="14">
        <f t="shared" si="40"/>
        <v>4990.7212168886126</v>
      </c>
      <c r="E279" s="14">
        <f t="shared" si="41"/>
        <v>2860.8359113026054</v>
      </c>
      <c r="F279" s="12">
        <f t="shared" si="42"/>
        <v>0.10342545891676198</v>
      </c>
      <c r="G279" s="14">
        <f t="shared" si="43"/>
        <v>2129.8853055860072</v>
      </c>
      <c r="H279" s="12">
        <f t="shared" si="44"/>
        <v>7.7000000000000013E-2</v>
      </c>
      <c r="I279" s="14">
        <f t="shared" si="48"/>
        <v>370930.65841737966</v>
      </c>
      <c r="J279" s="14">
        <f t="shared" si="49"/>
        <v>996526.95501010027</v>
      </c>
      <c r="K279" s="14">
        <f t="shared" si="45"/>
        <v>329069.34158262057</v>
      </c>
      <c r="L279" s="14">
        <f t="shared" si="46"/>
        <v>1367457.61342748</v>
      </c>
    </row>
    <row r="280" spans="1:12" x14ac:dyDescent="0.3">
      <c r="A280">
        <v>275</v>
      </c>
      <c r="B280" s="13">
        <v>53206</v>
      </c>
      <c r="C280" s="14">
        <f t="shared" si="47"/>
        <v>329069.34158262057</v>
      </c>
      <c r="D280" s="14">
        <f t="shared" si="40"/>
        <v>4990.7212168886126</v>
      </c>
      <c r="E280" s="14">
        <f t="shared" si="41"/>
        <v>2879.1929417334641</v>
      </c>
      <c r="F280" s="12">
        <f t="shared" si="42"/>
        <v>0.10499402689608173</v>
      </c>
      <c r="G280" s="14">
        <f t="shared" si="43"/>
        <v>2111.5282751551485</v>
      </c>
      <c r="H280" s="12">
        <f t="shared" si="44"/>
        <v>7.6999999999999985E-2</v>
      </c>
      <c r="I280" s="14">
        <f t="shared" si="48"/>
        <v>373809.85135911312</v>
      </c>
      <c r="J280" s="14">
        <f t="shared" si="49"/>
        <v>998638.48328525538</v>
      </c>
      <c r="K280" s="14">
        <f t="shared" si="45"/>
        <v>326190.14864088711</v>
      </c>
      <c r="L280" s="14">
        <f t="shared" si="46"/>
        <v>1372448.3346443684</v>
      </c>
    </row>
    <row r="281" spans="1:12" x14ac:dyDescent="0.3">
      <c r="A281">
        <v>276</v>
      </c>
      <c r="B281" s="13">
        <v>53236</v>
      </c>
      <c r="C281" s="14">
        <f t="shared" si="47"/>
        <v>326190.14864088711</v>
      </c>
      <c r="D281" s="14">
        <f t="shared" si="40"/>
        <v>4990.7212168886126</v>
      </c>
      <c r="E281" s="14">
        <f t="shared" si="41"/>
        <v>2897.6677631095868</v>
      </c>
      <c r="F281" s="12">
        <f t="shared" si="42"/>
        <v>0.10660043935170044</v>
      </c>
      <c r="G281" s="14">
        <f t="shared" si="43"/>
        <v>2093.0534537790259</v>
      </c>
      <c r="H281" s="12">
        <f t="shared" si="44"/>
        <v>7.7000000000000013E-2</v>
      </c>
      <c r="I281" s="14">
        <f t="shared" si="48"/>
        <v>376707.51912222273</v>
      </c>
      <c r="J281" s="14">
        <f t="shared" si="49"/>
        <v>1000731.5367390345</v>
      </c>
      <c r="K281" s="14">
        <f t="shared" si="45"/>
        <v>323292.4808777775</v>
      </c>
      <c r="L281" s="14">
        <f t="shared" si="46"/>
        <v>1377439.0558612572</v>
      </c>
    </row>
    <row r="282" spans="1:12" x14ac:dyDescent="0.3">
      <c r="A282">
        <v>277</v>
      </c>
      <c r="B282" s="13">
        <v>53267</v>
      </c>
      <c r="C282" s="14">
        <f t="shared" si="47"/>
        <v>323292.4808777775</v>
      </c>
      <c r="D282" s="14">
        <f t="shared" si="40"/>
        <v>4990.7212168886126</v>
      </c>
      <c r="E282" s="14">
        <f t="shared" si="41"/>
        <v>2916.2611312562067</v>
      </c>
      <c r="F282" s="12">
        <f t="shared" si="42"/>
        <v>0.10824604853183883</v>
      </c>
      <c r="G282" s="14">
        <f t="shared" si="43"/>
        <v>2074.4600856324059</v>
      </c>
      <c r="H282" s="12">
        <f t="shared" si="44"/>
        <v>7.7000000000000013E-2</v>
      </c>
      <c r="I282" s="14">
        <f t="shared" si="48"/>
        <v>379623.78025347891</v>
      </c>
      <c r="J282" s="14">
        <f t="shared" si="49"/>
        <v>1002805.9968246669</v>
      </c>
      <c r="K282" s="14">
        <f t="shared" si="45"/>
        <v>320376.21974652132</v>
      </c>
      <c r="L282" s="14">
        <f t="shared" si="46"/>
        <v>1382429.7770781456</v>
      </c>
    </row>
    <row r="283" spans="1:12" x14ac:dyDescent="0.3">
      <c r="A283">
        <v>278</v>
      </c>
      <c r="B283" s="13">
        <v>53297</v>
      </c>
      <c r="C283" s="14">
        <f t="shared" si="47"/>
        <v>320376.21974652132</v>
      </c>
      <c r="D283" s="14">
        <f t="shared" si="40"/>
        <v>4990.7212168886126</v>
      </c>
      <c r="E283" s="14">
        <f t="shared" si="41"/>
        <v>2934.9738068484339</v>
      </c>
      <c r="F283" s="12">
        <f t="shared" si="42"/>
        <v>0.10993227184603992</v>
      </c>
      <c r="G283" s="14">
        <f t="shared" si="43"/>
        <v>2055.7474100401787</v>
      </c>
      <c r="H283" s="12">
        <f t="shared" si="44"/>
        <v>7.6999999999999999E-2</v>
      </c>
      <c r="I283" s="14">
        <f t="shared" si="48"/>
        <v>382558.75406032737</v>
      </c>
      <c r="J283" s="14">
        <f t="shared" si="49"/>
        <v>1004861.7442347071</v>
      </c>
      <c r="K283" s="14">
        <f t="shared" si="45"/>
        <v>317441.24593967287</v>
      </c>
      <c r="L283" s="14">
        <f t="shared" si="46"/>
        <v>1387420.4982950345</v>
      </c>
    </row>
    <row r="284" spans="1:12" x14ac:dyDescent="0.3">
      <c r="A284">
        <v>279</v>
      </c>
      <c r="B284" s="13">
        <v>53328</v>
      </c>
      <c r="C284" s="14">
        <f t="shared" si="47"/>
        <v>317441.24593967287</v>
      </c>
      <c r="D284" s="14">
        <f t="shared" si="40"/>
        <v>4990.7212168886126</v>
      </c>
      <c r="E284" s="14">
        <f t="shared" si="41"/>
        <v>2953.8065554423783</v>
      </c>
      <c r="F284" s="12">
        <f t="shared" si="42"/>
        <v>0.11166059583840188</v>
      </c>
      <c r="G284" s="14">
        <f t="shared" si="43"/>
        <v>2036.9146614462343</v>
      </c>
      <c r="H284" s="12">
        <f t="shared" si="44"/>
        <v>7.6999999999999999E-2</v>
      </c>
      <c r="I284" s="14">
        <f t="shared" si="48"/>
        <v>385512.56061576976</v>
      </c>
      <c r="J284" s="14">
        <f t="shared" si="49"/>
        <v>1006898.6588961533</v>
      </c>
      <c r="K284" s="14">
        <f t="shared" si="45"/>
        <v>314487.43938423047</v>
      </c>
      <c r="L284" s="14">
        <f t="shared" si="46"/>
        <v>1392411.2195119231</v>
      </c>
    </row>
    <row r="285" spans="1:12" x14ac:dyDescent="0.3">
      <c r="A285">
        <v>280</v>
      </c>
      <c r="B285" s="13">
        <v>53359</v>
      </c>
      <c r="C285" s="14">
        <f t="shared" si="47"/>
        <v>314487.43938423047</v>
      </c>
      <c r="D285" s="14">
        <f t="shared" si="40"/>
        <v>4990.7212168886126</v>
      </c>
      <c r="E285" s="14">
        <f t="shared" si="41"/>
        <v>2972.7601475064671</v>
      </c>
      <c r="F285" s="12">
        <f t="shared" si="42"/>
        <v>0.11343258045512383</v>
      </c>
      <c r="G285" s="14">
        <f t="shared" si="43"/>
        <v>2017.9610693821455</v>
      </c>
      <c r="H285" s="12">
        <f t="shared" si="44"/>
        <v>7.6999999999999999E-2</v>
      </c>
      <c r="I285" s="14">
        <f t="shared" si="48"/>
        <v>388485.32076327625</v>
      </c>
      <c r="J285" s="14">
        <f t="shared" si="49"/>
        <v>1008916.6199655355</v>
      </c>
      <c r="K285" s="14">
        <f t="shared" si="45"/>
        <v>311514.67923672398</v>
      </c>
      <c r="L285" s="14">
        <f t="shared" si="46"/>
        <v>1397401.9407288118</v>
      </c>
    </row>
    <row r="286" spans="1:12" x14ac:dyDescent="0.3">
      <c r="A286">
        <v>281</v>
      </c>
      <c r="B286" s="13">
        <v>53387</v>
      </c>
      <c r="C286" s="14">
        <f t="shared" si="47"/>
        <v>311514.67923672398</v>
      </c>
      <c r="D286" s="14">
        <f t="shared" si="40"/>
        <v>4990.7212168886126</v>
      </c>
      <c r="E286" s="14">
        <f t="shared" si="41"/>
        <v>2991.8353584529668</v>
      </c>
      <c r="F286" s="12">
        <f t="shared" si="42"/>
        <v>0.11524986363211859</v>
      </c>
      <c r="G286" s="14">
        <f t="shared" si="43"/>
        <v>1998.8858584356456</v>
      </c>
      <c r="H286" s="12">
        <f t="shared" si="44"/>
        <v>7.6999999999999999E-2</v>
      </c>
      <c r="I286" s="14">
        <f t="shared" si="48"/>
        <v>391477.15612172923</v>
      </c>
      <c r="J286" s="14">
        <f t="shared" si="49"/>
        <v>1010915.5058239711</v>
      </c>
      <c r="K286" s="14">
        <f t="shared" si="45"/>
        <v>308522.843878271</v>
      </c>
      <c r="L286" s="14">
        <f t="shared" si="46"/>
        <v>1402392.6619457004</v>
      </c>
    </row>
    <row r="287" spans="1:12" x14ac:dyDescent="0.3">
      <c r="A287">
        <v>282</v>
      </c>
      <c r="B287" s="13">
        <v>53418</v>
      </c>
      <c r="C287" s="14">
        <f t="shared" si="47"/>
        <v>308522.843878271</v>
      </c>
      <c r="D287" s="14">
        <f t="shared" si="40"/>
        <v>4990.7212168886126</v>
      </c>
      <c r="E287" s="14">
        <f t="shared" si="41"/>
        <v>3011.0329686697069</v>
      </c>
      <c r="F287" s="12">
        <f t="shared" si="42"/>
        <v>0.11711416623105118</v>
      </c>
      <c r="G287" s="14">
        <f t="shared" si="43"/>
        <v>1979.6882482189058</v>
      </c>
      <c r="H287" s="12">
        <f t="shared" si="44"/>
        <v>7.6999999999999999E-2</v>
      </c>
      <c r="I287" s="14">
        <f t="shared" si="48"/>
        <v>394488.18909039896</v>
      </c>
      <c r="J287" s="14">
        <f t="shared" si="49"/>
        <v>1012895.19407219</v>
      </c>
      <c r="K287" s="14">
        <f t="shared" si="45"/>
        <v>305511.81090960128</v>
      </c>
      <c r="L287" s="14">
        <f t="shared" si="46"/>
        <v>1407383.3831625888</v>
      </c>
    </row>
    <row r="288" spans="1:12" x14ac:dyDescent="0.3">
      <c r="A288">
        <v>283</v>
      </c>
      <c r="B288" s="13">
        <v>53448</v>
      </c>
      <c r="C288" s="14">
        <f t="shared" si="47"/>
        <v>305511.81090960128</v>
      </c>
      <c r="D288" s="14">
        <f t="shared" si="40"/>
        <v>4990.7212168886126</v>
      </c>
      <c r="E288" s="14">
        <f t="shared" si="41"/>
        <v>3030.3537635520042</v>
      </c>
      <c r="F288" s="12">
        <f t="shared" si="42"/>
        <v>0.11902729735507335</v>
      </c>
      <c r="G288" s="14">
        <f t="shared" si="43"/>
        <v>1960.3674533366082</v>
      </c>
      <c r="H288" s="12">
        <f t="shared" si="44"/>
        <v>7.6999999999999999E-2</v>
      </c>
      <c r="I288" s="14">
        <f t="shared" si="48"/>
        <v>397518.54285395099</v>
      </c>
      <c r="J288" s="14">
        <f t="shared" si="49"/>
        <v>1014855.5615255266</v>
      </c>
      <c r="K288" s="14">
        <f t="shared" si="45"/>
        <v>302481.45714604924</v>
      </c>
      <c r="L288" s="14">
        <f t="shared" si="46"/>
        <v>1412374.1043794774</v>
      </c>
    </row>
    <row r="289" spans="1:12" x14ac:dyDescent="0.3">
      <c r="A289">
        <v>284</v>
      </c>
      <c r="B289" s="13">
        <v>53479</v>
      </c>
      <c r="C289" s="14">
        <f t="shared" si="47"/>
        <v>302481.45714604924</v>
      </c>
      <c r="D289" s="14">
        <f t="shared" si="40"/>
        <v>4990.7212168886126</v>
      </c>
      <c r="E289" s="14">
        <f t="shared" si="41"/>
        <v>3049.7985335347967</v>
      </c>
      <c r="F289" s="12">
        <f t="shared" si="42"/>
        <v>0.12099116007877102</v>
      </c>
      <c r="G289" s="14">
        <f t="shared" si="43"/>
        <v>1940.922683353816</v>
      </c>
      <c r="H289" s="12">
        <f t="shared" si="44"/>
        <v>7.6999999999999999E-2</v>
      </c>
      <c r="I289" s="14">
        <f t="shared" si="48"/>
        <v>400568.34138748579</v>
      </c>
      <c r="J289" s="14">
        <f t="shared" si="49"/>
        <v>1016796.4842088803</v>
      </c>
      <c r="K289" s="14">
        <f t="shared" si="45"/>
        <v>299431.65861251444</v>
      </c>
      <c r="L289" s="14">
        <f t="shared" si="46"/>
        <v>1417364.8255963661</v>
      </c>
    </row>
    <row r="290" spans="1:12" x14ac:dyDescent="0.3">
      <c r="A290">
        <v>285</v>
      </c>
      <c r="B290" s="13">
        <v>53509</v>
      </c>
      <c r="C290" s="14">
        <f t="shared" si="47"/>
        <v>299431.65861251444</v>
      </c>
      <c r="D290" s="14">
        <f t="shared" si="40"/>
        <v>4990.7212168886126</v>
      </c>
      <c r="E290" s="14">
        <f t="shared" si="41"/>
        <v>3069.3680741249782</v>
      </c>
      <c r="F290" s="12">
        <f t="shared" si="42"/>
        <v>0.12300775763047644</v>
      </c>
      <c r="G290" s="14">
        <f t="shared" si="43"/>
        <v>1921.3531427636344</v>
      </c>
      <c r="H290" s="12">
        <f t="shared" si="44"/>
        <v>7.6999999999999999E-2</v>
      </c>
      <c r="I290" s="14">
        <f t="shared" si="48"/>
        <v>403637.70946161076</v>
      </c>
      <c r="J290" s="14">
        <f t="shared" si="49"/>
        <v>1018717.8373516439</v>
      </c>
      <c r="K290" s="14">
        <f t="shared" si="45"/>
        <v>296362.29053838947</v>
      </c>
      <c r="L290" s="14">
        <f t="shared" si="46"/>
        <v>1422355.5468132547</v>
      </c>
    </row>
    <row r="291" spans="1:12" x14ac:dyDescent="0.3">
      <c r="A291">
        <v>286</v>
      </c>
      <c r="B291" s="13">
        <v>53540</v>
      </c>
      <c r="C291" s="14">
        <f t="shared" si="47"/>
        <v>296362.29053838947</v>
      </c>
      <c r="D291" s="14">
        <f t="shared" si="40"/>
        <v>4990.7212168886126</v>
      </c>
      <c r="E291" s="14">
        <f t="shared" si="41"/>
        <v>3089.0631859339469</v>
      </c>
      <c r="F291" s="12">
        <f t="shared" si="42"/>
        <v>0.12507920006916545</v>
      </c>
      <c r="G291" s="14">
        <f t="shared" si="43"/>
        <v>1901.6580309546657</v>
      </c>
      <c r="H291" s="12">
        <f t="shared" si="44"/>
        <v>7.6999999999999999E-2</v>
      </c>
      <c r="I291" s="14">
        <f t="shared" si="48"/>
        <v>406726.77264754468</v>
      </c>
      <c r="J291" s="14">
        <f t="shared" si="49"/>
        <v>1020619.4953825986</v>
      </c>
      <c r="K291" s="14">
        <f t="shared" si="45"/>
        <v>293273.22735245555</v>
      </c>
      <c r="L291" s="14">
        <f t="shared" si="46"/>
        <v>1427346.2680301433</v>
      </c>
    </row>
    <row r="292" spans="1:12" x14ac:dyDescent="0.3">
      <c r="A292">
        <v>287</v>
      </c>
      <c r="B292" s="13">
        <v>53571</v>
      </c>
      <c r="C292" s="14">
        <f t="shared" si="47"/>
        <v>293273.22735245555</v>
      </c>
      <c r="D292" s="14">
        <f t="shared" si="40"/>
        <v>4990.7212168886126</v>
      </c>
      <c r="E292" s="14">
        <f t="shared" si="41"/>
        <v>3108.8846747103562</v>
      </c>
      <c r="F292" s="12">
        <f t="shared" si="42"/>
        <v>0.12720771150272511</v>
      </c>
      <c r="G292" s="14">
        <f t="shared" si="43"/>
        <v>1881.8365421782564</v>
      </c>
      <c r="H292" s="12">
        <f t="shared" si="44"/>
        <v>7.6999999999999999E-2</v>
      </c>
      <c r="I292" s="14">
        <f t="shared" si="48"/>
        <v>409835.65732225502</v>
      </c>
      <c r="J292" s="14">
        <f t="shared" si="49"/>
        <v>1022501.3319247769</v>
      </c>
      <c r="K292" s="14">
        <f t="shared" si="45"/>
        <v>290164.34267774521</v>
      </c>
      <c r="L292" s="14">
        <f t="shared" si="46"/>
        <v>1432336.989247032</v>
      </c>
    </row>
    <row r="293" spans="1:12" x14ac:dyDescent="0.3">
      <c r="A293">
        <v>288</v>
      </c>
      <c r="B293" s="13">
        <v>53601</v>
      </c>
      <c r="C293" s="14">
        <f t="shared" si="47"/>
        <v>290164.34267774521</v>
      </c>
      <c r="D293" s="14">
        <f t="shared" si="40"/>
        <v>4990.7212168886126</v>
      </c>
      <c r="E293" s="14">
        <f t="shared" si="41"/>
        <v>3128.8333513730809</v>
      </c>
      <c r="F293" s="12">
        <f t="shared" si="42"/>
        <v>0.12939563789950351</v>
      </c>
      <c r="G293" s="14">
        <f t="shared" si="43"/>
        <v>1861.8878655155318</v>
      </c>
      <c r="H293" s="12">
        <f t="shared" si="44"/>
        <v>7.6999999999999999E-2</v>
      </c>
      <c r="I293" s="14">
        <f t="shared" si="48"/>
        <v>412964.49067362811</v>
      </c>
      <c r="J293" s="14">
        <f t="shared" si="49"/>
        <v>1024363.2197902924</v>
      </c>
      <c r="K293" s="14">
        <f t="shared" si="45"/>
        <v>287035.50932637212</v>
      </c>
      <c r="L293" s="14">
        <f t="shared" si="46"/>
        <v>1437327.7104639206</v>
      </c>
    </row>
    <row r="294" spans="1:12" x14ac:dyDescent="0.3">
      <c r="A294">
        <v>289</v>
      </c>
      <c r="B294" s="13">
        <v>53632</v>
      </c>
      <c r="C294" s="14">
        <f t="shared" si="47"/>
        <v>287035.50932637212</v>
      </c>
      <c r="D294" s="14">
        <f t="shared" si="40"/>
        <v>4990.7212168886126</v>
      </c>
      <c r="E294" s="14">
        <f t="shared" si="41"/>
        <v>3148.9100320443913</v>
      </c>
      <c r="F294" s="12">
        <f t="shared" si="42"/>
        <v>0.13164545555082277</v>
      </c>
      <c r="G294" s="14">
        <f t="shared" si="43"/>
        <v>1841.8111848442211</v>
      </c>
      <c r="H294" s="12">
        <f t="shared" si="44"/>
        <v>7.6999999999999999E-2</v>
      </c>
      <c r="I294" s="14">
        <f t="shared" si="48"/>
        <v>416113.40070567251</v>
      </c>
      <c r="J294" s="14">
        <f t="shared" si="49"/>
        <v>1026205.0309751367</v>
      </c>
      <c r="K294" s="14">
        <f t="shared" si="45"/>
        <v>283886.59929432772</v>
      </c>
      <c r="L294" s="14">
        <f t="shared" si="46"/>
        <v>1442318.4316808092</v>
      </c>
    </row>
    <row r="295" spans="1:12" x14ac:dyDescent="0.3">
      <c r="A295">
        <v>290</v>
      </c>
      <c r="B295" s="13">
        <v>53662</v>
      </c>
      <c r="C295" s="14">
        <f t="shared" si="47"/>
        <v>283886.59929432772</v>
      </c>
      <c r="D295" s="14">
        <f t="shared" si="40"/>
        <v>4990.7212168886126</v>
      </c>
      <c r="E295" s="14">
        <f t="shared" si="41"/>
        <v>3169.1155380833429</v>
      </c>
      <c r="F295" s="12">
        <f t="shared" si="42"/>
        <v>0.13395978024863384</v>
      </c>
      <c r="G295" s="14">
        <f t="shared" si="43"/>
        <v>1821.6056788052697</v>
      </c>
      <c r="H295" s="12">
        <f t="shared" si="44"/>
        <v>7.6999999999999999E-2</v>
      </c>
      <c r="I295" s="14">
        <f t="shared" si="48"/>
        <v>419282.51624375588</v>
      </c>
      <c r="J295" s="14">
        <f t="shared" si="49"/>
        <v>1028026.6366539419</v>
      </c>
      <c r="K295" s="14">
        <f t="shared" si="45"/>
        <v>280717.48375624436</v>
      </c>
      <c r="L295" s="14">
        <f t="shared" si="46"/>
        <v>1447309.1528976979</v>
      </c>
    </row>
    <row r="296" spans="1:12" x14ac:dyDescent="0.3">
      <c r="A296">
        <v>291</v>
      </c>
      <c r="B296" s="13">
        <v>53693</v>
      </c>
      <c r="C296" s="14">
        <f t="shared" si="47"/>
        <v>280717.48375624436</v>
      </c>
      <c r="D296" s="14">
        <f t="shared" si="40"/>
        <v>4990.7212168886126</v>
      </c>
      <c r="E296" s="14">
        <f t="shared" si="41"/>
        <v>3189.4506961193779</v>
      </c>
      <c r="F296" s="12">
        <f t="shared" si="42"/>
        <v>0.13634137724982787</v>
      </c>
      <c r="G296" s="14">
        <f t="shared" si="43"/>
        <v>1801.2705207692347</v>
      </c>
      <c r="H296" s="12">
        <f t="shared" si="44"/>
        <v>7.6999999999999999E-2</v>
      </c>
      <c r="I296" s="14">
        <f t="shared" si="48"/>
        <v>422471.96693987527</v>
      </c>
      <c r="J296" s="14">
        <f t="shared" si="49"/>
        <v>1029827.9071747112</v>
      </c>
      <c r="K296" s="14">
        <f t="shared" si="45"/>
        <v>277528.03306012496</v>
      </c>
      <c r="L296" s="14">
        <f t="shared" si="46"/>
        <v>1452299.8741145865</v>
      </c>
    </row>
    <row r="297" spans="1:12" x14ac:dyDescent="0.3">
      <c r="A297">
        <v>292</v>
      </c>
      <c r="B297" s="13">
        <v>53724</v>
      </c>
      <c r="C297" s="14">
        <f t="shared" si="47"/>
        <v>277528.03306012496</v>
      </c>
      <c r="D297" s="14">
        <f t="shared" si="40"/>
        <v>4990.7212168886126</v>
      </c>
      <c r="E297" s="14">
        <f t="shared" si="41"/>
        <v>3209.9163380861442</v>
      </c>
      <c r="F297" s="12">
        <f t="shared" si="42"/>
        <v>0.13879317210700945</v>
      </c>
      <c r="G297" s="14">
        <f t="shared" si="43"/>
        <v>1780.8048788024685</v>
      </c>
      <c r="H297" s="12">
        <f t="shared" si="44"/>
        <v>7.6999999999999999E-2</v>
      </c>
      <c r="I297" s="14">
        <f t="shared" si="48"/>
        <v>425681.8832779614</v>
      </c>
      <c r="J297" s="14">
        <f t="shared" si="49"/>
        <v>1031608.7120535137</v>
      </c>
      <c r="K297" s="14">
        <f t="shared" si="45"/>
        <v>274318.11672203883</v>
      </c>
      <c r="L297" s="14">
        <f t="shared" si="46"/>
        <v>1457290.5953314751</v>
      </c>
    </row>
    <row r="298" spans="1:12" x14ac:dyDescent="0.3">
      <c r="A298">
        <v>293</v>
      </c>
      <c r="B298" s="13">
        <v>53752</v>
      </c>
      <c r="C298" s="14">
        <f t="shared" si="47"/>
        <v>274318.11672203883</v>
      </c>
      <c r="D298" s="14">
        <f t="shared" si="40"/>
        <v>4990.7212168886126</v>
      </c>
      <c r="E298" s="14">
        <f t="shared" si="41"/>
        <v>3230.5133012555298</v>
      </c>
      <c r="F298" s="12">
        <f t="shared" si="42"/>
        <v>0.1413182624549269</v>
      </c>
      <c r="G298" s="14">
        <f t="shared" si="43"/>
        <v>1760.2079156330826</v>
      </c>
      <c r="H298" s="12">
        <f t="shared" si="44"/>
        <v>7.6999999999999999E-2</v>
      </c>
      <c r="I298" s="14">
        <f t="shared" si="48"/>
        <v>428912.39657921693</v>
      </c>
      <c r="J298" s="14">
        <f t="shared" si="49"/>
        <v>1033368.9199691468</v>
      </c>
      <c r="K298" s="14">
        <f t="shared" si="45"/>
        <v>271087.6034207833</v>
      </c>
      <c r="L298" s="14">
        <f t="shared" si="46"/>
        <v>1462281.3165483638</v>
      </c>
    </row>
    <row r="299" spans="1:12" x14ac:dyDescent="0.3">
      <c r="A299">
        <v>294</v>
      </c>
      <c r="B299" s="13">
        <v>53783</v>
      </c>
      <c r="C299" s="14">
        <f t="shared" si="47"/>
        <v>271087.6034207833</v>
      </c>
      <c r="D299" s="14">
        <f t="shared" si="40"/>
        <v>4990.7212168886126</v>
      </c>
      <c r="E299" s="14">
        <f t="shared" si="41"/>
        <v>3251.2424282719194</v>
      </c>
      <c r="F299" s="12">
        <f t="shared" si="42"/>
        <v>0.14391993085240393</v>
      </c>
      <c r="G299" s="14">
        <f t="shared" si="43"/>
        <v>1739.478788616693</v>
      </c>
      <c r="H299" s="12">
        <f t="shared" si="44"/>
        <v>7.6999999999999999E-2</v>
      </c>
      <c r="I299" s="14">
        <f t="shared" si="48"/>
        <v>432163.63900748885</v>
      </c>
      <c r="J299" s="14">
        <f t="shared" si="49"/>
        <v>1035108.3987577636</v>
      </c>
      <c r="K299" s="14">
        <f t="shared" si="45"/>
        <v>267836.36099251139</v>
      </c>
      <c r="L299" s="14">
        <f t="shared" si="46"/>
        <v>1467272.0377652524</v>
      </c>
    </row>
    <row r="300" spans="1:12" x14ac:dyDescent="0.3">
      <c r="A300">
        <v>295</v>
      </c>
      <c r="B300" s="13">
        <v>53813</v>
      </c>
      <c r="C300" s="14">
        <f t="shared" si="47"/>
        <v>267836.36099251139</v>
      </c>
      <c r="D300" s="14">
        <f t="shared" si="40"/>
        <v>4990.7212168886126</v>
      </c>
      <c r="E300" s="14">
        <f t="shared" si="41"/>
        <v>3272.1045671866646</v>
      </c>
      <c r="F300" s="12">
        <f t="shared" si="42"/>
        <v>0.14660165879171955</v>
      </c>
      <c r="G300" s="14">
        <f t="shared" si="43"/>
        <v>1718.6166497019481</v>
      </c>
      <c r="H300" s="12">
        <f t="shared" si="44"/>
        <v>7.6999999999999999E-2</v>
      </c>
      <c r="I300" s="14">
        <f t="shared" si="48"/>
        <v>435435.74357467552</v>
      </c>
      <c r="J300" s="14">
        <f t="shared" si="49"/>
        <v>1036827.0154074655</v>
      </c>
      <c r="K300" s="14">
        <f t="shared" si="45"/>
        <v>264564.25642532471</v>
      </c>
      <c r="L300" s="14">
        <f t="shared" si="46"/>
        <v>1472262.758982141</v>
      </c>
    </row>
    <row r="301" spans="1:12" x14ac:dyDescent="0.3">
      <c r="A301">
        <v>296</v>
      </c>
      <c r="B301" s="13">
        <v>53844</v>
      </c>
      <c r="C301" s="14">
        <f t="shared" si="47"/>
        <v>264564.25642532471</v>
      </c>
      <c r="D301" s="14">
        <f t="shared" si="40"/>
        <v>4990.7212168886126</v>
      </c>
      <c r="E301" s="14">
        <f t="shared" si="41"/>
        <v>3293.1005714927787</v>
      </c>
      <c r="F301" s="12">
        <f t="shared" si="42"/>
        <v>0.14936714200116213</v>
      </c>
      <c r="G301" s="14">
        <f t="shared" si="43"/>
        <v>1697.6206453958337</v>
      </c>
      <c r="H301" s="12">
        <f t="shared" si="44"/>
        <v>7.6999999999999999E-2</v>
      </c>
      <c r="I301" s="14">
        <f t="shared" si="48"/>
        <v>438728.84414616833</v>
      </c>
      <c r="J301" s="14">
        <f t="shared" si="49"/>
        <v>1038524.6360528613</v>
      </c>
      <c r="K301" s="14">
        <f t="shared" si="45"/>
        <v>261271.15585383194</v>
      </c>
      <c r="L301" s="14">
        <f t="shared" si="46"/>
        <v>1477253.4801990297</v>
      </c>
    </row>
    <row r="302" spans="1:12" x14ac:dyDescent="0.3">
      <c r="A302">
        <v>297</v>
      </c>
      <c r="B302" s="13">
        <v>53874</v>
      </c>
      <c r="C302" s="14">
        <f t="shared" si="47"/>
        <v>261271.15585383194</v>
      </c>
      <c r="D302" s="14">
        <f t="shared" si="40"/>
        <v>4990.7212168886126</v>
      </c>
      <c r="E302" s="14">
        <f t="shared" si="41"/>
        <v>3314.2313001598577</v>
      </c>
      <c r="F302" s="12">
        <f t="shared" si="42"/>
        <v>0.15222030718219826</v>
      </c>
      <c r="G302" s="14">
        <f t="shared" si="43"/>
        <v>1676.4899167287549</v>
      </c>
      <c r="H302" s="12">
        <f t="shared" si="44"/>
        <v>7.6999999999999999E-2</v>
      </c>
      <c r="I302" s="14">
        <f t="shared" si="48"/>
        <v>442043.07544632821</v>
      </c>
      <c r="J302" s="14">
        <f t="shared" si="49"/>
        <v>1040201.1259695902</v>
      </c>
      <c r="K302" s="14">
        <f t="shared" si="45"/>
        <v>257956.92455367208</v>
      </c>
      <c r="L302" s="14">
        <f t="shared" si="46"/>
        <v>1482244.2014159183</v>
      </c>
    </row>
    <row r="303" spans="1:12" x14ac:dyDescent="0.3">
      <c r="A303">
        <v>298</v>
      </c>
      <c r="B303" s="13">
        <v>53905</v>
      </c>
      <c r="C303" s="14">
        <f t="shared" si="47"/>
        <v>257956.92455367208</v>
      </c>
      <c r="D303" s="14">
        <f t="shared" si="40"/>
        <v>4990.7212168886126</v>
      </c>
      <c r="E303" s="14">
        <f t="shared" si="41"/>
        <v>3335.4976176692167</v>
      </c>
      <c r="F303" s="12">
        <f t="shared" si="42"/>
        <v>0.15516533034065755</v>
      </c>
      <c r="G303" s="14">
        <f t="shared" si="43"/>
        <v>1655.223599219396</v>
      </c>
      <c r="H303" s="12">
        <f t="shared" si="44"/>
        <v>7.6999999999999999E-2</v>
      </c>
      <c r="I303" s="14">
        <f t="shared" si="48"/>
        <v>445378.57306399744</v>
      </c>
      <c r="J303" s="14">
        <f t="shared" si="49"/>
        <v>1041856.3495688095</v>
      </c>
      <c r="K303" s="14">
        <f t="shared" si="45"/>
        <v>254621.42693600286</v>
      </c>
      <c r="L303" s="14">
        <f t="shared" si="46"/>
        <v>1487234.9226328069</v>
      </c>
    </row>
    <row r="304" spans="1:12" x14ac:dyDescent="0.3">
      <c r="A304">
        <v>299</v>
      </c>
      <c r="B304" s="13">
        <v>53936</v>
      </c>
      <c r="C304" s="14">
        <f t="shared" si="47"/>
        <v>254621.42693600286</v>
      </c>
      <c r="D304" s="14">
        <f t="shared" si="40"/>
        <v>4990.7212168886126</v>
      </c>
      <c r="E304" s="14">
        <f t="shared" si="41"/>
        <v>3356.9003940492612</v>
      </c>
      <c r="F304" s="12">
        <f t="shared" si="42"/>
        <v>0.15820665689190372</v>
      </c>
      <c r="G304" s="14">
        <f t="shared" si="43"/>
        <v>1633.8208228393516</v>
      </c>
      <c r="H304" s="12">
        <f t="shared" si="44"/>
        <v>7.6999999999999999E-2</v>
      </c>
      <c r="I304" s="14">
        <f t="shared" si="48"/>
        <v>448735.47345804668</v>
      </c>
      <c r="J304" s="14">
        <f t="shared" si="49"/>
        <v>1043490.1703916489</v>
      </c>
      <c r="K304" s="14">
        <f t="shared" si="45"/>
        <v>251264.52654195359</v>
      </c>
      <c r="L304" s="14">
        <f t="shared" si="46"/>
        <v>1492225.6438496956</v>
      </c>
    </row>
    <row r="305" spans="1:12" x14ac:dyDescent="0.3">
      <c r="A305">
        <v>300</v>
      </c>
      <c r="B305" s="13">
        <v>53966</v>
      </c>
      <c r="C305" s="14">
        <f t="shared" si="47"/>
        <v>251264.52654195359</v>
      </c>
      <c r="D305" s="14">
        <f t="shared" si="40"/>
        <v>4990.7212168886126</v>
      </c>
      <c r="E305" s="14">
        <f t="shared" si="41"/>
        <v>3378.4405049110774</v>
      </c>
      <c r="F305" s="12">
        <f t="shared" si="42"/>
        <v>0.16134902374356358</v>
      </c>
      <c r="G305" s="14">
        <f t="shared" si="43"/>
        <v>1612.2807119775355</v>
      </c>
      <c r="H305" s="12">
        <f t="shared" si="44"/>
        <v>7.6999999999999999E-2</v>
      </c>
      <c r="I305" s="14">
        <f t="shared" si="48"/>
        <v>452113.91396295774</v>
      </c>
      <c r="J305" s="14">
        <f t="shared" si="49"/>
        <v>1045102.4511036264</v>
      </c>
      <c r="K305" s="14">
        <f t="shared" si="45"/>
        <v>247886.08603704252</v>
      </c>
      <c r="L305" s="14">
        <f t="shared" si="46"/>
        <v>1497216.3650665842</v>
      </c>
    </row>
    <row r="306" spans="1:12" x14ac:dyDescent="0.3">
      <c r="A306">
        <v>301</v>
      </c>
      <c r="B306" s="13">
        <v>53997</v>
      </c>
      <c r="C306" s="14">
        <f t="shared" si="47"/>
        <v>247886.08603704252</v>
      </c>
      <c r="D306" s="14">
        <f t="shared" si="40"/>
        <v>4990.7212168886126</v>
      </c>
      <c r="E306" s="14">
        <f t="shared" si="41"/>
        <v>3400.1188314842566</v>
      </c>
      <c r="F306" s="12">
        <f t="shared" si="42"/>
        <v>0.16459748358652923</v>
      </c>
      <c r="G306" s="14">
        <f t="shared" si="43"/>
        <v>1590.6023854043563</v>
      </c>
      <c r="H306" s="12">
        <f t="shared" si="44"/>
        <v>7.6999999999999999E-2</v>
      </c>
      <c r="I306" s="14">
        <f t="shared" si="48"/>
        <v>455514.03279444197</v>
      </c>
      <c r="J306" s="14">
        <f t="shared" si="49"/>
        <v>1046693.0534890308</v>
      </c>
      <c r="K306" s="14">
        <f t="shared" si="45"/>
        <v>244485.96720555826</v>
      </c>
      <c r="L306" s="14">
        <f t="shared" si="46"/>
        <v>1502207.0862834728</v>
      </c>
    </row>
    <row r="307" spans="1:12" x14ac:dyDescent="0.3">
      <c r="A307">
        <v>302</v>
      </c>
      <c r="B307" s="13">
        <v>54027</v>
      </c>
      <c r="C307" s="14">
        <f t="shared" si="47"/>
        <v>244485.96720555826</v>
      </c>
      <c r="D307" s="14">
        <f t="shared" si="40"/>
        <v>4990.7212168886126</v>
      </c>
      <c r="E307" s="14">
        <f t="shared" si="41"/>
        <v>3421.9362606529471</v>
      </c>
      <c r="F307" s="12">
        <f t="shared" si="42"/>
        <v>0.16795743165623214</v>
      </c>
      <c r="G307" s="14">
        <f t="shared" si="43"/>
        <v>1568.7849562356655</v>
      </c>
      <c r="H307" s="12">
        <f t="shared" si="44"/>
        <v>7.6999999999999999E-2</v>
      </c>
      <c r="I307" s="14">
        <f t="shared" si="48"/>
        <v>458935.96905509493</v>
      </c>
      <c r="J307" s="14">
        <f t="shared" si="49"/>
        <v>1048261.8384452665</v>
      </c>
      <c r="K307" s="14">
        <f t="shared" si="45"/>
        <v>241064.0309449053</v>
      </c>
      <c r="L307" s="14">
        <f t="shared" si="46"/>
        <v>1507197.8075003615</v>
      </c>
    </row>
    <row r="308" spans="1:12" x14ac:dyDescent="0.3">
      <c r="A308">
        <v>303</v>
      </c>
      <c r="B308" s="13">
        <v>54058</v>
      </c>
      <c r="C308" s="14">
        <f t="shared" si="47"/>
        <v>241064.0309449053</v>
      </c>
      <c r="D308" s="14">
        <f t="shared" si="40"/>
        <v>4990.7212168886126</v>
      </c>
      <c r="E308" s="14">
        <f t="shared" si="41"/>
        <v>3443.893684992137</v>
      </c>
      <c r="F308" s="12">
        <f t="shared" si="42"/>
        <v>0.17143463526232489</v>
      </c>
      <c r="G308" s="14">
        <f t="shared" si="43"/>
        <v>1546.8275318964756</v>
      </c>
      <c r="H308" s="12">
        <f t="shared" si="44"/>
        <v>7.6999999999999999E-2</v>
      </c>
      <c r="I308" s="14">
        <f t="shared" si="48"/>
        <v>462379.86274008709</v>
      </c>
      <c r="J308" s="14">
        <f t="shared" si="49"/>
        <v>1049808.665977163</v>
      </c>
      <c r="K308" s="14">
        <f t="shared" si="45"/>
        <v>237620.13725991317</v>
      </c>
      <c r="L308" s="14">
        <f t="shared" si="46"/>
        <v>1512188.5287172501</v>
      </c>
    </row>
    <row r="309" spans="1:12" x14ac:dyDescent="0.3">
      <c r="A309">
        <v>304</v>
      </c>
      <c r="B309" s="13">
        <v>54089</v>
      </c>
      <c r="C309" s="14">
        <f t="shared" si="47"/>
        <v>237620.13725991317</v>
      </c>
      <c r="D309" s="14">
        <f t="shared" si="40"/>
        <v>4990.7212168886126</v>
      </c>
      <c r="E309" s="14">
        <f t="shared" si="41"/>
        <v>3465.9920028041697</v>
      </c>
      <c r="F309" s="12">
        <f t="shared" si="42"/>
        <v>0.17503526642675099</v>
      </c>
      <c r="G309" s="14">
        <f t="shared" si="43"/>
        <v>1524.7292140844429</v>
      </c>
      <c r="H309" s="12">
        <f t="shared" si="44"/>
        <v>7.6999999999999999E-2</v>
      </c>
      <c r="I309" s="14">
        <f t="shared" si="48"/>
        <v>465845.85474289127</v>
      </c>
      <c r="J309" s="14">
        <f t="shared" si="49"/>
        <v>1051333.3951912473</v>
      </c>
      <c r="K309" s="14">
        <f t="shared" si="45"/>
        <v>234154.14525710899</v>
      </c>
      <c r="L309" s="14">
        <f t="shared" si="46"/>
        <v>1517179.2499341387</v>
      </c>
    </row>
    <row r="310" spans="1:12" x14ac:dyDescent="0.3">
      <c r="A310">
        <v>305</v>
      </c>
      <c r="B310" s="13">
        <v>54118</v>
      </c>
      <c r="C310" s="14">
        <f t="shared" si="47"/>
        <v>234154.14525710899</v>
      </c>
      <c r="D310" s="14">
        <f t="shared" si="40"/>
        <v>4990.7212168886126</v>
      </c>
      <c r="E310" s="14">
        <f t="shared" si="41"/>
        <v>3488.2321181554962</v>
      </c>
      <c r="F310" s="12">
        <f t="shared" si="42"/>
        <v>0.17876593801875096</v>
      </c>
      <c r="G310" s="14">
        <f t="shared" si="43"/>
        <v>1502.4890987331162</v>
      </c>
      <c r="H310" s="12">
        <f t="shared" si="44"/>
        <v>7.7000000000000013E-2</v>
      </c>
      <c r="I310" s="14">
        <f t="shared" si="48"/>
        <v>469334.08686104679</v>
      </c>
      <c r="J310" s="14">
        <f t="shared" si="49"/>
        <v>1052835.8842899804</v>
      </c>
      <c r="K310" s="14">
        <f t="shared" si="45"/>
        <v>230665.9131389535</v>
      </c>
      <c r="L310" s="14">
        <f t="shared" si="46"/>
        <v>1522169.9711510271</v>
      </c>
    </row>
    <row r="311" spans="1:12" x14ac:dyDescent="0.3">
      <c r="A311">
        <v>306</v>
      </c>
      <c r="B311" s="13">
        <v>54149</v>
      </c>
      <c r="C311" s="14">
        <f t="shared" si="47"/>
        <v>230665.9131389535</v>
      </c>
      <c r="D311" s="14">
        <f t="shared" si="40"/>
        <v>4990.7212168886126</v>
      </c>
      <c r="E311" s="14">
        <f t="shared" si="41"/>
        <v>3510.614940913661</v>
      </c>
      <c r="F311" s="12">
        <f t="shared" si="42"/>
        <v>0.18263374383186964</v>
      </c>
      <c r="G311" s="14">
        <f t="shared" si="43"/>
        <v>1480.1062759749516</v>
      </c>
      <c r="H311" s="12">
        <f t="shared" si="44"/>
        <v>7.6999999999999985E-2</v>
      </c>
      <c r="I311" s="14">
        <f t="shared" si="48"/>
        <v>472844.70180196047</v>
      </c>
      <c r="J311" s="14">
        <f t="shared" si="49"/>
        <v>1054315.9905659554</v>
      </c>
      <c r="K311" s="14">
        <f t="shared" si="45"/>
        <v>227155.29819803985</v>
      </c>
      <c r="L311" s="14">
        <f t="shared" si="46"/>
        <v>1527160.692367916</v>
      </c>
    </row>
    <row r="312" spans="1:12" x14ac:dyDescent="0.3">
      <c r="A312">
        <v>307</v>
      </c>
      <c r="B312" s="13">
        <v>54179</v>
      </c>
      <c r="C312" s="14">
        <f t="shared" si="47"/>
        <v>227155.29819803985</v>
      </c>
      <c r="D312" s="14">
        <f t="shared" si="40"/>
        <v>4990.7212168886126</v>
      </c>
      <c r="E312" s="14">
        <f t="shared" si="41"/>
        <v>3533.1413867845235</v>
      </c>
      <c r="F312" s="12">
        <f t="shared" si="42"/>
        <v>0.18664630311396424</v>
      </c>
      <c r="G312" s="14">
        <f t="shared" si="43"/>
        <v>1457.5798301040891</v>
      </c>
      <c r="H312" s="12">
        <f t="shared" si="44"/>
        <v>7.6999999999999999E-2</v>
      </c>
      <c r="I312" s="14">
        <f t="shared" si="48"/>
        <v>476377.84318874497</v>
      </c>
      <c r="J312" s="14">
        <f t="shared" si="49"/>
        <v>1055773.5703960594</v>
      </c>
      <c r="K312" s="14">
        <f t="shared" si="45"/>
        <v>223622.15681125532</v>
      </c>
      <c r="L312" s="14">
        <f t="shared" si="46"/>
        <v>1532151.4135848044</v>
      </c>
    </row>
    <row r="313" spans="1:12" x14ac:dyDescent="0.3">
      <c r="A313">
        <v>308</v>
      </c>
      <c r="B313" s="13">
        <v>54210</v>
      </c>
      <c r="C313" s="14">
        <f t="shared" si="47"/>
        <v>223622.15681125532</v>
      </c>
      <c r="D313" s="14">
        <f t="shared" si="40"/>
        <v>4990.7212168886126</v>
      </c>
      <c r="E313" s="14">
        <f t="shared" si="41"/>
        <v>3555.8123773497246</v>
      </c>
      <c r="F313" s="12">
        <f t="shared" si="42"/>
        <v>0.19081181013834603</v>
      </c>
      <c r="G313" s="14">
        <f t="shared" si="43"/>
        <v>1434.9088395388883</v>
      </c>
      <c r="H313" s="12">
        <f t="shared" si="44"/>
        <v>7.6999999999999999E-2</v>
      </c>
      <c r="I313" s="14">
        <f t="shared" si="48"/>
        <v>479933.65556609468</v>
      </c>
      <c r="J313" s="14">
        <f t="shared" si="49"/>
        <v>1057208.4792355984</v>
      </c>
      <c r="K313" s="14">
        <f t="shared" si="45"/>
        <v>220066.34443390559</v>
      </c>
      <c r="L313" s="14">
        <f t="shared" si="46"/>
        <v>1537142.134801693</v>
      </c>
    </row>
    <row r="314" spans="1:12" x14ac:dyDescent="0.3">
      <c r="A314">
        <v>309</v>
      </c>
      <c r="B314" s="13">
        <v>54240</v>
      </c>
      <c r="C314" s="14">
        <f t="shared" si="47"/>
        <v>220066.34443390559</v>
      </c>
      <c r="D314" s="14">
        <f t="shared" si="40"/>
        <v>4990.7212168886126</v>
      </c>
      <c r="E314" s="14">
        <f t="shared" si="41"/>
        <v>3578.6288401043848</v>
      </c>
      <c r="F314" s="12">
        <f t="shared" si="42"/>
        <v>0.19513908949466929</v>
      </c>
      <c r="G314" s="14">
        <f t="shared" si="43"/>
        <v>1412.0923767842276</v>
      </c>
      <c r="H314" s="12">
        <f t="shared" si="44"/>
        <v>7.6999999999999999E-2</v>
      </c>
      <c r="I314" s="14">
        <f t="shared" si="48"/>
        <v>483512.28440619906</v>
      </c>
      <c r="J314" s="14">
        <f t="shared" si="49"/>
        <v>1058620.5716123825</v>
      </c>
      <c r="K314" s="14">
        <f t="shared" si="45"/>
        <v>216487.7155938012</v>
      </c>
      <c r="L314" s="14">
        <f t="shared" si="46"/>
        <v>1542132.8560185817</v>
      </c>
    </row>
    <row r="315" spans="1:12" x14ac:dyDescent="0.3">
      <c r="A315">
        <v>310</v>
      </c>
      <c r="B315" s="13">
        <v>54271</v>
      </c>
      <c r="C315" s="14">
        <f t="shared" si="47"/>
        <v>216487.7155938012</v>
      </c>
      <c r="D315" s="14">
        <f t="shared" si="40"/>
        <v>4990.7212168886126</v>
      </c>
      <c r="E315" s="14">
        <f t="shared" si="41"/>
        <v>3601.5917084950552</v>
      </c>
      <c r="F315" s="12">
        <f t="shared" si="42"/>
        <v>0.19963765788463136</v>
      </c>
      <c r="G315" s="14">
        <f t="shared" si="43"/>
        <v>1389.1295083935577</v>
      </c>
      <c r="H315" s="12">
        <f t="shared" si="44"/>
        <v>7.6999999999999999E-2</v>
      </c>
      <c r="I315" s="14">
        <f t="shared" si="48"/>
        <v>487113.87611469411</v>
      </c>
      <c r="J315" s="14">
        <f t="shared" si="49"/>
        <v>1060009.7011207761</v>
      </c>
      <c r="K315" s="14">
        <f t="shared" si="45"/>
        <v>212886.12388530615</v>
      </c>
      <c r="L315" s="14">
        <f t="shared" si="46"/>
        <v>1547123.5772354703</v>
      </c>
    </row>
    <row r="316" spans="1:12" x14ac:dyDescent="0.3">
      <c r="A316">
        <v>311</v>
      </c>
      <c r="B316" s="13">
        <v>54302</v>
      </c>
      <c r="C316" s="14">
        <f t="shared" si="47"/>
        <v>212886.12388530615</v>
      </c>
      <c r="D316" s="14">
        <f t="shared" si="40"/>
        <v>4990.7212168886126</v>
      </c>
      <c r="E316" s="14">
        <f t="shared" si="41"/>
        <v>3624.7019219578979</v>
      </c>
      <c r="F316" s="12">
        <f t="shared" si="42"/>
        <v>0.20431779333315669</v>
      </c>
      <c r="G316" s="14">
        <f t="shared" si="43"/>
        <v>1366.0192949307145</v>
      </c>
      <c r="H316" s="12">
        <f t="shared" si="44"/>
        <v>7.6999999999999999E-2</v>
      </c>
      <c r="I316" s="14">
        <f t="shared" si="48"/>
        <v>490738.578036652</v>
      </c>
      <c r="J316" s="14">
        <f t="shared" si="49"/>
        <v>1061375.7204157067</v>
      </c>
      <c r="K316" s="14">
        <f t="shared" si="45"/>
        <v>209261.42196334826</v>
      </c>
      <c r="L316" s="14">
        <f t="shared" si="46"/>
        <v>1552114.2984523587</v>
      </c>
    </row>
    <row r="317" spans="1:12" x14ac:dyDescent="0.3">
      <c r="A317">
        <v>312</v>
      </c>
      <c r="B317" s="13">
        <v>54332</v>
      </c>
      <c r="C317" s="14">
        <f t="shared" si="47"/>
        <v>209261.42196334826</v>
      </c>
      <c r="D317" s="14">
        <f t="shared" si="40"/>
        <v>4990.7212168886126</v>
      </c>
      <c r="E317" s="14">
        <f t="shared" si="41"/>
        <v>3647.9604259571279</v>
      </c>
      <c r="F317" s="12">
        <f t="shared" si="42"/>
        <v>0.20919061287442048</v>
      </c>
      <c r="G317" s="14">
        <f t="shared" si="43"/>
        <v>1342.7607909314847</v>
      </c>
      <c r="H317" s="12">
        <f t="shared" si="44"/>
        <v>7.6999999999999999E-2</v>
      </c>
      <c r="I317" s="14">
        <f t="shared" si="48"/>
        <v>494386.53846260911</v>
      </c>
      <c r="J317" s="14">
        <f t="shared" si="49"/>
        <v>1062718.4812066383</v>
      </c>
      <c r="K317" s="14">
        <f t="shared" si="45"/>
        <v>205613.46153739112</v>
      </c>
      <c r="L317" s="14">
        <f t="shared" si="46"/>
        <v>1557105.0196692473</v>
      </c>
    </row>
    <row r="318" spans="1:12" x14ac:dyDescent="0.3">
      <c r="A318">
        <v>313</v>
      </c>
      <c r="B318" s="13">
        <v>54363</v>
      </c>
      <c r="C318" s="14">
        <f t="shared" si="47"/>
        <v>205613.46153739112</v>
      </c>
      <c r="D318" s="14">
        <f t="shared" si="40"/>
        <v>4990.7212168886126</v>
      </c>
      <c r="E318" s="14">
        <f t="shared" si="41"/>
        <v>3671.3681720236864</v>
      </c>
      <c r="F318" s="12">
        <f t="shared" si="42"/>
        <v>0.2142681599486253</v>
      </c>
      <c r="G318" s="14">
        <f t="shared" si="43"/>
        <v>1319.3530448649265</v>
      </c>
      <c r="H318" s="12">
        <f t="shared" si="44"/>
        <v>7.6999999999999999E-2</v>
      </c>
      <c r="I318" s="14">
        <f t="shared" si="48"/>
        <v>498057.90663463279</v>
      </c>
      <c r="J318" s="14">
        <f t="shared" si="49"/>
        <v>1064037.8342515032</v>
      </c>
      <c r="K318" s="14">
        <f t="shared" si="45"/>
        <v>201942.09336536744</v>
      </c>
      <c r="L318" s="14">
        <f t="shared" si="46"/>
        <v>1562095.740886136</v>
      </c>
    </row>
    <row r="319" spans="1:12" x14ac:dyDescent="0.3">
      <c r="A319">
        <v>314</v>
      </c>
      <c r="B319" s="13">
        <v>54393</v>
      </c>
      <c r="C319" s="14">
        <f t="shared" si="47"/>
        <v>201942.09336536744</v>
      </c>
      <c r="D319" s="14">
        <f t="shared" si="40"/>
        <v>4990.7212168886126</v>
      </c>
      <c r="E319" s="14">
        <f t="shared" si="41"/>
        <v>3694.9261177941717</v>
      </c>
      <c r="F319" s="12">
        <f t="shared" si="42"/>
        <v>0.2195635029558137</v>
      </c>
      <c r="G319" s="14">
        <f t="shared" si="43"/>
        <v>1295.7950990944412</v>
      </c>
      <c r="H319" s="12">
        <f t="shared" si="44"/>
        <v>7.6999999999999999E-2</v>
      </c>
      <c r="I319" s="14">
        <f t="shared" si="48"/>
        <v>501752.83275242697</v>
      </c>
      <c r="J319" s="14">
        <f t="shared" si="49"/>
        <v>1065333.6293505977</v>
      </c>
      <c r="K319" s="14">
        <f t="shared" si="45"/>
        <v>198247.16724757326</v>
      </c>
      <c r="L319" s="14">
        <f t="shared" si="46"/>
        <v>1567086.4621030246</v>
      </c>
    </row>
    <row r="320" spans="1:12" x14ac:dyDescent="0.3">
      <c r="A320">
        <v>315</v>
      </c>
      <c r="B320" s="13">
        <v>54424</v>
      </c>
      <c r="C320" s="14">
        <f t="shared" si="47"/>
        <v>198247.16724757326</v>
      </c>
      <c r="D320" s="14">
        <f t="shared" si="40"/>
        <v>4990.7212168886126</v>
      </c>
      <c r="E320" s="14">
        <f t="shared" si="41"/>
        <v>3718.6352270500174</v>
      </c>
      <c r="F320" s="12">
        <f t="shared" si="42"/>
        <v>0.22509084666452628</v>
      </c>
      <c r="G320" s="14">
        <f t="shared" si="43"/>
        <v>1272.0859898385952</v>
      </c>
      <c r="H320" s="12">
        <f t="shared" si="44"/>
        <v>7.6999999999999999E-2</v>
      </c>
      <c r="I320" s="14">
        <f t="shared" si="48"/>
        <v>505471.46797947696</v>
      </c>
      <c r="J320" s="14">
        <f t="shared" si="49"/>
        <v>1066605.7153404364</v>
      </c>
      <c r="K320" s="14">
        <f t="shared" si="45"/>
        <v>194528.53202052324</v>
      </c>
      <c r="L320" s="14">
        <f t="shared" si="46"/>
        <v>1572077.1833199135</v>
      </c>
    </row>
    <row r="321" spans="1:12" x14ac:dyDescent="0.3">
      <c r="A321">
        <v>316</v>
      </c>
      <c r="B321" s="13">
        <v>54455</v>
      </c>
      <c r="C321" s="14">
        <f t="shared" si="47"/>
        <v>194528.53202052324</v>
      </c>
      <c r="D321" s="14">
        <f t="shared" si="40"/>
        <v>4990.7212168886126</v>
      </c>
      <c r="E321" s="14">
        <f t="shared" si="41"/>
        <v>3742.4964697569217</v>
      </c>
      <c r="F321" s="12">
        <f t="shared" si="42"/>
        <v>0.23086565847494778</v>
      </c>
      <c r="G321" s="14">
        <f t="shared" si="43"/>
        <v>1248.2247471316909</v>
      </c>
      <c r="H321" s="12">
        <f t="shared" si="44"/>
        <v>7.7000000000000013E-2</v>
      </c>
      <c r="I321" s="14">
        <f t="shared" si="48"/>
        <v>509213.9644492339</v>
      </c>
      <c r="J321" s="14">
        <f t="shared" si="49"/>
        <v>1067853.940087568</v>
      </c>
      <c r="K321" s="14">
        <f t="shared" si="45"/>
        <v>190786.03555076633</v>
      </c>
      <c r="L321" s="14">
        <f t="shared" si="46"/>
        <v>1577067.9045368019</v>
      </c>
    </row>
    <row r="322" spans="1:12" x14ac:dyDescent="0.3">
      <c r="A322">
        <v>317</v>
      </c>
      <c r="B322" s="13">
        <v>54483</v>
      </c>
      <c r="C322" s="14">
        <f t="shared" si="47"/>
        <v>190786.03555076633</v>
      </c>
      <c r="D322" s="14">
        <f t="shared" si="40"/>
        <v>4990.7212168886126</v>
      </c>
      <c r="E322" s="14">
        <f t="shared" si="41"/>
        <v>3766.5108221045284</v>
      </c>
      <c r="F322" s="12">
        <f t="shared" si="42"/>
        <v>0.23690481189975537</v>
      </c>
      <c r="G322" s="14">
        <f t="shared" si="43"/>
        <v>1224.210394784084</v>
      </c>
      <c r="H322" s="12">
        <f t="shared" si="44"/>
        <v>7.6999999999999999E-2</v>
      </c>
      <c r="I322" s="14">
        <f t="shared" si="48"/>
        <v>512980.47527133842</v>
      </c>
      <c r="J322" s="14">
        <f t="shared" si="49"/>
        <v>1069078.1504823521</v>
      </c>
      <c r="K322" s="14">
        <f t="shared" si="45"/>
        <v>187019.52472866181</v>
      </c>
      <c r="L322" s="14">
        <f t="shared" si="46"/>
        <v>1582058.6257536905</v>
      </c>
    </row>
    <row r="323" spans="1:12" x14ac:dyDescent="0.3">
      <c r="A323">
        <v>318</v>
      </c>
      <c r="B323" s="13">
        <v>54514</v>
      </c>
      <c r="C323" s="14">
        <f t="shared" si="47"/>
        <v>187019.52472866181</v>
      </c>
      <c r="D323" s="14">
        <f t="shared" si="40"/>
        <v>4990.7212168886126</v>
      </c>
      <c r="E323" s="14">
        <f t="shared" si="41"/>
        <v>3790.6792665463659</v>
      </c>
      <c r="F323" s="12">
        <f t="shared" si="42"/>
        <v>0.24322675006555117</v>
      </c>
      <c r="G323" s="14">
        <f t="shared" si="43"/>
        <v>1200.0419503422468</v>
      </c>
      <c r="H323" s="12">
        <f t="shared" si="44"/>
        <v>7.7000000000000013E-2</v>
      </c>
      <c r="I323" s="14">
        <f t="shared" si="48"/>
        <v>516771.15453788481</v>
      </c>
      <c r="J323" s="14">
        <f t="shared" si="49"/>
        <v>1070278.1924326944</v>
      </c>
      <c r="K323" s="14">
        <f t="shared" si="45"/>
        <v>183228.84546211545</v>
      </c>
      <c r="L323" s="14">
        <f t="shared" si="46"/>
        <v>1587049.3469705791</v>
      </c>
    </row>
    <row r="324" spans="1:12" x14ac:dyDescent="0.3">
      <c r="A324">
        <v>319</v>
      </c>
      <c r="B324" s="13">
        <v>54544</v>
      </c>
      <c r="C324" s="14">
        <f t="shared" si="47"/>
        <v>183228.84546211545</v>
      </c>
      <c r="D324" s="14">
        <f t="shared" si="40"/>
        <v>4990.7212168886126</v>
      </c>
      <c r="E324" s="14">
        <f t="shared" si="41"/>
        <v>3815.0027918400383</v>
      </c>
      <c r="F324" s="12">
        <f t="shared" si="42"/>
        <v>0.24985167257164198</v>
      </c>
      <c r="G324" s="14">
        <f t="shared" si="43"/>
        <v>1175.7184250485741</v>
      </c>
      <c r="H324" s="12">
        <f t="shared" si="44"/>
        <v>7.6999999999999985E-2</v>
      </c>
      <c r="I324" s="14">
        <f t="shared" si="48"/>
        <v>520586.15732972487</v>
      </c>
      <c r="J324" s="14">
        <f t="shared" si="49"/>
        <v>1071453.9108577429</v>
      </c>
      <c r="K324" s="14">
        <f t="shared" si="45"/>
        <v>179413.84267027542</v>
      </c>
      <c r="L324" s="14">
        <f t="shared" si="46"/>
        <v>1592040.0681874678</v>
      </c>
    </row>
    <row r="325" spans="1:12" x14ac:dyDescent="0.3">
      <c r="A325">
        <v>320</v>
      </c>
      <c r="B325" s="13">
        <v>54575</v>
      </c>
      <c r="C325" s="14">
        <f t="shared" si="47"/>
        <v>179413.84267027542</v>
      </c>
      <c r="D325" s="14">
        <f t="shared" si="40"/>
        <v>4990.7212168886126</v>
      </c>
      <c r="E325" s="14">
        <f t="shared" si="41"/>
        <v>3839.4823930876787</v>
      </c>
      <c r="F325" s="12">
        <f t="shared" si="42"/>
        <v>0.25680174969400765</v>
      </c>
      <c r="G325" s="14">
        <f t="shared" si="43"/>
        <v>1151.2388238009339</v>
      </c>
      <c r="H325" s="12">
        <f t="shared" si="44"/>
        <v>7.6999999999999985E-2</v>
      </c>
      <c r="I325" s="14">
        <f t="shared" si="48"/>
        <v>524425.63972281257</v>
      </c>
      <c r="J325" s="14">
        <f t="shared" si="49"/>
        <v>1072605.1496815439</v>
      </c>
      <c r="K325" s="14">
        <f t="shared" si="45"/>
        <v>175574.36027718775</v>
      </c>
      <c r="L325" s="14">
        <f t="shared" si="46"/>
        <v>1597030.7894043564</v>
      </c>
    </row>
    <row r="326" spans="1:12" x14ac:dyDescent="0.3">
      <c r="A326">
        <v>321</v>
      </c>
      <c r="B326" s="13">
        <v>54605</v>
      </c>
      <c r="C326" s="14">
        <f t="shared" si="47"/>
        <v>175574.36027718775</v>
      </c>
      <c r="D326" s="14">
        <f t="shared" si="40"/>
        <v>4990.7212168886126</v>
      </c>
      <c r="E326" s="14">
        <f t="shared" si="41"/>
        <v>3864.1190717766576</v>
      </c>
      <c r="F326" s="12">
        <f t="shared" si="42"/>
        <v>0.2641013687198645</v>
      </c>
      <c r="G326" s="14">
        <f t="shared" si="43"/>
        <v>1126.6021451119548</v>
      </c>
      <c r="H326" s="12">
        <f t="shared" si="44"/>
        <v>7.6999999999999999E-2</v>
      </c>
      <c r="I326" s="14">
        <f t="shared" si="48"/>
        <v>528289.7587945892</v>
      </c>
      <c r="J326" s="14">
        <f t="shared" si="49"/>
        <v>1073731.7518266558</v>
      </c>
      <c r="K326" s="14">
        <f t="shared" si="45"/>
        <v>171710.24120541109</v>
      </c>
      <c r="L326" s="14">
        <f t="shared" si="46"/>
        <v>1602021.510621245</v>
      </c>
    </row>
    <row r="327" spans="1:12" x14ac:dyDescent="0.3">
      <c r="A327">
        <v>322</v>
      </c>
      <c r="B327" s="13">
        <v>54636</v>
      </c>
      <c r="C327" s="14">
        <f t="shared" si="47"/>
        <v>171710.24120541109</v>
      </c>
      <c r="D327" s="14">
        <f t="shared" ref="D327:D365" si="50">$C$6/((($E$2)-1)/($E$1*$E$2))</f>
        <v>4990.7212168886126</v>
      </c>
      <c r="E327" s="14">
        <f t="shared" ref="E327:E365" si="51">D327-G327</f>
        <v>3888.9138358205582</v>
      </c>
      <c r="F327" s="12">
        <f t="shared" ref="F327:F365" si="52">(E327/C327)*12</f>
        <v>0.27177741817985451</v>
      </c>
      <c r="G327" s="14">
        <f t="shared" ref="G327:G365" si="53">C327*($B$1/12)</f>
        <v>1101.8073810680546</v>
      </c>
      <c r="H327" s="12">
        <f t="shared" ref="H327:H365" si="54">(G327/C327)*12</f>
        <v>7.7000000000000013E-2</v>
      </c>
      <c r="I327" s="14">
        <f t="shared" si="48"/>
        <v>532178.67263040971</v>
      </c>
      <c r="J327" s="14">
        <f t="shared" si="49"/>
        <v>1074833.5592077239</v>
      </c>
      <c r="K327" s="14">
        <f t="shared" ref="K327:K365" si="55">C327-E327</f>
        <v>167821.32736959052</v>
      </c>
      <c r="L327" s="14">
        <f t="shared" ref="L327:L365" si="56">I327+J327</f>
        <v>1607012.2318381337</v>
      </c>
    </row>
    <row r="328" spans="1:12" x14ac:dyDescent="0.3">
      <c r="A328">
        <v>323</v>
      </c>
      <c r="B328" s="13">
        <v>54667</v>
      </c>
      <c r="C328" s="14">
        <f t="shared" ref="C328:C365" si="57">K327</f>
        <v>167821.32736959052</v>
      </c>
      <c r="D328" s="14">
        <f t="shared" si="50"/>
        <v>4990.7212168886126</v>
      </c>
      <c r="E328" s="14">
        <f t="shared" si="51"/>
        <v>3913.8676996004069</v>
      </c>
      <c r="F328" s="12">
        <f t="shared" si="52"/>
        <v>0.27985961695900202</v>
      </c>
      <c r="G328" s="14">
        <f t="shared" si="53"/>
        <v>1076.8535172882059</v>
      </c>
      <c r="H328" s="12">
        <f t="shared" si="54"/>
        <v>7.6999999999999999E-2</v>
      </c>
      <c r="I328" s="14">
        <f t="shared" ref="I328:I365" si="58">I327+E328</f>
        <v>536092.54033001012</v>
      </c>
      <c r="J328" s="14">
        <f t="shared" ref="J328:J364" si="59">J327+G328</f>
        <v>1075910.4127250121</v>
      </c>
      <c r="K328" s="14">
        <f t="shared" si="55"/>
        <v>163907.45966999012</v>
      </c>
      <c r="L328" s="14">
        <f t="shared" si="56"/>
        <v>1612002.9530550223</v>
      </c>
    </row>
    <row r="329" spans="1:12" x14ac:dyDescent="0.3">
      <c r="A329">
        <v>324</v>
      </c>
      <c r="B329" s="13">
        <v>54697</v>
      </c>
      <c r="C329" s="14">
        <f t="shared" si="57"/>
        <v>163907.45966999012</v>
      </c>
      <c r="D329" s="14">
        <f t="shared" si="50"/>
        <v>4990.7212168886126</v>
      </c>
      <c r="E329" s="14">
        <f t="shared" si="51"/>
        <v>3938.9816840061758</v>
      </c>
      <c r="F329" s="12">
        <f t="shared" si="52"/>
        <v>0.28838089677701462</v>
      </c>
      <c r="G329" s="14">
        <f t="shared" si="53"/>
        <v>1051.7395328824366</v>
      </c>
      <c r="H329" s="12">
        <f t="shared" si="54"/>
        <v>7.6999999999999999E-2</v>
      </c>
      <c r="I329" s="14">
        <f t="shared" si="58"/>
        <v>540031.52201401629</v>
      </c>
      <c r="J329" s="14">
        <f t="shared" si="59"/>
        <v>1076962.1522578944</v>
      </c>
      <c r="K329" s="14">
        <f t="shared" si="55"/>
        <v>159968.47798598395</v>
      </c>
      <c r="L329" s="14">
        <f t="shared" si="56"/>
        <v>1616993.6742719107</v>
      </c>
    </row>
    <row r="330" spans="1:12" x14ac:dyDescent="0.3">
      <c r="A330">
        <v>325</v>
      </c>
      <c r="B330" s="13">
        <v>54728</v>
      </c>
      <c r="C330" s="14">
        <f t="shared" si="57"/>
        <v>159968.47798598395</v>
      </c>
      <c r="D330" s="14">
        <f t="shared" si="50"/>
        <v>4990.7212168886126</v>
      </c>
      <c r="E330" s="14">
        <f t="shared" si="51"/>
        <v>3964.2568164785489</v>
      </c>
      <c r="F330" s="12">
        <f t="shared" si="52"/>
        <v>0.29737784841530246</v>
      </c>
      <c r="G330" s="14">
        <f t="shared" si="53"/>
        <v>1026.4644004100637</v>
      </c>
      <c r="H330" s="12">
        <f t="shared" si="54"/>
        <v>7.6999999999999999E-2</v>
      </c>
      <c r="I330" s="14">
        <f t="shared" si="58"/>
        <v>543995.77883049485</v>
      </c>
      <c r="J330" s="14">
        <f t="shared" si="59"/>
        <v>1077988.6166583044</v>
      </c>
      <c r="K330" s="14">
        <f t="shared" si="55"/>
        <v>156004.22116950538</v>
      </c>
      <c r="L330" s="14">
        <f t="shared" si="56"/>
        <v>1621984.3954887991</v>
      </c>
    </row>
    <row r="331" spans="1:12" x14ac:dyDescent="0.3">
      <c r="A331">
        <v>326</v>
      </c>
      <c r="B331" s="13">
        <v>54758</v>
      </c>
      <c r="C331" s="14">
        <f t="shared" si="57"/>
        <v>156004.22116950538</v>
      </c>
      <c r="D331" s="14">
        <f t="shared" si="50"/>
        <v>4990.7212168886126</v>
      </c>
      <c r="E331" s="14">
        <f t="shared" si="51"/>
        <v>3989.6941310509528</v>
      </c>
      <c r="F331" s="12">
        <f t="shared" si="52"/>
        <v>0.30689124444005728</v>
      </c>
      <c r="G331" s="14">
        <f t="shared" si="53"/>
        <v>1001.0270858376596</v>
      </c>
      <c r="H331" s="12">
        <f t="shared" si="54"/>
        <v>7.6999999999999999E-2</v>
      </c>
      <c r="I331" s="14">
        <f t="shared" si="58"/>
        <v>547985.47296154581</v>
      </c>
      <c r="J331" s="14">
        <f t="shared" si="59"/>
        <v>1078989.643744142</v>
      </c>
      <c r="K331" s="14">
        <f t="shared" si="55"/>
        <v>152014.52703845443</v>
      </c>
      <c r="L331" s="14">
        <f t="shared" si="56"/>
        <v>1626975.1167056877</v>
      </c>
    </row>
    <row r="332" spans="1:12" x14ac:dyDescent="0.3">
      <c r="A332">
        <v>327</v>
      </c>
      <c r="B332" s="13">
        <v>54789</v>
      </c>
      <c r="C332" s="14">
        <f t="shared" si="57"/>
        <v>152014.52703845443</v>
      </c>
      <c r="D332" s="14">
        <f t="shared" si="50"/>
        <v>4990.7212168886126</v>
      </c>
      <c r="E332" s="14">
        <f t="shared" si="51"/>
        <v>4015.2946683918635</v>
      </c>
      <c r="F332" s="12">
        <f t="shared" si="52"/>
        <v>0.3169666541705819</v>
      </c>
      <c r="G332" s="14">
        <f t="shared" si="53"/>
        <v>975.42654849674932</v>
      </c>
      <c r="H332" s="12">
        <f t="shared" si="54"/>
        <v>7.6999999999999999E-2</v>
      </c>
      <c r="I332" s="14">
        <f t="shared" si="58"/>
        <v>552000.76762993762</v>
      </c>
      <c r="J332" s="14">
        <f t="shared" si="59"/>
        <v>1079965.0702926388</v>
      </c>
      <c r="K332" s="14">
        <f t="shared" si="55"/>
        <v>147999.23237006256</v>
      </c>
      <c r="L332" s="14">
        <f t="shared" si="56"/>
        <v>1631965.8379225763</v>
      </c>
    </row>
    <row r="333" spans="1:12" x14ac:dyDescent="0.3">
      <c r="A333">
        <v>328</v>
      </c>
      <c r="B333" s="13">
        <v>54820</v>
      </c>
      <c r="C333" s="14">
        <f t="shared" si="57"/>
        <v>147999.23237006256</v>
      </c>
      <c r="D333" s="14">
        <f t="shared" si="50"/>
        <v>4990.7212168886126</v>
      </c>
      <c r="E333" s="14">
        <f t="shared" si="51"/>
        <v>4041.0594758473781</v>
      </c>
      <c r="F333" s="12">
        <f t="shared" si="52"/>
        <v>0.32765517046004422</v>
      </c>
      <c r="G333" s="14">
        <f t="shared" si="53"/>
        <v>949.66174104123479</v>
      </c>
      <c r="H333" s="12">
        <f t="shared" si="54"/>
        <v>7.6999999999999999E-2</v>
      </c>
      <c r="I333" s="14">
        <f t="shared" si="58"/>
        <v>556041.82710578502</v>
      </c>
      <c r="J333" s="14">
        <f t="shared" si="59"/>
        <v>1080914.7320336802</v>
      </c>
      <c r="K333" s="14">
        <f t="shared" si="55"/>
        <v>143958.17289421518</v>
      </c>
      <c r="L333" s="14">
        <f t="shared" si="56"/>
        <v>1636956.5591394652</v>
      </c>
    </row>
    <row r="334" spans="1:12" x14ac:dyDescent="0.3">
      <c r="A334">
        <v>329</v>
      </c>
      <c r="B334" s="13">
        <v>54848</v>
      </c>
      <c r="C334" s="14">
        <f t="shared" si="57"/>
        <v>143958.17289421518</v>
      </c>
      <c r="D334" s="14">
        <f t="shared" si="50"/>
        <v>4990.7212168886126</v>
      </c>
      <c r="E334" s="14">
        <f t="shared" si="51"/>
        <v>4066.9896074840653</v>
      </c>
      <c r="F334" s="12">
        <f t="shared" si="52"/>
        <v>0.33901427274762197</v>
      </c>
      <c r="G334" s="14">
        <f t="shared" si="53"/>
        <v>923.7316094045475</v>
      </c>
      <c r="H334" s="12">
        <f t="shared" si="54"/>
        <v>7.6999999999999999E-2</v>
      </c>
      <c r="I334" s="14">
        <f t="shared" si="58"/>
        <v>560108.8167132691</v>
      </c>
      <c r="J334" s="14">
        <f t="shared" si="59"/>
        <v>1081838.4636430847</v>
      </c>
      <c r="K334" s="14">
        <f t="shared" si="55"/>
        <v>139891.18328673113</v>
      </c>
      <c r="L334" s="14">
        <f t="shared" si="56"/>
        <v>1641947.2803563538</v>
      </c>
    </row>
    <row r="335" spans="1:12" x14ac:dyDescent="0.3">
      <c r="A335">
        <v>330</v>
      </c>
      <c r="B335" s="13">
        <v>54879</v>
      </c>
      <c r="C335" s="14">
        <f t="shared" si="57"/>
        <v>139891.18328673113</v>
      </c>
      <c r="D335" s="14">
        <f t="shared" si="50"/>
        <v>4990.7212168886126</v>
      </c>
      <c r="E335" s="14">
        <f t="shared" si="51"/>
        <v>4093.0861241320877</v>
      </c>
      <c r="F335" s="12">
        <f t="shared" si="52"/>
        <v>0.35110885715300022</v>
      </c>
      <c r="G335" s="14">
        <f t="shared" si="53"/>
        <v>897.63509275652484</v>
      </c>
      <c r="H335" s="12">
        <f t="shared" si="54"/>
        <v>7.6999999999999999E-2</v>
      </c>
      <c r="I335" s="14">
        <f t="shared" si="58"/>
        <v>564201.90283740114</v>
      </c>
      <c r="J335" s="14">
        <f t="shared" si="59"/>
        <v>1082736.0987358412</v>
      </c>
      <c r="K335" s="14">
        <f t="shared" si="55"/>
        <v>135798.09716259904</v>
      </c>
      <c r="L335" s="14">
        <f t="shared" si="56"/>
        <v>1646938.0015732422</v>
      </c>
    </row>
    <row r="336" spans="1:12" x14ac:dyDescent="0.3">
      <c r="A336">
        <v>331</v>
      </c>
      <c r="B336" s="13">
        <v>54909</v>
      </c>
      <c r="C336" s="14">
        <f t="shared" si="57"/>
        <v>135798.09716259904</v>
      </c>
      <c r="D336" s="14">
        <f t="shared" si="50"/>
        <v>4990.7212168886126</v>
      </c>
      <c r="E336" s="14">
        <f t="shared" si="51"/>
        <v>4119.3500934286021</v>
      </c>
      <c r="F336" s="12">
        <f t="shared" si="52"/>
        <v>0.36401247258976799</v>
      </c>
      <c r="G336" s="14">
        <f t="shared" si="53"/>
        <v>871.37112346001049</v>
      </c>
      <c r="H336" s="12">
        <f t="shared" si="54"/>
        <v>7.6999999999999999E-2</v>
      </c>
      <c r="I336" s="14">
        <f t="shared" si="58"/>
        <v>568321.25293082977</v>
      </c>
      <c r="J336" s="14">
        <f t="shared" si="59"/>
        <v>1083607.4698593013</v>
      </c>
      <c r="K336" s="14">
        <f t="shared" si="55"/>
        <v>131678.74706917044</v>
      </c>
      <c r="L336" s="14">
        <f t="shared" si="56"/>
        <v>1651928.7227901311</v>
      </c>
    </row>
    <row r="337" spans="1:12" x14ac:dyDescent="0.3">
      <c r="A337">
        <v>332</v>
      </c>
      <c r="B337" s="13">
        <v>54940</v>
      </c>
      <c r="C337" s="14">
        <f t="shared" si="57"/>
        <v>131678.74706917044</v>
      </c>
      <c r="D337" s="14">
        <f t="shared" si="50"/>
        <v>4990.7212168886126</v>
      </c>
      <c r="E337" s="14">
        <f t="shared" si="51"/>
        <v>4145.7825898614356</v>
      </c>
      <c r="F337" s="12">
        <f t="shared" si="52"/>
        <v>0.37780881262641441</v>
      </c>
      <c r="G337" s="14">
        <f t="shared" si="53"/>
        <v>844.93862702717695</v>
      </c>
      <c r="H337" s="12">
        <f t="shared" si="54"/>
        <v>7.6999999999999999E-2</v>
      </c>
      <c r="I337" s="14">
        <f t="shared" si="58"/>
        <v>572467.03552069119</v>
      </c>
      <c r="J337" s="14">
        <f t="shared" si="59"/>
        <v>1084452.4084863286</v>
      </c>
      <c r="K337" s="14">
        <f t="shared" si="55"/>
        <v>127532.964479309</v>
      </c>
      <c r="L337" s="14">
        <f t="shared" si="56"/>
        <v>1656919.4440070197</v>
      </c>
    </row>
    <row r="338" spans="1:12" x14ac:dyDescent="0.3">
      <c r="A338">
        <v>333</v>
      </c>
      <c r="B338" s="13">
        <v>54970</v>
      </c>
      <c r="C338" s="14">
        <f t="shared" si="57"/>
        <v>127532.964479309</v>
      </c>
      <c r="D338" s="14">
        <f t="shared" si="50"/>
        <v>4990.7212168886126</v>
      </c>
      <c r="E338" s="14">
        <f t="shared" si="51"/>
        <v>4172.3846948130467</v>
      </c>
      <c r="F338" s="12">
        <f t="shared" si="52"/>
        <v>0.39259352703182643</v>
      </c>
      <c r="G338" s="14">
        <f t="shared" si="53"/>
        <v>818.33652207556611</v>
      </c>
      <c r="H338" s="12">
        <f t="shared" si="54"/>
        <v>7.6999999999999999E-2</v>
      </c>
      <c r="I338" s="14">
        <f t="shared" si="58"/>
        <v>576639.42021550424</v>
      </c>
      <c r="J338" s="14">
        <f t="shared" si="59"/>
        <v>1085270.7450084041</v>
      </c>
      <c r="K338" s="14">
        <f t="shared" si="55"/>
        <v>123360.57978449595</v>
      </c>
      <c r="L338" s="14">
        <f t="shared" si="56"/>
        <v>1661910.1652239084</v>
      </c>
    </row>
    <row r="339" spans="1:12" x14ac:dyDescent="0.3">
      <c r="A339">
        <v>334</v>
      </c>
      <c r="B339" s="13">
        <v>55001</v>
      </c>
      <c r="C339" s="14">
        <f t="shared" si="57"/>
        <v>123360.57978449595</v>
      </c>
      <c r="D339" s="14">
        <f t="shared" si="50"/>
        <v>4990.7212168886126</v>
      </c>
      <c r="E339" s="14">
        <f t="shared" si="51"/>
        <v>4199.1574966047638</v>
      </c>
      <c r="F339" s="12">
        <f t="shared" si="52"/>
        <v>0.40847643588645172</v>
      </c>
      <c r="G339" s="14">
        <f t="shared" si="53"/>
        <v>791.56372028384897</v>
      </c>
      <c r="H339" s="12">
        <f t="shared" si="54"/>
        <v>7.6999999999999999E-2</v>
      </c>
      <c r="I339" s="14">
        <f t="shared" si="58"/>
        <v>580838.57771210896</v>
      </c>
      <c r="J339" s="14">
        <f t="shared" si="59"/>
        <v>1086062.3087286879</v>
      </c>
      <c r="K339" s="14">
        <f t="shared" si="55"/>
        <v>119161.42228789118</v>
      </c>
      <c r="L339" s="14">
        <f t="shared" si="56"/>
        <v>1666900.8864407968</v>
      </c>
    </row>
    <row r="340" spans="1:12" x14ac:dyDescent="0.3">
      <c r="A340">
        <v>335</v>
      </c>
      <c r="B340" s="13">
        <v>55032</v>
      </c>
      <c r="C340" s="14">
        <f t="shared" si="57"/>
        <v>119161.42228789118</v>
      </c>
      <c r="D340" s="14">
        <f t="shared" si="50"/>
        <v>4990.7212168886126</v>
      </c>
      <c r="E340" s="14">
        <f t="shared" si="51"/>
        <v>4226.1020905413106</v>
      </c>
      <c r="F340" s="12">
        <f t="shared" si="52"/>
        <v>0.42558425464219263</v>
      </c>
      <c r="G340" s="14">
        <f t="shared" si="53"/>
        <v>764.61912634730174</v>
      </c>
      <c r="H340" s="12">
        <f t="shared" si="54"/>
        <v>7.6999999999999999E-2</v>
      </c>
      <c r="I340" s="14">
        <f t="shared" si="58"/>
        <v>585064.67980265024</v>
      </c>
      <c r="J340" s="14">
        <f t="shared" si="59"/>
        <v>1086826.9278550353</v>
      </c>
      <c r="K340" s="14">
        <f t="shared" si="55"/>
        <v>114935.32019734987</v>
      </c>
      <c r="L340" s="14">
        <f t="shared" si="56"/>
        <v>1671891.6076576854</v>
      </c>
    </row>
    <row r="341" spans="1:12" x14ac:dyDescent="0.3">
      <c r="A341">
        <f>A340+1</f>
        <v>336</v>
      </c>
      <c r="B341" s="13"/>
      <c r="C341" s="14">
        <f t="shared" si="57"/>
        <v>114935.32019734987</v>
      </c>
      <c r="D341" s="14">
        <f t="shared" si="50"/>
        <v>4990.7212168886126</v>
      </c>
      <c r="E341" s="14">
        <f t="shared" si="51"/>
        <v>4253.2195789556172</v>
      </c>
      <c r="F341" s="12">
        <f t="shared" si="52"/>
        <v>0.44406397319667656</v>
      </c>
      <c r="G341" s="14">
        <f t="shared" si="53"/>
        <v>737.50163793299498</v>
      </c>
      <c r="H341" s="12">
        <f t="shared" si="54"/>
        <v>7.6999999999999999E-2</v>
      </c>
      <c r="I341" s="14">
        <f t="shared" si="58"/>
        <v>589317.89938160591</v>
      </c>
      <c r="J341" s="14">
        <f t="shared" si="59"/>
        <v>1087564.4294929684</v>
      </c>
      <c r="K341" s="14">
        <f t="shared" si="55"/>
        <v>110682.10061839425</v>
      </c>
      <c r="L341" s="14">
        <f t="shared" si="56"/>
        <v>1676882.3288745743</v>
      </c>
    </row>
    <row r="342" spans="1:12" x14ac:dyDescent="0.3">
      <c r="A342">
        <f t="shared" ref="A342:A365" si="60">A341+1</f>
        <v>337</v>
      </c>
      <c r="B342" s="13"/>
      <c r="C342" s="14">
        <f t="shared" si="57"/>
        <v>110682.10061839425</v>
      </c>
      <c r="D342" s="14">
        <f t="shared" si="50"/>
        <v>4990.7212168886126</v>
      </c>
      <c r="E342" s="14">
        <f t="shared" si="51"/>
        <v>4280.5110712539163</v>
      </c>
      <c r="F342" s="12">
        <f t="shared" si="52"/>
        <v>0.46408707973609292</v>
      </c>
      <c r="G342" s="14">
        <f t="shared" si="53"/>
        <v>710.21014563469646</v>
      </c>
      <c r="H342" s="12">
        <f t="shared" si="54"/>
        <v>7.6999999999999999E-2</v>
      </c>
      <c r="I342" s="14">
        <f t="shared" si="58"/>
        <v>593598.41045285983</v>
      </c>
      <c r="J342" s="14">
        <f t="shared" si="59"/>
        <v>1088274.639638603</v>
      </c>
      <c r="K342" s="14">
        <f t="shared" si="55"/>
        <v>106401.58954714033</v>
      </c>
      <c r="L342" s="14">
        <f t="shared" si="56"/>
        <v>1681873.0500914627</v>
      </c>
    </row>
    <row r="343" spans="1:12" x14ac:dyDescent="0.3">
      <c r="A343">
        <f t="shared" si="60"/>
        <v>338</v>
      </c>
      <c r="B343" s="13"/>
      <c r="C343" s="14">
        <f t="shared" si="57"/>
        <v>106401.58954714033</v>
      </c>
      <c r="D343" s="14">
        <f t="shared" si="50"/>
        <v>4990.7212168886126</v>
      </c>
      <c r="E343" s="14">
        <f t="shared" si="51"/>
        <v>4307.9776839611286</v>
      </c>
      <c r="F343" s="12">
        <f t="shared" si="52"/>
        <v>0.48585488645007679</v>
      </c>
      <c r="G343" s="14">
        <f t="shared" si="53"/>
        <v>682.74353292748378</v>
      </c>
      <c r="H343" s="12">
        <f t="shared" si="54"/>
        <v>7.6999999999999985E-2</v>
      </c>
      <c r="I343" s="14">
        <f t="shared" si="58"/>
        <v>597906.38813682098</v>
      </c>
      <c r="J343" s="14">
        <f t="shared" si="59"/>
        <v>1088957.3831715304</v>
      </c>
      <c r="K343" s="14">
        <f t="shared" si="55"/>
        <v>102093.61186317921</v>
      </c>
      <c r="L343" s="14">
        <f t="shared" si="56"/>
        <v>1686863.7713083513</v>
      </c>
    </row>
    <row r="344" spans="1:12" x14ac:dyDescent="0.3">
      <c r="A344">
        <f t="shared" si="60"/>
        <v>339</v>
      </c>
      <c r="B344" s="13"/>
      <c r="C344" s="14">
        <f t="shared" si="57"/>
        <v>102093.61186317921</v>
      </c>
      <c r="D344" s="14">
        <f t="shared" si="50"/>
        <v>4990.7212168886126</v>
      </c>
      <c r="E344" s="14">
        <f t="shared" si="51"/>
        <v>4335.6205407665457</v>
      </c>
      <c r="F344" s="12">
        <f t="shared" si="52"/>
        <v>0.50960530771428825</v>
      </c>
      <c r="G344" s="14">
        <f t="shared" si="53"/>
        <v>655.1006761220666</v>
      </c>
      <c r="H344" s="12">
        <f t="shared" si="54"/>
        <v>7.6999999999999999E-2</v>
      </c>
      <c r="I344" s="14">
        <f t="shared" si="58"/>
        <v>602242.0086775875</v>
      </c>
      <c r="J344" s="14">
        <f t="shared" si="59"/>
        <v>1089612.4838476526</v>
      </c>
      <c r="K344" s="14">
        <f t="shared" si="55"/>
        <v>97757.991322412665</v>
      </c>
      <c r="L344" s="14">
        <f t="shared" si="56"/>
        <v>1691854.4925252399</v>
      </c>
    </row>
    <row r="345" spans="1:12" x14ac:dyDescent="0.3">
      <c r="A345">
        <f t="shared" si="60"/>
        <v>340</v>
      </c>
      <c r="B345" s="13"/>
      <c r="C345" s="14">
        <f t="shared" si="57"/>
        <v>97757.991322412665</v>
      </c>
      <c r="D345" s="14">
        <f t="shared" si="50"/>
        <v>4990.7212168886126</v>
      </c>
      <c r="E345" s="14">
        <f t="shared" si="51"/>
        <v>4363.4407725697984</v>
      </c>
      <c r="F345" s="12">
        <f t="shared" si="52"/>
        <v>0.53562157489658724</v>
      </c>
      <c r="G345" s="14">
        <f t="shared" si="53"/>
        <v>627.2804443188146</v>
      </c>
      <c r="H345" s="12">
        <f t="shared" si="54"/>
        <v>7.6999999999999999E-2</v>
      </c>
      <c r="I345" s="14">
        <f t="shared" si="58"/>
        <v>606605.44945015735</v>
      </c>
      <c r="J345" s="14">
        <f t="shared" si="59"/>
        <v>1090239.7642919715</v>
      </c>
      <c r="K345" s="14">
        <f t="shared" si="55"/>
        <v>93394.550549842868</v>
      </c>
      <c r="L345" s="14">
        <f t="shared" si="56"/>
        <v>1696845.2137421288</v>
      </c>
    </row>
    <row r="346" spans="1:12" x14ac:dyDescent="0.3">
      <c r="A346">
        <f t="shared" si="60"/>
        <v>341</v>
      </c>
      <c r="B346" s="13"/>
      <c r="C346" s="14">
        <f t="shared" si="57"/>
        <v>93394.550549842868</v>
      </c>
      <c r="D346" s="14">
        <f t="shared" si="50"/>
        <v>4990.7212168886126</v>
      </c>
      <c r="E346" s="14">
        <f t="shared" si="51"/>
        <v>4391.4395175271211</v>
      </c>
      <c r="F346" s="12">
        <f t="shared" si="52"/>
        <v>0.56424356560506106</v>
      </c>
      <c r="G346" s="14">
        <f t="shared" si="53"/>
        <v>599.28169936149175</v>
      </c>
      <c r="H346" s="12">
        <f t="shared" si="54"/>
        <v>7.6999999999999999E-2</v>
      </c>
      <c r="I346" s="14">
        <f t="shared" si="58"/>
        <v>610996.88896768447</v>
      </c>
      <c r="J346" s="14">
        <f t="shared" si="59"/>
        <v>1090839.045991333</v>
      </c>
      <c r="K346" s="14">
        <f t="shared" si="55"/>
        <v>89003.111032315748</v>
      </c>
      <c r="L346" s="14">
        <f t="shared" si="56"/>
        <v>1701835.9349590174</v>
      </c>
    </row>
    <row r="347" spans="1:12" x14ac:dyDescent="0.3">
      <c r="A347">
        <f t="shared" si="60"/>
        <v>342</v>
      </c>
      <c r="B347" s="13"/>
      <c r="C347" s="14">
        <f t="shared" si="57"/>
        <v>89003.111032315748</v>
      </c>
      <c r="D347" s="14">
        <f t="shared" si="50"/>
        <v>4990.7212168886126</v>
      </c>
      <c r="E347" s="14">
        <f t="shared" si="51"/>
        <v>4419.6179210979199</v>
      </c>
      <c r="F347" s="12">
        <f t="shared" si="52"/>
        <v>0.59588271059332576</v>
      </c>
      <c r="G347" s="14">
        <f t="shared" si="53"/>
        <v>571.10329579069275</v>
      </c>
      <c r="H347" s="12">
        <f t="shared" si="54"/>
        <v>7.6999999999999999E-2</v>
      </c>
      <c r="I347" s="14">
        <f t="shared" si="58"/>
        <v>615416.50688878237</v>
      </c>
      <c r="J347" s="14">
        <f t="shared" si="59"/>
        <v>1091410.1492871237</v>
      </c>
      <c r="K347" s="14">
        <f t="shared" si="55"/>
        <v>84583.493111217831</v>
      </c>
      <c r="L347" s="14">
        <f t="shared" si="56"/>
        <v>1706826.6561759061</v>
      </c>
    </row>
    <row r="348" spans="1:12" x14ac:dyDescent="0.3">
      <c r="A348">
        <f t="shared" si="60"/>
        <v>343</v>
      </c>
      <c r="B348" s="13"/>
      <c r="C348" s="14">
        <f t="shared" si="57"/>
        <v>84583.493111217831</v>
      </c>
      <c r="D348" s="14">
        <f t="shared" si="50"/>
        <v>4990.7212168886126</v>
      </c>
      <c r="E348" s="14">
        <f t="shared" si="51"/>
        <v>4447.9771360916311</v>
      </c>
      <c r="F348" s="12">
        <f t="shared" si="52"/>
        <v>0.63104186963426145</v>
      </c>
      <c r="G348" s="14">
        <f t="shared" si="53"/>
        <v>542.74408079698105</v>
      </c>
      <c r="H348" s="12">
        <f t="shared" si="54"/>
        <v>7.6999999999999985E-2</v>
      </c>
      <c r="I348" s="14">
        <f t="shared" si="58"/>
        <v>619864.48402487405</v>
      </c>
      <c r="J348" s="14">
        <f t="shared" si="59"/>
        <v>1091952.8933679208</v>
      </c>
      <c r="K348" s="14">
        <f t="shared" si="55"/>
        <v>80135.515975126196</v>
      </c>
      <c r="L348" s="14">
        <f t="shared" si="56"/>
        <v>1711817.3773927949</v>
      </c>
    </row>
    <row r="349" spans="1:12" x14ac:dyDescent="0.3">
      <c r="A349">
        <f t="shared" si="60"/>
        <v>344</v>
      </c>
      <c r="B349" s="13"/>
      <c r="C349" s="14">
        <f t="shared" si="57"/>
        <v>80135.515975126196</v>
      </c>
      <c r="D349" s="14">
        <f t="shared" si="50"/>
        <v>4990.7212168886126</v>
      </c>
      <c r="E349" s="14">
        <f t="shared" si="51"/>
        <v>4476.5183227148864</v>
      </c>
      <c r="F349" s="12">
        <f t="shared" si="52"/>
        <v>0.67034222240800945</v>
      </c>
      <c r="G349" s="14">
        <f t="shared" si="53"/>
        <v>514.20289417372646</v>
      </c>
      <c r="H349" s="12">
        <f t="shared" si="54"/>
        <v>7.6999999999999999E-2</v>
      </c>
      <c r="I349" s="14">
        <f t="shared" si="58"/>
        <v>624341.00234758889</v>
      </c>
      <c r="J349" s="14">
        <f t="shared" si="59"/>
        <v>1092467.0962620946</v>
      </c>
      <c r="K349" s="14">
        <f t="shared" si="55"/>
        <v>75658.997652411315</v>
      </c>
      <c r="L349" s="14">
        <f t="shared" si="56"/>
        <v>1716808.0986096836</v>
      </c>
    </row>
    <row r="350" spans="1:12" x14ac:dyDescent="0.3">
      <c r="A350">
        <f t="shared" si="60"/>
        <v>345</v>
      </c>
      <c r="B350" s="13"/>
      <c r="C350" s="14">
        <f t="shared" si="57"/>
        <v>75658.997652411315</v>
      </c>
      <c r="D350" s="14">
        <f t="shared" si="50"/>
        <v>4990.7212168886126</v>
      </c>
      <c r="E350" s="14">
        <f t="shared" si="51"/>
        <v>4505.2426486189734</v>
      </c>
      <c r="F350" s="12">
        <f t="shared" si="52"/>
        <v>0.7145602434729672</v>
      </c>
      <c r="G350" s="14">
        <f t="shared" si="53"/>
        <v>485.47856826963931</v>
      </c>
      <c r="H350" s="12">
        <f t="shared" si="54"/>
        <v>7.6999999999999999E-2</v>
      </c>
      <c r="I350" s="14">
        <f t="shared" si="58"/>
        <v>628846.24499620788</v>
      </c>
      <c r="J350" s="14">
        <f t="shared" si="59"/>
        <v>1092952.5748303642</v>
      </c>
      <c r="K350" s="14">
        <f t="shared" si="55"/>
        <v>71153.755003792336</v>
      </c>
      <c r="L350" s="14">
        <f t="shared" si="56"/>
        <v>1721798.8198265722</v>
      </c>
    </row>
    <row r="351" spans="1:12" x14ac:dyDescent="0.3">
      <c r="A351">
        <f t="shared" si="60"/>
        <v>346</v>
      </c>
      <c r="B351" s="13"/>
      <c r="C351" s="14">
        <f t="shared" si="57"/>
        <v>71153.755003792336</v>
      </c>
      <c r="D351" s="14">
        <f t="shared" si="50"/>
        <v>4990.7212168886126</v>
      </c>
      <c r="E351" s="14">
        <f t="shared" si="51"/>
        <v>4534.1512889476116</v>
      </c>
      <c r="F351" s="12">
        <f t="shared" si="52"/>
        <v>0.76467946722518598</v>
      </c>
      <c r="G351" s="14">
        <f t="shared" si="53"/>
        <v>456.56992794100086</v>
      </c>
      <c r="H351" s="12">
        <f t="shared" si="54"/>
        <v>7.6999999999999999E-2</v>
      </c>
      <c r="I351" s="14">
        <f t="shared" si="58"/>
        <v>633380.39628515544</v>
      </c>
      <c r="J351" s="14">
        <f t="shared" si="59"/>
        <v>1093409.1447583053</v>
      </c>
      <c r="K351" s="14">
        <f t="shared" si="55"/>
        <v>66619.603714844721</v>
      </c>
      <c r="L351" s="14">
        <f t="shared" si="56"/>
        <v>1726789.5410434608</v>
      </c>
    </row>
    <row r="352" spans="1:12" x14ac:dyDescent="0.3">
      <c r="A352">
        <f t="shared" si="60"/>
        <v>347</v>
      </c>
      <c r="B352" s="13"/>
      <c r="C352" s="14">
        <f t="shared" si="57"/>
        <v>66619.603714844721</v>
      </c>
      <c r="D352" s="14">
        <f t="shared" si="50"/>
        <v>4990.7212168886126</v>
      </c>
      <c r="E352" s="14">
        <f t="shared" si="51"/>
        <v>4563.2454263850259</v>
      </c>
      <c r="F352" s="12">
        <f t="shared" si="52"/>
        <v>0.8219644378403661</v>
      </c>
      <c r="G352" s="14">
        <f t="shared" si="53"/>
        <v>427.47579050358695</v>
      </c>
      <c r="H352" s="12">
        <f t="shared" si="54"/>
        <v>7.6999999999999999E-2</v>
      </c>
      <c r="I352" s="14">
        <f t="shared" si="58"/>
        <v>637943.64171154052</v>
      </c>
      <c r="J352" s="14">
        <f t="shared" si="59"/>
        <v>1093836.6205488089</v>
      </c>
      <c r="K352" s="14">
        <f t="shared" si="55"/>
        <v>62056.358288459698</v>
      </c>
      <c r="L352" s="14">
        <f t="shared" si="56"/>
        <v>1731780.2622603495</v>
      </c>
    </row>
    <row r="353" spans="1:12" x14ac:dyDescent="0.3">
      <c r="A353">
        <f t="shared" si="60"/>
        <v>348</v>
      </c>
      <c r="B353" s="13"/>
      <c r="C353" s="14">
        <f t="shared" si="57"/>
        <v>62056.358288459698</v>
      </c>
      <c r="D353" s="14">
        <f t="shared" si="50"/>
        <v>4990.7212168886126</v>
      </c>
      <c r="E353" s="14">
        <f t="shared" si="51"/>
        <v>4592.5262512043291</v>
      </c>
      <c r="F353" s="12">
        <f t="shared" si="52"/>
        <v>0.88806878995831329</v>
      </c>
      <c r="G353" s="14">
        <f t="shared" si="53"/>
        <v>398.19496568428309</v>
      </c>
      <c r="H353" s="12">
        <f t="shared" si="54"/>
        <v>7.6999999999999999E-2</v>
      </c>
      <c r="I353" s="14">
        <f t="shared" si="58"/>
        <v>642536.16796274483</v>
      </c>
      <c r="J353" s="14">
        <f t="shared" si="59"/>
        <v>1094234.8155144933</v>
      </c>
      <c r="K353" s="14">
        <f t="shared" si="55"/>
        <v>57463.832037255372</v>
      </c>
      <c r="L353" s="14">
        <f t="shared" si="56"/>
        <v>1736770.9834772381</v>
      </c>
    </row>
    <row r="354" spans="1:12" x14ac:dyDescent="0.3">
      <c r="A354">
        <f t="shared" si="60"/>
        <v>349</v>
      </c>
      <c r="B354" s="13"/>
      <c r="C354" s="14">
        <f t="shared" si="57"/>
        <v>57463.832037255372</v>
      </c>
      <c r="D354" s="14">
        <f t="shared" si="50"/>
        <v>4990.7212168886126</v>
      </c>
      <c r="E354" s="14">
        <f t="shared" si="51"/>
        <v>4621.9949613162244</v>
      </c>
      <c r="F354" s="12">
        <f t="shared" si="52"/>
        <v>0.96519736970962711</v>
      </c>
      <c r="G354" s="14">
        <f t="shared" si="53"/>
        <v>368.72625557238865</v>
      </c>
      <c r="H354" s="12">
        <f t="shared" si="54"/>
        <v>7.6999999999999999E-2</v>
      </c>
      <c r="I354" s="14">
        <f t="shared" si="58"/>
        <v>647158.16292406106</v>
      </c>
      <c r="J354" s="14">
        <f t="shared" si="59"/>
        <v>1094603.5417700657</v>
      </c>
      <c r="K354" s="14">
        <f t="shared" si="55"/>
        <v>52841.837075939147</v>
      </c>
      <c r="L354" s="14">
        <f t="shared" si="56"/>
        <v>1741761.7046941267</v>
      </c>
    </row>
    <row r="355" spans="1:12" x14ac:dyDescent="0.3">
      <c r="A355">
        <f t="shared" si="60"/>
        <v>350</v>
      </c>
      <c r="B355" s="13"/>
      <c r="C355" s="14">
        <f t="shared" si="57"/>
        <v>52841.837075939147</v>
      </c>
      <c r="D355" s="14">
        <f t="shared" si="50"/>
        <v>4990.7212168886126</v>
      </c>
      <c r="E355" s="14">
        <f t="shared" si="51"/>
        <v>4651.6527623180027</v>
      </c>
      <c r="F355" s="12">
        <f t="shared" si="52"/>
        <v>1.0563567853933087</v>
      </c>
      <c r="G355" s="14">
        <f t="shared" si="53"/>
        <v>339.06845457060956</v>
      </c>
      <c r="H355" s="12">
        <f t="shared" si="54"/>
        <v>7.6999999999999999E-2</v>
      </c>
      <c r="I355" s="14">
        <f t="shared" si="58"/>
        <v>651809.81568637909</v>
      </c>
      <c r="J355" s="14">
        <f t="shared" si="59"/>
        <v>1094942.6102246363</v>
      </c>
      <c r="K355" s="14">
        <f t="shared" si="55"/>
        <v>48190.184313621146</v>
      </c>
      <c r="L355" s="14">
        <f t="shared" si="56"/>
        <v>1746752.4259110154</v>
      </c>
    </row>
    <row r="356" spans="1:12" x14ac:dyDescent="0.3">
      <c r="A356">
        <f t="shared" si="60"/>
        <v>351</v>
      </c>
      <c r="B356" s="13"/>
      <c r="C356" s="14">
        <f t="shared" si="57"/>
        <v>48190.184313621146</v>
      </c>
      <c r="D356" s="14">
        <f t="shared" si="50"/>
        <v>4990.7212168886126</v>
      </c>
      <c r="E356" s="14">
        <f t="shared" si="51"/>
        <v>4681.5008675428771</v>
      </c>
      <c r="F356" s="12">
        <f t="shared" si="52"/>
        <v>1.1657562885609383</v>
      </c>
      <c r="G356" s="14">
        <f t="shared" si="53"/>
        <v>309.22034934573571</v>
      </c>
      <c r="H356" s="12">
        <f t="shared" si="54"/>
        <v>7.6999999999999999E-2</v>
      </c>
      <c r="I356" s="14">
        <f t="shared" si="58"/>
        <v>656491.31655392202</v>
      </c>
      <c r="J356" s="14">
        <f t="shared" si="59"/>
        <v>1095251.8305739821</v>
      </c>
      <c r="K356" s="14">
        <f t="shared" si="55"/>
        <v>43508.68344607827</v>
      </c>
      <c r="L356" s="14">
        <f t="shared" si="56"/>
        <v>1751743.147127904</v>
      </c>
    </row>
    <row r="357" spans="1:12" x14ac:dyDescent="0.3">
      <c r="A357">
        <f t="shared" si="60"/>
        <v>352</v>
      </c>
      <c r="B357" s="13"/>
      <c r="C357" s="14">
        <f t="shared" si="57"/>
        <v>43508.68344607827</v>
      </c>
      <c r="D357" s="14">
        <f t="shared" si="50"/>
        <v>4990.7212168886126</v>
      </c>
      <c r="E357" s="14">
        <f t="shared" si="51"/>
        <v>4711.5404981096108</v>
      </c>
      <c r="F357" s="12">
        <f t="shared" si="52"/>
        <v>1.299475909156969</v>
      </c>
      <c r="G357" s="14">
        <f t="shared" si="53"/>
        <v>279.18071877900223</v>
      </c>
      <c r="H357" s="12">
        <f t="shared" si="54"/>
        <v>7.6999999999999999E-2</v>
      </c>
      <c r="I357" s="14">
        <f t="shared" si="58"/>
        <v>661202.85705203167</v>
      </c>
      <c r="J357" s="14">
        <f t="shared" si="59"/>
        <v>1095531.0112927612</v>
      </c>
      <c r="K357" s="14">
        <f t="shared" si="55"/>
        <v>38797.142947968663</v>
      </c>
      <c r="L357" s="14">
        <f t="shared" si="56"/>
        <v>1756733.8683447929</v>
      </c>
    </row>
    <row r="358" spans="1:12" x14ac:dyDescent="0.3">
      <c r="A358">
        <f t="shared" si="60"/>
        <v>353</v>
      </c>
      <c r="B358" s="13"/>
      <c r="C358" s="14">
        <f t="shared" si="57"/>
        <v>38797.142947968663</v>
      </c>
      <c r="D358" s="14">
        <f t="shared" si="50"/>
        <v>4990.7212168886126</v>
      </c>
      <c r="E358" s="14">
        <f t="shared" si="51"/>
        <v>4741.7728829724801</v>
      </c>
      <c r="F358" s="12">
        <f t="shared" si="52"/>
        <v>1.4666356920142489</v>
      </c>
      <c r="G358" s="14">
        <f t="shared" si="53"/>
        <v>248.94833391613227</v>
      </c>
      <c r="H358" s="12">
        <f t="shared" si="54"/>
        <v>7.6999999999999999E-2</v>
      </c>
      <c r="I358" s="14">
        <f t="shared" si="58"/>
        <v>665944.62993500417</v>
      </c>
      <c r="J358" s="14">
        <f t="shared" si="59"/>
        <v>1095779.9596266772</v>
      </c>
      <c r="K358" s="14">
        <f t="shared" si="55"/>
        <v>34055.370064996183</v>
      </c>
      <c r="L358" s="14">
        <f t="shared" si="56"/>
        <v>1761724.5895616813</v>
      </c>
    </row>
    <row r="359" spans="1:12" x14ac:dyDescent="0.3">
      <c r="A359">
        <f t="shared" si="60"/>
        <v>354</v>
      </c>
      <c r="B359" s="13"/>
      <c r="C359" s="14">
        <f t="shared" si="57"/>
        <v>34055.370064996183</v>
      </c>
      <c r="D359" s="14">
        <f t="shared" si="50"/>
        <v>4990.7212168886126</v>
      </c>
      <c r="E359" s="14">
        <f t="shared" si="51"/>
        <v>4772.1992589715537</v>
      </c>
      <c r="F359" s="12">
        <f t="shared" si="52"/>
        <v>1.6815671360599871</v>
      </c>
      <c r="G359" s="14">
        <f t="shared" si="53"/>
        <v>218.52195791705884</v>
      </c>
      <c r="H359" s="12">
        <f t="shared" si="54"/>
        <v>7.6999999999999999E-2</v>
      </c>
      <c r="I359" s="14">
        <f t="shared" si="58"/>
        <v>670716.82919397578</v>
      </c>
      <c r="J359" s="14">
        <f t="shared" si="59"/>
        <v>1095998.4815845944</v>
      </c>
      <c r="K359" s="14">
        <f t="shared" si="55"/>
        <v>29283.170806024631</v>
      </c>
      <c r="L359" s="14">
        <f t="shared" si="56"/>
        <v>1766715.3107785701</v>
      </c>
    </row>
    <row r="360" spans="1:12" x14ac:dyDescent="0.3">
      <c r="A360">
        <f t="shared" si="60"/>
        <v>355</v>
      </c>
      <c r="B360" s="13"/>
      <c r="C360" s="14">
        <f t="shared" si="57"/>
        <v>29283.170806024631</v>
      </c>
      <c r="D360" s="14">
        <f t="shared" si="50"/>
        <v>4990.7212168886126</v>
      </c>
      <c r="E360" s="14">
        <f t="shared" si="51"/>
        <v>4802.8208708832881</v>
      </c>
      <c r="F360" s="12">
        <f t="shared" si="52"/>
        <v>1.9681560727276857</v>
      </c>
      <c r="G360" s="14">
        <f t="shared" si="53"/>
        <v>187.90034600532474</v>
      </c>
      <c r="H360" s="12">
        <f t="shared" si="54"/>
        <v>7.7000000000000013E-2</v>
      </c>
      <c r="I360" s="14">
        <f t="shared" si="58"/>
        <v>675519.65006485907</v>
      </c>
      <c r="J360" s="14">
        <f t="shared" si="59"/>
        <v>1096186.3819305997</v>
      </c>
      <c r="K360" s="14">
        <f t="shared" si="55"/>
        <v>24480.349935141341</v>
      </c>
      <c r="L360" s="14">
        <f t="shared" si="56"/>
        <v>1771706.0319954588</v>
      </c>
    </row>
    <row r="361" spans="1:12" x14ac:dyDescent="0.3">
      <c r="A361">
        <f t="shared" si="60"/>
        <v>356</v>
      </c>
      <c r="B361" s="13"/>
      <c r="C361" s="14">
        <f t="shared" si="57"/>
        <v>24480.349935141341</v>
      </c>
      <c r="D361" s="14">
        <f t="shared" si="50"/>
        <v>4990.7212168886126</v>
      </c>
      <c r="E361" s="14">
        <f t="shared" si="51"/>
        <v>4833.638971471456</v>
      </c>
      <c r="F361" s="12">
        <f t="shared" si="52"/>
        <v>2.3693969984633956</v>
      </c>
      <c r="G361" s="14">
        <f t="shared" si="53"/>
        <v>157.08224541715694</v>
      </c>
      <c r="H361" s="12">
        <f t="shared" si="54"/>
        <v>7.6999999999999999E-2</v>
      </c>
      <c r="I361" s="14">
        <f t="shared" si="58"/>
        <v>680353.28903633053</v>
      </c>
      <c r="J361" s="14">
        <f t="shared" si="59"/>
        <v>1096343.4641760169</v>
      </c>
      <c r="K361" s="14">
        <f t="shared" si="55"/>
        <v>19646.710963669884</v>
      </c>
      <c r="L361" s="14">
        <f t="shared" si="56"/>
        <v>1776696.7532123474</v>
      </c>
    </row>
    <row r="362" spans="1:12" x14ac:dyDescent="0.3">
      <c r="A362">
        <f t="shared" si="60"/>
        <v>357</v>
      </c>
      <c r="B362" s="13"/>
      <c r="C362" s="14">
        <f t="shared" si="57"/>
        <v>19646.710963669884</v>
      </c>
      <c r="D362" s="14">
        <f t="shared" si="50"/>
        <v>4990.7212168886126</v>
      </c>
      <c r="E362" s="14">
        <f t="shared" si="51"/>
        <v>4864.6548215383973</v>
      </c>
      <c r="F362" s="12">
        <f t="shared" si="52"/>
        <v>2.9712789059913218</v>
      </c>
      <c r="G362" s="14">
        <f t="shared" si="53"/>
        <v>126.06639535021509</v>
      </c>
      <c r="H362" s="12">
        <f t="shared" si="54"/>
        <v>7.6999999999999999E-2</v>
      </c>
      <c r="I362" s="14">
        <f t="shared" si="58"/>
        <v>685217.9438578689</v>
      </c>
      <c r="J362" s="14">
        <f t="shared" si="59"/>
        <v>1096469.5305713671</v>
      </c>
      <c r="K362" s="14">
        <f t="shared" si="55"/>
        <v>14782.056142131487</v>
      </c>
      <c r="L362" s="14">
        <f t="shared" si="56"/>
        <v>1781687.474429236</v>
      </c>
    </row>
    <row r="363" spans="1:12" x14ac:dyDescent="0.3">
      <c r="A363">
        <f t="shared" si="60"/>
        <v>358</v>
      </c>
      <c r="B363" s="13"/>
      <c r="C363" s="14">
        <f t="shared" si="57"/>
        <v>14782.056142131487</v>
      </c>
      <c r="D363" s="14">
        <f t="shared" si="50"/>
        <v>4990.7212168886126</v>
      </c>
      <c r="E363" s="14">
        <f t="shared" si="51"/>
        <v>4895.8696899766019</v>
      </c>
      <c r="F363" s="12">
        <f t="shared" si="52"/>
        <v>3.9744427781105527</v>
      </c>
      <c r="G363" s="14">
        <f t="shared" si="53"/>
        <v>94.851526912010371</v>
      </c>
      <c r="H363" s="12">
        <f t="shared" si="54"/>
        <v>7.6999999999999985E-2</v>
      </c>
      <c r="I363" s="14">
        <f t="shared" si="58"/>
        <v>690113.81354784546</v>
      </c>
      <c r="J363" s="14">
        <f t="shared" si="59"/>
        <v>1096564.3820982792</v>
      </c>
      <c r="K363" s="14">
        <f t="shared" si="55"/>
        <v>9886.186452154885</v>
      </c>
      <c r="L363" s="14">
        <f t="shared" si="56"/>
        <v>1786678.1956461247</v>
      </c>
    </row>
    <row r="364" spans="1:12" x14ac:dyDescent="0.3">
      <c r="A364">
        <f t="shared" si="60"/>
        <v>359</v>
      </c>
      <c r="B364" s="13"/>
      <c r="C364" s="14">
        <f t="shared" si="57"/>
        <v>9886.186452154885</v>
      </c>
      <c r="D364" s="14">
        <f t="shared" si="50"/>
        <v>4990.7212168886126</v>
      </c>
      <c r="E364" s="14">
        <f t="shared" si="51"/>
        <v>4927.284853820619</v>
      </c>
      <c r="F364" s="12">
        <f t="shared" si="52"/>
        <v>5.9808115628812022</v>
      </c>
      <c r="G364" s="14">
        <f t="shared" si="53"/>
        <v>63.436363067993845</v>
      </c>
      <c r="H364" s="12">
        <f t="shared" si="54"/>
        <v>7.6999999999999999E-2</v>
      </c>
      <c r="I364" s="14">
        <f t="shared" si="58"/>
        <v>695041.09840166604</v>
      </c>
      <c r="J364" s="14">
        <f t="shared" si="59"/>
        <v>1096627.8184613471</v>
      </c>
      <c r="K364" s="14">
        <f t="shared" si="55"/>
        <v>4958.9015983342661</v>
      </c>
      <c r="L364" s="14">
        <f t="shared" si="56"/>
        <v>1791668.9168630131</v>
      </c>
    </row>
    <row r="365" spans="1:12" x14ac:dyDescent="0.3">
      <c r="A365">
        <f t="shared" si="60"/>
        <v>360</v>
      </c>
      <c r="B365" s="13"/>
      <c r="C365" s="14">
        <f t="shared" si="57"/>
        <v>4958.9015983342661</v>
      </c>
      <c r="D365" s="14">
        <f t="shared" si="50"/>
        <v>4990.7212168886126</v>
      </c>
      <c r="E365" s="14">
        <f t="shared" si="51"/>
        <v>4958.9015982993014</v>
      </c>
      <c r="F365" s="12">
        <f t="shared" si="52"/>
        <v>11.999999999915389</v>
      </c>
      <c r="G365" s="14">
        <f t="shared" si="53"/>
        <v>31.819618589311542</v>
      </c>
      <c r="H365" s="12">
        <f t="shared" si="54"/>
        <v>7.6999999999999999E-2</v>
      </c>
      <c r="I365" s="14">
        <f t="shared" si="58"/>
        <v>699999.99999996531</v>
      </c>
      <c r="J365" s="27">
        <f>J364+G365</f>
        <v>1096659.6380799364</v>
      </c>
      <c r="K365" s="14">
        <f t="shared" si="55"/>
        <v>3.4964614314958453E-8</v>
      </c>
      <c r="L365" s="27">
        <f t="shared" si="56"/>
        <v>1796659.6380799017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D47C-5DA9-4DED-838D-4EBE42A6663E}">
  <dimension ref="A1:P337"/>
  <sheetViews>
    <sheetView tabSelected="1" workbookViewId="0">
      <selection activeCell="D9" sqref="D9"/>
    </sheetView>
  </sheetViews>
  <sheetFormatPr defaultRowHeight="14.4" x14ac:dyDescent="0.3"/>
  <cols>
    <col min="1" max="1" width="29.109375" customWidth="1"/>
    <col min="2" max="2" width="19" customWidth="1"/>
    <col min="3" max="3" width="9.5546875" bestFit="1" customWidth="1"/>
    <col min="7" max="7" width="15.77734375" bestFit="1" customWidth="1"/>
    <col min="8" max="8" width="12.77734375" bestFit="1" customWidth="1"/>
    <col min="9" max="9" width="14.33203125" bestFit="1" customWidth="1"/>
    <col min="10" max="10" width="16.21875" bestFit="1" customWidth="1"/>
    <col min="11" max="11" width="16.21875" customWidth="1"/>
    <col min="12" max="12" width="15.5546875" bestFit="1" customWidth="1"/>
    <col min="13" max="13" width="15.5546875" customWidth="1"/>
    <col min="14" max="14" width="18.33203125" bestFit="1" customWidth="1"/>
    <col min="15" max="15" width="17.6640625" bestFit="1" customWidth="1"/>
    <col min="16" max="16" width="13.77734375" bestFit="1" customWidth="1"/>
  </cols>
  <sheetData>
    <row r="1" spans="1:16" x14ac:dyDescent="0.3">
      <c r="A1" t="s">
        <v>16</v>
      </c>
      <c r="B1">
        <v>2646</v>
      </c>
      <c r="C1" t="s">
        <v>18</v>
      </c>
    </row>
    <row r="2" spans="1:16" x14ac:dyDescent="0.3">
      <c r="B2" s="22">
        <v>246</v>
      </c>
      <c r="C2" s="22" t="s">
        <v>24</v>
      </c>
      <c r="H2" s="13"/>
      <c r="I2" s="14"/>
      <c r="J2" s="14"/>
      <c r="K2" s="12"/>
      <c r="L2" s="14"/>
      <c r="M2" s="12"/>
      <c r="N2" s="14"/>
      <c r="O2" s="14"/>
      <c r="P2" s="14"/>
    </row>
    <row r="3" spans="1:16" x14ac:dyDescent="0.3">
      <c r="A3" t="s">
        <v>20</v>
      </c>
      <c r="B3" s="9">
        <v>500500</v>
      </c>
      <c r="C3" s="8">
        <f>B3/B1</f>
        <v>189.15343915343917</v>
      </c>
      <c r="D3" t="s">
        <v>18</v>
      </c>
      <c r="H3" s="13"/>
      <c r="I3" s="14"/>
      <c r="J3" s="14"/>
      <c r="K3" s="12"/>
      <c r="L3" s="14"/>
      <c r="M3" s="12"/>
      <c r="N3" s="14"/>
      <c r="O3" s="14"/>
      <c r="P3" s="14"/>
    </row>
    <row r="4" spans="1:16" x14ac:dyDescent="0.3">
      <c r="A4" t="s">
        <v>21</v>
      </c>
      <c r="B4" s="9">
        <f>B1*B2</f>
        <v>650916</v>
      </c>
      <c r="H4" s="13"/>
      <c r="I4" s="14"/>
      <c r="J4" s="14"/>
      <c r="K4" s="12"/>
      <c r="L4" s="14"/>
      <c r="M4" s="12"/>
      <c r="N4" s="14"/>
      <c r="O4" s="14"/>
      <c r="P4" s="14"/>
    </row>
    <row r="5" spans="1:16" x14ac:dyDescent="0.3">
      <c r="A5" t="s">
        <v>17</v>
      </c>
      <c r="B5" s="9">
        <v>355000</v>
      </c>
      <c r="C5" t="s">
        <v>19</v>
      </c>
      <c r="H5" s="13"/>
      <c r="I5" s="14"/>
      <c r="J5" s="14"/>
      <c r="K5" s="12"/>
      <c r="L5" s="14"/>
      <c r="M5" s="12"/>
      <c r="N5" s="14"/>
      <c r="O5" s="14"/>
      <c r="P5" s="14"/>
    </row>
    <row r="6" spans="1:16" x14ac:dyDescent="0.3">
      <c r="A6" t="s">
        <v>15</v>
      </c>
      <c r="B6" s="9">
        <f>B4-B5</f>
        <v>295916</v>
      </c>
      <c r="H6" s="13"/>
      <c r="I6" s="14"/>
      <c r="J6" s="14"/>
      <c r="K6" s="12"/>
      <c r="L6" s="14"/>
      <c r="M6" s="12"/>
      <c r="N6" s="14"/>
      <c r="O6" s="14"/>
      <c r="P6" s="14"/>
    </row>
    <row r="7" spans="1:16" x14ac:dyDescent="0.3">
      <c r="H7" s="13"/>
      <c r="I7" s="14"/>
      <c r="J7" s="14"/>
      <c r="K7" s="12"/>
      <c r="L7" s="14"/>
      <c r="M7" s="12"/>
      <c r="N7" s="14"/>
      <c r="O7" s="14"/>
      <c r="P7" s="14"/>
    </row>
    <row r="8" spans="1:16" x14ac:dyDescent="0.3">
      <c r="A8" t="s">
        <v>22</v>
      </c>
      <c r="B8" s="9">
        <f>B4*0.8</f>
        <v>520732.80000000005</v>
      </c>
      <c r="H8" s="13"/>
      <c r="I8" s="14"/>
      <c r="J8" s="14"/>
      <c r="K8" s="12"/>
      <c r="L8" s="14"/>
      <c r="M8" s="12"/>
      <c r="N8" s="14"/>
      <c r="O8" s="14"/>
      <c r="P8" s="14"/>
    </row>
    <row r="9" spans="1:16" ht="15" thickBot="1" x14ac:dyDescent="0.35">
      <c r="A9" t="s">
        <v>104</v>
      </c>
      <c r="B9" s="9">
        <f>B4*0.9</f>
        <v>585824.4</v>
      </c>
      <c r="H9" s="13"/>
      <c r="I9" s="14"/>
      <c r="J9" s="14"/>
      <c r="K9" s="12"/>
      <c r="L9" s="14"/>
      <c r="M9" s="12"/>
      <c r="N9" s="14"/>
      <c r="O9" s="14"/>
      <c r="P9" s="14"/>
    </row>
    <row r="10" spans="1:16" ht="43.8" thickBot="1" x14ac:dyDescent="0.35">
      <c r="A10" s="10" t="s">
        <v>23</v>
      </c>
      <c r="B10" s="11">
        <f>B8-B5</f>
        <v>165732.80000000005</v>
      </c>
      <c r="C10" t="s">
        <v>106</v>
      </c>
      <c r="H10" s="13"/>
      <c r="I10" s="14"/>
      <c r="J10" s="14"/>
      <c r="K10" s="12"/>
      <c r="L10" s="14"/>
      <c r="M10" s="12"/>
      <c r="N10" s="14"/>
      <c r="O10" s="14"/>
      <c r="P10" s="14"/>
    </row>
    <row r="11" spans="1:16" ht="43.8" thickBot="1" x14ac:dyDescent="0.35">
      <c r="A11" s="10" t="s">
        <v>23</v>
      </c>
      <c r="B11" s="16">
        <f>B9-B5</f>
        <v>230824.40000000002</v>
      </c>
      <c r="C11" t="s">
        <v>105</v>
      </c>
      <c r="H11" s="13"/>
      <c r="I11" s="14"/>
      <c r="J11" s="14"/>
      <c r="K11" s="12"/>
      <c r="L11" s="14"/>
      <c r="M11" s="12"/>
      <c r="N11" s="14"/>
      <c r="O11" s="14"/>
      <c r="P11" s="14"/>
    </row>
    <row r="12" spans="1:16" x14ac:dyDescent="0.3">
      <c r="H12" s="13"/>
      <c r="I12" s="14"/>
      <c r="J12" s="14"/>
      <c r="K12" s="12"/>
      <c r="L12" s="14"/>
      <c r="M12" s="12"/>
      <c r="N12" s="14"/>
      <c r="O12" s="14"/>
      <c r="P12" s="14"/>
    </row>
    <row r="13" spans="1:16" x14ac:dyDescent="0.3">
      <c r="H13" s="13"/>
      <c r="I13" s="14"/>
      <c r="J13" s="14"/>
      <c r="K13" s="12"/>
      <c r="L13" s="14"/>
      <c r="M13" s="12"/>
      <c r="N13" s="14"/>
      <c r="O13" s="14"/>
      <c r="P13" s="14"/>
    </row>
    <row r="14" spans="1:16" x14ac:dyDescent="0.3">
      <c r="H14" s="13"/>
      <c r="I14" s="14"/>
      <c r="J14" s="14"/>
      <c r="K14" s="12"/>
      <c r="L14" s="14"/>
      <c r="M14" s="12"/>
      <c r="N14" s="14"/>
      <c r="O14" s="14"/>
      <c r="P14" s="14"/>
    </row>
    <row r="15" spans="1:16" x14ac:dyDescent="0.3">
      <c r="H15" s="13"/>
      <c r="I15" s="14"/>
      <c r="J15" s="14"/>
      <c r="K15" s="12"/>
      <c r="L15" s="14"/>
      <c r="M15" s="12"/>
      <c r="N15" s="14"/>
      <c r="O15" s="14"/>
      <c r="P15" s="14"/>
    </row>
    <row r="16" spans="1:16" x14ac:dyDescent="0.3">
      <c r="H16" s="13"/>
      <c r="I16" s="14"/>
      <c r="J16" s="14"/>
      <c r="K16" s="12"/>
      <c r="L16" s="14"/>
      <c r="M16" s="12"/>
      <c r="N16" s="14"/>
      <c r="O16" s="14"/>
      <c r="P16" s="14"/>
    </row>
    <row r="17" spans="8:16" x14ac:dyDescent="0.3">
      <c r="H17" s="13"/>
      <c r="I17" s="14"/>
      <c r="J17" s="14"/>
      <c r="K17" s="12"/>
      <c r="L17" s="14"/>
      <c r="M17" s="12"/>
      <c r="N17" s="14"/>
      <c r="O17" s="14"/>
      <c r="P17" s="14"/>
    </row>
    <row r="18" spans="8:16" x14ac:dyDescent="0.3">
      <c r="H18" s="13"/>
      <c r="I18" s="14"/>
      <c r="J18" s="14"/>
      <c r="K18" s="12"/>
      <c r="L18" s="14"/>
      <c r="M18" s="12"/>
      <c r="N18" s="14"/>
      <c r="O18" s="14"/>
      <c r="P18" s="14"/>
    </row>
    <row r="19" spans="8:16" x14ac:dyDescent="0.3">
      <c r="H19" s="13"/>
      <c r="I19" s="14"/>
      <c r="J19" s="14"/>
      <c r="K19" s="12"/>
      <c r="L19" s="14"/>
      <c r="M19" s="12"/>
      <c r="N19" s="14"/>
      <c r="O19" s="14"/>
      <c r="P19" s="14"/>
    </row>
    <row r="20" spans="8:16" x14ac:dyDescent="0.3">
      <c r="H20" s="13"/>
      <c r="I20" s="14"/>
      <c r="J20" s="14"/>
      <c r="K20" s="12"/>
      <c r="L20" s="14"/>
      <c r="M20" s="12"/>
      <c r="N20" s="14"/>
      <c r="O20" s="14"/>
      <c r="P20" s="14"/>
    </row>
    <row r="21" spans="8:16" x14ac:dyDescent="0.3">
      <c r="H21" s="13"/>
      <c r="I21" s="14"/>
      <c r="J21" s="14"/>
      <c r="K21" s="12"/>
      <c r="L21" s="14"/>
      <c r="M21" s="12"/>
      <c r="N21" s="14"/>
      <c r="O21" s="14"/>
      <c r="P21" s="14"/>
    </row>
    <row r="22" spans="8:16" x14ac:dyDescent="0.3">
      <c r="H22" s="13"/>
      <c r="I22" s="14"/>
      <c r="J22" s="14"/>
      <c r="K22" s="12"/>
      <c r="L22" s="14"/>
      <c r="M22" s="12"/>
      <c r="N22" s="14"/>
      <c r="O22" s="14"/>
      <c r="P22" s="14"/>
    </row>
    <row r="23" spans="8:16" x14ac:dyDescent="0.3">
      <c r="H23" s="13"/>
      <c r="I23" s="14"/>
      <c r="J23" s="14"/>
      <c r="K23" s="12"/>
      <c r="L23" s="14"/>
      <c r="M23" s="12"/>
      <c r="N23" s="14"/>
      <c r="O23" s="14"/>
      <c r="P23" s="14"/>
    </row>
    <row r="24" spans="8:16" x14ac:dyDescent="0.3">
      <c r="H24" s="13"/>
      <c r="I24" s="14"/>
      <c r="J24" s="14"/>
      <c r="K24" s="12"/>
      <c r="L24" s="14"/>
      <c r="M24" s="12"/>
      <c r="N24" s="14"/>
      <c r="O24" s="14"/>
      <c r="P24" s="14"/>
    </row>
    <row r="25" spans="8:16" x14ac:dyDescent="0.3">
      <c r="H25" s="13"/>
      <c r="I25" s="14"/>
      <c r="J25" s="14"/>
      <c r="K25" s="12"/>
      <c r="L25" s="14"/>
      <c r="M25" s="12"/>
      <c r="N25" s="14"/>
      <c r="O25" s="14"/>
      <c r="P25" s="14"/>
    </row>
    <row r="26" spans="8:16" x14ac:dyDescent="0.3">
      <c r="H26" s="13"/>
      <c r="I26" s="14"/>
      <c r="J26" s="14"/>
      <c r="K26" s="12"/>
      <c r="L26" s="14"/>
      <c r="M26" s="12"/>
      <c r="N26" s="14"/>
      <c r="O26" s="14"/>
      <c r="P26" s="14"/>
    </row>
    <row r="27" spans="8:16" x14ac:dyDescent="0.3">
      <c r="H27" s="13"/>
      <c r="I27" s="14"/>
      <c r="J27" s="14"/>
      <c r="K27" s="12"/>
      <c r="L27" s="14"/>
      <c r="M27" s="12"/>
      <c r="N27" s="14"/>
      <c r="O27" s="14"/>
      <c r="P27" s="14"/>
    </row>
    <row r="28" spans="8:16" x14ac:dyDescent="0.3">
      <c r="H28" s="13"/>
      <c r="I28" s="14"/>
      <c r="J28" s="14"/>
      <c r="K28" s="12"/>
      <c r="L28" s="14"/>
      <c r="M28" s="12"/>
      <c r="N28" s="14"/>
      <c r="O28" s="14"/>
      <c r="P28" s="14"/>
    </row>
    <row r="29" spans="8:16" x14ac:dyDescent="0.3">
      <c r="H29" s="13"/>
      <c r="I29" s="14"/>
      <c r="J29" s="14"/>
      <c r="K29" s="12"/>
      <c r="L29" s="14"/>
      <c r="M29" s="12"/>
      <c r="N29" s="14"/>
      <c r="O29" s="14"/>
      <c r="P29" s="14"/>
    </row>
    <row r="30" spans="8:16" x14ac:dyDescent="0.3">
      <c r="H30" s="13"/>
      <c r="I30" s="14"/>
      <c r="J30" s="14"/>
      <c r="K30" s="12"/>
      <c r="L30" s="14"/>
      <c r="M30" s="12"/>
      <c r="N30" s="14"/>
      <c r="O30" s="14"/>
      <c r="P30" s="14"/>
    </row>
    <row r="31" spans="8:16" x14ac:dyDescent="0.3">
      <c r="H31" s="13"/>
      <c r="I31" s="14"/>
      <c r="J31" s="14"/>
      <c r="K31" s="12"/>
      <c r="L31" s="14"/>
      <c r="M31" s="12"/>
      <c r="N31" s="14"/>
      <c r="O31" s="14"/>
      <c r="P31" s="14"/>
    </row>
    <row r="32" spans="8:16" x14ac:dyDescent="0.3">
      <c r="H32" s="13"/>
      <c r="I32" s="14"/>
      <c r="J32" s="14"/>
      <c r="K32" s="12"/>
      <c r="L32" s="14"/>
      <c r="M32" s="12"/>
      <c r="N32" s="14"/>
      <c r="O32" s="14"/>
      <c r="P32" s="14"/>
    </row>
    <row r="33" spans="8:16" x14ac:dyDescent="0.3">
      <c r="H33" s="13"/>
      <c r="I33" s="14"/>
      <c r="J33" s="14"/>
      <c r="K33" s="12"/>
      <c r="L33" s="14"/>
      <c r="M33" s="12"/>
      <c r="N33" s="14"/>
      <c r="O33" s="14"/>
      <c r="P33" s="14"/>
    </row>
    <row r="34" spans="8:16" x14ac:dyDescent="0.3">
      <c r="H34" s="13"/>
      <c r="I34" s="14"/>
      <c r="J34" s="14"/>
      <c r="K34" s="12"/>
      <c r="L34" s="14"/>
      <c r="M34" s="12"/>
      <c r="N34" s="14"/>
      <c r="O34" s="14"/>
      <c r="P34" s="14"/>
    </row>
    <row r="35" spans="8:16" x14ac:dyDescent="0.3">
      <c r="H35" s="13"/>
      <c r="I35" s="14"/>
      <c r="J35" s="14"/>
      <c r="K35" s="12"/>
      <c r="L35" s="14"/>
      <c r="M35" s="12"/>
      <c r="N35" s="14"/>
      <c r="O35" s="14"/>
      <c r="P35" s="14"/>
    </row>
    <row r="36" spans="8:16" x14ac:dyDescent="0.3">
      <c r="H36" s="13"/>
      <c r="I36" s="14"/>
      <c r="J36" s="14"/>
      <c r="K36" s="12"/>
      <c r="L36" s="14"/>
      <c r="M36" s="12"/>
      <c r="N36" s="14"/>
      <c r="O36" s="14"/>
      <c r="P36" s="14"/>
    </row>
    <row r="37" spans="8:16" x14ac:dyDescent="0.3">
      <c r="H37" s="13"/>
      <c r="I37" s="14"/>
      <c r="J37" s="14"/>
      <c r="K37" s="12"/>
      <c r="L37" s="14"/>
      <c r="M37" s="12"/>
      <c r="N37" s="14"/>
      <c r="O37" s="14"/>
      <c r="P37" s="14"/>
    </row>
    <row r="38" spans="8:16" x14ac:dyDescent="0.3">
      <c r="H38" s="13"/>
      <c r="I38" s="14"/>
      <c r="J38" s="14"/>
      <c r="K38" s="12"/>
      <c r="L38" s="14"/>
      <c r="M38" s="12"/>
      <c r="N38" s="14"/>
      <c r="O38" s="14"/>
      <c r="P38" s="14"/>
    </row>
    <row r="39" spans="8:16" x14ac:dyDescent="0.3">
      <c r="H39" s="13"/>
      <c r="I39" s="14"/>
      <c r="J39" s="14"/>
      <c r="K39" s="12"/>
      <c r="L39" s="14"/>
      <c r="M39" s="12"/>
      <c r="N39" s="14"/>
      <c r="O39" s="14"/>
      <c r="P39" s="14"/>
    </row>
    <row r="40" spans="8:16" x14ac:dyDescent="0.3">
      <c r="H40" s="13"/>
      <c r="I40" s="14"/>
      <c r="J40" s="14"/>
      <c r="K40" s="12"/>
      <c r="L40" s="14"/>
      <c r="M40" s="12"/>
      <c r="N40" s="14"/>
      <c r="O40" s="14"/>
      <c r="P40" s="14"/>
    </row>
    <row r="41" spans="8:16" x14ac:dyDescent="0.3">
      <c r="H41" s="13"/>
      <c r="I41" s="14"/>
      <c r="J41" s="14"/>
      <c r="K41" s="12"/>
      <c r="L41" s="14"/>
      <c r="M41" s="12"/>
      <c r="N41" s="14"/>
      <c r="O41" s="14"/>
      <c r="P41" s="14"/>
    </row>
    <row r="42" spans="8:16" x14ac:dyDescent="0.3">
      <c r="H42" s="13"/>
      <c r="I42" s="14"/>
      <c r="J42" s="14"/>
      <c r="K42" s="12"/>
      <c r="L42" s="14"/>
      <c r="M42" s="12"/>
      <c r="N42" s="14"/>
      <c r="O42" s="14"/>
      <c r="P42" s="14"/>
    </row>
    <row r="43" spans="8:16" x14ac:dyDescent="0.3">
      <c r="H43" s="13"/>
      <c r="I43" s="14"/>
      <c r="J43" s="14"/>
      <c r="K43" s="12"/>
      <c r="L43" s="14"/>
      <c r="M43" s="12"/>
      <c r="N43" s="14"/>
      <c r="O43" s="14"/>
      <c r="P43" s="14"/>
    </row>
    <row r="44" spans="8:16" x14ac:dyDescent="0.3">
      <c r="H44" s="13"/>
      <c r="I44" s="14"/>
      <c r="J44" s="14"/>
      <c r="K44" s="12"/>
      <c r="L44" s="14"/>
      <c r="M44" s="12"/>
      <c r="N44" s="14"/>
      <c r="O44" s="14"/>
      <c r="P44" s="14"/>
    </row>
    <row r="45" spans="8:16" x14ac:dyDescent="0.3">
      <c r="H45" s="13"/>
      <c r="I45" s="14"/>
      <c r="J45" s="14"/>
      <c r="K45" s="12"/>
      <c r="L45" s="14"/>
      <c r="M45" s="12"/>
      <c r="N45" s="14"/>
      <c r="O45" s="14"/>
      <c r="P45" s="14"/>
    </row>
    <row r="46" spans="8:16" x14ac:dyDescent="0.3">
      <c r="H46" s="13"/>
      <c r="I46" s="14"/>
      <c r="J46" s="14"/>
      <c r="K46" s="12"/>
      <c r="L46" s="14"/>
      <c r="M46" s="12"/>
      <c r="N46" s="14"/>
      <c r="O46" s="14"/>
      <c r="P46" s="14"/>
    </row>
    <row r="47" spans="8:16" x14ac:dyDescent="0.3">
      <c r="H47" s="13"/>
      <c r="I47" s="14"/>
      <c r="J47" s="14"/>
      <c r="K47" s="12"/>
      <c r="L47" s="14"/>
      <c r="M47" s="12"/>
      <c r="N47" s="14"/>
      <c r="O47" s="14"/>
      <c r="P47" s="14"/>
    </row>
    <row r="48" spans="8:16" x14ac:dyDescent="0.3">
      <c r="H48" s="13"/>
      <c r="I48" s="14"/>
      <c r="J48" s="14"/>
      <c r="K48" s="12"/>
      <c r="L48" s="14"/>
      <c r="M48" s="12"/>
      <c r="N48" s="14"/>
      <c r="O48" s="14"/>
      <c r="P48" s="14"/>
    </row>
    <row r="49" spans="8:16" x14ac:dyDescent="0.3">
      <c r="H49" s="13"/>
      <c r="I49" s="14"/>
      <c r="J49" s="14"/>
      <c r="K49" s="12"/>
      <c r="L49" s="14"/>
      <c r="M49" s="12"/>
      <c r="N49" s="14"/>
      <c r="O49" s="14"/>
      <c r="P49" s="14"/>
    </row>
    <row r="50" spans="8:16" x14ac:dyDescent="0.3">
      <c r="H50" s="13"/>
      <c r="I50" s="14"/>
      <c r="J50" s="14"/>
      <c r="K50" s="12"/>
      <c r="L50" s="14"/>
      <c r="M50" s="12"/>
      <c r="N50" s="14"/>
      <c r="O50" s="14"/>
      <c r="P50" s="14"/>
    </row>
    <row r="51" spans="8:16" x14ac:dyDescent="0.3">
      <c r="H51" s="13"/>
      <c r="I51" s="14"/>
      <c r="J51" s="14"/>
      <c r="K51" s="12"/>
      <c r="L51" s="14"/>
      <c r="M51" s="12"/>
      <c r="N51" s="14"/>
      <c r="O51" s="14"/>
      <c r="P51" s="14"/>
    </row>
    <row r="52" spans="8:16" x14ac:dyDescent="0.3">
      <c r="H52" s="13"/>
      <c r="I52" s="14"/>
      <c r="J52" s="14"/>
      <c r="K52" s="12"/>
      <c r="L52" s="14"/>
      <c r="M52" s="12"/>
      <c r="N52" s="14"/>
      <c r="O52" s="14"/>
      <c r="P52" s="14"/>
    </row>
    <row r="53" spans="8:16" x14ac:dyDescent="0.3">
      <c r="H53" s="13"/>
      <c r="I53" s="14"/>
      <c r="J53" s="14"/>
      <c r="K53" s="12"/>
      <c r="L53" s="14"/>
      <c r="M53" s="12"/>
      <c r="N53" s="14"/>
      <c r="O53" s="14"/>
      <c r="P53" s="14"/>
    </row>
    <row r="54" spans="8:16" x14ac:dyDescent="0.3">
      <c r="H54" s="13"/>
      <c r="I54" s="14"/>
      <c r="J54" s="14"/>
      <c r="K54" s="12"/>
      <c r="L54" s="14"/>
      <c r="M54" s="12"/>
      <c r="N54" s="14"/>
      <c r="O54" s="14"/>
      <c r="P54" s="14"/>
    </row>
    <row r="55" spans="8:16" x14ac:dyDescent="0.3">
      <c r="H55" s="13"/>
      <c r="I55" s="14"/>
      <c r="J55" s="14"/>
      <c r="K55" s="12"/>
      <c r="L55" s="14"/>
      <c r="M55" s="12"/>
      <c r="N55" s="14"/>
      <c r="O55" s="14"/>
      <c r="P55" s="14"/>
    </row>
    <row r="56" spans="8:16" x14ac:dyDescent="0.3">
      <c r="H56" s="13"/>
      <c r="I56" s="14"/>
      <c r="J56" s="14"/>
      <c r="K56" s="12"/>
      <c r="L56" s="14"/>
      <c r="M56" s="12"/>
      <c r="N56" s="14"/>
      <c r="O56" s="14"/>
      <c r="P56" s="14"/>
    </row>
    <row r="57" spans="8:16" x14ac:dyDescent="0.3">
      <c r="H57" s="13"/>
      <c r="I57" s="14"/>
      <c r="J57" s="14"/>
      <c r="K57" s="12"/>
      <c r="L57" s="14"/>
      <c r="M57" s="12"/>
      <c r="N57" s="14"/>
      <c r="O57" s="14"/>
      <c r="P57" s="14"/>
    </row>
    <row r="58" spans="8:16" x14ac:dyDescent="0.3">
      <c r="H58" s="13"/>
      <c r="I58" s="14"/>
      <c r="J58" s="14"/>
      <c r="K58" s="12"/>
      <c r="L58" s="14"/>
      <c r="M58" s="12"/>
      <c r="N58" s="14"/>
      <c r="O58" s="14"/>
      <c r="P58" s="14"/>
    </row>
    <row r="59" spans="8:16" x14ac:dyDescent="0.3">
      <c r="H59" s="13"/>
      <c r="I59" s="14"/>
      <c r="J59" s="14"/>
      <c r="K59" s="12"/>
      <c r="L59" s="14"/>
      <c r="M59" s="12"/>
      <c r="N59" s="14"/>
      <c r="O59" s="14"/>
      <c r="P59" s="14"/>
    </row>
    <row r="60" spans="8:16" x14ac:dyDescent="0.3">
      <c r="H60" s="13"/>
      <c r="I60" s="14"/>
      <c r="J60" s="14"/>
      <c r="K60" s="12"/>
      <c r="L60" s="14"/>
      <c r="M60" s="12"/>
      <c r="N60" s="14"/>
      <c r="O60" s="14"/>
      <c r="P60" s="14"/>
    </row>
    <row r="61" spans="8:16" x14ac:dyDescent="0.3">
      <c r="H61" s="13"/>
      <c r="I61" s="14"/>
      <c r="J61" s="14"/>
      <c r="K61" s="12"/>
      <c r="L61" s="14"/>
      <c r="M61" s="12"/>
      <c r="N61" s="14"/>
      <c r="O61" s="14"/>
      <c r="P61" s="14"/>
    </row>
    <row r="62" spans="8:16" x14ac:dyDescent="0.3">
      <c r="H62" s="13"/>
      <c r="I62" s="14"/>
      <c r="J62" s="14"/>
      <c r="K62" s="12"/>
      <c r="L62" s="14"/>
      <c r="M62" s="12"/>
      <c r="N62" s="14"/>
      <c r="O62" s="14"/>
      <c r="P62" s="14"/>
    </row>
    <row r="63" spans="8:16" x14ac:dyDescent="0.3">
      <c r="H63" s="13"/>
      <c r="I63" s="14"/>
      <c r="J63" s="14"/>
      <c r="K63" s="12"/>
      <c r="L63" s="14"/>
      <c r="M63" s="12"/>
      <c r="N63" s="14"/>
      <c r="O63" s="14"/>
      <c r="P63" s="14"/>
    </row>
    <row r="64" spans="8:16" x14ac:dyDescent="0.3">
      <c r="H64" s="13"/>
      <c r="I64" s="14"/>
      <c r="J64" s="14"/>
      <c r="K64" s="12"/>
      <c r="L64" s="14"/>
      <c r="M64" s="12"/>
      <c r="N64" s="14"/>
      <c r="O64" s="14"/>
      <c r="P64" s="14"/>
    </row>
    <row r="65" spans="8:16" x14ac:dyDescent="0.3">
      <c r="H65" s="13"/>
      <c r="I65" s="14"/>
      <c r="J65" s="14"/>
      <c r="K65" s="12"/>
      <c r="L65" s="14"/>
      <c r="M65" s="12"/>
      <c r="N65" s="14"/>
      <c r="O65" s="14"/>
      <c r="P65" s="14"/>
    </row>
    <row r="66" spans="8:16" x14ac:dyDescent="0.3">
      <c r="H66" s="13"/>
      <c r="I66" s="14"/>
      <c r="J66" s="14"/>
      <c r="K66" s="12"/>
      <c r="L66" s="14"/>
      <c r="M66" s="12"/>
      <c r="N66" s="14"/>
      <c r="O66" s="14"/>
      <c r="P66" s="14"/>
    </row>
    <row r="67" spans="8:16" x14ac:dyDescent="0.3">
      <c r="H67" s="13"/>
      <c r="I67" s="14"/>
      <c r="J67" s="14"/>
      <c r="K67" s="12"/>
      <c r="L67" s="14"/>
      <c r="M67" s="12"/>
      <c r="N67" s="14"/>
      <c r="O67" s="14"/>
      <c r="P67" s="14"/>
    </row>
    <row r="68" spans="8:16" x14ac:dyDescent="0.3">
      <c r="H68" s="13"/>
      <c r="I68" s="14"/>
      <c r="J68" s="14"/>
      <c r="K68" s="12"/>
      <c r="L68" s="14"/>
      <c r="M68" s="12"/>
      <c r="N68" s="14"/>
      <c r="O68" s="14"/>
      <c r="P68" s="14"/>
    </row>
    <row r="69" spans="8:16" x14ac:dyDescent="0.3">
      <c r="H69" s="13"/>
      <c r="I69" s="14"/>
      <c r="J69" s="14"/>
      <c r="K69" s="12"/>
      <c r="L69" s="14"/>
      <c r="M69" s="12"/>
      <c r="N69" s="14"/>
      <c r="O69" s="14"/>
      <c r="P69" s="14"/>
    </row>
    <row r="70" spans="8:16" x14ac:dyDescent="0.3">
      <c r="H70" s="13"/>
      <c r="I70" s="14"/>
      <c r="J70" s="14"/>
      <c r="K70" s="12"/>
      <c r="L70" s="14"/>
      <c r="M70" s="12"/>
      <c r="N70" s="14"/>
      <c r="O70" s="14"/>
      <c r="P70" s="14"/>
    </row>
    <row r="71" spans="8:16" x14ac:dyDescent="0.3">
      <c r="H71" s="13"/>
      <c r="I71" s="14"/>
      <c r="J71" s="14"/>
      <c r="K71" s="12"/>
      <c r="L71" s="14"/>
      <c r="M71" s="12"/>
      <c r="N71" s="14"/>
      <c r="O71" s="14"/>
      <c r="P71" s="14"/>
    </row>
    <row r="72" spans="8:16" x14ac:dyDescent="0.3">
      <c r="H72" s="13"/>
      <c r="I72" s="14"/>
      <c r="J72" s="14"/>
      <c r="K72" s="12"/>
      <c r="L72" s="14"/>
      <c r="M72" s="12"/>
      <c r="N72" s="14"/>
      <c r="O72" s="14"/>
      <c r="P72" s="14"/>
    </row>
    <row r="73" spans="8:16" x14ac:dyDescent="0.3">
      <c r="H73" s="13"/>
      <c r="I73" s="14"/>
      <c r="J73" s="14"/>
      <c r="K73" s="12"/>
      <c r="L73" s="14"/>
      <c r="M73" s="12"/>
      <c r="N73" s="14"/>
      <c r="O73" s="14"/>
      <c r="P73" s="14"/>
    </row>
    <row r="74" spans="8:16" x14ac:dyDescent="0.3">
      <c r="H74" s="13"/>
      <c r="I74" s="14"/>
      <c r="J74" s="14"/>
      <c r="K74" s="12"/>
      <c r="L74" s="14"/>
      <c r="M74" s="12"/>
      <c r="N74" s="14"/>
      <c r="O74" s="14"/>
      <c r="P74" s="14"/>
    </row>
    <row r="75" spans="8:16" x14ac:dyDescent="0.3">
      <c r="H75" s="13"/>
      <c r="I75" s="14"/>
      <c r="J75" s="14"/>
      <c r="K75" s="12"/>
      <c r="L75" s="14"/>
      <c r="M75" s="12"/>
      <c r="N75" s="14"/>
      <c r="O75" s="14"/>
      <c r="P75" s="14"/>
    </row>
    <row r="76" spans="8:16" x14ac:dyDescent="0.3">
      <c r="H76" s="13"/>
      <c r="I76" s="14"/>
      <c r="J76" s="14"/>
      <c r="K76" s="12"/>
      <c r="L76" s="14"/>
      <c r="M76" s="12"/>
      <c r="N76" s="14"/>
      <c r="O76" s="14"/>
      <c r="P76" s="14"/>
    </row>
    <row r="77" spans="8:16" x14ac:dyDescent="0.3">
      <c r="H77" s="13"/>
      <c r="I77" s="14"/>
      <c r="J77" s="14"/>
      <c r="K77" s="12"/>
      <c r="L77" s="14"/>
      <c r="M77" s="12"/>
      <c r="N77" s="14"/>
      <c r="O77" s="14"/>
      <c r="P77" s="14"/>
    </row>
    <row r="78" spans="8:16" x14ac:dyDescent="0.3">
      <c r="H78" s="13"/>
      <c r="I78" s="14"/>
      <c r="J78" s="14"/>
      <c r="K78" s="12"/>
      <c r="L78" s="14"/>
      <c r="M78" s="12"/>
      <c r="N78" s="14"/>
      <c r="O78" s="14"/>
      <c r="P78" s="14"/>
    </row>
    <row r="79" spans="8:16" x14ac:dyDescent="0.3">
      <c r="H79" s="13"/>
      <c r="I79" s="14"/>
      <c r="J79" s="14"/>
      <c r="K79" s="12"/>
      <c r="L79" s="14"/>
      <c r="M79" s="12"/>
      <c r="N79" s="14"/>
      <c r="O79" s="14"/>
      <c r="P79" s="14"/>
    </row>
    <row r="80" spans="8:16" x14ac:dyDescent="0.3">
      <c r="H80" s="13"/>
      <c r="I80" s="14"/>
      <c r="J80" s="14"/>
      <c r="K80" s="12"/>
      <c r="L80" s="14"/>
      <c r="M80" s="12"/>
      <c r="N80" s="14"/>
      <c r="O80" s="14"/>
      <c r="P80" s="14"/>
    </row>
    <row r="81" spans="8:16" x14ac:dyDescent="0.3">
      <c r="H81" s="13"/>
      <c r="I81" s="14"/>
      <c r="J81" s="14"/>
      <c r="K81" s="12"/>
      <c r="L81" s="14"/>
      <c r="M81" s="12"/>
      <c r="N81" s="14"/>
      <c r="O81" s="14"/>
      <c r="P81" s="14"/>
    </row>
    <row r="82" spans="8:16" x14ac:dyDescent="0.3">
      <c r="H82" s="13"/>
      <c r="I82" s="14"/>
      <c r="J82" s="14"/>
      <c r="K82" s="12"/>
      <c r="L82" s="14"/>
      <c r="M82" s="12"/>
      <c r="N82" s="14"/>
      <c r="O82" s="14"/>
      <c r="P82" s="14"/>
    </row>
    <row r="83" spans="8:16" x14ac:dyDescent="0.3">
      <c r="H83" s="13"/>
      <c r="I83" s="14"/>
      <c r="J83" s="14"/>
      <c r="K83" s="12"/>
      <c r="L83" s="14"/>
      <c r="M83" s="12"/>
      <c r="N83" s="14"/>
      <c r="O83" s="14"/>
      <c r="P83" s="14"/>
    </row>
    <row r="84" spans="8:16" x14ac:dyDescent="0.3">
      <c r="H84" s="13"/>
      <c r="I84" s="14"/>
      <c r="J84" s="14"/>
      <c r="K84" s="12"/>
      <c r="L84" s="14"/>
      <c r="M84" s="12"/>
      <c r="N84" s="14"/>
      <c r="O84" s="14"/>
      <c r="P84" s="14"/>
    </row>
    <row r="85" spans="8:16" x14ac:dyDescent="0.3">
      <c r="H85" s="13"/>
      <c r="I85" s="14"/>
      <c r="J85" s="14"/>
      <c r="K85" s="12"/>
      <c r="L85" s="14"/>
      <c r="M85" s="12"/>
      <c r="N85" s="14"/>
      <c r="O85" s="14"/>
      <c r="P85" s="14"/>
    </row>
    <row r="86" spans="8:16" x14ac:dyDescent="0.3">
      <c r="H86" s="13"/>
      <c r="I86" s="14"/>
      <c r="J86" s="14"/>
      <c r="K86" s="12"/>
      <c r="L86" s="14"/>
      <c r="M86" s="12"/>
      <c r="N86" s="14"/>
      <c r="O86" s="14"/>
      <c r="P86" s="14"/>
    </row>
    <row r="87" spans="8:16" x14ac:dyDescent="0.3">
      <c r="H87" s="13"/>
      <c r="I87" s="14"/>
      <c r="J87" s="14"/>
      <c r="K87" s="12"/>
      <c r="L87" s="14"/>
      <c r="M87" s="12"/>
      <c r="N87" s="14"/>
      <c r="O87" s="14"/>
      <c r="P87" s="14"/>
    </row>
    <row r="88" spans="8:16" x14ac:dyDescent="0.3">
      <c r="H88" s="13"/>
      <c r="I88" s="14"/>
      <c r="J88" s="14"/>
      <c r="K88" s="12"/>
      <c r="L88" s="14"/>
      <c r="M88" s="12"/>
      <c r="N88" s="14"/>
      <c r="O88" s="14"/>
      <c r="P88" s="14"/>
    </row>
    <row r="89" spans="8:16" x14ac:dyDescent="0.3">
      <c r="H89" s="13"/>
      <c r="I89" s="14"/>
      <c r="J89" s="14"/>
      <c r="K89" s="12"/>
      <c r="L89" s="14"/>
      <c r="M89" s="12"/>
      <c r="N89" s="14"/>
      <c r="O89" s="14"/>
      <c r="P89" s="14"/>
    </row>
    <row r="90" spans="8:16" x14ac:dyDescent="0.3">
      <c r="H90" s="13"/>
      <c r="I90" s="14"/>
      <c r="J90" s="14"/>
      <c r="K90" s="12"/>
      <c r="L90" s="14"/>
      <c r="M90" s="12"/>
      <c r="N90" s="14"/>
      <c r="O90" s="14"/>
      <c r="P90" s="14"/>
    </row>
    <row r="91" spans="8:16" x14ac:dyDescent="0.3">
      <c r="H91" s="13"/>
      <c r="I91" s="14"/>
      <c r="J91" s="14"/>
      <c r="K91" s="12"/>
      <c r="L91" s="14"/>
      <c r="M91" s="12"/>
      <c r="N91" s="14"/>
      <c r="O91" s="14"/>
      <c r="P91" s="14"/>
    </row>
    <row r="92" spans="8:16" x14ac:dyDescent="0.3">
      <c r="H92" s="13"/>
      <c r="I92" s="14"/>
      <c r="J92" s="14"/>
      <c r="K92" s="12"/>
      <c r="L92" s="14"/>
      <c r="M92" s="12"/>
      <c r="N92" s="14"/>
      <c r="O92" s="14"/>
      <c r="P92" s="14"/>
    </row>
    <row r="93" spans="8:16" x14ac:dyDescent="0.3">
      <c r="H93" s="13"/>
      <c r="I93" s="14"/>
      <c r="J93" s="14"/>
      <c r="K93" s="12"/>
      <c r="L93" s="14"/>
      <c r="M93" s="12"/>
      <c r="N93" s="14"/>
      <c r="O93" s="14"/>
      <c r="P93" s="14"/>
    </row>
    <row r="94" spans="8:16" x14ac:dyDescent="0.3">
      <c r="H94" s="13"/>
      <c r="I94" s="14"/>
      <c r="J94" s="14"/>
      <c r="K94" s="12"/>
      <c r="L94" s="14"/>
      <c r="M94" s="12"/>
      <c r="N94" s="14"/>
      <c r="O94" s="14"/>
      <c r="P94" s="14"/>
    </row>
    <row r="95" spans="8:16" x14ac:dyDescent="0.3">
      <c r="H95" s="13"/>
      <c r="I95" s="14"/>
      <c r="J95" s="14"/>
      <c r="K95" s="12"/>
      <c r="L95" s="14"/>
      <c r="M95" s="12"/>
      <c r="N95" s="14"/>
      <c r="O95" s="14"/>
      <c r="P95" s="14"/>
    </row>
    <row r="96" spans="8:16" x14ac:dyDescent="0.3">
      <c r="H96" s="13"/>
      <c r="I96" s="14"/>
      <c r="J96" s="14"/>
      <c r="K96" s="12"/>
      <c r="L96" s="14"/>
      <c r="M96" s="12"/>
      <c r="N96" s="14"/>
      <c r="O96" s="14"/>
      <c r="P96" s="14"/>
    </row>
    <row r="97" spans="8:16" x14ac:dyDescent="0.3">
      <c r="H97" s="13"/>
      <c r="I97" s="14"/>
      <c r="J97" s="14"/>
      <c r="K97" s="12"/>
      <c r="L97" s="14"/>
      <c r="M97" s="12"/>
      <c r="N97" s="14"/>
      <c r="O97" s="14"/>
      <c r="P97" s="14"/>
    </row>
    <row r="98" spans="8:16" x14ac:dyDescent="0.3">
      <c r="H98" s="13"/>
      <c r="I98" s="14"/>
      <c r="J98" s="14"/>
      <c r="K98" s="12"/>
      <c r="L98" s="14"/>
      <c r="M98" s="12"/>
      <c r="N98" s="14"/>
      <c r="O98" s="14"/>
      <c r="P98" s="14"/>
    </row>
    <row r="99" spans="8:16" x14ac:dyDescent="0.3">
      <c r="H99" s="13"/>
      <c r="I99" s="14"/>
      <c r="J99" s="14"/>
      <c r="K99" s="12"/>
      <c r="L99" s="14"/>
      <c r="M99" s="12"/>
      <c r="N99" s="14"/>
      <c r="O99" s="14"/>
      <c r="P99" s="14"/>
    </row>
    <row r="100" spans="8:16" x14ac:dyDescent="0.3">
      <c r="H100" s="13"/>
      <c r="I100" s="14"/>
      <c r="J100" s="14"/>
      <c r="K100" s="12"/>
      <c r="L100" s="14"/>
      <c r="M100" s="12"/>
      <c r="N100" s="14"/>
      <c r="O100" s="14"/>
      <c r="P100" s="14"/>
    </row>
    <row r="101" spans="8:16" x14ac:dyDescent="0.3">
      <c r="H101" s="13"/>
      <c r="I101" s="14"/>
      <c r="J101" s="14"/>
      <c r="K101" s="12"/>
      <c r="L101" s="14"/>
      <c r="M101" s="12"/>
      <c r="N101" s="14"/>
      <c r="O101" s="14"/>
      <c r="P101" s="14"/>
    </row>
    <row r="102" spans="8:16" x14ac:dyDescent="0.3">
      <c r="H102" s="13"/>
      <c r="I102" s="14"/>
      <c r="J102" s="14"/>
      <c r="K102" s="12"/>
      <c r="L102" s="14"/>
      <c r="M102" s="12"/>
      <c r="N102" s="14"/>
      <c r="O102" s="14"/>
      <c r="P102" s="14"/>
    </row>
    <row r="103" spans="8:16" x14ac:dyDescent="0.3">
      <c r="H103" s="13"/>
      <c r="I103" s="14"/>
      <c r="J103" s="14"/>
      <c r="K103" s="12"/>
      <c r="L103" s="14"/>
      <c r="M103" s="12"/>
      <c r="N103" s="14"/>
      <c r="O103" s="14"/>
      <c r="P103" s="14"/>
    </row>
    <row r="104" spans="8:16" x14ac:dyDescent="0.3">
      <c r="H104" s="13"/>
      <c r="I104" s="14"/>
      <c r="J104" s="14"/>
      <c r="K104" s="12"/>
      <c r="L104" s="14"/>
      <c r="M104" s="12"/>
      <c r="N104" s="14"/>
      <c r="O104" s="14"/>
      <c r="P104" s="14"/>
    </row>
    <row r="105" spans="8:16" x14ac:dyDescent="0.3">
      <c r="H105" s="13"/>
      <c r="I105" s="14"/>
      <c r="J105" s="14"/>
      <c r="K105" s="12"/>
      <c r="L105" s="14"/>
      <c r="M105" s="12"/>
      <c r="N105" s="14"/>
      <c r="O105" s="14"/>
      <c r="P105" s="14"/>
    </row>
    <row r="106" spans="8:16" x14ac:dyDescent="0.3">
      <c r="H106" s="13"/>
      <c r="I106" s="14"/>
      <c r="J106" s="14"/>
      <c r="K106" s="12"/>
      <c r="L106" s="14"/>
      <c r="M106" s="12"/>
      <c r="N106" s="14"/>
      <c r="O106" s="14"/>
      <c r="P106" s="14"/>
    </row>
    <row r="107" spans="8:16" x14ac:dyDescent="0.3">
      <c r="H107" s="13"/>
      <c r="I107" s="14"/>
      <c r="J107" s="14"/>
      <c r="K107" s="12"/>
      <c r="L107" s="14"/>
      <c r="M107" s="12"/>
      <c r="N107" s="14"/>
      <c r="O107" s="14"/>
      <c r="P107" s="14"/>
    </row>
    <row r="108" spans="8:16" x14ac:dyDescent="0.3">
      <c r="H108" s="13"/>
      <c r="I108" s="14"/>
      <c r="J108" s="14"/>
      <c r="K108" s="12"/>
      <c r="L108" s="14"/>
      <c r="M108" s="12"/>
      <c r="N108" s="14"/>
      <c r="O108" s="14"/>
      <c r="P108" s="14"/>
    </row>
    <row r="109" spans="8:16" x14ac:dyDescent="0.3">
      <c r="H109" s="13"/>
      <c r="I109" s="14"/>
      <c r="J109" s="14"/>
      <c r="K109" s="12"/>
      <c r="L109" s="14"/>
      <c r="M109" s="12"/>
      <c r="N109" s="14"/>
      <c r="O109" s="14"/>
      <c r="P109" s="14"/>
    </row>
    <row r="110" spans="8:16" x14ac:dyDescent="0.3">
      <c r="H110" s="13"/>
      <c r="I110" s="14"/>
      <c r="J110" s="14"/>
      <c r="K110" s="12"/>
      <c r="L110" s="14"/>
      <c r="M110" s="12"/>
      <c r="N110" s="14"/>
      <c r="O110" s="14"/>
      <c r="P110" s="14"/>
    </row>
    <row r="111" spans="8:16" x14ac:dyDescent="0.3">
      <c r="H111" s="13"/>
      <c r="I111" s="14"/>
      <c r="J111" s="14"/>
      <c r="K111" s="12"/>
      <c r="L111" s="14"/>
      <c r="M111" s="12"/>
      <c r="N111" s="14"/>
      <c r="O111" s="14"/>
      <c r="P111" s="14"/>
    </row>
    <row r="112" spans="8:16" x14ac:dyDescent="0.3">
      <c r="H112" s="13"/>
      <c r="I112" s="14"/>
      <c r="J112" s="14"/>
      <c r="K112" s="12"/>
      <c r="L112" s="14"/>
      <c r="M112" s="12"/>
      <c r="N112" s="14"/>
      <c r="O112" s="14"/>
      <c r="P112" s="14"/>
    </row>
    <row r="113" spans="8:16" x14ac:dyDescent="0.3">
      <c r="H113" s="13"/>
      <c r="I113" s="14"/>
      <c r="J113" s="14"/>
      <c r="K113" s="12"/>
      <c r="L113" s="14"/>
      <c r="M113" s="12"/>
      <c r="N113" s="14"/>
      <c r="O113" s="14"/>
      <c r="P113" s="14"/>
    </row>
    <row r="114" spans="8:16" x14ac:dyDescent="0.3">
      <c r="H114" s="13"/>
      <c r="I114" s="14"/>
      <c r="J114" s="14"/>
      <c r="K114" s="12"/>
      <c r="L114" s="14"/>
      <c r="M114" s="12"/>
      <c r="N114" s="14"/>
      <c r="O114" s="14"/>
      <c r="P114" s="14"/>
    </row>
    <row r="115" spans="8:16" x14ac:dyDescent="0.3">
      <c r="H115" s="13"/>
      <c r="I115" s="14"/>
      <c r="J115" s="14"/>
      <c r="K115" s="12"/>
      <c r="L115" s="14"/>
      <c r="M115" s="12"/>
      <c r="N115" s="14"/>
      <c r="O115" s="14"/>
      <c r="P115" s="14"/>
    </row>
    <row r="116" spans="8:16" x14ac:dyDescent="0.3">
      <c r="H116" s="13"/>
      <c r="I116" s="14"/>
      <c r="J116" s="14"/>
      <c r="K116" s="12"/>
      <c r="L116" s="14"/>
      <c r="M116" s="12"/>
      <c r="N116" s="14"/>
      <c r="O116" s="14"/>
      <c r="P116" s="14"/>
    </row>
    <row r="117" spans="8:16" x14ac:dyDescent="0.3">
      <c r="H117" s="13"/>
      <c r="I117" s="14"/>
      <c r="J117" s="14"/>
      <c r="K117" s="12"/>
      <c r="L117" s="14"/>
      <c r="M117" s="12"/>
      <c r="N117" s="14"/>
      <c r="O117" s="14"/>
      <c r="P117" s="14"/>
    </row>
    <row r="118" spans="8:16" x14ac:dyDescent="0.3">
      <c r="H118" s="13"/>
      <c r="I118" s="14"/>
      <c r="J118" s="14"/>
      <c r="K118" s="12"/>
      <c r="L118" s="14"/>
      <c r="M118" s="12"/>
      <c r="N118" s="14"/>
      <c r="O118" s="14"/>
      <c r="P118" s="14"/>
    </row>
    <row r="119" spans="8:16" x14ac:dyDescent="0.3">
      <c r="H119" s="13"/>
      <c r="I119" s="14"/>
      <c r="J119" s="14"/>
      <c r="K119" s="12"/>
      <c r="L119" s="14"/>
      <c r="M119" s="12"/>
      <c r="N119" s="14"/>
      <c r="O119" s="14"/>
      <c r="P119" s="14"/>
    </row>
    <row r="120" spans="8:16" x14ac:dyDescent="0.3">
      <c r="H120" s="13"/>
      <c r="I120" s="14"/>
      <c r="J120" s="14"/>
      <c r="K120" s="12"/>
      <c r="L120" s="14"/>
      <c r="M120" s="12"/>
      <c r="N120" s="14"/>
      <c r="O120" s="14"/>
      <c r="P120" s="14"/>
    </row>
    <row r="121" spans="8:16" x14ac:dyDescent="0.3">
      <c r="H121" s="13"/>
      <c r="I121" s="14"/>
      <c r="J121" s="14"/>
      <c r="K121" s="12"/>
      <c r="L121" s="14"/>
      <c r="M121" s="12"/>
      <c r="N121" s="14"/>
      <c r="O121" s="14"/>
      <c r="P121" s="14"/>
    </row>
    <row r="122" spans="8:16" x14ac:dyDescent="0.3">
      <c r="H122" s="13"/>
      <c r="I122" s="14"/>
      <c r="J122" s="14"/>
      <c r="K122" s="12"/>
      <c r="L122" s="14"/>
      <c r="M122" s="12"/>
      <c r="N122" s="14"/>
      <c r="O122" s="14"/>
      <c r="P122" s="14"/>
    </row>
    <row r="123" spans="8:16" x14ac:dyDescent="0.3">
      <c r="H123" s="13"/>
      <c r="I123" s="14"/>
      <c r="J123" s="14"/>
      <c r="K123" s="12"/>
      <c r="L123" s="14"/>
      <c r="M123" s="12"/>
      <c r="N123" s="14"/>
      <c r="O123" s="14"/>
      <c r="P123" s="14"/>
    </row>
    <row r="124" spans="8:16" x14ac:dyDescent="0.3">
      <c r="H124" s="13"/>
      <c r="I124" s="14"/>
      <c r="J124" s="14"/>
      <c r="K124" s="12"/>
      <c r="L124" s="14"/>
      <c r="M124" s="12"/>
      <c r="N124" s="14"/>
      <c r="O124" s="14"/>
      <c r="P124" s="14"/>
    </row>
    <row r="125" spans="8:16" x14ac:dyDescent="0.3">
      <c r="H125" s="13"/>
      <c r="I125" s="14"/>
      <c r="J125" s="14"/>
      <c r="K125" s="12"/>
      <c r="L125" s="14"/>
      <c r="M125" s="12"/>
      <c r="N125" s="14"/>
      <c r="O125" s="14"/>
      <c r="P125" s="14"/>
    </row>
    <row r="126" spans="8:16" x14ac:dyDescent="0.3">
      <c r="H126" s="13"/>
      <c r="I126" s="14"/>
      <c r="J126" s="14"/>
      <c r="K126" s="12"/>
      <c r="L126" s="14"/>
      <c r="M126" s="12"/>
      <c r="N126" s="14"/>
      <c r="O126" s="14"/>
      <c r="P126" s="14"/>
    </row>
    <row r="127" spans="8:16" x14ac:dyDescent="0.3">
      <c r="H127" s="13"/>
      <c r="I127" s="14"/>
      <c r="J127" s="14"/>
      <c r="K127" s="12"/>
      <c r="L127" s="14"/>
      <c r="M127" s="12"/>
      <c r="N127" s="14"/>
      <c r="O127" s="14"/>
      <c r="P127" s="14"/>
    </row>
    <row r="128" spans="8:16" x14ac:dyDescent="0.3">
      <c r="H128" s="13"/>
      <c r="I128" s="14"/>
      <c r="J128" s="14"/>
      <c r="K128" s="12"/>
      <c r="L128" s="14"/>
      <c r="M128" s="12"/>
      <c r="N128" s="14"/>
      <c r="O128" s="14"/>
      <c r="P128" s="14"/>
    </row>
    <row r="129" spans="8:16" x14ac:dyDescent="0.3">
      <c r="H129" s="13"/>
      <c r="I129" s="14"/>
      <c r="J129" s="14"/>
      <c r="K129" s="12"/>
      <c r="L129" s="14"/>
      <c r="M129" s="12"/>
      <c r="N129" s="14"/>
      <c r="O129" s="14"/>
      <c r="P129" s="14"/>
    </row>
    <row r="130" spans="8:16" x14ac:dyDescent="0.3">
      <c r="H130" s="13"/>
      <c r="I130" s="14"/>
      <c r="J130" s="14"/>
      <c r="K130" s="12"/>
      <c r="L130" s="14"/>
      <c r="M130" s="12"/>
      <c r="N130" s="14"/>
      <c r="O130" s="14"/>
      <c r="P130" s="14"/>
    </row>
    <row r="131" spans="8:16" x14ac:dyDescent="0.3">
      <c r="H131" s="13"/>
      <c r="I131" s="14"/>
      <c r="J131" s="14"/>
      <c r="K131" s="12"/>
      <c r="L131" s="14"/>
      <c r="M131" s="12"/>
      <c r="N131" s="14"/>
      <c r="O131" s="14"/>
      <c r="P131" s="14"/>
    </row>
    <row r="132" spans="8:16" x14ac:dyDescent="0.3">
      <c r="H132" s="13"/>
      <c r="I132" s="14"/>
      <c r="J132" s="14"/>
      <c r="K132" s="12"/>
      <c r="L132" s="14"/>
      <c r="M132" s="12"/>
      <c r="N132" s="14"/>
      <c r="O132" s="14"/>
      <c r="P132" s="14"/>
    </row>
    <row r="133" spans="8:16" x14ac:dyDescent="0.3">
      <c r="H133" s="13"/>
      <c r="I133" s="14"/>
      <c r="J133" s="14"/>
      <c r="K133" s="12"/>
      <c r="L133" s="14"/>
      <c r="M133" s="12"/>
      <c r="N133" s="14"/>
      <c r="O133" s="14"/>
      <c r="P133" s="14"/>
    </row>
    <row r="134" spans="8:16" x14ac:dyDescent="0.3">
      <c r="H134" s="13"/>
      <c r="I134" s="14"/>
      <c r="J134" s="14"/>
      <c r="K134" s="12"/>
      <c r="L134" s="14"/>
      <c r="M134" s="12"/>
      <c r="N134" s="14"/>
      <c r="O134" s="14"/>
      <c r="P134" s="14"/>
    </row>
    <row r="135" spans="8:16" x14ac:dyDescent="0.3">
      <c r="H135" s="13"/>
      <c r="I135" s="14"/>
      <c r="J135" s="14"/>
      <c r="K135" s="12"/>
      <c r="L135" s="14"/>
      <c r="M135" s="12"/>
      <c r="N135" s="14"/>
      <c r="O135" s="14"/>
      <c r="P135" s="14"/>
    </row>
    <row r="136" spans="8:16" x14ac:dyDescent="0.3">
      <c r="H136" s="13"/>
      <c r="I136" s="14"/>
      <c r="J136" s="14"/>
      <c r="K136" s="12"/>
      <c r="L136" s="14"/>
      <c r="M136" s="12"/>
      <c r="N136" s="14"/>
      <c r="O136" s="14"/>
      <c r="P136" s="14"/>
    </row>
    <row r="137" spans="8:16" x14ac:dyDescent="0.3">
      <c r="H137" s="13"/>
      <c r="I137" s="14"/>
      <c r="J137" s="14"/>
      <c r="K137" s="12"/>
      <c r="L137" s="14"/>
      <c r="M137" s="12"/>
      <c r="N137" s="14"/>
      <c r="O137" s="14"/>
      <c r="P137" s="14"/>
    </row>
    <row r="138" spans="8:16" x14ac:dyDescent="0.3">
      <c r="H138" s="13"/>
      <c r="I138" s="14"/>
      <c r="J138" s="14"/>
      <c r="K138" s="12"/>
      <c r="L138" s="14"/>
      <c r="M138" s="12"/>
      <c r="N138" s="14"/>
      <c r="O138" s="14"/>
      <c r="P138" s="14"/>
    </row>
    <row r="139" spans="8:16" x14ac:dyDescent="0.3">
      <c r="H139" s="13"/>
      <c r="I139" s="14"/>
      <c r="J139" s="14"/>
      <c r="K139" s="12"/>
      <c r="L139" s="14"/>
      <c r="M139" s="12"/>
      <c r="N139" s="14"/>
      <c r="O139" s="14"/>
      <c r="P139" s="14"/>
    </row>
    <row r="140" spans="8:16" x14ac:dyDescent="0.3">
      <c r="H140" s="13"/>
      <c r="I140" s="14"/>
      <c r="J140" s="14"/>
      <c r="K140" s="12"/>
      <c r="L140" s="14"/>
      <c r="M140" s="12"/>
      <c r="N140" s="14"/>
      <c r="O140" s="14"/>
      <c r="P140" s="14"/>
    </row>
    <row r="141" spans="8:16" x14ac:dyDescent="0.3">
      <c r="H141" s="13"/>
      <c r="I141" s="14"/>
      <c r="J141" s="14"/>
      <c r="K141" s="12"/>
      <c r="L141" s="14"/>
      <c r="M141" s="12"/>
      <c r="N141" s="14"/>
      <c r="O141" s="14"/>
      <c r="P141" s="14"/>
    </row>
    <row r="142" spans="8:16" x14ac:dyDescent="0.3">
      <c r="H142" s="13"/>
      <c r="I142" s="14"/>
      <c r="J142" s="14"/>
      <c r="K142" s="12"/>
      <c r="L142" s="14"/>
      <c r="M142" s="12"/>
      <c r="N142" s="14"/>
      <c r="O142" s="14"/>
      <c r="P142" s="14"/>
    </row>
    <row r="143" spans="8:16" x14ac:dyDescent="0.3">
      <c r="H143" s="13"/>
      <c r="I143" s="14"/>
      <c r="J143" s="14"/>
      <c r="K143" s="12"/>
      <c r="L143" s="14"/>
      <c r="M143" s="12"/>
      <c r="N143" s="14"/>
      <c r="O143" s="14"/>
      <c r="P143" s="14"/>
    </row>
    <row r="144" spans="8:16" x14ac:dyDescent="0.3">
      <c r="H144" s="13"/>
      <c r="I144" s="14"/>
      <c r="J144" s="14"/>
      <c r="K144" s="12"/>
      <c r="L144" s="14"/>
      <c r="M144" s="12"/>
      <c r="N144" s="14"/>
      <c r="O144" s="14"/>
      <c r="P144" s="14"/>
    </row>
    <row r="145" spans="8:16" x14ac:dyDescent="0.3">
      <c r="H145" s="13"/>
      <c r="I145" s="14"/>
      <c r="J145" s="14"/>
      <c r="K145" s="12"/>
      <c r="L145" s="14"/>
      <c r="M145" s="12"/>
      <c r="N145" s="14"/>
      <c r="O145" s="14"/>
      <c r="P145" s="14"/>
    </row>
    <row r="146" spans="8:16" x14ac:dyDescent="0.3">
      <c r="H146" s="13"/>
      <c r="I146" s="14"/>
      <c r="J146" s="14"/>
      <c r="K146" s="12"/>
      <c r="L146" s="14"/>
      <c r="M146" s="12"/>
      <c r="N146" s="14"/>
      <c r="O146" s="14"/>
      <c r="P146" s="14"/>
    </row>
    <row r="147" spans="8:16" x14ac:dyDescent="0.3">
      <c r="H147" s="13"/>
      <c r="I147" s="14"/>
      <c r="J147" s="14"/>
      <c r="K147" s="12"/>
      <c r="L147" s="14"/>
      <c r="M147" s="12"/>
      <c r="N147" s="14"/>
      <c r="O147" s="14"/>
      <c r="P147" s="14"/>
    </row>
    <row r="148" spans="8:16" x14ac:dyDescent="0.3">
      <c r="H148" s="13"/>
      <c r="I148" s="14"/>
      <c r="J148" s="14"/>
      <c r="K148" s="12"/>
      <c r="L148" s="14"/>
      <c r="M148" s="12"/>
      <c r="N148" s="14"/>
      <c r="O148" s="14"/>
      <c r="P148" s="14"/>
    </row>
    <row r="149" spans="8:16" x14ac:dyDescent="0.3">
      <c r="H149" s="13"/>
      <c r="I149" s="14"/>
      <c r="J149" s="14"/>
      <c r="K149" s="12"/>
      <c r="L149" s="14"/>
      <c r="M149" s="12"/>
      <c r="N149" s="14"/>
      <c r="O149" s="14"/>
      <c r="P149" s="14"/>
    </row>
    <row r="150" spans="8:16" x14ac:dyDescent="0.3">
      <c r="H150" s="13"/>
      <c r="I150" s="14"/>
      <c r="J150" s="14"/>
      <c r="K150" s="12"/>
      <c r="L150" s="14"/>
      <c r="M150" s="12"/>
      <c r="N150" s="14"/>
      <c r="O150" s="14"/>
      <c r="P150" s="14"/>
    </row>
    <row r="151" spans="8:16" x14ac:dyDescent="0.3">
      <c r="H151" s="13"/>
      <c r="I151" s="14"/>
      <c r="J151" s="14"/>
      <c r="K151" s="12"/>
      <c r="L151" s="14"/>
      <c r="M151" s="12"/>
      <c r="N151" s="14"/>
      <c r="O151" s="14"/>
      <c r="P151" s="14"/>
    </row>
    <row r="152" spans="8:16" x14ac:dyDescent="0.3">
      <c r="H152" s="13"/>
      <c r="I152" s="14"/>
      <c r="J152" s="14"/>
      <c r="K152" s="12"/>
      <c r="L152" s="14"/>
      <c r="M152" s="12"/>
      <c r="N152" s="14"/>
      <c r="O152" s="14"/>
      <c r="P152" s="14"/>
    </row>
    <row r="153" spans="8:16" x14ac:dyDescent="0.3">
      <c r="H153" s="13"/>
      <c r="I153" s="14"/>
      <c r="J153" s="14"/>
      <c r="K153" s="12"/>
      <c r="L153" s="14"/>
      <c r="M153" s="12"/>
      <c r="N153" s="14"/>
      <c r="O153" s="14"/>
      <c r="P153" s="14"/>
    </row>
    <row r="154" spans="8:16" x14ac:dyDescent="0.3">
      <c r="H154" s="13"/>
      <c r="I154" s="14"/>
      <c r="J154" s="14"/>
      <c r="K154" s="12"/>
      <c r="L154" s="14"/>
      <c r="M154" s="12"/>
      <c r="N154" s="14"/>
      <c r="O154" s="14"/>
      <c r="P154" s="14"/>
    </row>
    <row r="155" spans="8:16" x14ac:dyDescent="0.3">
      <c r="H155" s="13"/>
      <c r="I155" s="14"/>
      <c r="J155" s="14"/>
      <c r="K155" s="12"/>
      <c r="L155" s="14"/>
      <c r="M155" s="12"/>
      <c r="N155" s="14"/>
      <c r="O155" s="14"/>
      <c r="P155" s="14"/>
    </row>
    <row r="156" spans="8:16" x14ac:dyDescent="0.3">
      <c r="H156" s="13"/>
      <c r="I156" s="14"/>
      <c r="J156" s="14"/>
      <c r="K156" s="12"/>
      <c r="L156" s="14"/>
      <c r="M156" s="12"/>
      <c r="N156" s="14"/>
      <c r="O156" s="14"/>
      <c r="P156" s="14"/>
    </row>
    <row r="157" spans="8:16" x14ac:dyDescent="0.3">
      <c r="H157" s="13"/>
      <c r="I157" s="14"/>
      <c r="J157" s="14"/>
      <c r="K157" s="12"/>
      <c r="L157" s="14"/>
      <c r="M157" s="12"/>
      <c r="N157" s="14"/>
      <c r="O157" s="14"/>
      <c r="P157" s="14"/>
    </row>
    <row r="158" spans="8:16" x14ac:dyDescent="0.3">
      <c r="H158" s="13"/>
      <c r="I158" s="14"/>
      <c r="J158" s="14"/>
      <c r="K158" s="12"/>
      <c r="L158" s="14"/>
      <c r="M158" s="12"/>
      <c r="N158" s="14"/>
      <c r="O158" s="14"/>
      <c r="P158" s="14"/>
    </row>
    <row r="159" spans="8:16" x14ac:dyDescent="0.3">
      <c r="H159" s="13"/>
      <c r="I159" s="14"/>
      <c r="J159" s="14"/>
      <c r="K159" s="12"/>
      <c r="L159" s="14"/>
      <c r="M159" s="12"/>
      <c r="N159" s="14"/>
      <c r="O159" s="14"/>
      <c r="P159" s="14"/>
    </row>
    <row r="160" spans="8:16" x14ac:dyDescent="0.3">
      <c r="H160" s="13"/>
      <c r="I160" s="14"/>
      <c r="J160" s="14"/>
      <c r="K160" s="12"/>
      <c r="L160" s="14"/>
      <c r="M160" s="12"/>
      <c r="N160" s="14"/>
      <c r="O160" s="14"/>
      <c r="P160" s="14"/>
    </row>
    <row r="161" spans="8:16" x14ac:dyDescent="0.3">
      <c r="H161" s="13"/>
      <c r="I161" s="14"/>
      <c r="J161" s="14"/>
      <c r="K161" s="12"/>
      <c r="L161" s="14"/>
      <c r="M161" s="12"/>
      <c r="N161" s="14"/>
      <c r="O161" s="14"/>
      <c r="P161" s="14"/>
    </row>
    <row r="162" spans="8:16" x14ac:dyDescent="0.3">
      <c r="H162" s="13"/>
      <c r="I162" s="14"/>
      <c r="J162" s="14"/>
      <c r="K162" s="12"/>
      <c r="L162" s="14"/>
      <c r="M162" s="12"/>
      <c r="N162" s="14"/>
      <c r="O162" s="14"/>
      <c r="P162" s="14"/>
    </row>
    <row r="163" spans="8:16" x14ac:dyDescent="0.3">
      <c r="H163" s="13"/>
      <c r="I163" s="14"/>
      <c r="J163" s="14"/>
      <c r="K163" s="12"/>
      <c r="L163" s="14"/>
      <c r="M163" s="12"/>
      <c r="N163" s="14"/>
      <c r="O163" s="14"/>
      <c r="P163" s="14"/>
    </row>
    <row r="164" spans="8:16" x14ac:dyDescent="0.3">
      <c r="H164" s="13"/>
      <c r="I164" s="14"/>
      <c r="J164" s="14"/>
      <c r="K164" s="12"/>
      <c r="L164" s="14"/>
      <c r="M164" s="12"/>
      <c r="N164" s="14"/>
      <c r="O164" s="14"/>
      <c r="P164" s="14"/>
    </row>
    <row r="165" spans="8:16" x14ac:dyDescent="0.3">
      <c r="H165" s="13"/>
      <c r="I165" s="14"/>
      <c r="J165" s="14"/>
      <c r="K165" s="12"/>
      <c r="L165" s="14"/>
      <c r="M165" s="12"/>
      <c r="N165" s="14"/>
      <c r="O165" s="14"/>
      <c r="P165" s="14"/>
    </row>
    <row r="166" spans="8:16" x14ac:dyDescent="0.3">
      <c r="H166" s="13"/>
      <c r="I166" s="14"/>
      <c r="J166" s="14"/>
      <c r="K166" s="12"/>
      <c r="L166" s="14"/>
      <c r="M166" s="12"/>
      <c r="N166" s="14"/>
      <c r="O166" s="14"/>
      <c r="P166" s="14"/>
    </row>
    <row r="167" spans="8:16" x14ac:dyDescent="0.3">
      <c r="H167" s="13"/>
      <c r="I167" s="14"/>
      <c r="J167" s="14"/>
      <c r="K167" s="12"/>
      <c r="L167" s="14"/>
      <c r="M167" s="12"/>
      <c r="N167" s="14"/>
      <c r="O167" s="14"/>
      <c r="P167" s="14"/>
    </row>
    <row r="168" spans="8:16" x14ac:dyDescent="0.3">
      <c r="H168" s="13"/>
      <c r="I168" s="14"/>
      <c r="J168" s="14"/>
      <c r="K168" s="12"/>
      <c r="L168" s="14"/>
      <c r="M168" s="12"/>
      <c r="N168" s="14"/>
      <c r="O168" s="14"/>
      <c r="P168" s="14"/>
    </row>
    <row r="169" spans="8:16" x14ac:dyDescent="0.3">
      <c r="H169" s="13"/>
      <c r="I169" s="14"/>
      <c r="J169" s="14"/>
      <c r="K169" s="12"/>
      <c r="L169" s="14"/>
      <c r="M169" s="12"/>
      <c r="N169" s="14"/>
      <c r="O169" s="14"/>
      <c r="P169" s="14"/>
    </row>
    <row r="170" spans="8:16" x14ac:dyDescent="0.3">
      <c r="H170" s="13"/>
      <c r="I170" s="14"/>
      <c r="J170" s="14"/>
      <c r="K170" s="12"/>
      <c r="L170" s="14"/>
      <c r="M170" s="12"/>
      <c r="N170" s="14"/>
      <c r="O170" s="14"/>
      <c r="P170" s="14"/>
    </row>
    <row r="171" spans="8:16" x14ac:dyDescent="0.3">
      <c r="H171" s="13"/>
      <c r="I171" s="14"/>
      <c r="J171" s="14"/>
      <c r="K171" s="12"/>
      <c r="L171" s="14"/>
      <c r="M171" s="12"/>
      <c r="N171" s="14"/>
      <c r="O171" s="14"/>
      <c r="P171" s="14"/>
    </row>
    <row r="172" spans="8:16" x14ac:dyDescent="0.3">
      <c r="H172" s="13"/>
      <c r="I172" s="14"/>
      <c r="J172" s="14"/>
      <c r="K172" s="12"/>
      <c r="L172" s="14"/>
      <c r="M172" s="12"/>
      <c r="N172" s="14"/>
      <c r="O172" s="14"/>
      <c r="P172" s="14"/>
    </row>
    <row r="173" spans="8:16" x14ac:dyDescent="0.3">
      <c r="H173" s="13"/>
      <c r="I173" s="14"/>
      <c r="J173" s="14"/>
      <c r="K173" s="12"/>
      <c r="L173" s="14"/>
      <c r="M173" s="12"/>
      <c r="N173" s="14"/>
      <c r="O173" s="14"/>
      <c r="P173" s="14"/>
    </row>
    <row r="174" spans="8:16" x14ac:dyDescent="0.3">
      <c r="H174" s="13"/>
      <c r="I174" s="14"/>
      <c r="J174" s="14"/>
      <c r="K174" s="12"/>
      <c r="L174" s="14"/>
      <c r="M174" s="12"/>
      <c r="N174" s="14"/>
      <c r="O174" s="14"/>
      <c r="P174" s="14"/>
    </row>
    <row r="175" spans="8:16" x14ac:dyDescent="0.3">
      <c r="H175" s="13"/>
      <c r="I175" s="14"/>
      <c r="J175" s="14"/>
      <c r="K175" s="12"/>
      <c r="L175" s="14"/>
      <c r="M175" s="12"/>
      <c r="N175" s="14"/>
      <c r="O175" s="14"/>
      <c r="P175" s="14"/>
    </row>
    <row r="176" spans="8:16" x14ac:dyDescent="0.3">
      <c r="H176" s="13"/>
      <c r="I176" s="14"/>
      <c r="J176" s="14"/>
      <c r="K176" s="12"/>
      <c r="L176" s="14"/>
      <c r="M176" s="12"/>
      <c r="N176" s="14"/>
      <c r="O176" s="14"/>
      <c r="P176" s="14"/>
    </row>
    <row r="177" spans="8:16" x14ac:dyDescent="0.3">
      <c r="H177" s="13"/>
      <c r="I177" s="14"/>
      <c r="J177" s="14"/>
      <c r="K177" s="12"/>
      <c r="L177" s="14"/>
      <c r="M177" s="12"/>
      <c r="N177" s="14"/>
      <c r="O177" s="14"/>
      <c r="P177" s="14"/>
    </row>
    <row r="178" spans="8:16" x14ac:dyDescent="0.3">
      <c r="H178" s="13"/>
      <c r="I178" s="14"/>
      <c r="J178" s="14"/>
      <c r="K178" s="12"/>
      <c r="L178" s="14"/>
      <c r="M178" s="12"/>
      <c r="N178" s="14"/>
      <c r="O178" s="14"/>
      <c r="P178" s="14"/>
    </row>
    <row r="179" spans="8:16" x14ac:dyDescent="0.3">
      <c r="H179" s="13"/>
      <c r="I179" s="14"/>
      <c r="J179" s="14"/>
      <c r="K179" s="12"/>
      <c r="L179" s="14"/>
      <c r="M179" s="12"/>
      <c r="N179" s="14"/>
      <c r="O179" s="14"/>
      <c r="P179" s="14"/>
    </row>
    <row r="180" spans="8:16" x14ac:dyDescent="0.3">
      <c r="H180" s="13"/>
      <c r="I180" s="14"/>
      <c r="J180" s="14"/>
      <c r="K180" s="12"/>
      <c r="L180" s="14"/>
      <c r="M180" s="12"/>
      <c r="N180" s="14"/>
      <c r="O180" s="14"/>
      <c r="P180" s="14"/>
    </row>
    <row r="181" spans="8:16" x14ac:dyDescent="0.3">
      <c r="H181" s="13"/>
      <c r="I181" s="14"/>
      <c r="J181" s="14"/>
      <c r="K181" s="12"/>
      <c r="L181" s="14"/>
      <c r="M181" s="12"/>
      <c r="N181" s="14"/>
      <c r="O181" s="14"/>
      <c r="P181" s="14"/>
    </row>
    <row r="182" spans="8:16" x14ac:dyDescent="0.3">
      <c r="H182" s="13"/>
      <c r="I182" s="14"/>
      <c r="J182" s="14"/>
      <c r="K182" s="12"/>
      <c r="L182" s="14"/>
      <c r="M182" s="12"/>
      <c r="N182" s="14"/>
      <c r="O182" s="14"/>
      <c r="P182" s="14"/>
    </row>
    <row r="183" spans="8:16" x14ac:dyDescent="0.3">
      <c r="H183" s="13"/>
      <c r="I183" s="14"/>
      <c r="J183" s="14"/>
      <c r="K183" s="12"/>
      <c r="L183" s="14"/>
      <c r="M183" s="12"/>
      <c r="N183" s="14"/>
      <c r="O183" s="14"/>
      <c r="P183" s="14"/>
    </row>
    <row r="184" spans="8:16" x14ac:dyDescent="0.3">
      <c r="H184" s="13"/>
      <c r="I184" s="14"/>
      <c r="J184" s="14"/>
      <c r="K184" s="12"/>
      <c r="L184" s="14"/>
      <c r="M184" s="12"/>
      <c r="N184" s="14"/>
      <c r="O184" s="14"/>
      <c r="P184" s="14"/>
    </row>
    <row r="185" spans="8:16" x14ac:dyDescent="0.3">
      <c r="H185" s="13"/>
      <c r="I185" s="14"/>
      <c r="J185" s="14"/>
      <c r="K185" s="12"/>
      <c r="L185" s="14"/>
      <c r="M185" s="12"/>
      <c r="N185" s="14"/>
      <c r="O185" s="14"/>
      <c r="P185" s="14"/>
    </row>
    <row r="186" spans="8:16" x14ac:dyDescent="0.3">
      <c r="H186" s="13"/>
      <c r="I186" s="14"/>
      <c r="J186" s="14"/>
      <c r="K186" s="12"/>
      <c r="L186" s="14"/>
      <c r="M186" s="12"/>
      <c r="N186" s="14"/>
      <c r="O186" s="14"/>
      <c r="P186" s="14"/>
    </row>
    <row r="187" spans="8:16" x14ac:dyDescent="0.3">
      <c r="H187" s="13"/>
      <c r="I187" s="14"/>
      <c r="J187" s="14"/>
      <c r="K187" s="12"/>
      <c r="L187" s="14"/>
      <c r="M187" s="12"/>
      <c r="N187" s="14"/>
      <c r="O187" s="14"/>
      <c r="P187" s="14"/>
    </row>
    <row r="188" spans="8:16" x14ac:dyDescent="0.3">
      <c r="H188" s="13"/>
      <c r="I188" s="14"/>
      <c r="J188" s="14"/>
      <c r="K188" s="12"/>
      <c r="L188" s="14"/>
      <c r="M188" s="12"/>
      <c r="N188" s="14"/>
      <c r="O188" s="14"/>
      <c r="P188" s="14"/>
    </row>
    <row r="189" spans="8:16" x14ac:dyDescent="0.3">
      <c r="H189" s="13"/>
      <c r="I189" s="14"/>
      <c r="J189" s="14"/>
      <c r="K189" s="12"/>
      <c r="L189" s="14"/>
      <c r="M189" s="12"/>
      <c r="N189" s="14"/>
      <c r="O189" s="14"/>
      <c r="P189" s="14"/>
    </row>
    <row r="190" spans="8:16" x14ac:dyDescent="0.3">
      <c r="H190" s="13"/>
      <c r="I190" s="14"/>
      <c r="J190" s="14"/>
      <c r="K190" s="12"/>
      <c r="L190" s="14"/>
      <c r="M190" s="12"/>
      <c r="N190" s="14"/>
      <c r="O190" s="14"/>
      <c r="P190" s="14"/>
    </row>
    <row r="191" spans="8:16" x14ac:dyDescent="0.3">
      <c r="H191" s="13"/>
      <c r="I191" s="14"/>
      <c r="J191" s="14"/>
      <c r="K191" s="12"/>
      <c r="L191" s="14"/>
      <c r="M191" s="12"/>
      <c r="N191" s="14"/>
      <c r="O191" s="14"/>
      <c r="P191" s="14"/>
    </row>
    <row r="192" spans="8:16" x14ac:dyDescent="0.3">
      <c r="H192" s="13"/>
      <c r="I192" s="14"/>
      <c r="J192" s="14"/>
      <c r="K192" s="12"/>
      <c r="L192" s="14"/>
      <c r="M192" s="12"/>
      <c r="N192" s="14"/>
      <c r="O192" s="14"/>
      <c r="P192" s="14"/>
    </row>
    <row r="193" spans="8:16" x14ac:dyDescent="0.3">
      <c r="H193" s="13"/>
      <c r="I193" s="14"/>
      <c r="J193" s="14"/>
      <c r="K193" s="12"/>
      <c r="L193" s="14"/>
      <c r="M193" s="12"/>
      <c r="N193" s="14"/>
      <c r="O193" s="14"/>
      <c r="P193" s="14"/>
    </row>
    <row r="194" spans="8:16" x14ac:dyDescent="0.3">
      <c r="H194" s="13"/>
      <c r="I194" s="14"/>
      <c r="J194" s="14"/>
      <c r="K194" s="12"/>
      <c r="L194" s="14"/>
      <c r="M194" s="12"/>
      <c r="N194" s="14"/>
      <c r="O194" s="14"/>
      <c r="P194" s="14"/>
    </row>
    <row r="195" spans="8:16" x14ac:dyDescent="0.3">
      <c r="H195" s="13"/>
      <c r="I195" s="14"/>
      <c r="J195" s="14"/>
      <c r="K195" s="12"/>
      <c r="L195" s="14"/>
      <c r="M195" s="12"/>
      <c r="N195" s="14"/>
      <c r="O195" s="14"/>
      <c r="P195" s="14"/>
    </row>
    <row r="196" spans="8:16" x14ac:dyDescent="0.3">
      <c r="H196" s="13"/>
      <c r="I196" s="14"/>
      <c r="J196" s="14"/>
      <c r="K196" s="12"/>
      <c r="L196" s="14"/>
      <c r="M196" s="12"/>
      <c r="N196" s="14"/>
      <c r="O196" s="14"/>
      <c r="P196" s="14"/>
    </row>
    <row r="197" spans="8:16" x14ac:dyDescent="0.3">
      <c r="H197" s="13"/>
      <c r="I197" s="14"/>
      <c r="J197" s="14"/>
      <c r="K197" s="12"/>
      <c r="L197" s="14"/>
      <c r="M197" s="12"/>
      <c r="N197" s="14"/>
      <c r="O197" s="14"/>
      <c r="P197" s="14"/>
    </row>
    <row r="198" spans="8:16" x14ac:dyDescent="0.3">
      <c r="H198" s="13"/>
      <c r="I198" s="14"/>
      <c r="J198" s="14"/>
      <c r="K198" s="12"/>
      <c r="L198" s="14"/>
      <c r="M198" s="12"/>
      <c r="N198" s="14"/>
      <c r="O198" s="14"/>
      <c r="P198" s="14"/>
    </row>
    <row r="199" spans="8:16" x14ac:dyDescent="0.3">
      <c r="H199" s="13"/>
      <c r="I199" s="14"/>
      <c r="J199" s="14"/>
      <c r="K199" s="12"/>
      <c r="L199" s="14"/>
      <c r="M199" s="12"/>
      <c r="N199" s="14"/>
      <c r="O199" s="14"/>
      <c r="P199" s="14"/>
    </row>
    <row r="200" spans="8:16" x14ac:dyDescent="0.3">
      <c r="H200" s="13"/>
      <c r="I200" s="14"/>
      <c r="J200" s="14"/>
      <c r="K200" s="12"/>
      <c r="L200" s="14"/>
      <c r="M200" s="12"/>
      <c r="N200" s="14"/>
      <c r="O200" s="14"/>
      <c r="P200" s="14"/>
    </row>
    <row r="201" spans="8:16" x14ac:dyDescent="0.3">
      <c r="H201" s="13"/>
      <c r="I201" s="14"/>
      <c r="J201" s="14"/>
      <c r="K201" s="12"/>
      <c r="L201" s="14"/>
      <c r="M201" s="12"/>
      <c r="N201" s="14"/>
      <c r="O201" s="14"/>
      <c r="P201" s="14"/>
    </row>
    <row r="202" spans="8:16" x14ac:dyDescent="0.3">
      <c r="H202" s="13"/>
      <c r="I202" s="14"/>
      <c r="J202" s="14"/>
      <c r="K202" s="12"/>
      <c r="L202" s="14"/>
      <c r="M202" s="12"/>
      <c r="N202" s="14"/>
      <c r="O202" s="14"/>
      <c r="P202" s="14"/>
    </row>
    <row r="203" spans="8:16" x14ac:dyDescent="0.3">
      <c r="H203" s="13"/>
      <c r="I203" s="14"/>
      <c r="J203" s="14"/>
      <c r="K203" s="12"/>
      <c r="L203" s="14"/>
      <c r="M203" s="12"/>
      <c r="N203" s="14"/>
      <c r="O203" s="14"/>
      <c r="P203" s="14"/>
    </row>
    <row r="204" spans="8:16" x14ac:dyDescent="0.3">
      <c r="H204" s="13"/>
      <c r="I204" s="14"/>
      <c r="J204" s="14"/>
      <c r="K204" s="12"/>
      <c r="L204" s="14"/>
      <c r="M204" s="12"/>
      <c r="N204" s="14"/>
      <c r="O204" s="14"/>
      <c r="P204" s="14"/>
    </row>
    <row r="205" spans="8:16" x14ac:dyDescent="0.3">
      <c r="H205" s="13"/>
      <c r="I205" s="14"/>
      <c r="J205" s="14"/>
      <c r="K205" s="12"/>
      <c r="L205" s="14"/>
      <c r="M205" s="12"/>
      <c r="N205" s="14"/>
      <c r="O205" s="14"/>
      <c r="P205" s="14"/>
    </row>
    <row r="206" spans="8:16" x14ac:dyDescent="0.3">
      <c r="H206" s="13"/>
      <c r="I206" s="14"/>
      <c r="J206" s="14"/>
      <c r="K206" s="12"/>
      <c r="L206" s="14"/>
      <c r="M206" s="12"/>
      <c r="N206" s="14"/>
      <c r="O206" s="14"/>
      <c r="P206" s="14"/>
    </row>
    <row r="207" spans="8:16" x14ac:dyDescent="0.3">
      <c r="H207" s="13"/>
      <c r="I207" s="14"/>
      <c r="J207" s="14"/>
      <c r="K207" s="12"/>
      <c r="L207" s="14"/>
      <c r="M207" s="12"/>
      <c r="N207" s="14"/>
      <c r="O207" s="14"/>
      <c r="P207" s="14"/>
    </row>
    <row r="208" spans="8:16" x14ac:dyDescent="0.3">
      <c r="H208" s="13"/>
      <c r="I208" s="14"/>
      <c r="J208" s="14"/>
      <c r="K208" s="12"/>
      <c r="L208" s="14"/>
      <c r="M208" s="12"/>
      <c r="N208" s="14"/>
      <c r="O208" s="14"/>
      <c r="P208" s="14"/>
    </row>
    <row r="209" spans="8:16" x14ac:dyDescent="0.3">
      <c r="H209" s="13"/>
      <c r="I209" s="14"/>
      <c r="J209" s="14"/>
      <c r="K209" s="12"/>
      <c r="L209" s="14"/>
      <c r="M209" s="12"/>
      <c r="N209" s="14"/>
      <c r="O209" s="14"/>
      <c r="P209" s="14"/>
    </row>
    <row r="210" spans="8:16" x14ac:dyDescent="0.3">
      <c r="H210" s="13"/>
      <c r="I210" s="14"/>
      <c r="J210" s="14"/>
      <c r="K210" s="12"/>
      <c r="L210" s="14"/>
      <c r="M210" s="12"/>
      <c r="N210" s="14"/>
      <c r="O210" s="14"/>
      <c r="P210" s="14"/>
    </row>
    <row r="211" spans="8:16" x14ac:dyDescent="0.3">
      <c r="H211" s="13"/>
      <c r="I211" s="14"/>
      <c r="J211" s="14"/>
      <c r="K211" s="12"/>
      <c r="L211" s="14"/>
      <c r="M211" s="12"/>
      <c r="N211" s="14"/>
      <c r="O211" s="14"/>
      <c r="P211" s="14"/>
    </row>
    <row r="212" spans="8:16" x14ac:dyDescent="0.3">
      <c r="H212" s="13"/>
      <c r="I212" s="14"/>
      <c r="J212" s="14"/>
      <c r="K212" s="12"/>
      <c r="L212" s="14"/>
      <c r="M212" s="12"/>
      <c r="N212" s="14"/>
      <c r="O212" s="14"/>
      <c r="P212" s="14"/>
    </row>
    <row r="213" spans="8:16" x14ac:dyDescent="0.3">
      <c r="H213" s="13"/>
      <c r="I213" s="14"/>
      <c r="J213" s="14"/>
      <c r="K213" s="12"/>
      <c r="L213" s="14"/>
      <c r="M213" s="12"/>
      <c r="N213" s="14"/>
      <c r="O213" s="14"/>
      <c r="P213" s="14"/>
    </row>
    <row r="214" spans="8:16" x14ac:dyDescent="0.3">
      <c r="H214" s="13"/>
      <c r="I214" s="14"/>
      <c r="J214" s="14"/>
      <c r="K214" s="12"/>
      <c r="L214" s="14"/>
      <c r="M214" s="12"/>
      <c r="N214" s="14"/>
      <c r="O214" s="14"/>
      <c r="P214" s="14"/>
    </row>
    <row r="215" spans="8:16" x14ac:dyDescent="0.3">
      <c r="H215" s="13"/>
      <c r="I215" s="14"/>
      <c r="J215" s="14"/>
      <c r="K215" s="12"/>
      <c r="L215" s="14"/>
      <c r="M215" s="12"/>
      <c r="N215" s="14"/>
      <c r="O215" s="14"/>
      <c r="P215" s="14"/>
    </row>
    <row r="216" spans="8:16" x14ac:dyDescent="0.3">
      <c r="H216" s="13"/>
      <c r="I216" s="14"/>
      <c r="J216" s="14"/>
      <c r="K216" s="12"/>
      <c r="L216" s="14"/>
      <c r="M216" s="12"/>
      <c r="N216" s="14"/>
      <c r="O216" s="14"/>
      <c r="P216" s="14"/>
    </row>
    <row r="217" spans="8:16" x14ac:dyDescent="0.3">
      <c r="H217" s="13"/>
      <c r="I217" s="14"/>
      <c r="J217" s="14"/>
      <c r="K217" s="12"/>
      <c r="L217" s="14"/>
      <c r="M217" s="12"/>
      <c r="N217" s="14"/>
      <c r="O217" s="14"/>
      <c r="P217" s="14"/>
    </row>
    <row r="218" spans="8:16" x14ac:dyDescent="0.3">
      <c r="H218" s="13"/>
      <c r="I218" s="14"/>
      <c r="J218" s="14"/>
      <c r="K218" s="12"/>
      <c r="L218" s="14"/>
      <c r="M218" s="12"/>
      <c r="N218" s="14"/>
      <c r="O218" s="14"/>
      <c r="P218" s="14"/>
    </row>
    <row r="219" spans="8:16" x14ac:dyDescent="0.3">
      <c r="H219" s="13"/>
      <c r="I219" s="14"/>
      <c r="J219" s="14"/>
      <c r="K219" s="12"/>
      <c r="L219" s="14"/>
      <c r="M219" s="12"/>
      <c r="N219" s="14"/>
      <c r="O219" s="14"/>
      <c r="P219" s="14"/>
    </row>
    <row r="220" spans="8:16" x14ac:dyDescent="0.3">
      <c r="H220" s="13"/>
      <c r="I220" s="14"/>
      <c r="J220" s="14"/>
      <c r="K220" s="12"/>
      <c r="L220" s="14"/>
      <c r="M220" s="12"/>
      <c r="N220" s="14"/>
      <c r="O220" s="14"/>
      <c r="P220" s="14"/>
    </row>
    <row r="221" spans="8:16" x14ac:dyDescent="0.3">
      <c r="H221" s="13"/>
      <c r="I221" s="14"/>
      <c r="J221" s="14"/>
      <c r="K221" s="12"/>
      <c r="L221" s="14"/>
      <c r="M221" s="12"/>
      <c r="N221" s="14"/>
      <c r="O221" s="14"/>
      <c r="P221" s="14"/>
    </row>
    <row r="222" spans="8:16" x14ac:dyDescent="0.3">
      <c r="H222" s="13"/>
      <c r="I222" s="14"/>
      <c r="J222" s="14"/>
      <c r="K222" s="12"/>
      <c r="L222" s="14"/>
      <c r="M222" s="12"/>
      <c r="N222" s="14"/>
      <c r="O222" s="14"/>
      <c r="P222" s="14"/>
    </row>
    <row r="223" spans="8:16" x14ac:dyDescent="0.3">
      <c r="H223" s="13"/>
      <c r="I223" s="14"/>
      <c r="J223" s="14"/>
      <c r="K223" s="12"/>
      <c r="L223" s="14"/>
      <c r="M223" s="12"/>
      <c r="N223" s="14"/>
      <c r="O223" s="14"/>
      <c r="P223" s="14"/>
    </row>
    <row r="224" spans="8:16" x14ac:dyDescent="0.3">
      <c r="H224" s="13"/>
      <c r="I224" s="14"/>
      <c r="J224" s="14"/>
      <c r="K224" s="12"/>
      <c r="L224" s="14"/>
      <c r="M224" s="12"/>
      <c r="N224" s="14"/>
      <c r="O224" s="14"/>
      <c r="P224" s="14"/>
    </row>
    <row r="225" spans="8:16" x14ac:dyDescent="0.3">
      <c r="H225" s="13"/>
      <c r="I225" s="14"/>
      <c r="J225" s="14"/>
      <c r="K225" s="12"/>
      <c r="L225" s="14"/>
      <c r="M225" s="12"/>
      <c r="N225" s="14"/>
      <c r="O225" s="14"/>
      <c r="P225" s="14"/>
    </row>
    <row r="226" spans="8:16" x14ac:dyDescent="0.3">
      <c r="H226" s="13"/>
      <c r="I226" s="14"/>
      <c r="J226" s="14"/>
      <c r="K226" s="12"/>
      <c r="L226" s="14"/>
      <c r="M226" s="12"/>
      <c r="N226" s="14"/>
      <c r="O226" s="14"/>
      <c r="P226" s="14"/>
    </row>
    <row r="227" spans="8:16" x14ac:dyDescent="0.3">
      <c r="H227" s="13"/>
      <c r="I227" s="14"/>
      <c r="J227" s="14"/>
      <c r="K227" s="12"/>
      <c r="L227" s="14"/>
      <c r="M227" s="12"/>
      <c r="N227" s="14"/>
      <c r="O227" s="14"/>
      <c r="P227" s="14"/>
    </row>
    <row r="228" spans="8:16" x14ac:dyDescent="0.3">
      <c r="H228" s="13"/>
      <c r="I228" s="14"/>
      <c r="J228" s="14"/>
      <c r="K228" s="12"/>
      <c r="L228" s="14"/>
      <c r="M228" s="12"/>
      <c r="N228" s="14"/>
      <c r="O228" s="14"/>
      <c r="P228" s="14"/>
    </row>
    <row r="229" spans="8:16" x14ac:dyDescent="0.3">
      <c r="H229" s="13"/>
      <c r="I229" s="14"/>
      <c r="J229" s="14"/>
      <c r="K229" s="12"/>
      <c r="L229" s="14"/>
      <c r="M229" s="12"/>
      <c r="N229" s="14"/>
      <c r="O229" s="14"/>
      <c r="P229" s="14"/>
    </row>
    <row r="230" spans="8:16" x14ac:dyDescent="0.3">
      <c r="H230" s="13"/>
      <c r="I230" s="14"/>
      <c r="J230" s="14"/>
      <c r="K230" s="12"/>
      <c r="L230" s="14"/>
      <c r="M230" s="12"/>
      <c r="N230" s="14"/>
      <c r="O230" s="14"/>
      <c r="P230" s="14"/>
    </row>
    <row r="231" spans="8:16" x14ac:dyDescent="0.3">
      <c r="H231" s="13"/>
      <c r="I231" s="14"/>
      <c r="J231" s="14"/>
      <c r="K231" s="12"/>
      <c r="L231" s="14"/>
      <c r="M231" s="12"/>
      <c r="N231" s="14"/>
      <c r="O231" s="14"/>
      <c r="P231" s="14"/>
    </row>
    <row r="232" spans="8:16" x14ac:dyDescent="0.3">
      <c r="H232" s="13"/>
      <c r="I232" s="14"/>
      <c r="J232" s="14"/>
      <c r="K232" s="12"/>
      <c r="L232" s="14"/>
      <c r="M232" s="12"/>
      <c r="N232" s="14"/>
      <c r="O232" s="14"/>
      <c r="P232" s="14"/>
    </row>
    <row r="233" spans="8:16" x14ac:dyDescent="0.3">
      <c r="H233" s="13"/>
      <c r="I233" s="14"/>
      <c r="J233" s="14"/>
      <c r="K233" s="12"/>
      <c r="L233" s="14"/>
      <c r="M233" s="12"/>
      <c r="N233" s="14"/>
      <c r="O233" s="14"/>
      <c r="P233" s="14"/>
    </row>
    <row r="234" spans="8:16" x14ac:dyDescent="0.3">
      <c r="H234" s="13"/>
      <c r="I234" s="14"/>
      <c r="J234" s="14"/>
      <c r="K234" s="12"/>
      <c r="L234" s="14"/>
      <c r="M234" s="12"/>
      <c r="N234" s="14"/>
      <c r="O234" s="14"/>
      <c r="P234" s="14"/>
    </row>
    <row r="235" spans="8:16" x14ac:dyDescent="0.3">
      <c r="H235" s="13"/>
      <c r="I235" s="14"/>
      <c r="J235" s="14"/>
      <c r="K235" s="12"/>
      <c r="L235" s="14"/>
      <c r="M235" s="12"/>
      <c r="N235" s="14"/>
      <c r="O235" s="14"/>
      <c r="P235" s="14"/>
    </row>
    <row r="236" spans="8:16" x14ac:dyDescent="0.3">
      <c r="H236" s="13"/>
      <c r="I236" s="14"/>
      <c r="J236" s="14"/>
      <c r="K236" s="12"/>
      <c r="L236" s="14"/>
      <c r="M236" s="12"/>
      <c r="N236" s="14"/>
      <c r="O236" s="14"/>
      <c r="P236" s="14"/>
    </row>
    <row r="237" spans="8:16" x14ac:dyDescent="0.3">
      <c r="H237" s="13"/>
      <c r="I237" s="14"/>
      <c r="J237" s="14"/>
      <c r="K237" s="12"/>
      <c r="L237" s="14"/>
      <c r="M237" s="12"/>
      <c r="N237" s="14"/>
      <c r="O237" s="14"/>
      <c r="P237" s="14"/>
    </row>
    <row r="238" spans="8:16" x14ac:dyDescent="0.3">
      <c r="H238" s="13"/>
      <c r="I238" s="14"/>
      <c r="J238" s="14"/>
      <c r="K238" s="12"/>
      <c r="L238" s="14"/>
      <c r="M238" s="12"/>
      <c r="N238" s="14"/>
      <c r="O238" s="14"/>
      <c r="P238" s="14"/>
    </row>
    <row r="239" spans="8:16" x14ac:dyDescent="0.3">
      <c r="H239" s="13"/>
      <c r="I239" s="14"/>
      <c r="J239" s="14"/>
      <c r="K239" s="12"/>
      <c r="L239" s="14"/>
      <c r="M239" s="12"/>
      <c r="N239" s="14"/>
      <c r="O239" s="14"/>
      <c r="P239" s="14"/>
    </row>
    <row r="240" spans="8:16" x14ac:dyDescent="0.3">
      <c r="H240" s="13"/>
      <c r="I240" s="14"/>
      <c r="J240" s="14"/>
      <c r="K240" s="12"/>
      <c r="L240" s="14"/>
      <c r="M240" s="12"/>
      <c r="N240" s="14"/>
      <c r="O240" s="14"/>
      <c r="P240" s="14"/>
    </row>
    <row r="241" spans="8:16" x14ac:dyDescent="0.3">
      <c r="H241" s="13"/>
      <c r="I241" s="14"/>
      <c r="J241" s="14"/>
      <c r="K241" s="12"/>
      <c r="L241" s="14"/>
      <c r="M241" s="12"/>
      <c r="N241" s="14"/>
      <c r="O241" s="14"/>
      <c r="P241" s="14"/>
    </row>
    <row r="242" spans="8:16" x14ac:dyDescent="0.3">
      <c r="H242" s="13"/>
      <c r="I242" s="14"/>
      <c r="J242" s="14"/>
      <c r="K242" s="12"/>
      <c r="L242" s="14"/>
      <c r="M242" s="12"/>
      <c r="N242" s="14"/>
      <c r="O242" s="14"/>
      <c r="P242" s="14"/>
    </row>
    <row r="243" spans="8:16" x14ac:dyDescent="0.3">
      <c r="H243" s="13"/>
      <c r="I243" s="14"/>
      <c r="J243" s="14"/>
      <c r="K243" s="12"/>
      <c r="L243" s="14"/>
      <c r="M243" s="12"/>
      <c r="N243" s="14"/>
      <c r="O243" s="14"/>
      <c r="P243" s="14"/>
    </row>
    <row r="244" spans="8:16" x14ac:dyDescent="0.3">
      <c r="H244" s="13"/>
      <c r="I244" s="14"/>
      <c r="J244" s="14"/>
      <c r="K244" s="12"/>
      <c r="L244" s="14"/>
      <c r="M244" s="12"/>
      <c r="N244" s="14"/>
      <c r="O244" s="14"/>
      <c r="P244" s="14"/>
    </row>
    <row r="245" spans="8:16" x14ac:dyDescent="0.3">
      <c r="H245" s="13"/>
      <c r="I245" s="14"/>
      <c r="J245" s="14"/>
      <c r="K245" s="12"/>
      <c r="L245" s="14"/>
      <c r="M245" s="12"/>
      <c r="N245" s="14"/>
      <c r="O245" s="14"/>
      <c r="P245" s="14"/>
    </row>
    <row r="246" spans="8:16" x14ac:dyDescent="0.3">
      <c r="H246" s="13"/>
      <c r="I246" s="14"/>
      <c r="J246" s="14"/>
      <c r="K246" s="12"/>
      <c r="L246" s="14"/>
      <c r="M246" s="12"/>
      <c r="N246" s="14"/>
      <c r="O246" s="14"/>
      <c r="P246" s="14"/>
    </row>
    <row r="247" spans="8:16" x14ac:dyDescent="0.3">
      <c r="H247" s="13"/>
      <c r="I247" s="14"/>
      <c r="J247" s="14"/>
      <c r="K247" s="12"/>
      <c r="L247" s="14"/>
      <c r="M247" s="12"/>
      <c r="N247" s="14"/>
      <c r="O247" s="14"/>
      <c r="P247" s="14"/>
    </row>
    <row r="248" spans="8:16" x14ac:dyDescent="0.3">
      <c r="H248" s="13"/>
      <c r="I248" s="14"/>
      <c r="J248" s="14"/>
      <c r="K248" s="12"/>
      <c r="L248" s="14"/>
      <c r="M248" s="12"/>
      <c r="N248" s="14"/>
      <c r="O248" s="14"/>
      <c r="P248" s="14"/>
    </row>
    <row r="249" spans="8:16" x14ac:dyDescent="0.3">
      <c r="H249" s="13"/>
      <c r="I249" s="14"/>
      <c r="J249" s="14"/>
      <c r="K249" s="12"/>
      <c r="L249" s="14"/>
      <c r="M249" s="12"/>
      <c r="N249" s="14"/>
      <c r="O249" s="14"/>
      <c r="P249" s="14"/>
    </row>
    <row r="250" spans="8:16" x14ac:dyDescent="0.3">
      <c r="H250" s="13"/>
      <c r="I250" s="14"/>
      <c r="J250" s="14"/>
      <c r="K250" s="12"/>
      <c r="L250" s="14"/>
      <c r="M250" s="12"/>
      <c r="N250" s="14"/>
      <c r="O250" s="14"/>
      <c r="P250" s="14"/>
    </row>
    <row r="251" spans="8:16" x14ac:dyDescent="0.3">
      <c r="H251" s="13"/>
      <c r="I251" s="14"/>
      <c r="J251" s="14"/>
      <c r="K251" s="12"/>
      <c r="L251" s="14"/>
      <c r="M251" s="12"/>
      <c r="N251" s="14"/>
      <c r="O251" s="14"/>
      <c r="P251" s="14"/>
    </row>
    <row r="252" spans="8:16" x14ac:dyDescent="0.3">
      <c r="H252" s="13"/>
      <c r="I252" s="14"/>
      <c r="J252" s="14"/>
      <c r="K252" s="12"/>
      <c r="L252" s="14"/>
      <c r="M252" s="12"/>
      <c r="N252" s="14"/>
      <c r="O252" s="14"/>
      <c r="P252" s="14"/>
    </row>
    <row r="253" spans="8:16" x14ac:dyDescent="0.3">
      <c r="H253" s="13"/>
      <c r="I253" s="14"/>
      <c r="J253" s="14"/>
      <c r="K253" s="12"/>
      <c r="L253" s="14"/>
      <c r="M253" s="12"/>
      <c r="N253" s="14"/>
      <c r="O253" s="14"/>
      <c r="P253" s="14"/>
    </row>
    <row r="254" spans="8:16" x14ac:dyDescent="0.3">
      <c r="H254" s="13"/>
      <c r="I254" s="14"/>
      <c r="J254" s="14"/>
      <c r="K254" s="12"/>
      <c r="L254" s="14"/>
      <c r="M254" s="12"/>
      <c r="N254" s="14"/>
      <c r="O254" s="14"/>
      <c r="P254" s="14"/>
    </row>
    <row r="255" spans="8:16" x14ac:dyDescent="0.3">
      <c r="H255" s="13"/>
      <c r="I255" s="14"/>
      <c r="J255" s="14"/>
      <c r="K255" s="12"/>
      <c r="L255" s="14"/>
      <c r="M255" s="12"/>
      <c r="N255" s="14"/>
      <c r="O255" s="14"/>
      <c r="P255" s="14"/>
    </row>
    <row r="256" spans="8:16" x14ac:dyDescent="0.3">
      <c r="H256" s="13"/>
      <c r="I256" s="14"/>
      <c r="J256" s="14"/>
      <c r="K256" s="12"/>
      <c r="L256" s="14"/>
      <c r="M256" s="12"/>
      <c r="N256" s="14"/>
      <c r="O256" s="14"/>
      <c r="P256" s="14"/>
    </row>
    <row r="257" spans="8:16" x14ac:dyDescent="0.3">
      <c r="H257" s="13"/>
      <c r="I257" s="14"/>
      <c r="J257" s="14"/>
      <c r="K257" s="12"/>
      <c r="L257" s="14"/>
      <c r="M257" s="12"/>
      <c r="N257" s="14"/>
      <c r="O257" s="14"/>
      <c r="P257" s="14"/>
    </row>
    <row r="258" spans="8:16" x14ac:dyDescent="0.3">
      <c r="H258" s="13"/>
      <c r="I258" s="14"/>
      <c r="J258" s="14"/>
      <c r="K258" s="12"/>
      <c r="L258" s="14"/>
      <c r="M258" s="12"/>
      <c r="N258" s="14"/>
      <c r="O258" s="14"/>
      <c r="P258" s="14"/>
    </row>
    <row r="259" spans="8:16" x14ac:dyDescent="0.3">
      <c r="H259" s="13"/>
      <c r="I259" s="14"/>
      <c r="J259" s="14"/>
      <c r="K259" s="12"/>
      <c r="L259" s="14"/>
      <c r="M259" s="12"/>
      <c r="N259" s="14"/>
      <c r="O259" s="14"/>
      <c r="P259" s="14"/>
    </row>
    <row r="260" spans="8:16" x14ac:dyDescent="0.3">
      <c r="H260" s="13"/>
      <c r="I260" s="14"/>
      <c r="J260" s="14"/>
      <c r="K260" s="12"/>
      <c r="L260" s="14"/>
      <c r="M260" s="12"/>
      <c r="N260" s="14"/>
      <c r="O260" s="14"/>
      <c r="P260" s="14"/>
    </row>
    <row r="261" spans="8:16" x14ac:dyDescent="0.3">
      <c r="H261" s="13"/>
      <c r="I261" s="14"/>
      <c r="J261" s="14"/>
      <c r="K261" s="12"/>
      <c r="L261" s="14"/>
      <c r="M261" s="12"/>
      <c r="N261" s="14"/>
      <c r="O261" s="14"/>
      <c r="P261" s="14"/>
    </row>
    <row r="262" spans="8:16" x14ac:dyDescent="0.3">
      <c r="H262" s="13"/>
      <c r="I262" s="14"/>
      <c r="J262" s="14"/>
      <c r="K262" s="12"/>
      <c r="L262" s="14"/>
      <c r="M262" s="12"/>
      <c r="N262" s="14"/>
      <c r="O262" s="14"/>
      <c r="P262" s="14"/>
    </row>
    <row r="263" spans="8:16" x14ac:dyDescent="0.3">
      <c r="H263" s="13"/>
      <c r="I263" s="14"/>
      <c r="J263" s="14"/>
      <c r="K263" s="12"/>
      <c r="L263" s="14"/>
      <c r="M263" s="12"/>
      <c r="N263" s="14"/>
      <c r="O263" s="14"/>
      <c r="P263" s="14"/>
    </row>
    <row r="264" spans="8:16" x14ac:dyDescent="0.3">
      <c r="H264" s="13"/>
      <c r="I264" s="14"/>
      <c r="J264" s="14"/>
      <c r="K264" s="12"/>
      <c r="L264" s="14"/>
      <c r="M264" s="12"/>
      <c r="N264" s="14"/>
      <c r="O264" s="14"/>
      <c r="P264" s="14"/>
    </row>
    <row r="265" spans="8:16" x14ac:dyDescent="0.3">
      <c r="H265" s="13"/>
      <c r="I265" s="14"/>
      <c r="J265" s="14"/>
      <c r="K265" s="12"/>
      <c r="L265" s="14"/>
      <c r="M265" s="12"/>
      <c r="N265" s="14"/>
      <c r="O265" s="14"/>
      <c r="P265" s="14"/>
    </row>
    <row r="266" spans="8:16" x14ac:dyDescent="0.3">
      <c r="H266" s="13"/>
      <c r="I266" s="14"/>
      <c r="J266" s="14"/>
      <c r="K266" s="12"/>
      <c r="L266" s="14"/>
      <c r="M266" s="12"/>
      <c r="N266" s="14"/>
      <c r="O266" s="14"/>
      <c r="P266" s="14"/>
    </row>
    <row r="267" spans="8:16" x14ac:dyDescent="0.3">
      <c r="H267" s="13"/>
      <c r="I267" s="14"/>
      <c r="J267" s="14"/>
      <c r="K267" s="12"/>
      <c r="L267" s="14"/>
      <c r="M267" s="12"/>
      <c r="N267" s="14"/>
      <c r="O267" s="14"/>
      <c r="P267" s="14"/>
    </row>
    <row r="268" spans="8:16" x14ac:dyDescent="0.3">
      <c r="H268" s="13"/>
      <c r="I268" s="14"/>
      <c r="J268" s="14"/>
      <c r="K268" s="12"/>
      <c r="L268" s="14"/>
      <c r="M268" s="12"/>
      <c r="N268" s="14"/>
      <c r="O268" s="14"/>
      <c r="P268" s="14"/>
    </row>
    <row r="269" spans="8:16" x14ac:dyDescent="0.3">
      <c r="H269" s="13"/>
      <c r="I269" s="14"/>
      <c r="J269" s="14"/>
      <c r="K269" s="12"/>
      <c r="L269" s="14"/>
      <c r="M269" s="12"/>
      <c r="N269" s="14"/>
      <c r="O269" s="14"/>
      <c r="P269" s="14"/>
    </row>
    <row r="270" spans="8:16" x14ac:dyDescent="0.3">
      <c r="H270" s="13"/>
      <c r="I270" s="14"/>
      <c r="J270" s="14"/>
      <c r="K270" s="12"/>
      <c r="L270" s="14"/>
      <c r="M270" s="12"/>
      <c r="N270" s="14"/>
      <c r="O270" s="14"/>
      <c r="P270" s="14"/>
    </row>
    <row r="271" spans="8:16" x14ac:dyDescent="0.3">
      <c r="H271" s="13"/>
      <c r="I271" s="14"/>
      <c r="J271" s="14"/>
      <c r="K271" s="12"/>
      <c r="L271" s="14"/>
      <c r="M271" s="12"/>
      <c r="N271" s="14"/>
      <c r="O271" s="14"/>
      <c r="P271" s="14"/>
    </row>
    <row r="272" spans="8:16" x14ac:dyDescent="0.3">
      <c r="H272" s="13"/>
      <c r="I272" s="14"/>
      <c r="J272" s="14"/>
      <c r="K272" s="12"/>
      <c r="L272" s="14"/>
      <c r="M272" s="12"/>
      <c r="N272" s="14"/>
      <c r="O272" s="14"/>
      <c r="P272" s="14"/>
    </row>
    <row r="273" spans="8:16" x14ac:dyDescent="0.3">
      <c r="H273" s="13"/>
      <c r="I273" s="14"/>
      <c r="J273" s="14"/>
      <c r="K273" s="12"/>
      <c r="L273" s="14"/>
      <c r="M273" s="12"/>
      <c r="N273" s="14"/>
      <c r="O273" s="14"/>
      <c r="P273" s="14"/>
    </row>
    <row r="274" spans="8:16" x14ac:dyDescent="0.3">
      <c r="H274" s="13"/>
      <c r="I274" s="14"/>
      <c r="J274" s="14"/>
      <c r="K274" s="12"/>
      <c r="L274" s="14"/>
      <c r="M274" s="12"/>
      <c r="N274" s="14"/>
      <c r="O274" s="14"/>
      <c r="P274" s="14"/>
    </row>
    <row r="275" spans="8:16" x14ac:dyDescent="0.3">
      <c r="H275" s="13"/>
      <c r="I275" s="14"/>
      <c r="J275" s="14"/>
      <c r="K275" s="12"/>
      <c r="L275" s="14"/>
      <c r="M275" s="12"/>
      <c r="N275" s="14"/>
      <c r="O275" s="14"/>
      <c r="P275" s="14"/>
    </row>
    <row r="276" spans="8:16" x14ac:dyDescent="0.3">
      <c r="H276" s="13"/>
      <c r="I276" s="14"/>
      <c r="J276" s="14"/>
      <c r="K276" s="12"/>
      <c r="L276" s="14"/>
      <c r="M276" s="12"/>
      <c r="N276" s="14"/>
      <c r="O276" s="14"/>
      <c r="P276" s="14"/>
    </row>
    <row r="277" spans="8:16" x14ac:dyDescent="0.3">
      <c r="H277" s="13"/>
      <c r="I277" s="14"/>
      <c r="J277" s="14"/>
      <c r="K277" s="12"/>
      <c r="L277" s="14"/>
      <c r="M277" s="12"/>
      <c r="N277" s="14"/>
      <c r="O277" s="14"/>
      <c r="P277" s="14"/>
    </row>
    <row r="278" spans="8:16" x14ac:dyDescent="0.3">
      <c r="H278" s="13"/>
      <c r="I278" s="14"/>
      <c r="J278" s="14"/>
      <c r="K278" s="12"/>
      <c r="L278" s="14"/>
      <c r="M278" s="12"/>
      <c r="N278" s="14"/>
      <c r="O278" s="14"/>
      <c r="P278" s="14"/>
    </row>
    <row r="279" spans="8:16" x14ac:dyDescent="0.3">
      <c r="H279" s="13"/>
      <c r="I279" s="14"/>
      <c r="J279" s="14"/>
      <c r="K279" s="12"/>
      <c r="L279" s="14"/>
      <c r="M279" s="12"/>
      <c r="N279" s="14"/>
      <c r="O279" s="14"/>
      <c r="P279" s="14"/>
    </row>
    <row r="280" spans="8:16" x14ac:dyDescent="0.3">
      <c r="H280" s="13"/>
      <c r="I280" s="14"/>
      <c r="J280" s="14"/>
      <c r="K280" s="12"/>
      <c r="L280" s="14"/>
      <c r="M280" s="12"/>
      <c r="N280" s="14"/>
      <c r="O280" s="14"/>
      <c r="P280" s="14"/>
    </row>
    <row r="281" spans="8:16" x14ac:dyDescent="0.3">
      <c r="H281" s="13"/>
      <c r="I281" s="14"/>
      <c r="J281" s="14"/>
      <c r="K281" s="12"/>
      <c r="L281" s="14"/>
      <c r="M281" s="12"/>
      <c r="N281" s="14"/>
      <c r="O281" s="14"/>
      <c r="P281" s="14"/>
    </row>
    <row r="282" spans="8:16" x14ac:dyDescent="0.3">
      <c r="H282" s="13"/>
      <c r="I282" s="14"/>
      <c r="J282" s="14"/>
      <c r="K282" s="12"/>
      <c r="L282" s="14"/>
      <c r="M282" s="12"/>
      <c r="N282" s="14"/>
      <c r="O282" s="14"/>
      <c r="P282" s="14"/>
    </row>
    <row r="283" spans="8:16" x14ac:dyDescent="0.3">
      <c r="H283" s="13"/>
      <c r="I283" s="14"/>
      <c r="J283" s="14"/>
      <c r="K283" s="12"/>
      <c r="L283" s="14"/>
      <c r="M283" s="12"/>
      <c r="N283" s="14"/>
      <c r="O283" s="14"/>
      <c r="P283" s="14"/>
    </row>
    <row r="284" spans="8:16" x14ac:dyDescent="0.3">
      <c r="H284" s="13"/>
      <c r="I284" s="14"/>
      <c r="J284" s="14"/>
      <c r="K284" s="12"/>
      <c r="L284" s="14"/>
      <c r="M284" s="12"/>
      <c r="N284" s="14"/>
      <c r="O284" s="14"/>
      <c r="P284" s="14"/>
    </row>
    <row r="285" spans="8:16" x14ac:dyDescent="0.3">
      <c r="H285" s="13"/>
      <c r="I285" s="14"/>
      <c r="J285" s="14"/>
      <c r="K285" s="12"/>
      <c r="L285" s="14"/>
      <c r="M285" s="12"/>
      <c r="N285" s="14"/>
      <c r="O285" s="14"/>
      <c r="P285" s="14"/>
    </row>
    <row r="286" spans="8:16" x14ac:dyDescent="0.3">
      <c r="H286" s="13"/>
      <c r="I286" s="14"/>
      <c r="J286" s="14"/>
      <c r="K286" s="12"/>
      <c r="L286" s="14"/>
      <c r="M286" s="12"/>
      <c r="N286" s="14"/>
      <c r="O286" s="14"/>
      <c r="P286" s="14"/>
    </row>
    <row r="287" spans="8:16" x14ac:dyDescent="0.3">
      <c r="H287" s="13"/>
      <c r="I287" s="14"/>
      <c r="J287" s="14"/>
      <c r="K287" s="12"/>
      <c r="L287" s="14"/>
      <c r="M287" s="12"/>
      <c r="N287" s="14"/>
      <c r="O287" s="14"/>
      <c r="P287" s="14"/>
    </row>
    <row r="288" spans="8:16" x14ac:dyDescent="0.3">
      <c r="H288" s="13"/>
      <c r="I288" s="14"/>
      <c r="J288" s="14"/>
      <c r="K288" s="12"/>
      <c r="L288" s="14"/>
      <c r="M288" s="12"/>
      <c r="N288" s="14"/>
      <c r="O288" s="14"/>
      <c r="P288" s="14"/>
    </row>
    <row r="289" spans="8:16" x14ac:dyDescent="0.3">
      <c r="H289" s="13"/>
      <c r="I289" s="14"/>
      <c r="J289" s="14"/>
      <c r="K289" s="12"/>
      <c r="L289" s="14"/>
      <c r="M289" s="12"/>
      <c r="N289" s="14"/>
      <c r="O289" s="14"/>
      <c r="P289" s="14"/>
    </row>
    <row r="290" spans="8:16" x14ac:dyDescent="0.3">
      <c r="H290" s="13"/>
      <c r="I290" s="14"/>
      <c r="J290" s="14"/>
      <c r="K290" s="12"/>
      <c r="L290" s="14"/>
      <c r="M290" s="12"/>
      <c r="N290" s="14"/>
      <c r="O290" s="14"/>
      <c r="P290" s="14"/>
    </row>
    <row r="291" spans="8:16" x14ac:dyDescent="0.3">
      <c r="H291" s="13"/>
      <c r="I291" s="14"/>
      <c r="J291" s="14"/>
      <c r="K291" s="12"/>
      <c r="L291" s="14"/>
      <c r="M291" s="12"/>
      <c r="N291" s="14"/>
      <c r="O291" s="14"/>
      <c r="P291" s="14"/>
    </row>
    <row r="292" spans="8:16" x14ac:dyDescent="0.3">
      <c r="H292" s="13"/>
      <c r="I292" s="14"/>
      <c r="J292" s="14"/>
      <c r="K292" s="12"/>
      <c r="L292" s="14"/>
      <c r="M292" s="12"/>
      <c r="N292" s="14"/>
      <c r="O292" s="14"/>
      <c r="P292" s="14"/>
    </row>
    <row r="293" spans="8:16" x14ac:dyDescent="0.3">
      <c r="H293" s="13"/>
      <c r="I293" s="14"/>
      <c r="J293" s="14"/>
      <c r="K293" s="12"/>
      <c r="L293" s="14"/>
      <c r="M293" s="12"/>
      <c r="N293" s="14"/>
      <c r="O293" s="14"/>
      <c r="P293" s="14"/>
    </row>
    <row r="294" spans="8:16" x14ac:dyDescent="0.3">
      <c r="H294" s="13"/>
      <c r="I294" s="14"/>
      <c r="J294" s="14"/>
      <c r="K294" s="12"/>
      <c r="L294" s="14"/>
      <c r="M294" s="12"/>
      <c r="N294" s="14"/>
      <c r="O294" s="14"/>
      <c r="P294" s="14"/>
    </row>
    <row r="295" spans="8:16" x14ac:dyDescent="0.3">
      <c r="H295" s="13"/>
      <c r="I295" s="14"/>
      <c r="J295" s="14"/>
      <c r="K295" s="12"/>
      <c r="L295" s="14"/>
      <c r="M295" s="12"/>
      <c r="N295" s="14"/>
      <c r="O295" s="14"/>
      <c r="P295" s="14"/>
    </row>
    <row r="296" spans="8:16" x14ac:dyDescent="0.3">
      <c r="H296" s="13"/>
      <c r="I296" s="14"/>
      <c r="J296" s="14"/>
      <c r="K296" s="12"/>
      <c r="L296" s="14"/>
      <c r="M296" s="12"/>
      <c r="N296" s="14"/>
      <c r="O296" s="14"/>
      <c r="P296" s="14"/>
    </row>
    <row r="297" spans="8:16" x14ac:dyDescent="0.3">
      <c r="H297" s="13"/>
      <c r="I297" s="14"/>
      <c r="J297" s="14"/>
      <c r="K297" s="12"/>
      <c r="L297" s="14"/>
      <c r="M297" s="12"/>
      <c r="N297" s="14"/>
      <c r="O297" s="14"/>
      <c r="P297" s="14"/>
    </row>
    <row r="298" spans="8:16" x14ac:dyDescent="0.3">
      <c r="H298" s="13"/>
      <c r="I298" s="14"/>
      <c r="J298" s="14"/>
      <c r="K298" s="12"/>
      <c r="L298" s="14"/>
      <c r="M298" s="12"/>
      <c r="N298" s="14"/>
      <c r="O298" s="14"/>
      <c r="P298" s="14"/>
    </row>
    <row r="299" spans="8:16" x14ac:dyDescent="0.3">
      <c r="H299" s="13"/>
      <c r="I299" s="14"/>
      <c r="J299" s="14"/>
      <c r="K299" s="12"/>
      <c r="L299" s="14"/>
      <c r="M299" s="12"/>
      <c r="N299" s="14"/>
      <c r="O299" s="14"/>
      <c r="P299" s="14"/>
    </row>
    <row r="300" spans="8:16" x14ac:dyDescent="0.3">
      <c r="H300" s="13"/>
      <c r="I300" s="14"/>
      <c r="J300" s="14"/>
      <c r="K300" s="12"/>
      <c r="L300" s="14"/>
      <c r="M300" s="12"/>
      <c r="N300" s="14"/>
      <c r="O300" s="14"/>
      <c r="P300" s="14"/>
    </row>
    <row r="301" spans="8:16" x14ac:dyDescent="0.3">
      <c r="H301" s="13"/>
      <c r="I301" s="14"/>
      <c r="J301" s="14"/>
      <c r="K301" s="12"/>
      <c r="L301" s="14"/>
      <c r="M301" s="12"/>
      <c r="N301" s="14"/>
      <c r="O301" s="14"/>
      <c r="P301" s="14"/>
    </row>
    <row r="302" spans="8:16" x14ac:dyDescent="0.3">
      <c r="H302" s="13"/>
      <c r="I302" s="14"/>
      <c r="J302" s="14"/>
      <c r="K302" s="12"/>
      <c r="L302" s="14"/>
      <c r="M302" s="12"/>
      <c r="N302" s="14"/>
      <c r="O302" s="14"/>
      <c r="P302" s="14"/>
    </row>
    <row r="303" spans="8:16" x14ac:dyDescent="0.3">
      <c r="H303" s="13"/>
      <c r="I303" s="14"/>
      <c r="J303" s="14"/>
      <c r="K303" s="12"/>
      <c r="L303" s="14"/>
      <c r="M303" s="12"/>
      <c r="N303" s="14"/>
      <c r="O303" s="14"/>
      <c r="P303" s="14"/>
    </row>
    <row r="304" spans="8:16" x14ac:dyDescent="0.3">
      <c r="H304" s="13"/>
      <c r="I304" s="14"/>
      <c r="J304" s="14"/>
      <c r="K304" s="12"/>
      <c r="L304" s="14"/>
      <c r="M304" s="12"/>
      <c r="N304" s="14"/>
      <c r="O304" s="14"/>
      <c r="P304" s="14"/>
    </row>
    <row r="305" spans="8:16" x14ac:dyDescent="0.3">
      <c r="H305" s="13"/>
      <c r="I305" s="14"/>
      <c r="J305" s="14"/>
      <c r="K305" s="12"/>
      <c r="L305" s="14"/>
      <c r="M305" s="12"/>
      <c r="N305" s="14"/>
      <c r="O305" s="14"/>
      <c r="P305" s="14"/>
    </row>
    <row r="306" spans="8:16" x14ac:dyDescent="0.3">
      <c r="H306" s="13"/>
      <c r="I306" s="14"/>
      <c r="J306" s="14"/>
      <c r="K306" s="12"/>
      <c r="L306" s="14"/>
      <c r="M306" s="12"/>
      <c r="N306" s="14"/>
      <c r="O306" s="14"/>
      <c r="P306" s="14"/>
    </row>
    <row r="307" spans="8:16" x14ac:dyDescent="0.3">
      <c r="H307" s="13"/>
      <c r="I307" s="14"/>
      <c r="J307" s="14"/>
      <c r="K307" s="12"/>
      <c r="L307" s="14"/>
      <c r="M307" s="12"/>
      <c r="N307" s="14"/>
      <c r="O307" s="14"/>
      <c r="P307" s="14"/>
    </row>
    <row r="308" spans="8:16" x14ac:dyDescent="0.3">
      <c r="H308" s="13"/>
      <c r="I308" s="14"/>
      <c r="J308" s="14"/>
      <c r="K308" s="12"/>
      <c r="L308" s="14"/>
      <c r="M308" s="12"/>
      <c r="N308" s="14"/>
      <c r="O308" s="14"/>
      <c r="P308" s="14"/>
    </row>
    <row r="309" spans="8:16" x14ac:dyDescent="0.3">
      <c r="H309" s="13"/>
      <c r="I309" s="14"/>
      <c r="J309" s="14"/>
      <c r="K309" s="12"/>
      <c r="L309" s="14"/>
      <c r="M309" s="12"/>
      <c r="N309" s="14"/>
      <c r="O309" s="14"/>
      <c r="P309" s="14"/>
    </row>
    <row r="310" spans="8:16" x14ac:dyDescent="0.3">
      <c r="H310" s="13"/>
      <c r="I310" s="14"/>
      <c r="J310" s="14"/>
      <c r="K310" s="12"/>
      <c r="L310" s="14"/>
      <c r="M310" s="12"/>
      <c r="N310" s="14"/>
      <c r="O310" s="14"/>
      <c r="P310" s="14"/>
    </row>
    <row r="311" spans="8:16" x14ac:dyDescent="0.3">
      <c r="H311" s="13"/>
      <c r="I311" s="14"/>
      <c r="J311" s="14"/>
      <c r="K311" s="12"/>
      <c r="L311" s="14"/>
      <c r="M311" s="12"/>
      <c r="N311" s="14"/>
      <c r="O311" s="14"/>
      <c r="P311" s="14"/>
    </row>
    <row r="312" spans="8:16" x14ac:dyDescent="0.3">
      <c r="H312" s="13"/>
      <c r="I312" s="14"/>
      <c r="J312" s="14"/>
      <c r="K312" s="12"/>
      <c r="L312" s="14"/>
      <c r="M312" s="12"/>
      <c r="N312" s="14"/>
      <c r="O312" s="14"/>
      <c r="P312" s="14"/>
    </row>
    <row r="313" spans="8:16" x14ac:dyDescent="0.3">
      <c r="H313" s="13"/>
      <c r="I313" s="14"/>
      <c r="J313" s="14"/>
      <c r="K313" s="12"/>
      <c r="L313" s="14"/>
      <c r="M313" s="12"/>
      <c r="N313" s="14"/>
      <c r="O313" s="14"/>
      <c r="P313" s="14"/>
    </row>
    <row r="314" spans="8:16" x14ac:dyDescent="0.3">
      <c r="H314" s="13"/>
      <c r="I314" s="14"/>
      <c r="J314" s="14"/>
      <c r="K314" s="12"/>
      <c r="L314" s="14"/>
      <c r="M314" s="12"/>
      <c r="N314" s="14"/>
      <c r="O314" s="14"/>
      <c r="P314" s="14"/>
    </row>
    <row r="315" spans="8:16" x14ac:dyDescent="0.3">
      <c r="H315" s="13"/>
      <c r="I315" s="14"/>
      <c r="J315" s="14"/>
      <c r="K315" s="12"/>
      <c r="L315" s="14"/>
      <c r="M315" s="12"/>
      <c r="N315" s="14"/>
      <c r="O315" s="14"/>
      <c r="P315" s="14"/>
    </row>
    <row r="316" spans="8:16" x14ac:dyDescent="0.3">
      <c r="H316" s="13"/>
      <c r="I316" s="14"/>
      <c r="J316" s="14"/>
      <c r="K316" s="12"/>
      <c r="L316" s="14"/>
      <c r="M316" s="12"/>
      <c r="N316" s="14"/>
      <c r="O316" s="14"/>
      <c r="P316" s="14"/>
    </row>
    <row r="317" spans="8:16" x14ac:dyDescent="0.3">
      <c r="H317" s="13"/>
      <c r="I317" s="14"/>
      <c r="J317" s="14"/>
      <c r="K317" s="12"/>
      <c r="L317" s="14"/>
      <c r="M317" s="12"/>
      <c r="N317" s="14"/>
      <c r="O317" s="14"/>
      <c r="P317" s="14"/>
    </row>
    <row r="318" spans="8:16" x14ac:dyDescent="0.3">
      <c r="H318" s="13"/>
      <c r="I318" s="14"/>
      <c r="J318" s="14"/>
      <c r="K318" s="12"/>
      <c r="L318" s="14"/>
      <c r="M318" s="12"/>
      <c r="N318" s="14"/>
      <c r="O318" s="14"/>
      <c r="P318" s="14"/>
    </row>
    <row r="319" spans="8:16" x14ac:dyDescent="0.3">
      <c r="H319" s="13"/>
      <c r="I319" s="14"/>
      <c r="J319" s="14"/>
      <c r="K319" s="12"/>
      <c r="L319" s="14"/>
      <c r="M319" s="12"/>
      <c r="N319" s="14"/>
      <c r="O319" s="14"/>
      <c r="P319" s="14"/>
    </row>
    <row r="320" spans="8:16" x14ac:dyDescent="0.3">
      <c r="H320" s="13"/>
      <c r="I320" s="14"/>
      <c r="J320" s="14"/>
      <c r="K320" s="12"/>
      <c r="L320" s="14"/>
      <c r="M320" s="12"/>
      <c r="N320" s="14"/>
      <c r="O320" s="14"/>
      <c r="P320" s="14"/>
    </row>
    <row r="321" spans="8:16" x14ac:dyDescent="0.3">
      <c r="H321" s="13"/>
      <c r="I321" s="14"/>
      <c r="J321" s="14"/>
      <c r="K321" s="12"/>
      <c r="L321" s="14"/>
      <c r="M321" s="12"/>
      <c r="N321" s="14"/>
      <c r="O321" s="14"/>
      <c r="P321" s="14"/>
    </row>
    <row r="322" spans="8:16" x14ac:dyDescent="0.3">
      <c r="H322" s="13"/>
      <c r="I322" s="14"/>
      <c r="J322" s="14"/>
      <c r="K322" s="12"/>
      <c r="L322" s="14"/>
      <c r="M322" s="12"/>
      <c r="N322" s="14"/>
      <c r="O322" s="14"/>
      <c r="P322" s="14"/>
    </row>
    <row r="323" spans="8:16" x14ac:dyDescent="0.3">
      <c r="H323" s="13"/>
      <c r="I323" s="14"/>
      <c r="J323" s="14"/>
      <c r="K323" s="12"/>
      <c r="L323" s="14"/>
      <c r="M323" s="12"/>
      <c r="N323" s="14"/>
      <c r="O323" s="14"/>
      <c r="P323" s="14"/>
    </row>
    <row r="324" spans="8:16" x14ac:dyDescent="0.3">
      <c r="H324" s="13"/>
      <c r="I324" s="14"/>
      <c r="J324" s="14"/>
      <c r="K324" s="12"/>
      <c r="L324" s="14"/>
      <c r="M324" s="12"/>
      <c r="N324" s="14"/>
      <c r="O324" s="14"/>
      <c r="P324" s="14"/>
    </row>
    <row r="325" spans="8:16" x14ac:dyDescent="0.3">
      <c r="H325" s="13"/>
      <c r="I325" s="14"/>
      <c r="J325" s="14"/>
      <c r="K325" s="12"/>
      <c r="L325" s="14"/>
      <c r="M325" s="12"/>
      <c r="N325" s="14"/>
      <c r="O325" s="14"/>
      <c r="P325" s="14"/>
    </row>
    <row r="326" spans="8:16" x14ac:dyDescent="0.3">
      <c r="H326" s="13"/>
      <c r="I326" s="14"/>
      <c r="J326" s="14"/>
      <c r="K326" s="12"/>
      <c r="L326" s="14"/>
      <c r="M326" s="12"/>
      <c r="N326" s="14"/>
      <c r="O326" s="14"/>
      <c r="P326" s="14"/>
    </row>
    <row r="327" spans="8:16" x14ac:dyDescent="0.3">
      <c r="H327" s="13"/>
      <c r="I327" s="14"/>
      <c r="J327" s="14"/>
      <c r="K327" s="12"/>
      <c r="L327" s="14"/>
      <c r="M327" s="12"/>
      <c r="N327" s="14"/>
      <c r="O327" s="14"/>
      <c r="P327" s="14"/>
    </row>
    <row r="328" spans="8:16" x14ac:dyDescent="0.3">
      <c r="H328" s="13"/>
      <c r="I328" s="14"/>
      <c r="J328" s="14"/>
      <c r="K328" s="12"/>
      <c r="L328" s="14"/>
      <c r="M328" s="12"/>
      <c r="N328" s="14"/>
      <c r="O328" s="14"/>
      <c r="P328" s="14"/>
    </row>
    <row r="329" spans="8:16" x14ac:dyDescent="0.3">
      <c r="H329" s="13"/>
      <c r="I329" s="14"/>
      <c r="J329" s="14"/>
      <c r="K329" s="12"/>
      <c r="L329" s="14"/>
      <c r="M329" s="12"/>
      <c r="N329" s="14"/>
      <c r="O329" s="14"/>
      <c r="P329" s="14"/>
    </row>
    <row r="330" spans="8:16" x14ac:dyDescent="0.3">
      <c r="H330" s="13"/>
      <c r="I330" s="14"/>
      <c r="J330" s="14"/>
      <c r="K330" s="12"/>
      <c r="L330" s="14"/>
      <c r="M330" s="12"/>
      <c r="N330" s="14"/>
      <c r="O330" s="14"/>
      <c r="P330" s="14"/>
    </row>
    <row r="331" spans="8:16" x14ac:dyDescent="0.3">
      <c r="H331" s="13"/>
      <c r="I331" s="14"/>
      <c r="J331" s="14"/>
      <c r="K331" s="12"/>
      <c r="L331" s="14"/>
      <c r="M331" s="12"/>
      <c r="N331" s="14"/>
      <c r="O331" s="14"/>
      <c r="P331" s="14"/>
    </row>
    <row r="332" spans="8:16" x14ac:dyDescent="0.3">
      <c r="H332" s="13"/>
      <c r="I332" s="14"/>
      <c r="J332" s="14"/>
      <c r="K332" s="12"/>
      <c r="L332" s="14"/>
      <c r="M332" s="12"/>
      <c r="N332" s="14"/>
      <c r="O332" s="14"/>
      <c r="P332" s="14"/>
    </row>
    <row r="333" spans="8:16" x14ac:dyDescent="0.3">
      <c r="H333" s="13"/>
      <c r="I333" s="14"/>
      <c r="J333" s="14"/>
      <c r="K333" s="12"/>
      <c r="L333" s="14"/>
      <c r="M333" s="12"/>
      <c r="N333" s="14"/>
      <c r="O333" s="14"/>
      <c r="P333" s="14"/>
    </row>
    <row r="334" spans="8:16" x14ac:dyDescent="0.3">
      <c r="H334" s="13"/>
      <c r="I334" s="14"/>
      <c r="J334" s="14"/>
      <c r="K334" s="12"/>
      <c r="L334" s="14"/>
      <c r="M334" s="12"/>
      <c r="N334" s="14"/>
      <c r="O334" s="14"/>
      <c r="P334" s="14"/>
    </row>
    <row r="335" spans="8:16" x14ac:dyDescent="0.3">
      <c r="H335" s="13"/>
      <c r="I335" s="14"/>
      <c r="J335" s="14"/>
      <c r="K335" s="12"/>
      <c r="L335" s="14"/>
      <c r="M335" s="12"/>
      <c r="N335" s="14"/>
      <c r="O335" s="14"/>
      <c r="P335" s="14"/>
    </row>
    <row r="336" spans="8:16" x14ac:dyDescent="0.3">
      <c r="H336" s="13"/>
      <c r="I336" s="14"/>
      <c r="J336" s="14"/>
      <c r="K336" s="12"/>
      <c r="L336" s="14"/>
      <c r="M336" s="12"/>
      <c r="N336" s="14"/>
      <c r="O336" s="14"/>
      <c r="P336" s="14"/>
    </row>
    <row r="337" spans="8:16" x14ac:dyDescent="0.3">
      <c r="H337" s="13"/>
      <c r="I337" s="14"/>
      <c r="J337" s="14"/>
      <c r="K337" s="12"/>
      <c r="L337" s="14"/>
      <c r="M337" s="12"/>
      <c r="N337" s="14"/>
      <c r="O337" s="14"/>
      <c r="P337" s="14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FE206-05BA-42B6-B253-DD973A759DEC}">
  <dimension ref="A1:L365"/>
  <sheetViews>
    <sheetView workbookViewId="0">
      <selection activeCell="C6" sqref="C6"/>
    </sheetView>
  </sheetViews>
  <sheetFormatPr defaultRowHeight="14.4" x14ac:dyDescent="0.3"/>
  <cols>
    <col min="1" max="1" width="15.77734375" bestFit="1" customWidth="1"/>
    <col min="2" max="2" width="12.77734375" bestFit="1" customWidth="1"/>
    <col min="3" max="3" width="14.33203125" bestFit="1" customWidth="1"/>
    <col min="4" max="4" width="16.44140625" customWidth="1"/>
    <col min="5" max="5" width="16.21875" bestFit="1" customWidth="1"/>
    <col min="6" max="6" width="19.44140625" customWidth="1"/>
    <col min="7" max="7" width="15.5546875" bestFit="1" customWidth="1"/>
    <col min="8" max="8" width="15.5546875" customWidth="1"/>
    <col min="9" max="9" width="18.33203125" bestFit="1" customWidth="1"/>
    <col min="10" max="10" width="17.6640625" bestFit="1" customWidth="1"/>
    <col min="11" max="11" width="13.77734375" bestFit="1" customWidth="1"/>
    <col min="12" max="12" width="11.5546875" bestFit="1" customWidth="1"/>
  </cols>
  <sheetData>
    <row r="1" spans="1:12" x14ac:dyDescent="0.3">
      <c r="A1" t="s">
        <v>58</v>
      </c>
      <c r="B1" s="25">
        <v>0.1</v>
      </c>
      <c r="E1">
        <f>B1/12</f>
        <v>8.3333333333333332E-3</v>
      </c>
      <c r="F1" t="s">
        <v>62</v>
      </c>
    </row>
    <row r="2" spans="1:12" x14ac:dyDescent="0.3">
      <c r="A2" t="s">
        <v>59</v>
      </c>
      <c r="B2">
        <f>30*12</f>
        <v>360</v>
      </c>
      <c r="C2" t="s">
        <v>60</v>
      </c>
      <c r="E2">
        <f>(1+E1)^B2</f>
        <v>19.837399373300443</v>
      </c>
      <c r="F2" t="s">
        <v>63</v>
      </c>
    </row>
    <row r="3" spans="1:12" x14ac:dyDescent="0.3">
      <c r="A3" t="s">
        <v>61</v>
      </c>
    </row>
    <row r="5" spans="1:12" x14ac:dyDescent="0.3">
      <c r="A5" t="s">
        <v>33</v>
      </c>
      <c r="B5" t="s">
        <v>34</v>
      </c>
      <c r="C5" t="s">
        <v>35</v>
      </c>
      <c r="D5" t="s">
        <v>61</v>
      </c>
      <c r="E5" t="s">
        <v>36</v>
      </c>
      <c r="F5" t="s">
        <v>41</v>
      </c>
      <c r="G5" t="s">
        <v>37</v>
      </c>
      <c r="H5" t="s">
        <v>42</v>
      </c>
      <c r="I5" t="s">
        <v>38</v>
      </c>
      <c r="J5" t="s">
        <v>39</v>
      </c>
      <c r="K5" t="s">
        <v>40</v>
      </c>
      <c r="L5" s="5" t="s">
        <v>64</v>
      </c>
    </row>
    <row r="6" spans="1:12" x14ac:dyDescent="0.3">
      <c r="A6">
        <v>1</v>
      </c>
      <c r="B6" s="13">
        <v>44866</v>
      </c>
      <c r="C6" s="14">
        <f>'HELOC Payment Calculator'!B10</f>
        <v>165732.80000000005</v>
      </c>
      <c r="D6" s="26">
        <f>$C$6/((($E$2)-1)/($E$1*$E$2))</f>
        <v>1454.4239351121303</v>
      </c>
      <c r="E6" s="14">
        <f>D6-G6</f>
        <v>73.317268445463242</v>
      </c>
      <c r="F6" s="12">
        <f>(E6/C6)*12</f>
        <v>5.3085884106559393E-3</v>
      </c>
      <c r="G6" s="14">
        <f>C6*($B$1/12)</f>
        <v>1381.106666666667</v>
      </c>
      <c r="H6" s="12">
        <f>(G6/C6)*12</f>
        <v>0.1</v>
      </c>
      <c r="I6" s="14">
        <f>E6</f>
        <v>73.317268445463242</v>
      </c>
      <c r="J6" s="14">
        <f>G6</f>
        <v>1381.106666666667</v>
      </c>
      <c r="K6" s="14">
        <f>C6-E6</f>
        <v>165659.48273155457</v>
      </c>
      <c r="L6" s="14">
        <f>I6+J6</f>
        <v>1454.4239351121303</v>
      </c>
    </row>
    <row r="7" spans="1:12" x14ac:dyDescent="0.3">
      <c r="A7">
        <v>2</v>
      </c>
      <c r="B7" s="13">
        <v>44896</v>
      </c>
      <c r="C7" s="14">
        <f>K6</f>
        <v>165659.48273155457</v>
      </c>
      <c r="D7" s="14">
        <f t="shared" ref="D7:D70" si="0">$C$6/((($E$2)-1)/($E$1*$E$2))</f>
        <v>1454.4239351121303</v>
      </c>
      <c r="E7" s="14">
        <f t="shared" ref="E7:E70" si="1">D7-G7</f>
        <v>73.928245682508759</v>
      </c>
      <c r="F7" s="12">
        <f t="shared" ref="F7:F70" si="2">(E7/C7)*12</f>
        <v>5.3551956915601565E-3</v>
      </c>
      <c r="G7" s="14">
        <f t="shared" ref="G7:G70" si="3">C7*($B$1/12)</f>
        <v>1380.4956894296215</v>
      </c>
      <c r="H7" s="12">
        <f t="shared" ref="H7:H70" si="4">(G7/C7)*12</f>
        <v>0.1</v>
      </c>
      <c r="I7" s="14">
        <f>I6+E7</f>
        <v>147.245514127972</v>
      </c>
      <c r="J7" s="14">
        <f>J6+G7</f>
        <v>2761.6023560962885</v>
      </c>
      <c r="K7" s="14">
        <f t="shared" ref="K7:K70" si="5">C7-E7</f>
        <v>165585.55448587207</v>
      </c>
      <c r="L7" s="14">
        <f t="shared" ref="L7:L70" si="6">I7+J7</f>
        <v>2908.8478702242605</v>
      </c>
    </row>
    <row r="8" spans="1:12" x14ac:dyDescent="0.3">
      <c r="A8">
        <v>3</v>
      </c>
      <c r="B8" s="13">
        <v>44927</v>
      </c>
      <c r="C8" s="14">
        <f t="shared" ref="C8:C71" si="7">K7</f>
        <v>165585.55448587207</v>
      </c>
      <c r="D8" s="14">
        <f t="shared" si="0"/>
        <v>1454.4239351121303</v>
      </c>
      <c r="E8" s="14">
        <f t="shared" si="1"/>
        <v>74.544314396529671</v>
      </c>
      <c r="F8" s="12">
        <f t="shared" si="2"/>
        <v>5.4022331569670732E-3</v>
      </c>
      <c r="G8" s="14">
        <f t="shared" si="3"/>
        <v>1379.8796207156006</v>
      </c>
      <c r="H8" s="12">
        <f t="shared" si="4"/>
        <v>0.1</v>
      </c>
      <c r="I8" s="14">
        <f t="shared" ref="I8:I71" si="8">I7+E8</f>
        <v>221.78982852450167</v>
      </c>
      <c r="J8" s="14">
        <f t="shared" ref="J8:J71" si="9">J7+G8</f>
        <v>4141.4819768118887</v>
      </c>
      <c r="K8" s="14">
        <f t="shared" si="5"/>
        <v>165511.01017147553</v>
      </c>
      <c r="L8" s="14">
        <f t="shared" si="6"/>
        <v>4363.2718053363906</v>
      </c>
    </row>
    <row r="9" spans="1:12" x14ac:dyDescent="0.3">
      <c r="A9">
        <v>4</v>
      </c>
      <c r="B9" s="13">
        <v>44958</v>
      </c>
      <c r="C9" s="14">
        <f t="shared" si="7"/>
        <v>165511.01017147553</v>
      </c>
      <c r="D9" s="14">
        <f t="shared" si="0"/>
        <v>1454.4239351121303</v>
      </c>
      <c r="E9" s="14">
        <f t="shared" si="1"/>
        <v>75.165517016500871</v>
      </c>
      <c r="F9" s="12">
        <f t="shared" si="2"/>
        <v>5.4497051480957032E-3</v>
      </c>
      <c r="G9" s="14">
        <f t="shared" si="3"/>
        <v>1379.2584180956294</v>
      </c>
      <c r="H9" s="12">
        <f t="shared" si="4"/>
        <v>0.1</v>
      </c>
      <c r="I9" s="14">
        <f t="shared" si="8"/>
        <v>296.95534554100254</v>
      </c>
      <c r="J9" s="14">
        <f t="shared" si="9"/>
        <v>5520.7403949075178</v>
      </c>
      <c r="K9" s="14">
        <f t="shared" si="5"/>
        <v>165435.84465445904</v>
      </c>
      <c r="L9" s="14">
        <f t="shared" si="6"/>
        <v>5817.6957404485202</v>
      </c>
    </row>
    <row r="10" spans="1:12" x14ac:dyDescent="0.3">
      <c r="A10">
        <v>5</v>
      </c>
      <c r="B10" s="13">
        <v>44986</v>
      </c>
      <c r="C10" s="14">
        <f t="shared" si="7"/>
        <v>165435.84465445904</v>
      </c>
      <c r="D10" s="14">
        <f t="shared" si="0"/>
        <v>1454.4239351121303</v>
      </c>
      <c r="E10" s="14">
        <f t="shared" si="1"/>
        <v>75.791896324971503</v>
      </c>
      <c r="F10" s="12">
        <f t="shared" si="2"/>
        <v>5.4976160565402832E-3</v>
      </c>
      <c r="G10" s="14">
        <f t="shared" si="3"/>
        <v>1378.6320387871588</v>
      </c>
      <c r="H10" s="12">
        <f t="shared" si="4"/>
        <v>0.1</v>
      </c>
      <c r="I10" s="14">
        <f t="shared" si="8"/>
        <v>372.74724186597405</v>
      </c>
      <c r="J10" s="14">
        <f t="shared" si="9"/>
        <v>6899.3724336946761</v>
      </c>
      <c r="K10" s="14">
        <f t="shared" si="5"/>
        <v>165360.05275813406</v>
      </c>
      <c r="L10" s="14">
        <f t="shared" si="6"/>
        <v>7272.1196755606506</v>
      </c>
    </row>
    <row r="11" spans="1:12" x14ac:dyDescent="0.3">
      <c r="A11">
        <v>6</v>
      </c>
      <c r="B11" s="13">
        <v>45017</v>
      </c>
      <c r="C11" s="14">
        <f t="shared" si="7"/>
        <v>165360.05275813406</v>
      </c>
      <c r="D11" s="14">
        <f t="shared" si="0"/>
        <v>1454.4239351121303</v>
      </c>
      <c r="E11" s="14">
        <f t="shared" si="1"/>
        <v>76.42349546101309</v>
      </c>
      <c r="F11" s="12">
        <f t="shared" si="2"/>
        <v>5.545970324970435E-3</v>
      </c>
      <c r="G11" s="14">
        <f t="shared" si="3"/>
        <v>1378.0004396511172</v>
      </c>
      <c r="H11" s="12">
        <f t="shared" si="4"/>
        <v>0.1</v>
      </c>
      <c r="I11" s="14">
        <f t="shared" si="8"/>
        <v>449.17073732698714</v>
      </c>
      <c r="J11" s="14">
        <f t="shared" si="9"/>
        <v>8277.3728733457938</v>
      </c>
      <c r="K11" s="14">
        <f t="shared" si="5"/>
        <v>165283.62926267306</v>
      </c>
      <c r="L11" s="14">
        <f t="shared" si="6"/>
        <v>8726.5436106727811</v>
      </c>
    </row>
    <row r="12" spans="1:12" x14ac:dyDescent="0.3">
      <c r="A12">
        <v>7</v>
      </c>
      <c r="B12" s="13">
        <v>45047</v>
      </c>
      <c r="C12" s="14">
        <f t="shared" si="7"/>
        <v>165283.62926267306</v>
      </c>
      <c r="D12" s="14">
        <f t="shared" si="0"/>
        <v>1454.4239351121303</v>
      </c>
      <c r="E12" s="14">
        <f t="shared" si="1"/>
        <v>77.060357923188121</v>
      </c>
      <c r="F12" s="12">
        <f t="shared" si="2"/>
        <v>5.5947724478427408E-3</v>
      </c>
      <c r="G12" s="14">
        <f t="shared" si="3"/>
        <v>1377.3635771889421</v>
      </c>
      <c r="H12" s="12">
        <f t="shared" si="4"/>
        <v>0.1</v>
      </c>
      <c r="I12" s="14">
        <f t="shared" si="8"/>
        <v>526.23109525017526</v>
      </c>
      <c r="J12" s="14">
        <f t="shared" si="9"/>
        <v>9654.7364505347359</v>
      </c>
      <c r="K12" s="14">
        <f t="shared" si="5"/>
        <v>165206.56890474987</v>
      </c>
      <c r="L12" s="14">
        <f t="shared" si="6"/>
        <v>10180.967545784912</v>
      </c>
    </row>
    <row r="13" spans="1:12" x14ac:dyDescent="0.3">
      <c r="A13">
        <v>8</v>
      </c>
      <c r="B13" s="13">
        <v>45078</v>
      </c>
      <c r="C13" s="14">
        <f t="shared" si="7"/>
        <v>165206.56890474987</v>
      </c>
      <c r="D13" s="14">
        <f t="shared" si="0"/>
        <v>1454.4239351121303</v>
      </c>
      <c r="E13" s="14">
        <f t="shared" si="1"/>
        <v>77.702527572547979</v>
      </c>
      <c r="F13" s="12">
        <f t="shared" si="2"/>
        <v>5.6440269721246376E-3</v>
      </c>
      <c r="G13" s="14">
        <f t="shared" si="3"/>
        <v>1376.7214075395823</v>
      </c>
      <c r="H13" s="12">
        <f t="shared" si="4"/>
        <v>0.1</v>
      </c>
      <c r="I13" s="14">
        <f t="shared" si="8"/>
        <v>603.93362282272324</v>
      </c>
      <c r="J13" s="14">
        <f t="shared" si="9"/>
        <v>11031.457858074318</v>
      </c>
      <c r="K13" s="14">
        <f t="shared" si="5"/>
        <v>165128.86637717733</v>
      </c>
      <c r="L13" s="14">
        <f t="shared" si="6"/>
        <v>11635.391480897042</v>
      </c>
    </row>
    <row r="14" spans="1:12" x14ac:dyDescent="0.3">
      <c r="A14">
        <v>9</v>
      </c>
      <c r="B14" s="13">
        <v>45108</v>
      </c>
      <c r="C14" s="14">
        <f t="shared" si="7"/>
        <v>165128.86637717733</v>
      </c>
      <c r="D14" s="14">
        <f t="shared" si="0"/>
        <v>1454.4239351121303</v>
      </c>
      <c r="E14" s="14">
        <f t="shared" si="1"/>
        <v>78.350048635652456</v>
      </c>
      <c r="F14" s="12">
        <f t="shared" si="2"/>
        <v>5.6937384980302623E-3</v>
      </c>
      <c r="G14" s="14">
        <f t="shared" si="3"/>
        <v>1376.0738864764778</v>
      </c>
      <c r="H14" s="12">
        <f t="shared" si="4"/>
        <v>0.1</v>
      </c>
      <c r="I14" s="14">
        <f t="shared" si="8"/>
        <v>682.28367145837569</v>
      </c>
      <c r="J14" s="14">
        <f t="shared" si="9"/>
        <v>12407.531744550795</v>
      </c>
      <c r="K14" s="14">
        <f t="shared" si="5"/>
        <v>165050.51632854168</v>
      </c>
      <c r="L14" s="14">
        <f t="shared" si="6"/>
        <v>13089.815416009171</v>
      </c>
    </row>
    <row r="15" spans="1:12" x14ac:dyDescent="0.3">
      <c r="A15">
        <v>10</v>
      </c>
      <c r="B15" s="13">
        <v>45139</v>
      </c>
      <c r="C15" s="14">
        <f t="shared" si="7"/>
        <v>165050.51632854168</v>
      </c>
      <c r="D15" s="14">
        <f t="shared" si="0"/>
        <v>1454.4239351121303</v>
      </c>
      <c r="E15" s="14">
        <f t="shared" si="1"/>
        <v>79.00296570761634</v>
      </c>
      <c r="F15" s="12">
        <f t="shared" si="2"/>
        <v>5.7439116797688879E-3</v>
      </c>
      <c r="G15" s="14">
        <f t="shared" si="3"/>
        <v>1375.4209694045139</v>
      </c>
      <c r="H15" s="12">
        <f t="shared" si="4"/>
        <v>0.1</v>
      </c>
      <c r="I15" s="14">
        <f t="shared" si="8"/>
        <v>761.28663716599203</v>
      </c>
      <c r="J15" s="14">
        <f t="shared" si="9"/>
        <v>13782.95271395531</v>
      </c>
      <c r="K15" s="14">
        <f t="shared" si="5"/>
        <v>164971.51336283406</v>
      </c>
      <c r="L15" s="14">
        <f t="shared" si="6"/>
        <v>14544.239351121301</v>
      </c>
    </row>
    <row r="16" spans="1:12" x14ac:dyDescent="0.3">
      <c r="A16">
        <v>11</v>
      </c>
      <c r="B16" s="13">
        <v>45170</v>
      </c>
      <c r="C16" s="14">
        <f t="shared" si="7"/>
        <v>164971.51336283406</v>
      </c>
      <c r="D16" s="14">
        <f t="shared" si="0"/>
        <v>1454.4239351121303</v>
      </c>
      <c r="E16" s="14">
        <f t="shared" si="1"/>
        <v>79.661323755179865</v>
      </c>
      <c r="F16" s="12">
        <f t="shared" si="2"/>
        <v>5.794551226305949E-3</v>
      </c>
      <c r="G16" s="14">
        <f t="shared" si="3"/>
        <v>1374.7626113569504</v>
      </c>
      <c r="H16" s="12">
        <f t="shared" si="4"/>
        <v>0.1</v>
      </c>
      <c r="I16" s="14">
        <f t="shared" si="8"/>
        <v>840.9479609211719</v>
      </c>
      <c r="J16" s="14">
        <f t="shared" si="9"/>
        <v>15157.71532531226</v>
      </c>
      <c r="K16" s="14">
        <f t="shared" si="5"/>
        <v>164891.85203907886</v>
      </c>
      <c r="L16" s="14">
        <f t="shared" si="6"/>
        <v>15998.663286233432</v>
      </c>
    </row>
    <row r="17" spans="1:12" x14ac:dyDescent="0.3">
      <c r="A17">
        <v>12</v>
      </c>
      <c r="B17" s="13">
        <v>45200</v>
      </c>
      <c r="C17" s="14">
        <f t="shared" si="7"/>
        <v>164891.85203907886</v>
      </c>
      <c r="D17" s="14">
        <f t="shared" si="0"/>
        <v>1454.4239351121303</v>
      </c>
      <c r="E17" s="14">
        <f t="shared" si="1"/>
        <v>80.325168119806449</v>
      </c>
      <c r="F17" s="12">
        <f t="shared" si="2"/>
        <v>5.8456619021371387E-3</v>
      </c>
      <c r="G17" s="14">
        <f t="shared" si="3"/>
        <v>1374.0987669923238</v>
      </c>
      <c r="H17" s="12">
        <f t="shared" si="4"/>
        <v>0.1</v>
      </c>
      <c r="I17" s="14">
        <f t="shared" si="8"/>
        <v>921.27312904097835</v>
      </c>
      <c r="J17" s="14">
        <f t="shared" si="9"/>
        <v>16531.814092304583</v>
      </c>
      <c r="K17" s="14">
        <f t="shared" si="5"/>
        <v>164811.52687095906</v>
      </c>
      <c r="L17" s="14">
        <f t="shared" si="6"/>
        <v>17453.087221345562</v>
      </c>
    </row>
    <row r="18" spans="1:12" x14ac:dyDescent="0.3">
      <c r="A18">
        <v>13</v>
      </c>
      <c r="B18" s="13">
        <v>45231</v>
      </c>
      <c r="C18" s="14">
        <f t="shared" si="7"/>
        <v>164811.52687095906</v>
      </c>
      <c r="D18" s="14">
        <f t="shared" si="0"/>
        <v>1454.4239351121303</v>
      </c>
      <c r="E18" s="14">
        <f t="shared" si="1"/>
        <v>80.994544520804766</v>
      </c>
      <c r="F18" s="12">
        <f t="shared" si="2"/>
        <v>5.89724852807561E-3</v>
      </c>
      <c r="G18" s="14">
        <f t="shared" si="3"/>
        <v>1373.4293905913255</v>
      </c>
      <c r="H18" s="12">
        <f t="shared" si="4"/>
        <v>0.1</v>
      </c>
      <c r="I18" s="14">
        <f t="shared" si="8"/>
        <v>1002.2676735617831</v>
      </c>
      <c r="J18" s="14">
        <f t="shared" si="9"/>
        <v>17905.243482895909</v>
      </c>
      <c r="K18" s="14">
        <f t="shared" si="5"/>
        <v>164730.53232643826</v>
      </c>
      <c r="L18" s="14">
        <f t="shared" si="6"/>
        <v>18907.511156457691</v>
      </c>
    </row>
    <row r="19" spans="1:12" x14ac:dyDescent="0.3">
      <c r="A19">
        <v>14</v>
      </c>
      <c r="B19" s="13">
        <v>45261</v>
      </c>
      <c r="C19" s="14">
        <f t="shared" si="7"/>
        <v>164730.53232643826</v>
      </c>
      <c r="D19" s="14">
        <f t="shared" si="0"/>
        <v>1454.4239351121303</v>
      </c>
      <c r="E19" s="14">
        <f t="shared" si="1"/>
        <v>81.669499058478095</v>
      </c>
      <c r="F19" s="12">
        <f t="shared" si="2"/>
        <v>5.9493159820527552E-3</v>
      </c>
      <c r="G19" s="14">
        <f t="shared" si="3"/>
        <v>1372.7544360536522</v>
      </c>
      <c r="H19" s="12">
        <f t="shared" si="4"/>
        <v>0.1</v>
      </c>
      <c r="I19" s="14">
        <f t="shared" si="8"/>
        <v>1083.9371726202612</v>
      </c>
      <c r="J19" s="14">
        <f t="shared" si="9"/>
        <v>19277.997918949561</v>
      </c>
      <c r="K19" s="14">
        <f t="shared" si="5"/>
        <v>164648.86282737978</v>
      </c>
      <c r="L19" s="14">
        <f t="shared" si="6"/>
        <v>20361.935091569823</v>
      </c>
    </row>
    <row r="20" spans="1:12" x14ac:dyDescent="0.3">
      <c r="A20">
        <v>15</v>
      </c>
      <c r="B20" s="13">
        <v>45292</v>
      </c>
      <c r="C20" s="14">
        <f t="shared" si="7"/>
        <v>164648.86282737978</v>
      </c>
      <c r="D20" s="14">
        <f t="shared" si="0"/>
        <v>1454.4239351121303</v>
      </c>
      <c r="E20" s="14">
        <f t="shared" si="1"/>
        <v>82.350078217298687</v>
      </c>
      <c r="F20" s="12">
        <f t="shared" si="2"/>
        <v>6.0018691999326364E-3</v>
      </c>
      <c r="G20" s="14">
        <f t="shared" si="3"/>
        <v>1372.0738568948316</v>
      </c>
      <c r="H20" s="12">
        <f t="shared" si="4"/>
        <v>0.1</v>
      </c>
      <c r="I20" s="14">
        <f t="shared" si="8"/>
        <v>1166.2872508375599</v>
      </c>
      <c r="J20" s="14">
        <f t="shared" si="9"/>
        <v>20650.071775844393</v>
      </c>
      <c r="K20" s="14">
        <f t="shared" si="5"/>
        <v>164566.51274916247</v>
      </c>
      <c r="L20" s="14">
        <f t="shared" si="6"/>
        <v>21816.359026681952</v>
      </c>
    </row>
    <row r="21" spans="1:12" x14ac:dyDescent="0.3">
      <c r="A21">
        <v>16</v>
      </c>
      <c r="B21" s="13">
        <v>45323</v>
      </c>
      <c r="C21" s="14">
        <f t="shared" si="7"/>
        <v>164566.51274916247</v>
      </c>
      <c r="D21" s="14">
        <f t="shared" si="0"/>
        <v>1454.4239351121303</v>
      </c>
      <c r="E21" s="14">
        <f t="shared" si="1"/>
        <v>83.036328869109639</v>
      </c>
      <c r="F21" s="12">
        <f t="shared" si="2"/>
        <v>6.0549131763405293E-3</v>
      </c>
      <c r="G21" s="14">
        <f t="shared" si="3"/>
        <v>1371.3876062430206</v>
      </c>
      <c r="H21" s="12">
        <f t="shared" si="4"/>
        <v>0.1</v>
      </c>
      <c r="I21" s="14">
        <f t="shared" si="8"/>
        <v>1249.3235797066695</v>
      </c>
      <c r="J21" s="14">
        <f t="shared" si="9"/>
        <v>22021.459382087414</v>
      </c>
      <c r="K21" s="14">
        <f t="shared" si="5"/>
        <v>164483.47642029336</v>
      </c>
      <c r="L21" s="14">
        <f t="shared" si="6"/>
        <v>23270.782961794084</v>
      </c>
    </row>
    <row r="22" spans="1:12" x14ac:dyDescent="0.3">
      <c r="A22">
        <v>17</v>
      </c>
      <c r="B22" s="13">
        <v>45352</v>
      </c>
      <c r="C22" s="14">
        <f t="shared" si="7"/>
        <v>164483.47642029336</v>
      </c>
      <c r="D22" s="14">
        <f t="shared" si="0"/>
        <v>1454.4239351121303</v>
      </c>
      <c r="E22" s="14">
        <f t="shared" si="1"/>
        <v>83.728298276352234</v>
      </c>
      <c r="F22" s="12">
        <f t="shared" si="2"/>
        <v>6.108452965505694E-3</v>
      </c>
      <c r="G22" s="14">
        <f t="shared" si="3"/>
        <v>1370.695636835778</v>
      </c>
      <c r="H22" s="12">
        <f t="shared" si="4"/>
        <v>0.1</v>
      </c>
      <c r="I22" s="14">
        <f t="shared" si="8"/>
        <v>1333.0518779830218</v>
      </c>
      <c r="J22" s="14">
        <f t="shared" si="9"/>
        <v>23392.155018923193</v>
      </c>
      <c r="K22" s="14">
        <f t="shared" si="5"/>
        <v>164399.74812201702</v>
      </c>
      <c r="L22" s="14">
        <f t="shared" si="6"/>
        <v>24725.206896906217</v>
      </c>
    </row>
    <row r="23" spans="1:12" x14ac:dyDescent="0.3">
      <c r="A23">
        <v>18</v>
      </c>
      <c r="B23" s="13">
        <v>45383</v>
      </c>
      <c r="C23" s="14">
        <f t="shared" si="7"/>
        <v>164399.74812201702</v>
      </c>
      <c r="D23" s="14">
        <f t="shared" si="0"/>
        <v>1454.4239351121303</v>
      </c>
      <c r="E23" s="14">
        <f t="shared" si="1"/>
        <v>84.426034095321711</v>
      </c>
      <c r="F23" s="12">
        <f t="shared" si="2"/>
        <v>6.1624936821188525E-3</v>
      </c>
      <c r="G23" s="14">
        <f t="shared" si="3"/>
        <v>1369.9979010168086</v>
      </c>
      <c r="H23" s="12">
        <f t="shared" si="4"/>
        <v>0.1</v>
      </c>
      <c r="I23" s="14">
        <f t="shared" si="8"/>
        <v>1417.4779120783435</v>
      </c>
      <c r="J23" s="14">
        <f t="shared" si="9"/>
        <v>24762.152919940003</v>
      </c>
      <c r="K23" s="14">
        <f t="shared" si="5"/>
        <v>164315.3220879217</v>
      </c>
      <c r="L23" s="14">
        <f t="shared" si="6"/>
        <v>26179.630832018345</v>
      </c>
    </row>
    <row r="24" spans="1:12" x14ac:dyDescent="0.3">
      <c r="A24">
        <v>19</v>
      </c>
      <c r="B24" s="13">
        <v>45413</v>
      </c>
      <c r="C24" s="14">
        <f t="shared" si="7"/>
        <v>164315.3220879217</v>
      </c>
      <c r="D24" s="14">
        <f t="shared" si="0"/>
        <v>1454.4239351121303</v>
      </c>
      <c r="E24" s="14">
        <f t="shared" si="1"/>
        <v>85.129584379449398</v>
      </c>
      <c r="F24" s="12">
        <f t="shared" si="2"/>
        <v>6.2170405022045367E-3</v>
      </c>
      <c r="G24" s="14">
        <f t="shared" si="3"/>
        <v>1369.2943507326809</v>
      </c>
      <c r="H24" s="12">
        <f t="shared" si="4"/>
        <v>0.1</v>
      </c>
      <c r="I24" s="14">
        <f t="shared" si="8"/>
        <v>1502.6074964577929</v>
      </c>
      <c r="J24" s="14">
        <f t="shared" si="9"/>
        <v>26131.447270672685</v>
      </c>
      <c r="K24" s="14">
        <f t="shared" si="5"/>
        <v>164230.19250354226</v>
      </c>
      <c r="L24" s="14">
        <f t="shared" si="6"/>
        <v>27634.054767130478</v>
      </c>
    </row>
    <row r="25" spans="1:12" x14ac:dyDescent="0.3">
      <c r="A25">
        <v>20</v>
      </c>
      <c r="B25" s="13">
        <v>45444</v>
      </c>
      <c r="C25" s="14">
        <f t="shared" si="7"/>
        <v>164230.19250354226</v>
      </c>
      <c r="D25" s="14">
        <f t="shared" si="0"/>
        <v>1454.4239351121303</v>
      </c>
      <c r="E25" s="14">
        <f t="shared" si="1"/>
        <v>85.838997582611455</v>
      </c>
      <c r="F25" s="12">
        <f t="shared" si="2"/>
        <v>6.272098664008568E-3</v>
      </c>
      <c r="G25" s="14">
        <f t="shared" si="3"/>
        <v>1368.5849375295188</v>
      </c>
      <c r="H25" s="12">
        <f t="shared" si="4"/>
        <v>0.1</v>
      </c>
      <c r="I25" s="14">
        <f t="shared" si="8"/>
        <v>1588.4464940404043</v>
      </c>
      <c r="J25" s="14">
        <f t="shared" si="9"/>
        <v>27500.032208202203</v>
      </c>
      <c r="K25" s="14">
        <f t="shared" si="5"/>
        <v>164144.35350595965</v>
      </c>
      <c r="L25" s="14">
        <f t="shared" si="6"/>
        <v>29088.478702242606</v>
      </c>
    </row>
    <row r="26" spans="1:12" x14ac:dyDescent="0.3">
      <c r="A26">
        <v>21</v>
      </c>
      <c r="B26" s="13">
        <v>45474</v>
      </c>
      <c r="C26" s="14">
        <f t="shared" si="7"/>
        <v>164144.35350595965</v>
      </c>
      <c r="D26" s="14">
        <f t="shared" si="0"/>
        <v>1454.4239351121303</v>
      </c>
      <c r="E26" s="14">
        <f t="shared" si="1"/>
        <v>86.554322562466496</v>
      </c>
      <c r="F26" s="12">
        <f t="shared" si="2"/>
        <v>6.3276734689011842E-3</v>
      </c>
      <c r="G26" s="14">
        <f t="shared" si="3"/>
        <v>1367.8696125496638</v>
      </c>
      <c r="H26" s="12">
        <f t="shared" si="4"/>
        <v>0.1</v>
      </c>
      <c r="I26" s="14">
        <f t="shared" si="8"/>
        <v>1675.0008166028708</v>
      </c>
      <c r="J26" s="14">
        <f t="shared" si="9"/>
        <v>28867.901820751867</v>
      </c>
      <c r="K26" s="14">
        <f t="shared" si="5"/>
        <v>164057.79918339718</v>
      </c>
      <c r="L26" s="14">
        <f t="shared" si="6"/>
        <v>30542.902637354739</v>
      </c>
    </row>
    <row r="27" spans="1:12" x14ac:dyDescent="0.3">
      <c r="A27">
        <v>22</v>
      </c>
      <c r="B27" s="13">
        <v>45505</v>
      </c>
      <c r="C27" s="14">
        <f t="shared" si="7"/>
        <v>164057.79918339718</v>
      </c>
      <c r="D27" s="14">
        <f t="shared" si="0"/>
        <v>1454.4239351121303</v>
      </c>
      <c r="E27" s="14">
        <f t="shared" si="1"/>
        <v>87.275608583820485</v>
      </c>
      <c r="F27" s="12">
        <f t="shared" si="2"/>
        <v>6.3837702822959388E-3</v>
      </c>
      <c r="G27" s="14">
        <f t="shared" si="3"/>
        <v>1367.1483265283098</v>
      </c>
      <c r="H27" s="12">
        <f t="shared" si="4"/>
        <v>0.1</v>
      </c>
      <c r="I27" s="14">
        <f t="shared" si="8"/>
        <v>1762.2764251866913</v>
      </c>
      <c r="J27" s="14">
        <f t="shared" si="9"/>
        <v>30235.050147280177</v>
      </c>
      <c r="K27" s="14">
        <f t="shared" si="5"/>
        <v>163970.52357481336</v>
      </c>
      <c r="L27" s="14">
        <f t="shared" si="6"/>
        <v>31997.326572466867</v>
      </c>
    </row>
    <row r="28" spans="1:12" x14ac:dyDescent="0.3">
      <c r="A28">
        <v>23</v>
      </c>
      <c r="B28" s="13">
        <v>45536</v>
      </c>
      <c r="C28" s="14">
        <f t="shared" si="7"/>
        <v>163970.52357481336</v>
      </c>
      <c r="D28" s="14">
        <f t="shared" si="0"/>
        <v>1454.4239351121303</v>
      </c>
      <c r="E28" s="14">
        <f t="shared" si="1"/>
        <v>88.002905322018933</v>
      </c>
      <c r="F28" s="12">
        <f t="shared" si="2"/>
        <v>6.4403945345847466E-3</v>
      </c>
      <c r="G28" s="14">
        <f t="shared" si="3"/>
        <v>1366.4210297901113</v>
      </c>
      <c r="H28" s="12">
        <f t="shared" si="4"/>
        <v>0.1</v>
      </c>
      <c r="I28" s="14">
        <f t="shared" si="8"/>
        <v>1850.2793305087102</v>
      </c>
      <c r="J28" s="14">
        <f t="shared" si="9"/>
        <v>31601.471177070289</v>
      </c>
      <c r="K28" s="14">
        <f t="shared" si="5"/>
        <v>163882.52066949135</v>
      </c>
      <c r="L28" s="14">
        <f t="shared" si="6"/>
        <v>33451.750507578996</v>
      </c>
    </row>
    <row r="29" spans="1:12" x14ac:dyDescent="0.3">
      <c r="A29">
        <v>24</v>
      </c>
      <c r="B29" s="13">
        <v>45566</v>
      </c>
      <c r="C29" s="14">
        <f t="shared" si="7"/>
        <v>163882.52066949135</v>
      </c>
      <c r="D29" s="14">
        <f t="shared" si="0"/>
        <v>1454.4239351121303</v>
      </c>
      <c r="E29" s="14">
        <f t="shared" si="1"/>
        <v>88.736262866369088</v>
      </c>
      <c r="F29" s="12">
        <f t="shared" si="2"/>
        <v>6.4975517220895451E-3</v>
      </c>
      <c r="G29" s="14">
        <f t="shared" si="3"/>
        <v>1365.6876722457612</v>
      </c>
      <c r="H29" s="12">
        <f t="shared" si="4"/>
        <v>0.1</v>
      </c>
      <c r="I29" s="14">
        <f t="shared" si="8"/>
        <v>1939.0155933750793</v>
      </c>
      <c r="J29" s="14">
        <f t="shared" si="9"/>
        <v>32967.158849316053</v>
      </c>
      <c r="K29" s="14">
        <f t="shared" si="5"/>
        <v>163793.78440662497</v>
      </c>
      <c r="L29" s="14">
        <f t="shared" si="6"/>
        <v>34906.174442691132</v>
      </c>
    </row>
    <row r="30" spans="1:12" x14ac:dyDescent="0.3">
      <c r="A30">
        <v>25</v>
      </c>
      <c r="B30" s="13">
        <v>45597</v>
      </c>
      <c r="C30" s="14">
        <f t="shared" si="7"/>
        <v>163793.78440662497</v>
      </c>
      <c r="D30" s="14">
        <f t="shared" si="0"/>
        <v>1454.4239351121303</v>
      </c>
      <c r="E30" s="14">
        <f t="shared" si="1"/>
        <v>89.475731723588979</v>
      </c>
      <c r="F30" s="12">
        <f t="shared" si="2"/>
        <v>6.5552474080307014E-3</v>
      </c>
      <c r="G30" s="14">
        <f t="shared" si="3"/>
        <v>1364.9482033885413</v>
      </c>
      <c r="H30" s="12">
        <f t="shared" si="4"/>
        <v>0.1</v>
      </c>
      <c r="I30" s="14">
        <f t="shared" si="8"/>
        <v>2028.4913250986683</v>
      </c>
      <c r="J30" s="14">
        <f t="shared" si="9"/>
        <v>34332.107052704596</v>
      </c>
      <c r="K30" s="14">
        <f t="shared" si="5"/>
        <v>163704.30867490137</v>
      </c>
      <c r="L30" s="14">
        <f t="shared" si="6"/>
        <v>36360.598377803268</v>
      </c>
    </row>
    <row r="31" spans="1:12" x14ac:dyDescent="0.3">
      <c r="A31">
        <v>26</v>
      </c>
      <c r="B31" s="13">
        <v>45627</v>
      </c>
      <c r="C31" s="14">
        <f t="shared" si="7"/>
        <v>163704.30867490137</v>
      </c>
      <c r="D31" s="14">
        <f t="shared" si="0"/>
        <v>1454.4239351121303</v>
      </c>
      <c r="E31" s="14">
        <f t="shared" si="1"/>
        <v>90.221362821285538</v>
      </c>
      <c r="F31" s="12">
        <f t="shared" si="2"/>
        <v>6.6134872235126194E-3</v>
      </c>
      <c r="G31" s="14">
        <f t="shared" si="3"/>
        <v>1364.2025722908447</v>
      </c>
      <c r="H31" s="12">
        <f t="shared" si="4"/>
        <v>0.1</v>
      </c>
      <c r="I31" s="14">
        <f t="shared" si="8"/>
        <v>2118.7126879199541</v>
      </c>
      <c r="J31" s="14">
        <f t="shared" si="9"/>
        <v>35696.30962499544</v>
      </c>
      <c r="K31" s="14">
        <f t="shared" si="5"/>
        <v>163614.08731208008</v>
      </c>
      <c r="L31" s="14">
        <f t="shared" si="6"/>
        <v>37815.022312915396</v>
      </c>
    </row>
    <row r="32" spans="1:12" x14ac:dyDescent="0.3">
      <c r="A32">
        <v>27</v>
      </c>
      <c r="B32" s="13">
        <v>45658</v>
      </c>
      <c r="C32" s="14">
        <f t="shared" si="7"/>
        <v>163614.08731208008</v>
      </c>
      <c r="D32" s="14">
        <f t="shared" si="0"/>
        <v>1454.4239351121303</v>
      </c>
      <c r="E32" s="14">
        <f t="shared" si="1"/>
        <v>90.973207511462988</v>
      </c>
      <c r="F32" s="12">
        <f t="shared" si="2"/>
        <v>6.6722768685270432E-3</v>
      </c>
      <c r="G32" s="14">
        <f t="shared" si="3"/>
        <v>1363.4507276006673</v>
      </c>
      <c r="H32" s="12">
        <f t="shared" si="4"/>
        <v>0.1</v>
      </c>
      <c r="I32" s="14">
        <f t="shared" si="8"/>
        <v>2209.6858954314171</v>
      </c>
      <c r="J32" s="14">
        <f t="shared" si="9"/>
        <v>37059.760352596109</v>
      </c>
      <c r="K32" s="14">
        <f t="shared" si="5"/>
        <v>163523.11410456861</v>
      </c>
      <c r="L32" s="14">
        <f t="shared" si="6"/>
        <v>39269.446248027525</v>
      </c>
    </row>
    <row r="33" spans="1:12" x14ac:dyDescent="0.3">
      <c r="A33">
        <v>28</v>
      </c>
      <c r="B33" s="13">
        <v>45689</v>
      </c>
      <c r="C33" s="14">
        <f t="shared" si="7"/>
        <v>163523.11410456861</v>
      </c>
      <c r="D33" s="14">
        <f t="shared" si="0"/>
        <v>1454.4239351121303</v>
      </c>
      <c r="E33" s="14">
        <f t="shared" si="1"/>
        <v>91.731317574058494</v>
      </c>
      <c r="F33" s="12">
        <f t="shared" si="2"/>
        <v>6.7316221129741062E-3</v>
      </c>
      <c r="G33" s="14">
        <f t="shared" si="3"/>
        <v>1362.6926175380718</v>
      </c>
      <c r="H33" s="12">
        <f t="shared" si="4"/>
        <v>0.1</v>
      </c>
      <c r="I33" s="14">
        <f t="shared" si="8"/>
        <v>2301.4172130054758</v>
      </c>
      <c r="J33" s="14">
        <f t="shared" si="9"/>
        <v>38422.452970134182</v>
      </c>
      <c r="K33" s="14">
        <f t="shared" si="5"/>
        <v>163431.38278699454</v>
      </c>
      <c r="L33" s="14">
        <f t="shared" si="6"/>
        <v>40723.870183139661</v>
      </c>
    </row>
    <row r="34" spans="1:12" x14ac:dyDescent="0.3">
      <c r="A34">
        <v>29</v>
      </c>
      <c r="B34" s="13">
        <v>45717</v>
      </c>
      <c r="C34" s="14">
        <f t="shared" si="7"/>
        <v>163431.38278699454</v>
      </c>
      <c r="D34" s="14">
        <f t="shared" si="0"/>
        <v>1454.4239351121303</v>
      </c>
      <c r="E34" s="14">
        <f t="shared" si="1"/>
        <v>92.495745220509207</v>
      </c>
      <c r="F34" s="12">
        <f t="shared" si="2"/>
        <v>6.7915287977018662E-3</v>
      </c>
      <c r="G34" s="14">
        <f t="shared" si="3"/>
        <v>1361.9281898916211</v>
      </c>
      <c r="H34" s="12">
        <f t="shared" si="4"/>
        <v>0.1</v>
      </c>
      <c r="I34" s="14">
        <f t="shared" si="8"/>
        <v>2393.9129582259848</v>
      </c>
      <c r="J34" s="14">
        <f t="shared" si="9"/>
        <v>39784.381160025805</v>
      </c>
      <c r="K34" s="14">
        <f t="shared" si="5"/>
        <v>163338.88704177403</v>
      </c>
      <c r="L34" s="14">
        <f t="shared" si="6"/>
        <v>42178.29411825179</v>
      </c>
    </row>
    <row r="35" spans="1:12" x14ac:dyDescent="0.3">
      <c r="A35">
        <v>30</v>
      </c>
      <c r="B35" s="13">
        <v>45748</v>
      </c>
      <c r="C35" s="14">
        <f t="shared" si="7"/>
        <v>163338.88704177403</v>
      </c>
      <c r="D35" s="14">
        <f t="shared" si="0"/>
        <v>1454.4239351121303</v>
      </c>
      <c r="E35" s="14">
        <f t="shared" si="1"/>
        <v>93.266543097346812</v>
      </c>
      <c r="F35" s="12">
        <f t="shared" si="2"/>
        <v>6.8520028355643567E-3</v>
      </c>
      <c r="G35" s="14">
        <f t="shared" si="3"/>
        <v>1361.1573920147835</v>
      </c>
      <c r="H35" s="12">
        <f t="shared" si="4"/>
        <v>0.1</v>
      </c>
      <c r="I35" s="14">
        <f t="shared" si="8"/>
        <v>2487.1795013233314</v>
      </c>
      <c r="J35" s="14">
        <f t="shared" si="9"/>
        <v>41145.538552040591</v>
      </c>
      <c r="K35" s="14">
        <f t="shared" si="5"/>
        <v>163245.62049867667</v>
      </c>
      <c r="L35" s="14">
        <f t="shared" si="6"/>
        <v>43632.718053363918</v>
      </c>
    </row>
    <row r="36" spans="1:12" x14ac:dyDescent="0.3">
      <c r="A36">
        <v>31</v>
      </c>
      <c r="B36" s="13">
        <v>45778</v>
      </c>
      <c r="C36" s="14">
        <f t="shared" si="7"/>
        <v>163245.62049867667</v>
      </c>
      <c r="D36" s="14">
        <f t="shared" si="0"/>
        <v>1454.4239351121303</v>
      </c>
      <c r="E36" s="14">
        <f t="shared" si="1"/>
        <v>94.043764289824821</v>
      </c>
      <c r="F36" s="12">
        <f t="shared" si="2"/>
        <v>6.9130502124989382E-3</v>
      </c>
      <c r="G36" s="14">
        <f t="shared" si="3"/>
        <v>1360.3801708223054</v>
      </c>
      <c r="H36" s="12">
        <f t="shared" si="4"/>
        <v>0.1</v>
      </c>
      <c r="I36" s="14">
        <f t="shared" si="8"/>
        <v>2581.2232656131564</v>
      </c>
      <c r="J36" s="14">
        <f t="shared" si="9"/>
        <v>42505.918722862894</v>
      </c>
      <c r="K36" s="14">
        <f t="shared" si="5"/>
        <v>163151.57673438685</v>
      </c>
      <c r="L36" s="14">
        <f t="shared" si="6"/>
        <v>45087.141988476054</v>
      </c>
    </row>
    <row r="37" spans="1:12" x14ac:dyDescent="0.3">
      <c r="A37">
        <v>32</v>
      </c>
      <c r="B37" s="13">
        <v>45809</v>
      </c>
      <c r="C37" s="14">
        <f t="shared" si="7"/>
        <v>163151.57673438685</v>
      </c>
      <c r="D37" s="14">
        <f t="shared" si="0"/>
        <v>1454.4239351121303</v>
      </c>
      <c r="E37" s="14">
        <f t="shared" si="1"/>
        <v>94.827462325573151</v>
      </c>
      <c r="F37" s="12">
        <f t="shared" si="2"/>
        <v>6.9746769886229396E-3</v>
      </c>
      <c r="G37" s="14">
        <f t="shared" si="3"/>
        <v>1359.5964727865571</v>
      </c>
      <c r="H37" s="12">
        <f t="shared" si="4"/>
        <v>0.1</v>
      </c>
      <c r="I37" s="14">
        <f t="shared" si="8"/>
        <v>2676.0507279387293</v>
      </c>
      <c r="J37" s="14">
        <f t="shared" si="9"/>
        <v>43865.515195649452</v>
      </c>
      <c r="K37" s="14">
        <f t="shared" si="5"/>
        <v>163056.74927206128</v>
      </c>
      <c r="L37" s="14">
        <f t="shared" si="6"/>
        <v>46541.565923588183</v>
      </c>
    </row>
    <row r="38" spans="1:12" x14ac:dyDescent="0.3">
      <c r="A38">
        <v>33</v>
      </c>
      <c r="B38" s="13">
        <v>45839</v>
      </c>
      <c r="C38" s="14">
        <f t="shared" si="7"/>
        <v>163056.74927206128</v>
      </c>
      <c r="D38" s="14">
        <f t="shared" si="0"/>
        <v>1454.4239351121303</v>
      </c>
      <c r="E38" s="14">
        <f t="shared" si="1"/>
        <v>95.61769117828635</v>
      </c>
      <c r="F38" s="12">
        <f t="shared" si="2"/>
        <v>7.036889299350443E-3</v>
      </c>
      <c r="G38" s="14">
        <f t="shared" si="3"/>
        <v>1358.8062439338439</v>
      </c>
      <c r="H38" s="12">
        <f t="shared" si="4"/>
        <v>0.1</v>
      </c>
      <c r="I38" s="14">
        <f t="shared" si="8"/>
        <v>2771.6684191170157</v>
      </c>
      <c r="J38" s="14">
        <f t="shared" si="9"/>
        <v>45224.321439583298</v>
      </c>
      <c r="K38" s="14">
        <f t="shared" si="5"/>
        <v>162961.131580883</v>
      </c>
      <c r="L38" s="14">
        <f t="shared" si="6"/>
        <v>47995.989858700312</v>
      </c>
    </row>
    <row r="39" spans="1:12" x14ac:dyDescent="0.3">
      <c r="A39">
        <v>34</v>
      </c>
      <c r="B39" s="13">
        <v>45870</v>
      </c>
      <c r="C39" s="14">
        <f t="shared" si="7"/>
        <v>162961.131580883</v>
      </c>
      <c r="D39" s="14">
        <f t="shared" si="0"/>
        <v>1454.4239351121303</v>
      </c>
      <c r="E39" s="14">
        <f t="shared" si="1"/>
        <v>96.414505271438657</v>
      </c>
      <c r="F39" s="12">
        <f t="shared" si="2"/>
        <v>7.0996933565291263E-3</v>
      </c>
      <c r="G39" s="14">
        <f t="shared" si="3"/>
        <v>1358.0094298406916</v>
      </c>
      <c r="H39" s="12">
        <f t="shared" si="4"/>
        <v>0.1</v>
      </c>
      <c r="I39" s="14">
        <f t="shared" si="8"/>
        <v>2868.0829243884546</v>
      </c>
      <c r="J39" s="14">
        <f t="shared" si="9"/>
        <v>46582.330869423989</v>
      </c>
      <c r="K39" s="14">
        <f t="shared" si="5"/>
        <v>162864.71707561155</v>
      </c>
      <c r="L39" s="14">
        <f t="shared" si="6"/>
        <v>49450.413793812448</v>
      </c>
    </row>
    <row r="40" spans="1:12" x14ac:dyDescent="0.3">
      <c r="A40">
        <v>35</v>
      </c>
      <c r="B40" s="13">
        <v>45901</v>
      </c>
      <c r="C40" s="14">
        <f t="shared" si="7"/>
        <v>162864.71707561155</v>
      </c>
      <c r="D40" s="14">
        <f t="shared" si="0"/>
        <v>1454.4239351121303</v>
      </c>
      <c r="E40" s="14">
        <f t="shared" si="1"/>
        <v>97.217959482034075</v>
      </c>
      <c r="F40" s="12">
        <f t="shared" si="2"/>
        <v>7.1630954495981855E-3</v>
      </c>
      <c r="G40" s="14">
        <f t="shared" si="3"/>
        <v>1357.2059756300962</v>
      </c>
      <c r="H40" s="12">
        <f t="shared" si="4"/>
        <v>0.1</v>
      </c>
      <c r="I40" s="14">
        <f t="shared" si="8"/>
        <v>2965.3008838704886</v>
      </c>
      <c r="J40" s="14">
        <f t="shared" si="9"/>
        <v>47939.536845054085</v>
      </c>
      <c r="K40" s="14">
        <f t="shared" si="5"/>
        <v>162767.4991161295</v>
      </c>
      <c r="L40" s="14">
        <f t="shared" si="6"/>
        <v>50904.837728924576</v>
      </c>
    </row>
    <row r="41" spans="1:12" x14ac:dyDescent="0.3">
      <c r="A41">
        <v>36</v>
      </c>
      <c r="B41" s="13">
        <v>45931</v>
      </c>
      <c r="C41" s="14">
        <f t="shared" si="7"/>
        <v>162767.4991161295</v>
      </c>
      <c r="D41" s="14">
        <f t="shared" si="0"/>
        <v>1454.4239351121303</v>
      </c>
      <c r="E41" s="14">
        <f t="shared" si="1"/>
        <v>98.028109144384416</v>
      </c>
      <c r="F41" s="12">
        <f t="shared" si="2"/>
        <v>7.2271019467672303E-3</v>
      </c>
      <c r="G41" s="14">
        <f t="shared" si="3"/>
        <v>1356.3958259677458</v>
      </c>
      <c r="H41" s="12">
        <f t="shared" si="4"/>
        <v>0.1</v>
      </c>
      <c r="I41" s="14">
        <f t="shared" si="8"/>
        <v>3063.328993014873</v>
      </c>
      <c r="J41" s="14">
        <f t="shared" si="9"/>
        <v>49295.93267102183</v>
      </c>
      <c r="K41" s="14">
        <f t="shared" si="5"/>
        <v>162669.47100698511</v>
      </c>
      <c r="L41" s="14">
        <f t="shared" si="6"/>
        <v>52359.261664036705</v>
      </c>
    </row>
    <row r="42" spans="1:12" x14ac:dyDescent="0.3">
      <c r="A42">
        <v>37</v>
      </c>
      <c r="B42" s="13">
        <v>45962</v>
      </c>
      <c r="C42" s="14">
        <f t="shared" si="7"/>
        <v>162669.47100698511</v>
      </c>
      <c r="D42" s="14">
        <f t="shared" si="0"/>
        <v>1454.4239351121303</v>
      </c>
      <c r="E42" s="14">
        <f t="shared" si="1"/>
        <v>98.845010053920987</v>
      </c>
      <c r="F42" s="12">
        <f t="shared" si="2"/>
        <v>7.2917192962170408E-3</v>
      </c>
      <c r="G42" s="14">
        <f t="shared" si="3"/>
        <v>1355.5789250582093</v>
      </c>
      <c r="H42" s="12">
        <f t="shared" si="4"/>
        <v>0.1</v>
      </c>
      <c r="I42" s="14">
        <f t="shared" si="8"/>
        <v>3162.1740030687943</v>
      </c>
      <c r="J42" s="14">
        <f t="shared" si="9"/>
        <v>50651.511596080039</v>
      </c>
      <c r="K42" s="14">
        <f t="shared" si="5"/>
        <v>162570.62599693119</v>
      </c>
      <c r="L42" s="14">
        <f t="shared" si="6"/>
        <v>53813.685599148834</v>
      </c>
    </row>
    <row r="43" spans="1:12" x14ac:dyDescent="0.3">
      <c r="A43">
        <v>38</v>
      </c>
      <c r="B43" s="13">
        <v>45992</v>
      </c>
      <c r="C43" s="14">
        <f t="shared" si="7"/>
        <v>162570.62599693119</v>
      </c>
      <c r="D43" s="14">
        <f t="shared" si="0"/>
        <v>1454.4239351121303</v>
      </c>
      <c r="E43" s="14">
        <f t="shared" si="1"/>
        <v>99.668718471036982</v>
      </c>
      <c r="F43" s="12">
        <f t="shared" si="2"/>
        <v>7.3569540273223828E-3</v>
      </c>
      <c r="G43" s="14">
        <f t="shared" si="3"/>
        <v>1354.7552166410933</v>
      </c>
      <c r="H43" s="12">
        <f t="shared" si="4"/>
        <v>0.1</v>
      </c>
      <c r="I43" s="14">
        <f t="shared" si="8"/>
        <v>3261.8427215398315</v>
      </c>
      <c r="J43" s="14">
        <f t="shared" si="9"/>
        <v>52006.266812721136</v>
      </c>
      <c r="K43" s="14">
        <f t="shared" si="5"/>
        <v>162470.95727846015</v>
      </c>
      <c r="L43" s="14">
        <f t="shared" si="6"/>
        <v>55268.10953426097</v>
      </c>
    </row>
    <row r="44" spans="1:12" x14ac:dyDescent="0.3">
      <c r="A44">
        <v>39</v>
      </c>
      <c r="B44" s="13">
        <v>46023</v>
      </c>
      <c r="C44" s="14">
        <f t="shared" si="7"/>
        <v>162470.95727846015</v>
      </c>
      <c r="D44" s="14">
        <f t="shared" si="0"/>
        <v>1454.4239351121303</v>
      </c>
      <c r="E44" s="14">
        <f t="shared" si="1"/>
        <v>100.49929112496238</v>
      </c>
      <c r="F44" s="12">
        <f t="shared" si="2"/>
        <v>7.4228127518975052E-3</v>
      </c>
      <c r="G44" s="14">
        <f t="shared" si="3"/>
        <v>1353.9246439871679</v>
      </c>
      <c r="H44" s="12">
        <f t="shared" si="4"/>
        <v>0.1</v>
      </c>
      <c r="I44" s="14">
        <f t="shared" si="8"/>
        <v>3362.3420126647939</v>
      </c>
      <c r="J44" s="14">
        <f t="shared" si="9"/>
        <v>53360.191456708308</v>
      </c>
      <c r="K44" s="14">
        <f t="shared" si="5"/>
        <v>162370.45798733519</v>
      </c>
      <c r="L44" s="14">
        <f t="shared" si="6"/>
        <v>56722.533469373098</v>
      </c>
    </row>
    <row r="45" spans="1:12" x14ac:dyDescent="0.3">
      <c r="A45">
        <v>40</v>
      </c>
      <c r="B45" s="13">
        <v>46054</v>
      </c>
      <c r="C45" s="14">
        <f t="shared" si="7"/>
        <v>162370.45798733519</v>
      </c>
      <c r="D45" s="14">
        <f t="shared" si="0"/>
        <v>1454.4239351121303</v>
      </c>
      <c r="E45" s="14">
        <f t="shared" si="1"/>
        <v>101.33678521767047</v>
      </c>
      <c r="F45" s="12">
        <f t="shared" si="2"/>
        <v>7.4893021654647077E-3</v>
      </c>
      <c r="G45" s="14">
        <f t="shared" si="3"/>
        <v>1353.0871498944598</v>
      </c>
      <c r="H45" s="12">
        <f t="shared" si="4"/>
        <v>0.1</v>
      </c>
      <c r="I45" s="14">
        <f t="shared" si="8"/>
        <v>3463.6787978824641</v>
      </c>
      <c r="J45" s="14">
        <f t="shared" si="9"/>
        <v>54713.278606602769</v>
      </c>
      <c r="K45" s="14">
        <f t="shared" si="5"/>
        <v>162269.12120211753</v>
      </c>
      <c r="L45" s="14">
        <f t="shared" si="6"/>
        <v>58176.957404485234</v>
      </c>
    </row>
    <row r="46" spans="1:12" x14ac:dyDescent="0.3">
      <c r="A46">
        <v>41</v>
      </c>
      <c r="B46" s="13">
        <v>46082</v>
      </c>
      <c r="C46" s="14">
        <f t="shared" si="7"/>
        <v>162269.12120211753</v>
      </c>
      <c r="D46" s="14">
        <f t="shared" si="0"/>
        <v>1454.4239351121303</v>
      </c>
      <c r="E46" s="14">
        <f t="shared" si="1"/>
        <v>102.18125842781751</v>
      </c>
      <c r="F46" s="12">
        <f t="shared" si="2"/>
        <v>7.5564290485466016E-3</v>
      </c>
      <c r="G46" s="14">
        <f t="shared" si="3"/>
        <v>1352.2426766843128</v>
      </c>
      <c r="H46" s="12">
        <f t="shared" si="4"/>
        <v>0.1</v>
      </c>
      <c r="I46" s="14">
        <f t="shared" si="8"/>
        <v>3565.8600563102818</v>
      </c>
      <c r="J46" s="14">
        <f t="shared" si="9"/>
        <v>56065.521283287082</v>
      </c>
      <c r="K46" s="14">
        <f t="shared" si="5"/>
        <v>162166.93994368971</v>
      </c>
      <c r="L46" s="14">
        <f t="shared" si="6"/>
        <v>59631.381339597363</v>
      </c>
    </row>
    <row r="47" spans="1:12" x14ac:dyDescent="0.3">
      <c r="A47">
        <v>42</v>
      </c>
      <c r="B47" s="13">
        <v>46113</v>
      </c>
      <c r="C47" s="14">
        <f t="shared" si="7"/>
        <v>162166.93994368971</v>
      </c>
      <c r="D47" s="14">
        <f t="shared" si="0"/>
        <v>1454.4239351121303</v>
      </c>
      <c r="E47" s="14">
        <f t="shared" si="1"/>
        <v>103.03276891471614</v>
      </c>
      <c r="F47" s="12">
        <f t="shared" si="2"/>
        <v>7.6242002679825782E-3</v>
      </c>
      <c r="G47" s="14">
        <f t="shared" si="3"/>
        <v>1351.3911661974141</v>
      </c>
      <c r="H47" s="12">
        <f t="shared" si="4"/>
        <v>0.1</v>
      </c>
      <c r="I47" s="14">
        <f t="shared" si="8"/>
        <v>3668.892825224998</v>
      </c>
      <c r="J47" s="14">
        <f t="shared" si="9"/>
        <v>57416.912449484495</v>
      </c>
      <c r="K47" s="14">
        <f t="shared" si="5"/>
        <v>162063.907174775</v>
      </c>
      <c r="L47" s="14">
        <f t="shared" si="6"/>
        <v>61085.805274709492</v>
      </c>
    </row>
    <row r="48" spans="1:12" x14ac:dyDescent="0.3">
      <c r="A48">
        <v>43</v>
      </c>
      <c r="B48" s="13">
        <v>46143</v>
      </c>
      <c r="C48" s="14">
        <f t="shared" si="7"/>
        <v>162063.907174775</v>
      </c>
      <c r="D48" s="14">
        <f t="shared" si="0"/>
        <v>1454.4239351121303</v>
      </c>
      <c r="E48" s="14">
        <f t="shared" si="1"/>
        <v>103.89137532233872</v>
      </c>
      <c r="F48" s="12">
        <f t="shared" si="2"/>
        <v>7.6926227782697261E-3</v>
      </c>
      <c r="G48" s="14">
        <f t="shared" si="3"/>
        <v>1350.5325597897915</v>
      </c>
      <c r="H48" s="12">
        <f t="shared" si="4"/>
        <v>0.1</v>
      </c>
      <c r="I48" s="14">
        <f t="shared" si="8"/>
        <v>3772.7842005473367</v>
      </c>
      <c r="J48" s="14">
        <f t="shared" si="9"/>
        <v>58767.445009274285</v>
      </c>
      <c r="K48" s="14">
        <f t="shared" si="5"/>
        <v>161960.01579945267</v>
      </c>
      <c r="L48" s="14">
        <f t="shared" si="6"/>
        <v>62540.22920982162</v>
      </c>
    </row>
    <row r="49" spans="1:12" x14ac:dyDescent="0.3">
      <c r="A49">
        <v>44</v>
      </c>
      <c r="B49" s="13">
        <v>46174</v>
      </c>
      <c r="C49" s="14">
        <f t="shared" si="7"/>
        <v>161960.01579945267</v>
      </c>
      <c r="D49" s="14">
        <f t="shared" si="0"/>
        <v>1454.4239351121303</v>
      </c>
      <c r="E49" s="14">
        <f t="shared" si="1"/>
        <v>104.75713678335796</v>
      </c>
      <c r="F49" s="12">
        <f t="shared" si="2"/>
        <v>7.7617036229292828E-3</v>
      </c>
      <c r="G49" s="14">
        <f t="shared" si="3"/>
        <v>1349.6667983287723</v>
      </c>
      <c r="H49" s="12">
        <f t="shared" si="4"/>
        <v>0.1</v>
      </c>
      <c r="I49" s="14">
        <f t="shared" si="8"/>
        <v>3877.5413373306947</v>
      </c>
      <c r="J49" s="14">
        <f t="shared" si="9"/>
        <v>60117.111807603054</v>
      </c>
      <c r="K49" s="14">
        <f t="shared" si="5"/>
        <v>161855.25866266931</v>
      </c>
      <c r="L49" s="14">
        <f t="shared" si="6"/>
        <v>63994.653144933749</v>
      </c>
    </row>
    <row r="50" spans="1:12" x14ac:dyDescent="0.3">
      <c r="A50">
        <v>45</v>
      </c>
      <c r="B50" s="13">
        <v>46204</v>
      </c>
      <c r="C50" s="14">
        <f t="shared" si="7"/>
        <v>161855.25866266931</v>
      </c>
      <c r="D50" s="14">
        <f t="shared" si="0"/>
        <v>1454.4239351121303</v>
      </c>
      <c r="E50" s="14">
        <f t="shared" si="1"/>
        <v>105.63011292321949</v>
      </c>
      <c r="F50" s="12">
        <f t="shared" si="2"/>
        <v>7.8314499358987291E-3</v>
      </c>
      <c r="G50" s="14">
        <f t="shared" si="3"/>
        <v>1348.7938221889108</v>
      </c>
      <c r="H50" s="12">
        <f t="shared" si="4"/>
        <v>0.1</v>
      </c>
      <c r="I50" s="14">
        <f t="shared" si="8"/>
        <v>3983.1714502539144</v>
      </c>
      <c r="J50" s="14">
        <f t="shared" si="9"/>
        <v>61465.905629791967</v>
      </c>
      <c r="K50" s="14">
        <f t="shared" si="5"/>
        <v>161749.62854974609</v>
      </c>
      <c r="L50" s="14">
        <f t="shared" si="6"/>
        <v>65449.077080045885</v>
      </c>
    </row>
    <row r="51" spans="1:12" x14ac:dyDescent="0.3">
      <c r="A51">
        <v>46</v>
      </c>
      <c r="B51" s="13">
        <v>46235</v>
      </c>
      <c r="C51" s="14">
        <f t="shared" si="7"/>
        <v>161749.62854974609</v>
      </c>
      <c r="D51" s="14">
        <f t="shared" si="0"/>
        <v>1454.4239351121303</v>
      </c>
      <c r="E51" s="14">
        <f t="shared" si="1"/>
        <v>106.51036386424607</v>
      </c>
      <c r="F51" s="12">
        <f t="shared" si="2"/>
        <v>7.9018689429500959E-3</v>
      </c>
      <c r="G51" s="14">
        <f t="shared" si="3"/>
        <v>1347.9135712478842</v>
      </c>
      <c r="H51" s="12">
        <f t="shared" si="4"/>
        <v>0.1</v>
      </c>
      <c r="I51" s="14">
        <f t="shared" si="8"/>
        <v>4089.6818141181602</v>
      </c>
      <c r="J51" s="14">
        <f t="shared" si="9"/>
        <v>62813.819201039849</v>
      </c>
      <c r="K51" s="14">
        <f t="shared" si="5"/>
        <v>161643.11818588185</v>
      </c>
      <c r="L51" s="14">
        <f t="shared" si="6"/>
        <v>66903.501015158006</v>
      </c>
    </row>
    <row r="52" spans="1:12" x14ac:dyDescent="0.3">
      <c r="A52">
        <v>47</v>
      </c>
      <c r="B52" s="13">
        <v>46266</v>
      </c>
      <c r="C52" s="14">
        <f t="shared" si="7"/>
        <v>161643.11818588185</v>
      </c>
      <c r="D52" s="14">
        <f t="shared" si="0"/>
        <v>1454.4239351121303</v>
      </c>
      <c r="E52" s="14">
        <f t="shared" si="1"/>
        <v>107.3979502297816</v>
      </c>
      <c r="F52" s="12">
        <f t="shared" si="2"/>
        <v>7.9729679631356104E-3</v>
      </c>
      <c r="G52" s="14">
        <f t="shared" si="3"/>
        <v>1347.0259848823487</v>
      </c>
      <c r="H52" s="12">
        <f t="shared" si="4"/>
        <v>0.1</v>
      </c>
      <c r="I52" s="14">
        <f t="shared" si="8"/>
        <v>4197.0797643479418</v>
      </c>
      <c r="J52" s="14">
        <f t="shared" si="9"/>
        <v>64160.845185922197</v>
      </c>
      <c r="K52" s="14">
        <f t="shared" si="5"/>
        <v>161535.72023565206</v>
      </c>
      <c r="L52" s="14">
        <f t="shared" si="6"/>
        <v>68357.924950270142</v>
      </c>
    </row>
    <row r="53" spans="1:12" x14ac:dyDescent="0.3">
      <c r="A53">
        <v>48</v>
      </c>
      <c r="B53" s="13">
        <v>46296</v>
      </c>
      <c r="C53" s="14">
        <f t="shared" si="7"/>
        <v>161535.72023565206</v>
      </c>
      <c r="D53" s="14">
        <f t="shared" si="0"/>
        <v>1454.4239351121303</v>
      </c>
      <c r="E53" s="14">
        <f t="shared" si="1"/>
        <v>108.29293314836309</v>
      </c>
      <c r="F53" s="12">
        <f t="shared" si="2"/>
        <v>8.044754410260431E-3</v>
      </c>
      <c r="G53" s="14">
        <f t="shared" si="3"/>
        <v>1346.1310019637672</v>
      </c>
      <c r="H53" s="12">
        <f t="shared" si="4"/>
        <v>0.1</v>
      </c>
      <c r="I53" s="14">
        <f t="shared" si="8"/>
        <v>4305.3726974963047</v>
      </c>
      <c r="J53" s="14">
        <f t="shared" si="9"/>
        <v>65506.976187885964</v>
      </c>
      <c r="K53" s="14">
        <f t="shared" si="5"/>
        <v>161427.4273025037</v>
      </c>
      <c r="L53" s="14">
        <f t="shared" si="6"/>
        <v>69812.348885382264</v>
      </c>
    </row>
    <row r="54" spans="1:12" x14ac:dyDescent="0.3">
      <c r="A54">
        <v>49</v>
      </c>
      <c r="B54" s="13">
        <v>46327</v>
      </c>
      <c r="C54" s="14">
        <f t="shared" si="7"/>
        <v>161427.4273025037</v>
      </c>
      <c r="D54" s="14">
        <f t="shared" si="0"/>
        <v>1454.4239351121303</v>
      </c>
      <c r="E54" s="14">
        <f t="shared" si="1"/>
        <v>109.19537425793283</v>
      </c>
      <c r="F54" s="12">
        <f t="shared" si="2"/>
        <v>8.1172357943839375E-3</v>
      </c>
      <c r="G54" s="14">
        <f t="shared" si="3"/>
        <v>1345.2285608541974</v>
      </c>
      <c r="H54" s="12">
        <f t="shared" si="4"/>
        <v>0.1</v>
      </c>
      <c r="I54" s="14">
        <f t="shared" si="8"/>
        <v>4414.5680717542373</v>
      </c>
      <c r="J54" s="14">
        <f t="shared" si="9"/>
        <v>66852.204748740158</v>
      </c>
      <c r="K54" s="14">
        <f t="shared" si="5"/>
        <v>161318.23192824578</v>
      </c>
      <c r="L54" s="14">
        <f t="shared" si="6"/>
        <v>71266.7728204944</v>
      </c>
    </row>
    <row r="55" spans="1:12" x14ac:dyDescent="0.3">
      <c r="A55">
        <v>50</v>
      </c>
      <c r="B55" s="13">
        <v>46357</v>
      </c>
      <c r="C55" s="14">
        <f t="shared" si="7"/>
        <v>161318.23192824578</v>
      </c>
      <c r="D55" s="14">
        <f t="shared" si="0"/>
        <v>1454.4239351121303</v>
      </c>
      <c r="E55" s="14">
        <f t="shared" si="1"/>
        <v>110.10533571008204</v>
      </c>
      <c r="F55" s="12">
        <f t="shared" si="2"/>
        <v>8.1904197233495703E-3</v>
      </c>
      <c r="G55" s="14">
        <f t="shared" si="3"/>
        <v>1344.3185994020482</v>
      </c>
      <c r="H55" s="12">
        <f t="shared" si="4"/>
        <v>0.1</v>
      </c>
      <c r="I55" s="14">
        <f t="shared" si="8"/>
        <v>4524.6734074643191</v>
      </c>
      <c r="J55" s="14">
        <f t="shared" si="9"/>
        <v>68196.523348142204</v>
      </c>
      <c r="K55" s="14">
        <f t="shared" si="5"/>
        <v>161208.1265925357</v>
      </c>
      <c r="L55" s="14">
        <f t="shared" si="6"/>
        <v>72721.196755606521</v>
      </c>
    </row>
    <row r="56" spans="1:12" x14ac:dyDescent="0.3">
      <c r="A56">
        <v>51</v>
      </c>
      <c r="B56" s="13">
        <v>46388</v>
      </c>
      <c r="C56" s="14">
        <f t="shared" si="7"/>
        <v>161208.1265925357</v>
      </c>
      <c r="D56" s="14">
        <f t="shared" si="0"/>
        <v>1454.4239351121303</v>
      </c>
      <c r="E56" s="14">
        <f t="shared" si="1"/>
        <v>111.02288017433284</v>
      </c>
      <c r="F56" s="12">
        <f t="shared" si="2"/>
        <v>8.2643139043443326E-3</v>
      </c>
      <c r="G56" s="14">
        <f t="shared" si="3"/>
        <v>1343.4010549377974</v>
      </c>
      <c r="H56" s="12">
        <f t="shared" si="4"/>
        <v>0.1</v>
      </c>
      <c r="I56" s="14">
        <f t="shared" si="8"/>
        <v>4635.6962876386515</v>
      </c>
      <c r="J56" s="14">
        <f t="shared" si="9"/>
        <v>69539.924403080004</v>
      </c>
      <c r="K56" s="14">
        <f t="shared" si="5"/>
        <v>161097.10371236136</v>
      </c>
      <c r="L56" s="14">
        <f t="shared" si="6"/>
        <v>74175.620690718657</v>
      </c>
    </row>
    <row r="57" spans="1:12" x14ac:dyDescent="0.3">
      <c r="A57">
        <v>52</v>
      </c>
      <c r="B57" s="13">
        <v>46419</v>
      </c>
      <c r="C57" s="14">
        <f t="shared" si="7"/>
        <v>161097.10371236136</v>
      </c>
      <c r="D57" s="14">
        <f t="shared" si="0"/>
        <v>1454.4239351121303</v>
      </c>
      <c r="E57" s="14">
        <f t="shared" si="1"/>
        <v>111.94807084245235</v>
      </c>
      <c r="F57" s="12">
        <f t="shared" si="2"/>
        <v>8.3389261454881632E-3</v>
      </c>
      <c r="G57" s="14">
        <f t="shared" si="3"/>
        <v>1342.4758642696779</v>
      </c>
      <c r="H57" s="12">
        <f t="shared" si="4"/>
        <v>0.1</v>
      </c>
      <c r="I57" s="14">
        <f t="shared" si="8"/>
        <v>4747.6443584811041</v>
      </c>
      <c r="J57" s="14">
        <f t="shared" si="9"/>
        <v>70882.400267349687</v>
      </c>
      <c r="K57" s="14">
        <f t="shared" si="5"/>
        <v>160985.15564151891</v>
      </c>
      <c r="L57" s="14">
        <f t="shared" si="6"/>
        <v>75630.044625830793</v>
      </c>
    </row>
    <row r="58" spans="1:12" x14ac:dyDescent="0.3">
      <c r="A58">
        <v>53</v>
      </c>
      <c r="B58" s="13">
        <v>46447</v>
      </c>
      <c r="C58" s="14">
        <f t="shared" si="7"/>
        <v>160985.15564151891</v>
      </c>
      <c r="D58" s="14">
        <f t="shared" si="0"/>
        <v>1454.4239351121303</v>
      </c>
      <c r="E58" s="14">
        <f t="shared" si="1"/>
        <v>112.88097143280606</v>
      </c>
      <c r="F58" s="12">
        <f t="shared" si="2"/>
        <v>8.4142643574543451E-3</v>
      </c>
      <c r="G58" s="14">
        <f t="shared" si="3"/>
        <v>1341.5429636793242</v>
      </c>
      <c r="H58" s="12">
        <f t="shared" si="4"/>
        <v>0.1</v>
      </c>
      <c r="I58" s="14">
        <f t="shared" si="8"/>
        <v>4860.5253299139104</v>
      </c>
      <c r="J58" s="14">
        <f t="shared" si="9"/>
        <v>72223.943231029014</v>
      </c>
      <c r="K58" s="14">
        <f t="shared" si="5"/>
        <v>160872.2746700861</v>
      </c>
      <c r="L58" s="14">
        <f t="shared" si="6"/>
        <v>77084.468560942929</v>
      </c>
    </row>
    <row r="59" spans="1:12" x14ac:dyDescent="0.3">
      <c r="A59">
        <v>54</v>
      </c>
      <c r="B59" s="13">
        <v>46478</v>
      </c>
      <c r="C59" s="14">
        <f t="shared" si="7"/>
        <v>160872.2746700861</v>
      </c>
      <c r="D59" s="14">
        <f t="shared" si="0"/>
        <v>1454.4239351121303</v>
      </c>
      <c r="E59" s="14">
        <f t="shared" si="1"/>
        <v>113.82164619474611</v>
      </c>
      <c r="F59" s="12">
        <f t="shared" si="2"/>
        <v>8.4903365551213424E-3</v>
      </c>
      <c r="G59" s="14">
        <f t="shared" si="3"/>
        <v>1340.6022889173842</v>
      </c>
      <c r="H59" s="12">
        <f t="shared" si="4"/>
        <v>0.1</v>
      </c>
      <c r="I59" s="14">
        <f t="shared" si="8"/>
        <v>4974.3469761086562</v>
      </c>
      <c r="J59" s="14">
        <f t="shared" si="9"/>
        <v>73564.545519946405</v>
      </c>
      <c r="K59" s="14">
        <f t="shared" si="5"/>
        <v>160758.45302389134</v>
      </c>
      <c r="L59" s="14">
        <f t="shared" si="6"/>
        <v>78538.892496055065</v>
      </c>
    </row>
    <row r="60" spans="1:12" x14ac:dyDescent="0.3">
      <c r="A60">
        <v>55</v>
      </c>
      <c r="B60" s="13">
        <v>46508</v>
      </c>
      <c r="C60" s="14">
        <f t="shared" si="7"/>
        <v>160758.45302389134</v>
      </c>
      <c r="D60" s="14">
        <f t="shared" si="0"/>
        <v>1454.4239351121303</v>
      </c>
      <c r="E60" s="14">
        <f t="shared" si="1"/>
        <v>114.77015991303574</v>
      </c>
      <c r="F60" s="12">
        <f t="shared" si="2"/>
        <v>8.567150859256828E-3</v>
      </c>
      <c r="G60" s="14">
        <f t="shared" si="3"/>
        <v>1339.6537751990945</v>
      </c>
      <c r="H60" s="12">
        <f t="shared" si="4"/>
        <v>0.1</v>
      </c>
      <c r="I60" s="14">
        <f t="shared" si="8"/>
        <v>5089.1171360216922</v>
      </c>
      <c r="J60" s="14">
        <f t="shared" si="9"/>
        <v>74904.199295145503</v>
      </c>
      <c r="K60" s="14">
        <f t="shared" si="5"/>
        <v>160643.68286397832</v>
      </c>
      <c r="L60" s="14">
        <f t="shared" si="6"/>
        <v>79993.316431167201</v>
      </c>
    </row>
    <row r="61" spans="1:12" x14ac:dyDescent="0.3">
      <c r="A61">
        <v>56</v>
      </c>
      <c r="B61" s="13">
        <v>46539</v>
      </c>
      <c r="C61" s="14">
        <f t="shared" si="7"/>
        <v>160643.68286397832</v>
      </c>
      <c r="D61" s="14">
        <f t="shared" si="0"/>
        <v>1454.4239351121303</v>
      </c>
      <c r="E61" s="14">
        <f t="shared" si="1"/>
        <v>115.72657791231086</v>
      </c>
      <c r="F61" s="12">
        <f t="shared" si="2"/>
        <v>8.6447154982346799E-3</v>
      </c>
      <c r="G61" s="14">
        <f t="shared" si="3"/>
        <v>1338.6973571998194</v>
      </c>
      <c r="H61" s="12">
        <f t="shared" si="4"/>
        <v>0.1</v>
      </c>
      <c r="I61" s="14">
        <f t="shared" si="8"/>
        <v>5204.8437139340031</v>
      </c>
      <c r="J61" s="14">
        <f t="shared" si="9"/>
        <v>76242.896652345327</v>
      </c>
      <c r="K61" s="14">
        <f t="shared" si="5"/>
        <v>160527.95628606601</v>
      </c>
      <c r="L61" s="14">
        <f t="shared" si="6"/>
        <v>81447.740366279337</v>
      </c>
    </row>
    <row r="62" spans="1:12" x14ac:dyDescent="0.3">
      <c r="A62">
        <v>57</v>
      </c>
      <c r="B62" s="13">
        <v>46569</v>
      </c>
      <c r="C62" s="14">
        <f t="shared" si="7"/>
        <v>160527.95628606601</v>
      </c>
      <c r="D62" s="14">
        <f t="shared" si="0"/>
        <v>1454.4239351121303</v>
      </c>
      <c r="E62" s="14">
        <f t="shared" si="1"/>
        <v>116.69096606158018</v>
      </c>
      <c r="F62" s="12">
        <f t="shared" si="2"/>
        <v>8.7230388097858623E-3</v>
      </c>
      <c r="G62" s="14">
        <f t="shared" si="3"/>
        <v>1337.7329690505501</v>
      </c>
      <c r="H62" s="12">
        <f t="shared" si="4"/>
        <v>0.1</v>
      </c>
      <c r="I62" s="14">
        <f t="shared" si="8"/>
        <v>5321.5346799955832</v>
      </c>
      <c r="J62" s="14">
        <f t="shared" si="9"/>
        <v>77580.62962139587</v>
      </c>
      <c r="K62" s="14">
        <f t="shared" si="5"/>
        <v>160411.26532000443</v>
      </c>
      <c r="L62" s="14">
        <f t="shared" si="6"/>
        <v>82902.164301391458</v>
      </c>
    </row>
    <row r="63" spans="1:12" x14ac:dyDescent="0.3">
      <c r="A63">
        <v>58</v>
      </c>
      <c r="B63" s="13">
        <v>46600</v>
      </c>
      <c r="C63" s="14">
        <f t="shared" si="7"/>
        <v>160411.26532000443</v>
      </c>
      <c r="D63" s="14">
        <f t="shared" si="0"/>
        <v>1454.4239351121303</v>
      </c>
      <c r="E63" s="14">
        <f t="shared" si="1"/>
        <v>117.66339077876</v>
      </c>
      <c r="F63" s="12">
        <f t="shared" si="2"/>
        <v>8.8021292427835386E-3</v>
      </c>
      <c r="G63" s="14">
        <f t="shared" si="3"/>
        <v>1336.7605443333703</v>
      </c>
      <c r="H63" s="12">
        <f t="shared" si="4"/>
        <v>0.1</v>
      </c>
      <c r="I63" s="14">
        <f t="shared" si="8"/>
        <v>5439.1980707743433</v>
      </c>
      <c r="J63" s="14">
        <f t="shared" si="9"/>
        <v>78917.390165729244</v>
      </c>
      <c r="K63" s="14">
        <f t="shared" si="5"/>
        <v>160293.60192922567</v>
      </c>
      <c r="L63" s="14">
        <f t="shared" si="6"/>
        <v>84356.588236503594</v>
      </c>
    </row>
    <row r="64" spans="1:12" x14ac:dyDescent="0.3">
      <c r="A64">
        <v>59</v>
      </c>
      <c r="B64" s="13">
        <v>46631</v>
      </c>
      <c r="C64" s="14">
        <f t="shared" si="7"/>
        <v>160293.60192922567</v>
      </c>
      <c r="D64" s="14">
        <f t="shared" si="0"/>
        <v>1454.4239351121303</v>
      </c>
      <c r="E64" s="14">
        <f t="shared" si="1"/>
        <v>118.64391903524961</v>
      </c>
      <c r="F64" s="12">
        <f t="shared" si="2"/>
        <v>8.8819953590637546E-3</v>
      </c>
      <c r="G64" s="14">
        <f t="shared" si="3"/>
        <v>1335.7800160768807</v>
      </c>
      <c r="H64" s="12">
        <f t="shared" si="4"/>
        <v>0.1</v>
      </c>
      <c r="I64" s="14">
        <f t="shared" si="8"/>
        <v>5557.8419898095926</v>
      </c>
      <c r="J64" s="14">
        <f t="shared" si="9"/>
        <v>80253.170181806126</v>
      </c>
      <c r="K64" s="14">
        <f t="shared" si="5"/>
        <v>160174.95801019043</v>
      </c>
      <c r="L64" s="14">
        <f t="shared" si="6"/>
        <v>85811.012171615715</v>
      </c>
    </row>
    <row r="65" spans="1:12" x14ac:dyDescent="0.3">
      <c r="A65">
        <v>60</v>
      </c>
      <c r="B65" s="13">
        <v>46661</v>
      </c>
      <c r="C65" s="14">
        <f t="shared" si="7"/>
        <v>160174.95801019043</v>
      </c>
      <c r="D65" s="14">
        <f t="shared" si="0"/>
        <v>1454.4239351121303</v>
      </c>
      <c r="E65" s="14">
        <f t="shared" si="1"/>
        <v>119.63261836054335</v>
      </c>
      <c r="F65" s="12">
        <f t="shared" si="2"/>
        <v>8.9626458352821091E-3</v>
      </c>
      <c r="G65" s="14">
        <f t="shared" si="3"/>
        <v>1334.7913167515869</v>
      </c>
      <c r="H65" s="12">
        <f t="shared" si="4"/>
        <v>0.1</v>
      </c>
      <c r="I65" s="14">
        <f t="shared" si="8"/>
        <v>5677.474608170136</v>
      </c>
      <c r="J65" s="14">
        <f t="shared" si="9"/>
        <v>81587.961498557706</v>
      </c>
      <c r="K65" s="14">
        <f t="shared" si="5"/>
        <v>160055.32539182989</v>
      </c>
      <c r="L65" s="14">
        <f t="shared" si="6"/>
        <v>87265.436106727837</v>
      </c>
    </row>
    <row r="66" spans="1:12" x14ac:dyDescent="0.3">
      <c r="A66">
        <v>61</v>
      </c>
      <c r="B66" s="13">
        <v>46692</v>
      </c>
      <c r="C66" s="14">
        <f t="shared" si="7"/>
        <v>160055.32539182989</v>
      </c>
      <c r="D66" s="14">
        <f t="shared" si="0"/>
        <v>1454.4239351121303</v>
      </c>
      <c r="E66" s="14">
        <f t="shared" si="1"/>
        <v>120.62955684688131</v>
      </c>
      <c r="F66" s="12">
        <f t="shared" si="2"/>
        <v>9.0440894648074407E-3</v>
      </c>
      <c r="G66" s="14">
        <f t="shared" si="3"/>
        <v>1333.794378265249</v>
      </c>
      <c r="H66" s="12">
        <f t="shared" si="4"/>
        <v>0.1</v>
      </c>
      <c r="I66" s="14">
        <f t="shared" si="8"/>
        <v>5798.1041650170173</v>
      </c>
      <c r="J66" s="14">
        <f t="shared" si="9"/>
        <v>82921.75587682295</v>
      </c>
      <c r="K66" s="14">
        <f t="shared" si="5"/>
        <v>159934.69583498299</v>
      </c>
      <c r="L66" s="14">
        <f t="shared" si="6"/>
        <v>88719.860041839973</v>
      </c>
    </row>
    <row r="67" spans="1:12" x14ac:dyDescent="0.3">
      <c r="A67">
        <v>62</v>
      </c>
      <c r="B67" s="13">
        <v>46722</v>
      </c>
      <c r="C67" s="14">
        <f t="shared" si="7"/>
        <v>159934.69583498299</v>
      </c>
      <c r="D67" s="14">
        <f t="shared" si="0"/>
        <v>1454.4239351121303</v>
      </c>
      <c r="E67" s="14">
        <f t="shared" si="1"/>
        <v>121.63480315393872</v>
      </c>
      <c r="F67" s="12">
        <f t="shared" si="2"/>
        <v>9.1263351596533194E-3</v>
      </c>
      <c r="G67" s="14">
        <f t="shared" si="3"/>
        <v>1332.7891319581915</v>
      </c>
      <c r="H67" s="12">
        <f t="shared" si="4"/>
        <v>0.1</v>
      </c>
      <c r="I67" s="14">
        <f t="shared" si="8"/>
        <v>5919.7389681709556</v>
      </c>
      <c r="J67" s="14">
        <f t="shared" si="9"/>
        <v>84254.545008781148</v>
      </c>
      <c r="K67" s="14">
        <f t="shared" si="5"/>
        <v>159813.06103182904</v>
      </c>
      <c r="L67" s="14">
        <f t="shared" si="6"/>
        <v>90174.283976952109</v>
      </c>
    </row>
    <row r="68" spans="1:12" x14ac:dyDescent="0.3">
      <c r="A68">
        <v>63</v>
      </c>
      <c r="B68" s="13">
        <v>46753</v>
      </c>
      <c r="C68" s="14">
        <f t="shared" si="7"/>
        <v>159813.06103182904</v>
      </c>
      <c r="D68" s="14">
        <f t="shared" si="0"/>
        <v>1454.4239351121303</v>
      </c>
      <c r="E68" s="14">
        <f t="shared" si="1"/>
        <v>122.64842651355502</v>
      </c>
      <c r="F68" s="12">
        <f t="shared" si="2"/>
        <v>9.2093919524483311E-3</v>
      </c>
      <c r="G68" s="14">
        <f t="shared" si="3"/>
        <v>1331.7755085985752</v>
      </c>
      <c r="H68" s="12">
        <f t="shared" si="4"/>
        <v>0.1</v>
      </c>
      <c r="I68" s="14">
        <f t="shared" si="8"/>
        <v>6042.3873946845106</v>
      </c>
      <c r="J68" s="14">
        <f t="shared" si="9"/>
        <v>85586.320517379718</v>
      </c>
      <c r="K68" s="14">
        <f t="shared" si="5"/>
        <v>159690.41260531548</v>
      </c>
      <c r="L68" s="14">
        <f t="shared" si="6"/>
        <v>91628.70791206423</v>
      </c>
    </row>
    <row r="69" spans="1:12" x14ac:dyDescent="0.3">
      <c r="A69">
        <v>64</v>
      </c>
      <c r="B69" s="13">
        <v>46784</v>
      </c>
      <c r="C69" s="14">
        <f t="shared" si="7"/>
        <v>159690.41260531548</v>
      </c>
      <c r="D69" s="14">
        <f t="shared" si="0"/>
        <v>1454.4239351121303</v>
      </c>
      <c r="E69" s="14">
        <f t="shared" si="1"/>
        <v>123.67049673450128</v>
      </c>
      <c r="F69" s="12">
        <f t="shared" si="2"/>
        <v>9.2932689984459166E-3</v>
      </c>
      <c r="G69" s="14">
        <f t="shared" si="3"/>
        <v>1330.753438377629</v>
      </c>
      <c r="H69" s="12">
        <f t="shared" si="4"/>
        <v>0.1</v>
      </c>
      <c r="I69" s="14">
        <f t="shared" si="8"/>
        <v>6166.0578914190119</v>
      </c>
      <c r="J69" s="14">
        <f t="shared" si="9"/>
        <v>86917.07395575734</v>
      </c>
      <c r="K69" s="14">
        <f t="shared" si="5"/>
        <v>159566.74210858098</v>
      </c>
      <c r="L69" s="14">
        <f t="shared" si="6"/>
        <v>93083.131847176352</v>
      </c>
    </row>
    <row r="70" spans="1:12" x14ac:dyDescent="0.3">
      <c r="A70">
        <v>65</v>
      </c>
      <c r="B70" s="13">
        <v>46813</v>
      </c>
      <c r="C70" s="14">
        <f t="shared" si="7"/>
        <v>159566.74210858098</v>
      </c>
      <c r="D70" s="14">
        <f t="shared" si="0"/>
        <v>1454.4239351121303</v>
      </c>
      <c r="E70" s="14">
        <f t="shared" si="1"/>
        <v>124.70108420728889</v>
      </c>
      <c r="F70" s="12">
        <f t="shared" si="2"/>
        <v>9.3779755775749117E-3</v>
      </c>
      <c r="G70" s="14">
        <f t="shared" si="3"/>
        <v>1329.7228509048414</v>
      </c>
      <c r="H70" s="12">
        <f t="shared" si="4"/>
        <v>0.1</v>
      </c>
      <c r="I70" s="14">
        <f t="shared" si="8"/>
        <v>6290.7589756263005</v>
      </c>
      <c r="J70" s="14">
        <f t="shared" si="9"/>
        <v>88246.796806662183</v>
      </c>
      <c r="K70" s="14">
        <f t="shared" si="5"/>
        <v>159442.0410243737</v>
      </c>
      <c r="L70" s="14">
        <f t="shared" si="6"/>
        <v>94537.555782288488</v>
      </c>
    </row>
    <row r="71" spans="1:12" x14ac:dyDescent="0.3">
      <c r="A71">
        <v>66</v>
      </c>
      <c r="B71" s="13">
        <v>46844</v>
      </c>
      <c r="C71" s="14">
        <f t="shared" si="7"/>
        <v>159442.0410243737</v>
      </c>
      <c r="D71" s="14">
        <f t="shared" ref="D71:D134" si="10">$C$6/((($E$2)-1)/($E$1*$E$2))</f>
        <v>1454.4239351121303</v>
      </c>
      <c r="E71" s="14">
        <f t="shared" ref="E71:E134" si="11">D71-G71</f>
        <v>125.74025990901623</v>
      </c>
      <c r="F71" s="12">
        <f t="shared" ref="F71:F134" si="12">(E71/C71)*12</f>
        <v>9.463521096531459E-3</v>
      </c>
      <c r="G71" s="14">
        <f t="shared" ref="G71:G134" si="13">C71*($B$1/12)</f>
        <v>1328.683675203114</v>
      </c>
      <c r="H71" s="12">
        <f t="shared" ref="H71:H134" si="14">(G71/C71)*12</f>
        <v>0.1</v>
      </c>
      <c r="I71" s="14">
        <f t="shared" si="8"/>
        <v>6416.499235535317</v>
      </c>
      <c r="J71" s="14">
        <f t="shared" si="9"/>
        <v>89575.480481865292</v>
      </c>
      <c r="K71" s="14">
        <f t="shared" ref="K71:K134" si="15">C71-E71</f>
        <v>159316.30076446469</v>
      </c>
      <c r="L71" s="14">
        <f t="shared" ref="L71:L134" si="16">I71+J71</f>
        <v>95991.979717400609</v>
      </c>
    </row>
    <row r="72" spans="1:12" x14ac:dyDescent="0.3">
      <c r="A72">
        <v>67</v>
      </c>
      <c r="B72" s="13">
        <v>46874</v>
      </c>
      <c r="C72" s="14">
        <f t="shared" ref="C72:C135" si="17">K71</f>
        <v>159316.30076446469</v>
      </c>
      <c r="D72" s="14">
        <f t="shared" si="10"/>
        <v>1454.4239351121303</v>
      </c>
      <c r="E72" s="14">
        <f t="shared" si="11"/>
        <v>126.78809540825796</v>
      </c>
      <c r="F72" s="12">
        <f t="shared" si="12"/>
        <v>9.5499150909136264E-3</v>
      </c>
      <c r="G72" s="14">
        <f t="shared" si="13"/>
        <v>1327.6358397038723</v>
      </c>
      <c r="H72" s="12">
        <f t="shared" si="14"/>
        <v>0.1</v>
      </c>
      <c r="I72" s="14">
        <f t="shared" ref="I72:I135" si="18">I71+E72</f>
        <v>6543.2873309435745</v>
      </c>
      <c r="J72" s="14">
        <f t="shared" ref="J72:J135" si="19">J71+G72</f>
        <v>90903.116321569163</v>
      </c>
      <c r="K72" s="14">
        <f t="shared" si="15"/>
        <v>159189.51266905642</v>
      </c>
      <c r="L72" s="14">
        <f t="shared" si="16"/>
        <v>97446.40365251273</v>
      </c>
    </row>
    <row r="73" spans="1:12" x14ac:dyDescent="0.3">
      <c r="A73">
        <v>68</v>
      </c>
      <c r="B73" s="13">
        <v>46905</v>
      </c>
      <c r="C73" s="14">
        <f t="shared" si="17"/>
        <v>159189.51266905642</v>
      </c>
      <c r="D73" s="14">
        <f t="shared" si="10"/>
        <v>1454.4239351121303</v>
      </c>
      <c r="E73" s="14">
        <f t="shared" si="11"/>
        <v>127.8446628699935</v>
      </c>
      <c r="F73" s="12">
        <f t="shared" si="12"/>
        <v>9.6371672273994624E-3</v>
      </c>
      <c r="G73" s="14">
        <f t="shared" si="13"/>
        <v>1326.5792722421368</v>
      </c>
      <c r="H73" s="12">
        <f t="shared" si="14"/>
        <v>0.1</v>
      </c>
      <c r="I73" s="14">
        <f t="shared" si="18"/>
        <v>6671.1319938135675</v>
      </c>
      <c r="J73" s="14">
        <f t="shared" si="19"/>
        <v>92229.695593811295</v>
      </c>
      <c r="K73" s="14">
        <f t="shared" si="15"/>
        <v>159061.66800618643</v>
      </c>
      <c r="L73" s="14">
        <f t="shared" si="16"/>
        <v>98900.827587624866</v>
      </c>
    </row>
    <row r="74" spans="1:12" x14ac:dyDescent="0.3">
      <c r="A74">
        <v>69</v>
      </c>
      <c r="B74" s="13">
        <v>46935</v>
      </c>
      <c r="C74" s="14">
        <f t="shared" si="17"/>
        <v>159061.66800618643</v>
      </c>
      <c r="D74" s="14">
        <f t="shared" si="10"/>
        <v>1454.4239351121303</v>
      </c>
      <c r="E74" s="14">
        <f t="shared" si="11"/>
        <v>128.91003506057677</v>
      </c>
      <c r="F74" s="12">
        <f t="shared" si="12"/>
        <v>9.7252873059696342E-3</v>
      </c>
      <c r="G74" s="14">
        <f t="shared" si="13"/>
        <v>1325.5139000515535</v>
      </c>
      <c r="H74" s="12">
        <f t="shared" si="14"/>
        <v>0.1</v>
      </c>
      <c r="I74" s="14">
        <f t="shared" si="18"/>
        <v>6800.0420288741443</v>
      </c>
      <c r="J74" s="14">
        <f t="shared" si="19"/>
        <v>93555.209493862843</v>
      </c>
      <c r="K74" s="14">
        <f t="shared" si="15"/>
        <v>158932.75797112586</v>
      </c>
      <c r="L74" s="14">
        <f t="shared" si="16"/>
        <v>100355.25152273699</v>
      </c>
    </row>
    <row r="75" spans="1:12" x14ac:dyDescent="0.3">
      <c r="A75">
        <v>70</v>
      </c>
      <c r="B75" s="13">
        <v>46966</v>
      </c>
      <c r="C75" s="14">
        <f t="shared" si="17"/>
        <v>158932.75797112586</v>
      </c>
      <c r="D75" s="14">
        <f t="shared" si="10"/>
        <v>1454.4239351121303</v>
      </c>
      <c r="E75" s="14">
        <f t="shared" si="11"/>
        <v>129.9842853527482</v>
      </c>
      <c r="F75" s="12">
        <f t="shared" si="12"/>
        <v>9.8142852621758286E-3</v>
      </c>
      <c r="G75" s="14">
        <f t="shared" si="13"/>
        <v>1324.4396497593821</v>
      </c>
      <c r="H75" s="12">
        <f t="shared" si="14"/>
        <v>0.1</v>
      </c>
      <c r="I75" s="14">
        <f t="shared" si="18"/>
        <v>6930.0263142268923</v>
      </c>
      <c r="J75" s="14">
        <f t="shared" si="19"/>
        <v>94879.649143622228</v>
      </c>
      <c r="K75" s="14">
        <f t="shared" si="15"/>
        <v>158802.77368577311</v>
      </c>
      <c r="L75" s="14">
        <f t="shared" si="16"/>
        <v>101809.67545784912</v>
      </c>
    </row>
    <row r="76" spans="1:12" x14ac:dyDescent="0.3">
      <c r="A76">
        <v>71</v>
      </c>
      <c r="B76" s="13">
        <v>46997</v>
      </c>
      <c r="C76" s="14">
        <f t="shared" si="17"/>
        <v>158802.77368577311</v>
      </c>
      <c r="D76" s="14">
        <f t="shared" si="10"/>
        <v>1454.4239351121303</v>
      </c>
      <c r="E76" s="14">
        <f t="shared" si="11"/>
        <v>131.06748773068762</v>
      </c>
      <c r="F76" s="12">
        <f t="shared" si="12"/>
        <v>9.9041711694558207E-3</v>
      </c>
      <c r="G76" s="14">
        <f t="shared" si="13"/>
        <v>1323.3564473814426</v>
      </c>
      <c r="H76" s="12">
        <f t="shared" si="14"/>
        <v>0.1</v>
      </c>
      <c r="I76" s="14">
        <f t="shared" si="18"/>
        <v>7061.0938019575797</v>
      </c>
      <c r="J76" s="14">
        <f t="shared" si="19"/>
        <v>96203.005591003675</v>
      </c>
      <c r="K76" s="14">
        <f t="shared" si="15"/>
        <v>158671.70619804243</v>
      </c>
      <c r="L76" s="14">
        <f t="shared" si="16"/>
        <v>103264.09939296126</v>
      </c>
    </row>
    <row r="77" spans="1:12" x14ac:dyDescent="0.3">
      <c r="A77">
        <v>72</v>
      </c>
      <c r="B77" s="13">
        <v>47027</v>
      </c>
      <c r="C77" s="14">
        <f t="shared" si="17"/>
        <v>158671.70619804243</v>
      </c>
      <c r="D77" s="14">
        <f t="shared" si="10"/>
        <v>1454.4239351121303</v>
      </c>
      <c r="E77" s="14">
        <f t="shared" si="11"/>
        <v>132.15971679510994</v>
      </c>
      <c r="F77" s="12">
        <f t="shared" si="12"/>
        <v>9.9949552414965153E-3</v>
      </c>
      <c r="G77" s="14">
        <f t="shared" si="13"/>
        <v>1322.2642183170203</v>
      </c>
      <c r="H77" s="12">
        <f t="shared" si="14"/>
        <v>0.1</v>
      </c>
      <c r="I77" s="14">
        <f t="shared" si="18"/>
        <v>7193.2535187526901</v>
      </c>
      <c r="J77" s="14">
        <f t="shared" si="19"/>
        <v>97525.2698093207</v>
      </c>
      <c r="K77" s="14">
        <f t="shared" si="15"/>
        <v>158539.54648124732</v>
      </c>
      <c r="L77" s="14">
        <f t="shared" si="16"/>
        <v>104718.5233280734</v>
      </c>
    </row>
    <row r="78" spans="1:12" x14ac:dyDescent="0.3">
      <c r="A78">
        <v>73</v>
      </c>
      <c r="B78" s="13">
        <v>47058</v>
      </c>
      <c r="C78" s="14">
        <f t="shared" si="17"/>
        <v>158539.54648124732</v>
      </c>
      <c r="D78" s="14">
        <f t="shared" si="10"/>
        <v>1454.4239351121303</v>
      </c>
      <c r="E78" s="14">
        <f t="shared" si="11"/>
        <v>133.2610477684027</v>
      </c>
      <c r="F78" s="12">
        <f t="shared" si="12"/>
        <v>1.0086647834646002E-2</v>
      </c>
      <c r="G78" s="14">
        <f t="shared" si="13"/>
        <v>1321.1628873437276</v>
      </c>
      <c r="H78" s="12">
        <f t="shared" si="14"/>
        <v>0.1</v>
      </c>
      <c r="I78" s="14">
        <f t="shared" si="18"/>
        <v>7326.514566521093</v>
      </c>
      <c r="J78" s="14">
        <f t="shared" si="19"/>
        <v>98846.432696664429</v>
      </c>
      <c r="K78" s="14">
        <f t="shared" si="15"/>
        <v>158406.28543347892</v>
      </c>
      <c r="L78" s="14">
        <f t="shared" si="16"/>
        <v>106172.94726318552</v>
      </c>
    </row>
    <row r="79" spans="1:12" x14ac:dyDescent="0.3">
      <c r="A79">
        <v>74</v>
      </c>
      <c r="B79" s="13">
        <v>47088</v>
      </c>
      <c r="C79" s="14">
        <f t="shared" si="17"/>
        <v>158406.28543347892</v>
      </c>
      <c r="D79" s="14">
        <f t="shared" si="10"/>
        <v>1454.4239351121303</v>
      </c>
      <c r="E79" s="14">
        <f t="shared" si="11"/>
        <v>134.37155649980605</v>
      </c>
      <c r="F79" s="12">
        <f t="shared" si="12"/>
        <v>1.0179259450375837E-2</v>
      </c>
      <c r="G79" s="14">
        <f t="shared" si="13"/>
        <v>1320.0523786123242</v>
      </c>
      <c r="H79" s="12">
        <f t="shared" si="14"/>
        <v>0.1</v>
      </c>
      <c r="I79" s="14">
        <f t="shared" si="18"/>
        <v>7460.8861230208986</v>
      </c>
      <c r="J79" s="14">
        <f t="shared" si="19"/>
        <v>100166.48507527675</v>
      </c>
      <c r="K79" s="14">
        <f t="shared" si="15"/>
        <v>158271.91387697912</v>
      </c>
      <c r="L79" s="14">
        <f t="shared" si="16"/>
        <v>107627.37119829765</v>
      </c>
    </row>
    <row r="80" spans="1:12" x14ac:dyDescent="0.3">
      <c r="A80">
        <v>75</v>
      </c>
      <c r="B80" s="13">
        <v>47119</v>
      </c>
      <c r="C80" s="14">
        <f t="shared" si="17"/>
        <v>158271.91387697912</v>
      </c>
      <c r="D80" s="14">
        <f t="shared" si="10"/>
        <v>1454.4239351121303</v>
      </c>
      <c r="E80" s="14">
        <f t="shared" si="11"/>
        <v>135.49131947063756</v>
      </c>
      <c r="F80" s="12">
        <f t="shared" si="12"/>
        <v>1.0272800737794956E-2</v>
      </c>
      <c r="G80" s="14">
        <f t="shared" si="13"/>
        <v>1318.9326156414927</v>
      </c>
      <c r="H80" s="12">
        <f t="shared" si="14"/>
        <v>0.1</v>
      </c>
      <c r="I80" s="14">
        <f t="shared" si="18"/>
        <v>7596.3774424915364</v>
      </c>
      <c r="J80" s="14">
        <f t="shared" si="19"/>
        <v>101485.41769091824</v>
      </c>
      <c r="K80" s="14">
        <f t="shared" si="15"/>
        <v>158136.42255750849</v>
      </c>
      <c r="L80" s="14">
        <f t="shared" si="16"/>
        <v>109081.79513340977</v>
      </c>
    </row>
    <row r="81" spans="1:12" x14ac:dyDescent="0.3">
      <c r="A81">
        <v>76</v>
      </c>
      <c r="B81" s="13">
        <v>47150</v>
      </c>
      <c r="C81" s="14">
        <f t="shared" si="17"/>
        <v>158136.42255750849</v>
      </c>
      <c r="D81" s="14">
        <f t="shared" si="10"/>
        <v>1454.4239351121303</v>
      </c>
      <c r="E81" s="14">
        <f t="shared" si="11"/>
        <v>136.62041379955963</v>
      </c>
      <c r="F81" s="12">
        <f t="shared" si="12"/>
        <v>1.0367282496216258E-2</v>
      </c>
      <c r="G81" s="14">
        <f t="shared" si="13"/>
        <v>1317.8035213125706</v>
      </c>
      <c r="H81" s="12">
        <f t="shared" si="14"/>
        <v>0.1</v>
      </c>
      <c r="I81" s="14">
        <f t="shared" si="18"/>
        <v>7732.9978562910965</v>
      </c>
      <c r="J81" s="14">
        <f t="shared" si="19"/>
        <v>102803.22121223081</v>
      </c>
      <c r="K81" s="14">
        <f t="shared" si="15"/>
        <v>157999.80214370892</v>
      </c>
      <c r="L81" s="14">
        <f t="shared" si="16"/>
        <v>110536.21906852191</v>
      </c>
    </row>
    <row r="82" spans="1:12" x14ac:dyDescent="0.3">
      <c r="A82">
        <v>77</v>
      </c>
      <c r="B82" s="13">
        <v>47178</v>
      </c>
      <c r="C82" s="14">
        <f t="shared" si="17"/>
        <v>157999.80214370892</v>
      </c>
      <c r="D82" s="14">
        <f t="shared" si="10"/>
        <v>1454.4239351121303</v>
      </c>
      <c r="E82" s="14">
        <f t="shared" si="11"/>
        <v>137.75891724788926</v>
      </c>
      <c r="F82" s="12">
        <f t="shared" si="12"/>
        <v>1.046271567777715E-2</v>
      </c>
      <c r="G82" s="14">
        <f t="shared" si="13"/>
        <v>1316.665017864241</v>
      </c>
      <c r="H82" s="12">
        <f t="shared" si="14"/>
        <v>0.1</v>
      </c>
      <c r="I82" s="14">
        <f t="shared" si="18"/>
        <v>7870.7567735389857</v>
      </c>
      <c r="J82" s="14">
        <f t="shared" si="19"/>
        <v>104119.88623009506</v>
      </c>
      <c r="K82" s="14">
        <f t="shared" si="15"/>
        <v>157862.04322646104</v>
      </c>
      <c r="L82" s="14">
        <f t="shared" si="16"/>
        <v>111990.64300363405</v>
      </c>
    </row>
    <row r="83" spans="1:12" x14ac:dyDescent="0.3">
      <c r="A83">
        <v>78</v>
      </c>
      <c r="B83" s="13">
        <v>47209</v>
      </c>
      <c r="C83" s="14">
        <f t="shared" si="17"/>
        <v>157862.04322646104</v>
      </c>
      <c r="D83" s="14">
        <f t="shared" si="10"/>
        <v>1454.4239351121303</v>
      </c>
      <c r="E83" s="14">
        <f t="shared" si="11"/>
        <v>138.90690822495503</v>
      </c>
      <c r="F83" s="12">
        <f t="shared" si="12"/>
        <v>1.0559111390115691E-2</v>
      </c>
      <c r="G83" s="14">
        <f t="shared" si="13"/>
        <v>1315.5170268871752</v>
      </c>
      <c r="H83" s="12">
        <f t="shared" si="14"/>
        <v>0.1</v>
      </c>
      <c r="I83" s="14">
        <f t="shared" si="18"/>
        <v>8009.663681763941</v>
      </c>
      <c r="J83" s="14">
        <f t="shared" si="19"/>
        <v>105435.40325698223</v>
      </c>
      <c r="K83" s="14">
        <f t="shared" si="15"/>
        <v>157723.13631823609</v>
      </c>
      <c r="L83" s="14">
        <f t="shared" si="16"/>
        <v>113445.06693874617</v>
      </c>
    </row>
    <row r="84" spans="1:12" x14ac:dyDescent="0.3">
      <c r="A84">
        <v>79</v>
      </c>
      <c r="B84" s="13">
        <v>47239</v>
      </c>
      <c r="C84" s="14">
        <f t="shared" si="17"/>
        <v>157723.13631823609</v>
      </c>
      <c r="D84" s="14">
        <f t="shared" si="10"/>
        <v>1454.4239351121303</v>
      </c>
      <c r="E84" s="14">
        <f t="shared" si="11"/>
        <v>140.06446579349608</v>
      </c>
      <c r="F84" s="12">
        <f t="shared" si="12"/>
        <v>1.0656480899103326E-2</v>
      </c>
      <c r="G84" s="14">
        <f t="shared" si="13"/>
        <v>1314.3594693186342</v>
      </c>
      <c r="H84" s="12">
        <f t="shared" si="14"/>
        <v>0.1</v>
      </c>
      <c r="I84" s="14">
        <f t="shared" si="18"/>
        <v>8149.7281475574373</v>
      </c>
      <c r="J84" s="14">
        <f t="shared" si="19"/>
        <v>106749.76272630086</v>
      </c>
      <c r="K84" s="14">
        <f t="shared" si="15"/>
        <v>157583.0718524426</v>
      </c>
      <c r="L84" s="14">
        <f t="shared" si="16"/>
        <v>114899.4908738583</v>
      </c>
    </row>
    <row r="85" spans="1:12" x14ac:dyDescent="0.3">
      <c r="A85">
        <v>80</v>
      </c>
      <c r="B85" s="13">
        <v>47270</v>
      </c>
      <c r="C85" s="14">
        <f t="shared" si="17"/>
        <v>157583.0718524426</v>
      </c>
      <c r="D85" s="14">
        <f t="shared" si="10"/>
        <v>1454.4239351121303</v>
      </c>
      <c r="E85" s="14">
        <f t="shared" si="11"/>
        <v>141.23166967510861</v>
      </c>
      <c r="F85" s="12">
        <f t="shared" si="12"/>
        <v>1.0754835631635984E-2</v>
      </c>
      <c r="G85" s="14">
        <f t="shared" si="13"/>
        <v>1313.1922654370217</v>
      </c>
      <c r="H85" s="12">
        <f t="shared" si="14"/>
        <v>0.1</v>
      </c>
      <c r="I85" s="14">
        <f t="shared" si="18"/>
        <v>8290.9598172325459</v>
      </c>
      <c r="J85" s="14">
        <f t="shared" si="19"/>
        <v>108062.95499173789</v>
      </c>
      <c r="K85" s="14">
        <f t="shared" si="15"/>
        <v>157441.84018276748</v>
      </c>
      <c r="L85" s="14">
        <f t="shared" si="16"/>
        <v>116353.91480897044</v>
      </c>
    </row>
    <row r="86" spans="1:12" x14ac:dyDescent="0.3">
      <c r="A86">
        <v>81</v>
      </c>
      <c r="B86" s="13">
        <v>47300</v>
      </c>
      <c r="C86" s="14">
        <f t="shared" si="17"/>
        <v>157441.84018276748</v>
      </c>
      <c r="D86" s="14">
        <f t="shared" si="10"/>
        <v>1454.4239351121303</v>
      </c>
      <c r="E86" s="14">
        <f t="shared" si="11"/>
        <v>142.40860025573465</v>
      </c>
      <c r="F86" s="12">
        <f t="shared" si="12"/>
        <v>1.0854187178484598E-2</v>
      </c>
      <c r="G86" s="14">
        <f t="shared" si="13"/>
        <v>1312.0153348563956</v>
      </c>
      <c r="H86" s="12">
        <f t="shared" si="14"/>
        <v>0.1</v>
      </c>
      <c r="I86" s="14">
        <f t="shared" si="18"/>
        <v>8433.3684174882801</v>
      </c>
      <c r="J86" s="14">
        <f t="shared" si="19"/>
        <v>109374.97032659428</v>
      </c>
      <c r="K86" s="14">
        <f t="shared" si="15"/>
        <v>157299.43158251175</v>
      </c>
      <c r="L86" s="14">
        <f t="shared" si="16"/>
        <v>117808.33874408256</v>
      </c>
    </row>
    <row r="87" spans="1:12" x14ac:dyDescent="0.3">
      <c r="A87">
        <v>82</v>
      </c>
      <c r="B87" s="13">
        <v>47331</v>
      </c>
      <c r="C87" s="14">
        <f t="shared" si="17"/>
        <v>157299.43158251175</v>
      </c>
      <c r="D87" s="14">
        <f t="shared" si="10"/>
        <v>1454.4239351121303</v>
      </c>
      <c r="E87" s="14">
        <f t="shared" si="11"/>
        <v>143.59533859119892</v>
      </c>
      <c r="F87" s="12">
        <f t="shared" si="12"/>
        <v>1.0954547297206909E-2</v>
      </c>
      <c r="G87" s="14">
        <f t="shared" si="13"/>
        <v>1310.8285965209313</v>
      </c>
      <c r="H87" s="12">
        <f t="shared" si="14"/>
        <v>0.1</v>
      </c>
      <c r="I87" s="14">
        <f t="shared" si="18"/>
        <v>8576.9637560794799</v>
      </c>
      <c r="J87" s="14">
        <f t="shared" si="19"/>
        <v>110685.79892311522</v>
      </c>
      <c r="K87" s="14">
        <f t="shared" si="15"/>
        <v>157155.83624392055</v>
      </c>
      <c r="L87" s="14">
        <f t="shared" si="16"/>
        <v>119262.7626791947</v>
      </c>
    </row>
    <row r="88" spans="1:12" x14ac:dyDescent="0.3">
      <c r="A88">
        <v>83</v>
      </c>
      <c r="B88" s="13">
        <v>47362</v>
      </c>
      <c r="C88" s="14">
        <f t="shared" si="17"/>
        <v>157155.83624392055</v>
      </c>
      <c r="D88" s="14">
        <f t="shared" si="10"/>
        <v>1454.4239351121303</v>
      </c>
      <c r="E88" s="14">
        <f t="shared" si="11"/>
        <v>144.79196641279236</v>
      </c>
      <c r="F88" s="12">
        <f t="shared" si="12"/>
        <v>1.1055927915122034E-2</v>
      </c>
      <c r="G88" s="14">
        <f t="shared" si="13"/>
        <v>1309.6319686993379</v>
      </c>
      <c r="H88" s="12">
        <f t="shared" si="14"/>
        <v>0.1</v>
      </c>
      <c r="I88" s="14">
        <f t="shared" si="18"/>
        <v>8721.755722492273</v>
      </c>
      <c r="J88" s="14">
        <f t="shared" si="19"/>
        <v>111995.43089181455</v>
      </c>
      <c r="K88" s="14">
        <f t="shared" si="15"/>
        <v>157011.04427750775</v>
      </c>
      <c r="L88" s="14">
        <f t="shared" si="16"/>
        <v>120717.18661430683</v>
      </c>
    </row>
    <row r="89" spans="1:12" x14ac:dyDescent="0.3">
      <c r="A89">
        <v>84</v>
      </c>
      <c r="B89" s="13">
        <v>47392</v>
      </c>
      <c r="C89" s="14">
        <f t="shared" si="17"/>
        <v>157011.04427750775</v>
      </c>
      <c r="D89" s="14">
        <f t="shared" si="10"/>
        <v>1454.4239351121303</v>
      </c>
      <c r="E89" s="14">
        <f t="shared" si="11"/>
        <v>145.99856613289899</v>
      </c>
      <c r="F89" s="12">
        <f t="shared" si="12"/>
        <v>1.1158341132349019E-2</v>
      </c>
      <c r="G89" s="14">
        <f t="shared" si="13"/>
        <v>1308.4253689792313</v>
      </c>
      <c r="H89" s="12">
        <f t="shared" si="14"/>
        <v>0.1</v>
      </c>
      <c r="I89" s="14">
        <f t="shared" si="18"/>
        <v>8867.7542886251722</v>
      </c>
      <c r="J89" s="14">
        <f t="shared" si="19"/>
        <v>113303.85626079378</v>
      </c>
      <c r="K89" s="14">
        <f t="shared" si="15"/>
        <v>156865.04571137484</v>
      </c>
      <c r="L89" s="14">
        <f t="shared" si="16"/>
        <v>122171.61054941895</v>
      </c>
    </row>
    <row r="90" spans="1:12" x14ac:dyDescent="0.3">
      <c r="A90">
        <v>85</v>
      </c>
      <c r="B90" s="13">
        <v>47423</v>
      </c>
      <c r="C90" s="14">
        <f t="shared" si="17"/>
        <v>156865.04571137484</v>
      </c>
      <c r="D90" s="14">
        <f t="shared" si="10"/>
        <v>1454.4239351121303</v>
      </c>
      <c r="E90" s="14">
        <f t="shared" si="11"/>
        <v>147.21522085067318</v>
      </c>
      <c r="F90" s="12">
        <f t="shared" si="12"/>
        <v>1.1261799224911564E-2</v>
      </c>
      <c r="G90" s="14">
        <f t="shared" si="13"/>
        <v>1307.2087142614571</v>
      </c>
      <c r="H90" s="12">
        <f t="shared" si="14"/>
        <v>0.1</v>
      </c>
      <c r="I90" s="14">
        <f t="shared" si="18"/>
        <v>9014.9695094758463</v>
      </c>
      <c r="J90" s="14">
        <f t="shared" si="19"/>
        <v>114611.06497505524</v>
      </c>
      <c r="K90" s="14">
        <f t="shared" si="15"/>
        <v>156717.83049052418</v>
      </c>
      <c r="L90" s="14">
        <f t="shared" si="16"/>
        <v>123626.03448453109</v>
      </c>
    </row>
    <row r="91" spans="1:12" x14ac:dyDescent="0.3">
      <c r="A91">
        <v>86</v>
      </c>
      <c r="B91" s="13">
        <v>47453</v>
      </c>
      <c r="C91" s="14">
        <f t="shared" si="17"/>
        <v>156717.83049052418</v>
      </c>
      <c r="D91" s="14">
        <f t="shared" si="10"/>
        <v>1454.4239351121303</v>
      </c>
      <c r="E91" s="14">
        <f t="shared" si="11"/>
        <v>148.44201435776199</v>
      </c>
      <c r="F91" s="12">
        <f t="shared" si="12"/>
        <v>1.1366314647910145E-2</v>
      </c>
      <c r="G91" s="14">
        <f t="shared" si="13"/>
        <v>1305.9819207543683</v>
      </c>
      <c r="H91" s="12">
        <f t="shared" si="14"/>
        <v>0.1</v>
      </c>
      <c r="I91" s="14">
        <f t="shared" si="18"/>
        <v>9163.411523833609</v>
      </c>
      <c r="J91" s="14">
        <f t="shared" si="19"/>
        <v>115917.0468958096</v>
      </c>
      <c r="K91" s="14">
        <f t="shared" si="15"/>
        <v>156569.38847616641</v>
      </c>
      <c r="L91" s="14">
        <f t="shared" si="16"/>
        <v>125080.45841964321</v>
      </c>
    </row>
    <row r="92" spans="1:12" x14ac:dyDescent="0.3">
      <c r="A92">
        <v>87</v>
      </c>
      <c r="B92" s="13">
        <v>47484</v>
      </c>
      <c r="C92" s="14">
        <f t="shared" si="17"/>
        <v>156569.38847616641</v>
      </c>
      <c r="D92" s="14">
        <f t="shared" si="10"/>
        <v>1454.4239351121303</v>
      </c>
      <c r="E92" s="14">
        <f t="shared" si="11"/>
        <v>149.67903114407682</v>
      </c>
      <c r="F92" s="12">
        <f t="shared" si="12"/>
        <v>1.1471900038763569E-2</v>
      </c>
      <c r="G92" s="14">
        <f t="shared" si="13"/>
        <v>1304.7449039680534</v>
      </c>
      <c r="H92" s="12">
        <f t="shared" si="14"/>
        <v>0.1</v>
      </c>
      <c r="I92" s="14">
        <f t="shared" si="18"/>
        <v>9313.0905549776853</v>
      </c>
      <c r="J92" s="14">
        <f t="shared" si="19"/>
        <v>117221.79179977765</v>
      </c>
      <c r="K92" s="14">
        <f t="shared" si="15"/>
        <v>156419.70944502234</v>
      </c>
      <c r="L92" s="14">
        <f t="shared" si="16"/>
        <v>126534.88235475533</v>
      </c>
    </row>
    <row r="93" spans="1:12" x14ac:dyDescent="0.3">
      <c r="A93">
        <v>88</v>
      </c>
      <c r="B93" s="13">
        <v>47515</v>
      </c>
      <c r="C93" s="14">
        <f t="shared" si="17"/>
        <v>156419.70944502234</v>
      </c>
      <c r="D93" s="14">
        <f t="shared" si="10"/>
        <v>1454.4239351121303</v>
      </c>
      <c r="E93" s="14">
        <f t="shared" si="11"/>
        <v>150.92635640361073</v>
      </c>
      <c r="F93" s="12">
        <f t="shared" si="12"/>
        <v>1.1578568220521413E-2</v>
      </c>
      <c r="G93" s="14">
        <f t="shared" si="13"/>
        <v>1303.4975787085195</v>
      </c>
      <c r="H93" s="12">
        <f t="shared" si="14"/>
        <v>0.1</v>
      </c>
      <c r="I93" s="14">
        <f t="shared" si="18"/>
        <v>9464.0169113812954</v>
      </c>
      <c r="J93" s="14">
        <f t="shared" si="19"/>
        <v>118525.28937848617</v>
      </c>
      <c r="K93" s="14">
        <f t="shared" si="15"/>
        <v>156268.78308861871</v>
      </c>
      <c r="L93" s="14">
        <f t="shared" si="16"/>
        <v>127989.30628986747</v>
      </c>
    </row>
    <row r="94" spans="1:12" x14ac:dyDescent="0.3">
      <c r="A94">
        <v>89</v>
      </c>
      <c r="B94" s="13">
        <v>47543</v>
      </c>
      <c r="C94" s="14">
        <f t="shared" si="17"/>
        <v>156268.78308861871</v>
      </c>
      <c r="D94" s="14">
        <f t="shared" si="10"/>
        <v>1454.4239351121303</v>
      </c>
      <c r="E94" s="14">
        <f t="shared" si="11"/>
        <v>152.18407604030767</v>
      </c>
      <c r="F94" s="12">
        <f t="shared" si="12"/>
        <v>1.168633220524962E-2</v>
      </c>
      <c r="G94" s="14">
        <f t="shared" si="13"/>
        <v>1302.2398590718226</v>
      </c>
      <c r="H94" s="12">
        <f t="shared" si="14"/>
        <v>0.1</v>
      </c>
      <c r="I94" s="14">
        <f t="shared" si="18"/>
        <v>9616.2009874216037</v>
      </c>
      <c r="J94" s="14">
        <f t="shared" si="19"/>
        <v>119827.52923755799</v>
      </c>
      <c r="K94" s="14">
        <f t="shared" si="15"/>
        <v>156116.5990125784</v>
      </c>
      <c r="L94" s="14">
        <f t="shared" si="16"/>
        <v>129443.73022497959</v>
      </c>
    </row>
    <row r="95" spans="1:12" x14ac:dyDescent="0.3">
      <c r="A95">
        <v>90</v>
      </c>
      <c r="B95" s="13">
        <v>47574</v>
      </c>
      <c r="C95" s="14">
        <f t="shared" si="17"/>
        <v>156116.5990125784</v>
      </c>
      <c r="D95" s="14">
        <f t="shared" si="10"/>
        <v>1454.4239351121303</v>
      </c>
      <c r="E95" s="14">
        <f t="shared" si="11"/>
        <v>153.45227667397694</v>
      </c>
      <c r="F95" s="12">
        <f t="shared" si="12"/>
        <v>1.1795205197490617E-2</v>
      </c>
      <c r="G95" s="14">
        <f t="shared" si="13"/>
        <v>1300.9716584381533</v>
      </c>
      <c r="H95" s="12">
        <f t="shared" si="14"/>
        <v>0.1</v>
      </c>
      <c r="I95" s="14">
        <f t="shared" si="18"/>
        <v>9769.6532640955811</v>
      </c>
      <c r="J95" s="14">
        <f t="shared" si="19"/>
        <v>121128.50089599614</v>
      </c>
      <c r="K95" s="14">
        <f t="shared" si="15"/>
        <v>155963.14673590442</v>
      </c>
      <c r="L95" s="14">
        <f t="shared" si="16"/>
        <v>130898.15416009173</v>
      </c>
    </row>
    <row r="96" spans="1:12" x14ac:dyDescent="0.3">
      <c r="A96">
        <v>91</v>
      </c>
      <c r="B96" s="13">
        <v>47604</v>
      </c>
      <c r="C96" s="14">
        <f t="shared" si="17"/>
        <v>155963.14673590442</v>
      </c>
      <c r="D96" s="14">
        <f t="shared" si="10"/>
        <v>1454.4239351121303</v>
      </c>
      <c r="E96" s="14">
        <f t="shared" si="11"/>
        <v>154.7310456462601</v>
      </c>
      <c r="F96" s="12">
        <f t="shared" si="12"/>
        <v>1.1905200597800401E-2</v>
      </c>
      <c r="G96" s="14">
        <f t="shared" si="13"/>
        <v>1299.6928894658702</v>
      </c>
      <c r="H96" s="12">
        <f t="shared" si="14"/>
        <v>0.1</v>
      </c>
      <c r="I96" s="14">
        <f t="shared" si="18"/>
        <v>9924.3843097418412</v>
      </c>
      <c r="J96" s="14">
        <f t="shared" si="19"/>
        <v>122428.193785462</v>
      </c>
      <c r="K96" s="14">
        <f t="shared" si="15"/>
        <v>155808.41569025815</v>
      </c>
      <c r="L96" s="14">
        <f t="shared" si="16"/>
        <v>132352.57809520385</v>
      </c>
    </row>
    <row r="97" spans="1:12" x14ac:dyDescent="0.3">
      <c r="A97">
        <v>92</v>
      </c>
      <c r="B97" s="13">
        <v>47635</v>
      </c>
      <c r="C97" s="14">
        <f t="shared" si="17"/>
        <v>155808.41569025815</v>
      </c>
      <c r="D97" s="14">
        <f t="shared" si="10"/>
        <v>1454.4239351121303</v>
      </c>
      <c r="E97" s="14">
        <f t="shared" si="11"/>
        <v>156.02047102664574</v>
      </c>
      <c r="F97" s="12">
        <f t="shared" si="12"/>
        <v>1.2016332006364212E-2</v>
      </c>
      <c r="G97" s="14">
        <f t="shared" si="13"/>
        <v>1298.4034640854845</v>
      </c>
      <c r="H97" s="12">
        <f t="shared" si="14"/>
        <v>0.1</v>
      </c>
      <c r="I97" s="14">
        <f t="shared" si="18"/>
        <v>10080.404780768487</v>
      </c>
      <c r="J97" s="14">
        <f t="shared" si="19"/>
        <v>123726.59724954749</v>
      </c>
      <c r="K97" s="14">
        <f t="shared" si="15"/>
        <v>155652.39521923149</v>
      </c>
      <c r="L97" s="14">
        <f t="shared" si="16"/>
        <v>133807.00203031598</v>
      </c>
    </row>
    <row r="98" spans="1:12" x14ac:dyDescent="0.3">
      <c r="A98">
        <v>93</v>
      </c>
      <c r="B98" s="13">
        <v>47665</v>
      </c>
      <c r="C98" s="14">
        <f t="shared" si="17"/>
        <v>155652.39521923149</v>
      </c>
      <c r="D98" s="14">
        <f t="shared" si="10"/>
        <v>1454.4239351121303</v>
      </c>
      <c r="E98" s="14">
        <f t="shared" si="11"/>
        <v>157.32064161853464</v>
      </c>
      <c r="F98" s="12">
        <f t="shared" si="12"/>
        <v>1.2128613226692991E-2</v>
      </c>
      <c r="G98" s="14">
        <f t="shared" si="13"/>
        <v>1297.1032934935956</v>
      </c>
      <c r="H98" s="12">
        <f t="shared" si="14"/>
        <v>0.1</v>
      </c>
      <c r="I98" s="14">
        <f t="shared" si="18"/>
        <v>10237.725422387022</v>
      </c>
      <c r="J98" s="14">
        <f t="shared" si="19"/>
        <v>125023.70054304108</v>
      </c>
      <c r="K98" s="14">
        <f t="shared" si="15"/>
        <v>155495.07457761295</v>
      </c>
      <c r="L98" s="14">
        <f t="shared" si="16"/>
        <v>135261.42596542809</v>
      </c>
    </row>
    <row r="99" spans="1:12" x14ac:dyDescent="0.3">
      <c r="A99">
        <v>94</v>
      </c>
      <c r="B99" s="13">
        <v>47696</v>
      </c>
      <c r="C99" s="14">
        <f t="shared" si="17"/>
        <v>155495.07457761295</v>
      </c>
      <c r="D99" s="14">
        <f t="shared" si="10"/>
        <v>1454.4239351121303</v>
      </c>
      <c r="E99" s="14">
        <f t="shared" si="11"/>
        <v>158.63164696535569</v>
      </c>
      <c r="F99" s="12">
        <f t="shared" si="12"/>
        <v>1.2242058269402778E-2</v>
      </c>
      <c r="G99" s="14">
        <f t="shared" si="13"/>
        <v>1295.7922881467746</v>
      </c>
      <c r="H99" s="12">
        <f t="shared" si="14"/>
        <v>0.1</v>
      </c>
      <c r="I99" s="14">
        <f t="shared" si="18"/>
        <v>10396.357069352378</v>
      </c>
      <c r="J99" s="14">
        <f t="shared" si="19"/>
        <v>126319.49283118785</v>
      </c>
      <c r="K99" s="14">
        <f t="shared" si="15"/>
        <v>155336.44293064758</v>
      </c>
      <c r="L99" s="14">
        <f t="shared" si="16"/>
        <v>136715.84990054023</v>
      </c>
    </row>
    <row r="100" spans="1:12" x14ac:dyDescent="0.3">
      <c r="A100">
        <v>95</v>
      </c>
      <c r="B100" s="13">
        <v>47727</v>
      </c>
      <c r="C100" s="14">
        <f t="shared" si="17"/>
        <v>155336.44293064758</v>
      </c>
      <c r="D100" s="14">
        <f t="shared" si="10"/>
        <v>1454.4239351121303</v>
      </c>
      <c r="E100" s="14">
        <f t="shared" si="11"/>
        <v>159.95357735673383</v>
      </c>
      <c r="F100" s="12">
        <f t="shared" si="12"/>
        <v>1.235668135607928E-2</v>
      </c>
      <c r="G100" s="14">
        <f t="shared" si="13"/>
        <v>1294.4703577553964</v>
      </c>
      <c r="H100" s="12">
        <f t="shared" si="14"/>
        <v>0.1</v>
      </c>
      <c r="I100" s="14">
        <f t="shared" si="18"/>
        <v>10556.310646709111</v>
      </c>
      <c r="J100" s="14">
        <f t="shared" si="19"/>
        <v>127613.96318894325</v>
      </c>
      <c r="K100" s="14">
        <f t="shared" si="15"/>
        <v>155176.48935329085</v>
      </c>
      <c r="L100" s="14">
        <f t="shared" si="16"/>
        <v>138170.27383565236</v>
      </c>
    </row>
    <row r="101" spans="1:12" x14ac:dyDescent="0.3">
      <c r="A101">
        <v>96</v>
      </c>
      <c r="B101" s="13">
        <v>47757</v>
      </c>
      <c r="C101" s="14">
        <f t="shared" si="17"/>
        <v>155176.48935329085</v>
      </c>
      <c r="D101" s="14">
        <f t="shared" si="10"/>
        <v>1454.4239351121303</v>
      </c>
      <c r="E101" s="14">
        <f t="shared" si="11"/>
        <v>161.28652383470649</v>
      </c>
      <c r="F101" s="12">
        <f t="shared" si="12"/>
        <v>1.2472496923229515E-2</v>
      </c>
      <c r="G101" s="14">
        <f t="shared" si="13"/>
        <v>1293.1374112774238</v>
      </c>
      <c r="H101" s="12">
        <f t="shared" si="14"/>
        <v>0.1</v>
      </c>
      <c r="I101" s="14">
        <f t="shared" si="18"/>
        <v>10717.597170543817</v>
      </c>
      <c r="J101" s="14">
        <f t="shared" si="19"/>
        <v>128907.10060022067</v>
      </c>
      <c r="K101" s="14">
        <f t="shared" si="15"/>
        <v>155015.20282945613</v>
      </c>
      <c r="L101" s="14">
        <f t="shared" si="16"/>
        <v>139624.6977707645</v>
      </c>
    </row>
    <row r="102" spans="1:12" x14ac:dyDescent="0.3">
      <c r="A102">
        <v>97</v>
      </c>
      <c r="B102" s="13">
        <v>47788</v>
      </c>
      <c r="C102" s="14">
        <f t="shared" si="17"/>
        <v>155015.20282945613</v>
      </c>
      <c r="D102" s="14">
        <f t="shared" si="10"/>
        <v>1454.4239351121303</v>
      </c>
      <c r="E102" s="14">
        <f t="shared" si="11"/>
        <v>162.63057819999585</v>
      </c>
      <c r="F102" s="12">
        <f t="shared" si="12"/>
        <v>1.2589519626323462E-2</v>
      </c>
      <c r="G102" s="14">
        <f t="shared" si="13"/>
        <v>1291.7933569121344</v>
      </c>
      <c r="H102" s="12">
        <f t="shared" si="14"/>
        <v>0.1</v>
      </c>
      <c r="I102" s="14">
        <f t="shared" si="18"/>
        <v>10880.227748743813</v>
      </c>
      <c r="J102" s="14">
        <f t="shared" si="19"/>
        <v>130198.89395713281</v>
      </c>
      <c r="K102" s="14">
        <f t="shared" si="15"/>
        <v>154852.57225125615</v>
      </c>
      <c r="L102" s="14">
        <f t="shared" si="16"/>
        <v>141079.12170587663</v>
      </c>
    </row>
    <row r="103" spans="1:12" x14ac:dyDescent="0.3">
      <c r="A103">
        <v>98</v>
      </c>
      <c r="B103" s="13">
        <v>47818</v>
      </c>
      <c r="C103" s="14">
        <f t="shared" si="17"/>
        <v>154852.57225125615</v>
      </c>
      <c r="D103" s="14">
        <f t="shared" si="10"/>
        <v>1454.4239351121303</v>
      </c>
      <c r="E103" s="14">
        <f t="shared" si="11"/>
        <v>163.985833018329</v>
      </c>
      <c r="F103" s="12">
        <f t="shared" si="12"/>
        <v>1.2707764343927359E-2</v>
      </c>
      <c r="G103" s="14">
        <f t="shared" si="13"/>
        <v>1290.4381020938013</v>
      </c>
      <c r="H103" s="12">
        <f t="shared" si="14"/>
        <v>0.1</v>
      </c>
      <c r="I103" s="14">
        <f t="shared" si="18"/>
        <v>11044.213581762142</v>
      </c>
      <c r="J103" s="14">
        <f t="shared" si="19"/>
        <v>131489.33205922661</v>
      </c>
      <c r="K103" s="14">
        <f t="shared" si="15"/>
        <v>154688.58641823783</v>
      </c>
      <c r="L103" s="14">
        <f t="shared" si="16"/>
        <v>142533.54564098874</v>
      </c>
    </row>
    <row r="104" spans="1:12" x14ac:dyDescent="0.3">
      <c r="A104">
        <v>99</v>
      </c>
      <c r="B104" s="13">
        <v>47849</v>
      </c>
      <c r="C104" s="14">
        <f t="shared" si="17"/>
        <v>154688.58641823783</v>
      </c>
      <c r="D104" s="14">
        <f t="shared" si="10"/>
        <v>1454.4239351121303</v>
      </c>
      <c r="E104" s="14">
        <f t="shared" si="11"/>
        <v>165.35238162681503</v>
      </c>
      <c r="F104" s="12">
        <f t="shared" si="12"/>
        <v>1.2827246181931878E-2</v>
      </c>
      <c r="G104" s="14">
        <f t="shared" si="13"/>
        <v>1289.0715534853152</v>
      </c>
      <c r="H104" s="12">
        <f t="shared" si="14"/>
        <v>0.1</v>
      </c>
      <c r="I104" s="14">
        <f t="shared" si="18"/>
        <v>11209.565963388957</v>
      </c>
      <c r="J104" s="14">
        <f t="shared" si="19"/>
        <v>132778.40361271193</v>
      </c>
      <c r="K104" s="14">
        <f t="shared" si="15"/>
        <v>154523.23403661101</v>
      </c>
      <c r="L104" s="14">
        <f t="shared" si="16"/>
        <v>143987.96957610088</v>
      </c>
    </row>
    <row r="105" spans="1:12" x14ac:dyDescent="0.3">
      <c r="A105">
        <v>100</v>
      </c>
      <c r="B105" s="13">
        <v>47880</v>
      </c>
      <c r="C105" s="14">
        <f t="shared" si="17"/>
        <v>154523.23403661101</v>
      </c>
      <c r="D105" s="14">
        <f t="shared" si="10"/>
        <v>1454.4239351121303</v>
      </c>
      <c r="E105" s="14">
        <f t="shared" si="11"/>
        <v>166.73031814037176</v>
      </c>
      <c r="F105" s="12">
        <f t="shared" si="12"/>
        <v>1.294798047787702E-2</v>
      </c>
      <c r="G105" s="14">
        <f t="shared" si="13"/>
        <v>1287.6936169717585</v>
      </c>
      <c r="H105" s="12">
        <f t="shared" si="14"/>
        <v>0.1</v>
      </c>
      <c r="I105" s="14">
        <f t="shared" si="18"/>
        <v>11376.296281529329</v>
      </c>
      <c r="J105" s="14">
        <f t="shared" si="19"/>
        <v>134066.09722968368</v>
      </c>
      <c r="K105" s="14">
        <f t="shared" si="15"/>
        <v>154356.50371847063</v>
      </c>
      <c r="L105" s="14">
        <f t="shared" si="16"/>
        <v>145442.39351121301</v>
      </c>
    </row>
    <row r="106" spans="1:12" x14ac:dyDescent="0.3">
      <c r="A106">
        <v>101</v>
      </c>
      <c r="B106" s="13">
        <v>47908</v>
      </c>
      <c r="C106" s="14">
        <f t="shared" si="17"/>
        <v>154356.50371847063</v>
      </c>
      <c r="D106" s="14">
        <f t="shared" si="10"/>
        <v>1454.4239351121303</v>
      </c>
      <c r="E106" s="14">
        <f t="shared" si="11"/>
        <v>168.11973745820842</v>
      </c>
      <c r="F106" s="12">
        <f t="shared" si="12"/>
        <v>1.3069982805376863E-2</v>
      </c>
      <c r="G106" s="14">
        <f t="shared" si="13"/>
        <v>1286.3041976539218</v>
      </c>
      <c r="H106" s="12">
        <f t="shared" si="14"/>
        <v>0.1</v>
      </c>
      <c r="I106" s="14">
        <f t="shared" si="18"/>
        <v>11544.416018987537</v>
      </c>
      <c r="J106" s="14">
        <f t="shared" si="19"/>
        <v>135352.40142733761</v>
      </c>
      <c r="K106" s="14">
        <f t="shared" si="15"/>
        <v>154188.38398101242</v>
      </c>
      <c r="L106" s="14">
        <f t="shared" si="16"/>
        <v>146896.81744632515</v>
      </c>
    </row>
    <row r="107" spans="1:12" x14ac:dyDescent="0.3">
      <c r="A107">
        <v>102</v>
      </c>
      <c r="B107" s="13">
        <v>47939</v>
      </c>
      <c r="C107" s="14">
        <f t="shared" si="17"/>
        <v>154188.38398101242</v>
      </c>
      <c r="D107" s="14">
        <f t="shared" si="10"/>
        <v>1454.4239351121303</v>
      </c>
      <c r="E107" s="14">
        <f t="shared" si="11"/>
        <v>169.52073527036009</v>
      </c>
      <c r="F107" s="12">
        <f t="shared" si="12"/>
        <v>1.3193268978646469E-2</v>
      </c>
      <c r="G107" s="14">
        <f t="shared" si="13"/>
        <v>1284.9031998417702</v>
      </c>
      <c r="H107" s="12">
        <f t="shared" si="14"/>
        <v>0.1</v>
      </c>
      <c r="I107" s="14">
        <f t="shared" si="18"/>
        <v>11713.936754257897</v>
      </c>
      <c r="J107" s="14">
        <f t="shared" si="19"/>
        <v>136637.30462717937</v>
      </c>
      <c r="K107" s="14">
        <f t="shared" si="15"/>
        <v>154018.86324574205</v>
      </c>
      <c r="L107" s="14">
        <f t="shared" si="16"/>
        <v>148351.24138143726</v>
      </c>
    </row>
    <row r="108" spans="1:12" x14ac:dyDescent="0.3">
      <c r="A108">
        <v>103</v>
      </c>
      <c r="B108" s="13">
        <v>47969</v>
      </c>
      <c r="C108" s="14">
        <f t="shared" si="17"/>
        <v>154018.86324574205</v>
      </c>
      <c r="D108" s="14">
        <f t="shared" si="10"/>
        <v>1454.4239351121303</v>
      </c>
      <c r="E108" s="14">
        <f t="shared" si="11"/>
        <v>170.93340806428</v>
      </c>
      <c r="F108" s="12">
        <f t="shared" si="12"/>
        <v>1.3317855057134158E-2</v>
      </c>
      <c r="G108" s="14">
        <f t="shared" si="13"/>
        <v>1283.4905270478503</v>
      </c>
      <c r="H108" s="12">
        <f t="shared" si="14"/>
        <v>0.1</v>
      </c>
      <c r="I108" s="14">
        <f t="shared" si="18"/>
        <v>11884.870162322177</v>
      </c>
      <c r="J108" s="14">
        <f t="shared" si="19"/>
        <v>137920.79515422723</v>
      </c>
      <c r="K108" s="14">
        <f t="shared" si="15"/>
        <v>153847.92983767777</v>
      </c>
      <c r="L108" s="14">
        <f t="shared" si="16"/>
        <v>149805.66531654942</v>
      </c>
    </row>
    <row r="109" spans="1:12" x14ac:dyDescent="0.3">
      <c r="A109">
        <v>104</v>
      </c>
      <c r="B109" s="13">
        <v>48000</v>
      </c>
      <c r="C109" s="14">
        <f t="shared" si="17"/>
        <v>153847.92983767777</v>
      </c>
      <c r="D109" s="14">
        <f t="shared" si="10"/>
        <v>1454.4239351121303</v>
      </c>
      <c r="E109" s="14">
        <f t="shared" si="11"/>
        <v>172.35785313148222</v>
      </c>
      <c r="F109" s="12">
        <f t="shared" si="12"/>
        <v>1.3443757350261439E-2</v>
      </c>
      <c r="G109" s="14">
        <f t="shared" si="13"/>
        <v>1282.0660819806481</v>
      </c>
      <c r="H109" s="12">
        <f t="shared" si="14"/>
        <v>0.1</v>
      </c>
      <c r="I109" s="14">
        <f t="shared" si="18"/>
        <v>12057.228015453658</v>
      </c>
      <c r="J109" s="14">
        <f t="shared" si="19"/>
        <v>139202.86123620789</v>
      </c>
      <c r="K109" s="14">
        <f t="shared" si="15"/>
        <v>153675.57198454629</v>
      </c>
      <c r="L109" s="14">
        <f t="shared" si="16"/>
        <v>151260.08925166156</v>
      </c>
    </row>
    <row r="110" spans="1:12" x14ac:dyDescent="0.3">
      <c r="A110">
        <v>105</v>
      </c>
      <c r="B110" s="13">
        <v>48030</v>
      </c>
      <c r="C110" s="14">
        <f t="shared" si="17"/>
        <v>153675.57198454629</v>
      </c>
      <c r="D110" s="14">
        <f t="shared" si="10"/>
        <v>1454.4239351121303</v>
      </c>
      <c r="E110" s="14">
        <f t="shared" si="11"/>
        <v>173.79416857424462</v>
      </c>
      <c r="F110" s="12">
        <f t="shared" si="12"/>
        <v>1.357099242227423E-2</v>
      </c>
      <c r="G110" s="14">
        <f t="shared" si="13"/>
        <v>1280.6297665378856</v>
      </c>
      <c r="H110" s="12">
        <f t="shared" si="14"/>
        <v>0.1</v>
      </c>
      <c r="I110" s="14">
        <f t="shared" si="18"/>
        <v>12231.022184027903</v>
      </c>
      <c r="J110" s="14">
        <f t="shared" si="19"/>
        <v>140483.49100274578</v>
      </c>
      <c r="K110" s="14">
        <f t="shared" si="15"/>
        <v>153501.77781597205</v>
      </c>
      <c r="L110" s="14">
        <f t="shared" si="16"/>
        <v>152714.51318677369</v>
      </c>
    </row>
    <row r="111" spans="1:12" x14ac:dyDescent="0.3">
      <c r="A111">
        <v>106</v>
      </c>
      <c r="B111" s="13">
        <v>48061</v>
      </c>
      <c r="C111" s="14">
        <f t="shared" si="17"/>
        <v>153501.77781597205</v>
      </c>
      <c r="D111" s="14">
        <f t="shared" si="10"/>
        <v>1454.4239351121303</v>
      </c>
      <c r="E111" s="14">
        <f t="shared" si="11"/>
        <v>175.2424533123633</v>
      </c>
      <c r="F111" s="12">
        <f t="shared" si="12"/>
        <v>1.3699577097207725E-2</v>
      </c>
      <c r="G111" s="14">
        <f t="shared" si="13"/>
        <v>1279.181481799767</v>
      </c>
      <c r="H111" s="12">
        <f t="shared" si="14"/>
        <v>0.1</v>
      </c>
      <c r="I111" s="14">
        <f t="shared" si="18"/>
        <v>12406.264637340266</v>
      </c>
      <c r="J111" s="14">
        <f t="shared" si="19"/>
        <v>141762.67248454556</v>
      </c>
      <c r="K111" s="14">
        <f t="shared" si="15"/>
        <v>153326.53536265969</v>
      </c>
      <c r="L111" s="14">
        <f t="shared" si="16"/>
        <v>154168.93712188583</v>
      </c>
    </row>
    <row r="112" spans="1:12" x14ac:dyDescent="0.3">
      <c r="A112">
        <v>107</v>
      </c>
      <c r="B112" s="13">
        <v>48092</v>
      </c>
      <c r="C112" s="14">
        <f t="shared" si="17"/>
        <v>153326.53536265969</v>
      </c>
      <c r="D112" s="14">
        <f t="shared" si="10"/>
        <v>1454.4239351121303</v>
      </c>
      <c r="E112" s="14">
        <f t="shared" si="11"/>
        <v>176.7028070899662</v>
      </c>
      <c r="F112" s="12">
        <f t="shared" si="12"/>
        <v>1.3829528463968626E-2</v>
      </c>
      <c r="G112" s="14">
        <f t="shared" si="13"/>
        <v>1277.7211280221641</v>
      </c>
      <c r="H112" s="12">
        <f t="shared" si="14"/>
        <v>0.1</v>
      </c>
      <c r="I112" s="14">
        <f t="shared" si="18"/>
        <v>12582.967444430233</v>
      </c>
      <c r="J112" s="14">
        <f t="shared" si="19"/>
        <v>143040.39361256771</v>
      </c>
      <c r="K112" s="14">
        <f t="shared" si="15"/>
        <v>153149.83255556974</v>
      </c>
      <c r="L112" s="14">
        <f t="shared" si="16"/>
        <v>155623.36105699794</v>
      </c>
    </row>
    <row r="113" spans="1:12" x14ac:dyDescent="0.3">
      <c r="A113">
        <v>108</v>
      </c>
      <c r="B113" s="13">
        <v>48122</v>
      </c>
      <c r="C113" s="14">
        <f t="shared" si="17"/>
        <v>153149.83255556974</v>
      </c>
      <c r="D113" s="14">
        <f t="shared" si="10"/>
        <v>1454.4239351121303</v>
      </c>
      <c r="E113" s="14">
        <f t="shared" si="11"/>
        <v>178.17533048238238</v>
      </c>
      <c r="F113" s="12">
        <f t="shared" si="12"/>
        <v>1.3960863881537625E-2</v>
      </c>
      <c r="G113" s="14">
        <f t="shared" si="13"/>
        <v>1276.2486046297479</v>
      </c>
      <c r="H113" s="12">
        <f t="shared" si="14"/>
        <v>0.1</v>
      </c>
      <c r="I113" s="14">
        <f t="shared" si="18"/>
        <v>12761.142774912616</v>
      </c>
      <c r="J113" s="14">
        <f t="shared" si="19"/>
        <v>144316.64221719746</v>
      </c>
      <c r="K113" s="14">
        <f t="shared" si="15"/>
        <v>152971.65722508734</v>
      </c>
      <c r="L113" s="14">
        <f t="shared" si="16"/>
        <v>157077.78499211007</v>
      </c>
    </row>
    <row r="114" spans="1:12" x14ac:dyDescent="0.3">
      <c r="A114">
        <v>109</v>
      </c>
      <c r="B114" s="13">
        <v>48153</v>
      </c>
      <c r="C114" s="14">
        <f t="shared" si="17"/>
        <v>152971.65722508734</v>
      </c>
      <c r="D114" s="14">
        <f t="shared" si="10"/>
        <v>1454.4239351121303</v>
      </c>
      <c r="E114" s="14">
        <f t="shared" si="11"/>
        <v>179.66012490306912</v>
      </c>
      <c r="F114" s="12">
        <f t="shared" si="12"/>
        <v>1.409360098429566E-2</v>
      </c>
      <c r="G114" s="14">
        <f t="shared" si="13"/>
        <v>1274.7638102090611</v>
      </c>
      <c r="H114" s="12">
        <f t="shared" si="14"/>
        <v>0.1</v>
      </c>
      <c r="I114" s="14">
        <f t="shared" si="18"/>
        <v>12940.802899815684</v>
      </c>
      <c r="J114" s="14">
        <f t="shared" si="19"/>
        <v>145591.40602740651</v>
      </c>
      <c r="K114" s="14">
        <f t="shared" si="15"/>
        <v>152791.99710018426</v>
      </c>
      <c r="L114" s="14">
        <f t="shared" si="16"/>
        <v>158532.20892722221</v>
      </c>
    </row>
    <row r="115" spans="1:12" x14ac:dyDescent="0.3">
      <c r="A115">
        <v>110</v>
      </c>
      <c r="B115" s="13">
        <v>48183</v>
      </c>
      <c r="C115" s="14">
        <f t="shared" si="17"/>
        <v>152791.99710018426</v>
      </c>
      <c r="D115" s="14">
        <f t="shared" si="10"/>
        <v>1454.4239351121303</v>
      </c>
      <c r="E115" s="14">
        <f t="shared" si="11"/>
        <v>181.15729261059482</v>
      </c>
      <c r="F115" s="12">
        <f t="shared" si="12"/>
        <v>1.4227757687477183E-2</v>
      </c>
      <c r="G115" s="14">
        <f t="shared" si="13"/>
        <v>1273.2666425015354</v>
      </c>
      <c r="H115" s="12">
        <f t="shared" si="14"/>
        <v>0.1</v>
      </c>
      <c r="I115" s="14">
        <f t="shared" si="18"/>
        <v>13121.960192426279</v>
      </c>
      <c r="J115" s="14">
        <f t="shared" si="19"/>
        <v>146864.67266990806</v>
      </c>
      <c r="K115" s="14">
        <f t="shared" si="15"/>
        <v>152610.83980757368</v>
      </c>
      <c r="L115" s="14">
        <f t="shared" si="16"/>
        <v>159986.63286233434</v>
      </c>
    </row>
    <row r="116" spans="1:12" x14ac:dyDescent="0.3">
      <c r="A116">
        <v>111</v>
      </c>
      <c r="B116" s="13">
        <v>48214</v>
      </c>
      <c r="C116" s="14">
        <f t="shared" si="17"/>
        <v>152610.83980757368</v>
      </c>
      <c r="D116" s="14">
        <f t="shared" si="10"/>
        <v>1454.4239351121303</v>
      </c>
      <c r="E116" s="14">
        <f t="shared" si="11"/>
        <v>182.66693671568305</v>
      </c>
      <c r="F116" s="12">
        <f t="shared" si="12"/>
        <v>1.4363352192754354E-2</v>
      </c>
      <c r="G116" s="14">
        <f t="shared" si="13"/>
        <v>1271.7569983964472</v>
      </c>
      <c r="H116" s="12">
        <f t="shared" si="14"/>
        <v>0.1</v>
      </c>
      <c r="I116" s="14">
        <f t="shared" si="18"/>
        <v>13304.627129141962</v>
      </c>
      <c r="J116" s="14">
        <f t="shared" si="19"/>
        <v>148136.42966830451</v>
      </c>
      <c r="K116" s="14">
        <f t="shared" si="15"/>
        <v>152428.17287085799</v>
      </c>
      <c r="L116" s="14">
        <f t="shared" si="16"/>
        <v>161441.05679744648</v>
      </c>
    </row>
    <row r="117" spans="1:12" x14ac:dyDescent="0.3">
      <c r="A117">
        <v>112</v>
      </c>
      <c r="B117" s="13">
        <v>48245</v>
      </c>
      <c r="C117" s="14">
        <f t="shared" si="17"/>
        <v>152428.17287085799</v>
      </c>
      <c r="D117" s="14">
        <f t="shared" si="10"/>
        <v>1454.4239351121303</v>
      </c>
      <c r="E117" s="14">
        <f t="shared" si="11"/>
        <v>184.18916118831362</v>
      </c>
      <c r="F117" s="12">
        <f t="shared" si="12"/>
        <v>1.4500402993955551E-2</v>
      </c>
      <c r="G117" s="14">
        <f t="shared" si="13"/>
        <v>1270.2347739238166</v>
      </c>
      <c r="H117" s="12">
        <f t="shared" si="14"/>
        <v>0.1</v>
      </c>
      <c r="I117" s="14">
        <f t="shared" si="18"/>
        <v>13488.816290330275</v>
      </c>
      <c r="J117" s="14">
        <f t="shared" si="19"/>
        <v>149406.66444222833</v>
      </c>
      <c r="K117" s="14">
        <f t="shared" si="15"/>
        <v>152243.98370966967</v>
      </c>
      <c r="L117" s="14">
        <f t="shared" si="16"/>
        <v>162895.48073255862</v>
      </c>
    </row>
    <row r="118" spans="1:12" x14ac:dyDescent="0.3">
      <c r="A118">
        <v>113</v>
      </c>
      <c r="B118" s="13">
        <v>48274</v>
      </c>
      <c r="C118" s="14">
        <f t="shared" si="17"/>
        <v>152243.98370966967</v>
      </c>
      <c r="D118" s="14">
        <f t="shared" si="10"/>
        <v>1454.4239351121303</v>
      </c>
      <c r="E118" s="14">
        <f t="shared" si="11"/>
        <v>185.72407086488306</v>
      </c>
      <c r="F118" s="12">
        <f t="shared" si="12"/>
        <v>1.4638928882922043E-2</v>
      </c>
      <c r="G118" s="14">
        <f t="shared" si="13"/>
        <v>1268.6998642472472</v>
      </c>
      <c r="H118" s="12">
        <f t="shared" si="14"/>
        <v>0.1</v>
      </c>
      <c r="I118" s="14">
        <f t="shared" si="18"/>
        <v>13674.540361195157</v>
      </c>
      <c r="J118" s="14">
        <f t="shared" si="19"/>
        <v>150675.36430647559</v>
      </c>
      <c r="K118" s="14">
        <f t="shared" si="15"/>
        <v>152058.2596388048</v>
      </c>
      <c r="L118" s="14">
        <f t="shared" si="16"/>
        <v>164349.90466767075</v>
      </c>
    </row>
    <row r="119" spans="1:12" x14ac:dyDescent="0.3">
      <c r="A119">
        <v>114</v>
      </c>
      <c r="B119" s="13">
        <v>48305</v>
      </c>
      <c r="C119" s="14">
        <f t="shared" si="17"/>
        <v>152058.2596388048</v>
      </c>
      <c r="D119" s="14">
        <f t="shared" si="10"/>
        <v>1454.4239351121303</v>
      </c>
      <c r="E119" s="14">
        <f t="shared" si="11"/>
        <v>187.27177145542373</v>
      </c>
      <c r="F119" s="12">
        <f t="shared" si="12"/>
        <v>1.4778948955506726E-2</v>
      </c>
      <c r="G119" s="14">
        <f t="shared" si="13"/>
        <v>1267.1521636567065</v>
      </c>
      <c r="H119" s="12">
        <f t="shared" si="14"/>
        <v>0.1</v>
      </c>
      <c r="I119" s="14">
        <f t="shared" si="18"/>
        <v>13861.812132650581</v>
      </c>
      <c r="J119" s="14">
        <f t="shared" si="19"/>
        <v>151942.51647013231</v>
      </c>
      <c r="K119" s="14">
        <f t="shared" si="15"/>
        <v>151870.98786734938</v>
      </c>
      <c r="L119" s="14">
        <f t="shared" si="16"/>
        <v>165804.32860278289</v>
      </c>
    </row>
    <row r="120" spans="1:12" x14ac:dyDescent="0.3">
      <c r="A120">
        <v>115</v>
      </c>
      <c r="B120" s="13">
        <v>48335</v>
      </c>
      <c r="C120" s="14">
        <f t="shared" si="17"/>
        <v>151870.98786734938</v>
      </c>
      <c r="D120" s="14">
        <f t="shared" si="10"/>
        <v>1454.4239351121303</v>
      </c>
      <c r="E120" s="14">
        <f t="shared" si="11"/>
        <v>188.83236955088546</v>
      </c>
      <c r="F120" s="12">
        <f t="shared" si="12"/>
        <v>1.492048261771917E-2</v>
      </c>
      <c r="G120" s="14">
        <f t="shared" si="13"/>
        <v>1265.5915655612448</v>
      </c>
      <c r="H120" s="12">
        <f t="shared" si="14"/>
        <v>0.1</v>
      </c>
      <c r="I120" s="14">
        <f t="shared" si="18"/>
        <v>14050.644502201467</v>
      </c>
      <c r="J120" s="14">
        <f t="shared" si="19"/>
        <v>153208.10803569356</v>
      </c>
      <c r="K120" s="14">
        <f t="shared" si="15"/>
        <v>151682.15549779849</v>
      </c>
      <c r="L120" s="14">
        <f t="shared" si="16"/>
        <v>167258.75253789502</v>
      </c>
    </row>
    <row r="121" spans="1:12" x14ac:dyDescent="0.3">
      <c r="A121">
        <v>116</v>
      </c>
      <c r="B121" s="13">
        <v>48366</v>
      </c>
      <c r="C121" s="14">
        <f t="shared" si="17"/>
        <v>151682.15549779849</v>
      </c>
      <c r="D121" s="14">
        <f t="shared" si="10"/>
        <v>1454.4239351121303</v>
      </c>
      <c r="E121" s="14">
        <f t="shared" si="11"/>
        <v>190.40597263047607</v>
      </c>
      <c r="F121" s="12">
        <f t="shared" si="12"/>
        <v>1.5063549592020897E-2</v>
      </c>
      <c r="G121" s="14">
        <f t="shared" si="13"/>
        <v>1264.0179624816542</v>
      </c>
      <c r="H121" s="12">
        <f t="shared" si="14"/>
        <v>0.1</v>
      </c>
      <c r="I121" s="14">
        <f t="shared" si="18"/>
        <v>14241.050474831944</v>
      </c>
      <c r="J121" s="14">
        <f t="shared" si="19"/>
        <v>154472.12599817521</v>
      </c>
      <c r="K121" s="14">
        <f t="shared" si="15"/>
        <v>151491.74952516801</v>
      </c>
      <c r="L121" s="14">
        <f t="shared" si="16"/>
        <v>168713.17647300716</v>
      </c>
    </row>
    <row r="122" spans="1:12" x14ac:dyDescent="0.3">
      <c r="A122">
        <v>117</v>
      </c>
      <c r="B122" s="13">
        <v>48396</v>
      </c>
      <c r="C122" s="14">
        <f t="shared" si="17"/>
        <v>151491.74952516801</v>
      </c>
      <c r="D122" s="14">
        <f t="shared" si="10"/>
        <v>1454.4239351121303</v>
      </c>
      <c r="E122" s="14">
        <f t="shared" si="11"/>
        <v>191.99268906906354</v>
      </c>
      <c r="F122" s="12">
        <f t="shared" si="12"/>
        <v>1.520816992377531E-2</v>
      </c>
      <c r="G122" s="14">
        <f t="shared" si="13"/>
        <v>1262.4312460430667</v>
      </c>
      <c r="H122" s="12">
        <f t="shared" si="14"/>
        <v>0.1</v>
      </c>
      <c r="I122" s="14">
        <f t="shared" si="18"/>
        <v>14433.043163901008</v>
      </c>
      <c r="J122" s="14">
        <f t="shared" si="19"/>
        <v>155734.55724421827</v>
      </c>
      <c r="K122" s="14">
        <f t="shared" si="15"/>
        <v>151299.75683609894</v>
      </c>
      <c r="L122" s="14">
        <f t="shared" si="16"/>
        <v>170167.6004081193</v>
      </c>
    </row>
    <row r="123" spans="1:12" x14ac:dyDescent="0.3">
      <c r="A123">
        <v>118</v>
      </c>
      <c r="B123" s="13">
        <v>48427</v>
      </c>
      <c r="C123" s="14">
        <f t="shared" si="17"/>
        <v>151299.75683609894</v>
      </c>
      <c r="D123" s="14">
        <f t="shared" si="10"/>
        <v>1454.4239351121303</v>
      </c>
      <c r="E123" s="14">
        <f t="shared" si="11"/>
        <v>193.59262814463909</v>
      </c>
      <c r="F123" s="12">
        <f t="shared" si="12"/>
        <v>1.5354363987856674E-2</v>
      </c>
      <c r="G123" s="14">
        <f t="shared" si="13"/>
        <v>1260.8313069674912</v>
      </c>
      <c r="H123" s="12">
        <f t="shared" si="14"/>
        <v>0.1</v>
      </c>
      <c r="I123" s="14">
        <f t="shared" si="18"/>
        <v>14626.635792045647</v>
      </c>
      <c r="J123" s="14">
        <f t="shared" si="19"/>
        <v>156995.38855118575</v>
      </c>
      <c r="K123" s="14">
        <f t="shared" si="15"/>
        <v>151106.16420795431</v>
      </c>
      <c r="L123" s="14">
        <f t="shared" si="16"/>
        <v>171622.0243432314</v>
      </c>
    </row>
    <row r="124" spans="1:12" x14ac:dyDescent="0.3">
      <c r="A124">
        <v>119</v>
      </c>
      <c r="B124" s="13">
        <v>48458</v>
      </c>
      <c r="C124" s="14">
        <f t="shared" si="17"/>
        <v>151106.16420795431</v>
      </c>
      <c r="D124" s="14">
        <f t="shared" si="10"/>
        <v>1454.4239351121303</v>
      </c>
      <c r="E124" s="14">
        <f t="shared" si="11"/>
        <v>195.20590004584437</v>
      </c>
      <c r="F124" s="12">
        <f t="shared" si="12"/>
        <v>1.5502152495422972E-2</v>
      </c>
      <c r="G124" s="14">
        <f t="shared" si="13"/>
        <v>1259.2180350662859</v>
      </c>
      <c r="H124" s="12">
        <f t="shared" si="14"/>
        <v>0.1</v>
      </c>
      <c r="I124" s="14">
        <f t="shared" si="18"/>
        <v>14821.841692091491</v>
      </c>
      <c r="J124" s="14">
        <f t="shared" si="19"/>
        <v>158254.60658625205</v>
      </c>
      <c r="K124" s="14">
        <f t="shared" si="15"/>
        <v>150910.95830790847</v>
      </c>
      <c r="L124" s="14">
        <f t="shared" si="16"/>
        <v>173076.44827834354</v>
      </c>
    </row>
    <row r="125" spans="1:12" x14ac:dyDescent="0.3">
      <c r="A125">
        <v>120</v>
      </c>
      <c r="B125" s="13">
        <v>48488</v>
      </c>
      <c r="C125" s="14">
        <f t="shared" si="17"/>
        <v>150910.95830790847</v>
      </c>
      <c r="D125" s="14">
        <f t="shared" si="10"/>
        <v>1454.4239351121303</v>
      </c>
      <c r="E125" s="14">
        <f t="shared" si="11"/>
        <v>196.83261587955963</v>
      </c>
      <c r="F125" s="12">
        <f t="shared" si="12"/>
        <v>1.5651556500857075E-2</v>
      </c>
      <c r="G125" s="14">
        <f t="shared" si="13"/>
        <v>1257.5913192325706</v>
      </c>
      <c r="H125" s="12">
        <f t="shared" si="14"/>
        <v>0.1</v>
      </c>
      <c r="I125" s="14">
        <f t="shared" si="18"/>
        <v>15018.67430797105</v>
      </c>
      <c r="J125" s="14">
        <f t="shared" si="19"/>
        <v>159512.19790548462</v>
      </c>
      <c r="K125" s="14">
        <f t="shared" si="15"/>
        <v>150714.1256920289</v>
      </c>
      <c r="L125" s="14">
        <f t="shared" si="16"/>
        <v>174530.87221345567</v>
      </c>
    </row>
    <row r="126" spans="1:12" x14ac:dyDescent="0.3">
      <c r="A126">
        <v>121</v>
      </c>
      <c r="B126" s="13">
        <v>48519</v>
      </c>
      <c r="C126" s="14">
        <f t="shared" si="17"/>
        <v>150714.1256920289</v>
      </c>
      <c r="D126" s="14">
        <f t="shared" si="10"/>
        <v>1454.4239351121303</v>
      </c>
      <c r="E126" s="14">
        <f t="shared" si="11"/>
        <v>198.47288767855616</v>
      </c>
      <c r="F126" s="12">
        <f t="shared" si="12"/>
        <v>1.580259740888135E-2</v>
      </c>
      <c r="G126" s="14">
        <f t="shared" si="13"/>
        <v>1255.9510474335741</v>
      </c>
      <c r="H126" s="12">
        <f t="shared" si="14"/>
        <v>0.1</v>
      </c>
      <c r="I126" s="14">
        <f t="shared" si="18"/>
        <v>15217.147195649606</v>
      </c>
      <c r="J126" s="14">
        <f t="shared" si="19"/>
        <v>160768.14895291819</v>
      </c>
      <c r="K126" s="14">
        <f t="shared" si="15"/>
        <v>150515.65280435033</v>
      </c>
      <c r="L126" s="14">
        <f t="shared" si="16"/>
        <v>175985.29614856778</v>
      </c>
    </row>
    <row r="127" spans="1:12" x14ac:dyDescent="0.3">
      <c r="A127">
        <v>122</v>
      </c>
      <c r="B127" s="13">
        <v>48549</v>
      </c>
      <c r="C127" s="14">
        <f t="shared" si="17"/>
        <v>150515.65280435033</v>
      </c>
      <c r="D127" s="14">
        <f t="shared" si="10"/>
        <v>1454.4239351121303</v>
      </c>
      <c r="E127" s="14">
        <f t="shared" si="11"/>
        <v>200.12682840921093</v>
      </c>
      <c r="F127" s="12">
        <f t="shared" si="12"/>
        <v>1.595529698185065E-2</v>
      </c>
      <c r="G127" s="14">
        <f t="shared" si="13"/>
        <v>1254.2971067029193</v>
      </c>
      <c r="H127" s="12">
        <f t="shared" si="14"/>
        <v>0.1</v>
      </c>
      <c r="I127" s="14">
        <f t="shared" si="18"/>
        <v>15417.274024058817</v>
      </c>
      <c r="J127" s="14">
        <f t="shared" si="19"/>
        <v>162022.44605962111</v>
      </c>
      <c r="K127" s="14">
        <f t="shared" si="15"/>
        <v>150315.52597594113</v>
      </c>
      <c r="L127" s="14">
        <f t="shared" si="16"/>
        <v>177439.72008367995</v>
      </c>
    </row>
    <row r="128" spans="1:12" x14ac:dyDescent="0.3">
      <c r="A128">
        <v>123</v>
      </c>
      <c r="B128" s="13">
        <v>48580</v>
      </c>
      <c r="C128" s="14">
        <f t="shared" si="17"/>
        <v>150315.52597594113</v>
      </c>
      <c r="D128" s="14">
        <f t="shared" si="10"/>
        <v>1454.4239351121303</v>
      </c>
      <c r="E128" s="14">
        <f t="shared" si="11"/>
        <v>201.79455197928746</v>
      </c>
      <c r="F128" s="12">
        <f t="shared" si="12"/>
        <v>1.6109677347229123E-2</v>
      </c>
      <c r="G128" s="14">
        <f t="shared" si="13"/>
        <v>1252.6293831328428</v>
      </c>
      <c r="H128" s="12">
        <f t="shared" si="14"/>
        <v>0.1</v>
      </c>
      <c r="I128" s="14">
        <f t="shared" si="18"/>
        <v>15619.068576038106</v>
      </c>
      <c r="J128" s="14">
        <f t="shared" si="19"/>
        <v>163275.07544275397</v>
      </c>
      <c r="K128" s="14">
        <f t="shared" si="15"/>
        <v>150113.73142396184</v>
      </c>
      <c r="L128" s="14">
        <f t="shared" si="16"/>
        <v>178894.14401879208</v>
      </c>
    </row>
    <row r="129" spans="1:12" x14ac:dyDescent="0.3">
      <c r="A129">
        <v>124</v>
      </c>
      <c r="B129" s="13">
        <v>48611</v>
      </c>
      <c r="C129" s="14">
        <f t="shared" si="17"/>
        <v>150113.73142396184</v>
      </c>
      <c r="D129" s="14">
        <f t="shared" si="10"/>
        <v>1454.4239351121303</v>
      </c>
      <c r="E129" s="14">
        <f t="shared" si="11"/>
        <v>203.47617324578164</v>
      </c>
      <c r="F129" s="12">
        <f t="shared" si="12"/>
        <v>1.6265761005256191E-2</v>
      </c>
      <c r="G129" s="14">
        <f t="shared" si="13"/>
        <v>1250.9477618663486</v>
      </c>
      <c r="H129" s="12">
        <f t="shared" si="14"/>
        <v>0.1</v>
      </c>
      <c r="I129" s="14">
        <f t="shared" si="18"/>
        <v>15822.544749283887</v>
      </c>
      <c r="J129" s="14">
        <f t="shared" si="19"/>
        <v>164526.02320462032</v>
      </c>
      <c r="K129" s="14">
        <f t="shared" si="15"/>
        <v>149910.25525071606</v>
      </c>
      <c r="L129" s="14">
        <f t="shared" si="16"/>
        <v>180348.56795390422</v>
      </c>
    </row>
    <row r="130" spans="1:12" x14ac:dyDescent="0.3">
      <c r="A130">
        <v>125</v>
      </c>
      <c r="B130" s="13">
        <v>48639</v>
      </c>
      <c r="C130" s="14">
        <f t="shared" si="17"/>
        <v>149910.25525071606</v>
      </c>
      <c r="D130" s="14">
        <f t="shared" si="10"/>
        <v>1454.4239351121303</v>
      </c>
      <c r="E130" s="14">
        <f t="shared" si="11"/>
        <v>205.17180802282974</v>
      </c>
      <c r="F130" s="12">
        <f t="shared" si="12"/>
        <v>1.6423570836807018E-2</v>
      </c>
      <c r="G130" s="14">
        <f t="shared" si="13"/>
        <v>1249.2521270893005</v>
      </c>
      <c r="H130" s="12">
        <f t="shared" si="14"/>
        <v>0.1</v>
      </c>
      <c r="I130" s="14">
        <f t="shared" si="18"/>
        <v>16027.716557306716</v>
      </c>
      <c r="J130" s="14">
        <f t="shared" si="19"/>
        <v>165775.27533170962</v>
      </c>
      <c r="K130" s="14">
        <f t="shared" si="15"/>
        <v>149705.08344269323</v>
      </c>
      <c r="L130" s="14">
        <f t="shared" si="16"/>
        <v>181802.99188901632</v>
      </c>
    </row>
    <row r="131" spans="1:12" x14ac:dyDescent="0.3">
      <c r="A131">
        <v>126</v>
      </c>
      <c r="B131" s="13">
        <v>48670</v>
      </c>
      <c r="C131" s="14">
        <f t="shared" si="17"/>
        <v>149705.08344269323</v>
      </c>
      <c r="D131" s="14">
        <f t="shared" si="10"/>
        <v>1454.4239351121303</v>
      </c>
      <c r="E131" s="14">
        <f t="shared" si="11"/>
        <v>206.88157308968675</v>
      </c>
      <c r="F131" s="12">
        <f t="shared" si="12"/>
        <v>1.6583130111453875E-2</v>
      </c>
      <c r="G131" s="14">
        <f t="shared" si="13"/>
        <v>1247.5423620224435</v>
      </c>
      <c r="H131" s="12">
        <f t="shared" si="14"/>
        <v>0.1</v>
      </c>
      <c r="I131" s="14">
        <f t="shared" si="18"/>
        <v>16234.598130396404</v>
      </c>
      <c r="J131" s="14">
        <f t="shared" si="19"/>
        <v>167022.81769373207</v>
      </c>
      <c r="K131" s="14">
        <f t="shared" si="15"/>
        <v>149498.20186960354</v>
      </c>
      <c r="L131" s="14">
        <f t="shared" si="16"/>
        <v>183257.41582412846</v>
      </c>
    </row>
    <row r="132" spans="1:12" x14ac:dyDescent="0.3">
      <c r="A132">
        <v>127</v>
      </c>
      <c r="B132" s="13">
        <v>48700</v>
      </c>
      <c r="C132" s="14">
        <f t="shared" si="17"/>
        <v>149498.20186960354</v>
      </c>
      <c r="D132" s="14">
        <f t="shared" si="10"/>
        <v>1454.4239351121303</v>
      </c>
      <c r="E132" s="14">
        <f t="shared" si="11"/>
        <v>208.60558619876747</v>
      </c>
      <c r="F132" s="12">
        <f t="shared" si="12"/>
        <v>1.6744462495733747E-2</v>
      </c>
      <c r="G132" s="14">
        <f t="shared" si="13"/>
        <v>1245.8183489133628</v>
      </c>
      <c r="H132" s="12">
        <f t="shared" si="14"/>
        <v>0.1</v>
      </c>
      <c r="I132" s="14">
        <f t="shared" si="18"/>
        <v>16443.20371659517</v>
      </c>
      <c r="J132" s="14">
        <f t="shared" si="19"/>
        <v>168268.63604264543</v>
      </c>
      <c r="K132" s="14">
        <f t="shared" si="15"/>
        <v>149289.59628340477</v>
      </c>
      <c r="L132" s="14">
        <f t="shared" si="16"/>
        <v>184711.8397592406</v>
      </c>
    </row>
    <row r="133" spans="1:12" x14ac:dyDescent="0.3">
      <c r="A133">
        <v>128</v>
      </c>
      <c r="B133" s="13">
        <v>48731</v>
      </c>
      <c r="C133" s="14">
        <f t="shared" si="17"/>
        <v>149289.59628340477</v>
      </c>
      <c r="D133" s="14">
        <f t="shared" si="10"/>
        <v>1454.4239351121303</v>
      </c>
      <c r="E133" s="14">
        <f t="shared" si="11"/>
        <v>210.34396608375732</v>
      </c>
      <c r="F133" s="12">
        <f t="shared" si="12"/>
        <v>1.6907592061628968E-2</v>
      </c>
      <c r="G133" s="14">
        <f t="shared" si="13"/>
        <v>1244.0799690283729</v>
      </c>
      <c r="H133" s="12">
        <f t="shared" si="14"/>
        <v>0.1</v>
      </c>
      <c r="I133" s="14">
        <f t="shared" si="18"/>
        <v>16653.547682678927</v>
      </c>
      <c r="J133" s="14">
        <f t="shared" si="19"/>
        <v>169512.71601167379</v>
      </c>
      <c r="K133" s="14">
        <f t="shared" si="15"/>
        <v>149079.25231732102</v>
      </c>
      <c r="L133" s="14">
        <f t="shared" si="16"/>
        <v>186166.26369435273</v>
      </c>
    </row>
    <row r="134" spans="1:12" x14ac:dyDescent="0.3">
      <c r="A134">
        <v>129</v>
      </c>
      <c r="B134" s="13">
        <v>48761</v>
      </c>
      <c r="C134" s="14">
        <f t="shared" si="17"/>
        <v>149079.25231732102</v>
      </c>
      <c r="D134" s="14">
        <f t="shared" si="10"/>
        <v>1454.4239351121303</v>
      </c>
      <c r="E134" s="14">
        <f t="shared" si="11"/>
        <v>212.09683246778854</v>
      </c>
      <c r="F134" s="12">
        <f t="shared" si="12"/>
        <v>1.7072543295266772E-2</v>
      </c>
      <c r="G134" s="14">
        <f t="shared" si="13"/>
        <v>1242.3271026443417</v>
      </c>
      <c r="H134" s="12">
        <f t="shared" si="14"/>
        <v>0.1</v>
      </c>
      <c r="I134" s="14">
        <f t="shared" si="18"/>
        <v>16865.644515146716</v>
      </c>
      <c r="J134" s="14">
        <f t="shared" si="19"/>
        <v>170755.04311431813</v>
      </c>
      <c r="K134" s="14">
        <f t="shared" si="15"/>
        <v>148867.15548485323</v>
      </c>
      <c r="L134" s="14">
        <f t="shared" si="16"/>
        <v>187620.68762946484</v>
      </c>
    </row>
    <row r="135" spans="1:12" x14ac:dyDescent="0.3">
      <c r="A135">
        <v>130</v>
      </c>
      <c r="B135" s="13">
        <v>48792</v>
      </c>
      <c r="C135" s="14">
        <f t="shared" si="17"/>
        <v>148867.15548485323</v>
      </c>
      <c r="D135" s="14">
        <f t="shared" ref="D135:D198" si="20">$C$6/((($E$2)-1)/($E$1*$E$2))</f>
        <v>1454.4239351121303</v>
      </c>
      <c r="E135" s="14">
        <f t="shared" ref="E135:E198" si="21">D135-G135</f>
        <v>213.86430607168677</v>
      </c>
      <c r="F135" s="12">
        <f t="shared" ref="F135:F198" si="22">(E135/C135)*12</f>
        <v>1.7239341105844949E-2</v>
      </c>
      <c r="G135" s="14">
        <f t="shared" ref="G135:G198" si="23">C135*($B$1/12)</f>
        <v>1240.5596290404435</v>
      </c>
      <c r="H135" s="12">
        <f t="shared" ref="H135:H198" si="24">(G135/C135)*12</f>
        <v>0.1</v>
      </c>
      <c r="I135" s="14">
        <f t="shared" si="18"/>
        <v>17079.508821218402</v>
      </c>
      <c r="J135" s="14">
        <f t="shared" si="19"/>
        <v>171995.60274335858</v>
      </c>
      <c r="K135" s="14">
        <f t="shared" ref="K135:K198" si="25">C135-E135</f>
        <v>148653.29117878154</v>
      </c>
      <c r="L135" s="14">
        <f t="shared" ref="L135:L198" si="26">I135+J135</f>
        <v>189075.11156457698</v>
      </c>
    </row>
    <row r="136" spans="1:12" x14ac:dyDescent="0.3">
      <c r="A136">
        <v>131</v>
      </c>
      <c r="B136" s="13">
        <v>48823</v>
      </c>
      <c r="C136" s="14">
        <f t="shared" ref="C136:C199" si="27">K135</f>
        <v>148653.29117878154</v>
      </c>
      <c r="D136" s="14">
        <f t="shared" si="20"/>
        <v>1454.4239351121303</v>
      </c>
      <c r="E136" s="14">
        <f t="shared" si="21"/>
        <v>215.64650862228405</v>
      </c>
      <c r="F136" s="12">
        <f t="shared" si="22"/>
        <v>1.7408010834789912E-2</v>
      </c>
      <c r="G136" s="14">
        <f t="shared" si="23"/>
        <v>1238.7774264898462</v>
      </c>
      <c r="H136" s="12">
        <f t="shared" si="24"/>
        <v>0.1</v>
      </c>
      <c r="I136" s="14">
        <f t="shared" ref="I136:I199" si="28">I135+E136</f>
        <v>17295.155329840687</v>
      </c>
      <c r="J136" s="14">
        <f t="shared" ref="J136:J199" si="29">J135+G136</f>
        <v>173234.38016984842</v>
      </c>
      <c r="K136" s="14">
        <f t="shared" si="25"/>
        <v>148437.64467015926</v>
      </c>
      <c r="L136" s="14">
        <f t="shared" si="26"/>
        <v>190529.53549968911</v>
      </c>
    </row>
    <row r="137" spans="1:12" x14ac:dyDescent="0.3">
      <c r="A137">
        <v>132</v>
      </c>
      <c r="B137" s="13">
        <v>48853</v>
      </c>
      <c r="C137" s="14">
        <f t="shared" si="27"/>
        <v>148437.64467015926</v>
      </c>
      <c r="D137" s="14">
        <f t="shared" si="20"/>
        <v>1454.4239351121303</v>
      </c>
      <c r="E137" s="14">
        <f t="shared" si="21"/>
        <v>217.44356286080301</v>
      </c>
      <c r="F137" s="12">
        <f t="shared" si="22"/>
        <v>1.7578578265154819E-2</v>
      </c>
      <c r="G137" s="14">
        <f t="shared" si="23"/>
        <v>1236.9803722513273</v>
      </c>
      <c r="H137" s="12">
        <f t="shared" si="24"/>
        <v>0.1</v>
      </c>
      <c r="I137" s="14">
        <f t="shared" si="28"/>
        <v>17512.598892701491</v>
      </c>
      <c r="J137" s="14">
        <f t="shared" si="29"/>
        <v>174471.36054209975</v>
      </c>
      <c r="K137" s="14">
        <f t="shared" si="25"/>
        <v>148220.20110729846</v>
      </c>
      <c r="L137" s="14">
        <f t="shared" si="26"/>
        <v>191983.95943480125</v>
      </c>
    </row>
    <row r="138" spans="1:12" x14ac:dyDescent="0.3">
      <c r="A138">
        <v>133</v>
      </c>
      <c r="B138" s="13">
        <v>48884</v>
      </c>
      <c r="C138" s="14">
        <f t="shared" si="27"/>
        <v>148220.20110729846</v>
      </c>
      <c r="D138" s="14">
        <f t="shared" si="20"/>
        <v>1454.4239351121303</v>
      </c>
      <c r="E138" s="14">
        <f t="shared" si="21"/>
        <v>219.25559255130975</v>
      </c>
      <c r="F138" s="12">
        <f t="shared" si="22"/>
        <v>1.7751069631264733E-2</v>
      </c>
      <c r="G138" s="14">
        <f t="shared" si="23"/>
        <v>1235.1683425608205</v>
      </c>
      <c r="H138" s="12">
        <f t="shared" si="24"/>
        <v>0.1</v>
      </c>
      <c r="I138" s="14">
        <f t="shared" si="28"/>
        <v>17731.854485252799</v>
      </c>
      <c r="J138" s="14">
        <f t="shared" si="29"/>
        <v>175706.52888466057</v>
      </c>
      <c r="K138" s="14">
        <f t="shared" si="25"/>
        <v>148000.94551474715</v>
      </c>
      <c r="L138" s="14">
        <f t="shared" si="26"/>
        <v>193438.38336991338</v>
      </c>
    </row>
    <row r="139" spans="1:12" x14ac:dyDescent="0.3">
      <c r="A139">
        <v>134</v>
      </c>
      <c r="B139" s="13">
        <v>48914</v>
      </c>
      <c r="C139" s="14">
        <f t="shared" si="27"/>
        <v>148000.94551474715</v>
      </c>
      <c r="D139" s="14">
        <f t="shared" si="20"/>
        <v>1454.4239351121303</v>
      </c>
      <c r="E139" s="14">
        <f t="shared" si="21"/>
        <v>221.08272248923731</v>
      </c>
      <c r="F139" s="12">
        <f t="shared" si="22"/>
        <v>1.7925511628616574E-2</v>
      </c>
      <c r="G139" s="14">
        <f t="shared" si="23"/>
        <v>1233.341212622893</v>
      </c>
      <c r="H139" s="12">
        <f t="shared" si="24"/>
        <v>0.1</v>
      </c>
      <c r="I139" s="14">
        <f t="shared" si="28"/>
        <v>17952.937207742038</v>
      </c>
      <c r="J139" s="14">
        <f t="shared" si="29"/>
        <v>176939.87009728345</v>
      </c>
      <c r="K139" s="14">
        <f t="shared" si="25"/>
        <v>147779.86279225792</v>
      </c>
      <c r="L139" s="14">
        <f t="shared" si="26"/>
        <v>194892.80730502549</v>
      </c>
    </row>
    <row r="140" spans="1:12" x14ac:dyDescent="0.3">
      <c r="A140">
        <v>135</v>
      </c>
      <c r="B140" s="13">
        <v>48945</v>
      </c>
      <c r="C140" s="14">
        <f t="shared" si="27"/>
        <v>147779.86279225792</v>
      </c>
      <c r="D140" s="14">
        <f t="shared" si="20"/>
        <v>1454.4239351121303</v>
      </c>
      <c r="E140" s="14">
        <f t="shared" si="21"/>
        <v>222.92507850998095</v>
      </c>
      <c r="F140" s="12">
        <f t="shared" si="22"/>
        <v>1.8101931424041883E-2</v>
      </c>
      <c r="G140" s="14">
        <f t="shared" si="23"/>
        <v>1231.4988566021493</v>
      </c>
      <c r="H140" s="12">
        <f t="shared" si="24"/>
        <v>0.1</v>
      </c>
      <c r="I140" s="14">
        <f t="shared" si="28"/>
        <v>18175.862286252017</v>
      </c>
      <c r="J140" s="14">
        <f t="shared" si="29"/>
        <v>178171.3689538856</v>
      </c>
      <c r="K140" s="14">
        <f t="shared" si="25"/>
        <v>147556.93771374793</v>
      </c>
      <c r="L140" s="14">
        <f t="shared" si="26"/>
        <v>196347.23124013763</v>
      </c>
    </row>
    <row r="141" spans="1:12" x14ac:dyDescent="0.3">
      <c r="A141">
        <v>136</v>
      </c>
      <c r="B141" s="13">
        <v>48976</v>
      </c>
      <c r="C141" s="14">
        <f t="shared" si="27"/>
        <v>147556.93771374793</v>
      </c>
      <c r="D141" s="14">
        <f t="shared" si="20"/>
        <v>1454.4239351121303</v>
      </c>
      <c r="E141" s="14">
        <f t="shared" si="21"/>
        <v>224.78278749756419</v>
      </c>
      <c r="F141" s="12">
        <f t="shared" si="22"/>
        <v>1.8280356666140363E-2</v>
      </c>
      <c r="G141" s="14">
        <f t="shared" si="23"/>
        <v>1229.6411476145661</v>
      </c>
      <c r="H141" s="12">
        <f t="shared" si="24"/>
        <v>0.1</v>
      </c>
      <c r="I141" s="14">
        <f t="shared" si="28"/>
        <v>18400.64507374958</v>
      </c>
      <c r="J141" s="14">
        <f t="shared" si="29"/>
        <v>179401.01010150017</v>
      </c>
      <c r="K141" s="14">
        <f t="shared" si="25"/>
        <v>147332.15492625037</v>
      </c>
      <c r="L141" s="14">
        <f t="shared" si="26"/>
        <v>197801.65517524976</v>
      </c>
    </row>
    <row r="142" spans="1:12" x14ac:dyDescent="0.3">
      <c r="A142">
        <v>137</v>
      </c>
      <c r="B142" s="13">
        <v>49004</v>
      </c>
      <c r="C142" s="14">
        <f t="shared" si="27"/>
        <v>147332.15492625037</v>
      </c>
      <c r="D142" s="14">
        <f t="shared" si="20"/>
        <v>1454.4239351121303</v>
      </c>
      <c r="E142" s="14">
        <f t="shared" si="21"/>
        <v>226.65597739337727</v>
      </c>
      <c r="F142" s="12">
        <f t="shared" si="22"/>
        <v>1.8460815495992749E-2</v>
      </c>
      <c r="G142" s="14">
        <f t="shared" si="23"/>
        <v>1227.767957718753</v>
      </c>
      <c r="H142" s="12">
        <f t="shared" si="24"/>
        <v>0.1</v>
      </c>
      <c r="I142" s="14">
        <f t="shared" si="28"/>
        <v>18627.301051142957</v>
      </c>
      <c r="J142" s="14">
        <f t="shared" si="29"/>
        <v>180628.77805921892</v>
      </c>
      <c r="K142" s="14">
        <f t="shared" si="25"/>
        <v>147105.49894885698</v>
      </c>
      <c r="L142" s="14">
        <f t="shared" si="26"/>
        <v>199256.07911036187</v>
      </c>
    </row>
    <row r="143" spans="1:12" x14ac:dyDescent="0.3">
      <c r="A143">
        <v>138</v>
      </c>
      <c r="B143" s="13">
        <v>49035</v>
      </c>
      <c r="C143" s="14">
        <f t="shared" si="27"/>
        <v>147105.49894885698</v>
      </c>
      <c r="D143" s="14">
        <f t="shared" si="20"/>
        <v>1454.4239351121303</v>
      </c>
      <c r="E143" s="14">
        <f t="shared" si="21"/>
        <v>228.5447772049888</v>
      </c>
      <c r="F143" s="12">
        <f t="shared" si="22"/>
        <v>1.8643336558161853E-2</v>
      </c>
      <c r="G143" s="14">
        <f t="shared" si="23"/>
        <v>1225.8791579071415</v>
      </c>
      <c r="H143" s="12">
        <f t="shared" si="24"/>
        <v>0.1</v>
      </c>
      <c r="I143" s="14">
        <f t="shared" si="28"/>
        <v>18855.845828347945</v>
      </c>
      <c r="J143" s="14">
        <f t="shared" si="29"/>
        <v>181854.65721712608</v>
      </c>
      <c r="K143" s="14">
        <f t="shared" si="25"/>
        <v>146876.954171652</v>
      </c>
      <c r="L143" s="14">
        <f t="shared" si="26"/>
        <v>200710.50304547403</v>
      </c>
    </row>
    <row r="144" spans="1:12" x14ac:dyDescent="0.3">
      <c r="A144">
        <v>139</v>
      </c>
      <c r="B144" s="13">
        <v>49065</v>
      </c>
      <c r="C144" s="14">
        <f t="shared" si="27"/>
        <v>146876.954171652</v>
      </c>
      <c r="D144" s="14">
        <f t="shared" si="20"/>
        <v>1454.4239351121303</v>
      </c>
      <c r="E144" s="14">
        <f t="shared" si="21"/>
        <v>230.44931701503015</v>
      </c>
      <c r="F144" s="12">
        <f t="shared" si="22"/>
        <v>1.8827949011990721E-2</v>
      </c>
      <c r="G144" s="14">
        <f t="shared" si="23"/>
        <v>1223.9746180971001</v>
      </c>
      <c r="H144" s="12">
        <f t="shared" si="24"/>
        <v>0.1</v>
      </c>
      <c r="I144" s="14">
        <f t="shared" si="28"/>
        <v>19086.295145362976</v>
      </c>
      <c r="J144" s="14">
        <f t="shared" si="29"/>
        <v>183078.63183522318</v>
      </c>
      <c r="K144" s="14">
        <f t="shared" si="25"/>
        <v>146646.50485463697</v>
      </c>
      <c r="L144" s="14">
        <f t="shared" si="26"/>
        <v>202164.92698058614</v>
      </c>
    </row>
    <row r="145" spans="1:12" x14ac:dyDescent="0.3">
      <c r="A145">
        <v>140</v>
      </c>
      <c r="B145" s="13">
        <v>49096</v>
      </c>
      <c r="C145" s="14">
        <f t="shared" si="27"/>
        <v>146646.50485463697</v>
      </c>
      <c r="D145" s="14">
        <f t="shared" si="20"/>
        <v>1454.4239351121303</v>
      </c>
      <c r="E145" s="14">
        <f t="shared" si="21"/>
        <v>232.36972799015552</v>
      </c>
      <c r="F145" s="12">
        <f t="shared" si="22"/>
        <v>1.9014682543207546E-2</v>
      </c>
      <c r="G145" s="14">
        <f t="shared" si="23"/>
        <v>1222.0542071219747</v>
      </c>
      <c r="H145" s="12">
        <f t="shared" si="24"/>
        <v>0.1</v>
      </c>
      <c r="I145" s="14">
        <f t="shared" si="28"/>
        <v>19318.664873353133</v>
      </c>
      <c r="J145" s="14">
        <f t="shared" si="29"/>
        <v>184300.68604234516</v>
      </c>
      <c r="K145" s="14">
        <f t="shared" si="25"/>
        <v>146414.13512664681</v>
      </c>
      <c r="L145" s="14">
        <f t="shared" si="26"/>
        <v>203619.35091569828</v>
      </c>
    </row>
    <row r="146" spans="1:12" x14ac:dyDescent="0.3">
      <c r="A146">
        <v>141</v>
      </c>
      <c r="B146" s="13">
        <v>49126</v>
      </c>
      <c r="C146" s="14">
        <f t="shared" si="27"/>
        <v>146414.13512664681</v>
      </c>
      <c r="D146" s="14">
        <f t="shared" si="20"/>
        <v>1454.4239351121303</v>
      </c>
      <c r="E146" s="14">
        <f t="shared" si="21"/>
        <v>234.30614239007355</v>
      </c>
      <c r="F146" s="12">
        <f t="shared" si="22"/>
        <v>1.9203567375846685E-2</v>
      </c>
      <c r="G146" s="14">
        <f t="shared" si="23"/>
        <v>1220.1177927220567</v>
      </c>
      <c r="H146" s="12">
        <f t="shared" si="24"/>
        <v>0.1</v>
      </c>
      <c r="I146" s="14">
        <f t="shared" si="28"/>
        <v>19552.971015743205</v>
      </c>
      <c r="J146" s="14">
        <f t="shared" si="29"/>
        <v>185520.80383506723</v>
      </c>
      <c r="K146" s="14">
        <f t="shared" si="25"/>
        <v>146179.82898425675</v>
      </c>
      <c r="L146" s="14">
        <f t="shared" si="26"/>
        <v>205073.77485081044</v>
      </c>
    </row>
    <row r="147" spans="1:12" x14ac:dyDescent="0.3">
      <c r="A147">
        <v>142</v>
      </c>
      <c r="B147" s="13">
        <v>49157</v>
      </c>
      <c r="C147" s="14">
        <f t="shared" si="27"/>
        <v>146179.82898425675</v>
      </c>
      <c r="D147" s="14">
        <f t="shared" si="20"/>
        <v>1454.4239351121303</v>
      </c>
      <c r="E147" s="14">
        <f t="shared" si="21"/>
        <v>236.25869357665738</v>
      </c>
      <c r="F147" s="12">
        <f t="shared" si="22"/>
        <v>1.9394634284496413E-2</v>
      </c>
      <c r="G147" s="14">
        <f t="shared" si="23"/>
        <v>1218.1652415354729</v>
      </c>
      <c r="H147" s="12">
        <f t="shared" si="24"/>
        <v>0.1</v>
      </c>
      <c r="I147" s="14">
        <f t="shared" si="28"/>
        <v>19789.229709319861</v>
      </c>
      <c r="J147" s="14">
        <f t="shared" si="29"/>
        <v>186738.96907660269</v>
      </c>
      <c r="K147" s="14">
        <f t="shared" si="25"/>
        <v>145943.5702906801</v>
      </c>
      <c r="L147" s="14">
        <f t="shared" si="26"/>
        <v>206528.19878592255</v>
      </c>
    </row>
    <row r="148" spans="1:12" x14ac:dyDescent="0.3">
      <c r="A148">
        <v>143</v>
      </c>
      <c r="B148" s="13">
        <v>49188</v>
      </c>
      <c r="C148" s="14">
        <f t="shared" si="27"/>
        <v>145943.5702906801</v>
      </c>
      <c r="D148" s="14">
        <f t="shared" si="20"/>
        <v>1454.4239351121303</v>
      </c>
      <c r="E148" s="14">
        <f t="shared" si="21"/>
        <v>238.22751602312951</v>
      </c>
      <c r="F148" s="12">
        <f t="shared" si="22"/>
        <v>1.9587914606883586E-2</v>
      </c>
      <c r="G148" s="14">
        <f t="shared" si="23"/>
        <v>1216.1964190890008</v>
      </c>
      <c r="H148" s="12">
        <f t="shared" si="24"/>
        <v>0.1</v>
      </c>
      <c r="I148" s="14">
        <f t="shared" si="28"/>
        <v>20027.457225342991</v>
      </c>
      <c r="J148" s="14">
        <f t="shared" si="29"/>
        <v>187955.1654956917</v>
      </c>
      <c r="K148" s="14">
        <f t="shared" si="25"/>
        <v>145705.34277465698</v>
      </c>
      <c r="L148" s="14">
        <f t="shared" si="26"/>
        <v>207982.62272103468</v>
      </c>
    </row>
    <row r="149" spans="1:12" x14ac:dyDescent="0.3">
      <c r="A149">
        <v>144</v>
      </c>
      <c r="B149" s="13">
        <v>49218</v>
      </c>
      <c r="C149" s="14">
        <f t="shared" si="27"/>
        <v>145705.34277465698</v>
      </c>
      <c r="D149" s="14">
        <f t="shared" si="20"/>
        <v>1454.4239351121303</v>
      </c>
      <c r="E149" s="14">
        <f t="shared" si="21"/>
        <v>240.21274532332222</v>
      </c>
      <c r="F149" s="12">
        <f t="shared" si="22"/>
        <v>1.9783440256806003E-2</v>
      </c>
      <c r="G149" s="14">
        <f t="shared" si="23"/>
        <v>1214.211189788808</v>
      </c>
      <c r="H149" s="12">
        <f t="shared" si="24"/>
        <v>0.1</v>
      </c>
      <c r="I149" s="14">
        <f t="shared" si="28"/>
        <v>20267.669970666313</v>
      </c>
      <c r="J149" s="14">
        <f t="shared" si="29"/>
        <v>189169.3766854805</v>
      </c>
      <c r="K149" s="14">
        <f t="shared" si="25"/>
        <v>145465.13002933367</v>
      </c>
      <c r="L149" s="14">
        <f t="shared" si="26"/>
        <v>209437.04665614682</v>
      </c>
    </row>
    <row r="150" spans="1:12" x14ac:dyDescent="0.3">
      <c r="A150">
        <v>145</v>
      </c>
      <c r="B150" s="13">
        <v>49249</v>
      </c>
      <c r="C150" s="14">
        <f t="shared" si="27"/>
        <v>145465.13002933367</v>
      </c>
      <c r="D150" s="14">
        <f t="shared" si="20"/>
        <v>1454.4239351121303</v>
      </c>
      <c r="E150" s="14">
        <f t="shared" si="21"/>
        <v>242.21451820101629</v>
      </c>
      <c r="F150" s="12">
        <f t="shared" si="22"/>
        <v>1.9981243737424031E-2</v>
      </c>
      <c r="G150" s="14">
        <f t="shared" si="23"/>
        <v>1212.209416911114</v>
      </c>
      <c r="H150" s="12">
        <f t="shared" si="24"/>
        <v>0.1</v>
      </c>
      <c r="I150" s="14">
        <f t="shared" si="28"/>
        <v>20509.88448886733</v>
      </c>
      <c r="J150" s="14">
        <f t="shared" si="29"/>
        <v>190381.58610239162</v>
      </c>
      <c r="K150" s="14">
        <f t="shared" si="25"/>
        <v>145222.91551113265</v>
      </c>
      <c r="L150" s="14">
        <f t="shared" si="26"/>
        <v>210891.47059125896</v>
      </c>
    </row>
    <row r="151" spans="1:12" x14ac:dyDescent="0.3">
      <c r="A151">
        <v>146</v>
      </c>
      <c r="B151" s="13">
        <v>49279</v>
      </c>
      <c r="C151" s="14">
        <f t="shared" si="27"/>
        <v>145222.91551113265</v>
      </c>
      <c r="D151" s="14">
        <f t="shared" si="20"/>
        <v>1454.4239351121303</v>
      </c>
      <c r="E151" s="14">
        <f t="shared" si="21"/>
        <v>244.2329725193581</v>
      </c>
      <c r="F151" s="12">
        <f t="shared" si="22"/>
        <v>2.0181358154923043E-2</v>
      </c>
      <c r="G151" s="14">
        <f t="shared" si="23"/>
        <v>1210.1909625927722</v>
      </c>
      <c r="H151" s="12">
        <f t="shared" si="24"/>
        <v>0.1</v>
      </c>
      <c r="I151" s="14">
        <f t="shared" si="28"/>
        <v>20754.11746138669</v>
      </c>
      <c r="J151" s="14">
        <f t="shared" si="29"/>
        <v>191591.7770649844</v>
      </c>
      <c r="K151" s="14">
        <f t="shared" si="25"/>
        <v>144978.6825386133</v>
      </c>
      <c r="L151" s="14">
        <f t="shared" si="26"/>
        <v>212345.89452637109</v>
      </c>
    </row>
    <row r="152" spans="1:12" x14ac:dyDescent="0.3">
      <c r="A152">
        <v>147</v>
      </c>
      <c r="B152" s="13">
        <v>49310</v>
      </c>
      <c r="C152" s="14">
        <f t="shared" si="27"/>
        <v>144978.6825386133</v>
      </c>
      <c r="D152" s="14">
        <f t="shared" si="20"/>
        <v>1454.4239351121303</v>
      </c>
      <c r="E152" s="14">
        <f t="shared" si="21"/>
        <v>246.26824729035275</v>
      </c>
      <c r="F152" s="12">
        <f t="shared" si="22"/>
        <v>2.0383817232558631E-2</v>
      </c>
      <c r="G152" s="14">
        <f t="shared" si="23"/>
        <v>1208.1556878217775</v>
      </c>
      <c r="H152" s="12">
        <f t="shared" si="24"/>
        <v>0.1</v>
      </c>
      <c r="I152" s="14">
        <f t="shared" si="28"/>
        <v>21000.385708677044</v>
      </c>
      <c r="J152" s="14">
        <f t="shared" si="29"/>
        <v>192799.93275280617</v>
      </c>
      <c r="K152" s="14">
        <f t="shared" si="25"/>
        <v>144732.41429132296</v>
      </c>
      <c r="L152" s="14">
        <f t="shared" si="26"/>
        <v>213800.31846148323</v>
      </c>
    </row>
    <row r="153" spans="1:12" x14ac:dyDescent="0.3">
      <c r="A153">
        <v>148</v>
      </c>
      <c r="B153" s="13">
        <v>49341</v>
      </c>
      <c r="C153" s="14">
        <f t="shared" si="27"/>
        <v>144732.41429132296</v>
      </c>
      <c r="D153" s="14">
        <f t="shared" si="20"/>
        <v>1454.4239351121303</v>
      </c>
      <c r="E153" s="14">
        <f t="shared" si="21"/>
        <v>248.32048268443896</v>
      </c>
      <c r="F153" s="12">
        <f t="shared" si="22"/>
        <v>2.0588655325097523E-2</v>
      </c>
      <c r="G153" s="14">
        <f t="shared" si="23"/>
        <v>1206.1034524276913</v>
      </c>
      <c r="H153" s="12">
        <f t="shared" si="24"/>
        <v>0.1</v>
      </c>
      <c r="I153" s="14">
        <f t="shared" si="28"/>
        <v>21248.706191361482</v>
      </c>
      <c r="J153" s="14">
        <f t="shared" si="29"/>
        <v>194006.03620523386</v>
      </c>
      <c r="K153" s="14">
        <f t="shared" si="25"/>
        <v>144484.09380863851</v>
      </c>
      <c r="L153" s="14">
        <f t="shared" si="26"/>
        <v>215254.74239659533</v>
      </c>
    </row>
    <row r="154" spans="1:12" x14ac:dyDescent="0.3">
      <c r="A154">
        <v>149</v>
      </c>
      <c r="B154" s="13">
        <v>49369</v>
      </c>
      <c r="C154" s="14">
        <f t="shared" si="27"/>
        <v>144484.09380863851</v>
      </c>
      <c r="D154" s="14">
        <f t="shared" si="20"/>
        <v>1454.4239351121303</v>
      </c>
      <c r="E154" s="14">
        <f t="shared" si="21"/>
        <v>250.38982004014269</v>
      </c>
      <c r="F154" s="12">
        <f t="shared" si="22"/>
        <v>2.0795907433667042E-2</v>
      </c>
      <c r="G154" s="14">
        <f t="shared" si="23"/>
        <v>1204.0341150719876</v>
      </c>
      <c r="H154" s="12">
        <f t="shared" si="24"/>
        <v>0.1</v>
      </c>
      <c r="I154" s="14">
        <f t="shared" si="28"/>
        <v>21499.096011401623</v>
      </c>
      <c r="J154" s="14">
        <f t="shared" si="29"/>
        <v>195210.07032030585</v>
      </c>
      <c r="K154" s="14">
        <f t="shared" si="25"/>
        <v>144233.70398859837</v>
      </c>
      <c r="L154" s="14">
        <f t="shared" si="26"/>
        <v>216709.16633170747</v>
      </c>
    </row>
    <row r="155" spans="1:12" x14ac:dyDescent="0.3">
      <c r="A155">
        <v>150</v>
      </c>
      <c r="B155" s="13">
        <v>49400</v>
      </c>
      <c r="C155" s="14">
        <f t="shared" si="27"/>
        <v>144233.70398859837</v>
      </c>
      <c r="D155" s="14">
        <f t="shared" si="20"/>
        <v>1454.4239351121303</v>
      </c>
      <c r="E155" s="14">
        <f t="shared" si="21"/>
        <v>252.47640187381057</v>
      </c>
      <c r="F155" s="12">
        <f t="shared" si="22"/>
        <v>2.1005609221026629E-2</v>
      </c>
      <c r="G155" s="14">
        <f t="shared" si="23"/>
        <v>1201.9475332383197</v>
      </c>
      <c r="H155" s="12">
        <f t="shared" si="24"/>
        <v>0.1</v>
      </c>
      <c r="I155" s="14">
        <f t="shared" si="28"/>
        <v>21751.572413275433</v>
      </c>
      <c r="J155" s="14">
        <f t="shared" si="29"/>
        <v>196412.01785354418</v>
      </c>
      <c r="K155" s="14">
        <f t="shared" si="25"/>
        <v>143981.22758672456</v>
      </c>
      <c r="L155" s="14">
        <f t="shared" si="26"/>
        <v>218163.59026681961</v>
      </c>
    </row>
    <row r="156" spans="1:12" x14ac:dyDescent="0.3">
      <c r="A156">
        <v>151</v>
      </c>
      <c r="B156" s="13">
        <v>49430</v>
      </c>
      <c r="C156" s="14">
        <f t="shared" si="27"/>
        <v>143981.22758672456</v>
      </c>
      <c r="D156" s="14">
        <f t="shared" si="20"/>
        <v>1454.4239351121303</v>
      </c>
      <c r="E156" s="14">
        <f t="shared" si="21"/>
        <v>254.58037188942558</v>
      </c>
      <c r="F156" s="12">
        <f t="shared" si="22"/>
        <v>2.1217797027275675E-2</v>
      </c>
      <c r="G156" s="14">
        <f t="shared" si="23"/>
        <v>1199.8435632227047</v>
      </c>
      <c r="H156" s="12">
        <f t="shared" si="24"/>
        <v>0.1</v>
      </c>
      <c r="I156" s="14">
        <f t="shared" si="28"/>
        <v>22006.152785164857</v>
      </c>
      <c r="J156" s="14">
        <f t="shared" si="29"/>
        <v>197611.86141676689</v>
      </c>
      <c r="K156" s="14">
        <f t="shared" si="25"/>
        <v>143726.64721483513</v>
      </c>
      <c r="L156" s="14">
        <f t="shared" si="26"/>
        <v>219618.01420193174</v>
      </c>
    </row>
    <row r="157" spans="1:12" x14ac:dyDescent="0.3">
      <c r="A157">
        <v>152</v>
      </c>
      <c r="B157" s="13">
        <v>49461</v>
      </c>
      <c r="C157" s="14">
        <f t="shared" si="27"/>
        <v>143726.64721483513</v>
      </c>
      <c r="D157" s="14">
        <f t="shared" si="20"/>
        <v>1454.4239351121303</v>
      </c>
      <c r="E157" s="14">
        <f t="shared" si="21"/>
        <v>256.70187498850419</v>
      </c>
      <c r="F157" s="12">
        <f t="shared" si="22"/>
        <v>2.1432507886012222E-2</v>
      </c>
      <c r="G157" s="14">
        <f t="shared" si="23"/>
        <v>1197.7220601236261</v>
      </c>
      <c r="H157" s="12">
        <f t="shared" si="24"/>
        <v>0.1</v>
      </c>
      <c r="I157" s="14">
        <f t="shared" si="28"/>
        <v>22262.85466015336</v>
      </c>
      <c r="J157" s="14">
        <f t="shared" si="29"/>
        <v>198809.58347689052</v>
      </c>
      <c r="K157" s="14">
        <f t="shared" si="25"/>
        <v>143469.94533984663</v>
      </c>
      <c r="L157" s="14">
        <f t="shared" si="26"/>
        <v>221072.43813704388</v>
      </c>
    </row>
    <row r="158" spans="1:12" x14ac:dyDescent="0.3">
      <c r="A158">
        <v>153</v>
      </c>
      <c r="B158" s="13">
        <v>49491</v>
      </c>
      <c r="C158" s="14">
        <f t="shared" si="27"/>
        <v>143469.94533984663</v>
      </c>
      <c r="D158" s="14">
        <f t="shared" si="20"/>
        <v>1454.4239351121303</v>
      </c>
      <c r="E158" s="14">
        <f t="shared" si="21"/>
        <v>258.84105728007512</v>
      </c>
      <c r="F158" s="12">
        <f t="shared" si="22"/>
        <v>2.1649779540957495E-2</v>
      </c>
      <c r="G158" s="14">
        <f t="shared" si="23"/>
        <v>1195.5828778320551</v>
      </c>
      <c r="H158" s="12">
        <f t="shared" si="24"/>
        <v>0.1</v>
      </c>
      <c r="I158" s="14">
        <f t="shared" si="28"/>
        <v>22521.695717433435</v>
      </c>
      <c r="J158" s="14">
        <f t="shared" si="29"/>
        <v>200005.16635472258</v>
      </c>
      <c r="K158" s="14">
        <f t="shared" si="25"/>
        <v>143211.10428256655</v>
      </c>
      <c r="L158" s="14">
        <f t="shared" si="26"/>
        <v>222526.86207215601</v>
      </c>
    </row>
    <row r="159" spans="1:12" x14ac:dyDescent="0.3">
      <c r="A159">
        <v>154</v>
      </c>
      <c r="B159" s="13">
        <v>49522</v>
      </c>
      <c r="C159" s="14">
        <f t="shared" si="27"/>
        <v>143211.10428256655</v>
      </c>
      <c r="D159" s="14">
        <f t="shared" si="20"/>
        <v>1454.4239351121303</v>
      </c>
      <c r="E159" s="14">
        <f t="shared" si="21"/>
        <v>260.99806609074244</v>
      </c>
      <c r="F159" s="12">
        <f t="shared" si="22"/>
        <v>2.1869650463062402E-2</v>
      </c>
      <c r="G159" s="14">
        <f t="shared" si="23"/>
        <v>1193.4258690213878</v>
      </c>
      <c r="H159" s="12">
        <f t="shared" si="24"/>
        <v>0.1</v>
      </c>
      <c r="I159" s="14">
        <f t="shared" si="28"/>
        <v>22782.693783524177</v>
      </c>
      <c r="J159" s="14">
        <f t="shared" si="29"/>
        <v>201198.59222374397</v>
      </c>
      <c r="K159" s="14">
        <f t="shared" si="25"/>
        <v>142950.1062164758</v>
      </c>
      <c r="L159" s="14">
        <f t="shared" si="26"/>
        <v>223981.28600726815</v>
      </c>
    </row>
    <row r="160" spans="1:12" x14ac:dyDescent="0.3">
      <c r="A160">
        <v>155</v>
      </c>
      <c r="B160" s="13">
        <v>49553</v>
      </c>
      <c r="C160" s="14">
        <f t="shared" si="27"/>
        <v>142950.1062164758</v>
      </c>
      <c r="D160" s="14">
        <f t="shared" si="20"/>
        <v>1454.4239351121303</v>
      </c>
      <c r="E160" s="14">
        <f t="shared" si="21"/>
        <v>263.17304997483188</v>
      </c>
      <c r="F160" s="12">
        <f t="shared" si="22"/>
        <v>2.2092159868112055E-2</v>
      </c>
      <c r="G160" s="14">
        <f t="shared" si="23"/>
        <v>1191.2508851372984</v>
      </c>
      <c r="H160" s="12">
        <f t="shared" si="24"/>
        <v>0.1</v>
      </c>
      <c r="I160" s="14">
        <f t="shared" si="28"/>
        <v>23045.866833499007</v>
      </c>
      <c r="J160" s="14">
        <f t="shared" si="29"/>
        <v>202389.84310888126</v>
      </c>
      <c r="K160" s="14">
        <f t="shared" si="25"/>
        <v>142686.93316650097</v>
      </c>
      <c r="L160" s="14">
        <f t="shared" si="26"/>
        <v>225435.70994238026</v>
      </c>
    </row>
    <row r="161" spans="1:12" x14ac:dyDescent="0.3">
      <c r="A161">
        <v>156</v>
      </c>
      <c r="B161" s="13">
        <v>49583</v>
      </c>
      <c r="C161" s="14">
        <f t="shared" si="27"/>
        <v>142686.93316650097</v>
      </c>
      <c r="D161" s="14">
        <f t="shared" si="20"/>
        <v>1454.4239351121303</v>
      </c>
      <c r="E161" s="14">
        <f t="shared" si="21"/>
        <v>265.36615872462221</v>
      </c>
      <c r="F161" s="12">
        <f t="shared" si="22"/>
        <v>2.2317347734845533E-2</v>
      </c>
      <c r="G161" s="14">
        <f t="shared" si="23"/>
        <v>1189.0577763875081</v>
      </c>
      <c r="H161" s="12">
        <f t="shared" si="24"/>
        <v>0.1</v>
      </c>
      <c r="I161" s="14">
        <f t="shared" si="28"/>
        <v>23311.232992223628</v>
      </c>
      <c r="J161" s="14">
        <f t="shared" si="29"/>
        <v>203578.90088526878</v>
      </c>
      <c r="K161" s="14">
        <f t="shared" si="25"/>
        <v>142421.56700777635</v>
      </c>
      <c r="L161" s="14">
        <f t="shared" si="26"/>
        <v>226890.13387749242</v>
      </c>
    </row>
    <row r="162" spans="1:12" x14ac:dyDescent="0.3">
      <c r="A162">
        <v>157</v>
      </c>
      <c r="B162" s="13">
        <v>49614</v>
      </c>
      <c r="C162" s="14">
        <f t="shared" si="27"/>
        <v>142421.56700777635</v>
      </c>
      <c r="D162" s="14">
        <f t="shared" si="20"/>
        <v>1454.4239351121303</v>
      </c>
      <c r="E162" s="14">
        <f t="shared" si="21"/>
        <v>267.5775433806607</v>
      </c>
      <c r="F162" s="12">
        <f t="shared" si="22"/>
        <v>2.2545254823608342E-2</v>
      </c>
      <c r="G162" s="14">
        <f t="shared" si="23"/>
        <v>1186.8463917314696</v>
      </c>
      <c r="H162" s="12">
        <f t="shared" si="24"/>
        <v>0.1</v>
      </c>
      <c r="I162" s="14">
        <f t="shared" si="28"/>
        <v>23578.810535604287</v>
      </c>
      <c r="J162" s="14">
        <f t="shared" si="29"/>
        <v>204765.74727700025</v>
      </c>
      <c r="K162" s="14">
        <f t="shared" si="25"/>
        <v>142153.98946439568</v>
      </c>
      <c r="L162" s="14">
        <f t="shared" si="26"/>
        <v>228344.55781260453</v>
      </c>
    </row>
    <row r="163" spans="1:12" x14ac:dyDescent="0.3">
      <c r="A163">
        <v>158</v>
      </c>
      <c r="B163" s="13">
        <v>49644</v>
      </c>
      <c r="C163" s="14">
        <f t="shared" si="27"/>
        <v>142153.98946439568</v>
      </c>
      <c r="D163" s="14">
        <f t="shared" si="20"/>
        <v>1454.4239351121303</v>
      </c>
      <c r="E163" s="14">
        <f t="shared" si="21"/>
        <v>269.80735624216618</v>
      </c>
      <c r="F163" s="12">
        <f t="shared" si="22"/>
        <v>2.2775922695556255E-2</v>
      </c>
      <c r="G163" s="14">
        <f t="shared" si="23"/>
        <v>1184.6165788699641</v>
      </c>
      <c r="H163" s="12">
        <f t="shared" si="24"/>
        <v>0.1</v>
      </c>
      <c r="I163" s="14">
        <f t="shared" si="28"/>
        <v>23848.617891846454</v>
      </c>
      <c r="J163" s="14">
        <f t="shared" si="29"/>
        <v>205950.36385587021</v>
      </c>
      <c r="K163" s="14">
        <f t="shared" si="25"/>
        <v>141884.1821081535</v>
      </c>
      <c r="L163" s="14">
        <f t="shared" si="26"/>
        <v>229798.98174771667</v>
      </c>
    </row>
    <row r="164" spans="1:12" x14ac:dyDescent="0.3">
      <c r="A164">
        <v>159</v>
      </c>
      <c r="B164" s="13">
        <v>49675</v>
      </c>
      <c r="C164" s="14">
        <f t="shared" si="27"/>
        <v>141884.1821081535</v>
      </c>
      <c r="D164" s="14">
        <f t="shared" si="20"/>
        <v>1454.4239351121303</v>
      </c>
      <c r="E164" s="14">
        <f t="shared" si="21"/>
        <v>272.05575087751777</v>
      </c>
      <c r="F164" s="12">
        <f t="shared" si="22"/>
        <v>2.300939373242936E-2</v>
      </c>
      <c r="G164" s="14">
        <f t="shared" si="23"/>
        <v>1182.3681842346125</v>
      </c>
      <c r="H164" s="12">
        <f t="shared" si="24"/>
        <v>0.1</v>
      </c>
      <c r="I164" s="14">
        <f t="shared" si="28"/>
        <v>24120.67364272397</v>
      </c>
      <c r="J164" s="14">
        <f t="shared" si="29"/>
        <v>207132.73204010483</v>
      </c>
      <c r="K164" s="14">
        <f t="shared" si="25"/>
        <v>141612.12635727599</v>
      </c>
      <c r="L164" s="14">
        <f t="shared" si="26"/>
        <v>231253.4056828288</v>
      </c>
    </row>
    <row r="165" spans="1:12" x14ac:dyDescent="0.3">
      <c r="A165">
        <v>160</v>
      </c>
      <c r="B165" s="13">
        <v>49706</v>
      </c>
      <c r="C165" s="14">
        <f t="shared" si="27"/>
        <v>141612.12635727599</v>
      </c>
      <c r="D165" s="14">
        <f t="shared" si="20"/>
        <v>1454.4239351121303</v>
      </c>
      <c r="E165" s="14">
        <f t="shared" si="21"/>
        <v>274.32288213483025</v>
      </c>
      <c r="F165" s="12">
        <f t="shared" si="22"/>
        <v>2.3245711156916243E-2</v>
      </c>
      <c r="G165" s="14">
        <f t="shared" si="23"/>
        <v>1180.1010529773</v>
      </c>
      <c r="H165" s="12">
        <f t="shared" si="24"/>
        <v>0.1</v>
      </c>
      <c r="I165" s="14">
        <f t="shared" si="28"/>
        <v>24394.996524858801</v>
      </c>
      <c r="J165" s="14">
        <f t="shared" si="29"/>
        <v>208312.83309308212</v>
      </c>
      <c r="K165" s="14">
        <f t="shared" si="25"/>
        <v>141337.80347514118</v>
      </c>
      <c r="L165" s="14">
        <f t="shared" si="26"/>
        <v>232707.82961794094</v>
      </c>
    </row>
    <row r="166" spans="1:12" x14ac:dyDescent="0.3">
      <c r="A166">
        <v>161</v>
      </c>
      <c r="B166" s="13">
        <v>49735</v>
      </c>
      <c r="C166" s="14">
        <f t="shared" si="27"/>
        <v>141337.80347514118</v>
      </c>
      <c r="D166" s="14">
        <f t="shared" si="20"/>
        <v>1454.4239351121303</v>
      </c>
      <c r="E166" s="14">
        <f t="shared" si="21"/>
        <v>276.60890615262042</v>
      </c>
      <c r="F166" s="12">
        <f t="shared" si="22"/>
        <v>2.3484919053629219E-2</v>
      </c>
      <c r="G166" s="14">
        <f t="shared" si="23"/>
        <v>1177.8150289595098</v>
      </c>
      <c r="H166" s="12">
        <f t="shared" si="24"/>
        <v>0.1</v>
      </c>
      <c r="I166" s="14">
        <f t="shared" si="28"/>
        <v>24671.605431011423</v>
      </c>
      <c r="J166" s="14">
        <f t="shared" si="29"/>
        <v>209490.64812204163</v>
      </c>
      <c r="K166" s="14">
        <f t="shared" si="25"/>
        <v>141061.19456898855</v>
      </c>
      <c r="L166" s="14">
        <f t="shared" si="26"/>
        <v>234162.25355305304</v>
      </c>
    </row>
    <row r="167" spans="1:12" x14ac:dyDescent="0.3">
      <c r="A167">
        <v>162</v>
      </c>
      <c r="B167" s="13">
        <v>49766</v>
      </c>
      <c r="C167" s="14">
        <f t="shared" si="27"/>
        <v>141061.19456898855</v>
      </c>
      <c r="D167" s="14">
        <f t="shared" si="20"/>
        <v>1454.4239351121303</v>
      </c>
      <c r="E167" s="14">
        <f t="shared" si="21"/>
        <v>278.9139803705591</v>
      </c>
      <c r="F167" s="12">
        <f t="shared" si="22"/>
        <v>2.3727062390711668E-2</v>
      </c>
      <c r="G167" s="14">
        <f t="shared" si="23"/>
        <v>1175.5099547415712</v>
      </c>
      <c r="H167" s="12">
        <f t="shared" si="24"/>
        <v>0.1</v>
      </c>
      <c r="I167" s="14">
        <f t="shared" si="28"/>
        <v>24950.519411381982</v>
      </c>
      <c r="J167" s="14">
        <f t="shared" si="29"/>
        <v>210666.15807678321</v>
      </c>
      <c r="K167" s="14">
        <f t="shared" si="25"/>
        <v>140782.28058861798</v>
      </c>
      <c r="L167" s="14">
        <f t="shared" si="26"/>
        <v>235616.67748816518</v>
      </c>
    </row>
    <row r="168" spans="1:12" x14ac:dyDescent="0.3">
      <c r="A168">
        <v>163</v>
      </c>
      <c r="B168" s="13">
        <v>49796</v>
      </c>
      <c r="C168" s="14">
        <f t="shared" si="27"/>
        <v>140782.28058861798</v>
      </c>
      <c r="D168" s="14">
        <f t="shared" si="20"/>
        <v>1454.4239351121303</v>
      </c>
      <c r="E168" s="14">
        <f t="shared" si="21"/>
        <v>281.23826354031371</v>
      </c>
      <c r="F168" s="12">
        <f t="shared" si="22"/>
        <v>2.3972187042100072E-2</v>
      </c>
      <c r="G168" s="14">
        <f t="shared" si="23"/>
        <v>1173.1856715718166</v>
      </c>
      <c r="H168" s="12">
        <f t="shared" si="24"/>
        <v>0.1</v>
      </c>
      <c r="I168" s="14">
        <f t="shared" si="28"/>
        <v>25231.757674922294</v>
      </c>
      <c r="J168" s="14">
        <f t="shared" si="29"/>
        <v>211839.34374835502</v>
      </c>
      <c r="K168" s="14">
        <f t="shared" si="25"/>
        <v>140501.04232507767</v>
      </c>
      <c r="L168" s="14">
        <f t="shared" si="26"/>
        <v>237071.10142327732</v>
      </c>
    </row>
    <row r="169" spans="1:12" x14ac:dyDescent="0.3">
      <c r="A169">
        <v>164</v>
      </c>
      <c r="B169" s="13">
        <v>49827</v>
      </c>
      <c r="C169" s="14">
        <f t="shared" si="27"/>
        <v>140501.04232507767</v>
      </c>
      <c r="D169" s="14">
        <f t="shared" si="20"/>
        <v>1454.4239351121303</v>
      </c>
      <c r="E169" s="14">
        <f t="shared" si="21"/>
        <v>283.5819157364831</v>
      </c>
      <c r="F169" s="12">
        <f t="shared" si="22"/>
        <v>2.422033981046422E-2</v>
      </c>
      <c r="G169" s="14">
        <f t="shared" si="23"/>
        <v>1170.8420193756472</v>
      </c>
      <c r="H169" s="12">
        <f t="shared" si="24"/>
        <v>0.1</v>
      </c>
      <c r="I169" s="14">
        <f t="shared" si="28"/>
        <v>25515.339590658776</v>
      </c>
      <c r="J169" s="14">
        <f t="shared" si="29"/>
        <v>213010.18576773067</v>
      </c>
      <c r="K169" s="14">
        <f t="shared" si="25"/>
        <v>140217.46040934118</v>
      </c>
      <c r="L169" s="14">
        <f t="shared" si="26"/>
        <v>238525.52535838945</v>
      </c>
    </row>
    <row r="170" spans="1:12" x14ac:dyDescent="0.3">
      <c r="A170">
        <v>165</v>
      </c>
      <c r="B170" s="13">
        <v>49857</v>
      </c>
      <c r="C170" s="14">
        <f t="shared" si="27"/>
        <v>140217.46040934118</v>
      </c>
      <c r="D170" s="14">
        <f t="shared" si="20"/>
        <v>1454.4239351121303</v>
      </c>
      <c r="E170" s="14">
        <f t="shared" si="21"/>
        <v>285.9450983676204</v>
      </c>
      <c r="F170" s="12">
        <f t="shared" si="22"/>
        <v>2.4471568450849301E-2</v>
      </c>
      <c r="G170" s="14">
        <f t="shared" si="23"/>
        <v>1168.4788367445099</v>
      </c>
      <c r="H170" s="12">
        <f t="shared" si="24"/>
        <v>0.1</v>
      </c>
      <c r="I170" s="14">
        <f t="shared" si="28"/>
        <v>25801.284689026397</v>
      </c>
      <c r="J170" s="14">
        <f t="shared" si="29"/>
        <v>214178.66460447517</v>
      </c>
      <c r="K170" s="14">
        <f t="shared" si="25"/>
        <v>139931.51531097357</v>
      </c>
      <c r="L170" s="14">
        <f t="shared" si="26"/>
        <v>239979.94929350156</v>
      </c>
    </row>
    <row r="171" spans="1:12" x14ac:dyDescent="0.3">
      <c r="A171">
        <v>166</v>
      </c>
      <c r="B171" s="13">
        <v>49888</v>
      </c>
      <c r="C171" s="14">
        <f t="shared" si="27"/>
        <v>139931.51531097357</v>
      </c>
      <c r="D171" s="14">
        <f t="shared" si="20"/>
        <v>1454.4239351121303</v>
      </c>
      <c r="E171" s="14">
        <f t="shared" si="21"/>
        <v>288.32797418735049</v>
      </c>
      <c r="F171" s="12">
        <f t="shared" si="22"/>
        <v>2.4725921695045592E-2</v>
      </c>
      <c r="G171" s="14">
        <f t="shared" si="23"/>
        <v>1166.0959609247798</v>
      </c>
      <c r="H171" s="12">
        <f t="shared" si="24"/>
        <v>0.1</v>
      </c>
      <c r="I171" s="14">
        <f t="shared" si="28"/>
        <v>26089.612663213749</v>
      </c>
      <c r="J171" s="14">
        <f t="shared" si="29"/>
        <v>215344.76056539995</v>
      </c>
      <c r="K171" s="14">
        <f t="shared" si="25"/>
        <v>139643.18733678621</v>
      </c>
      <c r="L171" s="14">
        <f t="shared" si="26"/>
        <v>241434.37322861369</v>
      </c>
    </row>
    <row r="172" spans="1:12" x14ac:dyDescent="0.3">
      <c r="A172">
        <v>167</v>
      </c>
      <c r="B172" s="13">
        <v>49919</v>
      </c>
      <c r="C172" s="14">
        <f t="shared" si="27"/>
        <v>139643.18733678621</v>
      </c>
      <c r="D172" s="14">
        <f t="shared" si="20"/>
        <v>1454.4239351121303</v>
      </c>
      <c r="E172" s="14">
        <f t="shared" si="21"/>
        <v>290.73070730557856</v>
      </c>
      <c r="F172" s="12">
        <f t="shared" si="22"/>
        <v>2.4983449276711665E-2</v>
      </c>
      <c r="G172" s="14">
        <f t="shared" si="23"/>
        <v>1163.6932278065517</v>
      </c>
      <c r="H172" s="12">
        <f t="shared" si="24"/>
        <v>0.1</v>
      </c>
      <c r="I172" s="14">
        <f t="shared" si="28"/>
        <v>26380.343370519327</v>
      </c>
      <c r="J172" s="14">
        <f t="shared" si="29"/>
        <v>216508.45379320651</v>
      </c>
      <c r="K172" s="14">
        <f t="shared" si="25"/>
        <v>139352.45662948064</v>
      </c>
      <c r="L172" s="14">
        <f t="shared" si="26"/>
        <v>242888.79716372583</v>
      </c>
    </row>
    <row r="173" spans="1:12" x14ac:dyDescent="0.3">
      <c r="A173">
        <v>168</v>
      </c>
      <c r="B173" s="13">
        <v>49949</v>
      </c>
      <c r="C173" s="14">
        <f t="shared" si="27"/>
        <v>139352.45662948064</v>
      </c>
      <c r="D173" s="14">
        <f t="shared" si="20"/>
        <v>1454.4239351121303</v>
      </c>
      <c r="E173" s="14">
        <f t="shared" si="21"/>
        <v>293.15346319979153</v>
      </c>
      <c r="F173" s="12">
        <f t="shared" si="22"/>
        <v>2.5244201957278473E-2</v>
      </c>
      <c r="G173" s="14">
        <f t="shared" si="23"/>
        <v>1161.2704719123387</v>
      </c>
      <c r="H173" s="12">
        <f t="shared" si="24"/>
        <v>0.1</v>
      </c>
      <c r="I173" s="14">
        <f t="shared" si="28"/>
        <v>26673.49683371912</v>
      </c>
      <c r="J173" s="14">
        <f t="shared" si="29"/>
        <v>217669.72426511886</v>
      </c>
      <c r="K173" s="14">
        <f t="shared" si="25"/>
        <v>139059.30316628085</v>
      </c>
      <c r="L173" s="14">
        <f t="shared" si="26"/>
        <v>244343.22109883797</v>
      </c>
    </row>
    <row r="174" spans="1:12" x14ac:dyDescent="0.3">
      <c r="A174">
        <v>169</v>
      </c>
      <c r="B174" s="13">
        <v>49980</v>
      </c>
      <c r="C174" s="14">
        <f t="shared" si="27"/>
        <v>139059.30316628085</v>
      </c>
      <c r="D174" s="14">
        <f t="shared" si="20"/>
        <v>1454.4239351121303</v>
      </c>
      <c r="E174" s="14">
        <f t="shared" si="21"/>
        <v>295.5964087264565</v>
      </c>
      <c r="F174" s="12">
        <f t="shared" si="22"/>
        <v>2.5508231552663164E-2</v>
      </c>
      <c r="G174" s="14">
        <f t="shared" si="23"/>
        <v>1158.8275263856738</v>
      </c>
      <c r="H174" s="12">
        <f t="shared" si="24"/>
        <v>0.1</v>
      </c>
      <c r="I174" s="14">
        <f t="shared" si="28"/>
        <v>26969.093242445575</v>
      </c>
      <c r="J174" s="14">
        <f t="shared" si="29"/>
        <v>218828.55179150452</v>
      </c>
      <c r="K174" s="14">
        <f t="shared" si="25"/>
        <v>138763.70675755441</v>
      </c>
      <c r="L174" s="14">
        <f t="shared" si="26"/>
        <v>245797.6450339501</v>
      </c>
    </row>
    <row r="175" spans="1:12" x14ac:dyDescent="0.3">
      <c r="A175">
        <v>170</v>
      </c>
      <c r="B175" s="13">
        <v>50010</v>
      </c>
      <c r="C175" s="14">
        <f t="shared" si="27"/>
        <v>138763.70675755441</v>
      </c>
      <c r="D175" s="14">
        <f t="shared" si="20"/>
        <v>1454.4239351121303</v>
      </c>
      <c r="E175" s="14">
        <f t="shared" si="21"/>
        <v>298.05971213251019</v>
      </c>
      <c r="F175" s="12">
        <f t="shared" si="22"/>
        <v>2.5775590960821625E-2</v>
      </c>
      <c r="G175" s="14">
        <f t="shared" si="23"/>
        <v>1156.3642229796201</v>
      </c>
      <c r="H175" s="12">
        <f t="shared" si="24"/>
        <v>0.1</v>
      </c>
      <c r="I175" s="14">
        <f t="shared" si="28"/>
        <v>27267.152954578087</v>
      </c>
      <c r="J175" s="14">
        <f t="shared" si="29"/>
        <v>219984.91601448413</v>
      </c>
      <c r="K175" s="14">
        <f t="shared" si="25"/>
        <v>138465.64704542191</v>
      </c>
      <c r="L175" s="14">
        <f t="shared" si="26"/>
        <v>247252.06896906221</v>
      </c>
    </row>
    <row r="176" spans="1:12" x14ac:dyDescent="0.3">
      <c r="A176">
        <v>171</v>
      </c>
      <c r="B176" s="13">
        <v>50041</v>
      </c>
      <c r="C176" s="14">
        <f t="shared" si="27"/>
        <v>138465.64704542191</v>
      </c>
      <c r="D176" s="14">
        <f t="shared" si="20"/>
        <v>1454.4239351121303</v>
      </c>
      <c r="E176" s="14">
        <f t="shared" si="21"/>
        <v>300.54354306694768</v>
      </c>
      <c r="F176" s="12">
        <f t="shared" si="22"/>
        <v>2.6046334190171355E-2</v>
      </c>
      <c r="G176" s="14">
        <f t="shared" si="23"/>
        <v>1153.8803920451826</v>
      </c>
      <c r="H176" s="12">
        <f t="shared" si="24"/>
        <v>0.1</v>
      </c>
      <c r="I176" s="14">
        <f t="shared" si="28"/>
        <v>27567.696497645033</v>
      </c>
      <c r="J176" s="14">
        <f t="shared" si="29"/>
        <v>221138.79640652932</v>
      </c>
      <c r="K176" s="14">
        <f t="shared" si="25"/>
        <v>138165.10350235496</v>
      </c>
      <c r="L176" s="14">
        <f t="shared" si="26"/>
        <v>248706.49290417435</v>
      </c>
    </row>
    <row r="177" spans="1:12" x14ac:dyDescent="0.3">
      <c r="A177">
        <v>172</v>
      </c>
      <c r="B177" s="13">
        <v>50072</v>
      </c>
      <c r="C177" s="14">
        <f t="shared" si="27"/>
        <v>138165.10350235496</v>
      </c>
      <c r="D177" s="14">
        <f t="shared" si="20"/>
        <v>1454.4239351121303</v>
      </c>
      <c r="E177" s="14">
        <f t="shared" si="21"/>
        <v>303.0480725925056</v>
      </c>
      <c r="F177" s="12">
        <f t="shared" si="22"/>
        <v>2.6320516388916422E-2</v>
      </c>
      <c r="G177" s="14">
        <f t="shared" si="23"/>
        <v>1151.3758625196247</v>
      </c>
      <c r="H177" s="12">
        <f t="shared" si="24"/>
        <v>0.1</v>
      </c>
      <c r="I177" s="14">
        <f t="shared" si="28"/>
        <v>27870.744570237537</v>
      </c>
      <c r="J177" s="14">
        <f t="shared" si="29"/>
        <v>222290.17226904896</v>
      </c>
      <c r="K177" s="14">
        <f t="shared" si="25"/>
        <v>137862.05542976246</v>
      </c>
      <c r="L177" s="14">
        <f t="shared" si="26"/>
        <v>250160.91683928648</v>
      </c>
    </row>
    <row r="178" spans="1:12" x14ac:dyDescent="0.3">
      <c r="A178">
        <v>173</v>
      </c>
      <c r="B178" s="13">
        <v>50100</v>
      </c>
      <c r="C178" s="14">
        <f t="shared" si="27"/>
        <v>137862.05542976246</v>
      </c>
      <c r="D178" s="14">
        <f t="shared" si="20"/>
        <v>1454.4239351121303</v>
      </c>
      <c r="E178" s="14">
        <f t="shared" si="21"/>
        <v>305.57347319744304</v>
      </c>
      <c r="F178" s="12">
        <f t="shared" si="22"/>
        <v>2.6598193875308263E-2</v>
      </c>
      <c r="G178" s="14">
        <f t="shared" si="23"/>
        <v>1148.8504619146872</v>
      </c>
      <c r="H178" s="12">
        <f t="shared" si="24"/>
        <v>0.1</v>
      </c>
      <c r="I178" s="14">
        <f t="shared" si="28"/>
        <v>28176.318043434982</v>
      </c>
      <c r="J178" s="14">
        <f t="shared" si="29"/>
        <v>223439.02273096365</v>
      </c>
      <c r="K178" s="14">
        <f t="shared" si="25"/>
        <v>137556.48195656503</v>
      </c>
      <c r="L178" s="14">
        <f t="shared" si="26"/>
        <v>251615.34077439865</v>
      </c>
    </row>
    <row r="179" spans="1:12" x14ac:dyDescent="0.3">
      <c r="A179">
        <v>174</v>
      </c>
      <c r="B179" s="13">
        <v>50131</v>
      </c>
      <c r="C179" s="14">
        <f t="shared" si="27"/>
        <v>137556.48195656503</v>
      </c>
      <c r="D179" s="14">
        <f t="shared" si="20"/>
        <v>1454.4239351121303</v>
      </c>
      <c r="E179" s="14">
        <f t="shared" si="21"/>
        <v>308.11991880742175</v>
      </c>
      <c r="F179" s="12">
        <f t="shared" si="22"/>
        <v>2.6879424168877543E-2</v>
      </c>
      <c r="G179" s="14">
        <f t="shared" si="23"/>
        <v>1146.3040163047085</v>
      </c>
      <c r="H179" s="12">
        <f t="shared" si="24"/>
        <v>0.1</v>
      </c>
      <c r="I179" s="14">
        <f t="shared" si="28"/>
        <v>28484.437962242402</v>
      </c>
      <c r="J179" s="14">
        <f t="shared" si="29"/>
        <v>224585.32674726835</v>
      </c>
      <c r="K179" s="14">
        <f t="shared" si="25"/>
        <v>137248.36203775762</v>
      </c>
      <c r="L179" s="14">
        <f t="shared" si="26"/>
        <v>253069.76470951075</v>
      </c>
    </row>
    <row r="180" spans="1:12" x14ac:dyDescent="0.3">
      <c r="A180">
        <v>175</v>
      </c>
      <c r="B180" s="13">
        <v>50161</v>
      </c>
      <c r="C180" s="14">
        <f t="shared" si="27"/>
        <v>137248.36203775762</v>
      </c>
      <c r="D180" s="14">
        <f t="shared" si="20"/>
        <v>1454.4239351121303</v>
      </c>
      <c r="E180" s="14">
        <f t="shared" si="21"/>
        <v>310.6875847974834</v>
      </c>
      <c r="F180" s="12">
        <f t="shared" si="22"/>
        <v>2.7164266022673137E-2</v>
      </c>
      <c r="G180" s="14">
        <f t="shared" si="23"/>
        <v>1143.7363503146469</v>
      </c>
      <c r="H180" s="12">
        <f t="shared" si="24"/>
        <v>0.1</v>
      </c>
      <c r="I180" s="14">
        <f t="shared" si="28"/>
        <v>28795.125547039886</v>
      </c>
      <c r="J180" s="14">
        <f t="shared" si="29"/>
        <v>225729.06309758298</v>
      </c>
      <c r="K180" s="14">
        <f t="shared" si="25"/>
        <v>136937.67445296014</v>
      </c>
      <c r="L180" s="14">
        <f t="shared" si="26"/>
        <v>254524.18864462286</v>
      </c>
    </row>
    <row r="181" spans="1:12" x14ac:dyDescent="0.3">
      <c r="A181">
        <v>176</v>
      </c>
      <c r="B181" s="13">
        <v>50192</v>
      </c>
      <c r="C181" s="14">
        <f t="shared" si="27"/>
        <v>136937.67445296014</v>
      </c>
      <c r="D181" s="14">
        <f t="shared" si="20"/>
        <v>1454.4239351121303</v>
      </c>
      <c r="E181" s="14">
        <f t="shared" si="21"/>
        <v>313.27664800412913</v>
      </c>
      <c r="F181" s="12">
        <f t="shared" si="22"/>
        <v>2.7452779456547033E-2</v>
      </c>
      <c r="G181" s="14">
        <f t="shared" si="23"/>
        <v>1141.1472871080011</v>
      </c>
      <c r="H181" s="12">
        <f t="shared" si="24"/>
        <v>0.1</v>
      </c>
      <c r="I181" s="14">
        <f t="shared" si="28"/>
        <v>29108.402195044015</v>
      </c>
      <c r="J181" s="14">
        <f t="shared" si="29"/>
        <v>226870.21038469099</v>
      </c>
      <c r="K181" s="14">
        <f t="shared" si="25"/>
        <v>136624.39780495601</v>
      </c>
      <c r="L181" s="14">
        <f t="shared" si="26"/>
        <v>255978.612579735</v>
      </c>
    </row>
    <row r="182" spans="1:12" x14ac:dyDescent="0.3">
      <c r="A182">
        <v>177</v>
      </c>
      <c r="B182" s="13">
        <v>50222</v>
      </c>
      <c r="C182" s="14">
        <f t="shared" si="27"/>
        <v>136624.39780495601</v>
      </c>
      <c r="D182" s="14">
        <f t="shared" si="20"/>
        <v>1454.4239351121303</v>
      </c>
      <c r="E182" s="14">
        <f t="shared" si="21"/>
        <v>315.88728673749688</v>
      </c>
      <c r="F182" s="12">
        <f t="shared" si="22"/>
        <v>2.7745025791524169E-2</v>
      </c>
      <c r="G182" s="14">
        <f t="shared" si="23"/>
        <v>1138.5366483746334</v>
      </c>
      <c r="H182" s="12">
        <f t="shared" si="24"/>
        <v>0.1</v>
      </c>
      <c r="I182" s="14">
        <f t="shared" si="28"/>
        <v>29424.28948178151</v>
      </c>
      <c r="J182" s="14">
        <f t="shared" si="29"/>
        <v>228008.74703306562</v>
      </c>
      <c r="K182" s="14">
        <f t="shared" si="25"/>
        <v>136308.51051821851</v>
      </c>
      <c r="L182" s="14">
        <f t="shared" si="26"/>
        <v>257433.03651484713</v>
      </c>
    </row>
    <row r="183" spans="1:12" x14ac:dyDescent="0.3">
      <c r="A183">
        <v>178</v>
      </c>
      <c r="B183" s="13">
        <v>50253</v>
      </c>
      <c r="C183" s="14">
        <f t="shared" si="27"/>
        <v>136308.51051821851</v>
      </c>
      <c r="D183" s="14">
        <f t="shared" si="20"/>
        <v>1454.4239351121303</v>
      </c>
      <c r="E183" s="14">
        <f t="shared" si="21"/>
        <v>318.51968079364269</v>
      </c>
      <c r="F183" s="12">
        <f t="shared" si="22"/>
        <v>2.8041067685299417E-2</v>
      </c>
      <c r="G183" s="14">
        <f t="shared" si="23"/>
        <v>1135.9042543184876</v>
      </c>
      <c r="H183" s="12">
        <f t="shared" si="24"/>
        <v>0.1</v>
      </c>
      <c r="I183" s="14">
        <f t="shared" si="28"/>
        <v>29742.809162575155</v>
      </c>
      <c r="J183" s="14">
        <f t="shared" si="29"/>
        <v>229144.6512873841</v>
      </c>
      <c r="K183" s="14">
        <f t="shared" si="25"/>
        <v>135989.99083742488</v>
      </c>
      <c r="L183" s="14">
        <f t="shared" si="26"/>
        <v>258887.46044995927</v>
      </c>
    </row>
    <row r="184" spans="1:12" x14ac:dyDescent="0.3">
      <c r="A184">
        <v>179</v>
      </c>
      <c r="B184" s="13">
        <v>50284</v>
      </c>
      <c r="C184" s="14">
        <f t="shared" si="27"/>
        <v>135989.99083742488</v>
      </c>
      <c r="D184" s="14">
        <f t="shared" si="20"/>
        <v>1454.4239351121303</v>
      </c>
      <c r="E184" s="14">
        <f t="shared" si="21"/>
        <v>321.17401146692305</v>
      </c>
      <c r="F184" s="12">
        <f t="shared" si="22"/>
        <v>2.8340969168904596E-2</v>
      </c>
      <c r="G184" s="14">
        <f t="shared" si="23"/>
        <v>1133.2499236452072</v>
      </c>
      <c r="H184" s="12">
        <f t="shared" si="24"/>
        <v>0.1</v>
      </c>
      <c r="I184" s="14">
        <f t="shared" si="28"/>
        <v>30063.983174042078</v>
      </c>
      <c r="J184" s="14">
        <f t="shared" si="29"/>
        <v>230277.9012110293</v>
      </c>
      <c r="K184" s="14">
        <f t="shared" si="25"/>
        <v>135668.81682595794</v>
      </c>
      <c r="L184" s="14">
        <f t="shared" si="26"/>
        <v>260341.88438507137</v>
      </c>
    </row>
    <row r="185" spans="1:12" x14ac:dyDescent="0.3">
      <c r="A185">
        <v>180</v>
      </c>
      <c r="B185" s="13">
        <v>50314</v>
      </c>
      <c r="C185" s="14">
        <f t="shared" si="27"/>
        <v>135668.81682595794</v>
      </c>
      <c r="D185" s="14">
        <f t="shared" si="20"/>
        <v>1454.4239351121303</v>
      </c>
      <c r="E185" s="14">
        <f t="shared" si="21"/>
        <v>323.85046156248086</v>
      </c>
      <c r="F185" s="12">
        <f t="shared" si="22"/>
        <v>2.8644795684591023E-2</v>
      </c>
      <c r="G185" s="14">
        <f t="shared" si="23"/>
        <v>1130.5734735496494</v>
      </c>
      <c r="H185" s="12">
        <f t="shared" si="24"/>
        <v>0.1</v>
      </c>
      <c r="I185" s="14">
        <f t="shared" si="28"/>
        <v>30387.833635604558</v>
      </c>
      <c r="J185" s="14">
        <f t="shared" si="29"/>
        <v>231408.47468457895</v>
      </c>
      <c r="K185" s="14">
        <f t="shared" si="25"/>
        <v>135344.96636439546</v>
      </c>
      <c r="L185" s="14">
        <f t="shared" si="26"/>
        <v>261796.30832018351</v>
      </c>
    </row>
    <row r="186" spans="1:12" x14ac:dyDescent="0.3">
      <c r="A186">
        <v>181</v>
      </c>
      <c r="B186" s="13">
        <v>50345</v>
      </c>
      <c r="C186" s="14">
        <f t="shared" si="27"/>
        <v>135344.96636439546</v>
      </c>
      <c r="D186" s="14">
        <f t="shared" si="20"/>
        <v>1454.4239351121303</v>
      </c>
      <c r="E186" s="14">
        <f t="shared" si="21"/>
        <v>326.54921540883493</v>
      </c>
      <c r="F186" s="12">
        <f t="shared" si="22"/>
        <v>2.8952614124974681E-2</v>
      </c>
      <c r="G186" s="14">
        <f t="shared" si="23"/>
        <v>1127.8747197032953</v>
      </c>
      <c r="H186" s="12">
        <f t="shared" si="24"/>
        <v>0.1</v>
      </c>
      <c r="I186" s="14">
        <f t="shared" si="28"/>
        <v>30714.382851013394</v>
      </c>
      <c r="J186" s="14">
        <f t="shared" si="29"/>
        <v>232536.34940428226</v>
      </c>
      <c r="K186" s="14">
        <f t="shared" si="25"/>
        <v>135018.41714898663</v>
      </c>
      <c r="L186" s="14">
        <f t="shared" si="26"/>
        <v>263250.73225529568</v>
      </c>
    </row>
    <row r="187" spans="1:12" x14ac:dyDescent="0.3">
      <c r="A187">
        <v>182</v>
      </c>
      <c r="B187" s="13">
        <v>50375</v>
      </c>
      <c r="C187" s="14">
        <f t="shared" si="27"/>
        <v>135018.41714898663</v>
      </c>
      <c r="D187" s="14">
        <f t="shared" si="20"/>
        <v>1454.4239351121303</v>
      </c>
      <c r="E187" s="14">
        <f t="shared" si="21"/>
        <v>329.27045887057511</v>
      </c>
      <c r="F187" s="12">
        <f t="shared" si="22"/>
        <v>2.9264492873493572E-2</v>
      </c>
      <c r="G187" s="14">
        <f t="shared" si="23"/>
        <v>1125.1534762415552</v>
      </c>
      <c r="H187" s="12">
        <f t="shared" si="24"/>
        <v>0.1</v>
      </c>
      <c r="I187" s="14">
        <f t="shared" si="28"/>
        <v>31043.653309883968</v>
      </c>
      <c r="J187" s="14">
        <f t="shared" si="29"/>
        <v>233661.50288052383</v>
      </c>
      <c r="K187" s="14">
        <f t="shared" si="25"/>
        <v>134689.14669011606</v>
      </c>
      <c r="L187" s="14">
        <f t="shared" si="26"/>
        <v>264705.15619040781</v>
      </c>
    </row>
    <row r="188" spans="1:12" x14ac:dyDescent="0.3">
      <c r="A188">
        <v>183</v>
      </c>
      <c r="B188" s="13">
        <v>50406</v>
      </c>
      <c r="C188" s="14">
        <f t="shared" si="27"/>
        <v>134689.14669011606</v>
      </c>
      <c r="D188" s="14">
        <f t="shared" si="20"/>
        <v>1454.4239351121303</v>
      </c>
      <c r="E188" s="14">
        <f t="shared" si="21"/>
        <v>332.01437936116304</v>
      </c>
      <c r="F188" s="12">
        <f t="shared" si="22"/>
        <v>2.9580501846228773E-2</v>
      </c>
      <c r="G188" s="14">
        <f t="shared" si="23"/>
        <v>1122.4095557509672</v>
      </c>
      <c r="H188" s="12">
        <f t="shared" si="24"/>
        <v>0.1</v>
      </c>
      <c r="I188" s="14">
        <f t="shared" si="28"/>
        <v>31375.667689245132</v>
      </c>
      <c r="J188" s="14">
        <f t="shared" si="29"/>
        <v>234783.91243627478</v>
      </c>
      <c r="K188" s="14">
        <f t="shared" si="25"/>
        <v>134357.13231075491</v>
      </c>
      <c r="L188" s="14">
        <f t="shared" si="26"/>
        <v>266159.58012551989</v>
      </c>
    </row>
    <row r="189" spans="1:12" x14ac:dyDescent="0.3">
      <c r="A189">
        <v>184</v>
      </c>
      <c r="B189" s="13">
        <v>50437</v>
      </c>
      <c r="C189" s="14">
        <f t="shared" si="27"/>
        <v>134357.13231075491</v>
      </c>
      <c r="D189" s="14">
        <f t="shared" si="20"/>
        <v>1454.4239351121303</v>
      </c>
      <c r="E189" s="14">
        <f t="shared" si="21"/>
        <v>334.78116585583939</v>
      </c>
      <c r="F189" s="12">
        <f t="shared" si="22"/>
        <v>2.9900712535143124E-2</v>
      </c>
      <c r="G189" s="14">
        <f t="shared" si="23"/>
        <v>1119.6427692562909</v>
      </c>
      <c r="H189" s="12">
        <f t="shared" si="24"/>
        <v>0.1</v>
      </c>
      <c r="I189" s="14">
        <f t="shared" si="28"/>
        <v>31710.448855100971</v>
      </c>
      <c r="J189" s="14">
        <f t="shared" si="29"/>
        <v>235903.55520553107</v>
      </c>
      <c r="K189" s="14">
        <f t="shared" si="25"/>
        <v>134022.35114489906</v>
      </c>
      <c r="L189" s="14">
        <f t="shared" si="26"/>
        <v>267614.00406063203</v>
      </c>
    </row>
    <row r="190" spans="1:12" x14ac:dyDescent="0.3">
      <c r="A190">
        <v>185</v>
      </c>
      <c r="B190" s="13">
        <v>50465</v>
      </c>
      <c r="C190" s="14">
        <f t="shared" si="27"/>
        <v>134022.35114489906</v>
      </c>
      <c r="D190" s="14">
        <f t="shared" si="20"/>
        <v>1454.4239351121303</v>
      </c>
      <c r="E190" s="14">
        <f t="shared" si="21"/>
        <v>337.57100890463812</v>
      </c>
      <c r="F190" s="12">
        <f t="shared" si="22"/>
        <v>3.0225198052793854E-2</v>
      </c>
      <c r="G190" s="14">
        <f t="shared" si="23"/>
        <v>1116.8529262074921</v>
      </c>
      <c r="H190" s="12">
        <f t="shared" si="24"/>
        <v>0.1</v>
      </c>
      <c r="I190" s="14">
        <f t="shared" si="28"/>
        <v>32048.019864005608</v>
      </c>
      <c r="J190" s="14">
        <f t="shared" si="29"/>
        <v>237020.40813173857</v>
      </c>
      <c r="K190" s="14">
        <f t="shared" si="25"/>
        <v>133684.78013599443</v>
      </c>
      <c r="L190" s="14">
        <f t="shared" si="26"/>
        <v>269068.42799574416</v>
      </c>
    </row>
    <row r="191" spans="1:12" x14ac:dyDescent="0.3">
      <c r="A191">
        <v>186</v>
      </c>
      <c r="B191" s="13">
        <v>50496</v>
      </c>
      <c r="C191" s="14">
        <f t="shared" si="27"/>
        <v>133684.78013599443</v>
      </c>
      <c r="D191" s="14">
        <f t="shared" si="20"/>
        <v>1454.4239351121303</v>
      </c>
      <c r="E191" s="14">
        <f t="shared" si="21"/>
        <v>340.38410064550999</v>
      </c>
      <c r="F191" s="12">
        <f t="shared" si="22"/>
        <v>3.0554033178578306E-2</v>
      </c>
      <c r="G191" s="14">
        <f t="shared" si="23"/>
        <v>1114.0398344666203</v>
      </c>
      <c r="H191" s="12">
        <f t="shared" si="24"/>
        <v>0.1</v>
      </c>
      <c r="I191" s="14">
        <f t="shared" si="28"/>
        <v>32388.403964651119</v>
      </c>
      <c r="J191" s="14">
        <f t="shared" si="29"/>
        <v>238134.44796620519</v>
      </c>
      <c r="K191" s="14">
        <f t="shared" si="25"/>
        <v>133344.39603534891</v>
      </c>
      <c r="L191" s="14">
        <f t="shared" si="26"/>
        <v>270522.8519308563</v>
      </c>
    </row>
    <row r="192" spans="1:12" x14ac:dyDescent="0.3">
      <c r="A192">
        <v>187</v>
      </c>
      <c r="B192" s="13">
        <v>50526</v>
      </c>
      <c r="C192" s="14">
        <f t="shared" si="27"/>
        <v>133344.39603534891</v>
      </c>
      <c r="D192" s="14">
        <f t="shared" si="20"/>
        <v>1454.4239351121303</v>
      </c>
      <c r="E192" s="14">
        <f t="shared" si="21"/>
        <v>343.22063481755595</v>
      </c>
      <c r="F192" s="12">
        <f t="shared" si="22"/>
        <v>3.0887294406574381E-2</v>
      </c>
      <c r="G192" s="14">
        <f t="shared" si="23"/>
        <v>1111.2033002945743</v>
      </c>
      <c r="H192" s="12">
        <f t="shared" si="24"/>
        <v>0.1</v>
      </c>
      <c r="I192" s="14">
        <f t="shared" si="28"/>
        <v>32731.624599468676</v>
      </c>
      <c r="J192" s="14">
        <f t="shared" si="29"/>
        <v>239245.65126649977</v>
      </c>
      <c r="K192" s="14">
        <f t="shared" si="25"/>
        <v>133001.17540053136</v>
      </c>
      <c r="L192" s="14">
        <f t="shared" si="26"/>
        <v>271977.27586596843</v>
      </c>
    </row>
    <row r="193" spans="1:12" x14ac:dyDescent="0.3">
      <c r="A193">
        <v>188</v>
      </c>
      <c r="B193" s="13">
        <v>50557</v>
      </c>
      <c r="C193" s="14">
        <f t="shared" si="27"/>
        <v>133001.17540053136</v>
      </c>
      <c r="D193" s="14">
        <f t="shared" si="20"/>
        <v>1454.4239351121303</v>
      </c>
      <c r="E193" s="14">
        <f t="shared" si="21"/>
        <v>346.08080677436897</v>
      </c>
      <c r="F193" s="12">
        <f t="shared" si="22"/>
        <v>3.1225059995039984E-2</v>
      </c>
      <c r="G193" s="14">
        <f t="shared" si="23"/>
        <v>1108.3431283377613</v>
      </c>
      <c r="H193" s="12">
        <f t="shared" si="24"/>
        <v>0.1</v>
      </c>
      <c r="I193" s="14">
        <f t="shared" si="28"/>
        <v>33077.705406243047</v>
      </c>
      <c r="J193" s="14">
        <f t="shared" si="29"/>
        <v>240353.99439483753</v>
      </c>
      <c r="K193" s="14">
        <f t="shared" si="25"/>
        <v>132655.09459375698</v>
      </c>
      <c r="L193" s="14">
        <f t="shared" si="26"/>
        <v>273431.69980108057</v>
      </c>
    </row>
    <row r="194" spans="1:12" x14ac:dyDescent="0.3">
      <c r="A194">
        <v>189</v>
      </c>
      <c r="B194" s="13">
        <v>50587</v>
      </c>
      <c r="C194" s="14">
        <f t="shared" si="27"/>
        <v>132655.09459375698</v>
      </c>
      <c r="D194" s="14">
        <f t="shared" si="20"/>
        <v>1454.4239351121303</v>
      </c>
      <c r="E194" s="14">
        <f t="shared" si="21"/>
        <v>348.96481349748888</v>
      </c>
      <c r="F194" s="12">
        <f t="shared" si="22"/>
        <v>3.1567410017639401E-2</v>
      </c>
      <c r="G194" s="14">
        <f t="shared" si="23"/>
        <v>1105.4591216146414</v>
      </c>
      <c r="H194" s="12">
        <f t="shared" si="24"/>
        <v>0.1</v>
      </c>
      <c r="I194" s="14">
        <f t="shared" si="28"/>
        <v>33426.670219740539</v>
      </c>
      <c r="J194" s="14">
        <f t="shared" si="29"/>
        <v>241459.45351645217</v>
      </c>
      <c r="K194" s="14">
        <f t="shared" si="25"/>
        <v>132306.12978025948</v>
      </c>
      <c r="L194" s="14">
        <f t="shared" si="26"/>
        <v>274886.12373619271</v>
      </c>
    </row>
    <row r="195" spans="1:12" x14ac:dyDescent="0.3">
      <c r="A195">
        <v>190</v>
      </c>
      <c r="B195" s="13">
        <v>50618</v>
      </c>
      <c r="C195" s="14">
        <f t="shared" si="27"/>
        <v>132306.12978025948</v>
      </c>
      <c r="D195" s="14">
        <f t="shared" si="20"/>
        <v>1454.4239351121303</v>
      </c>
      <c r="E195" s="14">
        <f t="shared" si="21"/>
        <v>351.87285360996793</v>
      </c>
      <c r="F195" s="12">
        <f t="shared" si="22"/>
        <v>3.1914426416466933E-2</v>
      </c>
      <c r="G195" s="14">
        <f t="shared" si="23"/>
        <v>1102.5510815021623</v>
      </c>
      <c r="H195" s="12">
        <f t="shared" si="24"/>
        <v>0.1</v>
      </c>
      <c r="I195" s="14">
        <f t="shared" si="28"/>
        <v>33778.543073350505</v>
      </c>
      <c r="J195" s="14">
        <f t="shared" si="29"/>
        <v>242562.00459795434</v>
      </c>
      <c r="K195" s="14">
        <f t="shared" si="25"/>
        <v>131954.25692664951</v>
      </c>
      <c r="L195" s="14">
        <f t="shared" si="26"/>
        <v>276340.54767130484</v>
      </c>
    </row>
    <row r="196" spans="1:12" x14ac:dyDescent="0.3">
      <c r="A196">
        <v>191</v>
      </c>
      <c r="B196" s="13">
        <v>50649</v>
      </c>
      <c r="C196" s="14">
        <f t="shared" si="27"/>
        <v>131954.25692664951</v>
      </c>
      <c r="D196" s="14">
        <f t="shared" si="20"/>
        <v>1454.4239351121303</v>
      </c>
      <c r="E196" s="14">
        <f t="shared" si="21"/>
        <v>354.80512739005098</v>
      </c>
      <c r="F196" s="12">
        <f t="shared" si="22"/>
        <v>3.2266193056942095E-2</v>
      </c>
      <c r="G196" s="14">
        <f t="shared" si="23"/>
        <v>1099.6188077220793</v>
      </c>
      <c r="H196" s="12">
        <f t="shared" si="24"/>
        <v>0.1</v>
      </c>
      <c r="I196" s="14">
        <f t="shared" si="28"/>
        <v>34133.348200740555</v>
      </c>
      <c r="J196" s="14">
        <f t="shared" si="29"/>
        <v>243661.62340567642</v>
      </c>
      <c r="K196" s="14">
        <f t="shared" si="25"/>
        <v>131599.45179925946</v>
      </c>
      <c r="L196" s="14">
        <f t="shared" si="26"/>
        <v>277794.97160641698</v>
      </c>
    </row>
    <row r="197" spans="1:12" x14ac:dyDescent="0.3">
      <c r="A197">
        <v>192</v>
      </c>
      <c r="B197" s="13">
        <v>50679</v>
      </c>
      <c r="C197" s="14">
        <f t="shared" si="27"/>
        <v>131599.45179925946</v>
      </c>
      <c r="D197" s="14">
        <f t="shared" si="20"/>
        <v>1454.4239351121303</v>
      </c>
      <c r="E197" s="14">
        <f t="shared" si="21"/>
        <v>357.76183678496818</v>
      </c>
      <c r="F197" s="12">
        <f t="shared" si="22"/>
        <v>3.2622795784653685E-2</v>
      </c>
      <c r="G197" s="14">
        <f t="shared" si="23"/>
        <v>1096.6620983271621</v>
      </c>
      <c r="H197" s="12">
        <f t="shared" si="24"/>
        <v>0.1</v>
      </c>
      <c r="I197" s="14">
        <f t="shared" si="28"/>
        <v>34491.110037525519</v>
      </c>
      <c r="J197" s="14">
        <f t="shared" si="29"/>
        <v>244758.28550400358</v>
      </c>
      <c r="K197" s="14">
        <f t="shared" si="25"/>
        <v>131241.68996247448</v>
      </c>
      <c r="L197" s="14">
        <f t="shared" si="26"/>
        <v>279249.39554152911</v>
      </c>
    </row>
    <row r="198" spans="1:12" x14ac:dyDescent="0.3">
      <c r="A198">
        <v>193</v>
      </c>
      <c r="B198" s="13">
        <v>50710</v>
      </c>
      <c r="C198" s="14">
        <f t="shared" si="27"/>
        <v>131241.68996247448</v>
      </c>
      <c r="D198" s="14">
        <f t="shared" si="20"/>
        <v>1454.4239351121303</v>
      </c>
      <c r="E198" s="14">
        <f t="shared" si="21"/>
        <v>360.74318542484298</v>
      </c>
      <c r="F198" s="12">
        <f t="shared" si="22"/>
        <v>3.298432248423401E-2</v>
      </c>
      <c r="G198" s="14">
        <f t="shared" si="23"/>
        <v>1093.6807496872873</v>
      </c>
      <c r="H198" s="12">
        <f t="shared" si="24"/>
        <v>0.1</v>
      </c>
      <c r="I198" s="14">
        <f t="shared" si="28"/>
        <v>34851.853222950362</v>
      </c>
      <c r="J198" s="14">
        <f t="shared" si="29"/>
        <v>245851.96625369086</v>
      </c>
      <c r="K198" s="14">
        <f t="shared" si="25"/>
        <v>130880.94677704964</v>
      </c>
      <c r="L198" s="14">
        <f t="shared" si="26"/>
        <v>280703.81947664125</v>
      </c>
    </row>
    <row r="199" spans="1:12" x14ac:dyDescent="0.3">
      <c r="A199">
        <v>194</v>
      </c>
      <c r="B199" s="13">
        <v>50740</v>
      </c>
      <c r="C199" s="14">
        <f t="shared" si="27"/>
        <v>130880.94677704964</v>
      </c>
      <c r="D199" s="14">
        <f t="shared" ref="D199:D262" si="30">$C$6/((($E$2)-1)/($E$1*$E$2))</f>
        <v>1454.4239351121303</v>
      </c>
      <c r="E199" s="14">
        <f t="shared" ref="E199:E262" si="31">D199-G199</f>
        <v>363.74937863671653</v>
      </c>
      <c r="F199" s="12">
        <f t="shared" ref="F199:F262" si="32">(E199/C199)*12</f>
        <v>3.3350863140348339E-2</v>
      </c>
      <c r="G199" s="14">
        <f t="shared" ref="G199:G262" si="33">C199*($B$1/12)</f>
        <v>1090.6745564754137</v>
      </c>
      <c r="H199" s="12">
        <f t="shared" ref="H199:H262" si="34">(G199/C199)*12</f>
        <v>0.1</v>
      </c>
      <c r="I199" s="14">
        <f t="shared" si="28"/>
        <v>35215.602601587081</v>
      </c>
      <c r="J199" s="14">
        <f t="shared" si="29"/>
        <v>246942.64081016628</v>
      </c>
      <c r="K199" s="14">
        <f t="shared" ref="K199:K262" si="35">C199-E199</f>
        <v>130517.19739841293</v>
      </c>
      <c r="L199" s="14">
        <f t="shared" ref="L199:L262" si="36">I199+J199</f>
        <v>282158.24341175338</v>
      </c>
    </row>
    <row r="200" spans="1:12" x14ac:dyDescent="0.3">
      <c r="A200">
        <v>195</v>
      </c>
      <c r="B200" s="13">
        <v>50771</v>
      </c>
      <c r="C200" s="14">
        <f t="shared" ref="C200:C263" si="37">K199</f>
        <v>130517.19739841293</v>
      </c>
      <c r="D200" s="14">
        <f t="shared" si="30"/>
        <v>1454.4239351121303</v>
      </c>
      <c r="E200" s="14">
        <f t="shared" si="31"/>
        <v>366.78062345868921</v>
      </c>
      <c r="F200" s="12">
        <f t="shared" si="32"/>
        <v>3.3722509900889049E-2</v>
      </c>
      <c r="G200" s="14">
        <f t="shared" si="33"/>
        <v>1087.6433116534411</v>
      </c>
      <c r="H200" s="12">
        <f t="shared" si="34"/>
        <v>0.1</v>
      </c>
      <c r="I200" s="14">
        <f t="shared" ref="I200:I263" si="38">I199+E200</f>
        <v>35582.383225045771</v>
      </c>
      <c r="J200" s="14">
        <f t="shared" ref="J200:J263" si="39">J199+G200</f>
        <v>248030.28412181971</v>
      </c>
      <c r="K200" s="14">
        <f t="shared" si="35"/>
        <v>130150.41677495424</v>
      </c>
      <c r="L200" s="14">
        <f t="shared" si="36"/>
        <v>283612.66734686546</v>
      </c>
    </row>
    <row r="201" spans="1:12" x14ac:dyDescent="0.3">
      <c r="A201">
        <v>196</v>
      </c>
      <c r="B201" s="13">
        <v>50802</v>
      </c>
      <c r="C201" s="14">
        <f t="shared" si="37"/>
        <v>130150.41677495424</v>
      </c>
      <c r="D201" s="14">
        <f t="shared" si="30"/>
        <v>1454.4239351121303</v>
      </c>
      <c r="E201" s="14">
        <f t="shared" si="31"/>
        <v>369.83712865417829</v>
      </c>
      <c r="F201" s="12">
        <f t="shared" si="32"/>
        <v>3.4099357142467354E-2</v>
      </c>
      <c r="G201" s="14">
        <f t="shared" si="33"/>
        <v>1084.586806457952</v>
      </c>
      <c r="H201" s="12">
        <f t="shared" si="34"/>
        <v>0.1</v>
      </c>
      <c r="I201" s="14">
        <f t="shared" si="38"/>
        <v>35952.220353699951</v>
      </c>
      <c r="J201" s="14">
        <f t="shared" si="39"/>
        <v>249114.87092827767</v>
      </c>
      <c r="K201" s="14">
        <f t="shared" si="35"/>
        <v>129780.57964630006</v>
      </c>
      <c r="L201" s="14">
        <f t="shared" si="36"/>
        <v>285067.0912819776</v>
      </c>
    </row>
    <row r="202" spans="1:12" x14ac:dyDescent="0.3">
      <c r="A202">
        <v>197</v>
      </c>
      <c r="B202" s="13">
        <v>50830</v>
      </c>
      <c r="C202" s="14">
        <f t="shared" si="37"/>
        <v>129780.57964630006</v>
      </c>
      <c r="D202" s="14">
        <f t="shared" si="30"/>
        <v>1454.4239351121303</v>
      </c>
      <c r="E202" s="14">
        <f t="shared" si="31"/>
        <v>372.91910472629638</v>
      </c>
      <c r="F202" s="12">
        <f t="shared" si="32"/>
        <v>3.4481501538301505E-2</v>
      </c>
      <c r="G202" s="14">
        <f t="shared" si="33"/>
        <v>1081.5048303858339</v>
      </c>
      <c r="H202" s="12">
        <f t="shared" si="34"/>
        <v>0.1</v>
      </c>
      <c r="I202" s="14">
        <f t="shared" si="38"/>
        <v>36325.139458426245</v>
      </c>
      <c r="J202" s="14">
        <f t="shared" si="39"/>
        <v>250196.37575866349</v>
      </c>
      <c r="K202" s="14">
        <f t="shared" si="35"/>
        <v>129407.66054157376</v>
      </c>
      <c r="L202" s="14">
        <f t="shared" si="36"/>
        <v>286521.51521708973</v>
      </c>
    </row>
    <row r="203" spans="1:12" x14ac:dyDescent="0.3">
      <c r="A203">
        <v>198</v>
      </c>
      <c r="B203" s="13">
        <v>50861</v>
      </c>
      <c r="C203" s="14">
        <f t="shared" si="37"/>
        <v>129407.66054157376</v>
      </c>
      <c r="D203" s="14">
        <f t="shared" si="30"/>
        <v>1454.4239351121303</v>
      </c>
      <c r="E203" s="14">
        <f t="shared" si="31"/>
        <v>376.02676393234901</v>
      </c>
      <c r="F203" s="12">
        <f t="shared" si="32"/>
        <v>3.4869042128603742E-2</v>
      </c>
      <c r="G203" s="14">
        <f t="shared" si="33"/>
        <v>1078.3971711797813</v>
      </c>
      <c r="H203" s="12">
        <f t="shared" si="34"/>
        <v>0.1</v>
      </c>
      <c r="I203" s="14">
        <f t="shared" si="38"/>
        <v>36701.166222358595</v>
      </c>
      <c r="J203" s="14">
        <f t="shared" si="39"/>
        <v>251274.77292984328</v>
      </c>
      <c r="K203" s="14">
        <f t="shared" si="35"/>
        <v>129031.63377764141</v>
      </c>
      <c r="L203" s="14">
        <f t="shared" si="36"/>
        <v>287975.93915220187</v>
      </c>
    </row>
    <row r="204" spans="1:12" x14ac:dyDescent="0.3">
      <c r="A204">
        <v>199</v>
      </c>
      <c r="B204" s="13">
        <v>50891</v>
      </c>
      <c r="C204" s="14">
        <f t="shared" si="37"/>
        <v>129031.63377764141</v>
      </c>
      <c r="D204" s="14">
        <f t="shared" si="30"/>
        <v>1454.4239351121303</v>
      </c>
      <c r="E204" s="14">
        <f t="shared" si="31"/>
        <v>379.16032029845178</v>
      </c>
      <c r="F204" s="12">
        <f t="shared" si="32"/>
        <v>3.5262080393574244E-2</v>
      </c>
      <c r="G204" s="14">
        <f t="shared" si="33"/>
        <v>1075.2636148136785</v>
      </c>
      <c r="H204" s="12">
        <f t="shared" si="34"/>
        <v>0.1</v>
      </c>
      <c r="I204" s="14">
        <f t="shared" si="38"/>
        <v>37080.326542657051</v>
      </c>
      <c r="J204" s="14">
        <f t="shared" si="39"/>
        <v>252350.03654465696</v>
      </c>
      <c r="K204" s="14">
        <f t="shared" si="35"/>
        <v>128652.47345734296</v>
      </c>
      <c r="L204" s="14">
        <f t="shared" si="36"/>
        <v>289430.36308731401</v>
      </c>
    </row>
    <row r="205" spans="1:12" x14ac:dyDescent="0.3">
      <c r="A205">
        <v>200</v>
      </c>
      <c r="B205" s="13">
        <v>50922</v>
      </c>
      <c r="C205" s="14">
        <f t="shared" si="37"/>
        <v>128652.47345734296</v>
      </c>
      <c r="D205" s="14">
        <f t="shared" si="30"/>
        <v>1454.4239351121303</v>
      </c>
      <c r="E205" s="14">
        <f t="shared" si="31"/>
        <v>382.31998963427236</v>
      </c>
      <c r="F205" s="12">
        <f t="shared" si="32"/>
        <v>3.5660720329115547E-2</v>
      </c>
      <c r="G205" s="14">
        <f t="shared" si="33"/>
        <v>1072.1039454778579</v>
      </c>
      <c r="H205" s="12">
        <f t="shared" si="34"/>
        <v>0.1</v>
      </c>
      <c r="I205" s="14">
        <f t="shared" si="38"/>
        <v>37462.646532291321</v>
      </c>
      <c r="J205" s="14">
        <f t="shared" si="39"/>
        <v>253422.14049013483</v>
      </c>
      <c r="K205" s="14">
        <f t="shared" si="35"/>
        <v>128270.15346770869</v>
      </c>
      <c r="L205" s="14">
        <f t="shared" si="36"/>
        <v>290884.78702242614</v>
      </c>
    </row>
    <row r="206" spans="1:12" x14ac:dyDescent="0.3">
      <c r="A206">
        <v>201</v>
      </c>
      <c r="B206" s="13">
        <v>50952</v>
      </c>
      <c r="C206" s="14">
        <f t="shared" si="37"/>
        <v>128270.15346770869</v>
      </c>
      <c r="D206" s="14">
        <f t="shared" si="30"/>
        <v>1454.4239351121303</v>
      </c>
      <c r="E206" s="14">
        <f t="shared" si="31"/>
        <v>385.5059895478912</v>
      </c>
      <c r="F206" s="12">
        <f t="shared" si="32"/>
        <v>3.6065068525386018E-2</v>
      </c>
      <c r="G206" s="14">
        <f t="shared" si="33"/>
        <v>1068.9179455642391</v>
      </c>
      <c r="H206" s="12">
        <f t="shared" si="34"/>
        <v>0.1</v>
      </c>
      <c r="I206" s="14">
        <f t="shared" si="38"/>
        <v>37848.152521839213</v>
      </c>
      <c r="J206" s="14">
        <f t="shared" si="39"/>
        <v>254491.05843569906</v>
      </c>
      <c r="K206" s="14">
        <f t="shared" si="35"/>
        <v>127884.6474781608</v>
      </c>
      <c r="L206" s="14">
        <f t="shared" si="36"/>
        <v>292339.21095753828</v>
      </c>
    </row>
    <row r="207" spans="1:12" x14ac:dyDescent="0.3">
      <c r="A207">
        <v>202</v>
      </c>
      <c r="B207" s="13">
        <v>50983</v>
      </c>
      <c r="C207" s="14">
        <f t="shared" si="37"/>
        <v>127884.6474781608</v>
      </c>
      <c r="D207" s="14">
        <f t="shared" si="30"/>
        <v>1454.4239351121303</v>
      </c>
      <c r="E207" s="14">
        <f t="shared" si="31"/>
        <v>388.71853946079023</v>
      </c>
      <c r="F207" s="12">
        <f t="shared" si="32"/>
        <v>3.6475234248317986E-2</v>
      </c>
      <c r="G207" s="14">
        <f t="shared" si="33"/>
        <v>1065.70539565134</v>
      </c>
      <c r="H207" s="12">
        <f t="shared" si="34"/>
        <v>0.1</v>
      </c>
      <c r="I207" s="14">
        <f t="shared" si="38"/>
        <v>38236.8710613</v>
      </c>
      <c r="J207" s="14">
        <f t="shared" si="39"/>
        <v>255556.7638313504</v>
      </c>
      <c r="K207" s="14">
        <f t="shared" si="35"/>
        <v>127495.9289387</v>
      </c>
      <c r="L207" s="14">
        <f t="shared" si="36"/>
        <v>293793.63489265041</v>
      </c>
    </row>
    <row r="208" spans="1:12" x14ac:dyDescent="0.3">
      <c r="A208">
        <v>203</v>
      </c>
      <c r="B208" s="13">
        <v>51014</v>
      </c>
      <c r="C208" s="14">
        <f t="shared" si="37"/>
        <v>127495.9289387</v>
      </c>
      <c r="D208" s="14">
        <f t="shared" si="30"/>
        <v>1454.4239351121303</v>
      </c>
      <c r="E208" s="14">
        <f t="shared" si="31"/>
        <v>391.95786062296361</v>
      </c>
      <c r="F208" s="12">
        <f t="shared" si="32"/>
        <v>3.6891329524231332E-2</v>
      </c>
      <c r="G208" s="14">
        <f t="shared" si="33"/>
        <v>1062.4660744891667</v>
      </c>
      <c r="H208" s="12">
        <f t="shared" si="34"/>
        <v>0.1</v>
      </c>
      <c r="I208" s="14">
        <f t="shared" si="38"/>
        <v>38628.828921922963</v>
      </c>
      <c r="J208" s="14">
        <f t="shared" si="39"/>
        <v>256619.22990583957</v>
      </c>
      <c r="K208" s="14">
        <f t="shared" si="35"/>
        <v>127103.97107807704</v>
      </c>
      <c r="L208" s="14">
        <f t="shared" si="36"/>
        <v>295248.05882776255</v>
      </c>
    </row>
    <row r="209" spans="1:12" x14ac:dyDescent="0.3">
      <c r="A209">
        <v>204</v>
      </c>
      <c r="B209" s="13">
        <v>51044</v>
      </c>
      <c r="C209" s="14">
        <f t="shared" si="37"/>
        <v>127103.97107807704</v>
      </c>
      <c r="D209" s="14">
        <f t="shared" si="30"/>
        <v>1454.4239351121303</v>
      </c>
      <c r="E209" s="14">
        <f t="shared" si="31"/>
        <v>395.22417612815502</v>
      </c>
      <c r="F209" s="12">
        <f t="shared" si="32"/>
        <v>3.7313469227680821E-2</v>
      </c>
      <c r="G209" s="14">
        <f t="shared" si="33"/>
        <v>1059.1997589839752</v>
      </c>
      <c r="H209" s="12">
        <f t="shared" si="34"/>
        <v>0.1</v>
      </c>
      <c r="I209" s="14">
        <f t="shared" si="38"/>
        <v>39024.053098051118</v>
      </c>
      <c r="J209" s="14">
        <f t="shared" si="39"/>
        <v>257678.42966482355</v>
      </c>
      <c r="K209" s="14">
        <f t="shared" si="35"/>
        <v>126708.74690194888</v>
      </c>
      <c r="L209" s="14">
        <f t="shared" si="36"/>
        <v>296702.48276287469</v>
      </c>
    </row>
    <row r="210" spans="1:12" x14ac:dyDescent="0.3">
      <c r="A210">
        <v>205</v>
      </c>
      <c r="B210" s="13">
        <v>51075</v>
      </c>
      <c r="C210" s="14">
        <f t="shared" si="37"/>
        <v>126708.74690194888</v>
      </c>
      <c r="D210" s="14">
        <f t="shared" si="30"/>
        <v>1454.4239351121303</v>
      </c>
      <c r="E210" s="14">
        <f t="shared" si="31"/>
        <v>398.51771092922286</v>
      </c>
      <c r="F210" s="12">
        <f t="shared" si="32"/>
        <v>3.774177117268232E-2</v>
      </c>
      <c r="G210" s="14">
        <f t="shared" si="33"/>
        <v>1055.9062241829074</v>
      </c>
      <c r="H210" s="12">
        <f t="shared" si="34"/>
        <v>0.1</v>
      </c>
      <c r="I210" s="14">
        <f t="shared" si="38"/>
        <v>39422.570808980337</v>
      </c>
      <c r="J210" s="14">
        <f t="shared" si="39"/>
        <v>258734.33588900644</v>
      </c>
      <c r="K210" s="14">
        <f t="shared" si="35"/>
        <v>126310.22919101965</v>
      </c>
      <c r="L210" s="14">
        <f t="shared" si="36"/>
        <v>298156.90669798676</v>
      </c>
    </row>
    <row r="211" spans="1:12" x14ac:dyDescent="0.3">
      <c r="A211">
        <v>206</v>
      </c>
      <c r="B211" s="13">
        <v>51105</v>
      </c>
      <c r="C211" s="14">
        <f t="shared" si="37"/>
        <v>126310.22919101965</v>
      </c>
      <c r="D211" s="14">
        <f t="shared" si="30"/>
        <v>1454.4239351121303</v>
      </c>
      <c r="E211" s="14">
        <f t="shared" si="31"/>
        <v>401.83869185363324</v>
      </c>
      <c r="F211" s="12">
        <f t="shared" si="32"/>
        <v>3.8176356207470452E-2</v>
      </c>
      <c r="G211" s="14">
        <f t="shared" si="33"/>
        <v>1052.585243258497</v>
      </c>
      <c r="H211" s="12">
        <f t="shared" si="34"/>
        <v>0.1</v>
      </c>
      <c r="I211" s="14">
        <f t="shared" si="38"/>
        <v>39824.409500833972</v>
      </c>
      <c r="J211" s="14">
        <f t="shared" si="39"/>
        <v>259786.92113226495</v>
      </c>
      <c r="K211" s="14">
        <f t="shared" si="35"/>
        <v>125908.39049916602</v>
      </c>
      <c r="L211" s="14">
        <f t="shared" si="36"/>
        <v>299611.3306330989</v>
      </c>
    </row>
    <row r="212" spans="1:12" x14ac:dyDescent="0.3">
      <c r="A212">
        <v>207</v>
      </c>
      <c r="B212" s="13">
        <v>51136</v>
      </c>
      <c r="C212" s="14">
        <f t="shared" si="37"/>
        <v>125908.39049916602</v>
      </c>
      <c r="D212" s="14">
        <f t="shared" si="30"/>
        <v>1454.4239351121303</v>
      </c>
      <c r="E212" s="14">
        <f t="shared" si="31"/>
        <v>405.18734761908013</v>
      </c>
      <c r="F212" s="12">
        <f t="shared" si="32"/>
        <v>3.8617348312947955E-2</v>
      </c>
      <c r="G212" s="14">
        <f t="shared" si="33"/>
        <v>1049.2365874930501</v>
      </c>
      <c r="H212" s="12">
        <f t="shared" si="34"/>
        <v>0.1</v>
      </c>
      <c r="I212" s="14">
        <f t="shared" si="38"/>
        <v>40229.596848453053</v>
      </c>
      <c r="J212" s="14">
        <f t="shared" si="39"/>
        <v>260836.15771975799</v>
      </c>
      <c r="K212" s="14">
        <f t="shared" si="35"/>
        <v>125503.20315154694</v>
      </c>
      <c r="L212" s="14">
        <f t="shared" si="36"/>
        <v>301065.75456821104</v>
      </c>
    </row>
    <row r="213" spans="1:12" x14ac:dyDescent="0.3">
      <c r="A213">
        <v>208</v>
      </c>
      <c r="B213" s="13">
        <v>51167</v>
      </c>
      <c r="C213" s="14">
        <f t="shared" si="37"/>
        <v>125503.20315154694</v>
      </c>
      <c r="D213" s="14">
        <f t="shared" si="30"/>
        <v>1454.4239351121303</v>
      </c>
      <c r="E213" s="14">
        <f t="shared" si="31"/>
        <v>408.56390884923917</v>
      </c>
      <c r="F213" s="12">
        <f t="shared" si="32"/>
        <v>3.9064874704996234E-2</v>
      </c>
      <c r="G213" s="14">
        <f t="shared" si="33"/>
        <v>1045.8600262628911</v>
      </c>
      <c r="H213" s="12">
        <f t="shared" si="34"/>
        <v>0.1</v>
      </c>
      <c r="I213" s="14">
        <f t="shared" si="38"/>
        <v>40638.160757302292</v>
      </c>
      <c r="J213" s="14">
        <f t="shared" si="39"/>
        <v>261882.01774602089</v>
      </c>
      <c r="K213" s="14">
        <f t="shared" si="35"/>
        <v>125094.6392426977</v>
      </c>
      <c r="L213" s="14">
        <f t="shared" si="36"/>
        <v>302520.17850332317</v>
      </c>
    </row>
    <row r="214" spans="1:12" x14ac:dyDescent="0.3">
      <c r="A214">
        <v>209</v>
      </c>
      <c r="B214" s="13">
        <v>51196</v>
      </c>
      <c r="C214" s="14">
        <f t="shared" si="37"/>
        <v>125094.6392426977</v>
      </c>
      <c r="D214" s="14">
        <f t="shared" si="30"/>
        <v>1454.4239351121303</v>
      </c>
      <c r="E214" s="14">
        <f t="shared" si="31"/>
        <v>411.96860808964948</v>
      </c>
      <c r="F214" s="12">
        <f t="shared" si="32"/>
        <v>3.9519065940824272E-2</v>
      </c>
      <c r="G214" s="14">
        <f t="shared" si="33"/>
        <v>1042.4553270224808</v>
      </c>
      <c r="H214" s="12">
        <f t="shared" si="34"/>
        <v>0.1</v>
      </c>
      <c r="I214" s="14">
        <f t="shared" si="38"/>
        <v>41050.129365391942</v>
      </c>
      <c r="J214" s="14">
        <f t="shared" si="39"/>
        <v>262924.47307304339</v>
      </c>
      <c r="K214" s="14">
        <f t="shared" si="35"/>
        <v>124682.67063460805</v>
      </c>
      <c r="L214" s="14">
        <f t="shared" si="36"/>
        <v>303974.60243843531</v>
      </c>
    </row>
    <row r="215" spans="1:12" x14ac:dyDescent="0.3">
      <c r="A215">
        <v>210</v>
      </c>
      <c r="B215" s="13">
        <v>51227</v>
      </c>
      <c r="C215" s="14">
        <f t="shared" si="37"/>
        <v>124682.67063460805</v>
      </c>
      <c r="D215" s="14">
        <f t="shared" si="30"/>
        <v>1454.4239351121303</v>
      </c>
      <c r="E215" s="14">
        <f t="shared" si="31"/>
        <v>415.40167982372986</v>
      </c>
      <c r="F215" s="12">
        <f t="shared" si="32"/>
        <v>3.9980056029543583E-2</v>
      </c>
      <c r="G215" s="14">
        <f t="shared" si="33"/>
        <v>1039.0222552884004</v>
      </c>
      <c r="H215" s="12">
        <f t="shared" si="34"/>
        <v>0.1</v>
      </c>
      <c r="I215" s="14">
        <f t="shared" si="38"/>
        <v>41465.53104521567</v>
      </c>
      <c r="J215" s="14">
        <f t="shared" si="39"/>
        <v>263963.49532833177</v>
      </c>
      <c r="K215" s="14">
        <f t="shared" si="35"/>
        <v>124267.26895478432</v>
      </c>
      <c r="L215" s="14">
        <f t="shared" si="36"/>
        <v>305429.02637354744</v>
      </c>
    </row>
    <row r="216" spans="1:12" x14ac:dyDescent="0.3">
      <c r="A216">
        <v>211</v>
      </c>
      <c r="B216" s="13">
        <v>51257</v>
      </c>
      <c r="C216" s="14">
        <f t="shared" si="37"/>
        <v>124267.26895478432</v>
      </c>
      <c r="D216" s="14">
        <f t="shared" si="30"/>
        <v>1454.4239351121303</v>
      </c>
      <c r="E216" s="14">
        <f t="shared" si="31"/>
        <v>418.86336048892758</v>
      </c>
      <c r="F216" s="12">
        <f t="shared" si="32"/>
        <v>4.0447982547166257E-2</v>
      </c>
      <c r="G216" s="14">
        <f t="shared" si="33"/>
        <v>1035.5605746232027</v>
      </c>
      <c r="H216" s="12">
        <f t="shared" si="34"/>
        <v>0.1</v>
      </c>
      <c r="I216" s="14">
        <f t="shared" si="38"/>
        <v>41884.394405704596</v>
      </c>
      <c r="J216" s="14">
        <f t="shared" si="39"/>
        <v>264999.05590295495</v>
      </c>
      <c r="K216" s="14">
        <f t="shared" si="35"/>
        <v>123848.40559429539</v>
      </c>
      <c r="L216" s="14">
        <f t="shared" si="36"/>
        <v>306883.45030865952</v>
      </c>
    </row>
    <row r="217" spans="1:12" x14ac:dyDescent="0.3">
      <c r="A217">
        <v>212</v>
      </c>
      <c r="B217" s="13">
        <v>51288</v>
      </c>
      <c r="C217" s="14">
        <f t="shared" si="37"/>
        <v>123848.40559429539</v>
      </c>
      <c r="D217" s="14">
        <f t="shared" si="30"/>
        <v>1454.4239351121303</v>
      </c>
      <c r="E217" s="14">
        <f t="shared" si="31"/>
        <v>422.35388849300216</v>
      </c>
      <c r="F217" s="12">
        <f t="shared" si="32"/>
        <v>4.0922986756233827E-2</v>
      </c>
      <c r="G217" s="14">
        <f t="shared" si="33"/>
        <v>1032.0700466191281</v>
      </c>
      <c r="H217" s="12">
        <f t="shared" si="34"/>
        <v>0.1</v>
      </c>
      <c r="I217" s="14">
        <f t="shared" si="38"/>
        <v>42306.748294197598</v>
      </c>
      <c r="J217" s="14">
        <f t="shared" si="39"/>
        <v>266031.12594957405</v>
      </c>
      <c r="K217" s="14">
        <f t="shared" si="35"/>
        <v>123426.05170580238</v>
      </c>
      <c r="L217" s="14">
        <f t="shared" si="36"/>
        <v>308337.87424377166</v>
      </c>
    </row>
    <row r="218" spans="1:12" x14ac:dyDescent="0.3">
      <c r="A218">
        <v>213</v>
      </c>
      <c r="B218" s="13">
        <v>51318</v>
      </c>
      <c r="C218" s="14">
        <f t="shared" si="37"/>
        <v>123426.05170580238</v>
      </c>
      <c r="D218" s="14">
        <f t="shared" si="30"/>
        <v>1454.4239351121303</v>
      </c>
      <c r="E218" s="14">
        <f t="shared" si="31"/>
        <v>425.87350423044381</v>
      </c>
      <c r="F218" s="12">
        <f t="shared" si="32"/>
        <v>4.1405213730296105E-2</v>
      </c>
      <c r="G218" s="14">
        <f t="shared" si="33"/>
        <v>1028.5504308816865</v>
      </c>
      <c r="H218" s="12">
        <f t="shared" si="34"/>
        <v>0.1</v>
      </c>
      <c r="I218" s="14">
        <f t="shared" si="38"/>
        <v>42732.621798428045</v>
      </c>
      <c r="J218" s="14">
        <f t="shared" si="39"/>
        <v>267059.67638045573</v>
      </c>
      <c r="K218" s="14">
        <f t="shared" si="35"/>
        <v>123000.17820157194</v>
      </c>
      <c r="L218" s="14">
        <f t="shared" si="36"/>
        <v>309792.29817888379</v>
      </c>
    </row>
    <row r="219" spans="1:12" x14ac:dyDescent="0.3">
      <c r="A219">
        <v>214</v>
      </c>
      <c r="B219" s="13">
        <v>51349</v>
      </c>
      <c r="C219" s="14">
        <f t="shared" si="37"/>
        <v>123000.17820157194</v>
      </c>
      <c r="D219" s="14">
        <f t="shared" si="30"/>
        <v>1454.4239351121303</v>
      </c>
      <c r="E219" s="14">
        <f t="shared" si="31"/>
        <v>429.42245009903081</v>
      </c>
      <c r="F219" s="12">
        <f t="shared" si="32"/>
        <v>4.1894812483470975E-2</v>
      </c>
      <c r="G219" s="14">
        <f t="shared" si="33"/>
        <v>1025.0014850130995</v>
      </c>
      <c r="H219" s="12">
        <f t="shared" si="34"/>
        <v>0.1</v>
      </c>
      <c r="I219" s="14">
        <f t="shared" si="38"/>
        <v>43162.044248527076</v>
      </c>
      <c r="J219" s="14">
        <f t="shared" si="39"/>
        <v>268084.67786546884</v>
      </c>
      <c r="K219" s="14">
        <f t="shared" si="35"/>
        <v>122570.75575147291</v>
      </c>
      <c r="L219" s="14">
        <f t="shared" si="36"/>
        <v>311246.72211399593</v>
      </c>
    </row>
    <row r="220" spans="1:12" x14ac:dyDescent="0.3">
      <c r="A220">
        <v>215</v>
      </c>
      <c r="B220" s="13">
        <v>51380</v>
      </c>
      <c r="C220" s="14">
        <f t="shared" si="37"/>
        <v>122570.75575147291</v>
      </c>
      <c r="D220" s="14">
        <f t="shared" si="30"/>
        <v>1454.4239351121303</v>
      </c>
      <c r="E220" s="14">
        <f t="shared" si="31"/>
        <v>433.00097051652267</v>
      </c>
      <c r="F220" s="12">
        <f t="shared" si="32"/>
        <v>4.2391936105328556E-2</v>
      </c>
      <c r="G220" s="14">
        <f t="shared" si="33"/>
        <v>1021.4229645956076</v>
      </c>
      <c r="H220" s="12">
        <f t="shared" si="34"/>
        <v>0.1</v>
      </c>
      <c r="I220" s="14">
        <f t="shared" si="38"/>
        <v>43595.045219043597</v>
      </c>
      <c r="J220" s="14">
        <f t="shared" si="39"/>
        <v>269106.10083006445</v>
      </c>
      <c r="K220" s="14">
        <f t="shared" si="35"/>
        <v>122137.75478095638</v>
      </c>
      <c r="L220" s="14">
        <f t="shared" si="36"/>
        <v>312701.14604910807</v>
      </c>
    </row>
    <row r="221" spans="1:12" x14ac:dyDescent="0.3">
      <c r="A221">
        <v>216</v>
      </c>
      <c r="B221" s="13">
        <v>51410</v>
      </c>
      <c r="C221" s="14">
        <f t="shared" si="37"/>
        <v>122137.75478095638</v>
      </c>
      <c r="D221" s="14">
        <f t="shared" si="30"/>
        <v>1454.4239351121303</v>
      </c>
      <c r="E221" s="14">
        <f t="shared" si="31"/>
        <v>436.60931193749377</v>
      </c>
      <c r="F221" s="12">
        <f t="shared" si="32"/>
        <v>4.2896741901357061E-2</v>
      </c>
      <c r="G221" s="14">
        <f t="shared" si="33"/>
        <v>1017.8146231746365</v>
      </c>
      <c r="H221" s="12">
        <f t="shared" si="34"/>
        <v>0.1</v>
      </c>
      <c r="I221" s="14">
        <f t="shared" si="38"/>
        <v>44031.65453098109</v>
      </c>
      <c r="J221" s="14">
        <f t="shared" si="39"/>
        <v>270123.91545323911</v>
      </c>
      <c r="K221" s="14">
        <f t="shared" si="35"/>
        <v>121701.14546901888</v>
      </c>
      <c r="L221" s="14">
        <f t="shared" si="36"/>
        <v>314155.5699842202</v>
      </c>
    </row>
    <row r="222" spans="1:12" x14ac:dyDescent="0.3">
      <c r="A222">
        <v>217</v>
      </c>
      <c r="B222" s="13">
        <v>51441</v>
      </c>
      <c r="C222" s="14">
        <f t="shared" si="37"/>
        <v>121701.14546901888</v>
      </c>
      <c r="D222" s="14">
        <f t="shared" si="30"/>
        <v>1454.4239351121303</v>
      </c>
      <c r="E222" s="14">
        <f t="shared" si="31"/>
        <v>440.24772287030623</v>
      </c>
      <c r="F222" s="12">
        <f t="shared" si="32"/>
        <v>4.3409391539281333E-2</v>
      </c>
      <c r="G222" s="14">
        <f t="shared" si="33"/>
        <v>1014.176212241824</v>
      </c>
      <c r="H222" s="12">
        <f t="shared" si="34"/>
        <v>0.1</v>
      </c>
      <c r="I222" s="14">
        <f t="shared" si="38"/>
        <v>44471.902253851396</v>
      </c>
      <c r="J222" s="14">
        <f t="shared" si="39"/>
        <v>271138.09166548093</v>
      </c>
      <c r="K222" s="14">
        <f t="shared" si="35"/>
        <v>121260.89774614858</v>
      </c>
      <c r="L222" s="14">
        <f t="shared" si="36"/>
        <v>315609.99391933234</v>
      </c>
    </row>
    <row r="223" spans="1:12" x14ac:dyDescent="0.3">
      <c r="A223">
        <v>218</v>
      </c>
      <c r="B223" s="13">
        <v>51471</v>
      </c>
      <c r="C223" s="14">
        <f t="shared" si="37"/>
        <v>121260.89774614858</v>
      </c>
      <c r="D223" s="14">
        <f t="shared" si="30"/>
        <v>1454.4239351121303</v>
      </c>
      <c r="E223" s="14">
        <f t="shared" si="31"/>
        <v>443.91645389422547</v>
      </c>
      <c r="F223" s="12">
        <f t="shared" si="32"/>
        <v>4.3930051201520971E-2</v>
      </c>
      <c r="G223" s="14">
        <f t="shared" si="33"/>
        <v>1010.5074812179048</v>
      </c>
      <c r="H223" s="12">
        <f t="shared" si="34"/>
        <v>0.1</v>
      </c>
      <c r="I223" s="14">
        <f t="shared" si="38"/>
        <v>44915.818707745624</v>
      </c>
      <c r="J223" s="14">
        <f t="shared" si="39"/>
        <v>272148.59914669883</v>
      </c>
      <c r="K223" s="14">
        <f t="shared" si="35"/>
        <v>120816.98129225435</v>
      </c>
      <c r="L223" s="14">
        <f t="shared" si="36"/>
        <v>317064.41785444447</v>
      </c>
    </row>
    <row r="224" spans="1:12" x14ac:dyDescent="0.3">
      <c r="A224">
        <v>219</v>
      </c>
      <c r="B224" s="13">
        <v>51502</v>
      </c>
      <c r="C224" s="14">
        <f t="shared" si="37"/>
        <v>120816.98129225435</v>
      </c>
      <c r="D224" s="14">
        <f t="shared" si="30"/>
        <v>1454.4239351121303</v>
      </c>
      <c r="E224" s="14">
        <f t="shared" si="31"/>
        <v>447.61575767667739</v>
      </c>
      <c r="F224" s="12">
        <f t="shared" si="32"/>
        <v>4.445889174409038E-2</v>
      </c>
      <c r="G224" s="14">
        <f t="shared" si="33"/>
        <v>1006.8081774354529</v>
      </c>
      <c r="H224" s="12">
        <f t="shared" si="34"/>
        <v>0.1</v>
      </c>
      <c r="I224" s="14">
        <f t="shared" si="38"/>
        <v>45363.434465422302</v>
      </c>
      <c r="J224" s="14">
        <f t="shared" si="39"/>
        <v>273155.40732413431</v>
      </c>
      <c r="K224" s="14">
        <f t="shared" si="35"/>
        <v>120369.36553457768</v>
      </c>
      <c r="L224" s="14">
        <f t="shared" si="36"/>
        <v>318518.84178955661</v>
      </c>
    </row>
    <row r="225" spans="1:12" x14ac:dyDescent="0.3">
      <c r="A225">
        <v>220</v>
      </c>
      <c r="B225" s="13">
        <v>51533</v>
      </c>
      <c r="C225" s="14">
        <f t="shared" si="37"/>
        <v>120369.36553457768</v>
      </c>
      <c r="D225" s="14">
        <f t="shared" si="30"/>
        <v>1454.4239351121303</v>
      </c>
      <c r="E225" s="14">
        <f t="shared" si="31"/>
        <v>451.34588899064966</v>
      </c>
      <c r="F225" s="12">
        <f t="shared" si="32"/>
        <v>4.4996088862260683E-2</v>
      </c>
      <c r="G225" s="14">
        <f t="shared" si="33"/>
        <v>1003.0780461214806</v>
      </c>
      <c r="H225" s="12">
        <f t="shared" si="34"/>
        <v>0.1</v>
      </c>
      <c r="I225" s="14">
        <f t="shared" si="38"/>
        <v>45814.780354412949</v>
      </c>
      <c r="J225" s="14">
        <f t="shared" si="39"/>
        <v>274158.48537025577</v>
      </c>
      <c r="K225" s="14">
        <f t="shared" si="35"/>
        <v>119918.01964558703</v>
      </c>
      <c r="L225" s="14">
        <f t="shared" si="36"/>
        <v>319973.26572466874</v>
      </c>
    </row>
    <row r="226" spans="1:12" x14ac:dyDescent="0.3">
      <c r="A226">
        <v>221</v>
      </c>
      <c r="B226" s="13">
        <v>51561</v>
      </c>
      <c r="C226" s="14">
        <f t="shared" si="37"/>
        <v>119918.01964558703</v>
      </c>
      <c r="D226" s="14">
        <f t="shared" si="30"/>
        <v>1454.4239351121303</v>
      </c>
      <c r="E226" s="14">
        <f t="shared" si="31"/>
        <v>455.10710473223833</v>
      </c>
      <c r="F226" s="12">
        <f t="shared" si="32"/>
        <v>4.5541823263321665E-2</v>
      </c>
      <c r="G226" s="14">
        <f t="shared" si="33"/>
        <v>999.31683037989194</v>
      </c>
      <c r="H226" s="12">
        <f t="shared" si="34"/>
        <v>0.1</v>
      </c>
      <c r="I226" s="14">
        <f t="shared" si="38"/>
        <v>46269.887459145189</v>
      </c>
      <c r="J226" s="14">
        <f t="shared" si="39"/>
        <v>275157.80220063566</v>
      </c>
      <c r="K226" s="14">
        <f t="shared" si="35"/>
        <v>119462.9125408548</v>
      </c>
      <c r="L226" s="14">
        <f t="shared" si="36"/>
        <v>321427.68965978082</v>
      </c>
    </row>
    <row r="227" spans="1:12" x14ac:dyDescent="0.3">
      <c r="A227">
        <v>222</v>
      </c>
      <c r="B227" s="13">
        <v>51592</v>
      </c>
      <c r="C227" s="14">
        <f t="shared" si="37"/>
        <v>119462.9125408548</v>
      </c>
      <c r="D227" s="14">
        <f t="shared" si="30"/>
        <v>1454.4239351121303</v>
      </c>
      <c r="E227" s="14">
        <f t="shared" si="31"/>
        <v>458.89966393834027</v>
      </c>
      <c r="F227" s="12">
        <f t="shared" si="32"/>
        <v>4.6096280846801126E-2</v>
      </c>
      <c r="G227" s="14">
        <f t="shared" si="33"/>
        <v>995.52427117379</v>
      </c>
      <c r="H227" s="12">
        <f t="shared" si="34"/>
        <v>0.1</v>
      </c>
      <c r="I227" s="14">
        <f t="shared" si="38"/>
        <v>46728.78712308353</v>
      </c>
      <c r="J227" s="14">
        <f t="shared" si="39"/>
        <v>276153.32647180947</v>
      </c>
      <c r="K227" s="14">
        <f t="shared" si="35"/>
        <v>119004.01287691646</v>
      </c>
      <c r="L227" s="14">
        <f t="shared" si="36"/>
        <v>322882.11359489302</v>
      </c>
    </row>
    <row r="228" spans="1:12" x14ac:dyDescent="0.3">
      <c r="A228">
        <v>223</v>
      </c>
      <c r="B228" s="13">
        <v>51622</v>
      </c>
      <c r="C228" s="14">
        <f t="shared" si="37"/>
        <v>119004.01287691646</v>
      </c>
      <c r="D228" s="14">
        <f t="shared" si="30"/>
        <v>1454.4239351121303</v>
      </c>
      <c r="E228" s="14">
        <f t="shared" si="31"/>
        <v>462.72382780449311</v>
      </c>
      <c r="F228" s="12">
        <f t="shared" si="32"/>
        <v>4.665965289252013E-2</v>
      </c>
      <c r="G228" s="14">
        <f t="shared" si="33"/>
        <v>991.70010730763715</v>
      </c>
      <c r="H228" s="12">
        <f t="shared" si="34"/>
        <v>0.1</v>
      </c>
      <c r="I228" s="14">
        <f t="shared" si="38"/>
        <v>47191.51095088802</v>
      </c>
      <c r="J228" s="14">
        <f t="shared" si="39"/>
        <v>277145.02657911711</v>
      </c>
      <c r="K228" s="14">
        <f t="shared" si="35"/>
        <v>118541.28904911196</v>
      </c>
      <c r="L228" s="14">
        <f t="shared" si="36"/>
        <v>324336.53753000515</v>
      </c>
    </row>
    <row r="229" spans="1:12" x14ac:dyDescent="0.3">
      <c r="A229">
        <v>224</v>
      </c>
      <c r="B229" s="13">
        <v>51653</v>
      </c>
      <c r="C229" s="14">
        <f t="shared" si="37"/>
        <v>118541.28904911196</v>
      </c>
      <c r="D229" s="14">
        <f t="shared" si="30"/>
        <v>1454.4239351121303</v>
      </c>
      <c r="E229" s="14">
        <f t="shared" si="31"/>
        <v>466.57985970286393</v>
      </c>
      <c r="F229" s="12">
        <f t="shared" si="32"/>
        <v>4.7232136256884327E-2</v>
      </c>
      <c r="G229" s="14">
        <f t="shared" si="33"/>
        <v>987.84407540926634</v>
      </c>
      <c r="H229" s="12">
        <f t="shared" si="34"/>
        <v>0.1</v>
      </c>
      <c r="I229" s="14">
        <f t="shared" si="38"/>
        <v>47658.090810590882</v>
      </c>
      <c r="J229" s="14">
        <f t="shared" si="39"/>
        <v>278132.8706545264</v>
      </c>
      <c r="K229" s="14">
        <f t="shared" si="35"/>
        <v>118074.7091894091</v>
      </c>
      <c r="L229" s="14">
        <f t="shared" si="36"/>
        <v>325790.96146511729</v>
      </c>
    </row>
    <row r="230" spans="1:12" x14ac:dyDescent="0.3">
      <c r="A230">
        <v>225</v>
      </c>
      <c r="B230" s="13">
        <v>51683</v>
      </c>
      <c r="C230" s="14">
        <f t="shared" si="37"/>
        <v>118074.7091894091</v>
      </c>
      <c r="D230" s="14">
        <f t="shared" si="30"/>
        <v>1454.4239351121303</v>
      </c>
      <c r="E230" s="14">
        <f t="shared" si="31"/>
        <v>470.46802520038784</v>
      </c>
      <c r="F230" s="12">
        <f t="shared" si="32"/>
        <v>4.7813933577835532E-2</v>
      </c>
      <c r="G230" s="14">
        <f t="shared" si="33"/>
        <v>983.95590991174242</v>
      </c>
      <c r="H230" s="12">
        <f t="shared" si="34"/>
        <v>0.1</v>
      </c>
      <c r="I230" s="14">
        <f t="shared" si="38"/>
        <v>48128.558835791271</v>
      </c>
      <c r="J230" s="14">
        <f t="shared" si="39"/>
        <v>279116.82656443812</v>
      </c>
      <c r="K230" s="14">
        <f t="shared" si="35"/>
        <v>117604.24116420871</v>
      </c>
      <c r="L230" s="14">
        <f t="shared" si="36"/>
        <v>327245.38540022937</v>
      </c>
    </row>
    <row r="231" spans="1:12" x14ac:dyDescent="0.3">
      <c r="A231">
        <v>226</v>
      </c>
      <c r="B231" s="13">
        <v>51714</v>
      </c>
      <c r="C231" s="14">
        <f t="shared" si="37"/>
        <v>117604.24116420871</v>
      </c>
      <c r="D231" s="14">
        <f t="shared" si="30"/>
        <v>1454.4239351121303</v>
      </c>
      <c r="E231" s="14">
        <f t="shared" si="31"/>
        <v>474.38859207705775</v>
      </c>
      <c r="F231" s="12">
        <f t="shared" si="32"/>
        <v>4.8405253488912267E-2</v>
      </c>
      <c r="G231" s="14">
        <f t="shared" si="33"/>
        <v>980.03534303507251</v>
      </c>
      <c r="H231" s="12">
        <f t="shared" si="34"/>
        <v>0.1</v>
      </c>
      <c r="I231" s="14">
        <f t="shared" si="38"/>
        <v>48602.947427868326</v>
      </c>
      <c r="J231" s="14">
        <f t="shared" si="39"/>
        <v>280096.86190747318</v>
      </c>
      <c r="K231" s="14">
        <f t="shared" si="35"/>
        <v>117129.85257213165</v>
      </c>
      <c r="L231" s="14">
        <f t="shared" si="36"/>
        <v>328699.8093353415</v>
      </c>
    </row>
    <row r="232" spans="1:12" x14ac:dyDescent="0.3">
      <c r="A232">
        <v>227</v>
      </c>
      <c r="B232" s="13">
        <v>51745</v>
      </c>
      <c r="C232" s="14">
        <f t="shared" si="37"/>
        <v>117129.85257213165</v>
      </c>
      <c r="D232" s="14">
        <f t="shared" si="30"/>
        <v>1454.4239351121303</v>
      </c>
      <c r="E232" s="14">
        <f t="shared" si="31"/>
        <v>478.34183034436649</v>
      </c>
      <c r="F232" s="12">
        <f t="shared" si="32"/>
        <v>4.9006310842895424E-2</v>
      </c>
      <c r="G232" s="14">
        <f t="shared" si="33"/>
        <v>976.08210476776378</v>
      </c>
      <c r="H232" s="12">
        <f t="shared" si="34"/>
        <v>0.1</v>
      </c>
      <c r="I232" s="14">
        <f t="shared" si="38"/>
        <v>49081.289258212695</v>
      </c>
      <c r="J232" s="14">
        <f t="shared" si="39"/>
        <v>281072.94401224097</v>
      </c>
      <c r="K232" s="14">
        <f t="shared" si="35"/>
        <v>116651.51074178729</v>
      </c>
      <c r="L232" s="14">
        <f t="shared" si="36"/>
        <v>330154.23327045364</v>
      </c>
    </row>
    <row r="233" spans="1:12" x14ac:dyDescent="0.3">
      <c r="A233">
        <v>228</v>
      </c>
      <c r="B233" s="13">
        <v>51775</v>
      </c>
      <c r="C233" s="14">
        <f t="shared" si="37"/>
        <v>116651.51074178729</v>
      </c>
      <c r="D233" s="14">
        <f t="shared" si="30"/>
        <v>1454.4239351121303</v>
      </c>
      <c r="E233" s="14">
        <f t="shared" si="31"/>
        <v>482.32801226390279</v>
      </c>
      <c r="F233" s="12">
        <f t="shared" si="32"/>
        <v>4.9617326945543445E-2</v>
      </c>
      <c r="G233" s="14">
        <f t="shared" si="33"/>
        <v>972.09592284822747</v>
      </c>
      <c r="H233" s="12">
        <f t="shared" si="34"/>
        <v>0.1</v>
      </c>
      <c r="I233" s="14">
        <f t="shared" si="38"/>
        <v>49563.6172704766</v>
      </c>
      <c r="J233" s="14">
        <f t="shared" si="39"/>
        <v>282045.03993508918</v>
      </c>
      <c r="K233" s="14">
        <f t="shared" si="35"/>
        <v>116169.1827295234</v>
      </c>
      <c r="L233" s="14">
        <f t="shared" si="36"/>
        <v>331608.65720556577</v>
      </c>
    </row>
    <row r="234" spans="1:12" x14ac:dyDescent="0.3">
      <c r="A234">
        <v>229</v>
      </c>
      <c r="B234" s="13">
        <v>51806</v>
      </c>
      <c r="C234" s="14">
        <f t="shared" si="37"/>
        <v>116169.1827295234</v>
      </c>
      <c r="D234" s="14">
        <f t="shared" si="30"/>
        <v>1454.4239351121303</v>
      </c>
      <c r="E234" s="14">
        <f t="shared" si="31"/>
        <v>486.34741236610193</v>
      </c>
      <c r="F234" s="12">
        <f t="shared" si="32"/>
        <v>5.0238529799951942E-2</v>
      </c>
      <c r="G234" s="14">
        <f t="shared" si="33"/>
        <v>968.07652274602833</v>
      </c>
      <c r="H234" s="12">
        <f t="shared" si="34"/>
        <v>0.1</v>
      </c>
      <c r="I234" s="14">
        <f t="shared" si="38"/>
        <v>50049.964682842699</v>
      </c>
      <c r="J234" s="14">
        <f t="shared" si="39"/>
        <v>283013.11645783519</v>
      </c>
      <c r="K234" s="14">
        <f t="shared" si="35"/>
        <v>115682.8353171573</v>
      </c>
      <c r="L234" s="14">
        <f t="shared" si="36"/>
        <v>333063.08114067791</v>
      </c>
    </row>
    <row r="235" spans="1:12" x14ac:dyDescent="0.3">
      <c r="A235">
        <v>230</v>
      </c>
      <c r="B235" s="13">
        <v>51836</v>
      </c>
      <c r="C235" s="14">
        <f t="shared" si="37"/>
        <v>115682.8353171573</v>
      </c>
      <c r="D235" s="14">
        <f t="shared" si="30"/>
        <v>1454.4239351121303</v>
      </c>
      <c r="E235" s="14">
        <f t="shared" si="31"/>
        <v>490.40030746915284</v>
      </c>
      <c r="F235" s="12">
        <f t="shared" si="32"/>
        <v>5.087015436210561E-2</v>
      </c>
      <c r="G235" s="14">
        <f t="shared" si="33"/>
        <v>964.02362764297743</v>
      </c>
      <c r="H235" s="12">
        <f t="shared" si="34"/>
        <v>0.1</v>
      </c>
      <c r="I235" s="14">
        <f t="shared" si="38"/>
        <v>50540.364990311849</v>
      </c>
      <c r="J235" s="14">
        <f t="shared" si="39"/>
        <v>283977.14008547814</v>
      </c>
      <c r="K235" s="14">
        <f t="shared" si="35"/>
        <v>115192.43500968814</v>
      </c>
      <c r="L235" s="14">
        <f t="shared" si="36"/>
        <v>334517.50507578999</v>
      </c>
    </row>
    <row r="236" spans="1:12" x14ac:dyDescent="0.3">
      <c r="A236">
        <v>231</v>
      </c>
      <c r="B236" s="13">
        <v>51867</v>
      </c>
      <c r="C236" s="14">
        <f t="shared" si="37"/>
        <v>115192.43500968814</v>
      </c>
      <c r="D236" s="14">
        <f t="shared" si="30"/>
        <v>1454.4239351121303</v>
      </c>
      <c r="E236" s="14">
        <f t="shared" si="31"/>
        <v>494.48697669806245</v>
      </c>
      <c r="F236" s="12">
        <f t="shared" si="32"/>
        <v>5.1512442808225117E-2</v>
      </c>
      <c r="G236" s="14">
        <f t="shared" si="33"/>
        <v>959.93695841406782</v>
      </c>
      <c r="H236" s="12">
        <f t="shared" si="34"/>
        <v>0.1</v>
      </c>
      <c r="I236" s="14">
        <f t="shared" si="38"/>
        <v>51034.851967009912</v>
      </c>
      <c r="J236" s="14">
        <f t="shared" si="39"/>
        <v>284937.07704389223</v>
      </c>
      <c r="K236" s="14">
        <f t="shared" si="35"/>
        <v>114697.94803299008</v>
      </c>
      <c r="L236" s="14">
        <f t="shared" si="36"/>
        <v>335971.92901090212</v>
      </c>
    </row>
    <row r="237" spans="1:12" x14ac:dyDescent="0.3">
      <c r="A237">
        <v>232</v>
      </c>
      <c r="B237" s="13">
        <v>51898</v>
      </c>
      <c r="C237" s="14">
        <f t="shared" si="37"/>
        <v>114697.94803299008</v>
      </c>
      <c r="D237" s="14">
        <f t="shared" si="30"/>
        <v>1454.4239351121303</v>
      </c>
      <c r="E237" s="14">
        <f t="shared" si="31"/>
        <v>498.60770150387964</v>
      </c>
      <c r="F237" s="12">
        <f t="shared" si="32"/>
        <v>5.216564481454896E-2</v>
      </c>
      <c r="G237" s="14">
        <f t="shared" si="33"/>
        <v>955.81623360825063</v>
      </c>
      <c r="H237" s="12">
        <f t="shared" si="34"/>
        <v>0.1</v>
      </c>
      <c r="I237" s="14">
        <f t="shared" si="38"/>
        <v>51533.459668513795</v>
      </c>
      <c r="J237" s="14">
        <f t="shared" si="39"/>
        <v>285892.89327750047</v>
      </c>
      <c r="K237" s="14">
        <f t="shared" si="35"/>
        <v>114199.34033148621</v>
      </c>
      <c r="L237" s="14">
        <f t="shared" si="36"/>
        <v>337426.35294601426</v>
      </c>
    </row>
    <row r="238" spans="1:12" x14ac:dyDescent="0.3">
      <c r="A238">
        <v>233</v>
      </c>
      <c r="B238" s="13">
        <v>51926</v>
      </c>
      <c r="C238" s="14">
        <f t="shared" si="37"/>
        <v>114199.34033148621</v>
      </c>
      <c r="D238" s="14">
        <f t="shared" si="30"/>
        <v>1454.4239351121303</v>
      </c>
      <c r="E238" s="14">
        <f t="shared" si="31"/>
        <v>502.76276568307856</v>
      </c>
      <c r="F238" s="12">
        <f t="shared" si="32"/>
        <v>5.283001785023031E-2</v>
      </c>
      <c r="G238" s="14">
        <f t="shared" si="33"/>
        <v>951.66116942905171</v>
      </c>
      <c r="H238" s="12">
        <f t="shared" si="34"/>
        <v>0.1</v>
      </c>
      <c r="I238" s="14">
        <f t="shared" si="38"/>
        <v>52036.222434196876</v>
      </c>
      <c r="J238" s="14">
        <f t="shared" si="39"/>
        <v>286844.55444692954</v>
      </c>
      <c r="K238" s="14">
        <f t="shared" si="35"/>
        <v>113696.57756580313</v>
      </c>
      <c r="L238" s="14">
        <f t="shared" si="36"/>
        <v>338880.7768811264</v>
      </c>
    </row>
    <row r="239" spans="1:12" x14ac:dyDescent="0.3">
      <c r="A239">
        <v>234</v>
      </c>
      <c r="B239" s="13">
        <v>51957</v>
      </c>
      <c r="C239" s="14">
        <f t="shared" si="37"/>
        <v>113696.57756580313</v>
      </c>
      <c r="D239" s="14">
        <f t="shared" si="30"/>
        <v>1454.4239351121303</v>
      </c>
      <c r="E239" s="14">
        <f t="shared" si="31"/>
        <v>506.95245539710413</v>
      </c>
      <c r="F239" s="12">
        <f t="shared" si="32"/>
        <v>5.3505827484071795E-2</v>
      </c>
      <c r="G239" s="14">
        <f t="shared" si="33"/>
        <v>947.47147971502613</v>
      </c>
      <c r="H239" s="12">
        <f t="shared" si="34"/>
        <v>0.1</v>
      </c>
      <c r="I239" s="14">
        <f t="shared" si="38"/>
        <v>52543.174889593982</v>
      </c>
      <c r="J239" s="14">
        <f t="shared" si="39"/>
        <v>287792.02592664456</v>
      </c>
      <c r="K239" s="14">
        <f t="shared" si="35"/>
        <v>113189.62511040604</v>
      </c>
      <c r="L239" s="14">
        <f t="shared" si="36"/>
        <v>340335.20081623853</v>
      </c>
    </row>
    <row r="240" spans="1:12" x14ac:dyDescent="0.3">
      <c r="A240">
        <v>235</v>
      </c>
      <c r="B240" s="13">
        <v>51987</v>
      </c>
      <c r="C240" s="14">
        <f t="shared" si="37"/>
        <v>113189.62511040604</v>
      </c>
      <c r="D240" s="14">
        <f t="shared" si="30"/>
        <v>1454.4239351121303</v>
      </c>
      <c r="E240" s="14">
        <f t="shared" si="31"/>
        <v>511.17705919208004</v>
      </c>
      <c r="F240" s="12">
        <f t="shared" si="32"/>
        <v>5.4193347705866923E-2</v>
      </c>
      <c r="G240" s="14">
        <f t="shared" si="33"/>
        <v>943.24687592005023</v>
      </c>
      <c r="H240" s="12">
        <f t="shared" si="34"/>
        <v>0.1</v>
      </c>
      <c r="I240" s="14">
        <f t="shared" si="38"/>
        <v>53054.351948786061</v>
      </c>
      <c r="J240" s="14">
        <f t="shared" si="39"/>
        <v>288735.27280256461</v>
      </c>
      <c r="K240" s="14">
        <f t="shared" si="35"/>
        <v>112678.44805121396</v>
      </c>
      <c r="L240" s="14">
        <f t="shared" si="36"/>
        <v>341789.62475135067</v>
      </c>
    </row>
    <row r="241" spans="1:12" x14ac:dyDescent="0.3">
      <c r="A241">
        <v>236</v>
      </c>
      <c r="B241" s="13">
        <v>52018</v>
      </c>
      <c r="C241" s="14">
        <f t="shared" si="37"/>
        <v>112678.44805121396</v>
      </c>
      <c r="D241" s="14">
        <f t="shared" si="30"/>
        <v>1454.4239351121303</v>
      </c>
      <c r="E241" s="14">
        <f t="shared" si="31"/>
        <v>515.43686801868068</v>
      </c>
      <c r="F241" s="12">
        <f t="shared" si="32"/>
        <v>5.4892861263166212E-2</v>
      </c>
      <c r="G241" s="14">
        <f t="shared" si="33"/>
        <v>938.98706709344958</v>
      </c>
      <c r="H241" s="12">
        <f t="shared" si="34"/>
        <v>0.1</v>
      </c>
      <c r="I241" s="14">
        <f t="shared" si="38"/>
        <v>53569.788816804743</v>
      </c>
      <c r="J241" s="14">
        <f t="shared" si="39"/>
        <v>289674.25986965804</v>
      </c>
      <c r="K241" s="14">
        <f t="shared" si="35"/>
        <v>112163.01118319528</v>
      </c>
      <c r="L241" s="14">
        <f t="shared" si="36"/>
        <v>343244.0486864628</v>
      </c>
    </row>
    <row r="242" spans="1:12" x14ac:dyDescent="0.3">
      <c r="A242">
        <v>237</v>
      </c>
      <c r="B242" s="13">
        <v>52048</v>
      </c>
      <c r="C242" s="14">
        <f t="shared" si="37"/>
        <v>112163.01118319528</v>
      </c>
      <c r="D242" s="14">
        <f t="shared" si="30"/>
        <v>1454.4239351121303</v>
      </c>
      <c r="E242" s="14">
        <f t="shared" si="31"/>
        <v>519.73217525216955</v>
      </c>
      <c r="F242" s="12">
        <f t="shared" si="32"/>
        <v>5.5604660014338628E-2</v>
      </c>
      <c r="G242" s="14">
        <f t="shared" si="33"/>
        <v>934.69175985996071</v>
      </c>
      <c r="H242" s="12">
        <f t="shared" si="34"/>
        <v>0.1</v>
      </c>
      <c r="I242" s="14">
        <f t="shared" si="38"/>
        <v>54089.52099205691</v>
      </c>
      <c r="J242" s="14">
        <f t="shared" si="39"/>
        <v>290608.95162951801</v>
      </c>
      <c r="K242" s="14">
        <f t="shared" si="35"/>
        <v>111643.27900794311</v>
      </c>
      <c r="L242" s="14">
        <f t="shared" si="36"/>
        <v>344698.47262157494</v>
      </c>
    </row>
    <row r="243" spans="1:12" x14ac:dyDescent="0.3">
      <c r="A243">
        <v>238</v>
      </c>
      <c r="B243" s="13">
        <v>52079</v>
      </c>
      <c r="C243" s="14">
        <f t="shared" si="37"/>
        <v>111643.27900794311</v>
      </c>
      <c r="D243" s="14">
        <f t="shared" si="30"/>
        <v>1454.4239351121303</v>
      </c>
      <c r="E243" s="14">
        <f t="shared" si="31"/>
        <v>524.06327671260431</v>
      </c>
      <c r="F243" s="12">
        <f t="shared" si="32"/>
        <v>5.6329045298856038E-2</v>
      </c>
      <c r="G243" s="14">
        <f t="shared" si="33"/>
        <v>930.36065839952596</v>
      </c>
      <c r="H243" s="12">
        <f t="shared" si="34"/>
        <v>0.1</v>
      </c>
      <c r="I243" s="14">
        <f t="shared" si="38"/>
        <v>54613.584268769511</v>
      </c>
      <c r="J243" s="14">
        <f t="shared" si="39"/>
        <v>291539.31228791754</v>
      </c>
      <c r="K243" s="14">
        <f t="shared" si="35"/>
        <v>111119.21573123051</v>
      </c>
      <c r="L243" s="14">
        <f t="shared" si="36"/>
        <v>346152.89655668708</v>
      </c>
    </row>
    <row r="244" spans="1:12" x14ac:dyDescent="0.3">
      <c r="A244">
        <v>239</v>
      </c>
      <c r="B244" s="13">
        <v>52110</v>
      </c>
      <c r="C244" s="14">
        <f t="shared" si="37"/>
        <v>111119.21573123051</v>
      </c>
      <c r="D244" s="14">
        <f t="shared" si="30"/>
        <v>1454.4239351121303</v>
      </c>
      <c r="E244" s="14">
        <f t="shared" si="31"/>
        <v>528.43047068520934</v>
      </c>
      <c r="F244" s="12">
        <f t="shared" si="32"/>
        <v>5.7066328325788403E-2</v>
      </c>
      <c r="G244" s="14">
        <f t="shared" si="33"/>
        <v>925.99346442692092</v>
      </c>
      <c r="H244" s="12">
        <f t="shared" si="34"/>
        <v>0.1</v>
      </c>
      <c r="I244" s="14">
        <f t="shared" si="38"/>
        <v>55142.014739454724</v>
      </c>
      <c r="J244" s="14">
        <f t="shared" si="39"/>
        <v>292465.30575234443</v>
      </c>
      <c r="K244" s="14">
        <f t="shared" si="35"/>
        <v>110590.78526054529</v>
      </c>
      <c r="L244" s="14">
        <f t="shared" si="36"/>
        <v>347607.32049179915</v>
      </c>
    </row>
    <row r="245" spans="1:12" x14ac:dyDescent="0.3">
      <c r="A245">
        <v>240</v>
      </c>
      <c r="B245" s="13">
        <v>52140</v>
      </c>
      <c r="C245" s="14">
        <f t="shared" si="37"/>
        <v>110590.78526054529</v>
      </c>
      <c r="D245" s="14">
        <f t="shared" si="30"/>
        <v>1454.4239351121303</v>
      </c>
      <c r="E245" s="14">
        <f t="shared" si="31"/>
        <v>532.83405794091948</v>
      </c>
      <c r="F245" s="12">
        <f t="shared" si="32"/>
        <v>5.7816830581563658E-2</v>
      </c>
      <c r="G245" s="14">
        <f t="shared" si="33"/>
        <v>921.58987717121079</v>
      </c>
      <c r="H245" s="12">
        <f t="shared" si="34"/>
        <v>0.1</v>
      </c>
      <c r="I245" s="14">
        <f t="shared" si="38"/>
        <v>55674.848797395643</v>
      </c>
      <c r="J245" s="14">
        <f t="shared" si="39"/>
        <v>293386.89562951564</v>
      </c>
      <c r="K245" s="14">
        <f t="shared" si="35"/>
        <v>110057.95120260438</v>
      </c>
      <c r="L245" s="14">
        <f t="shared" si="36"/>
        <v>349061.74442691129</v>
      </c>
    </row>
    <row r="246" spans="1:12" x14ac:dyDescent="0.3">
      <c r="A246">
        <v>241</v>
      </c>
      <c r="B246" s="13">
        <v>52171</v>
      </c>
      <c r="C246" s="14">
        <f t="shared" si="37"/>
        <v>110057.95120260438</v>
      </c>
      <c r="D246" s="14">
        <f t="shared" si="30"/>
        <v>1454.4239351121303</v>
      </c>
      <c r="E246" s="14">
        <f t="shared" si="31"/>
        <v>537.27434175709379</v>
      </c>
      <c r="F246" s="12">
        <f t="shared" si="32"/>
        <v>5.858088425811582E-2</v>
      </c>
      <c r="G246" s="14">
        <f t="shared" si="33"/>
        <v>917.14959335503647</v>
      </c>
      <c r="H246" s="12">
        <f t="shared" si="34"/>
        <v>0.1</v>
      </c>
      <c r="I246" s="14">
        <f t="shared" si="38"/>
        <v>56212.12313915274</v>
      </c>
      <c r="J246" s="14">
        <f t="shared" si="39"/>
        <v>294304.04522287066</v>
      </c>
      <c r="K246" s="14">
        <f t="shared" si="35"/>
        <v>109520.67686084729</v>
      </c>
      <c r="L246" s="14">
        <f t="shared" si="36"/>
        <v>350516.16836202343</v>
      </c>
    </row>
    <row r="247" spans="1:12" x14ac:dyDescent="0.3">
      <c r="A247">
        <v>242</v>
      </c>
      <c r="B247" s="13">
        <v>52201</v>
      </c>
      <c r="C247" s="14">
        <f t="shared" si="37"/>
        <v>109520.67686084729</v>
      </c>
      <c r="D247" s="14">
        <f t="shared" si="30"/>
        <v>1454.4239351121303</v>
      </c>
      <c r="E247" s="14">
        <f t="shared" si="31"/>
        <v>541.75162793840286</v>
      </c>
      <c r="F247" s="12">
        <f t="shared" si="32"/>
        <v>5.9358832702620865E-2</v>
      </c>
      <c r="G247" s="14">
        <f t="shared" si="33"/>
        <v>912.6723071737274</v>
      </c>
      <c r="H247" s="12">
        <f t="shared" si="34"/>
        <v>0.1</v>
      </c>
      <c r="I247" s="14">
        <f t="shared" si="38"/>
        <v>56753.87476709114</v>
      </c>
      <c r="J247" s="14">
        <f t="shared" si="39"/>
        <v>295216.71753004438</v>
      </c>
      <c r="K247" s="14">
        <f t="shared" si="35"/>
        <v>108978.92523290889</v>
      </c>
      <c r="L247" s="14">
        <f t="shared" si="36"/>
        <v>351970.5922971355</v>
      </c>
    </row>
    <row r="248" spans="1:12" x14ac:dyDescent="0.3">
      <c r="A248">
        <v>243</v>
      </c>
      <c r="B248" s="13">
        <v>52232</v>
      </c>
      <c r="C248" s="14">
        <f t="shared" si="37"/>
        <v>108978.92523290889</v>
      </c>
      <c r="D248" s="14">
        <f t="shared" si="30"/>
        <v>1454.4239351121303</v>
      </c>
      <c r="E248" s="14">
        <f t="shared" si="31"/>
        <v>546.26622483788947</v>
      </c>
      <c r="F248" s="12">
        <f t="shared" si="32"/>
        <v>6.0151030890100668E-2</v>
      </c>
      <c r="G248" s="14">
        <f t="shared" si="33"/>
        <v>908.1577102742408</v>
      </c>
      <c r="H248" s="12">
        <f t="shared" si="34"/>
        <v>0.1</v>
      </c>
      <c r="I248" s="14">
        <f t="shared" si="38"/>
        <v>57300.140991929031</v>
      </c>
      <c r="J248" s="14">
        <f t="shared" si="39"/>
        <v>296124.87524031859</v>
      </c>
      <c r="K248" s="14">
        <f t="shared" si="35"/>
        <v>108432.659008071</v>
      </c>
      <c r="L248" s="14">
        <f t="shared" si="36"/>
        <v>353425.01623224764</v>
      </c>
    </row>
    <row r="249" spans="1:12" x14ac:dyDescent="0.3">
      <c r="A249">
        <v>244</v>
      </c>
      <c r="B249" s="13">
        <v>52263</v>
      </c>
      <c r="C249" s="14">
        <f t="shared" si="37"/>
        <v>108432.659008071</v>
      </c>
      <c r="D249" s="14">
        <f t="shared" si="30"/>
        <v>1454.4239351121303</v>
      </c>
      <c r="E249" s="14">
        <f t="shared" si="31"/>
        <v>550.8184433782053</v>
      </c>
      <c r="F249" s="12">
        <f t="shared" si="32"/>
        <v>6.0957845920263494E-2</v>
      </c>
      <c r="G249" s="14">
        <f t="shared" si="33"/>
        <v>903.60549173392496</v>
      </c>
      <c r="H249" s="12">
        <f t="shared" si="34"/>
        <v>0.1</v>
      </c>
      <c r="I249" s="14">
        <f t="shared" si="38"/>
        <v>57850.959435307239</v>
      </c>
      <c r="J249" s="14">
        <f t="shared" si="39"/>
        <v>297028.48073205253</v>
      </c>
      <c r="K249" s="14">
        <f t="shared" si="35"/>
        <v>107881.8405646928</v>
      </c>
      <c r="L249" s="14">
        <f t="shared" si="36"/>
        <v>354879.44016735977</v>
      </c>
    </row>
    <row r="250" spans="1:12" x14ac:dyDescent="0.3">
      <c r="A250">
        <v>245</v>
      </c>
      <c r="B250" s="13">
        <v>52291</v>
      </c>
      <c r="C250" s="14">
        <f t="shared" si="37"/>
        <v>107881.8405646928</v>
      </c>
      <c r="D250" s="14">
        <f t="shared" si="30"/>
        <v>1454.4239351121303</v>
      </c>
      <c r="E250" s="14">
        <f t="shared" si="31"/>
        <v>555.40859707302366</v>
      </c>
      <c r="F250" s="12">
        <f t="shared" si="32"/>
        <v>6.1779657540043401E-2</v>
      </c>
      <c r="G250" s="14">
        <f t="shared" si="33"/>
        <v>899.01533803910661</v>
      </c>
      <c r="H250" s="12">
        <f t="shared" si="34"/>
        <v>0.1</v>
      </c>
      <c r="I250" s="14">
        <f t="shared" si="38"/>
        <v>58406.368032380262</v>
      </c>
      <c r="J250" s="14">
        <f t="shared" si="39"/>
        <v>297927.49607009161</v>
      </c>
      <c r="K250" s="14">
        <f t="shared" si="35"/>
        <v>107326.43196761978</v>
      </c>
      <c r="L250" s="14">
        <f t="shared" si="36"/>
        <v>356333.86410247185</v>
      </c>
    </row>
    <row r="251" spans="1:12" x14ac:dyDescent="0.3">
      <c r="A251">
        <v>246</v>
      </c>
      <c r="B251" s="13">
        <v>52322</v>
      </c>
      <c r="C251" s="14">
        <f t="shared" si="37"/>
        <v>107326.43196761978</v>
      </c>
      <c r="D251" s="14">
        <f t="shared" si="30"/>
        <v>1454.4239351121303</v>
      </c>
      <c r="E251" s="14">
        <f t="shared" si="31"/>
        <v>560.03700204863219</v>
      </c>
      <c r="F251" s="12">
        <f t="shared" si="32"/>
        <v>6.2616858693403082E-2</v>
      </c>
      <c r="G251" s="14">
        <f t="shared" si="33"/>
        <v>894.38693306349808</v>
      </c>
      <c r="H251" s="12">
        <f t="shared" si="34"/>
        <v>0.1</v>
      </c>
      <c r="I251" s="14">
        <f t="shared" si="38"/>
        <v>58966.405034428892</v>
      </c>
      <c r="J251" s="14">
        <f t="shared" si="39"/>
        <v>298821.88300315512</v>
      </c>
      <c r="K251" s="14">
        <f t="shared" si="35"/>
        <v>106766.39496557115</v>
      </c>
      <c r="L251" s="14">
        <f t="shared" si="36"/>
        <v>357788.28803758399</v>
      </c>
    </row>
    <row r="252" spans="1:12" x14ac:dyDescent="0.3">
      <c r="A252">
        <v>247</v>
      </c>
      <c r="B252" s="13">
        <v>52352</v>
      </c>
      <c r="C252" s="14">
        <f t="shared" si="37"/>
        <v>106766.39496557115</v>
      </c>
      <c r="D252" s="14">
        <f t="shared" si="30"/>
        <v>1454.4239351121303</v>
      </c>
      <c r="E252" s="14">
        <f t="shared" si="31"/>
        <v>564.70397706570407</v>
      </c>
      <c r="F252" s="12">
        <f t="shared" si="32"/>
        <v>6.3469856100073843E-2</v>
      </c>
      <c r="G252" s="14">
        <f t="shared" si="33"/>
        <v>889.7199580464262</v>
      </c>
      <c r="H252" s="12">
        <f t="shared" si="34"/>
        <v>0.1</v>
      </c>
      <c r="I252" s="14">
        <f t="shared" si="38"/>
        <v>59531.109011494598</v>
      </c>
      <c r="J252" s="14">
        <f t="shared" si="39"/>
        <v>299711.60296120157</v>
      </c>
      <c r="K252" s="14">
        <f t="shared" si="35"/>
        <v>106201.69098850545</v>
      </c>
      <c r="L252" s="14">
        <f t="shared" si="36"/>
        <v>359242.71197269618</v>
      </c>
    </row>
    <row r="253" spans="1:12" x14ac:dyDescent="0.3">
      <c r="A253">
        <v>248</v>
      </c>
      <c r="B253" s="13">
        <v>52383</v>
      </c>
      <c r="C253" s="14">
        <f t="shared" si="37"/>
        <v>106201.69098850545</v>
      </c>
      <c r="D253" s="14">
        <f t="shared" si="30"/>
        <v>1454.4239351121303</v>
      </c>
      <c r="E253" s="14">
        <f t="shared" si="31"/>
        <v>569.40984354125158</v>
      </c>
      <c r="F253" s="12">
        <f t="shared" si="32"/>
        <v>6.4339070865025758E-2</v>
      </c>
      <c r="G253" s="14">
        <f t="shared" si="33"/>
        <v>885.01409157087869</v>
      </c>
      <c r="H253" s="12">
        <f t="shared" si="34"/>
        <v>0.1</v>
      </c>
      <c r="I253" s="14">
        <f t="shared" si="38"/>
        <v>60100.518855035851</v>
      </c>
      <c r="J253" s="14">
        <f t="shared" si="39"/>
        <v>300596.61705277243</v>
      </c>
      <c r="K253" s="14">
        <f t="shared" si="35"/>
        <v>105632.2811449642</v>
      </c>
      <c r="L253" s="14">
        <f t="shared" si="36"/>
        <v>360697.13590780826</v>
      </c>
    </row>
    <row r="254" spans="1:12" x14ac:dyDescent="0.3">
      <c r="A254">
        <v>249</v>
      </c>
      <c r="B254" s="13">
        <v>52413</v>
      </c>
      <c r="C254" s="14">
        <f t="shared" si="37"/>
        <v>105632.2811449642</v>
      </c>
      <c r="D254" s="14">
        <f t="shared" si="30"/>
        <v>1454.4239351121303</v>
      </c>
      <c r="E254" s="14">
        <f t="shared" si="31"/>
        <v>574.15492557076197</v>
      </c>
      <c r="F254" s="12">
        <f t="shared" si="32"/>
        <v>6.5224939120588174E-2</v>
      </c>
      <c r="G254" s="14">
        <f t="shared" si="33"/>
        <v>880.26900954136829</v>
      </c>
      <c r="H254" s="12">
        <f t="shared" si="34"/>
        <v>0.1</v>
      </c>
      <c r="I254" s="14">
        <f t="shared" si="38"/>
        <v>60674.673780606616</v>
      </c>
      <c r="J254" s="14">
        <f t="shared" si="39"/>
        <v>301476.8860623138</v>
      </c>
      <c r="K254" s="14">
        <f t="shared" si="35"/>
        <v>105058.12621939344</v>
      </c>
      <c r="L254" s="14">
        <f t="shared" si="36"/>
        <v>362151.5598429204</v>
      </c>
    </row>
    <row r="255" spans="1:12" x14ac:dyDescent="0.3">
      <c r="A255">
        <v>250</v>
      </c>
      <c r="B255" s="13">
        <v>52444</v>
      </c>
      <c r="C255" s="14">
        <f t="shared" si="37"/>
        <v>105058.12621939344</v>
      </c>
      <c r="D255" s="14">
        <f t="shared" si="30"/>
        <v>1454.4239351121303</v>
      </c>
      <c r="E255" s="14">
        <f t="shared" si="31"/>
        <v>578.93954995051831</v>
      </c>
      <c r="F255" s="12">
        <f t="shared" si="32"/>
        <v>6.6127912703279987E-2</v>
      </c>
      <c r="G255" s="14">
        <f t="shared" si="33"/>
        <v>875.48438516161195</v>
      </c>
      <c r="H255" s="12">
        <f t="shared" si="34"/>
        <v>0.1</v>
      </c>
      <c r="I255" s="14">
        <f t="shared" si="38"/>
        <v>61253.613330557135</v>
      </c>
      <c r="J255" s="14">
        <f t="shared" si="39"/>
        <v>302352.3704474754</v>
      </c>
      <c r="K255" s="14">
        <f t="shared" si="35"/>
        <v>104479.18666944292</v>
      </c>
      <c r="L255" s="14">
        <f t="shared" si="36"/>
        <v>363605.98377803253</v>
      </c>
    </row>
    <row r="256" spans="1:12" x14ac:dyDescent="0.3">
      <c r="A256">
        <v>251</v>
      </c>
      <c r="B256" s="13">
        <v>52475</v>
      </c>
      <c r="C256" s="14">
        <f t="shared" si="37"/>
        <v>104479.18666944292</v>
      </c>
      <c r="D256" s="14">
        <f t="shared" si="30"/>
        <v>1454.4239351121303</v>
      </c>
      <c r="E256" s="14">
        <f t="shared" si="31"/>
        <v>583.76404620010601</v>
      </c>
      <c r="F256" s="12">
        <f t="shared" si="32"/>
        <v>6.7048459867558266E-2</v>
      </c>
      <c r="G256" s="14">
        <f t="shared" si="33"/>
        <v>870.65988891202426</v>
      </c>
      <c r="H256" s="12">
        <f t="shared" si="34"/>
        <v>0.1</v>
      </c>
      <c r="I256" s="14">
        <f t="shared" si="38"/>
        <v>61837.377376757242</v>
      </c>
      <c r="J256" s="14">
        <f t="shared" si="39"/>
        <v>303223.03033638746</v>
      </c>
      <c r="K256" s="14">
        <f t="shared" si="35"/>
        <v>103895.42262324282</v>
      </c>
      <c r="L256" s="14">
        <f t="shared" si="36"/>
        <v>365060.40771314467</v>
      </c>
    </row>
    <row r="257" spans="1:12" x14ac:dyDescent="0.3">
      <c r="A257">
        <v>252</v>
      </c>
      <c r="B257" s="13">
        <v>52505</v>
      </c>
      <c r="C257" s="14">
        <f t="shared" si="37"/>
        <v>103895.42262324282</v>
      </c>
      <c r="D257" s="14">
        <f t="shared" si="30"/>
        <v>1454.4239351121303</v>
      </c>
      <c r="E257" s="14">
        <f t="shared" si="31"/>
        <v>588.6287465851068</v>
      </c>
      <c r="F257" s="12">
        <f t="shared" si="32"/>
        <v>6.7987066038856181E-2</v>
      </c>
      <c r="G257" s="14">
        <f t="shared" si="33"/>
        <v>865.79518852702347</v>
      </c>
      <c r="H257" s="12">
        <f t="shared" si="34"/>
        <v>0.1</v>
      </c>
      <c r="I257" s="14">
        <f t="shared" si="38"/>
        <v>62426.006123342348</v>
      </c>
      <c r="J257" s="14">
        <f t="shared" si="39"/>
        <v>304088.82552491449</v>
      </c>
      <c r="K257" s="14">
        <f t="shared" si="35"/>
        <v>103306.79387665771</v>
      </c>
      <c r="L257" s="14">
        <f t="shared" si="36"/>
        <v>366514.83164825686</v>
      </c>
    </row>
    <row r="258" spans="1:12" x14ac:dyDescent="0.3">
      <c r="A258">
        <v>253</v>
      </c>
      <c r="B258" s="13">
        <v>52536</v>
      </c>
      <c r="C258" s="14">
        <f t="shared" si="37"/>
        <v>103306.79387665771</v>
      </c>
      <c r="D258" s="14">
        <f t="shared" si="30"/>
        <v>1454.4239351121303</v>
      </c>
      <c r="E258" s="14">
        <f t="shared" si="31"/>
        <v>593.53398613998263</v>
      </c>
      <c r="F258" s="12">
        <f t="shared" si="32"/>
        <v>6.8944234608456931E-2</v>
      </c>
      <c r="G258" s="14">
        <f t="shared" si="33"/>
        <v>860.88994897214764</v>
      </c>
      <c r="H258" s="12">
        <f t="shared" si="34"/>
        <v>0.1</v>
      </c>
      <c r="I258" s="14">
        <f t="shared" si="38"/>
        <v>63019.540109482332</v>
      </c>
      <c r="J258" s="14">
        <f t="shared" si="39"/>
        <v>304949.71547388664</v>
      </c>
      <c r="K258" s="14">
        <f t="shared" si="35"/>
        <v>102713.25989051773</v>
      </c>
      <c r="L258" s="14">
        <f t="shared" si="36"/>
        <v>367969.25558336894</v>
      </c>
    </row>
    <row r="259" spans="1:12" x14ac:dyDescent="0.3">
      <c r="A259">
        <v>254</v>
      </c>
      <c r="B259" s="13">
        <v>52566</v>
      </c>
      <c r="C259" s="14">
        <f t="shared" si="37"/>
        <v>102713.25989051773</v>
      </c>
      <c r="D259" s="14">
        <f t="shared" si="30"/>
        <v>1454.4239351121303</v>
      </c>
      <c r="E259" s="14">
        <f t="shared" si="31"/>
        <v>598.48010269114923</v>
      </c>
      <c r="F259" s="12">
        <f t="shared" si="32"/>
        <v>6.9920487772940354E-2</v>
      </c>
      <c r="G259" s="14">
        <f t="shared" si="33"/>
        <v>855.94383242098104</v>
      </c>
      <c r="H259" s="12">
        <f t="shared" si="34"/>
        <v>0.1</v>
      </c>
      <c r="I259" s="14">
        <f t="shared" si="38"/>
        <v>63618.020212173484</v>
      </c>
      <c r="J259" s="14">
        <f t="shared" si="39"/>
        <v>305805.65930630761</v>
      </c>
      <c r="K259" s="14">
        <f t="shared" si="35"/>
        <v>102114.77978782658</v>
      </c>
      <c r="L259" s="14">
        <f t="shared" si="36"/>
        <v>369423.67951848108</v>
      </c>
    </row>
    <row r="260" spans="1:12" x14ac:dyDescent="0.3">
      <c r="A260">
        <v>255</v>
      </c>
      <c r="B260" s="13">
        <v>52597</v>
      </c>
      <c r="C260" s="14">
        <f t="shared" si="37"/>
        <v>102114.77978782658</v>
      </c>
      <c r="D260" s="14">
        <f t="shared" si="30"/>
        <v>1454.4239351121303</v>
      </c>
      <c r="E260" s="14">
        <f t="shared" si="31"/>
        <v>603.46743688024208</v>
      </c>
      <c r="F260" s="12">
        <f t="shared" si="32"/>
        <v>7.0916367421145821E-2</v>
      </c>
      <c r="G260" s="14">
        <f t="shared" si="33"/>
        <v>850.95649823188819</v>
      </c>
      <c r="H260" s="12">
        <f t="shared" si="34"/>
        <v>0.1</v>
      </c>
      <c r="I260" s="14">
        <f t="shared" si="38"/>
        <v>64221.487649053728</v>
      </c>
      <c r="J260" s="14">
        <f t="shared" si="39"/>
        <v>306656.61580453953</v>
      </c>
      <c r="K260" s="14">
        <f t="shared" si="35"/>
        <v>101511.31235094635</v>
      </c>
      <c r="L260" s="14">
        <f t="shared" si="36"/>
        <v>370878.10345359327</v>
      </c>
    </row>
    <row r="261" spans="1:12" x14ac:dyDescent="0.3">
      <c r="A261">
        <v>256</v>
      </c>
      <c r="B261" s="13">
        <v>52628</v>
      </c>
      <c r="C261" s="14">
        <f t="shared" si="37"/>
        <v>101511.31235094635</v>
      </c>
      <c r="D261" s="14">
        <f t="shared" si="30"/>
        <v>1454.4239351121303</v>
      </c>
      <c r="E261" s="14">
        <f t="shared" si="31"/>
        <v>608.49633218757742</v>
      </c>
      <c r="F261" s="12">
        <f t="shared" si="32"/>
        <v>7.1932436071819303E-2</v>
      </c>
      <c r="G261" s="14">
        <f t="shared" si="33"/>
        <v>845.92760292455284</v>
      </c>
      <c r="H261" s="12">
        <f t="shared" si="34"/>
        <v>0.1</v>
      </c>
      <c r="I261" s="14">
        <f t="shared" si="38"/>
        <v>64829.983981241305</v>
      </c>
      <c r="J261" s="14">
        <f t="shared" si="39"/>
        <v>307502.54340746411</v>
      </c>
      <c r="K261" s="14">
        <f t="shared" si="35"/>
        <v>100902.81601875876</v>
      </c>
      <c r="L261" s="14">
        <f t="shared" si="36"/>
        <v>372332.52738870541</v>
      </c>
    </row>
    <row r="262" spans="1:12" x14ac:dyDescent="0.3">
      <c r="A262">
        <v>257</v>
      </c>
      <c r="B262" s="13">
        <v>52657</v>
      </c>
      <c r="C262" s="14">
        <f t="shared" si="37"/>
        <v>100902.81601875876</v>
      </c>
      <c r="D262" s="14">
        <f t="shared" si="30"/>
        <v>1454.4239351121303</v>
      </c>
      <c r="E262" s="14">
        <f t="shared" si="31"/>
        <v>613.56713495580721</v>
      </c>
      <c r="F262" s="12">
        <f t="shared" si="32"/>
        <v>7.2969277865355842E-2</v>
      </c>
      <c r="G262" s="14">
        <f t="shared" si="33"/>
        <v>840.85680015632306</v>
      </c>
      <c r="H262" s="12">
        <f t="shared" si="34"/>
        <v>0.1</v>
      </c>
      <c r="I262" s="14">
        <f t="shared" si="38"/>
        <v>65443.551116197115</v>
      </c>
      <c r="J262" s="14">
        <f t="shared" si="39"/>
        <v>308343.40020762041</v>
      </c>
      <c r="K262" s="14">
        <f t="shared" si="35"/>
        <v>100289.24888380295</v>
      </c>
      <c r="L262" s="14">
        <f t="shared" si="36"/>
        <v>373786.95132381754</v>
      </c>
    </row>
    <row r="263" spans="1:12" x14ac:dyDescent="0.3">
      <c r="A263">
        <v>258</v>
      </c>
      <c r="B263" s="13">
        <v>52688</v>
      </c>
      <c r="C263" s="14">
        <f t="shared" si="37"/>
        <v>100289.24888380295</v>
      </c>
      <c r="D263" s="14">
        <f t="shared" ref="D263:D326" si="40">$C$6/((($E$2)-1)/($E$1*$E$2))</f>
        <v>1454.4239351121303</v>
      </c>
      <c r="E263" s="14">
        <f t="shared" ref="E263:E326" si="41">D263-G263</f>
        <v>618.68019441377237</v>
      </c>
      <c r="F263" s="12">
        <f t="shared" ref="F263:F326" si="42">(E263/C263)*12</f>
        <v>7.4027499613313938E-2</v>
      </c>
      <c r="G263" s="14">
        <f t="shared" ref="G263:G326" si="43">C263*($B$1/12)</f>
        <v>835.7437406983579</v>
      </c>
      <c r="H263" s="12">
        <f t="shared" ref="H263:H326" si="44">(G263/C263)*12</f>
        <v>0.1</v>
      </c>
      <c r="I263" s="14">
        <f t="shared" si="38"/>
        <v>66062.231310610892</v>
      </c>
      <c r="J263" s="14">
        <f t="shared" si="39"/>
        <v>309179.14394831879</v>
      </c>
      <c r="K263" s="14">
        <f t="shared" ref="K263:K326" si="45">C263-E263</f>
        <v>99670.568689389183</v>
      </c>
      <c r="L263" s="14">
        <f t="shared" ref="L263:L326" si="46">I263+J263</f>
        <v>375241.37525892968</v>
      </c>
    </row>
    <row r="264" spans="1:12" x14ac:dyDescent="0.3">
      <c r="A264">
        <v>259</v>
      </c>
      <c r="B264" s="13">
        <v>52718</v>
      </c>
      <c r="C264" s="14">
        <f t="shared" ref="C264:C327" si="47">K263</f>
        <v>99670.568689389183</v>
      </c>
      <c r="D264" s="14">
        <f t="shared" si="40"/>
        <v>1454.4239351121303</v>
      </c>
      <c r="E264" s="14">
        <f t="shared" si="41"/>
        <v>623.83586270055378</v>
      </c>
      <c r="F264" s="12">
        <f t="shared" si="42"/>
        <v>7.510773190966652E-2</v>
      </c>
      <c r="G264" s="14">
        <f t="shared" si="43"/>
        <v>830.58807241157649</v>
      </c>
      <c r="H264" s="12">
        <f t="shared" si="44"/>
        <v>0.1</v>
      </c>
      <c r="I264" s="14">
        <f t="shared" ref="I264:I327" si="48">I263+E264</f>
        <v>66686.067173311443</v>
      </c>
      <c r="J264" s="14">
        <f t="shared" ref="J264:J327" si="49">J263+G264</f>
        <v>310009.73202073039</v>
      </c>
      <c r="K264" s="14">
        <f t="shared" si="45"/>
        <v>99046.732826688632</v>
      </c>
      <c r="L264" s="14">
        <f t="shared" si="46"/>
        <v>376695.79919404181</v>
      </c>
    </row>
    <row r="265" spans="1:12" x14ac:dyDescent="0.3">
      <c r="A265">
        <v>260</v>
      </c>
      <c r="B265" s="13">
        <v>52749</v>
      </c>
      <c r="C265" s="14">
        <f t="shared" si="47"/>
        <v>99046.732826688632</v>
      </c>
      <c r="D265" s="14">
        <f t="shared" si="40"/>
        <v>1454.4239351121303</v>
      </c>
      <c r="E265" s="14">
        <f t="shared" si="41"/>
        <v>629.03449488972501</v>
      </c>
      <c r="F265" s="12">
        <f t="shared" si="42"/>
        <v>7.621063030806749E-2</v>
      </c>
      <c r="G265" s="14">
        <f t="shared" si="43"/>
        <v>825.38944022240526</v>
      </c>
      <c r="H265" s="12">
        <f t="shared" si="44"/>
        <v>0.1</v>
      </c>
      <c r="I265" s="14">
        <f t="shared" si="48"/>
        <v>67315.101668201169</v>
      </c>
      <c r="J265" s="14">
        <f t="shared" si="49"/>
        <v>310835.1214609528</v>
      </c>
      <c r="K265" s="14">
        <f t="shared" si="45"/>
        <v>98417.698331798907</v>
      </c>
      <c r="L265" s="14">
        <f t="shared" si="46"/>
        <v>378150.22312915395</v>
      </c>
    </row>
    <row r="266" spans="1:12" x14ac:dyDescent="0.3">
      <c r="A266">
        <v>261</v>
      </c>
      <c r="B266" s="13">
        <v>52779</v>
      </c>
      <c r="C266" s="14">
        <f t="shared" si="47"/>
        <v>98417.698331798907</v>
      </c>
      <c r="D266" s="14">
        <f t="shared" si="40"/>
        <v>1454.4239351121303</v>
      </c>
      <c r="E266" s="14">
        <f t="shared" si="41"/>
        <v>634.27644901380609</v>
      </c>
      <c r="F266" s="12">
        <f t="shared" si="42"/>
        <v>7.7336876569754576E-2</v>
      </c>
      <c r="G266" s="14">
        <f t="shared" si="43"/>
        <v>820.14748609832418</v>
      </c>
      <c r="H266" s="12">
        <f t="shared" si="44"/>
        <v>0.1</v>
      </c>
      <c r="I266" s="14">
        <f t="shared" si="48"/>
        <v>67949.378117214976</v>
      </c>
      <c r="J266" s="14">
        <f t="shared" si="49"/>
        <v>311655.26894705114</v>
      </c>
      <c r="K266" s="14">
        <f t="shared" si="45"/>
        <v>97783.4218827851</v>
      </c>
      <c r="L266" s="14">
        <f t="shared" si="46"/>
        <v>379604.64706426614</v>
      </c>
    </row>
    <row r="267" spans="1:12" x14ac:dyDescent="0.3">
      <c r="A267">
        <v>262</v>
      </c>
      <c r="B267" s="13">
        <v>52810</v>
      </c>
      <c r="C267" s="14">
        <f t="shared" si="47"/>
        <v>97783.4218827851</v>
      </c>
      <c r="D267" s="14">
        <f t="shared" si="40"/>
        <v>1454.4239351121303</v>
      </c>
      <c r="E267" s="14">
        <f t="shared" si="41"/>
        <v>639.56208608892109</v>
      </c>
      <c r="F267" s="12">
        <f t="shared" si="42"/>
        <v>7.8487179987083294E-2</v>
      </c>
      <c r="G267" s="14">
        <f t="shared" si="43"/>
        <v>814.86184902320917</v>
      </c>
      <c r="H267" s="12">
        <f t="shared" si="44"/>
        <v>0.1</v>
      </c>
      <c r="I267" s="14">
        <f t="shared" si="48"/>
        <v>68588.940203303893</v>
      </c>
      <c r="J267" s="14">
        <f t="shared" si="49"/>
        <v>312470.13079607434</v>
      </c>
      <c r="K267" s="14">
        <f t="shared" si="45"/>
        <v>97143.859796696182</v>
      </c>
      <c r="L267" s="14">
        <f t="shared" si="46"/>
        <v>381059.07099937822</v>
      </c>
    </row>
    <row r="268" spans="1:12" x14ac:dyDescent="0.3">
      <c r="A268">
        <v>263</v>
      </c>
      <c r="B268" s="13">
        <v>52841</v>
      </c>
      <c r="C268" s="14">
        <f t="shared" si="47"/>
        <v>97143.859796696182</v>
      </c>
      <c r="D268" s="14">
        <f t="shared" si="40"/>
        <v>1454.4239351121303</v>
      </c>
      <c r="E268" s="14">
        <f t="shared" si="41"/>
        <v>644.89177013966207</v>
      </c>
      <c r="F268" s="12">
        <f t="shared" si="42"/>
        <v>7.9662278788094176E-2</v>
      </c>
      <c r="G268" s="14">
        <f t="shared" si="43"/>
        <v>809.53216497246819</v>
      </c>
      <c r="H268" s="12">
        <f t="shared" si="44"/>
        <v>0.1</v>
      </c>
      <c r="I268" s="14">
        <f t="shared" si="48"/>
        <v>69233.83197344355</v>
      </c>
      <c r="J268" s="14">
        <f t="shared" si="49"/>
        <v>313279.66296104679</v>
      </c>
      <c r="K268" s="14">
        <f t="shared" si="45"/>
        <v>96498.968026556526</v>
      </c>
      <c r="L268" s="14">
        <f t="shared" si="46"/>
        <v>382513.49493449036</v>
      </c>
    </row>
    <row r="269" spans="1:12" x14ac:dyDescent="0.3">
      <c r="A269">
        <v>264</v>
      </c>
      <c r="B269" s="13">
        <v>52871</v>
      </c>
      <c r="C269" s="14">
        <f t="shared" si="47"/>
        <v>96498.968026556526</v>
      </c>
      <c r="D269" s="14">
        <f t="shared" si="40"/>
        <v>1454.4239351121303</v>
      </c>
      <c r="E269" s="14">
        <f t="shared" si="41"/>
        <v>650.26586822415925</v>
      </c>
      <c r="F269" s="12">
        <f t="shared" si="42"/>
        <v>8.0862941627960955E-2</v>
      </c>
      <c r="G269" s="14">
        <f t="shared" si="43"/>
        <v>804.15806688797102</v>
      </c>
      <c r="H269" s="12">
        <f t="shared" si="44"/>
        <v>0.1</v>
      </c>
      <c r="I269" s="14">
        <f t="shared" si="48"/>
        <v>69884.09784166771</v>
      </c>
      <c r="J269" s="14">
        <f t="shared" si="49"/>
        <v>314083.82102793478</v>
      </c>
      <c r="K269" s="14">
        <f t="shared" si="45"/>
        <v>95848.702158332366</v>
      </c>
      <c r="L269" s="14">
        <f t="shared" si="46"/>
        <v>383967.91886960249</v>
      </c>
    </row>
    <row r="270" spans="1:12" x14ac:dyDescent="0.3">
      <c r="A270">
        <v>265</v>
      </c>
      <c r="B270" s="13">
        <v>52902</v>
      </c>
      <c r="C270" s="14">
        <f t="shared" si="47"/>
        <v>95848.702158332366</v>
      </c>
      <c r="D270" s="14">
        <f t="shared" si="40"/>
        <v>1454.4239351121303</v>
      </c>
      <c r="E270" s="14">
        <f t="shared" si="41"/>
        <v>655.68475045936054</v>
      </c>
      <c r="F270" s="12">
        <f t="shared" si="42"/>
        <v>8.2089969173654825E-2</v>
      </c>
      <c r="G270" s="14">
        <f t="shared" si="43"/>
        <v>798.73918465276972</v>
      </c>
      <c r="H270" s="12">
        <f t="shared" si="44"/>
        <v>0.1</v>
      </c>
      <c r="I270" s="14">
        <f t="shared" si="48"/>
        <v>70539.782592127071</v>
      </c>
      <c r="J270" s="14">
        <f t="shared" si="49"/>
        <v>314882.56021258753</v>
      </c>
      <c r="K270" s="14">
        <f t="shared" si="45"/>
        <v>95193.017407873005</v>
      </c>
      <c r="L270" s="14">
        <f t="shared" si="46"/>
        <v>385422.34280471457</v>
      </c>
    </row>
    <row r="271" spans="1:12" x14ac:dyDescent="0.3">
      <c r="A271">
        <v>266</v>
      </c>
      <c r="B271" s="13">
        <v>52932</v>
      </c>
      <c r="C271" s="14">
        <f t="shared" si="47"/>
        <v>95193.017407873005</v>
      </c>
      <c r="D271" s="14">
        <f t="shared" si="40"/>
        <v>1454.4239351121303</v>
      </c>
      <c r="E271" s="14">
        <f t="shared" si="41"/>
        <v>661.14879004652187</v>
      </c>
      <c r="F271" s="12">
        <f t="shared" si="42"/>
        <v>8.3344195788693357E-2</v>
      </c>
      <c r="G271" s="14">
        <f t="shared" si="43"/>
        <v>793.2751450656084</v>
      </c>
      <c r="H271" s="12">
        <f t="shared" si="44"/>
        <v>0.1</v>
      </c>
      <c r="I271" s="14">
        <f t="shared" si="48"/>
        <v>71200.9313821736</v>
      </c>
      <c r="J271" s="14">
        <f t="shared" si="49"/>
        <v>315675.83535765315</v>
      </c>
      <c r="K271" s="14">
        <f t="shared" si="45"/>
        <v>94531.868617826476</v>
      </c>
      <c r="L271" s="14">
        <f t="shared" si="46"/>
        <v>386876.76673982677</v>
      </c>
    </row>
    <row r="272" spans="1:12" x14ac:dyDescent="0.3">
      <c r="A272">
        <v>267</v>
      </c>
      <c r="B272" s="13">
        <v>52963</v>
      </c>
      <c r="C272" s="14">
        <f t="shared" si="47"/>
        <v>94531.868617826476</v>
      </c>
      <c r="D272" s="14">
        <f t="shared" si="40"/>
        <v>1454.4239351121303</v>
      </c>
      <c r="E272" s="14">
        <f t="shared" si="41"/>
        <v>666.65836329690967</v>
      </c>
      <c r="F272" s="12">
        <f t="shared" si="42"/>
        <v>8.4626491325427197E-2</v>
      </c>
      <c r="G272" s="14">
        <f t="shared" si="43"/>
        <v>787.7655718152206</v>
      </c>
      <c r="H272" s="12">
        <f t="shared" si="44"/>
        <v>0.1</v>
      </c>
      <c r="I272" s="14">
        <f t="shared" si="48"/>
        <v>71867.589745470512</v>
      </c>
      <c r="J272" s="14">
        <f t="shared" si="49"/>
        <v>316463.60092946835</v>
      </c>
      <c r="K272" s="14">
        <f t="shared" si="45"/>
        <v>93865.210254529564</v>
      </c>
      <c r="L272" s="14">
        <f t="shared" si="46"/>
        <v>388331.19067493884</v>
      </c>
    </row>
    <row r="273" spans="1:12" x14ac:dyDescent="0.3">
      <c r="A273">
        <v>268</v>
      </c>
      <c r="B273" s="13">
        <v>52994</v>
      </c>
      <c r="C273" s="14">
        <f t="shared" si="47"/>
        <v>93865.210254529564</v>
      </c>
      <c r="D273" s="14">
        <f t="shared" si="40"/>
        <v>1454.4239351121303</v>
      </c>
      <c r="E273" s="14">
        <f t="shared" si="41"/>
        <v>672.21384965771722</v>
      </c>
      <c r="F273" s="12">
        <f t="shared" si="42"/>
        <v>8.5937763032958706E-2</v>
      </c>
      <c r="G273" s="14">
        <f t="shared" si="43"/>
        <v>782.21008545441305</v>
      </c>
      <c r="H273" s="12">
        <f t="shared" si="44"/>
        <v>0.1</v>
      </c>
      <c r="I273" s="14">
        <f t="shared" si="48"/>
        <v>72539.803595128236</v>
      </c>
      <c r="J273" s="14">
        <f t="shared" si="49"/>
        <v>317245.81101492274</v>
      </c>
      <c r="K273" s="14">
        <f t="shared" si="45"/>
        <v>93192.996404871839</v>
      </c>
      <c r="L273" s="14">
        <f t="shared" si="46"/>
        <v>389785.61461005098</v>
      </c>
    </row>
    <row r="274" spans="1:12" x14ac:dyDescent="0.3">
      <c r="A274">
        <v>269</v>
      </c>
      <c r="B274" s="13">
        <v>53022</v>
      </c>
      <c r="C274" s="14">
        <f t="shared" si="47"/>
        <v>93192.996404871839</v>
      </c>
      <c r="D274" s="14">
        <f t="shared" si="40"/>
        <v>1454.4239351121303</v>
      </c>
      <c r="E274" s="14">
        <f t="shared" si="41"/>
        <v>677.81563173819825</v>
      </c>
      <c r="F274" s="12">
        <f t="shared" si="42"/>
        <v>8.7278957589490808E-2</v>
      </c>
      <c r="G274" s="14">
        <f t="shared" si="43"/>
        <v>776.60830337393202</v>
      </c>
      <c r="H274" s="12">
        <f t="shared" si="44"/>
        <v>0.1</v>
      </c>
      <c r="I274" s="14">
        <f t="shared" si="48"/>
        <v>73217.619226866431</v>
      </c>
      <c r="J274" s="14">
        <f t="shared" si="49"/>
        <v>318022.41931829666</v>
      </c>
      <c r="K274" s="14">
        <f t="shared" si="45"/>
        <v>92515.180773133645</v>
      </c>
      <c r="L274" s="14">
        <f t="shared" si="46"/>
        <v>391240.03854516312</v>
      </c>
    </row>
    <row r="275" spans="1:12" x14ac:dyDescent="0.3">
      <c r="A275">
        <v>270</v>
      </c>
      <c r="B275" s="13">
        <v>53053</v>
      </c>
      <c r="C275" s="14">
        <f t="shared" si="47"/>
        <v>92515.180773133645</v>
      </c>
      <c r="D275" s="14">
        <f t="shared" si="40"/>
        <v>1454.4239351121303</v>
      </c>
      <c r="E275" s="14">
        <f t="shared" si="41"/>
        <v>683.46409533601661</v>
      </c>
      <c r="F275" s="12">
        <f t="shared" si="42"/>
        <v>8.8651063268677416E-2</v>
      </c>
      <c r="G275" s="14">
        <f t="shared" si="43"/>
        <v>770.95983977611365</v>
      </c>
      <c r="H275" s="12">
        <f t="shared" si="44"/>
        <v>0.1</v>
      </c>
      <c r="I275" s="14">
        <f t="shared" si="48"/>
        <v>73901.083322202452</v>
      </c>
      <c r="J275" s="14">
        <f t="shared" si="49"/>
        <v>318793.37915807276</v>
      </c>
      <c r="K275" s="14">
        <f t="shared" si="45"/>
        <v>91831.716677797624</v>
      </c>
      <c r="L275" s="14">
        <f t="shared" si="46"/>
        <v>392694.46248027519</v>
      </c>
    </row>
    <row r="276" spans="1:12" x14ac:dyDescent="0.3">
      <c r="A276">
        <v>271</v>
      </c>
      <c r="B276" s="13">
        <v>53083</v>
      </c>
      <c r="C276" s="14">
        <f t="shared" si="47"/>
        <v>91831.716677797624</v>
      </c>
      <c r="D276" s="14">
        <f t="shared" si="40"/>
        <v>1454.4239351121303</v>
      </c>
      <c r="E276" s="14">
        <f t="shared" si="41"/>
        <v>689.15962946381671</v>
      </c>
      <c r="F276" s="12">
        <f t="shared" si="42"/>
        <v>9.005511225039789E-2</v>
      </c>
      <c r="G276" s="14">
        <f t="shared" si="43"/>
        <v>765.26430564831355</v>
      </c>
      <c r="H276" s="12">
        <f t="shared" si="44"/>
        <v>0.1</v>
      </c>
      <c r="I276" s="14">
        <f t="shared" si="48"/>
        <v>74590.242951666267</v>
      </c>
      <c r="J276" s="14">
        <f t="shared" si="49"/>
        <v>319558.64346372109</v>
      </c>
      <c r="K276" s="14">
        <f t="shared" si="45"/>
        <v>91142.557048333809</v>
      </c>
      <c r="L276" s="14">
        <f t="shared" si="46"/>
        <v>394148.88641538739</v>
      </c>
    </row>
    <row r="277" spans="1:12" x14ac:dyDescent="0.3">
      <c r="A277">
        <v>272</v>
      </c>
      <c r="B277" s="13">
        <v>53114</v>
      </c>
      <c r="C277" s="14">
        <f t="shared" si="47"/>
        <v>91142.557048333809</v>
      </c>
      <c r="D277" s="14">
        <f t="shared" si="40"/>
        <v>1454.4239351121303</v>
      </c>
      <c r="E277" s="14">
        <f t="shared" si="41"/>
        <v>694.90262637601518</v>
      </c>
      <c r="F277" s="12">
        <f t="shared" si="42"/>
        <v>9.1492183087314716E-2</v>
      </c>
      <c r="G277" s="14">
        <f t="shared" si="43"/>
        <v>759.52130873611509</v>
      </c>
      <c r="H277" s="12">
        <f t="shared" si="44"/>
        <v>0.1</v>
      </c>
      <c r="I277" s="14">
        <f t="shared" si="48"/>
        <v>75285.145578042284</v>
      </c>
      <c r="J277" s="14">
        <f t="shared" si="49"/>
        <v>320318.16477245721</v>
      </c>
      <c r="K277" s="14">
        <f t="shared" si="45"/>
        <v>90447.654421957792</v>
      </c>
      <c r="L277" s="14">
        <f t="shared" si="46"/>
        <v>395603.31035049947</v>
      </c>
    </row>
    <row r="278" spans="1:12" x14ac:dyDescent="0.3">
      <c r="A278">
        <v>273</v>
      </c>
      <c r="B278" s="13">
        <v>53144</v>
      </c>
      <c r="C278" s="14">
        <f t="shared" si="47"/>
        <v>90447.654421957792</v>
      </c>
      <c r="D278" s="14">
        <f t="shared" si="40"/>
        <v>1454.4239351121303</v>
      </c>
      <c r="E278" s="14">
        <f t="shared" si="41"/>
        <v>700.69348159581534</v>
      </c>
      <c r="F278" s="12">
        <f t="shared" si="42"/>
        <v>9.296340333960626E-2</v>
      </c>
      <c r="G278" s="14">
        <f t="shared" si="43"/>
        <v>753.73045351631492</v>
      </c>
      <c r="H278" s="12">
        <f t="shared" si="44"/>
        <v>0.1</v>
      </c>
      <c r="I278" s="14">
        <f t="shared" si="48"/>
        <v>75985.839059638092</v>
      </c>
      <c r="J278" s="14">
        <f t="shared" si="49"/>
        <v>321071.89522597351</v>
      </c>
      <c r="K278" s="14">
        <f t="shared" si="45"/>
        <v>89746.960940361983</v>
      </c>
      <c r="L278" s="14">
        <f t="shared" si="46"/>
        <v>397057.7342856116</v>
      </c>
    </row>
    <row r="279" spans="1:12" x14ac:dyDescent="0.3">
      <c r="A279">
        <v>274</v>
      </c>
      <c r="B279" s="13">
        <v>53175</v>
      </c>
      <c r="C279" s="14">
        <f t="shared" si="47"/>
        <v>89746.960940361983</v>
      </c>
      <c r="D279" s="14">
        <f t="shared" si="40"/>
        <v>1454.4239351121303</v>
      </c>
      <c r="E279" s="14">
        <f t="shared" si="41"/>
        <v>706.53259394244708</v>
      </c>
      <c r="F279" s="12">
        <f t="shared" si="42"/>
        <v>9.4469952391405945E-2</v>
      </c>
      <c r="G279" s="14">
        <f t="shared" si="43"/>
        <v>747.89134116968319</v>
      </c>
      <c r="H279" s="12">
        <f t="shared" si="44"/>
        <v>0.1</v>
      </c>
      <c r="I279" s="14">
        <f t="shared" si="48"/>
        <v>76692.371653580543</v>
      </c>
      <c r="J279" s="14">
        <f t="shared" si="49"/>
        <v>321819.78656714316</v>
      </c>
      <c r="K279" s="14">
        <f t="shared" si="45"/>
        <v>89040.428346419532</v>
      </c>
      <c r="L279" s="14">
        <f t="shared" si="46"/>
        <v>398512.15822072374</v>
      </c>
    </row>
    <row r="280" spans="1:12" x14ac:dyDescent="0.3">
      <c r="A280">
        <v>275</v>
      </c>
      <c r="B280" s="13">
        <v>53206</v>
      </c>
      <c r="C280" s="14">
        <f t="shared" si="47"/>
        <v>89040.428346419532</v>
      </c>
      <c r="D280" s="14">
        <f t="shared" si="40"/>
        <v>1454.4239351121303</v>
      </c>
      <c r="E280" s="14">
        <f t="shared" si="41"/>
        <v>712.42036555863422</v>
      </c>
      <c r="F280" s="12">
        <f t="shared" si="42"/>
        <v>9.6013064463737863E-2</v>
      </c>
      <c r="G280" s="14">
        <f t="shared" si="43"/>
        <v>742.00356955349605</v>
      </c>
      <c r="H280" s="12">
        <f t="shared" si="44"/>
        <v>0.1</v>
      </c>
      <c r="I280" s="14">
        <f t="shared" si="48"/>
        <v>77404.792019139175</v>
      </c>
      <c r="J280" s="14">
        <f t="shared" si="49"/>
        <v>322561.79013669665</v>
      </c>
      <c r="K280" s="14">
        <f t="shared" si="45"/>
        <v>88328.007980860901</v>
      </c>
      <c r="L280" s="14">
        <f t="shared" si="46"/>
        <v>399966.58215583581</v>
      </c>
    </row>
    <row r="281" spans="1:12" x14ac:dyDescent="0.3">
      <c r="A281">
        <v>276</v>
      </c>
      <c r="B281" s="13">
        <v>53236</v>
      </c>
      <c r="C281" s="14">
        <f t="shared" si="47"/>
        <v>88328.007980860901</v>
      </c>
      <c r="D281" s="14">
        <f t="shared" si="40"/>
        <v>1454.4239351121303</v>
      </c>
      <c r="E281" s="14">
        <f t="shared" si="41"/>
        <v>718.35720193828945</v>
      </c>
      <c r="F281" s="12">
        <f t="shared" si="42"/>
        <v>9.7594031840130879E-2</v>
      </c>
      <c r="G281" s="14">
        <f t="shared" si="43"/>
        <v>736.06673317384082</v>
      </c>
      <c r="H281" s="12">
        <f t="shared" si="44"/>
        <v>0.1</v>
      </c>
      <c r="I281" s="14">
        <f t="shared" si="48"/>
        <v>78123.14922107746</v>
      </c>
      <c r="J281" s="14">
        <f t="shared" si="49"/>
        <v>323297.85686987051</v>
      </c>
      <c r="K281" s="14">
        <f t="shared" si="45"/>
        <v>87609.650778922616</v>
      </c>
      <c r="L281" s="14">
        <f t="shared" si="46"/>
        <v>401421.00609094795</v>
      </c>
    </row>
    <row r="282" spans="1:12" x14ac:dyDescent="0.3">
      <c r="A282">
        <v>277</v>
      </c>
      <c r="B282" s="13">
        <v>53267</v>
      </c>
      <c r="C282" s="14">
        <f t="shared" si="47"/>
        <v>87609.650778922616</v>
      </c>
      <c r="D282" s="14">
        <f t="shared" si="40"/>
        <v>1454.4239351121303</v>
      </c>
      <c r="E282" s="14">
        <f t="shared" si="41"/>
        <v>724.34351195444185</v>
      </c>
      <c r="F282" s="12">
        <f t="shared" si="42"/>
        <v>9.9214208322634695E-2</v>
      </c>
      <c r="G282" s="14">
        <f t="shared" si="43"/>
        <v>730.08042315768841</v>
      </c>
      <c r="H282" s="12">
        <f t="shared" si="44"/>
        <v>0.1</v>
      </c>
      <c r="I282" s="14">
        <f t="shared" si="48"/>
        <v>78847.492733031904</v>
      </c>
      <c r="J282" s="14">
        <f t="shared" si="49"/>
        <v>324027.93729302817</v>
      </c>
      <c r="K282" s="14">
        <f t="shared" si="45"/>
        <v>86885.307266968171</v>
      </c>
      <c r="L282" s="14">
        <f t="shared" si="46"/>
        <v>402875.43002606009</v>
      </c>
    </row>
    <row r="283" spans="1:12" x14ac:dyDescent="0.3">
      <c r="A283">
        <v>278</v>
      </c>
      <c r="B283" s="13">
        <v>53297</v>
      </c>
      <c r="C283" s="14">
        <f t="shared" si="47"/>
        <v>86885.307266968171</v>
      </c>
      <c r="D283" s="14">
        <f t="shared" si="40"/>
        <v>1454.4239351121303</v>
      </c>
      <c r="E283" s="14">
        <f t="shared" si="41"/>
        <v>730.37970788739551</v>
      </c>
      <c r="F283" s="12">
        <f t="shared" si="42"/>
        <v>0.10087501293766885</v>
      </c>
      <c r="G283" s="14">
        <f t="shared" si="43"/>
        <v>724.04422722473475</v>
      </c>
      <c r="H283" s="12">
        <f t="shared" si="44"/>
        <v>0.1</v>
      </c>
      <c r="I283" s="14">
        <f t="shared" si="48"/>
        <v>79577.872440919295</v>
      </c>
      <c r="J283" s="14">
        <f t="shared" si="49"/>
        <v>324751.98152025288</v>
      </c>
      <c r="K283" s="14">
        <f t="shared" si="45"/>
        <v>86154.927559080781</v>
      </c>
      <c r="L283" s="14">
        <f t="shared" si="46"/>
        <v>404329.85396117216</v>
      </c>
    </row>
    <row r="284" spans="1:12" x14ac:dyDescent="0.3">
      <c r="A284">
        <v>279</v>
      </c>
      <c r="B284" s="13">
        <v>53328</v>
      </c>
      <c r="C284" s="14">
        <f t="shared" si="47"/>
        <v>86154.927559080781</v>
      </c>
      <c r="D284" s="14">
        <f t="shared" si="40"/>
        <v>1454.4239351121303</v>
      </c>
      <c r="E284" s="14">
        <f t="shared" si="41"/>
        <v>736.46620545312373</v>
      </c>
      <c r="F284" s="12">
        <f t="shared" si="42"/>
        <v>0.10257793391303242</v>
      </c>
      <c r="G284" s="14">
        <f t="shared" si="43"/>
        <v>717.95772965900653</v>
      </c>
      <c r="H284" s="12">
        <f t="shared" si="44"/>
        <v>0.1</v>
      </c>
      <c r="I284" s="14">
        <f t="shared" si="48"/>
        <v>80314.338646372416</v>
      </c>
      <c r="J284" s="14">
        <f t="shared" si="49"/>
        <v>325469.93924991187</v>
      </c>
      <c r="K284" s="14">
        <f t="shared" si="45"/>
        <v>85418.461353627659</v>
      </c>
      <c r="L284" s="14">
        <f t="shared" si="46"/>
        <v>405784.2778962843</v>
      </c>
    </row>
    <row r="285" spans="1:12" x14ac:dyDescent="0.3">
      <c r="A285">
        <v>280</v>
      </c>
      <c r="B285" s="13">
        <v>53359</v>
      </c>
      <c r="C285" s="14">
        <f t="shared" si="47"/>
        <v>85418.461353627659</v>
      </c>
      <c r="D285" s="14">
        <f t="shared" si="40"/>
        <v>1454.4239351121303</v>
      </c>
      <c r="E285" s="14">
        <f t="shared" si="41"/>
        <v>742.60342383189982</v>
      </c>
      <c r="F285" s="12">
        <f t="shared" si="42"/>
        <v>0.10432453294950793</v>
      </c>
      <c r="G285" s="14">
        <f t="shared" si="43"/>
        <v>711.82051128023045</v>
      </c>
      <c r="H285" s="12">
        <f t="shared" si="44"/>
        <v>0.1</v>
      </c>
      <c r="I285" s="14">
        <f t="shared" si="48"/>
        <v>81056.942070204313</v>
      </c>
      <c r="J285" s="14">
        <f t="shared" si="49"/>
        <v>326181.75976119208</v>
      </c>
      <c r="K285" s="14">
        <f t="shared" si="45"/>
        <v>84675.857929795762</v>
      </c>
      <c r="L285" s="14">
        <f t="shared" si="46"/>
        <v>407238.70183139638</v>
      </c>
    </row>
    <row r="286" spans="1:12" x14ac:dyDescent="0.3">
      <c r="A286">
        <v>281</v>
      </c>
      <c r="B286" s="13">
        <v>53387</v>
      </c>
      <c r="C286" s="14">
        <f t="shared" si="47"/>
        <v>84675.857929795762</v>
      </c>
      <c r="D286" s="14">
        <f t="shared" si="40"/>
        <v>1454.4239351121303</v>
      </c>
      <c r="E286" s="14">
        <f t="shared" si="41"/>
        <v>748.79178569716555</v>
      </c>
      <c r="F286" s="12">
        <f t="shared" si="42"/>
        <v>0.1061164498128358</v>
      </c>
      <c r="G286" s="14">
        <f t="shared" si="43"/>
        <v>705.63214941496472</v>
      </c>
      <c r="H286" s="12">
        <f t="shared" si="44"/>
        <v>0.1</v>
      </c>
      <c r="I286" s="14">
        <f t="shared" si="48"/>
        <v>81805.733855901475</v>
      </c>
      <c r="J286" s="14">
        <f t="shared" si="49"/>
        <v>326887.39191060705</v>
      </c>
      <c r="K286" s="14">
        <f t="shared" si="45"/>
        <v>83927.0661440986</v>
      </c>
      <c r="L286" s="14">
        <f t="shared" si="46"/>
        <v>408693.12576650851</v>
      </c>
    </row>
    <row r="287" spans="1:12" x14ac:dyDescent="0.3">
      <c r="A287">
        <v>282</v>
      </c>
      <c r="B287" s="13">
        <v>53418</v>
      </c>
      <c r="C287" s="14">
        <f t="shared" si="47"/>
        <v>83927.0661440986</v>
      </c>
      <c r="D287" s="14">
        <f t="shared" si="40"/>
        <v>1454.4239351121303</v>
      </c>
      <c r="E287" s="14">
        <f t="shared" si="41"/>
        <v>755.03171724464198</v>
      </c>
      <c r="F287" s="12">
        <f t="shared" si="42"/>
        <v>0.10795540727444802</v>
      </c>
      <c r="G287" s="14">
        <f t="shared" si="43"/>
        <v>699.39221786748828</v>
      </c>
      <c r="H287" s="12">
        <f t="shared" si="44"/>
        <v>0.1</v>
      </c>
      <c r="I287" s="14">
        <f t="shared" si="48"/>
        <v>82560.765573146113</v>
      </c>
      <c r="J287" s="14">
        <f t="shared" si="49"/>
        <v>327586.78412847454</v>
      </c>
      <c r="K287" s="14">
        <f t="shared" si="45"/>
        <v>83172.034426853963</v>
      </c>
      <c r="L287" s="14">
        <f t="shared" si="46"/>
        <v>410147.54970162065</v>
      </c>
    </row>
    <row r="288" spans="1:12" x14ac:dyDescent="0.3">
      <c r="A288">
        <v>283</v>
      </c>
      <c r="B288" s="13">
        <v>53448</v>
      </c>
      <c r="C288" s="14">
        <f t="shared" si="47"/>
        <v>83172.034426853963</v>
      </c>
      <c r="D288" s="14">
        <f t="shared" si="40"/>
        <v>1454.4239351121303</v>
      </c>
      <c r="E288" s="14">
        <f t="shared" si="41"/>
        <v>761.32364822168063</v>
      </c>
      <c r="F288" s="12">
        <f t="shared" si="42"/>
        <v>0.1098432164322584</v>
      </c>
      <c r="G288" s="14">
        <f t="shared" si="43"/>
        <v>693.10028689044964</v>
      </c>
      <c r="H288" s="12">
        <f t="shared" si="44"/>
        <v>0.1</v>
      </c>
      <c r="I288" s="14">
        <f t="shared" si="48"/>
        <v>83322.089221367787</v>
      </c>
      <c r="J288" s="14">
        <f t="shared" si="49"/>
        <v>328279.884415365</v>
      </c>
      <c r="K288" s="14">
        <f t="shared" si="45"/>
        <v>82410.710778632289</v>
      </c>
      <c r="L288" s="14">
        <f t="shared" si="46"/>
        <v>411601.97363673279</v>
      </c>
    </row>
    <row r="289" spans="1:12" x14ac:dyDescent="0.3">
      <c r="A289">
        <v>284</v>
      </c>
      <c r="B289" s="13">
        <v>53479</v>
      </c>
      <c r="C289" s="14">
        <f t="shared" si="47"/>
        <v>82410.710778632289</v>
      </c>
      <c r="D289" s="14">
        <f t="shared" si="40"/>
        <v>1454.4239351121303</v>
      </c>
      <c r="E289" s="14">
        <f t="shared" si="41"/>
        <v>767.66801195686116</v>
      </c>
      <c r="F289" s="12">
        <f t="shared" si="42"/>
        <v>0.11178178244606107</v>
      </c>
      <c r="G289" s="14">
        <f t="shared" si="43"/>
        <v>686.7559231552691</v>
      </c>
      <c r="H289" s="12">
        <f t="shared" si="44"/>
        <v>0.1</v>
      </c>
      <c r="I289" s="14">
        <f t="shared" si="48"/>
        <v>84089.75723332465</v>
      </c>
      <c r="J289" s="14">
        <f t="shared" si="49"/>
        <v>328966.64033852029</v>
      </c>
      <c r="K289" s="14">
        <f t="shared" si="45"/>
        <v>81643.042766675426</v>
      </c>
      <c r="L289" s="14">
        <f t="shared" si="46"/>
        <v>413056.39757184492</v>
      </c>
    </row>
    <row r="290" spans="1:12" x14ac:dyDescent="0.3">
      <c r="A290">
        <v>285</v>
      </c>
      <c r="B290" s="13">
        <v>53509</v>
      </c>
      <c r="C290" s="14">
        <f t="shared" si="47"/>
        <v>81643.042766675426</v>
      </c>
      <c r="D290" s="14">
        <f t="shared" si="40"/>
        <v>1454.4239351121303</v>
      </c>
      <c r="E290" s="14">
        <f t="shared" si="41"/>
        <v>774.06524538983501</v>
      </c>
      <c r="F290" s="12">
        <f t="shared" si="42"/>
        <v>0.11377311072572446</v>
      </c>
      <c r="G290" s="14">
        <f t="shared" si="43"/>
        <v>680.35868972229525</v>
      </c>
      <c r="H290" s="12">
        <f t="shared" si="44"/>
        <v>0.1</v>
      </c>
      <c r="I290" s="14">
        <f t="shared" si="48"/>
        <v>84863.822478714486</v>
      </c>
      <c r="J290" s="14">
        <f t="shared" si="49"/>
        <v>329646.9990282426</v>
      </c>
      <c r="K290" s="14">
        <f t="shared" si="45"/>
        <v>80868.977521285589</v>
      </c>
      <c r="L290" s="14">
        <f t="shared" si="46"/>
        <v>414510.82150695706</v>
      </c>
    </row>
    <row r="291" spans="1:12" x14ac:dyDescent="0.3">
      <c r="A291">
        <v>286</v>
      </c>
      <c r="B291" s="13">
        <v>53540</v>
      </c>
      <c r="C291" s="14">
        <f t="shared" si="47"/>
        <v>80868.977521285589</v>
      </c>
      <c r="D291" s="14">
        <f t="shared" si="40"/>
        <v>1454.4239351121303</v>
      </c>
      <c r="E291" s="14">
        <f t="shared" si="41"/>
        <v>780.515789101417</v>
      </c>
      <c r="F291" s="12">
        <f t="shared" si="42"/>
        <v>0.1158193136144416</v>
      </c>
      <c r="G291" s="14">
        <f t="shared" si="43"/>
        <v>673.90814601071327</v>
      </c>
      <c r="H291" s="12">
        <f t="shared" si="44"/>
        <v>0.1</v>
      </c>
      <c r="I291" s="14">
        <f t="shared" si="48"/>
        <v>85644.338267815911</v>
      </c>
      <c r="J291" s="14">
        <f t="shared" si="49"/>
        <v>330320.90717425331</v>
      </c>
      <c r="K291" s="14">
        <f t="shared" si="45"/>
        <v>80088.461732184165</v>
      </c>
      <c r="L291" s="14">
        <f t="shared" si="46"/>
        <v>415965.24544206925</v>
      </c>
    </row>
    <row r="292" spans="1:12" x14ac:dyDescent="0.3">
      <c r="A292">
        <v>287</v>
      </c>
      <c r="B292" s="13">
        <v>53571</v>
      </c>
      <c r="C292" s="14">
        <f t="shared" si="47"/>
        <v>80088.461732184165</v>
      </c>
      <c r="D292" s="14">
        <f t="shared" si="40"/>
        <v>1454.4239351121303</v>
      </c>
      <c r="E292" s="14">
        <f t="shared" si="41"/>
        <v>787.02008734392894</v>
      </c>
      <c r="F292" s="12">
        <f t="shared" si="42"/>
        <v>0.11792261761386667</v>
      </c>
      <c r="G292" s="14">
        <f t="shared" si="43"/>
        <v>667.40384776820133</v>
      </c>
      <c r="H292" s="12">
        <f t="shared" si="44"/>
        <v>0.1</v>
      </c>
      <c r="I292" s="14">
        <f t="shared" si="48"/>
        <v>86431.358355159842</v>
      </c>
      <c r="J292" s="14">
        <f t="shared" si="49"/>
        <v>330988.31102202152</v>
      </c>
      <c r="K292" s="14">
        <f t="shared" si="45"/>
        <v>79301.441644840233</v>
      </c>
      <c r="L292" s="14">
        <f t="shared" si="46"/>
        <v>417419.66937718133</v>
      </c>
    </row>
    <row r="293" spans="1:12" x14ac:dyDescent="0.3">
      <c r="A293">
        <v>288</v>
      </c>
      <c r="B293" s="13">
        <v>53601</v>
      </c>
      <c r="C293" s="14">
        <f t="shared" si="47"/>
        <v>79301.441644840233</v>
      </c>
      <c r="D293" s="14">
        <f t="shared" si="40"/>
        <v>1454.4239351121303</v>
      </c>
      <c r="E293" s="14">
        <f t="shared" si="41"/>
        <v>793.57858807179502</v>
      </c>
      <c r="F293" s="12">
        <f t="shared" si="42"/>
        <v>0.12008537120309909</v>
      </c>
      <c r="G293" s="14">
        <f t="shared" si="43"/>
        <v>660.84534704033524</v>
      </c>
      <c r="H293" s="12">
        <f t="shared" si="44"/>
        <v>0.1</v>
      </c>
      <c r="I293" s="14">
        <f t="shared" si="48"/>
        <v>87224.936943231631</v>
      </c>
      <c r="J293" s="14">
        <f t="shared" si="49"/>
        <v>331649.15636906185</v>
      </c>
      <c r="K293" s="14">
        <f t="shared" si="45"/>
        <v>78507.863056768445</v>
      </c>
      <c r="L293" s="14">
        <f t="shared" si="46"/>
        <v>418874.09331229347</v>
      </c>
    </row>
    <row r="294" spans="1:12" x14ac:dyDescent="0.3">
      <c r="A294">
        <v>289</v>
      </c>
      <c r="B294" s="13">
        <v>53632</v>
      </c>
      <c r="C294" s="14">
        <f t="shared" si="47"/>
        <v>78507.863056768445</v>
      </c>
      <c r="D294" s="14">
        <f t="shared" si="40"/>
        <v>1454.4239351121303</v>
      </c>
      <c r="E294" s="14">
        <f t="shared" si="41"/>
        <v>800.19174297239329</v>
      </c>
      <c r="F294" s="12">
        <f t="shared" si="42"/>
        <v>0.1223100533092509</v>
      </c>
      <c r="G294" s="14">
        <f t="shared" si="43"/>
        <v>654.23219213973698</v>
      </c>
      <c r="H294" s="12">
        <f t="shared" si="44"/>
        <v>0.1</v>
      </c>
      <c r="I294" s="14">
        <f t="shared" si="48"/>
        <v>88025.128686204029</v>
      </c>
      <c r="J294" s="14">
        <f t="shared" si="49"/>
        <v>332303.38856120157</v>
      </c>
      <c r="K294" s="14">
        <f t="shared" si="45"/>
        <v>77707.671313796047</v>
      </c>
      <c r="L294" s="14">
        <f t="shared" si="46"/>
        <v>420328.5172474056</v>
      </c>
    </row>
    <row r="295" spans="1:12" x14ac:dyDescent="0.3">
      <c r="A295">
        <v>290</v>
      </c>
      <c r="B295" s="13">
        <v>53662</v>
      </c>
      <c r="C295" s="14">
        <f t="shared" si="47"/>
        <v>77707.671313796047</v>
      </c>
      <c r="D295" s="14">
        <f t="shared" si="40"/>
        <v>1454.4239351121303</v>
      </c>
      <c r="E295" s="14">
        <f t="shared" si="41"/>
        <v>806.86000749716322</v>
      </c>
      <c r="F295" s="12">
        <f t="shared" si="42"/>
        <v>0.12459928249383766</v>
      </c>
      <c r="G295" s="14">
        <f t="shared" si="43"/>
        <v>647.56392761496704</v>
      </c>
      <c r="H295" s="12">
        <f t="shared" si="44"/>
        <v>0.1</v>
      </c>
      <c r="I295" s="14">
        <f t="shared" si="48"/>
        <v>88831.988693701191</v>
      </c>
      <c r="J295" s="14">
        <f t="shared" si="49"/>
        <v>332950.95248881652</v>
      </c>
      <c r="K295" s="14">
        <f t="shared" si="45"/>
        <v>76900.811306298885</v>
      </c>
      <c r="L295" s="14">
        <f t="shared" si="46"/>
        <v>421782.94118251768</v>
      </c>
    </row>
    <row r="296" spans="1:12" x14ac:dyDescent="0.3">
      <c r="A296">
        <v>291</v>
      </c>
      <c r="B296" s="13">
        <v>53693</v>
      </c>
      <c r="C296" s="14">
        <f t="shared" si="47"/>
        <v>76900.811306298885</v>
      </c>
      <c r="D296" s="14">
        <f t="shared" si="40"/>
        <v>1454.4239351121303</v>
      </c>
      <c r="E296" s="14">
        <f t="shared" si="41"/>
        <v>813.58384089297294</v>
      </c>
      <c r="F296" s="12">
        <f t="shared" si="42"/>
        <v>0.12695582692657489</v>
      </c>
      <c r="G296" s="14">
        <f t="shared" si="43"/>
        <v>640.84009421915732</v>
      </c>
      <c r="H296" s="12">
        <f t="shared" si="44"/>
        <v>0.1</v>
      </c>
      <c r="I296" s="14">
        <f t="shared" si="48"/>
        <v>89645.572534594161</v>
      </c>
      <c r="J296" s="14">
        <f t="shared" si="49"/>
        <v>333591.79258303565</v>
      </c>
      <c r="K296" s="14">
        <f t="shared" si="45"/>
        <v>76087.227465405915</v>
      </c>
      <c r="L296" s="14">
        <f t="shared" si="46"/>
        <v>423237.36511762982</v>
      </c>
    </row>
    <row r="297" spans="1:12" x14ac:dyDescent="0.3">
      <c r="A297">
        <v>292</v>
      </c>
      <c r="B297" s="13">
        <v>53724</v>
      </c>
      <c r="C297" s="14">
        <f t="shared" si="47"/>
        <v>76087.227465405915</v>
      </c>
      <c r="D297" s="14">
        <f t="shared" si="40"/>
        <v>1454.4239351121303</v>
      </c>
      <c r="E297" s="14">
        <f t="shared" si="41"/>
        <v>820.36370623374762</v>
      </c>
      <c r="F297" s="12">
        <f t="shared" si="42"/>
        <v>0.12938261522646288</v>
      </c>
      <c r="G297" s="14">
        <f t="shared" si="43"/>
        <v>634.06022887838265</v>
      </c>
      <c r="H297" s="12">
        <f t="shared" si="44"/>
        <v>0.1</v>
      </c>
      <c r="I297" s="14">
        <f t="shared" si="48"/>
        <v>90465.936240827912</v>
      </c>
      <c r="J297" s="14">
        <f t="shared" si="49"/>
        <v>334225.85281191405</v>
      </c>
      <c r="K297" s="14">
        <f t="shared" si="45"/>
        <v>75266.863759172164</v>
      </c>
      <c r="L297" s="14">
        <f t="shared" si="46"/>
        <v>424691.78905274195</v>
      </c>
    </row>
    <row r="298" spans="1:12" x14ac:dyDescent="0.3">
      <c r="A298">
        <v>293</v>
      </c>
      <c r="B298" s="13">
        <v>53752</v>
      </c>
      <c r="C298" s="14">
        <f t="shared" si="47"/>
        <v>75266.863759172164</v>
      </c>
      <c r="D298" s="14">
        <f t="shared" si="40"/>
        <v>1454.4239351121303</v>
      </c>
      <c r="E298" s="14">
        <f t="shared" si="41"/>
        <v>827.2000704523623</v>
      </c>
      <c r="F298" s="12">
        <f t="shared" si="42"/>
        <v>0.13188274825943838</v>
      </c>
      <c r="G298" s="14">
        <f t="shared" si="43"/>
        <v>627.22386465976797</v>
      </c>
      <c r="H298" s="12">
        <f t="shared" si="44"/>
        <v>0.1</v>
      </c>
      <c r="I298" s="14">
        <f t="shared" si="48"/>
        <v>91293.136311280279</v>
      </c>
      <c r="J298" s="14">
        <f t="shared" si="49"/>
        <v>334853.07667657384</v>
      </c>
      <c r="K298" s="14">
        <f t="shared" si="45"/>
        <v>74439.663688719796</v>
      </c>
      <c r="L298" s="14">
        <f t="shared" si="46"/>
        <v>426146.21298785415</v>
      </c>
    </row>
    <row r="299" spans="1:12" x14ac:dyDescent="0.3">
      <c r="A299">
        <v>294</v>
      </c>
      <c r="B299" s="13">
        <v>53783</v>
      </c>
      <c r="C299" s="14">
        <f t="shared" si="47"/>
        <v>74439.663688719796</v>
      </c>
      <c r="D299" s="14">
        <f t="shared" si="40"/>
        <v>1454.4239351121303</v>
      </c>
      <c r="E299" s="14">
        <f t="shared" si="41"/>
        <v>834.09340437279866</v>
      </c>
      <c r="F299" s="12">
        <f t="shared" si="42"/>
        <v>0.13445951199253356</v>
      </c>
      <c r="G299" s="14">
        <f t="shared" si="43"/>
        <v>620.33053073933161</v>
      </c>
      <c r="H299" s="12">
        <f t="shared" si="44"/>
        <v>0.1</v>
      </c>
      <c r="I299" s="14">
        <f t="shared" si="48"/>
        <v>92127.229715653084</v>
      </c>
      <c r="J299" s="14">
        <f t="shared" si="49"/>
        <v>335473.40720731317</v>
      </c>
      <c r="K299" s="14">
        <f t="shared" si="45"/>
        <v>73605.570284346992</v>
      </c>
      <c r="L299" s="14">
        <f t="shared" si="46"/>
        <v>427600.63692296622</v>
      </c>
    </row>
    <row r="300" spans="1:12" x14ac:dyDescent="0.3">
      <c r="A300">
        <v>295</v>
      </c>
      <c r="B300" s="13">
        <v>53813</v>
      </c>
      <c r="C300" s="14">
        <f t="shared" si="47"/>
        <v>73605.570284346992</v>
      </c>
      <c r="D300" s="14">
        <f t="shared" si="40"/>
        <v>1454.4239351121303</v>
      </c>
      <c r="E300" s="14">
        <f t="shared" si="41"/>
        <v>841.04418274257205</v>
      </c>
      <c r="F300" s="12">
        <f t="shared" si="42"/>
        <v>0.13711639151659624</v>
      </c>
      <c r="G300" s="14">
        <f t="shared" si="43"/>
        <v>613.37975236955822</v>
      </c>
      <c r="H300" s="12">
        <f t="shared" si="44"/>
        <v>0.1</v>
      </c>
      <c r="I300" s="14">
        <f t="shared" si="48"/>
        <v>92968.273898395651</v>
      </c>
      <c r="J300" s="14">
        <f t="shared" si="49"/>
        <v>336086.78695968271</v>
      </c>
      <c r="K300" s="14">
        <f t="shared" si="45"/>
        <v>72764.526101604424</v>
      </c>
      <c r="L300" s="14">
        <f t="shared" si="46"/>
        <v>429055.06085807836</v>
      </c>
    </row>
    <row r="301" spans="1:12" x14ac:dyDescent="0.3">
      <c r="A301">
        <v>296</v>
      </c>
      <c r="B301" s="13">
        <v>53844</v>
      </c>
      <c r="C301" s="14">
        <f t="shared" si="47"/>
        <v>72764.526101604424</v>
      </c>
      <c r="D301" s="14">
        <f t="shared" si="40"/>
        <v>1454.4239351121303</v>
      </c>
      <c r="E301" s="14">
        <f t="shared" si="41"/>
        <v>848.05288426542677</v>
      </c>
      <c r="F301" s="12">
        <f t="shared" si="42"/>
        <v>0.13985708636341593</v>
      </c>
      <c r="G301" s="14">
        <f t="shared" si="43"/>
        <v>606.3710508467035</v>
      </c>
      <c r="H301" s="12">
        <f t="shared" si="44"/>
        <v>0.1</v>
      </c>
      <c r="I301" s="14">
        <f t="shared" si="48"/>
        <v>93816.326782661083</v>
      </c>
      <c r="J301" s="14">
        <f t="shared" si="49"/>
        <v>336693.15801052941</v>
      </c>
      <c r="K301" s="14">
        <f t="shared" si="45"/>
        <v>71916.473217338993</v>
      </c>
      <c r="L301" s="14">
        <f t="shared" si="46"/>
        <v>430509.4847931905</v>
      </c>
    </row>
    <row r="302" spans="1:12" x14ac:dyDescent="0.3">
      <c r="A302">
        <v>297</v>
      </c>
      <c r="B302" s="13">
        <v>53874</v>
      </c>
      <c r="C302" s="14">
        <f t="shared" si="47"/>
        <v>71916.473217338993</v>
      </c>
      <c r="D302" s="14">
        <f t="shared" si="40"/>
        <v>1454.4239351121303</v>
      </c>
      <c r="E302" s="14">
        <f t="shared" si="41"/>
        <v>855.11999163430528</v>
      </c>
      <c r="F302" s="12">
        <f t="shared" si="42"/>
        <v>0.14268552725883171</v>
      </c>
      <c r="G302" s="14">
        <f t="shared" si="43"/>
        <v>599.30394347782499</v>
      </c>
      <c r="H302" s="12">
        <f t="shared" si="44"/>
        <v>0.1</v>
      </c>
      <c r="I302" s="14">
        <f t="shared" si="48"/>
        <v>94671.446774295386</v>
      </c>
      <c r="J302" s="14">
        <f t="shared" si="49"/>
        <v>337292.46195400722</v>
      </c>
      <c r="K302" s="14">
        <f t="shared" si="45"/>
        <v>71061.35322570469</v>
      </c>
      <c r="L302" s="14">
        <f t="shared" si="46"/>
        <v>431963.90872830257</v>
      </c>
    </row>
    <row r="303" spans="1:12" x14ac:dyDescent="0.3">
      <c r="A303">
        <v>298</v>
      </c>
      <c r="B303" s="13">
        <v>53905</v>
      </c>
      <c r="C303" s="14">
        <f t="shared" si="47"/>
        <v>71061.35322570469</v>
      </c>
      <c r="D303" s="14">
        <f t="shared" si="40"/>
        <v>1454.4239351121303</v>
      </c>
      <c r="E303" s="14">
        <f t="shared" si="41"/>
        <v>862.24599156459124</v>
      </c>
      <c r="F303" s="12">
        <f t="shared" si="42"/>
        <v>0.14560589447137548</v>
      </c>
      <c r="G303" s="14">
        <f t="shared" si="43"/>
        <v>592.17794354753903</v>
      </c>
      <c r="H303" s="12">
        <f t="shared" si="44"/>
        <v>0.1</v>
      </c>
      <c r="I303" s="14">
        <f t="shared" si="48"/>
        <v>95533.692765859974</v>
      </c>
      <c r="J303" s="14">
        <f t="shared" si="49"/>
        <v>337884.63989755476</v>
      </c>
      <c r="K303" s="14">
        <f t="shared" si="45"/>
        <v>70199.107234140101</v>
      </c>
      <c r="L303" s="14">
        <f t="shared" si="46"/>
        <v>433418.33266341477</v>
      </c>
    </row>
    <row r="304" spans="1:12" x14ac:dyDescent="0.3">
      <c r="A304">
        <v>299</v>
      </c>
      <c r="B304" s="13">
        <v>53936</v>
      </c>
      <c r="C304" s="14">
        <f t="shared" si="47"/>
        <v>70199.107234140101</v>
      </c>
      <c r="D304" s="14">
        <f t="shared" si="40"/>
        <v>1454.4239351121303</v>
      </c>
      <c r="E304" s="14">
        <f t="shared" si="41"/>
        <v>869.43137482762938</v>
      </c>
      <c r="F304" s="12">
        <f t="shared" si="42"/>
        <v>0.14862263793659131</v>
      </c>
      <c r="G304" s="14">
        <f t="shared" si="43"/>
        <v>584.99256028450088</v>
      </c>
      <c r="H304" s="12">
        <f t="shared" si="44"/>
        <v>0.1</v>
      </c>
      <c r="I304" s="14">
        <f t="shared" si="48"/>
        <v>96403.124140687607</v>
      </c>
      <c r="J304" s="14">
        <f t="shared" si="49"/>
        <v>338469.63245783927</v>
      </c>
      <c r="K304" s="14">
        <f t="shared" si="45"/>
        <v>69329.675859312469</v>
      </c>
      <c r="L304" s="14">
        <f t="shared" si="46"/>
        <v>434872.75659852684</v>
      </c>
    </row>
    <row r="305" spans="1:12" x14ac:dyDescent="0.3">
      <c r="A305">
        <v>300</v>
      </c>
      <c r="B305" s="13">
        <v>53966</v>
      </c>
      <c r="C305" s="14">
        <f t="shared" si="47"/>
        <v>69329.675859312469</v>
      </c>
      <c r="D305" s="14">
        <f t="shared" si="40"/>
        <v>1454.4239351121303</v>
      </c>
      <c r="E305" s="14">
        <f t="shared" si="41"/>
        <v>876.67663628452635</v>
      </c>
      <c r="F305" s="12">
        <f t="shared" si="42"/>
        <v>0.1517404993607977</v>
      </c>
      <c r="G305" s="14">
        <f t="shared" si="43"/>
        <v>577.74729882760391</v>
      </c>
      <c r="H305" s="12">
        <f t="shared" si="44"/>
        <v>0.1</v>
      </c>
      <c r="I305" s="14">
        <f t="shared" si="48"/>
        <v>97279.80077697213</v>
      </c>
      <c r="J305" s="14">
        <f t="shared" si="49"/>
        <v>339047.37975666689</v>
      </c>
      <c r="K305" s="14">
        <f t="shared" si="45"/>
        <v>68452.999223027946</v>
      </c>
      <c r="L305" s="14">
        <f t="shared" si="46"/>
        <v>436327.18053363904</v>
      </c>
    </row>
    <row r="306" spans="1:12" x14ac:dyDescent="0.3">
      <c r="A306">
        <v>301</v>
      </c>
      <c r="B306" s="13">
        <v>53997</v>
      </c>
      <c r="C306" s="14">
        <f t="shared" si="47"/>
        <v>68452.999223027946</v>
      </c>
      <c r="D306" s="14">
        <f t="shared" si="40"/>
        <v>1454.4239351121303</v>
      </c>
      <c r="E306" s="14">
        <f t="shared" si="41"/>
        <v>883.98227492023068</v>
      </c>
      <c r="F306" s="12">
        <f t="shared" si="42"/>
        <v>0.15496453653522685</v>
      </c>
      <c r="G306" s="14">
        <f t="shared" si="43"/>
        <v>570.44166019189959</v>
      </c>
      <c r="H306" s="12">
        <f t="shared" si="44"/>
        <v>0.1</v>
      </c>
      <c r="I306" s="14">
        <f t="shared" si="48"/>
        <v>98163.783051892358</v>
      </c>
      <c r="J306" s="14">
        <f t="shared" si="49"/>
        <v>339617.82141685882</v>
      </c>
      <c r="K306" s="14">
        <f t="shared" si="45"/>
        <v>67569.016948107717</v>
      </c>
      <c r="L306" s="14">
        <f t="shared" si="46"/>
        <v>437781.60446875117</v>
      </c>
    </row>
    <row r="307" spans="1:12" x14ac:dyDescent="0.3">
      <c r="A307">
        <v>302</v>
      </c>
      <c r="B307" s="13">
        <v>54027</v>
      </c>
      <c r="C307" s="14">
        <f t="shared" si="47"/>
        <v>67569.016948107717</v>
      </c>
      <c r="D307" s="14">
        <f t="shared" si="40"/>
        <v>1454.4239351121303</v>
      </c>
      <c r="E307" s="14">
        <f t="shared" si="41"/>
        <v>891.34879387789931</v>
      </c>
      <c r="F307" s="12">
        <f t="shared" si="42"/>
        <v>0.15830015012278997</v>
      </c>
      <c r="G307" s="14">
        <f t="shared" si="43"/>
        <v>563.07514123423095</v>
      </c>
      <c r="H307" s="12">
        <f t="shared" si="44"/>
        <v>0.1</v>
      </c>
      <c r="I307" s="14">
        <f t="shared" si="48"/>
        <v>99055.131845770258</v>
      </c>
      <c r="J307" s="14">
        <f t="shared" si="49"/>
        <v>340180.89655809302</v>
      </c>
      <c r="K307" s="14">
        <f t="shared" si="45"/>
        <v>66677.668154229817</v>
      </c>
      <c r="L307" s="14">
        <f t="shared" si="46"/>
        <v>439236.02840386331</v>
      </c>
    </row>
    <row r="308" spans="1:12" x14ac:dyDescent="0.3">
      <c r="A308">
        <v>303</v>
      </c>
      <c r="B308" s="13">
        <v>54058</v>
      </c>
      <c r="C308" s="14">
        <f t="shared" si="47"/>
        <v>66677.668154229817</v>
      </c>
      <c r="D308" s="14">
        <f t="shared" si="40"/>
        <v>1454.4239351121303</v>
      </c>
      <c r="E308" s="14">
        <f t="shared" si="41"/>
        <v>898.77670049354845</v>
      </c>
      <c r="F308" s="12">
        <f t="shared" si="42"/>
        <v>0.16175311321588853</v>
      </c>
      <c r="G308" s="14">
        <f t="shared" si="43"/>
        <v>555.64723461858182</v>
      </c>
      <c r="H308" s="12">
        <f t="shared" si="44"/>
        <v>0.1</v>
      </c>
      <c r="I308" s="14">
        <f t="shared" si="48"/>
        <v>99953.908546263803</v>
      </c>
      <c r="J308" s="14">
        <f t="shared" si="49"/>
        <v>340736.54379271163</v>
      </c>
      <c r="K308" s="14">
        <f t="shared" si="45"/>
        <v>65778.891453736273</v>
      </c>
      <c r="L308" s="14">
        <f t="shared" si="46"/>
        <v>440690.45233897545</v>
      </c>
    </row>
    <row r="309" spans="1:12" x14ac:dyDescent="0.3">
      <c r="A309">
        <v>304</v>
      </c>
      <c r="B309" s="13">
        <v>54089</v>
      </c>
      <c r="C309" s="14">
        <f t="shared" si="47"/>
        <v>65778.891453736273</v>
      </c>
      <c r="D309" s="14">
        <f t="shared" si="40"/>
        <v>1454.4239351121303</v>
      </c>
      <c r="E309" s="14">
        <f t="shared" si="41"/>
        <v>906.26650633099462</v>
      </c>
      <c r="F309" s="12">
        <f t="shared" si="42"/>
        <v>0.16532960400557525</v>
      </c>
      <c r="G309" s="14">
        <f t="shared" si="43"/>
        <v>548.15742878113565</v>
      </c>
      <c r="H309" s="12">
        <f t="shared" si="44"/>
        <v>0.1</v>
      </c>
      <c r="I309" s="14">
        <f t="shared" si="48"/>
        <v>100860.1750525948</v>
      </c>
      <c r="J309" s="14">
        <f t="shared" si="49"/>
        <v>341284.70122149278</v>
      </c>
      <c r="K309" s="14">
        <f t="shared" si="45"/>
        <v>64872.624947405275</v>
      </c>
      <c r="L309" s="14">
        <f t="shared" si="46"/>
        <v>442144.87627408758</v>
      </c>
    </row>
    <row r="310" spans="1:12" x14ac:dyDescent="0.3">
      <c r="A310">
        <v>305</v>
      </c>
      <c r="B310" s="13">
        <v>54118</v>
      </c>
      <c r="C310" s="14">
        <f t="shared" si="47"/>
        <v>64872.624947405275</v>
      </c>
      <c r="D310" s="14">
        <f t="shared" si="40"/>
        <v>1454.4239351121303</v>
      </c>
      <c r="E310" s="14">
        <f t="shared" si="41"/>
        <v>913.81872721708635</v>
      </c>
      <c r="F310" s="12">
        <f t="shared" si="42"/>
        <v>0.16903624195098396</v>
      </c>
      <c r="G310" s="14">
        <f t="shared" si="43"/>
        <v>540.60520789504392</v>
      </c>
      <c r="H310" s="12">
        <f t="shared" si="44"/>
        <v>0.1</v>
      </c>
      <c r="I310" s="14">
        <f t="shared" si="48"/>
        <v>101773.99377981189</v>
      </c>
      <c r="J310" s="14">
        <f t="shared" si="49"/>
        <v>341825.30642938783</v>
      </c>
      <c r="K310" s="14">
        <f t="shared" si="45"/>
        <v>63958.806220188191</v>
      </c>
      <c r="L310" s="14">
        <f t="shared" si="46"/>
        <v>443599.30020919972</v>
      </c>
    </row>
    <row r="311" spans="1:12" x14ac:dyDescent="0.3">
      <c r="A311">
        <v>306</v>
      </c>
      <c r="B311" s="13">
        <v>54149</v>
      </c>
      <c r="C311" s="14">
        <f t="shared" si="47"/>
        <v>63958.806220188191</v>
      </c>
      <c r="D311" s="14">
        <f t="shared" si="40"/>
        <v>1454.4239351121303</v>
      </c>
      <c r="E311" s="14">
        <f t="shared" si="41"/>
        <v>921.43388327722869</v>
      </c>
      <c r="F311" s="12">
        <f t="shared" si="42"/>
        <v>0.17288012789451668</v>
      </c>
      <c r="G311" s="14">
        <f t="shared" si="43"/>
        <v>532.99005183490158</v>
      </c>
      <c r="H311" s="12">
        <f t="shared" si="44"/>
        <v>0.1</v>
      </c>
      <c r="I311" s="14">
        <f t="shared" si="48"/>
        <v>102695.42766308913</v>
      </c>
      <c r="J311" s="14">
        <f t="shared" si="49"/>
        <v>342358.29648122273</v>
      </c>
      <c r="K311" s="14">
        <f t="shared" si="45"/>
        <v>63037.372336910965</v>
      </c>
      <c r="L311" s="14">
        <f t="shared" si="46"/>
        <v>445053.72414431185</v>
      </c>
    </row>
    <row r="312" spans="1:12" x14ac:dyDescent="0.3">
      <c r="A312">
        <v>307</v>
      </c>
      <c r="B312" s="13">
        <v>54179</v>
      </c>
      <c r="C312" s="14">
        <f t="shared" si="47"/>
        <v>63037.372336910965</v>
      </c>
      <c r="D312" s="14">
        <f t="shared" si="40"/>
        <v>1454.4239351121303</v>
      </c>
      <c r="E312" s="14">
        <f t="shared" si="41"/>
        <v>929.11249897120558</v>
      </c>
      <c r="F312" s="12">
        <f t="shared" si="42"/>
        <v>0.17686888863427555</v>
      </c>
      <c r="G312" s="14">
        <f t="shared" si="43"/>
        <v>525.31143614092468</v>
      </c>
      <c r="H312" s="12">
        <f t="shared" si="44"/>
        <v>0.1</v>
      </c>
      <c r="I312" s="14">
        <f t="shared" si="48"/>
        <v>103624.54016206034</v>
      </c>
      <c r="J312" s="14">
        <f t="shared" si="49"/>
        <v>342883.60791736364</v>
      </c>
      <c r="K312" s="14">
        <f t="shared" si="45"/>
        <v>62108.25983793976</v>
      </c>
      <c r="L312" s="14">
        <f t="shared" si="46"/>
        <v>446508.14807942399</v>
      </c>
    </row>
    <row r="313" spans="1:12" x14ac:dyDescent="0.3">
      <c r="A313">
        <v>308</v>
      </c>
      <c r="B313" s="13">
        <v>54210</v>
      </c>
      <c r="C313" s="14">
        <f t="shared" si="47"/>
        <v>62108.25983793976</v>
      </c>
      <c r="D313" s="14">
        <f t="shared" si="40"/>
        <v>1454.4239351121303</v>
      </c>
      <c r="E313" s="14">
        <f t="shared" si="41"/>
        <v>936.85510312929898</v>
      </c>
      <c r="F313" s="12">
        <f t="shared" si="42"/>
        <v>0.18101072654243139</v>
      </c>
      <c r="G313" s="14">
        <f t="shared" si="43"/>
        <v>517.56883198283128</v>
      </c>
      <c r="H313" s="12">
        <f t="shared" si="44"/>
        <v>0.1</v>
      </c>
      <c r="I313" s="14">
        <f t="shared" si="48"/>
        <v>104561.39526518964</v>
      </c>
      <c r="J313" s="14">
        <f t="shared" si="49"/>
        <v>343401.17674934649</v>
      </c>
      <c r="K313" s="14">
        <f t="shared" si="45"/>
        <v>61171.404734810465</v>
      </c>
      <c r="L313" s="14">
        <f t="shared" si="46"/>
        <v>447962.57201453613</v>
      </c>
    </row>
    <row r="314" spans="1:12" x14ac:dyDescent="0.3">
      <c r="A314">
        <v>309</v>
      </c>
      <c r="B314" s="13">
        <v>54240</v>
      </c>
      <c r="C314" s="14">
        <f t="shared" si="47"/>
        <v>61171.404734810465</v>
      </c>
      <c r="D314" s="14">
        <f t="shared" si="40"/>
        <v>1454.4239351121303</v>
      </c>
      <c r="E314" s="14">
        <f t="shared" si="41"/>
        <v>944.66222898870978</v>
      </c>
      <c r="F314" s="12">
        <f t="shared" si="42"/>
        <v>0.18531447490879074</v>
      </c>
      <c r="G314" s="14">
        <f t="shared" si="43"/>
        <v>509.76170612342054</v>
      </c>
      <c r="H314" s="12">
        <f t="shared" si="44"/>
        <v>0.1</v>
      </c>
      <c r="I314" s="14">
        <f t="shared" si="48"/>
        <v>105506.05749417836</v>
      </c>
      <c r="J314" s="14">
        <f t="shared" si="49"/>
        <v>343910.93845546991</v>
      </c>
      <c r="K314" s="14">
        <f t="shared" si="45"/>
        <v>60226.742505821756</v>
      </c>
      <c r="L314" s="14">
        <f t="shared" si="46"/>
        <v>449416.99594964826</v>
      </c>
    </row>
    <row r="315" spans="1:12" x14ac:dyDescent="0.3">
      <c r="A315">
        <v>310</v>
      </c>
      <c r="B315" s="13">
        <v>54271</v>
      </c>
      <c r="C315" s="14">
        <f t="shared" si="47"/>
        <v>60226.742505821756</v>
      </c>
      <c r="D315" s="14">
        <f t="shared" si="40"/>
        <v>1454.4239351121303</v>
      </c>
      <c r="E315" s="14">
        <f t="shared" si="41"/>
        <v>952.53441423028232</v>
      </c>
      <c r="F315" s="12">
        <f t="shared" si="42"/>
        <v>0.18978965979537213</v>
      </c>
      <c r="G315" s="14">
        <f t="shared" si="43"/>
        <v>501.88952088184794</v>
      </c>
      <c r="H315" s="12">
        <f t="shared" si="44"/>
        <v>0.1</v>
      </c>
      <c r="I315" s="14">
        <f t="shared" si="48"/>
        <v>106458.59190840863</v>
      </c>
      <c r="J315" s="14">
        <f t="shared" si="49"/>
        <v>344412.82797635178</v>
      </c>
      <c r="K315" s="14">
        <f t="shared" si="45"/>
        <v>59274.20809159147</v>
      </c>
      <c r="L315" s="14">
        <f t="shared" si="46"/>
        <v>450871.4198847604</v>
      </c>
    </row>
    <row r="316" spans="1:12" x14ac:dyDescent="0.3">
      <c r="A316">
        <v>311</v>
      </c>
      <c r="B316" s="13">
        <v>54302</v>
      </c>
      <c r="C316" s="14">
        <f t="shared" si="47"/>
        <v>59274.20809159147</v>
      </c>
      <c r="D316" s="14">
        <f t="shared" si="40"/>
        <v>1454.4239351121303</v>
      </c>
      <c r="E316" s="14">
        <f t="shared" si="41"/>
        <v>960.47220101553467</v>
      </c>
      <c r="F316" s="12">
        <f t="shared" si="42"/>
        <v>0.19444656931353294</v>
      </c>
      <c r="G316" s="14">
        <f t="shared" si="43"/>
        <v>493.9517340965956</v>
      </c>
      <c r="H316" s="12">
        <f t="shared" si="44"/>
        <v>0.1</v>
      </c>
      <c r="I316" s="14">
        <f t="shared" si="48"/>
        <v>107419.06410942417</v>
      </c>
      <c r="J316" s="14">
        <f t="shared" si="49"/>
        <v>344906.77971044835</v>
      </c>
      <c r="K316" s="14">
        <f t="shared" si="45"/>
        <v>58313.735890575932</v>
      </c>
      <c r="L316" s="14">
        <f t="shared" si="46"/>
        <v>452325.84381987253</v>
      </c>
    </row>
    <row r="317" spans="1:12" x14ac:dyDescent="0.3">
      <c r="A317">
        <v>312</v>
      </c>
      <c r="B317" s="13">
        <v>54332</v>
      </c>
      <c r="C317" s="14">
        <f t="shared" si="47"/>
        <v>58313.735890575932</v>
      </c>
      <c r="D317" s="14">
        <f t="shared" si="40"/>
        <v>1454.4239351121303</v>
      </c>
      <c r="E317" s="14">
        <f t="shared" si="41"/>
        <v>968.47613602399747</v>
      </c>
      <c r="F317" s="12">
        <f t="shared" si="42"/>
        <v>0.19929633138401193</v>
      </c>
      <c r="G317" s="14">
        <f t="shared" si="43"/>
        <v>485.94779908813274</v>
      </c>
      <c r="H317" s="12">
        <f t="shared" si="44"/>
        <v>0.1</v>
      </c>
      <c r="I317" s="14">
        <f t="shared" si="48"/>
        <v>108387.54024544817</v>
      </c>
      <c r="J317" s="14">
        <f t="shared" si="49"/>
        <v>345392.72750953649</v>
      </c>
      <c r="K317" s="14">
        <f t="shared" si="45"/>
        <v>57345.259754551931</v>
      </c>
      <c r="L317" s="14">
        <f t="shared" si="46"/>
        <v>453780.26775498467</v>
      </c>
    </row>
    <row r="318" spans="1:12" x14ac:dyDescent="0.3">
      <c r="A318">
        <v>313</v>
      </c>
      <c r="B318" s="13">
        <v>54363</v>
      </c>
      <c r="C318" s="14">
        <f t="shared" si="47"/>
        <v>57345.259754551931</v>
      </c>
      <c r="D318" s="14">
        <f t="shared" si="40"/>
        <v>1454.4239351121303</v>
      </c>
      <c r="E318" s="14">
        <f t="shared" si="41"/>
        <v>976.54677049086422</v>
      </c>
      <c r="F318" s="12">
        <f t="shared" si="42"/>
        <v>0.20435100121697819</v>
      </c>
      <c r="G318" s="14">
        <f t="shared" si="43"/>
        <v>477.8771646212661</v>
      </c>
      <c r="H318" s="12">
        <f t="shared" si="44"/>
        <v>0.1</v>
      </c>
      <c r="I318" s="14">
        <f t="shared" si="48"/>
        <v>109364.08701593903</v>
      </c>
      <c r="J318" s="14">
        <f t="shared" si="49"/>
        <v>345870.60467415774</v>
      </c>
      <c r="K318" s="14">
        <f t="shared" si="45"/>
        <v>56368.712984061065</v>
      </c>
      <c r="L318" s="14">
        <f t="shared" si="46"/>
        <v>455234.69169009675</v>
      </c>
    </row>
    <row r="319" spans="1:12" x14ac:dyDescent="0.3">
      <c r="A319">
        <v>314</v>
      </c>
      <c r="B319" s="13">
        <v>54393</v>
      </c>
      <c r="C319" s="14">
        <f t="shared" si="47"/>
        <v>56368.712984061065</v>
      </c>
      <c r="D319" s="14">
        <f t="shared" si="40"/>
        <v>1454.4239351121303</v>
      </c>
      <c r="E319" s="14">
        <f t="shared" si="41"/>
        <v>984.68466024495478</v>
      </c>
      <c r="F319" s="12">
        <f t="shared" si="42"/>
        <v>0.20962365995974819</v>
      </c>
      <c r="G319" s="14">
        <f t="shared" si="43"/>
        <v>469.73927486717554</v>
      </c>
      <c r="H319" s="12">
        <f t="shared" si="44"/>
        <v>0.1</v>
      </c>
      <c r="I319" s="14">
        <f t="shared" si="48"/>
        <v>110348.77167618398</v>
      </c>
      <c r="J319" s="14">
        <f t="shared" si="49"/>
        <v>346340.34394902491</v>
      </c>
      <c r="K319" s="14">
        <f t="shared" si="45"/>
        <v>55384.028323816114</v>
      </c>
      <c r="L319" s="14">
        <f t="shared" si="46"/>
        <v>456689.11562520888</v>
      </c>
    </row>
    <row r="320" spans="1:12" x14ac:dyDescent="0.3">
      <c r="A320">
        <v>315</v>
      </c>
      <c r="B320" s="13">
        <v>54424</v>
      </c>
      <c r="C320" s="14">
        <f t="shared" si="47"/>
        <v>55384.028323816114</v>
      </c>
      <c r="D320" s="14">
        <f t="shared" si="40"/>
        <v>1454.4239351121303</v>
      </c>
      <c r="E320" s="14">
        <f t="shared" si="41"/>
        <v>992.89036574699594</v>
      </c>
      <c r="F320" s="12">
        <f t="shared" si="42"/>
        <v>0.21512852621159784</v>
      </c>
      <c r="G320" s="14">
        <f t="shared" si="43"/>
        <v>461.53356936513427</v>
      </c>
      <c r="H320" s="12">
        <f t="shared" si="44"/>
        <v>0.1</v>
      </c>
      <c r="I320" s="14">
        <f t="shared" si="48"/>
        <v>111341.66204193098</v>
      </c>
      <c r="J320" s="14">
        <f t="shared" si="49"/>
        <v>346801.87751839007</v>
      </c>
      <c r="K320" s="14">
        <f t="shared" si="45"/>
        <v>54391.137958069121</v>
      </c>
      <c r="L320" s="14">
        <f t="shared" si="46"/>
        <v>458143.53956032102</v>
      </c>
    </row>
    <row r="321" spans="1:12" x14ac:dyDescent="0.3">
      <c r="A321">
        <v>316</v>
      </c>
      <c r="B321" s="13">
        <v>54455</v>
      </c>
      <c r="C321" s="14">
        <f t="shared" si="47"/>
        <v>54391.137958069121</v>
      </c>
      <c r="D321" s="14">
        <f t="shared" si="40"/>
        <v>1454.4239351121303</v>
      </c>
      <c r="E321" s="14">
        <f t="shared" si="41"/>
        <v>1001.164452128221</v>
      </c>
      <c r="F321" s="12">
        <f t="shared" si="42"/>
        <v>0.22088108240721843</v>
      </c>
      <c r="G321" s="14">
        <f t="shared" si="43"/>
        <v>453.25948298390932</v>
      </c>
      <c r="H321" s="12">
        <f t="shared" si="44"/>
        <v>0.1</v>
      </c>
      <c r="I321" s="14">
        <f t="shared" si="48"/>
        <v>112342.82649405919</v>
      </c>
      <c r="J321" s="14">
        <f t="shared" si="49"/>
        <v>347255.13700137398</v>
      </c>
      <c r="K321" s="14">
        <f t="shared" si="45"/>
        <v>53389.973505940899</v>
      </c>
      <c r="L321" s="14">
        <f t="shared" si="46"/>
        <v>459597.96349543316</v>
      </c>
    </row>
    <row r="322" spans="1:12" x14ac:dyDescent="0.3">
      <c r="A322">
        <v>317</v>
      </c>
      <c r="B322" s="13">
        <v>54483</v>
      </c>
      <c r="C322" s="14">
        <f t="shared" si="47"/>
        <v>53389.973505940899</v>
      </c>
      <c r="D322" s="14">
        <f t="shared" si="40"/>
        <v>1454.4239351121303</v>
      </c>
      <c r="E322" s="14">
        <f t="shared" si="41"/>
        <v>1009.5074892292894</v>
      </c>
      <c r="F322" s="12">
        <f t="shared" si="42"/>
        <v>0.22689821843428137</v>
      </c>
      <c r="G322" s="14">
        <f t="shared" si="43"/>
        <v>444.91644588284083</v>
      </c>
      <c r="H322" s="12">
        <f t="shared" si="44"/>
        <v>0.1</v>
      </c>
      <c r="I322" s="14">
        <f t="shared" si="48"/>
        <v>113352.33398328848</v>
      </c>
      <c r="J322" s="14">
        <f t="shared" si="49"/>
        <v>347700.0534472568</v>
      </c>
      <c r="K322" s="14">
        <f t="shared" si="45"/>
        <v>52380.466016711609</v>
      </c>
      <c r="L322" s="14">
        <f t="shared" si="46"/>
        <v>461052.38743054529</v>
      </c>
    </row>
    <row r="323" spans="1:12" x14ac:dyDescent="0.3">
      <c r="A323">
        <v>318</v>
      </c>
      <c r="B323" s="13">
        <v>54514</v>
      </c>
      <c r="C323" s="14">
        <f t="shared" si="47"/>
        <v>52380.466016711609</v>
      </c>
      <c r="D323" s="14">
        <f t="shared" si="40"/>
        <v>1454.4239351121303</v>
      </c>
      <c r="E323" s="14">
        <f t="shared" si="41"/>
        <v>1017.9200516395335</v>
      </c>
      <c r="F323" s="12">
        <f t="shared" si="42"/>
        <v>0.23319839529066583</v>
      </c>
      <c r="G323" s="14">
        <f t="shared" si="43"/>
        <v>436.50388347259673</v>
      </c>
      <c r="H323" s="12">
        <f t="shared" si="44"/>
        <v>0.1</v>
      </c>
      <c r="I323" s="14">
        <f t="shared" si="48"/>
        <v>114370.25403492802</v>
      </c>
      <c r="J323" s="14">
        <f t="shared" si="49"/>
        <v>348136.55733072938</v>
      </c>
      <c r="K323" s="14">
        <f t="shared" si="45"/>
        <v>51362.545965072073</v>
      </c>
      <c r="L323" s="14">
        <f t="shared" si="46"/>
        <v>462506.81136565737</v>
      </c>
    </row>
    <row r="324" spans="1:12" x14ac:dyDescent="0.3">
      <c r="A324">
        <v>319</v>
      </c>
      <c r="B324" s="13">
        <v>54544</v>
      </c>
      <c r="C324" s="14">
        <f t="shared" si="47"/>
        <v>51362.545965072073</v>
      </c>
      <c r="D324" s="14">
        <f t="shared" si="40"/>
        <v>1454.4239351121303</v>
      </c>
      <c r="E324" s="14">
        <f t="shared" si="41"/>
        <v>1026.4027187365296</v>
      </c>
      <c r="F324" s="12">
        <f t="shared" si="42"/>
        <v>0.23980183212129197</v>
      </c>
      <c r="G324" s="14">
        <f t="shared" si="43"/>
        <v>428.0212163756006</v>
      </c>
      <c r="H324" s="12">
        <f t="shared" si="44"/>
        <v>0.1</v>
      </c>
      <c r="I324" s="14">
        <f t="shared" si="48"/>
        <v>115396.65675366455</v>
      </c>
      <c r="J324" s="14">
        <f t="shared" si="49"/>
        <v>348564.57854710496</v>
      </c>
      <c r="K324" s="14">
        <f t="shared" si="45"/>
        <v>50336.143246335545</v>
      </c>
      <c r="L324" s="14">
        <f t="shared" si="46"/>
        <v>463961.23530076951</v>
      </c>
    </row>
    <row r="325" spans="1:12" x14ac:dyDescent="0.3">
      <c r="A325">
        <v>320</v>
      </c>
      <c r="B325" s="13">
        <v>54575</v>
      </c>
      <c r="C325" s="14">
        <f t="shared" si="47"/>
        <v>50336.143246335545</v>
      </c>
      <c r="D325" s="14">
        <f t="shared" si="40"/>
        <v>1454.4239351121303</v>
      </c>
      <c r="E325" s="14">
        <f t="shared" si="41"/>
        <v>1034.9560747260007</v>
      </c>
      <c r="F325" s="12">
        <f t="shared" si="42"/>
        <v>0.24673072062620016</v>
      </c>
      <c r="G325" s="14">
        <f t="shared" si="43"/>
        <v>419.46786038612953</v>
      </c>
      <c r="H325" s="12">
        <f t="shared" si="44"/>
        <v>0.1</v>
      </c>
      <c r="I325" s="14">
        <f t="shared" si="48"/>
        <v>116431.61282839054</v>
      </c>
      <c r="J325" s="14">
        <f t="shared" si="49"/>
        <v>348984.04640749109</v>
      </c>
      <c r="K325" s="14">
        <f t="shared" si="45"/>
        <v>49301.187171609541</v>
      </c>
      <c r="L325" s="14">
        <f t="shared" si="46"/>
        <v>465415.65923588164</v>
      </c>
    </row>
    <row r="326" spans="1:12" x14ac:dyDescent="0.3">
      <c r="A326">
        <v>321</v>
      </c>
      <c r="B326" s="13">
        <v>54605</v>
      </c>
      <c r="C326" s="14">
        <f t="shared" si="47"/>
        <v>49301.187171609541</v>
      </c>
      <c r="D326" s="14">
        <f t="shared" si="40"/>
        <v>1454.4239351121303</v>
      </c>
      <c r="E326" s="14">
        <f t="shared" si="41"/>
        <v>1043.5807086820507</v>
      </c>
      <c r="F326" s="12">
        <f t="shared" si="42"/>
        <v>0.25400947162984455</v>
      </c>
      <c r="G326" s="14">
        <f t="shared" si="43"/>
        <v>410.84322643007948</v>
      </c>
      <c r="H326" s="12">
        <f t="shared" si="44"/>
        <v>0.1</v>
      </c>
      <c r="I326" s="14">
        <f t="shared" si="48"/>
        <v>117475.1935370726</v>
      </c>
      <c r="J326" s="14">
        <f t="shared" si="49"/>
        <v>349394.88963392115</v>
      </c>
      <c r="K326" s="14">
        <f t="shared" si="45"/>
        <v>48257.606462927492</v>
      </c>
      <c r="L326" s="14">
        <f t="shared" si="46"/>
        <v>466870.08317099372</v>
      </c>
    </row>
    <row r="327" spans="1:12" x14ac:dyDescent="0.3">
      <c r="A327">
        <v>322</v>
      </c>
      <c r="B327" s="13">
        <v>54636</v>
      </c>
      <c r="C327" s="14">
        <f t="shared" si="47"/>
        <v>48257.606462927492</v>
      </c>
      <c r="D327" s="14">
        <f t="shared" ref="D327:D365" si="50">$C$6/((($E$2)-1)/($E$1*$E$2))</f>
        <v>1454.4239351121303</v>
      </c>
      <c r="E327" s="14">
        <f t="shared" ref="E327:E365" si="51">D327-G327</f>
        <v>1052.2772145877345</v>
      </c>
      <c r="F327" s="12">
        <f t="shared" ref="F327:F365" si="52">(E327/C327)*12</f>
        <v>0.26166499958412548</v>
      </c>
      <c r="G327" s="14">
        <f t="shared" ref="G327:G365" si="53">C327*($B$1/12)</f>
        <v>402.14672052439573</v>
      </c>
      <c r="H327" s="12">
        <f t="shared" ref="H327:H365" si="54">(G327/C327)*12</f>
        <v>0.1</v>
      </c>
      <c r="I327" s="14">
        <f t="shared" si="48"/>
        <v>118527.47075166034</v>
      </c>
      <c r="J327" s="14">
        <f t="shared" si="49"/>
        <v>349797.03635444556</v>
      </c>
      <c r="K327" s="14">
        <f t="shared" ref="K327:K365" si="55">C327-E327</f>
        <v>47205.32924833976</v>
      </c>
      <c r="L327" s="14">
        <f t="shared" ref="L327:L365" si="56">I327+J327</f>
        <v>468324.50710610591</v>
      </c>
    </row>
    <row r="328" spans="1:12" x14ac:dyDescent="0.3">
      <c r="A328">
        <v>323</v>
      </c>
      <c r="B328" s="13">
        <v>54667</v>
      </c>
      <c r="C328" s="14">
        <f t="shared" ref="C328:C365" si="57">K327</f>
        <v>47205.32924833976</v>
      </c>
      <c r="D328" s="14">
        <f t="shared" si="50"/>
        <v>1454.4239351121303</v>
      </c>
      <c r="E328" s="14">
        <f t="shared" si="51"/>
        <v>1061.0461913759655</v>
      </c>
      <c r="F328" s="12">
        <f t="shared" si="52"/>
        <v>0.26972705199295688</v>
      </c>
      <c r="G328" s="14">
        <f t="shared" si="53"/>
        <v>393.37774373616469</v>
      </c>
      <c r="H328" s="12">
        <f t="shared" si="54"/>
        <v>0.1</v>
      </c>
      <c r="I328" s="14">
        <f t="shared" ref="I328:I365" si="58">I327+E328</f>
        <v>119588.5169430363</v>
      </c>
      <c r="J328" s="14">
        <f t="shared" ref="J328:J365" si="59">J327+G328</f>
        <v>350190.4140981817</v>
      </c>
      <c r="K328" s="14">
        <f t="shared" si="55"/>
        <v>46144.283056963795</v>
      </c>
      <c r="L328" s="14">
        <f t="shared" si="56"/>
        <v>469778.93104121799</v>
      </c>
    </row>
    <row r="329" spans="1:12" x14ac:dyDescent="0.3">
      <c r="A329">
        <v>324</v>
      </c>
      <c r="B329" s="13">
        <v>54697</v>
      </c>
      <c r="C329" s="14">
        <f t="shared" si="57"/>
        <v>46144.283056963795</v>
      </c>
      <c r="D329" s="14">
        <f t="shared" si="50"/>
        <v>1454.4239351121303</v>
      </c>
      <c r="E329" s="14">
        <f t="shared" si="51"/>
        <v>1069.8882429707653</v>
      </c>
      <c r="F329" s="12">
        <f t="shared" si="52"/>
        <v>0.27822859225703489</v>
      </c>
      <c r="G329" s="14">
        <f t="shared" si="53"/>
        <v>384.53569214136496</v>
      </c>
      <c r="H329" s="12">
        <f t="shared" si="54"/>
        <v>0.1</v>
      </c>
      <c r="I329" s="14">
        <f t="shared" si="58"/>
        <v>120658.40518600706</v>
      </c>
      <c r="J329" s="14">
        <f t="shared" si="59"/>
        <v>350574.94979032309</v>
      </c>
      <c r="K329" s="14">
        <f t="shared" si="55"/>
        <v>45074.394813993029</v>
      </c>
      <c r="L329" s="14">
        <f t="shared" si="56"/>
        <v>471233.35497633019</v>
      </c>
    </row>
    <row r="330" spans="1:12" x14ac:dyDescent="0.3">
      <c r="A330">
        <v>325</v>
      </c>
      <c r="B330" s="13">
        <v>54728</v>
      </c>
      <c r="C330" s="14">
        <f t="shared" si="57"/>
        <v>45074.394813993029</v>
      </c>
      <c r="D330" s="14">
        <f t="shared" si="50"/>
        <v>1454.4239351121303</v>
      </c>
      <c r="E330" s="14">
        <f t="shared" si="51"/>
        <v>1078.803978328855</v>
      </c>
      <c r="F330" s="12">
        <f t="shared" si="52"/>
        <v>0.287206246326071</v>
      </c>
      <c r="G330" s="14">
        <f t="shared" si="53"/>
        <v>375.61995678327526</v>
      </c>
      <c r="H330" s="12">
        <f t="shared" si="54"/>
        <v>0.1</v>
      </c>
      <c r="I330" s="14">
        <f t="shared" si="58"/>
        <v>121737.20916433592</v>
      </c>
      <c r="J330" s="14">
        <f t="shared" si="59"/>
        <v>350950.56974710635</v>
      </c>
      <c r="K330" s="14">
        <f t="shared" si="55"/>
        <v>43995.590835664174</v>
      </c>
      <c r="L330" s="14">
        <f t="shared" si="56"/>
        <v>472687.77891144226</v>
      </c>
    </row>
    <row r="331" spans="1:12" x14ac:dyDescent="0.3">
      <c r="A331">
        <v>326</v>
      </c>
      <c r="B331" s="13">
        <v>54758</v>
      </c>
      <c r="C331" s="14">
        <f t="shared" si="57"/>
        <v>43995.590835664174</v>
      </c>
      <c r="D331" s="14">
        <f t="shared" si="50"/>
        <v>1454.4239351121303</v>
      </c>
      <c r="E331" s="14">
        <f t="shared" si="51"/>
        <v>1087.7940114815956</v>
      </c>
      <c r="F331" s="12">
        <f t="shared" si="52"/>
        <v>0.29670082591998193</v>
      </c>
      <c r="G331" s="14">
        <f t="shared" si="53"/>
        <v>366.62992363053479</v>
      </c>
      <c r="H331" s="12">
        <f t="shared" si="54"/>
        <v>0.1</v>
      </c>
      <c r="I331" s="14">
        <f t="shared" si="58"/>
        <v>122825.00317581752</v>
      </c>
      <c r="J331" s="14">
        <f t="shared" si="59"/>
        <v>351317.19967073685</v>
      </c>
      <c r="K331" s="14">
        <f t="shared" si="55"/>
        <v>42907.79682418258</v>
      </c>
      <c r="L331" s="14">
        <f t="shared" si="56"/>
        <v>474142.20284655434</v>
      </c>
    </row>
    <row r="332" spans="1:12" x14ac:dyDescent="0.3">
      <c r="A332">
        <v>327</v>
      </c>
      <c r="B332" s="13">
        <v>54789</v>
      </c>
      <c r="C332" s="14">
        <f t="shared" si="57"/>
        <v>42907.79682418258</v>
      </c>
      <c r="D332" s="14">
        <f t="shared" si="50"/>
        <v>1454.4239351121303</v>
      </c>
      <c r="E332" s="14">
        <f t="shared" si="51"/>
        <v>1096.8589615772753</v>
      </c>
      <c r="F332" s="12">
        <f t="shared" si="52"/>
        <v>0.30675794408323254</v>
      </c>
      <c r="G332" s="14">
        <f t="shared" si="53"/>
        <v>357.56497353485486</v>
      </c>
      <c r="H332" s="12">
        <f t="shared" si="54"/>
        <v>0.1</v>
      </c>
      <c r="I332" s="14">
        <f t="shared" si="58"/>
        <v>123921.8621373948</v>
      </c>
      <c r="J332" s="14">
        <f t="shared" si="59"/>
        <v>351674.76464427169</v>
      </c>
      <c r="K332" s="14">
        <f t="shared" si="55"/>
        <v>41810.937862605308</v>
      </c>
      <c r="L332" s="14">
        <f t="shared" si="56"/>
        <v>475596.62678166648</v>
      </c>
    </row>
    <row r="333" spans="1:12" x14ac:dyDescent="0.3">
      <c r="A333">
        <v>328</v>
      </c>
      <c r="B333" s="13">
        <v>54820</v>
      </c>
      <c r="C333" s="14">
        <f t="shared" si="57"/>
        <v>41810.937862605308</v>
      </c>
      <c r="D333" s="14">
        <f t="shared" si="50"/>
        <v>1454.4239351121303</v>
      </c>
      <c r="E333" s="14">
        <f t="shared" si="51"/>
        <v>1105.9994529237526</v>
      </c>
      <c r="F333" s="12">
        <f t="shared" si="52"/>
        <v>0.31742874265815457</v>
      </c>
      <c r="G333" s="14">
        <f t="shared" si="53"/>
        <v>348.42448218837757</v>
      </c>
      <c r="H333" s="12">
        <f t="shared" si="54"/>
        <v>0.1</v>
      </c>
      <c r="I333" s="14">
        <f t="shared" si="58"/>
        <v>125027.86159031856</v>
      </c>
      <c r="J333" s="14">
        <f t="shared" si="59"/>
        <v>352023.18912646006</v>
      </c>
      <c r="K333" s="14">
        <f t="shared" si="55"/>
        <v>40704.938409681556</v>
      </c>
      <c r="L333" s="14">
        <f t="shared" si="56"/>
        <v>477051.05071677861</v>
      </c>
    </row>
    <row r="334" spans="1:12" x14ac:dyDescent="0.3">
      <c r="A334">
        <v>329</v>
      </c>
      <c r="B334" s="13">
        <v>54848</v>
      </c>
      <c r="C334" s="14">
        <f t="shared" si="57"/>
        <v>40704.938409681556</v>
      </c>
      <c r="D334" s="14">
        <f t="shared" si="50"/>
        <v>1454.4239351121303</v>
      </c>
      <c r="E334" s="14">
        <f t="shared" si="51"/>
        <v>1115.2161150314505</v>
      </c>
      <c r="F334" s="12">
        <f t="shared" si="52"/>
        <v>0.3287707561595129</v>
      </c>
      <c r="G334" s="14">
        <f t="shared" si="53"/>
        <v>339.20782008067965</v>
      </c>
      <c r="H334" s="12">
        <f t="shared" si="54"/>
        <v>0.1</v>
      </c>
      <c r="I334" s="14">
        <f t="shared" si="58"/>
        <v>126143.07770535001</v>
      </c>
      <c r="J334" s="14">
        <f t="shared" si="59"/>
        <v>352362.39694654074</v>
      </c>
      <c r="K334" s="14">
        <f t="shared" si="55"/>
        <v>39589.722294650106</v>
      </c>
      <c r="L334" s="14">
        <f t="shared" si="56"/>
        <v>478505.47465189075</v>
      </c>
    </row>
    <row r="335" spans="1:12" x14ac:dyDescent="0.3">
      <c r="A335">
        <v>330</v>
      </c>
      <c r="B335" s="13">
        <v>54879</v>
      </c>
      <c r="C335" s="14">
        <f t="shared" si="57"/>
        <v>39589.722294650106</v>
      </c>
      <c r="D335" s="14">
        <f t="shared" si="50"/>
        <v>1454.4239351121303</v>
      </c>
      <c r="E335" s="14">
        <f t="shared" si="51"/>
        <v>1124.5095826567126</v>
      </c>
      <c r="F335" s="12">
        <f t="shared" si="52"/>
        <v>0.34084894285060585</v>
      </c>
      <c r="G335" s="14">
        <f t="shared" si="53"/>
        <v>329.91435245541754</v>
      </c>
      <c r="H335" s="12">
        <f t="shared" si="54"/>
        <v>0.1</v>
      </c>
      <c r="I335" s="14">
        <f t="shared" si="58"/>
        <v>127267.58728800672</v>
      </c>
      <c r="J335" s="14">
        <f t="shared" si="59"/>
        <v>352692.31129899615</v>
      </c>
      <c r="K335" s="14">
        <f t="shared" si="55"/>
        <v>38465.212711993394</v>
      </c>
      <c r="L335" s="14">
        <f t="shared" si="56"/>
        <v>479959.89858700288</v>
      </c>
    </row>
    <row r="336" spans="1:12" x14ac:dyDescent="0.3">
      <c r="A336">
        <v>331</v>
      </c>
      <c r="B336" s="13">
        <v>54909</v>
      </c>
      <c r="C336" s="14">
        <f t="shared" si="57"/>
        <v>38465.212711993394</v>
      </c>
      <c r="D336" s="14">
        <f t="shared" si="50"/>
        <v>1454.4239351121303</v>
      </c>
      <c r="E336" s="14">
        <f t="shared" si="51"/>
        <v>1133.8804958455187</v>
      </c>
      <c r="F336" s="12">
        <f t="shared" si="52"/>
        <v>0.35373692203458729</v>
      </c>
      <c r="G336" s="14">
        <f t="shared" si="53"/>
        <v>320.54343926661159</v>
      </c>
      <c r="H336" s="12">
        <f t="shared" si="54"/>
        <v>0.1</v>
      </c>
      <c r="I336" s="14">
        <f t="shared" si="58"/>
        <v>128401.46778385223</v>
      </c>
      <c r="J336" s="14">
        <f t="shared" si="59"/>
        <v>353012.85473826277</v>
      </c>
      <c r="K336" s="14">
        <f t="shared" si="55"/>
        <v>37331.332216147872</v>
      </c>
      <c r="L336" s="14">
        <f t="shared" si="56"/>
        <v>481414.32252211502</v>
      </c>
    </row>
    <row r="337" spans="1:12" x14ac:dyDescent="0.3">
      <c r="A337">
        <v>332</v>
      </c>
      <c r="B337" s="13">
        <v>54940</v>
      </c>
      <c r="C337" s="14">
        <f t="shared" si="57"/>
        <v>37331.332216147872</v>
      </c>
      <c r="D337" s="14">
        <f t="shared" si="50"/>
        <v>1454.4239351121303</v>
      </c>
      <c r="E337" s="14">
        <f t="shared" si="51"/>
        <v>1143.3294999775646</v>
      </c>
      <c r="F337" s="12">
        <f t="shared" si="52"/>
        <v>0.36751846733710014</v>
      </c>
      <c r="G337" s="14">
        <f t="shared" si="53"/>
        <v>311.09443513456557</v>
      </c>
      <c r="H337" s="12">
        <f t="shared" si="54"/>
        <v>0.1</v>
      </c>
      <c r="I337" s="14">
        <f t="shared" si="58"/>
        <v>129544.7972838298</v>
      </c>
      <c r="J337" s="14">
        <f t="shared" si="59"/>
        <v>353323.94917339733</v>
      </c>
      <c r="K337" s="14">
        <f t="shared" si="55"/>
        <v>36188.002716170304</v>
      </c>
      <c r="L337" s="14">
        <f t="shared" si="56"/>
        <v>482868.74645722716</v>
      </c>
    </row>
    <row r="338" spans="1:12" x14ac:dyDescent="0.3">
      <c r="A338">
        <v>333</v>
      </c>
      <c r="B338" s="13">
        <v>54970</v>
      </c>
      <c r="C338" s="14">
        <f t="shared" si="57"/>
        <v>36188.002716170304</v>
      </c>
      <c r="D338" s="14">
        <f t="shared" si="50"/>
        <v>1454.4239351121303</v>
      </c>
      <c r="E338" s="14">
        <f t="shared" si="51"/>
        <v>1152.857245810711</v>
      </c>
      <c r="F338" s="12">
        <f t="shared" si="52"/>
        <v>0.38228931997804888</v>
      </c>
      <c r="G338" s="14">
        <f t="shared" si="53"/>
        <v>301.56668930141922</v>
      </c>
      <c r="H338" s="12">
        <f t="shared" si="54"/>
        <v>0.1</v>
      </c>
      <c r="I338" s="14">
        <f t="shared" si="58"/>
        <v>130697.65452964051</v>
      </c>
      <c r="J338" s="14">
        <f t="shared" si="59"/>
        <v>353625.51586269872</v>
      </c>
      <c r="K338" s="14">
        <f t="shared" si="55"/>
        <v>35035.145470359595</v>
      </c>
      <c r="L338" s="14">
        <f t="shared" si="56"/>
        <v>484323.17039233923</v>
      </c>
    </row>
    <row r="339" spans="1:12" x14ac:dyDescent="0.3">
      <c r="A339">
        <v>334</v>
      </c>
      <c r="B339" s="13">
        <v>55001</v>
      </c>
      <c r="C339" s="14">
        <f t="shared" si="57"/>
        <v>35035.145470359595</v>
      </c>
      <c r="D339" s="14">
        <f t="shared" si="50"/>
        <v>1454.4239351121303</v>
      </c>
      <c r="E339" s="14">
        <f t="shared" si="51"/>
        <v>1162.4643895258002</v>
      </c>
      <c r="F339" s="12">
        <f t="shared" si="52"/>
        <v>0.39815940499265828</v>
      </c>
      <c r="G339" s="14">
        <f t="shared" si="53"/>
        <v>291.95954558632997</v>
      </c>
      <c r="H339" s="12">
        <f t="shared" si="54"/>
        <v>0.1</v>
      </c>
      <c r="I339" s="14">
        <f t="shared" si="58"/>
        <v>131860.1189191663</v>
      </c>
      <c r="J339" s="14">
        <f t="shared" si="59"/>
        <v>353917.47540828504</v>
      </c>
      <c r="K339" s="14">
        <f t="shared" si="55"/>
        <v>33872.681080833798</v>
      </c>
      <c r="L339" s="14">
        <f t="shared" si="56"/>
        <v>485777.59432745131</v>
      </c>
    </row>
    <row r="340" spans="1:12" x14ac:dyDescent="0.3">
      <c r="A340">
        <v>335</v>
      </c>
      <c r="B340" s="13">
        <v>55032</v>
      </c>
      <c r="C340" s="14">
        <f t="shared" si="57"/>
        <v>33872.681080833798</v>
      </c>
      <c r="D340" s="14">
        <f t="shared" si="50"/>
        <v>1454.4239351121303</v>
      </c>
      <c r="E340" s="14">
        <f t="shared" si="51"/>
        <v>1172.1515927718488</v>
      </c>
      <c r="F340" s="12">
        <f t="shared" si="52"/>
        <v>0.41525555888816418</v>
      </c>
      <c r="G340" s="14">
        <f t="shared" si="53"/>
        <v>282.27234234028163</v>
      </c>
      <c r="H340" s="12">
        <f t="shared" si="54"/>
        <v>0.1</v>
      </c>
      <c r="I340" s="14">
        <f t="shared" si="58"/>
        <v>133032.27051193814</v>
      </c>
      <c r="J340" s="14">
        <f t="shared" si="59"/>
        <v>354199.74775062531</v>
      </c>
      <c r="K340" s="14">
        <f t="shared" si="55"/>
        <v>32700.529488061948</v>
      </c>
      <c r="L340" s="14">
        <f t="shared" si="56"/>
        <v>487232.01826256345</v>
      </c>
    </row>
    <row r="341" spans="1:12" x14ac:dyDescent="0.3">
      <c r="A341">
        <f>A340+1</f>
        <v>336</v>
      </c>
      <c r="B341" s="13"/>
      <c r="C341" s="14">
        <f t="shared" si="57"/>
        <v>32700.529488061948</v>
      </c>
      <c r="D341" s="14">
        <f t="shared" si="50"/>
        <v>1454.4239351121303</v>
      </c>
      <c r="E341" s="14">
        <f t="shared" si="51"/>
        <v>1181.919522711614</v>
      </c>
      <c r="F341" s="12">
        <f t="shared" si="52"/>
        <v>0.43372491193811402</v>
      </c>
      <c r="G341" s="14">
        <f t="shared" si="53"/>
        <v>272.50441240051623</v>
      </c>
      <c r="H341" s="12">
        <f t="shared" si="54"/>
        <v>0.1</v>
      </c>
      <c r="I341" s="14">
        <f t="shared" si="58"/>
        <v>134214.19003464974</v>
      </c>
      <c r="J341" s="14">
        <f t="shared" si="59"/>
        <v>354472.25216302584</v>
      </c>
      <c r="K341" s="14">
        <f t="shared" si="55"/>
        <v>31518.609965350333</v>
      </c>
      <c r="L341" s="14">
        <f t="shared" si="56"/>
        <v>488686.44219767558</v>
      </c>
    </row>
    <row r="342" spans="1:12" x14ac:dyDescent="0.3">
      <c r="A342">
        <f t="shared" ref="A342:A365" si="60">A341+1</f>
        <v>337</v>
      </c>
      <c r="B342" s="13"/>
      <c r="C342" s="14">
        <f t="shared" si="57"/>
        <v>31518.609965350333</v>
      </c>
      <c r="D342" s="14">
        <f t="shared" si="50"/>
        <v>1454.4239351121303</v>
      </c>
      <c r="E342" s="14">
        <f t="shared" si="51"/>
        <v>1191.7688520675442</v>
      </c>
      <c r="F342" s="12">
        <f t="shared" si="52"/>
        <v>0.45373911605024586</v>
      </c>
      <c r="G342" s="14">
        <f t="shared" si="53"/>
        <v>262.65508304458609</v>
      </c>
      <c r="H342" s="12">
        <f t="shared" si="54"/>
        <v>0.1</v>
      </c>
      <c r="I342" s="14">
        <f t="shared" si="58"/>
        <v>135405.9588867173</v>
      </c>
      <c r="J342" s="14">
        <f t="shared" si="59"/>
        <v>354734.90724607045</v>
      </c>
      <c r="K342" s="14">
        <f t="shared" si="55"/>
        <v>30326.84111328279</v>
      </c>
      <c r="L342" s="14">
        <f t="shared" si="56"/>
        <v>490140.86613278778</v>
      </c>
    </row>
    <row r="343" spans="1:12" x14ac:dyDescent="0.3">
      <c r="A343">
        <f t="shared" si="60"/>
        <v>338</v>
      </c>
      <c r="B343" s="13"/>
      <c r="C343" s="14">
        <f t="shared" si="57"/>
        <v>30326.84111328279</v>
      </c>
      <c r="D343" s="14">
        <f t="shared" si="50"/>
        <v>1454.4239351121303</v>
      </c>
      <c r="E343" s="14">
        <f t="shared" si="51"/>
        <v>1201.7002591681071</v>
      </c>
      <c r="F343" s="12">
        <f t="shared" si="52"/>
        <v>0.47549967555642725</v>
      </c>
      <c r="G343" s="14">
        <f t="shared" si="53"/>
        <v>252.72367594402326</v>
      </c>
      <c r="H343" s="12">
        <f t="shared" si="54"/>
        <v>0.1</v>
      </c>
      <c r="I343" s="14">
        <f t="shared" si="58"/>
        <v>136607.65914588541</v>
      </c>
      <c r="J343" s="14">
        <f t="shared" si="59"/>
        <v>354987.63092201448</v>
      </c>
      <c r="K343" s="14">
        <f t="shared" si="55"/>
        <v>29125.140854114681</v>
      </c>
      <c r="L343" s="14">
        <f t="shared" si="56"/>
        <v>491595.29006789986</v>
      </c>
    </row>
    <row r="344" spans="1:12" x14ac:dyDescent="0.3">
      <c r="A344">
        <f t="shared" si="60"/>
        <v>339</v>
      </c>
      <c r="B344" s="13"/>
      <c r="C344" s="14">
        <f t="shared" si="57"/>
        <v>29125.140854114681</v>
      </c>
      <c r="D344" s="14">
        <f t="shared" si="50"/>
        <v>1454.4239351121303</v>
      </c>
      <c r="E344" s="14">
        <f t="shared" si="51"/>
        <v>1211.714427994508</v>
      </c>
      <c r="F344" s="12">
        <f t="shared" si="52"/>
        <v>0.49924473185439938</v>
      </c>
      <c r="G344" s="14">
        <f t="shared" si="53"/>
        <v>242.70950711762234</v>
      </c>
      <c r="H344" s="12">
        <f t="shared" si="54"/>
        <v>0.1</v>
      </c>
      <c r="I344" s="14">
        <f t="shared" si="58"/>
        <v>137819.37357387992</v>
      </c>
      <c r="J344" s="14">
        <f t="shared" si="59"/>
        <v>355230.34042913211</v>
      </c>
      <c r="K344" s="14">
        <f t="shared" si="55"/>
        <v>27913.426426120172</v>
      </c>
      <c r="L344" s="14">
        <f t="shared" si="56"/>
        <v>493049.71400301205</v>
      </c>
    </row>
    <row r="345" spans="1:12" x14ac:dyDescent="0.3">
      <c r="A345">
        <f t="shared" si="60"/>
        <v>340</v>
      </c>
      <c r="B345" s="13"/>
      <c r="C345" s="14">
        <f t="shared" si="57"/>
        <v>27913.426426120172</v>
      </c>
      <c r="D345" s="14">
        <f t="shared" si="50"/>
        <v>1454.4239351121303</v>
      </c>
      <c r="E345" s="14">
        <f t="shared" si="51"/>
        <v>1221.8120482277955</v>
      </c>
      <c r="F345" s="12">
        <f t="shared" si="52"/>
        <v>0.52525778651859523</v>
      </c>
      <c r="G345" s="14">
        <f t="shared" si="53"/>
        <v>232.61188688433475</v>
      </c>
      <c r="H345" s="12">
        <f t="shared" si="54"/>
        <v>0.1</v>
      </c>
      <c r="I345" s="14">
        <f t="shared" si="58"/>
        <v>139041.1856221077</v>
      </c>
      <c r="J345" s="14">
        <f t="shared" si="59"/>
        <v>355462.95231601642</v>
      </c>
      <c r="K345" s="14">
        <f t="shared" si="55"/>
        <v>26691.614377892376</v>
      </c>
      <c r="L345" s="14">
        <f t="shared" si="56"/>
        <v>494504.13793812413</v>
      </c>
    </row>
    <row r="346" spans="1:12" x14ac:dyDescent="0.3">
      <c r="A346">
        <f t="shared" si="60"/>
        <v>341</v>
      </c>
      <c r="B346" s="13"/>
      <c r="C346" s="14">
        <f t="shared" si="57"/>
        <v>26691.614377892376</v>
      </c>
      <c r="D346" s="14">
        <f t="shared" si="50"/>
        <v>1454.4239351121303</v>
      </c>
      <c r="E346" s="14">
        <f t="shared" si="51"/>
        <v>1231.9938152963605</v>
      </c>
      <c r="F346" s="12">
        <f t="shared" si="52"/>
        <v>0.55387904134420862</v>
      </c>
      <c r="G346" s="14">
        <f t="shared" si="53"/>
        <v>222.43011981576979</v>
      </c>
      <c r="H346" s="12">
        <f t="shared" si="54"/>
        <v>0.1</v>
      </c>
      <c r="I346" s="14">
        <f t="shared" si="58"/>
        <v>140273.17943740406</v>
      </c>
      <c r="J346" s="14">
        <f t="shared" si="59"/>
        <v>355685.38243583217</v>
      </c>
      <c r="K346" s="14">
        <f t="shared" si="55"/>
        <v>25459.620562596014</v>
      </c>
      <c r="L346" s="14">
        <f t="shared" si="56"/>
        <v>495958.56187323621</v>
      </c>
    </row>
    <row r="347" spans="1:12" x14ac:dyDescent="0.3">
      <c r="A347">
        <f t="shared" si="60"/>
        <v>342</v>
      </c>
      <c r="B347" s="13"/>
      <c r="C347" s="14">
        <f t="shared" si="57"/>
        <v>25459.620562596014</v>
      </c>
      <c r="D347" s="14">
        <f t="shared" si="50"/>
        <v>1454.4239351121303</v>
      </c>
      <c r="E347" s="14">
        <f t="shared" si="51"/>
        <v>1242.2604304238303</v>
      </c>
      <c r="F347" s="12">
        <f t="shared" si="52"/>
        <v>0.58552031945781458</v>
      </c>
      <c r="G347" s="14">
        <f t="shared" si="53"/>
        <v>212.16350468830012</v>
      </c>
      <c r="H347" s="12">
        <f t="shared" si="54"/>
        <v>0.1</v>
      </c>
      <c r="I347" s="14">
        <f t="shared" si="58"/>
        <v>141515.4398678279</v>
      </c>
      <c r="J347" s="14">
        <f t="shared" si="59"/>
        <v>355897.54594052047</v>
      </c>
      <c r="K347" s="14">
        <f t="shared" si="55"/>
        <v>24217.360132172184</v>
      </c>
      <c r="L347" s="14">
        <f t="shared" si="56"/>
        <v>497412.9858083484</v>
      </c>
    </row>
    <row r="348" spans="1:12" x14ac:dyDescent="0.3">
      <c r="A348">
        <f t="shared" si="60"/>
        <v>343</v>
      </c>
      <c r="B348" s="13"/>
      <c r="C348" s="14">
        <f t="shared" si="57"/>
        <v>24217.360132172184</v>
      </c>
      <c r="D348" s="14">
        <f t="shared" si="50"/>
        <v>1454.4239351121303</v>
      </c>
      <c r="E348" s="14">
        <f t="shared" si="51"/>
        <v>1252.612600677362</v>
      </c>
      <c r="F348" s="12">
        <f t="shared" si="52"/>
        <v>0.62068496013153607</v>
      </c>
      <c r="G348" s="14">
        <f t="shared" si="53"/>
        <v>201.81133443476818</v>
      </c>
      <c r="H348" s="12">
        <f t="shared" si="54"/>
        <v>0.1</v>
      </c>
      <c r="I348" s="14">
        <f t="shared" si="58"/>
        <v>142768.05246850525</v>
      </c>
      <c r="J348" s="14">
        <f t="shared" si="59"/>
        <v>356099.35727495525</v>
      </c>
      <c r="K348" s="14">
        <f t="shared" si="55"/>
        <v>22964.747531494821</v>
      </c>
      <c r="L348" s="14">
        <f t="shared" si="56"/>
        <v>498867.40974346048</v>
      </c>
    </row>
    <row r="349" spans="1:12" x14ac:dyDescent="0.3">
      <c r="A349">
        <f t="shared" si="60"/>
        <v>344</v>
      </c>
      <c r="B349" s="13"/>
      <c r="C349" s="14">
        <f t="shared" si="57"/>
        <v>22964.747531494821</v>
      </c>
      <c r="D349" s="14">
        <f t="shared" si="50"/>
        <v>1454.4239351121303</v>
      </c>
      <c r="E349" s="14">
        <f t="shared" si="51"/>
        <v>1263.0510390163402</v>
      </c>
      <c r="F349" s="12">
        <f t="shared" si="52"/>
        <v>0.65999473529633479</v>
      </c>
      <c r="G349" s="14">
        <f t="shared" si="53"/>
        <v>191.37289609579017</v>
      </c>
      <c r="H349" s="12">
        <f t="shared" si="54"/>
        <v>0.1</v>
      </c>
      <c r="I349" s="14">
        <f t="shared" si="58"/>
        <v>144031.10350752159</v>
      </c>
      <c r="J349" s="14">
        <f t="shared" si="59"/>
        <v>356290.73017105105</v>
      </c>
      <c r="K349" s="14">
        <f t="shared" si="55"/>
        <v>21701.696492478481</v>
      </c>
      <c r="L349" s="14">
        <f t="shared" si="56"/>
        <v>500321.83367857267</v>
      </c>
    </row>
    <row r="350" spans="1:12" x14ac:dyDescent="0.3">
      <c r="A350">
        <f t="shared" si="60"/>
        <v>345</v>
      </c>
      <c r="B350" s="13"/>
      <c r="C350" s="14">
        <f t="shared" si="57"/>
        <v>21701.696492478481</v>
      </c>
      <c r="D350" s="14">
        <f t="shared" si="50"/>
        <v>1454.4239351121303</v>
      </c>
      <c r="E350" s="14">
        <f t="shared" si="51"/>
        <v>1273.5764643414764</v>
      </c>
      <c r="F350" s="12">
        <f t="shared" si="52"/>
        <v>0.70422685974778854</v>
      </c>
      <c r="G350" s="14">
        <f t="shared" si="53"/>
        <v>180.84747077065401</v>
      </c>
      <c r="H350" s="12">
        <f t="shared" si="54"/>
        <v>0.1</v>
      </c>
      <c r="I350" s="14">
        <f t="shared" si="58"/>
        <v>145304.67997186308</v>
      </c>
      <c r="J350" s="14">
        <f t="shared" si="59"/>
        <v>356471.5776418217</v>
      </c>
      <c r="K350" s="14">
        <f t="shared" si="55"/>
        <v>20428.120028137004</v>
      </c>
      <c r="L350" s="14">
        <f t="shared" si="56"/>
        <v>501776.25761368475</v>
      </c>
    </row>
    <row r="351" spans="1:12" x14ac:dyDescent="0.3">
      <c r="A351">
        <f t="shared" si="60"/>
        <v>346</v>
      </c>
      <c r="B351" s="13"/>
      <c r="C351" s="14">
        <f t="shared" si="57"/>
        <v>20428.120028137004</v>
      </c>
      <c r="D351" s="14">
        <f t="shared" si="50"/>
        <v>1454.4239351121303</v>
      </c>
      <c r="E351" s="14">
        <f t="shared" si="51"/>
        <v>1284.1896015443219</v>
      </c>
      <c r="F351" s="12">
        <f t="shared" si="52"/>
        <v>0.7543658054341893</v>
      </c>
      <c r="G351" s="14">
        <f t="shared" si="53"/>
        <v>170.23433356780836</v>
      </c>
      <c r="H351" s="12">
        <f t="shared" si="54"/>
        <v>0.1</v>
      </c>
      <c r="I351" s="14">
        <f t="shared" si="58"/>
        <v>146588.8695734074</v>
      </c>
      <c r="J351" s="14">
        <f t="shared" si="59"/>
        <v>356641.81197538949</v>
      </c>
      <c r="K351" s="14">
        <f t="shared" si="55"/>
        <v>19143.93042659268</v>
      </c>
      <c r="L351" s="14">
        <f t="shared" si="56"/>
        <v>503230.68154879689</v>
      </c>
    </row>
    <row r="352" spans="1:12" x14ac:dyDescent="0.3">
      <c r="A352">
        <f t="shared" si="60"/>
        <v>347</v>
      </c>
      <c r="B352" s="13"/>
      <c r="C352" s="14">
        <f t="shared" si="57"/>
        <v>19143.93042659268</v>
      </c>
      <c r="D352" s="14">
        <f t="shared" si="50"/>
        <v>1454.4239351121303</v>
      </c>
      <c r="E352" s="14">
        <f t="shared" si="51"/>
        <v>1294.8911815571912</v>
      </c>
      <c r="F352" s="12">
        <f t="shared" si="52"/>
        <v>0.81167732186811647</v>
      </c>
      <c r="G352" s="14">
        <f t="shared" si="53"/>
        <v>159.53275355493901</v>
      </c>
      <c r="H352" s="12">
        <f t="shared" si="54"/>
        <v>0.1</v>
      </c>
      <c r="I352" s="14">
        <f t="shared" si="58"/>
        <v>147883.76075496458</v>
      </c>
      <c r="J352" s="14">
        <f t="shared" si="59"/>
        <v>356801.34472894442</v>
      </c>
      <c r="K352" s="14">
        <f t="shared" si="55"/>
        <v>17849.039245035488</v>
      </c>
      <c r="L352" s="14">
        <f t="shared" si="56"/>
        <v>504685.10548390902</v>
      </c>
    </row>
    <row r="353" spans="1:12" x14ac:dyDescent="0.3">
      <c r="A353">
        <f t="shared" si="60"/>
        <v>348</v>
      </c>
      <c r="B353" s="13"/>
      <c r="C353" s="14">
        <f t="shared" si="57"/>
        <v>17849.039245035488</v>
      </c>
      <c r="D353" s="14">
        <f t="shared" si="50"/>
        <v>1454.4239351121303</v>
      </c>
      <c r="E353" s="14">
        <f t="shared" si="51"/>
        <v>1305.6819414035012</v>
      </c>
      <c r="F353" s="12">
        <f t="shared" si="52"/>
        <v>0.87781661980489778</v>
      </c>
      <c r="G353" s="14">
        <f t="shared" si="53"/>
        <v>148.74199370862908</v>
      </c>
      <c r="H353" s="12">
        <f t="shared" si="54"/>
        <v>0.1</v>
      </c>
      <c r="I353" s="14">
        <f t="shared" si="58"/>
        <v>149189.44269636809</v>
      </c>
      <c r="J353" s="14">
        <f t="shared" si="59"/>
        <v>356950.08672265307</v>
      </c>
      <c r="K353" s="14">
        <f t="shared" si="55"/>
        <v>16543.357303631987</v>
      </c>
      <c r="L353" s="14">
        <f t="shared" si="56"/>
        <v>506139.52941902116</v>
      </c>
    </row>
    <row r="354" spans="1:12" x14ac:dyDescent="0.3">
      <c r="A354">
        <f t="shared" si="60"/>
        <v>349</v>
      </c>
      <c r="B354" s="13"/>
      <c r="C354" s="14">
        <f t="shared" si="57"/>
        <v>16543.357303631987</v>
      </c>
      <c r="D354" s="14">
        <f t="shared" si="50"/>
        <v>1454.4239351121303</v>
      </c>
      <c r="E354" s="14">
        <f t="shared" si="51"/>
        <v>1316.5626242485305</v>
      </c>
      <c r="F354" s="12">
        <f t="shared" si="52"/>
        <v>0.95499064676030732</v>
      </c>
      <c r="G354" s="14">
        <f t="shared" si="53"/>
        <v>137.8613108635999</v>
      </c>
      <c r="H354" s="12">
        <f t="shared" si="54"/>
        <v>0.1</v>
      </c>
      <c r="I354" s="14">
        <f t="shared" si="58"/>
        <v>150506.00532061662</v>
      </c>
      <c r="J354" s="14">
        <f t="shared" si="59"/>
        <v>357087.94803351664</v>
      </c>
      <c r="K354" s="14">
        <f t="shared" si="55"/>
        <v>15226.794679383456</v>
      </c>
      <c r="L354" s="14">
        <f t="shared" si="56"/>
        <v>507593.95335413329</v>
      </c>
    </row>
    <row r="355" spans="1:12" x14ac:dyDescent="0.3">
      <c r="A355">
        <f t="shared" si="60"/>
        <v>350</v>
      </c>
      <c r="B355" s="13"/>
      <c r="C355" s="14">
        <f t="shared" si="57"/>
        <v>15226.794679383456</v>
      </c>
      <c r="D355" s="14">
        <f t="shared" si="50"/>
        <v>1454.4239351121303</v>
      </c>
      <c r="E355" s="14">
        <f t="shared" si="51"/>
        <v>1327.5339794506015</v>
      </c>
      <c r="F355" s="12">
        <f t="shared" si="52"/>
        <v>1.0462088764470192</v>
      </c>
      <c r="G355" s="14">
        <f t="shared" si="53"/>
        <v>126.8899556615288</v>
      </c>
      <c r="H355" s="12">
        <f t="shared" si="54"/>
        <v>0.1</v>
      </c>
      <c r="I355" s="14">
        <f t="shared" si="58"/>
        <v>151833.53930006723</v>
      </c>
      <c r="J355" s="14">
        <f t="shared" si="59"/>
        <v>357214.8379891782</v>
      </c>
      <c r="K355" s="14">
        <f t="shared" si="55"/>
        <v>13899.260699932855</v>
      </c>
      <c r="L355" s="14">
        <f t="shared" si="56"/>
        <v>509048.37728924543</v>
      </c>
    </row>
    <row r="356" spans="1:12" x14ac:dyDescent="0.3">
      <c r="A356">
        <f t="shared" si="60"/>
        <v>351</v>
      </c>
      <c r="B356" s="13"/>
      <c r="C356" s="14">
        <f t="shared" si="57"/>
        <v>13899.260699932855</v>
      </c>
      <c r="D356" s="14">
        <f t="shared" si="50"/>
        <v>1454.4239351121303</v>
      </c>
      <c r="E356" s="14">
        <f t="shared" si="51"/>
        <v>1338.5967626126899</v>
      </c>
      <c r="F356" s="12">
        <f t="shared" si="52"/>
        <v>1.1556845718729396</v>
      </c>
      <c r="G356" s="14">
        <f t="shared" si="53"/>
        <v>115.82717249944045</v>
      </c>
      <c r="H356" s="12">
        <f t="shared" si="54"/>
        <v>0.1</v>
      </c>
      <c r="I356" s="14">
        <f t="shared" si="58"/>
        <v>153172.13606267993</v>
      </c>
      <c r="J356" s="14">
        <f t="shared" si="59"/>
        <v>357330.66516167764</v>
      </c>
      <c r="K356" s="14">
        <f t="shared" si="55"/>
        <v>12560.663937320165</v>
      </c>
      <c r="L356" s="14">
        <f t="shared" si="56"/>
        <v>510502.80122435756</v>
      </c>
    </row>
    <row r="357" spans="1:12" x14ac:dyDescent="0.3">
      <c r="A357">
        <f t="shared" si="60"/>
        <v>352</v>
      </c>
      <c r="B357" s="13"/>
      <c r="C357" s="14">
        <f t="shared" si="57"/>
        <v>12560.663937320165</v>
      </c>
      <c r="D357" s="14">
        <f t="shared" si="50"/>
        <v>1454.4239351121303</v>
      </c>
      <c r="E357" s="14">
        <f t="shared" si="51"/>
        <v>1349.7517356344622</v>
      </c>
      <c r="F357" s="12">
        <f t="shared" si="52"/>
        <v>1.2895035571717719</v>
      </c>
      <c r="G357" s="14">
        <f t="shared" si="53"/>
        <v>104.67219947766804</v>
      </c>
      <c r="H357" s="12">
        <f t="shared" si="54"/>
        <v>0.1</v>
      </c>
      <c r="I357" s="14">
        <f t="shared" si="58"/>
        <v>154521.88779831439</v>
      </c>
      <c r="J357" s="14">
        <f t="shared" si="59"/>
        <v>357435.33736115531</v>
      </c>
      <c r="K357" s="14">
        <f t="shared" si="55"/>
        <v>11210.912201685704</v>
      </c>
      <c r="L357" s="14">
        <f t="shared" si="56"/>
        <v>511957.2251594697</v>
      </c>
    </row>
    <row r="358" spans="1:12" x14ac:dyDescent="0.3">
      <c r="A358">
        <f t="shared" si="60"/>
        <v>353</v>
      </c>
      <c r="B358" s="13"/>
      <c r="C358" s="14">
        <f t="shared" si="57"/>
        <v>11210.912201685704</v>
      </c>
      <c r="D358" s="14">
        <f t="shared" si="50"/>
        <v>1454.4239351121303</v>
      </c>
      <c r="E358" s="14">
        <f t="shared" si="51"/>
        <v>1360.9996667647495</v>
      </c>
      <c r="F358" s="12">
        <f t="shared" si="52"/>
        <v>1.4567945683065173</v>
      </c>
      <c r="G358" s="14">
        <f t="shared" si="53"/>
        <v>93.42426834738086</v>
      </c>
      <c r="H358" s="12">
        <f t="shared" si="54"/>
        <v>0.1</v>
      </c>
      <c r="I358" s="14">
        <f t="shared" si="58"/>
        <v>155882.88746507914</v>
      </c>
      <c r="J358" s="14">
        <f t="shared" si="59"/>
        <v>357528.7616295027</v>
      </c>
      <c r="K358" s="14">
        <f t="shared" si="55"/>
        <v>9849.9125349209535</v>
      </c>
      <c r="L358" s="14">
        <f t="shared" si="56"/>
        <v>513411.64909458184</v>
      </c>
    </row>
    <row r="359" spans="1:12" x14ac:dyDescent="0.3">
      <c r="A359">
        <f t="shared" si="60"/>
        <v>354</v>
      </c>
      <c r="B359" s="13"/>
      <c r="C359" s="14">
        <f t="shared" si="57"/>
        <v>9849.9125349209535</v>
      </c>
      <c r="D359" s="14">
        <f t="shared" si="50"/>
        <v>1454.4239351121303</v>
      </c>
      <c r="E359" s="14">
        <f t="shared" si="51"/>
        <v>1372.3413306544558</v>
      </c>
      <c r="F359" s="12">
        <f t="shared" si="52"/>
        <v>1.6719027615188491</v>
      </c>
      <c r="G359" s="14">
        <f t="shared" si="53"/>
        <v>82.082604457674606</v>
      </c>
      <c r="H359" s="12">
        <f t="shared" si="54"/>
        <v>0.1</v>
      </c>
      <c r="I359" s="14">
        <f t="shared" si="58"/>
        <v>157255.22879573359</v>
      </c>
      <c r="J359" s="14">
        <f t="shared" si="59"/>
        <v>357610.84423396038</v>
      </c>
      <c r="K359" s="14">
        <f t="shared" si="55"/>
        <v>8477.5712042664982</v>
      </c>
      <c r="L359" s="14">
        <f t="shared" si="56"/>
        <v>514866.07302969397</v>
      </c>
    </row>
    <row r="360" spans="1:12" x14ac:dyDescent="0.3">
      <c r="A360">
        <f t="shared" si="60"/>
        <v>355</v>
      </c>
      <c r="B360" s="13"/>
      <c r="C360" s="14">
        <f t="shared" si="57"/>
        <v>8477.5712042664982</v>
      </c>
      <c r="D360" s="14">
        <f t="shared" si="50"/>
        <v>1454.4239351121303</v>
      </c>
      <c r="E360" s="14">
        <f t="shared" si="51"/>
        <v>1383.7775084099094</v>
      </c>
      <c r="F360" s="12">
        <f t="shared" si="52"/>
        <v>1.9587367302278706</v>
      </c>
      <c r="G360" s="14">
        <f t="shared" si="53"/>
        <v>70.646426702220822</v>
      </c>
      <c r="H360" s="12">
        <f t="shared" si="54"/>
        <v>0.1</v>
      </c>
      <c r="I360" s="14">
        <f t="shared" si="58"/>
        <v>158639.00630414349</v>
      </c>
      <c r="J360" s="14">
        <f t="shared" si="59"/>
        <v>357681.49066066259</v>
      </c>
      <c r="K360" s="14">
        <f t="shared" si="55"/>
        <v>7093.7936958565888</v>
      </c>
      <c r="L360" s="14">
        <f t="shared" si="56"/>
        <v>516320.49696480611</v>
      </c>
    </row>
    <row r="361" spans="1:12" x14ac:dyDescent="0.3">
      <c r="A361">
        <f t="shared" si="60"/>
        <v>356</v>
      </c>
      <c r="B361" s="13"/>
      <c r="C361" s="14">
        <f t="shared" si="57"/>
        <v>7093.7936958565888</v>
      </c>
      <c r="D361" s="14">
        <f t="shared" si="50"/>
        <v>1454.4239351121303</v>
      </c>
      <c r="E361" s="14">
        <f t="shared" si="51"/>
        <v>1395.3089876466588</v>
      </c>
      <c r="F361" s="12">
        <f t="shared" si="52"/>
        <v>2.360331942207416</v>
      </c>
      <c r="G361" s="14">
        <f t="shared" si="53"/>
        <v>59.114947465471573</v>
      </c>
      <c r="H361" s="12">
        <f t="shared" si="54"/>
        <v>0.1</v>
      </c>
      <c r="I361" s="14">
        <f t="shared" si="58"/>
        <v>160034.31529179015</v>
      </c>
      <c r="J361" s="14">
        <f t="shared" si="59"/>
        <v>357740.60560812807</v>
      </c>
      <c r="K361" s="14">
        <f t="shared" si="55"/>
        <v>5698.4847082099295</v>
      </c>
      <c r="L361" s="14">
        <f t="shared" si="56"/>
        <v>517774.92089991819</v>
      </c>
    </row>
    <row r="362" spans="1:12" x14ac:dyDescent="0.3">
      <c r="A362">
        <f t="shared" si="60"/>
        <v>357</v>
      </c>
      <c r="B362" s="13"/>
      <c r="C362" s="14">
        <f t="shared" si="57"/>
        <v>5698.4847082099295</v>
      </c>
      <c r="D362" s="14">
        <f t="shared" si="50"/>
        <v>1454.4239351121303</v>
      </c>
      <c r="E362" s="14">
        <f t="shared" si="51"/>
        <v>1406.9365625437142</v>
      </c>
      <c r="F362" s="12">
        <f t="shared" si="52"/>
        <v>2.9627593325293171</v>
      </c>
      <c r="G362" s="14">
        <f t="shared" si="53"/>
        <v>47.487372568416077</v>
      </c>
      <c r="H362" s="12">
        <f t="shared" si="54"/>
        <v>0.1</v>
      </c>
      <c r="I362" s="14">
        <f t="shared" si="58"/>
        <v>161441.25185433385</v>
      </c>
      <c r="J362" s="14">
        <f t="shared" si="59"/>
        <v>357788.09298069647</v>
      </c>
      <c r="K362" s="14">
        <f t="shared" si="55"/>
        <v>4291.5481456662155</v>
      </c>
      <c r="L362" s="14">
        <f t="shared" si="56"/>
        <v>519229.34483503032</v>
      </c>
    </row>
    <row r="363" spans="1:12" x14ac:dyDescent="0.3">
      <c r="A363">
        <f t="shared" si="60"/>
        <v>358</v>
      </c>
      <c r="B363" s="13"/>
      <c r="C363" s="14">
        <f t="shared" si="57"/>
        <v>4291.5481456662155</v>
      </c>
      <c r="D363" s="14">
        <f t="shared" si="50"/>
        <v>1454.4239351121303</v>
      </c>
      <c r="E363" s="14">
        <f t="shared" si="51"/>
        <v>1418.661033898245</v>
      </c>
      <c r="F363" s="12">
        <f t="shared" si="52"/>
        <v>3.9668510823932897</v>
      </c>
      <c r="G363" s="14">
        <f t="shared" si="53"/>
        <v>35.762901213885129</v>
      </c>
      <c r="H363" s="12">
        <f t="shared" si="54"/>
        <v>0.1</v>
      </c>
      <c r="I363" s="14">
        <f t="shared" si="58"/>
        <v>162859.91288823209</v>
      </c>
      <c r="J363" s="14">
        <f t="shared" si="59"/>
        <v>357823.85588191036</v>
      </c>
      <c r="K363" s="14">
        <f t="shared" si="55"/>
        <v>2872.8871117679705</v>
      </c>
      <c r="L363" s="14">
        <f t="shared" si="56"/>
        <v>520683.76877014246</v>
      </c>
    </row>
    <row r="364" spans="1:12" x14ac:dyDescent="0.3">
      <c r="A364">
        <f t="shared" si="60"/>
        <v>359</v>
      </c>
      <c r="B364" s="13"/>
      <c r="C364" s="14">
        <f t="shared" si="57"/>
        <v>2872.8871117679705</v>
      </c>
      <c r="D364" s="14">
        <f t="shared" si="50"/>
        <v>1454.4239351121303</v>
      </c>
      <c r="E364" s="14">
        <f t="shared" si="51"/>
        <v>1430.4832091807305</v>
      </c>
      <c r="F364" s="12">
        <f t="shared" si="52"/>
        <v>5.9751037344467592</v>
      </c>
      <c r="G364" s="14">
        <f t="shared" si="53"/>
        <v>23.940725931399754</v>
      </c>
      <c r="H364" s="12">
        <f t="shared" si="54"/>
        <v>0.1</v>
      </c>
      <c r="I364" s="14">
        <f t="shared" si="58"/>
        <v>164290.39609741283</v>
      </c>
      <c r="J364" s="14">
        <f t="shared" si="59"/>
        <v>357847.79660784174</v>
      </c>
      <c r="K364" s="14">
        <f t="shared" si="55"/>
        <v>1442.4039025872401</v>
      </c>
      <c r="L364" s="14">
        <f t="shared" si="56"/>
        <v>522138.19270525454</v>
      </c>
    </row>
    <row r="365" spans="1:12" x14ac:dyDescent="0.3">
      <c r="A365">
        <f t="shared" si="60"/>
        <v>360</v>
      </c>
      <c r="B365" s="13"/>
      <c r="C365" s="14">
        <f t="shared" si="57"/>
        <v>1442.4039025872401</v>
      </c>
      <c r="D365" s="14">
        <f t="shared" si="50"/>
        <v>1454.4239351121303</v>
      </c>
      <c r="E365" s="14">
        <f t="shared" si="51"/>
        <v>1442.4039025905699</v>
      </c>
      <c r="F365" s="12">
        <f t="shared" si="52"/>
        <v>12.000000000027704</v>
      </c>
      <c r="G365" s="14">
        <f t="shared" si="53"/>
        <v>12.020032521560333</v>
      </c>
      <c r="H365" s="12">
        <f t="shared" si="54"/>
        <v>0.1</v>
      </c>
      <c r="I365" s="14">
        <f t="shared" si="58"/>
        <v>165732.80000000339</v>
      </c>
      <c r="J365" s="27">
        <f t="shared" si="59"/>
        <v>357859.81664036331</v>
      </c>
      <c r="K365" s="14">
        <f t="shared" si="55"/>
        <v>-3.3298874768661335E-9</v>
      </c>
      <c r="L365" s="27">
        <f t="shared" si="56"/>
        <v>523592.61664036673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1930 Congress Numbers</vt:lpstr>
      <vt:lpstr>1930 Congress Amortization</vt:lpstr>
      <vt:lpstr>HELOC Payment Calculator</vt:lpstr>
      <vt:lpstr>HELOC Amortization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Smith</dc:creator>
  <cp:lastModifiedBy>Matt Smith</cp:lastModifiedBy>
  <dcterms:created xsi:type="dcterms:W3CDTF">2022-11-13T23:11:24Z</dcterms:created>
  <dcterms:modified xsi:type="dcterms:W3CDTF">2024-03-28T20:55:37Z</dcterms:modified>
</cp:coreProperties>
</file>