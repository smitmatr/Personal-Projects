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r\Desktop\Real Estate Investing\"/>
    </mc:Choice>
  </mc:AlternateContent>
  <xr:revisionPtr revIDLastSave="0" documentId="13_ncr:1_{C7F03471-D04F-4DB9-9E7A-A71D831154DD}" xr6:coauthVersionLast="47" xr6:coauthVersionMax="47" xr10:uidLastSave="{00000000-0000-0000-0000-000000000000}"/>
  <bookViews>
    <workbookView xWindow="28680" yWindow="-120" windowWidth="29040" windowHeight="15720" tabRatio="819" firstSheet="3" activeTab="8" xr2:uid="{B9F91E3A-A3D4-473D-AE4B-9251AA429DA2}"/>
  </bookViews>
  <sheets>
    <sheet name="Independence 1930 Condos" sheetId="11" r:id="rId1"/>
    <sheet name="1930 Independence Amortization" sheetId="12" r:id="rId2"/>
    <sheet name="Amortization Schedule" sheetId="1" r:id="rId3"/>
    <sheet name="Flipping Calculator" sheetId="2" r:id="rId4"/>
    <sheet name="2921 Admiralty Bay" sheetId="6" r:id="rId5"/>
    <sheet name="McRae Road Amorization" sheetId="10" r:id="rId6"/>
    <sheet name="McRae Road Condos" sheetId="9" r:id="rId7"/>
    <sheet name="Hard Money Lender Calculator" sheetId="5" r:id="rId8"/>
    <sheet name="HELOC Calculator" sheetId="3" r:id="rId9"/>
    <sheet name="Lender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4" i="3" s="1"/>
  <c r="H2" i="3"/>
  <c r="B14" i="3"/>
  <c r="B15" i="3" s="1"/>
  <c r="K1" i="3"/>
  <c r="D30" i="9"/>
  <c r="B54" i="9"/>
  <c r="C54" i="9"/>
  <c r="C53" i="9"/>
  <c r="B21" i="9"/>
  <c r="B16" i="9"/>
  <c r="C5" i="9"/>
  <c r="B4" i="3"/>
  <c r="G341" i="3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H16" i="11"/>
  <c r="H8" i="11"/>
  <c r="H9" i="11"/>
  <c r="C55" i="11"/>
  <c r="C57" i="11"/>
  <c r="C45" i="11"/>
  <c r="B19" i="11"/>
  <c r="B15" i="11"/>
  <c r="B50" i="11"/>
  <c r="B51" i="11"/>
  <c r="B52" i="11"/>
  <c r="B49" i="11"/>
  <c r="C54" i="11"/>
  <c r="C53" i="11"/>
  <c r="C6" i="12"/>
  <c r="A358" i="12"/>
  <c r="A359" i="12" s="1"/>
  <c r="A360" i="12" s="1"/>
  <c r="A361" i="12" s="1"/>
  <c r="A362" i="12" s="1"/>
  <c r="A363" i="12" s="1"/>
  <c r="A364" i="12" s="1"/>
  <c r="A365" i="12" s="1"/>
  <c r="A351" i="12"/>
  <c r="A352" i="12" s="1"/>
  <c r="A353" i="12" s="1"/>
  <c r="A354" i="12" s="1"/>
  <c r="A355" i="12" s="1"/>
  <c r="A356" i="12" s="1"/>
  <c r="A357" i="12" s="1"/>
  <c r="A343" i="12"/>
  <c r="A344" i="12" s="1"/>
  <c r="A345" i="12" s="1"/>
  <c r="A346" i="12" s="1"/>
  <c r="A347" i="12" s="1"/>
  <c r="A348" i="12" s="1"/>
  <c r="A349" i="12" s="1"/>
  <c r="A350" i="12" s="1"/>
  <c r="A342" i="12"/>
  <c r="A341" i="12"/>
  <c r="B2" i="12"/>
  <c r="E1" i="12"/>
  <c r="C12" i="11"/>
  <c r="C48" i="11"/>
  <c r="C47" i="11"/>
  <c r="B46" i="11"/>
  <c r="C46" i="11" s="1"/>
  <c r="D40" i="11"/>
  <c r="E40" i="11" s="1"/>
  <c r="D39" i="11"/>
  <c r="E39" i="11" s="1"/>
  <c r="D38" i="11"/>
  <c r="E38" i="11" s="1"/>
  <c r="D37" i="11"/>
  <c r="E37" i="11" s="1"/>
  <c r="D36" i="11"/>
  <c r="E36" i="11" s="1"/>
  <c r="D35" i="11"/>
  <c r="E35" i="11" s="1"/>
  <c r="D34" i="11"/>
  <c r="E34" i="11" s="1"/>
  <c r="D33" i="11"/>
  <c r="E33" i="11" s="1"/>
  <c r="D32" i="11"/>
  <c r="E32" i="11" s="1"/>
  <c r="D31" i="11"/>
  <c r="E31" i="11" s="1"/>
  <c r="D30" i="11"/>
  <c r="E30" i="11" s="1"/>
  <c r="L8" i="11"/>
  <c r="B7" i="11"/>
  <c r="B8" i="11" s="1"/>
  <c r="H6" i="11"/>
  <c r="B6" i="11"/>
  <c r="M5" i="11"/>
  <c r="C5" i="11"/>
  <c r="C3" i="11"/>
  <c r="E41" i="9"/>
  <c r="H26" i="9"/>
  <c r="K2" i="3" l="1"/>
  <c r="H10" i="11"/>
  <c r="E2" i="12"/>
  <c r="D6" i="12" s="1"/>
  <c r="D33" i="12"/>
  <c r="D13" i="12"/>
  <c r="D9" i="12"/>
  <c r="D232" i="12"/>
  <c r="D138" i="12"/>
  <c r="D49" i="12"/>
  <c r="D18" i="12"/>
  <c r="D221" i="12"/>
  <c r="D108" i="12"/>
  <c r="D65" i="12"/>
  <c r="D57" i="12"/>
  <c r="D41" i="12"/>
  <c r="D259" i="12"/>
  <c r="D124" i="12"/>
  <c r="D92" i="12"/>
  <c r="D86" i="12"/>
  <c r="D81" i="12"/>
  <c r="D73" i="12"/>
  <c r="D17" i="12"/>
  <c r="D235" i="12"/>
  <c r="D30" i="12"/>
  <c r="D38" i="12"/>
  <c r="D70" i="12"/>
  <c r="D78" i="12"/>
  <c r="D99" i="12"/>
  <c r="D115" i="12"/>
  <c r="D131" i="12"/>
  <c r="D186" i="12"/>
  <c r="C44" i="11"/>
  <c r="D14" i="12"/>
  <c r="D24" i="12"/>
  <c r="D25" i="12"/>
  <c r="D26" i="12"/>
  <c r="D29" i="12"/>
  <c r="D37" i="12"/>
  <c r="D45" i="12"/>
  <c r="D53" i="12"/>
  <c r="D61" i="12"/>
  <c r="D69" i="12"/>
  <c r="D77" i="12"/>
  <c r="D85" i="12"/>
  <c r="D100" i="12"/>
  <c r="D116" i="12"/>
  <c r="D132" i="12"/>
  <c r="D153" i="12"/>
  <c r="D162" i="12"/>
  <c r="D229" i="12"/>
  <c r="D365" i="12"/>
  <c r="D357" i="12"/>
  <c r="D349" i="12"/>
  <c r="D341" i="12"/>
  <c r="D362" i="12"/>
  <c r="D354" i="12"/>
  <c r="D346" i="12"/>
  <c r="D337" i="12"/>
  <c r="D333" i="12"/>
  <c r="D329" i="12"/>
  <c r="D325" i="12"/>
  <c r="D321" i="12"/>
  <c r="D317" i="12"/>
  <c r="D313" i="12"/>
  <c r="D309" i="12"/>
  <c r="D305" i="12"/>
  <c r="D301" i="12"/>
  <c r="D359" i="12"/>
  <c r="D351" i="12"/>
  <c r="D343" i="12"/>
  <c r="D364" i="12"/>
  <c r="D356" i="12"/>
  <c r="D348" i="12"/>
  <c r="D340" i="12"/>
  <c r="D336" i="12"/>
  <c r="D332" i="12"/>
  <c r="D328" i="12"/>
  <c r="D324" i="12"/>
  <c r="D320" i="12"/>
  <c r="D316" i="12"/>
  <c r="D312" i="12"/>
  <c r="D308" i="12"/>
  <c r="D304" i="12"/>
  <c r="D358" i="12"/>
  <c r="D350" i="12"/>
  <c r="D342" i="12"/>
  <c r="D339" i="12"/>
  <c r="D335" i="12"/>
  <c r="D331" i="12"/>
  <c r="D327" i="12"/>
  <c r="D323" i="12"/>
  <c r="D319" i="12"/>
  <c r="D315" i="12"/>
  <c r="D311" i="12"/>
  <c r="D307" i="12"/>
  <c r="D303" i="12"/>
  <c r="D363" i="12"/>
  <c r="D361" i="12"/>
  <c r="D338" i="12"/>
  <c r="D306" i="12"/>
  <c r="D297" i="12"/>
  <c r="D293" i="12"/>
  <c r="D289" i="12"/>
  <c r="D285" i="12"/>
  <c r="D281" i="12"/>
  <c r="D277" i="12"/>
  <c r="D273" i="12"/>
  <c r="D269" i="12"/>
  <c r="D265" i="12"/>
  <c r="D261" i="12"/>
  <c r="D355" i="12"/>
  <c r="D353" i="12"/>
  <c r="D310" i="12"/>
  <c r="D318" i="12"/>
  <c r="D344" i="12"/>
  <c r="D284" i="12"/>
  <c r="D276" i="12"/>
  <c r="D260" i="12"/>
  <c r="D314" i="12"/>
  <c r="D298" i="12"/>
  <c r="D279" i="12"/>
  <c r="D278" i="12"/>
  <c r="D263" i="12"/>
  <c r="D262" i="12"/>
  <c r="D256" i="12"/>
  <c r="D252" i="12"/>
  <c r="D248" i="12"/>
  <c r="D244" i="12"/>
  <c r="D240" i="12"/>
  <c r="D299" i="12"/>
  <c r="D294" i="12"/>
  <c r="D280" i="12"/>
  <c r="D264" i="12"/>
  <c r="D352" i="12"/>
  <c r="D334" i="12"/>
  <c r="D295" i="12"/>
  <c r="D290" i="12"/>
  <c r="D267" i="12"/>
  <c r="D266" i="12"/>
  <c r="D255" i="12"/>
  <c r="D251" i="12"/>
  <c r="D247" i="12"/>
  <c r="D243" i="12"/>
  <c r="D239" i="12"/>
  <c r="D300" i="12"/>
  <c r="D238" i="12"/>
  <c r="D237" i="12"/>
  <c r="D236" i="12"/>
  <c r="D234" i="12"/>
  <c r="D326" i="12"/>
  <c r="D287" i="12"/>
  <c r="D282" i="12"/>
  <c r="D271" i="12"/>
  <c r="D250" i="12"/>
  <c r="D242" i="12"/>
  <c r="D233" i="12"/>
  <c r="D224" i="12"/>
  <c r="D220" i="12"/>
  <c r="D216" i="12"/>
  <c r="D212" i="12"/>
  <c r="D208" i="12"/>
  <c r="D204" i="12"/>
  <c r="D200" i="12"/>
  <c r="D196" i="12"/>
  <c r="D192" i="12"/>
  <c r="D188" i="12"/>
  <c r="D184" i="12"/>
  <c r="D180" i="12"/>
  <c r="D176" i="12"/>
  <c r="D172" i="12"/>
  <c r="D168" i="12"/>
  <c r="D164" i="12"/>
  <c r="D160" i="12"/>
  <c r="D275" i="12"/>
  <c r="D258" i="12"/>
  <c r="D253" i="12"/>
  <c r="D245" i="12"/>
  <c r="D230" i="12"/>
  <c r="D223" i="12"/>
  <c r="D219" i="12"/>
  <c r="D215" i="12"/>
  <c r="D211" i="12"/>
  <c r="D207" i="12"/>
  <c r="D203" i="12"/>
  <c r="D199" i="12"/>
  <c r="D195" i="12"/>
  <c r="D191" i="12"/>
  <c r="D187" i="12"/>
  <c r="D183" i="12"/>
  <c r="D179" i="12"/>
  <c r="D175" i="12"/>
  <c r="D171" i="12"/>
  <c r="D167" i="12"/>
  <c r="D163" i="12"/>
  <c r="D159" i="12"/>
  <c r="D155" i="12"/>
  <c r="D151" i="12"/>
  <c r="D147" i="12"/>
  <c r="D143" i="12"/>
  <c r="D139" i="12"/>
  <c r="D135" i="12"/>
  <c r="D227" i="12"/>
  <c r="D214" i="12"/>
  <c r="D209" i="12"/>
  <c r="D182" i="12"/>
  <c r="D177" i="12"/>
  <c r="D144" i="12"/>
  <c r="D210" i="12"/>
  <c r="D205" i="12"/>
  <c r="D178" i="12"/>
  <c r="D173" i="12"/>
  <c r="D146" i="12"/>
  <c r="D145" i="12"/>
  <c r="D130" i="12"/>
  <c r="D126" i="12"/>
  <c r="D122" i="12"/>
  <c r="D118" i="12"/>
  <c r="D114" i="12"/>
  <c r="D110" i="12"/>
  <c r="D106" i="12"/>
  <c r="D102" i="12"/>
  <c r="D98" i="12"/>
  <c r="D94" i="12"/>
  <c r="D90" i="12"/>
  <c r="D302" i="12"/>
  <c r="D274" i="12"/>
  <c r="D270" i="12"/>
  <c r="D257" i="12"/>
  <c r="D254" i="12"/>
  <c r="D231" i="12"/>
  <c r="D206" i="12"/>
  <c r="D201" i="12"/>
  <c r="D174" i="12"/>
  <c r="D169" i="12"/>
  <c r="D148" i="12"/>
  <c r="D360" i="12"/>
  <c r="D322" i="12"/>
  <c r="D296" i="12"/>
  <c r="D292" i="12"/>
  <c r="D249" i="12"/>
  <c r="D246" i="12"/>
  <c r="D228" i="12"/>
  <c r="D202" i="12"/>
  <c r="D197" i="12"/>
  <c r="D170" i="12"/>
  <c r="D165" i="12"/>
  <c r="D150" i="12"/>
  <c r="D149" i="12"/>
  <c r="D134" i="12"/>
  <c r="D133" i="12"/>
  <c r="D129" i="12"/>
  <c r="D125" i="12"/>
  <c r="D121" i="12"/>
  <c r="D117" i="12"/>
  <c r="D113" i="12"/>
  <c r="D109" i="12"/>
  <c r="D105" i="12"/>
  <c r="D101" i="12"/>
  <c r="D97" i="12"/>
  <c r="D93" i="12"/>
  <c r="D89" i="12"/>
  <c r="D345" i="12"/>
  <c r="D286" i="12"/>
  <c r="D272" i="12"/>
  <c r="D226" i="12"/>
  <c r="D190" i="12"/>
  <c r="D185" i="12"/>
  <c r="D140" i="12"/>
  <c r="D218" i="12"/>
  <c r="D213" i="12"/>
  <c r="D157" i="12"/>
  <c r="D142" i="12"/>
  <c r="D127" i="12"/>
  <c r="D119" i="12"/>
  <c r="D111" i="12"/>
  <c r="D103" i="12"/>
  <c r="D95" i="12"/>
  <c r="D87" i="12"/>
  <c r="D84" i="12"/>
  <c r="D80" i="12"/>
  <c r="D76" i="12"/>
  <c r="D72" i="12"/>
  <c r="D68" i="12"/>
  <c r="D64" i="12"/>
  <c r="D60" i="12"/>
  <c r="D56" i="12"/>
  <c r="D52" i="12"/>
  <c r="D48" i="12"/>
  <c r="D44" i="12"/>
  <c r="D40" i="12"/>
  <c r="D36" i="12"/>
  <c r="D32" i="12"/>
  <c r="D28" i="12"/>
  <c r="D291" i="12"/>
  <c r="D241" i="12"/>
  <c r="D225" i="12"/>
  <c r="D166" i="12"/>
  <c r="D161" i="12"/>
  <c r="D152" i="12"/>
  <c r="D283" i="12"/>
  <c r="D194" i="12"/>
  <c r="D189" i="12"/>
  <c r="D154" i="12"/>
  <c r="D137" i="12"/>
  <c r="D128" i="12"/>
  <c r="D120" i="12"/>
  <c r="D112" i="12"/>
  <c r="D104" i="12"/>
  <c r="D96" i="12"/>
  <c r="D88" i="12"/>
  <c r="D83" i="12"/>
  <c r="D79" i="12"/>
  <c r="D75" i="12"/>
  <c r="D71" i="12"/>
  <c r="D67" i="12"/>
  <c r="D63" i="12"/>
  <c r="D59" i="12"/>
  <c r="D55" i="12"/>
  <c r="D51" i="12"/>
  <c r="D47" i="12"/>
  <c r="D43" i="12"/>
  <c r="D39" i="12"/>
  <c r="D35" i="12"/>
  <c r="D31" i="12"/>
  <c r="D27" i="12"/>
  <c r="D23" i="12"/>
  <c r="D19" i="12"/>
  <c r="D46" i="12"/>
  <c r="D54" i="12"/>
  <c r="D181" i="12"/>
  <c r="D10" i="12"/>
  <c r="D156" i="12"/>
  <c r="D217" i="12"/>
  <c r="D222" i="12"/>
  <c r="D347" i="12"/>
  <c r="D7" i="12"/>
  <c r="D11" i="12"/>
  <c r="D15" i="12"/>
  <c r="D136" i="12"/>
  <c r="D193" i="12"/>
  <c r="D198" i="12"/>
  <c r="D330" i="12"/>
  <c r="D62" i="12"/>
  <c r="G6" i="12"/>
  <c r="D20" i="12"/>
  <c r="D21" i="12"/>
  <c r="D22" i="12"/>
  <c r="D34" i="12"/>
  <c r="D42" i="12"/>
  <c r="D50" i="12"/>
  <c r="D58" i="12"/>
  <c r="D66" i="12"/>
  <c r="D74" i="12"/>
  <c r="D82" i="12"/>
  <c r="D91" i="12"/>
  <c r="D107" i="12"/>
  <c r="D123" i="12"/>
  <c r="D141" i="12"/>
  <c r="D158" i="12"/>
  <c r="D288" i="12"/>
  <c r="D8" i="12"/>
  <c r="D12" i="12"/>
  <c r="D16" i="12"/>
  <c r="D268" i="12"/>
  <c r="E41" i="11"/>
  <c r="B21" i="11" s="1"/>
  <c r="B22" i="11" s="1"/>
  <c r="L14" i="11"/>
  <c r="H26" i="11"/>
  <c r="B16" i="11"/>
  <c r="L8" i="9"/>
  <c r="M5" i="9"/>
  <c r="B15" i="9"/>
  <c r="B46" i="9"/>
  <c r="C46" i="9" s="1"/>
  <c r="C12" i="9"/>
  <c r="C52" i="9"/>
  <c r="E1" i="10"/>
  <c r="E2" i="10" s="1"/>
  <c r="A341" i="10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B2" i="10"/>
  <c r="C47" i="9"/>
  <c r="D39" i="9"/>
  <c r="E39" i="9" s="1"/>
  <c r="D31" i="9"/>
  <c r="E31" i="9" s="1"/>
  <c r="D32" i="9"/>
  <c r="E32" i="9" s="1"/>
  <c r="D33" i="9"/>
  <c r="E33" i="9" s="1"/>
  <c r="D34" i="9"/>
  <c r="E34" i="9" s="1"/>
  <c r="D35" i="9"/>
  <c r="E35" i="9" s="1"/>
  <c r="D36" i="9"/>
  <c r="E36" i="9" s="1"/>
  <c r="D37" i="9"/>
  <c r="E37" i="9" s="1"/>
  <c r="D38" i="9"/>
  <c r="E38" i="9" s="1"/>
  <c r="D40" i="9"/>
  <c r="E40" i="9" s="1"/>
  <c r="E30" i="9"/>
  <c r="B6" i="9"/>
  <c r="C48" i="9"/>
  <c r="H9" i="9"/>
  <c r="B7" i="9"/>
  <c r="C6" i="10" s="1"/>
  <c r="C3" i="9"/>
  <c r="B24" i="3" l="1"/>
  <c r="B25" i="3" s="1"/>
  <c r="B17" i="3"/>
  <c r="B21" i="3" s="1"/>
  <c r="H25" i="11"/>
  <c r="B44" i="11"/>
  <c r="H6" i="12"/>
  <c r="J6" i="12"/>
  <c r="E6" i="12"/>
  <c r="B11" i="11"/>
  <c r="L15" i="11"/>
  <c r="B8" i="9"/>
  <c r="L14" i="9"/>
  <c r="D6" i="10"/>
  <c r="H6" i="9"/>
  <c r="D133" i="10"/>
  <c r="D25" i="10"/>
  <c r="D9" i="10"/>
  <c r="D7" i="10"/>
  <c r="D285" i="10"/>
  <c r="D272" i="10"/>
  <c r="D262" i="10"/>
  <c r="D87" i="10"/>
  <c r="D307" i="10"/>
  <c r="D296" i="10"/>
  <c r="D225" i="10"/>
  <c r="D45" i="10"/>
  <c r="D23" i="10"/>
  <c r="D276" i="10"/>
  <c r="D101" i="10"/>
  <c r="D249" i="10"/>
  <c r="D190" i="10"/>
  <c r="D151" i="10"/>
  <c r="D99" i="10"/>
  <c r="D93" i="10"/>
  <c r="D66" i="10"/>
  <c r="D24" i="10"/>
  <c r="D8" i="10"/>
  <c r="D281" i="10"/>
  <c r="D179" i="10"/>
  <c r="D174" i="10"/>
  <c r="D144" i="10"/>
  <c r="D55" i="10"/>
  <c r="D335" i="10"/>
  <c r="D40" i="10"/>
  <c r="D59" i="10"/>
  <c r="D72" i="10"/>
  <c r="D78" i="10"/>
  <c r="D122" i="10"/>
  <c r="D330" i="10"/>
  <c r="D21" i="10"/>
  <c r="D90" i="10"/>
  <c r="D129" i="10"/>
  <c r="D191" i="10"/>
  <c r="D316" i="10"/>
  <c r="D15" i="10"/>
  <c r="D16" i="10"/>
  <c r="D17" i="10"/>
  <c r="D31" i="10"/>
  <c r="D32" i="10"/>
  <c r="D33" i="10"/>
  <c r="D39" i="10"/>
  <c r="D56" i="10"/>
  <c r="D65" i="10"/>
  <c r="D67" i="10"/>
  <c r="D98" i="10"/>
  <c r="D112" i="10"/>
  <c r="D136" i="10"/>
  <c r="D152" i="10"/>
  <c r="D165" i="10"/>
  <c r="D185" i="10"/>
  <c r="D196" i="10"/>
  <c r="D205" i="10"/>
  <c r="D213" i="10"/>
  <c r="D222" i="10"/>
  <c r="D299" i="10"/>
  <c r="D318" i="10"/>
  <c r="D326" i="10"/>
  <c r="D361" i="10"/>
  <c r="D76" i="10"/>
  <c r="D109" i="10"/>
  <c r="D20" i="10"/>
  <c r="D240" i="10"/>
  <c r="D302" i="10"/>
  <c r="D324" i="10"/>
  <c r="G6" i="10"/>
  <c r="D44" i="10"/>
  <c r="D61" i="10"/>
  <c r="D82" i="10"/>
  <c r="D100" i="10"/>
  <c r="D118" i="10"/>
  <c r="D192" i="10"/>
  <c r="D260" i="10"/>
  <c r="D264" i="10"/>
  <c r="D332" i="10"/>
  <c r="D77" i="10"/>
  <c r="D79" i="10"/>
  <c r="D104" i="10"/>
  <c r="D110" i="10"/>
  <c r="D125" i="10"/>
  <c r="D130" i="10"/>
  <c r="D132" i="10"/>
  <c r="D143" i="10"/>
  <c r="D155" i="10"/>
  <c r="D171" i="10"/>
  <c r="D173" i="10"/>
  <c r="D176" i="10"/>
  <c r="D193" i="10"/>
  <c r="D201" i="10"/>
  <c r="D223" i="10"/>
  <c r="D242" i="10"/>
  <c r="D246" i="10"/>
  <c r="D270" i="10"/>
  <c r="D304" i="10"/>
  <c r="D320" i="10"/>
  <c r="D365" i="10"/>
  <c r="D357" i="10"/>
  <c r="D349" i="10"/>
  <c r="D341" i="10"/>
  <c r="D362" i="10"/>
  <c r="D354" i="10"/>
  <c r="D346" i="10"/>
  <c r="D337" i="10"/>
  <c r="D333" i="10"/>
  <c r="D329" i="10"/>
  <c r="D325" i="10"/>
  <c r="D321" i="10"/>
  <c r="D317" i="10"/>
  <c r="D313" i="10"/>
  <c r="D309" i="10"/>
  <c r="D305" i="10"/>
  <c r="D301" i="10"/>
  <c r="D355" i="10"/>
  <c r="D353" i="10"/>
  <c r="D351" i="10"/>
  <c r="D350" i="10"/>
  <c r="D340" i="10"/>
  <c r="D334" i="10"/>
  <c r="D323" i="10"/>
  <c r="D312" i="10"/>
  <c r="D306" i="10"/>
  <c r="D300" i="10"/>
  <c r="D290" i="10"/>
  <c r="D279" i="10"/>
  <c r="D269" i="10"/>
  <c r="D268" i="10"/>
  <c r="D258" i="10"/>
  <c r="D247" i="10"/>
  <c r="D237" i="10"/>
  <c r="D236" i="10"/>
  <c r="D226" i="10"/>
  <c r="D363" i="10"/>
  <c r="D358" i="10"/>
  <c r="D344" i="10"/>
  <c r="D311" i="10"/>
  <c r="D308" i="10"/>
  <c r="D278" i="10"/>
  <c r="D277" i="10"/>
  <c r="D256" i="10"/>
  <c r="D255" i="10"/>
  <c r="D254" i="10"/>
  <c r="D253" i="10"/>
  <c r="D232" i="10"/>
  <c r="D231" i="10"/>
  <c r="D230" i="10"/>
  <c r="D229" i="10"/>
  <c r="D209" i="10"/>
  <c r="D198" i="10"/>
  <c r="D188" i="10"/>
  <c r="D187" i="10"/>
  <c r="D364" i="10"/>
  <c r="D359" i="10"/>
  <c r="D345" i="10"/>
  <c r="D322" i="10"/>
  <c r="D319" i="10"/>
  <c r="D315" i="10"/>
  <c r="D280" i="10"/>
  <c r="D257" i="10"/>
  <c r="D235" i="10"/>
  <c r="D234" i="10"/>
  <c r="D233" i="10"/>
  <c r="D208" i="10"/>
  <c r="D207" i="10"/>
  <c r="D197" i="10"/>
  <c r="D186" i="10"/>
  <c r="D327" i="10"/>
  <c r="D294" i="10"/>
  <c r="D284" i="10"/>
  <c r="D266" i="10"/>
  <c r="D259" i="10"/>
  <c r="D248" i="10"/>
  <c r="D241" i="10"/>
  <c r="D220" i="10"/>
  <c r="D211" i="10"/>
  <c r="D206" i="10"/>
  <c r="D195" i="10"/>
  <c r="D170" i="10"/>
  <c r="D160" i="10"/>
  <c r="D159" i="10"/>
  <c r="D149" i="10"/>
  <c r="D138" i="10"/>
  <c r="D128" i="10"/>
  <c r="D127" i="10"/>
  <c r="D117" i="10"/>
  <c r="D106" i="10"/>
  <c r="D96" i="10"/>
  <c r="D95" i="10"/>
  <c r="D85" i="10"/>
  <c r="D74" i="10"/>
  <c r="D64" i="10"/>
  <c r="D63" i="10"/>
  <c r="D348" i="10"/>
  <c r="D310" i="10"/>
  <c r="D360" i="10"/>
  <c r="D343" i="10"/>
  <c r="D338" i="10"/>
  <c r="D336" i="10"/>
  <c r="D314" i="10"/>
  <c r="D298" i="10"/>
  <c r="D291" i="10"/>
  <c r="D288" i="10"/>
  <c r="D273" i="10"/>
  <c r="D263" i="10"/>
  <c r="D252" i="10"/>
  <c r="D245" i="10"/>
  <c r="D238" i="10"/>
  <c r="D227" i="10"/>
  <c r="D224" i="10"/>
  <c r="D200" i="10"/>
  <c r="D189" i="10"/>
  <c r="D184" i="10"/>
  <c r="D169" i="10"/>
  <c r="D158" i="10"/>
  <c r="D148" i="10"/>
  <c r="D147" i="10"/>
  <c r="D137" i="10"/>
  <c r="D126" i="10"/>
  <c r="D116" i="10"/>
  <c r="D115" i="10"/>
  <c r="D105" i="10"/>
  <c r="D94" i="10"/>
  <c r="D84" i="10"/>
  <c r="D83" i="10"/>
  <c r="D73" i="10"/>
  <c r="D62" i="10"/>
  <c r="D58" i="10"/>
  <c r="D54" i="10"/>
  <c r="D50" i="10"/>
  <c r="D46" i="10"/>
  <c r="D42" i="10"/>
  <c r="D38" i="10"/>
  <c r="D34" i="10"/>
  <c r="D30" i="10"/>
  <c r="D26" i="10"/>
  <c r="D22" i="10"/>
  <c r="D18" i="10"/>
  <c r="D14" i="10"/>
  <c r="D10" i="10"/>
  <c r="C44" i="9"/>
  <c r="H25" i="9" s="1"/>
  <c r="D295" i="10"/>
  <c r="D282" i="10"/>
  <c r="D271" i="10"/>
  <c r="D267" i="10"/>
  <c r="D243" i="10"/>
  <c r="D219" i="10"/>
  <c r="D217" i="10"/>
  <c r="D212" i="10"/>
  <c r="D204" i="10"/>
  <c r="D178" i="10"/>
  <c r="D167" i="10"/>
  <c r="D303" i="10"/>
  <c r="D297" i="10"/>
  <c r="D239" i="10"/>
  <c r="D228" i="10"/>
  <c r="D215" i="10"/>
  <c r="D202" i="10"/>
  <c r="D199" i="10"/>
  <c r="D194" i="10"/>
  <c r="D181" i="10"/>
  <c r="D172" i="10"/>
  <c r="D161" i="10"/>
  <c r="D156" i="10"/>
  <c r="D150" i="10"/>
  <c r="D145" i="10"/>
  <c r="D139" i="10"/>
  <c r="D134" i="10"/>
  <c r="D123" i="10"/>
  <c r="D356" i="10"/>
  <c r="D328" i="10"/>
  <c r="D293" i="10"/>
  <c r="D289" i="10"/>
  <c r="D265" i="10"/>
  <c r="D352" i="10"/>
  <c r="D275" i="10"/>
  <c r="D218" i="10"/>
  <c r="D210" i="10"/>
  <c r="D183" i="10"/>
  <c r="D177" i="10"/>
  <c r="D164" i="10"/>
  <c r="D141" i="10"/>
  <c r="D113" i="10"/>
  <c r="D107" i="10"/>
  <c r="D102" i="10"/>
  <c r="D91" i="10"/>
  <c r="D68" i="10"/>
  <c r="D49" i="10"/>
  <c r="D48" i="10"/>
  <c r="D47" i="10"/>
  <c r="D347" i="10"/>
  <c r="D342" i="10"/>
  <c r="D292" i="10"/>
  <c r="D283" i="10"/>
  <c r="D274" i="10"/>
  <c r="D251" i="10"/>
  <c r="D221" i="10"/>
  <c r="D175" i="10"/>
  <c r="D162" i="10"/>
  <c r="D157" i="10"/>
  <c r="D154" i="10"/>
  <c r="D135" i="10"/>
  <c r="D131" i="10"/>
  <c r="D124" i="10"/>
  <c r="D120" i="10"/>
  <c r="D103" i="10"/>
  <c r="D80" i="10"/>
  <c r="D69" i="10"/>
  <c r="D286" i="10"/>
  <c r="D250" i="10"/>
  <c r="D244" i="10"/>
  <c r="D146" i="10"/>
  <c r="D142" i="10"/>
  <c r="D114" i="10"/>
  <c r="D108" i="10"/>
  <c r="D97" i="10"/>
  <c r="D92" i="10"/>
  <c r="D86" i="10"/>
  <c r="D81" i="10"/>
  <c r="D75" i="10"/>
  <c r="D70" i="10"/>
  <c r="D53" i="10"/>
  <c r="D52" i="10"/>
  <c r="D51" i="10"/>
  <c r="D37" i="10"/>
  <c r="D36" i="10"/>
  <c r="D35" i="10"/>
  <c r="D57" i="10"/>
  <c r="D111" i="10"/>
  <c r="D140" i="10"/>
  <c r="D180" i="10"/>
  <c r="D203" i="10"/>
  <c r="D216" i="10"/>
  <c r="D287" i="10"/>
  <c r="D339" i="10"/>
  <c r="D19" i="10"/>
  <c r="D88" i="10"/>
  <c r="D331" i="10"/>
  <c r="D11" i="10"/>
  <c r="D12" i="10"/>
  <c r="D13" i="10"/>
  <c r="D27" i="10"/>
  <c r="D28" i="10"/>
  <c r="D29" i="10"/>
  <c r="D41" i="10"/>
  <c r="D43" i="10"/>
  <c r="D60" i="10"/>
  <c r="D71" i="10"/>
  <c r="D89" i="10"/>
  <c r="D119" i="10"/>
  <c r="D121" i="10"/>
  <c r="D153" i="10"/>
  <c r="D163" i="10"/>
  <c r="D166" i="10"/>
  <c r="D168" i="10"/>
  <c r="D182" i="10"/>
  <c r="D214" i="10"/>
  <c r="D261" i="10"/>
  <c r="B20" i="3" l="1"/>
  <c r="B45" i="11"/>
  <c r="H18" i="11"/>
  <c r="I6" i="12"/>
  <c r="F6" i="12"/>
  <c r="K6" i="12"/>
  <c r="C7" i="12" s="1"/>
  <c r="B44" i="9"/>
  <c r="C45" i="9"/>
  <c r="J6" i="10"/>
  <c r="H6" i="10"/>
  <c r="E6" i="10"/>
  <c r="B22" i="9"/>
  <c r="B11" i="9"/>
  <c r="L15" i="9"/>
  <c r="B45" i="9" l="1"/>
  <c r="B19" i="9" s="1"/>
  <c r="B20" i="9" s="1"/>
  <c r="H19" i="9" s="1"/>
  <c r="H18" i="9"/>
  <c r="H17" i="11"/>
  <c r="H11" i="11"/>
  <c r="B20" i="11"/>
  <c r="B57" i="11"/>
  <c r="G7" i="12"/>
  <c r="L6" i="12"/>
  <c r="C56" i="9"/>
  <c r="H8" i="9" s="1"/>
  <c r="I6" i="10"/>
  <c r="F6" i="10"/>
  <c r="K6" i="10"/>
  <c r="C7" i="10" s="1"/>
  <c r="B56" i="9" l="1"/>
  <c r="C20" i="11"/>
  <c r="H19" i="11"/>
  <c r="H21" i="11"/>
  <c r="H7" i="12"/>
  <c r="E7" i="12"/>
  <c r="J7" i="12"/>
  <c r="H10" i="9"/>
  <c r="C20" i="9"/>
  <c r="G7" i="10"/>
  <c r="L6" i="10"/>
  <c r="H16" i="9" l="1"/>
  <c r="H11" i="9"/>
  <c r="F7" i="12"/>
  <c r="K7" i="12"/>
  <c r="C8" i="12" s="1"/>
  <c r="I7" i="12"/>
  <c r="H7" i="10"/>
  <c r="E7" i="10"/>
  <c r="J7" i="10"/>
  <c r="H21" i="9" l="1"/>
  <c r="H17" i="9"/>
  <c r="L7" i="12"/>
  <c r="G8" i="12"/>
  <c r="F7" i="10"/>
  <c r="K7" i="10"/>
  <c r="C8" i="10" s="1"/>
  <c r="I7" i="10"/>
  <c r="H8" i="12" l="1"/>
  <c r="E8" i="12"/>
  <c r="J8" i="12"/>
  <c r="L7" i="10"/>
  <c r="G8" i="10"/>
  <c r="F8" i="12" l="1"/>
  <c r="I8" i="12"/>
  <c r="K8" i="12"/>
  <c r="C9" i="12" s="1"/>
  <c r="H8" i="10"/>
  <c r="E8" i="10"/>
  <c r="J8" i="10"/>
  <c r="L8" i="12" l="1"/>
  <c r="G9" i="12"/>
  <c r="F8" i="10"/>
  <c r="I8" i="10"/>
  <c r="K8" i="10"/>
  <c r="C9" i="10" s="1"/>
  <c r="H9" i="12" l="1"/>
  <c r="E9" i="12"/>
  <c r="J9" i="12"/>
  <c r="G9" i="10"/>
  <c r="L8" i="10"/>
  <c r="F9" i="12" l="1"/>
  <c r="I9" i="12"/>
  <c r="K9" i="12"/>
  <c r="C10" i="12" s="1"/>
  <c r="H9" i="10"/>
  <c r="E9" i="10"/>
  <c r="J9" i="10"/>
  <c r="L9" i="12" l="1"/>
  <c r="G10" i="12"/>
  <c r="F9" i="10"/>
  <c r="K9" i="10"/>
  <c r="C10" i="10" s="1"/>
  <c r="I9" i="10"/>
  <c r="H10" i="12" l="1"/>
  <c r="E10" i="12"/>
  <c r="J10" i="12"/>
  <c r="L9" i="10"/>
  <c r="G10" i="10"/>
  <c r="F10" i="12" l="1"/>
  <c r="I10" i="12"/>
  <c r="K10" i="12"/>
  <c r="C11" i="12" s="1"/>
  <c r="H10" i="10"/>
  <c r="E10" i="10"/>
  <c r="J10" i="10"/>
  <c r="L10" i="12" l="1"/>
  <c r="G11" i="12"/>
  <c r="F10" i="10"/>
  <c r="K10" i="10"/>
  <c r="C11" i="10" s="1"/>
  <c r="I10" i="10"/>
  <c r="H11" i="12" l="1"/>
  <c r="E11" i="12"/>
  <c r="J11" i="12"/>
  <c r="G11" i="10"/>
  <c r="L10" i="10"/>
  <c r="F11" i="12" l="1"/>
  <c r="I11" i="12"/>
  <c r="K11" i="12"/>
  <c r="C12" i="12" s="1"/>
  <c r="H11" i="10"/>
  <c r="E11" i="10"/>
  <c r="J11" i="10"/>
  <c r="L11" i="12" l="1"/>
  <c r="G12" i="12"/>
  <c r="F11" i="10"/>
  <c r="K11" i="10"/>
  <c r="C12" i="10" s="1"/>
  <c r="I11" i="10"/>
  <c r="H12" i="12" l="1"/>
  <c r="E12" i="12"/>
  <c r="J12" i="12"/>
  <c r="G12" i="10"/>
  <c r="L11" i="10"/>
  <c r="F12" i="12" l="1"/>
  <c r="I12" i="12"/>
  <c r="K12" i="12"/>
  <c r="C13" i="12" s="1"/>
  <c r="H12" i="10"/>
  <c r="E12" i="10"/>
  <c r="J12" i="10"/>
  <c r="G13" i="12" l="1"/>
  <c r="L12" i="12"/>
  <c r="F12" i="10"/>
  <c r="I12" i="10"/>
  <c r="K12" i="10"/>
  <c r="C13" i="10" s="1"/>
  <c r="H13" i="12" l="1"/>
  <c r="E13" i="12"/>
  <c r="J13" i="12"/>
  <c r="G13" i="10"/>
  <c r="L12" i="10"/>
  <c r="F13" i="12" l="1"/>
  <c r="K13" i="12"/>
  <c r="C14" i="12" s="1"/>
  <c r="I13" i="12"/>
  <c r="H13" i="10"/>
  <c r="E13" i="10"/>
  <c r="J13" i="10"/>
  <c r="L13" i="12" l="1"/>
  <c r="G14" i="12"/>
  <c r="F13" i="10"/>
  <c r="I13" i="10"/>
  <c r="K13" i="10"/>
  <c r="C14" i="10" s="1"/>
  <c r="H14" i="12" l="1"/>
  <c r="E14" i="12"/>
  <c r="J14" i="12"/>
  <c r="G14" i="10"/>
  <c r="L13" i="10"/>
  <c r="F14" i="12" l="1"/>
  <c r="I14" i="12"/>
  <c r="K14" i="12"/>
  <c r="C15" i="12" s="1"/>
  <c r="H14" i="10"/>
  <c r="E14" i="10"/>
  <c r="J14" i="10"/>
  <c r="L14" i="12" l="1"/>
  <c r="G15" i="12"/>
  <c r="F14" i="10"/>
  <c r="K14" i="10"/>
  <c r="C15" i="10" s="1"/>
  <c r="I14" i="10"/>
  <c r="H15" i="12" l="1"/>
  <c r="E15" i="12"/>
  <c r="J15" i="12"/>
  <c r="L14" i="10"/>
  <c r="G15" i="10"/>
  <c r="F15" i="12" l="1"/>
  <c r="I15" i="12"/>
  <c r="K15" i="12"/>
  <c r="C16" i="12" s="1"/>
  <c r="H15" i="10"/>
  <c r="E15" i="10"/>
  <c r="J15" i="10"/>
  <c r="G16" i="12" l="1"/>
  <c r="L15" i="12"/>
  <c r="F15" i="10"/>
  <c r="K15" i="10"/>
  <c r="C16" i="10" s="1"/>
  <c r="I15" i="10"/>
  <c r="H16" i="12" l="1"/>
  <c r="E16" i="12"/>
  <c r="J16" i="12"/>
  <c r="L15" i="10"/>
  <c r="G16" i="10"/>
  <c r="F16" i="12" l="1"/>
  <c r="K16" i="12"/>
  <c r="C17" i="12" s="1"/>
  <c r="I16" i="12"/>
  <c r="H16" i="10"/>
  <c r="E16" i="10"/>
  <c r="J16" i="10"/>
  <c r="G17" i="12" l="1"/>
  <c r="L16" i="12"/>
  <c r="F16" i="10"/>
  <c r="K16" i="10"/>
  <c r="C17" i="10" s="1"/>
  <c r="I16" i="10"/>
  <c r="H17" i="12" l="1"/>
  <c r="E17" i="12"/>
  <c r="J17" i="12"/>
  <c r="G17" i="10"/>
  <c r="L16" i="10"/>
  <c r="F17" i="12" l="1"/>
  <c r="K17" i="12"/>
  <c r="C18" i="12" s="1"/>
  <c r="I17" i="12"/>
  <c r="H17" i="10"/>
  <c r="E17" i="10"/>
  <c r="J17" i="10"/>
  <c r="H22" i="11" l="1"/>
  <c r="H20" i="11" s="1"/>
  <c r="H22" i="9"/>
  <c r="H20" i="9" s="1"/>
  <c r="G18" i="12"/>
  <c r="L17" i="12"/>
  <c r="F17" i="10"/>
  <c r="I17" i="10"/>
  <c r="K17" i="10"/>
  <c r="C18" i="10" s="1"/>
  <c r="H18" i="12" l="1"/>
  <c r="E18" i="12"/>
  <c r="J18" i="12"/>
  <c r="L17" i="10"/>
  <c r="G18" i="10"/>
  <c r="F18" i="12" l="1"/>
  <c r="K18" i="12"/>
  <c r="C19" i="12" s="1"/>
  <c r="I18" i="12"/>
  <c r="H18" i="10"/>
  <c r="E18" i="10"/>
  <c r="J18" i="10"/>
  <c r="L18" i="12" l="1"/>
  <c r="G19" i="12"/>
  <c r="F18" i="10"/>
  <c r="K18" i="10"/>
  <c r="C19" i="10" s="1"/>
  <c r="I18" i="10"/>
  <c r="H19" i="12" l="1"/>
  <c r="E19" i="12"/>
  <c r="J19" i="12"/>
  <c r="G19" i="10"/>
  <c r="L18" i="10"/>
  <c r="F19" i="12" l="1"/>
  <c r="I19" i="12"/>
  <c r="K19" i="12"/>
  <c r="C20" i="12" s="1"/>
  <c r="H19" i="10"/>
  <c r="E19" i="10"/>
  <c r="J19" i="10"/>
  <c r="G20" i="12" l="1"/>
  <c r="L19" i="12"/>
  <c r="F19" i="10"/>
  <c r="I19" i="10"/>
  <c r="K19" i="10"/>
  <c r="C20" i="10" s="1"/>
  <c r="H20" i="12" l="1"/>
  <c r="E20" i="12"/>
  <c r="J20" i="12"/>
  <c r="G20" i="10"/>
  <c r="L19" i="10"/>
  <c r="F20" i="12" l="1"/>
  <c r="K20" i="12"/>
  <c r="C21" i="12" s="1"/>
  <c r="I20" i="12"/>
  <c r="H20" i="10"/>
  <c r="E20" i="10"/>
  <c r="J20" i="10"/>
  <c r="L20" i="12" l="1"/>
  <c r="G21" i="12"/>
  <c r="F20" i="10"/>
  <c r="I20" i="10"/>
  <c r="K20" i="10"/>
  <c r="C21" i="10" s="1"/>
  <c r="H21" i="12" l="1"/>
  <c r="E21" i="12"/>
  <c r="J21" i="12"/>
  <c r="G21" i="10"/>
  <c r="L20" i="10"/>
  <c r="F21" i="12" l="1"/>
  <c r="I21" i="12"/>
  <c r="K21" i="12"/>
  <c r="C22" i="12" s="1"/>
  <c r="H21" i="10"/>
  <c r="E21" i="10"/>
  <c r="J21" i="10"/>
  <c r="L21" i="12" l="1"/>
  <c r="G22" i="12"/>
  <c r="F21" i="10"/>
  <c r="K21" i="10"/>
  <c r="C22" i="10" s="1"/>
  <c r="I21" i="10"/>
  <c r="H22" i="12" l="1"/>
  <c r="E22" i="12"/>
  <c r="J22" i="12"/>
  <c r="L21" i="10"/>
  <c r="G22" i="10"/>
  <c r="F22" i="12" l="1"/>
  <c r="I22" i="12"/>
  <c r="K22" i="12"/>
  <c r="C23" i="12" s="1"/>
  <c r="H22" i="10"/>
  <c r="E22" i="10"/>
  <c r="J22" i="10"/>
  <c r="G23" i="12" l="1"/>
  <c r="L22" i="12"/>
  <c r="F22" i="10"/>
  <c r="K22" i="10"/>
  <c r="C23" i="10" s="1"/>
  <c r="I22" i="10"/>
  <c r="H23" i="12" l="1"/>
  <c r="E23" i="12"/>
  <c r="J23" i="12"/>
  <c r="G23" i="10"/>
  <c r="L22" i="10"/>
  <c r="F23" i="12" l="1"/>
  <c r="K23" i="12"/>
  <c r="C24" i="12" s="1"/>
  <c r="I23" i="12"/>
  <c r="H23" i="10"/>
  <c r="E23" i="10"/>
  <c r="J23" i="10"/>
  <c r="G24" i="12" l="1"/>
  <c r="L23" i="12"/>
  <c r="F23" i="10"/>
  <c r="I23" i="10"/>
  <c r="K23" i="10"/>
  <c r="C24" i="10" s="1"/>
  <c r="H24" i="12" l="1"/>
  <c r="E24" i="12"/>
  <c r="J24" i="12"/>
  <c r="G24" i="10"/>
  <c r="L23" i="10"/>
  <c r="F24" i="12" l="1"/>
  <c r="K24" i="12"/>
  <c r="C25" i="12" s="1"/>
  <c r="I24" i="12"/>
  <c r="H24" i="10"/>
  <c r="E24" i="10"/>
  <c r="J24" i="10"/>
  <c r="G25" i="12" l="1"/>
  <c r="L24" i="12"/>
  <c r="F24" i="10"/>
  <c r="K24" i="10"/>
  <c r="C25" i="10" s="1"/>
  <c r="I24" i="10"/>
  <c r="H25" i="12" l="1"/>
  <c r="E25" i="12"/>
  <c r="J25" i="12"/>
  <c r="L24" i="10"/>
  <c r="G25" i="10"/>
  <c r="F25" i="12" l="1"/>
  <c r="K25" i="12"/>
  <c r="C26" i="12" s="1"/>
  <c r="I25" i="12"/>
  <c r="H25" i="10"/>
  <c r="E25" i="10"/>
  <c r="J25" i="10"/>
  <c r="L25" i="12" l="1"/>
  <c r="G26" i="12"/>
  <c r="F25" i="10"/>
  <c r="K25" i="10"/>
  <c r="C26" i="10" s="1"/>
  <c r="I25" i="10"/>
  <c r="H26" i="12" l="1"/>
  <c r="E26" i="12"/>
  <c r="J26" i="12"/>
  <c r="L25" i="10"/>
  <c r="G26" i="10"/>
  <c r="F26" i="12" l="1"/>
  <c r="I26" i="12"/>
  <c r="K26" i="12"/>
  <c r="C27" i="12" s="1"/>
  <c r="H26" i="10"/>
  <c r="E26" i="10"/>
  <c r="J26" i="10"/>
  <c r="G27" i="12" l="1"/>
  <c r="L26" i="12"/>
  <c r="F26" i="10"/>
  <c r="I26" i="10"/>
  <c r="K26" i="10"/>
  <c r="C27" i="10" s="1"/>
  <c r="H27" i="12" l="1"/>
  <c r="E27" i="12"/>
  <c r="J27" i="12"/>
  <c r="L26" i="10"/>
  <c r="G27" i="10"/>
  <c r="F27" i="12" l="1"/>
  <c r="I27" i="12"/>
  <c r="K27" i="12"/>
  <c r="C28" i="12" s="1"/>
  <c r="H27" i="10"/>
  <c r="E27" i="10"/>
  <c r="J27" i="10"/>
  <c r="L27" i="12" l="1"/>
  <c r="G28" i="12"/>
  <c r="F27" i="10"/>
  <c r="I27" i="10"/>
  <c r="K27" i="10"/>
  <c r="C28" i="10" s="1"/>
  <c r="H28" i="12" l="1"/>
  <c r="E28" i="12"/>
  <c r="J28" i="12"/>
  <c r="G28" i="10"/>
  <c r="L27" i="10"/>
  <c r="F28" i="12" l="1"/>
  <c r="I28" i="12"/>
  <c r="K28" i="12"/>
  <c r="C29" i="12" s="1"/>
  <c r="H28" i="10"/>
  <c r="E28" i="10"/>
  <c r="J28" i="10"/>
  <c r="G29" i="12" l="1"/>
  <c r="L28" i="12"/>
  <c r="F28" i="10"/>
  <c r="K28" i="10"/>
  <c r="C29" i="10" s="1"/>
  <c r="I28" i="10"/>
  <c r="H29" i="12" l="1"/>
  <c r="E29" i="12"/>
  <c r="J29" i="12"/>
  <c r="L28" i="10"/>
  <c r="G29" i="10"/>
  <c r="F29" i="12" l="1"/>
  <c r="I29" i="12"/>
  <c r="K29" i="12"/>
  <c r="C30" i="12" s="1"/>
  <c r="H29" i="10"/>
  <c r="E29" i="10"/>
  <c r="J29" i="10"/>
  <c r="L29" i="12" l="1"/>
  <c r="G30" i="12"/>
  <c r="F29" i="10"/>
  <c r="I29" i="10"/>
  <c r="K29" i="10"/>
  <c r="C30" i="10" s="1"/>
  <c r="H30" i="12" l="1"/>
  <c r="E30" i="12"/>
  <c r="J30" i="12"/>
  <c r="G30" i="10"/>
  <c r="L29" i="10"/>
  <c r="F30" i="12" l="1"/>
  <c r="K30" i="12"/>
  <c r="C31" i="12" s="1"/>
  <c r="I30" i="12"/>
  <c r="H30" i="10"/>
  <c r="E30" i="10"/>
  <c r="J30" i="10"/>
  <c r="L30" i="12" l="1"/>
  <c r="G31" i="12"/>
  <c r="F30" i="10"/>
  <c r="K30" i="10"/>
  <c r="C31" i="10" s="1"/>
  <c r="I30" i="10"/>
  <c r="H31" i="12" l="1"/>
  <c r="E31" i="12"/>
  <c r="J31" i="12"/>
  <c r="L30" i="10"/>
  <c r="G31" i="10"/>
  <c r="F31" i="12" l="1"/>
  <c r="K31" i="12"/>
  <c r="C32" i="12" s="1"/>
  <c r="I31" i="12"/>
  <c r="H31" i="10"/>
  <c r="E31" i="10"/>
  <c r="J31" i="10"/>
  <c r="G32" i="12" l="1"/>
  <c r="L31" i="12"/>
  <c r="F31" i="10"/>
  <c r="I31" i="10"/>
  <c r="K31" i="10"/>
  <c r="C32" i="10" s="1"/>
  <c r="H32" i="12" l="1"/>
  <c r="E32" i="12"/>
  <c r="J32" i="12"/>
  <c r="G32" i="10"/>
  <c r="L31" i="10"/>
  <c r="F32" i="12" l="1"/>
  <c r="K32" i="12"/>
  <c r="C33" i="12" s="1"/>
  <c r="I32" i="12"/>
  <c r="H32" i="10"/>
  <c r="E32" i="10"/>
  <c r="J32" i="10"/>
  <c r="G33" i="12" l="1"/>
  <c r="L32" i="12"/>
  <c r="F32" i="10"/>
  <c r="K32" i="10"/>
  <c r="C33" i="10" s="1"/>
  <c r="I32" i="10"/>
  <c r="H33" i="12" l="1"/>
  <c r="E33" i="12"/>
  <c r="J33" i="12"/>
  <c r="L32" i="10"/>
  <c r="G33" i="10"/>
  <c r="F33" i="12" l="1"/>
  <c r="I33" i="12"/>
  <c r="K33" i="12"/>
  <c r="C34" i="12" s="1"/>
  <c r="H33" i="10"/>
  <c r="E33" i="10"/>
  <c r="J33" i="10"/>
  <c r="G34" i="12" l="1"/>
  <c r="L33" i="12"/>
  <c r="F33" i="10"/>
  <c r="I33" i="10"/>
  <c r="K33" i="10"/>
  <c r="C34" i="10" s="1"/>
  <c r="H34" i="12" l="1"/>
  <c r="E34" i="12"/>
  <c r="J34" i="12"/>
  <c r="G34" i="10"/>
  <c r="L33" i="10"/>
  <c r="F34" i="12" l="1"/>
  <c r="K34" i="12"/>
  <c r="C35" i="12" s="1"/>
  <c r="I34" i="12"/>
  <c r="H34" i="10"/>
  <c r="E34" i="10"/>
  <c r="J34" i="10"/>
  <c r="L34" i="12" l="1"/>
  <c r="G35" i="12"/>
  <c r="F34" i="10"/>
  <c r="K34" i="10"/>
  <c r="C35" i="10" s="1"/>
  <c r="I34" i="10"/>
  <c r="H35" i="12" l="1"/>
  <c r="E35" i="12"/>
  <c r="J35" i="12"/>
  <c r="L34" i="10"/>
  <c r="G35" i="10"/>
  <c r="F35" i="12" l="1"/>
  <c r="K35" i="12"/>
  <c r="C36" i="12" s="1"/>
  <c r="I35" i="12"/>
  <c r="H35" i="10"/>
  <c r="E35" i="10"/>
  <c r="J35" i="10"/>
  <c r="L35" i="12" l="1"/>
  <c r="G36" i="12"/>
  <c r="F35" i="10"/>
  <c r="I35" i="10"/>
  <c r="K35" i="10"/>
  <c r="C36" i="10" s="1"/>
  <c r="H36" i="12" l="1"/>
  <c r="E36" i="12"/>
  <c r="J36" i="12"/>
  <c r="G36" i="10"/>
  <c r="L35" i="10"/>
  <c r="F36" i="12" l="1"/>
  <c r="I36" i="12"/>
  <c r="K36" i="12"/>
  <c r="C37" i="12" s="1"/>
  <c r="H36" i="10"/>
  <c r="E36" i="10"/>
  <c r="J36" i="10"/>
  <c r="G37" i="12" l="1"/>
  <c r="L36" i="12"/>
  <c r="F36" i="10"/>
  <c r="K36" i="10"/>
  <c r="C37" i="10" s="1"/>
  <c r="I36" i="10"/>
  <c r="H37" i="12" l="1"/>
  <c r="E37" i="12"/>
  <c r="J37" i="12"/>
  <c r="L36" i="10"/>
  <c r="G37" i="10"/>
  <c r="F37" i="12" l="1"/>
  <c r="I37" i="12"/>
  <c r="K37" i="12"/>
  <c r="C38" i="12" s="1"/>
  <c r="H37" i="10"/>
  <c r="E37" i="10"/>
  <c r="J37" i="10"/>
  <c r="G38" i="12" l="1"/>
  <c r="L37" i="12"/>
  <c r="F37" i="10"/>
  <c r="I37" i="10"/>
  <c r="K37" i="10"/>
  <c r="C38" i="10" s="1"/>
  <c r="H38" i="12" l="1"/>
  <c r="E38" i="12"/>
  <c r="J38" i="12"/>
  <c r="G38" i="10"/>
  <c r="L37" i="10"/>
  <c r="F38" i="12" l="1"/>
  <c r="K38" i="12"/>
  <c r="C39" i="12" s="1"/>
  <c r="I38" i="12"/>
  <c r="H38" i="10"/>
  <c r="E38" i="10"/>
  <c r="J38" i="10"/>
  <c r="G39" i="12" l="1"/>
  <c r="L38" i="12"/>
  <c r="F38" i="10"/>
  <c r="K38" i="10"/>
  <c r="C39" i="10" s="1"/>
  <c r="I38" i="10"/>
  <c r="H39" i="12" l="1"/>
  <c r="E39" i="12"/>
  <c r="J39" i="12"/>
  <c r="L38" i="10"/>
  <c r="G39" i="10"/>
  <c r="F39" i="12" l="1"/>
  <c r="I39" i="12"/>
  <c r="K39" i="12"/>
  <c r="C40" i="12" s="1"/>
  <c r="H39" i="10"/>
  <c r="E39" i="10"/>
  <c r="J39" i="10"/>
  <c r="G40" i="12" l="1"/>
  <c r="L39" i="12"/>
  <c r="F39" i="10"/>
  <c r="I39" i="10"/>
  <c r="K39" i="10"/>
  <c r="C40" i="10" s="1"/>
  <c r="H40" i="12" l="1"/>
  <c r="E40" i="12"/>
  <c r="J40" i="12"/>
  <c r="G40" i="10"/>
  <c r="L39" i="10"/>
  <c r="F40" i="12" l="1"/>
  <c r="K40" i="12"/>
  <c r="C41" i="12" s="1"/>
  <c r="I40" i="12"/>
  <c r="H40" i="10"/>
  <c r="E40" i="10"/>
  <c r="J40" i="10"/>
  <c r="G41" i="12" l="1"/>
  <c r="L40" i="12"/>
  <c r="F40" i="10"/>
  <c r="K40" i="10"/>
  <c r="C41" i="10" s="1"/>
  <c r="I40" i="10"/>
  <c r="H41" i="12" l="1"/>
  <c r="E41" i="12"/>
  <c r="J41" i="12"/>
  <c r="L40" i="10"/>
  <c r="G41" i="10"/>
  <c r="F41" i="12" l="1"/>
  <c r="K41" i="12"/>
  <c r="C42" i="12" s="1"/>
  <c r="I41" i="12"/>
  <c r="H41" i="10"/>
  <c r="E41" i="10"/>
  <c r="J41" i="10"/>
  <c r="L41" i="12" l="1"/>
  <c r="G42" i="12"/>
  <c r="F41" i="10"/>
  <c r="I41" i="10"/>
  <c r="K41" i="10"/>
  <c r="C42" i="10" s="1"/>
  <c r="H42" i="12" l="1"/>
  <c r="E42" i="12"/>
  <c r="J42" i="12"/>
  <c r="G42" i="10"/>
  <c r="L41" i="10"/>
  <c r="F42" i="12" l="1"/>
  <c r="I42" i="12"/>
  <c r="K42" i="12"/>
  <c r="C43" i="12" s="1"/>
  <c r="H42" i="10"/>
  <c r="E42" i="10"/>
  <c r="J42" i="10"/>
  <c r="G43" i="12" l="1"/>
  <c r="L42" i="12"/>
  <c r="F42" i="10"/>
  <c r="K42" i="10"/>
  <c r="C43" i="10" s="1"/>
  <c r="I42" i="10"/>
  <c r="H43" i="12" l="1"/>
  <c r="E43" i="12"/>
  <c r="J43" i="12"/>
  <c r="L42" i="10"/>
  <c r="G43" i="10"/>
  <c r="F43" i="12" l="1"/>
  <c r="K43" i="12"/>
  <c r="C44" i="12" s="1"/>
  <c r="I43" i="12"/>
  <c r="H43" i="10"/>
  <c r="E43" i="10"/>
  <c r="J43" i="10"/>
  <c r="G44" i="12" l="1"/>
  <c r="L43" i="12"/>
  <c r="F43" i="10"/>
  <c r="I43" i="10"/>
  <c r="K43" i="10"/>
  <c r="C44" i="10" s="1"/>
  <c r="H44" i="12" l="1"/>
  <c r="E44" i="12"/>
  <c r="J44" i="12"/>
  <c r="G44" i="10"/>
  <c r="L43" i="10"/>
  <c r="F44" i="12" l="1"/>
  <c r="K44" i="12"/>
  <c r="C45" i="12" s="1"/>
  <c r="I44" i="12"/>
  <c r="H44" i="10"/>
  <c r="E44" i="10"/>
  <c r="J44" i="10"/>
  <c r="L44" i="12" l="1"/>
  <c r="G45" i="12"/>
  <c r="F44" i="10"/>
  <c r="K44" i="10"/>
  <c r="C45" i="10" s="1"/>
  <c r="I44" i="10"/>
  <c r="H45" i="12" l="1"/>
  <c r="E45" i="12"/>
  <c r="J45" i="12"/>
  <c r="L44" i="10"/>
  <c r="G45" i="10"/>
  <c r="F45" i="12" l="1"/>
  <c r="I45" i="12"/>
  <c r="K45" i="12"/>
  <c r="C46" i="12" s="1"/>
  <c r="H45" i="10"/>
  <c r="E45" i="10"/>
  <c r="J45" i="10"/>
  <c r="G46" i="12" l="1"/>
  <c r="L45" i="12"/>
  <c r="F45" i="10"/>
  <c r="I45" i="10"/>
  <c r="K45" i="10"/>
  <c r="C46" i="10" s="1"/>
  <c r="H46" i="12" l="1"/>
  <c r="E46" i="12"/>
  <c r="J46" i="12"/>
  <c r="G46" i="10"/>
  <c r="L45" i="10"/>
  <c r="F46" i="12" l="1"/>
  <c r="K46" i="12"/>
  <c r="C47" i="12" s="1"/>
  <c r="I46" i="12"/>
  <c r="H46" i="10"/>
  <c r="E46" i="10"/>
  <c r="J46" i="10"/>
  <c r="G47" i="12" l="1"/>
  <c r="L46" i="12"/>
  <c r="F46" i="10"/>
  <c r="K46" i="10"/>
  <c r="C47" i="10" s="1"/>
  <c r="I46" i="10"/>
  <c r="H47" i="12" l="1"/>
  <c r="E47" i="12"/>
  <c r="J47" i="12"/>
  <c r="L46" i="10"/>
  <c r="G47" i="10"/>
  <c r="F47" i="12" l="1"/>
  <c r="I47" i="12"/>
  <c r="K47" i="12"/>
  <c r="C48" i="12" s="1"/>
  <c r="H47" i="10"/>
  <c r="E47" i="10"/>
  <c r="J47" i="10"/>
  <c r="L47" i="12" l="1"/>
  <c r="G48" i="12"/>
  <c r="F47" i="10"/>
  <c r="I47" i="10"/>
  <c r="K47" i="10"/>
  <c r="C48" i="10" s="1"/>
  <c r="H48" i="12" l="1"/>
  <c r="E48" i="12"/>
  <c r="J48" i="12"/>
  <c r="G48" i="10"/>
  <c r="L47" i="10"/>
  <c r="F48" i="12" l="1"/>
  <c r="I48" i="12"/>
  <c r="K48" i="12"/>
  <c r="C49" i="12" s="1"/>
  <c r="H48" i="10"/>
  <c r="E48" i="10"/>
  <c r="J48" i="10"/>
  <c r="L48" i="12" l="1"/>
  <c r="G49" i="12"/>
  <c r="F48" i="10"/>
  <c r="K48" i="10"/>
  <c r="C49" i="10" s="1"/>
  <c r="I48" i="10"/>
  <c r="H49" i="12" l="1"/>
  <c r="E49" i="12"/>
  <c r="J49" i="12"/>
  <c r="L48" i="10"/>
  <c r="G49" i="10"/>
  <c r="F49" i="12" l="1"/>
  <c r="I49" i="12"/>
  <c r="K49" i="12"/>
  <c r="C50" i="12" s="1"/>
  <c r="H49" i="10"/>
  <c r="E49" i="10"/>
  <c r="J49" i="10"/>
  <c r="L49" i="12" l="1"/>
  <c r="G50" i="12"/>
  <c r="F49" i="10"/>
  <c r="I49" i="10"/>
  <c r="K49" i="10"/>
  <c r="C50" i="10" s="1"/>
  <c r="H50" i="12" l="1"/>
  <c r="E50" i="12"/>
  <c r="J50" i="12"/>
  <c r="L49" i="10"/>
  <c r="G50" i="10"/>
  <c r="F50" i="12" l="1"/>
  <c r="I50" i="12"/>
  <c r="K50" i="12"/>
  <c r="C51" i="12" s="1"/>
  <c r="H50" i="10"/>
  <c r="E50" i="10"/>
  <c r="J50" i="10"/>
  <c r="L50" i="12" l="1"/>
  <c r="G51" i="12"/>
  <c r="F50" i="10"/>
  <c r="K50" i="10"/>
  <c r="C51" i="10" s="1"/>
  <c r="I50" i="10"/>
  <c r="H51" i="12" l="1"/>
  <c r="E51" i="12"/>
  <c r="J51" i="12"/>
  <c r="L50" i="10"/>
  <c r="G51" i="10"/>
  <c r="F51" i="12" l="1"/>
  <c r="I51" i="12"/>
  <c r="K51" i="12"/>
  <c r="C52" i="12" s="1"/>
  <c r="H51" i="10"/>
  <c r="E51" i="10"/>
  <c r="J51" i="10"/>
  <c r="L51" i="12" l="1"/>
  <c r="G52" i="12"/>
  <c r="F51" i="10"/>
  <c r="I51" i="10"/>
  <c r="K51" i="10"/>
  <c r="C52" i="10" s="1"/>
  <c r="H52" i="12" l="1"/>
  <c r="E52" i="12"/>
  <c r="J52" i="12"/>
  <c r="G52" i="10"/>
  <c r="L51" i="10"/>
  <c r="F52" i="12" l="1"/>
  <c r="I52" i="12"/>
  <c r="K52" i="12"/>
  <c r="C53" i="12" s="1"/>
  <c r="H52" i="10"/>
  <c r="E52" i="10"/>
  <c r="J52" i="10"/>
  <c r="L52" i="12" l="1"/>
  <c r="G53" i="12"/>
  <c r="F52" i="10"/>
  <c r="K52" i="10"/>
  <c r="C53" i="10" s="1"/>
  <c r="I52" i="10"/>
  <c r="H53" i="12" l="1"/>
  <c r="E53" i="12"/>
  <c r="J53" i="12"/>
  <c r="L52" i="10"/>
  <c r="G53" i="10"/>
  <c r="F53" i="12" l="1"/>
  <c r="I53" i="12"/>
  <c r="K53" i="12"/>
  <c r="C54" i="12" s="1"/>
  <c r="H53" i="10"/>
  <c r="E53" i="10"/>
  <c r="J53" i="10"/>
  <c r="L53" i="12" l="1"/>
  <c r="G54" i="12"/>
  <c r="F53" i="10"/>
  <c r="I53" i="10"/>
  <c r="K53" i="10"/>
  <c r="C54" i="10" s="1"/>
  <c r="H54" i="12" l="1"/>
  <c r="E54" i="12"/>
  <c r="J54" i="12"/>
  <c r="G54" i="10"/>
  <c r="L53" i="10"/>
  <c r="F54" i="12" l="1"/>
  <c r="I54" i="12"/>
  <c r="K54" i="12"/>
  <c r="C55" i="12" s="1"/>
  <c r="H54" i="10"/>
  <c r="E54" i="10"/>
  <c r="J54" i="10"/>
  <c r="G55" i="12" l="1"/>
  <c r="L54" i="12"/>
  <c r="F54" i="10"/>
  <c r="K54" i="10"/>
  <c r="C55" i="10" s="1"/>
  <c r="I54" i="10"/>
  <c r="H55" i="12" l="1"/>
  <c r="E55" i="12"/>
  <c r="J55" i="12"/>
  <c r="L54" i="10"/>
  <c r="G55" i="10"/>
  <c r="F55" i="12" l="1"/>
  <c r="K55" i="12"/>
  <c r="C56" i="12" s="1"/>
  <c r="I55" i="12"/>
  <c r="H55" i="10"/>
  <c r="E55" i="10"/>
  <c r="J55" i="10"/>
  <c r="G56" i="12" l="1"/>
  <c r="L55" i="12"/>
  <c r="F55" i="10"/>
  <c r="I55" i="10"/>
  <c r="K55" i="10"/>
  <c r="C56" i="10" s="1"/>
  <c r="H56" i="12" l="1"/>
  <c r="E56" i="12"/>
  <c r="J56" i="12"/>
  <c r="G56" i="10"/>
  <c r="L55" i="10"/>
  <c r="F56" i="12" l="1"/>
  <c r="K56" i="12"/>
  <c r="C57" i="12" s="1"/>
  <c r="I56" i="12"/>
  <c r="H56" i="10"/>
  <c r="E56" i="10"/>
  <c r="J56" i="10"/>
  <c r="L56" i="12" l="1"/>
  <c r="G57" i="12"/>
  <c r="F56" i="10"/>
  <c r="K56" i="10"/>
  <c r="C57" i="10" s="1"/>
  <c r="I56" i="10"/>
  <c r="H57" i="12" l="1"/>
  <c r="E57" i="12"/>
  <c r="J57" i="12"/>
  <c r="L56" i="10"/>
  <c r="G57" i="10"/>
  <c r="F57" i="12" l="1"/>
  <c r="I57" i="12"/>
  <c r="K57" i="12"/>
  <c r="C58" i="12" s="1"/>
  <c r="H57" i="10"/>
  <c r="E57" i="10"/>
  <c r="J57" i="10"/>
  <c r="L57" i="12" l="1"/>
  <c r="G58" i="12"/>
  <c r="F57" i="10"/>
  <c r="I57" i="10"/>
  <c r="K57" i="10"/>
  <c r="C58" i="10" s="1"/>
  <c r="H58" i="12" l="1"/>
  <c r="E58" i="12"/>
  <c r="J58" i="12"/>
  <c r="G58" i="10"/>
  <c r="L57" i="10"/>
  <c r="F58" i="12" l="1"/>
  <c r="I58" i="12"/>
  <c r="K58" i="12"/>
  <c r="C59" i="12" s="1"/>
  <c r="H58" i="10"/>
  <c r="E58" i="10"/>
  <c r="J58" i="10"/>
  <c r="G59" i="12" l="1"/>
  <c r="L58" i="12"/>
  <c r="F58" i="10"/>
  <c r="K58" i="10"/>
  <c r="C59" i="10" s="1"/>
  <c r="I58" i="10"/>
  <c r="H59" i="12" l="1"/>
  <c r="E59" i="12"/>
  <c r="J59" i="12"/>
  <c r="L58" i="10"/>
  <c r="G59" i="10"/>
  <c r="F59" i="12" l="1"/>
  <c r="K59" i="12"/>
  <c r="C60" i="12" s="1"/>
  <c r="I59" i="12"/>
  <c r="H59" i="10"/>
  <c r="E59" i="10"/>
  <c r="J59" i="10"/>
  <c r="G60" i="12" l="1"/>
  <c r="L59" i="12"/>
  <c r="F59" i="10"/>
  <c r="I59" i="10"/>
  <c r="K59" i="10"/>
  <c r="C60" i="10" s="1"/>
  <c r="H60" i="12" l="1"/>
  <c r="E60" i="12"/>
  <c r="J60" i="12"/>
  <c r="G60" i="10"/>
  <c r="L59" i="10"/>
  <c r="F60" i="12" l="1"/>
  <c r="K60" i="12"/>
  <c r="C61" i="12" s="1"/>
  <c r="I60" i="12"/>
  <c r="H60" i="10"/>
  <c r="E60" i="10"/>
  <c r="J60" i="10"/>
  <c r="G61" i="12" l="1"/>
  <c r="L60" i="12"/>
  <c r="F60" i="10"/>
  <c r="K60" i="10"/>
  <c r="C61" i="10" s="1"/>
  <c r="I60" i="10"/>
  <c r="H61" i="12" l="1"/>
  <c r="E61" i="12"/>
  <c r="J61" i="12"/>
  <c r="L60" i="10"/>
  <c r="G61" i="10"/>
  <c r="F61" i="12" l="1"/>
  <c r="K61" i="12"/>
  <c r="C62" i="12" s="1"/>
  <c r="I61" i="12"/>
  <c r="H61" i="10"/>
  <c r="E61" i="10"/>
  <c r="J61" i="10"/>
  <c r="L61" i="12" l="1"/>
  <c r="G62" i="12"/>
  <c r="F61" i="10"/>
  <c r="I61" i="10"/>
  <c r="K61" i="10"/>
  <c r="C62" i="10" s="1"/>
  <c r="H62" i="12" l="1"/>
  <c r="E62" i="12"/>
  <c r="J62" i="12"/>
  <c r="G62" i="10"/>
  <c r="L61" i="10"/>
  <c r="F62" i="12" l="1"/>
  <c r="I62" i="12"/>
  <c r="K62" i="12"/>
  <c r="C63" i="12" s="1"/>
  <c r="H62" i="10"/>
  <c r="E62" i="10"/>
  <c r="J62" i="10"/>
  <c r="G63" i="12" l="1"/>
  <c r="L62" i="12"/>
  <c r="F62" i="10"/>
  <c r="K62" i="10"/>
  <c r="C63" i="10" s="1"/>
  <c r="I62" i="10"/>
  <c r="H63" i="12" l="1"/>
  <c r="E63" i="12"/>
  <c r="J63" i="12"/>
  <c r="L62" i="10"/>
  <c r="G63" i="10"/>
  <c r="F63" i="12" l="1"/>
  <c r="K63" i="12"/>
  <c r="C64" i="12" s="1"/>
  <c r="I63" i="12"/>
  <c r="H63" i="10"/>
  <c r="E63" i="10"/>
  <c r="J63" i="10"/>
  <c r="G64" i="12" l="1"/>
  <c r="L63" i="12"/>
  <c r="F63" i="10"/>
  <c r="I63" i="10"/>
  <c r="K63" i="10"/>
  <c r="C64" i="10" s="1"/>
  <c r="H64" i="12" l="1"/>
  <c r="E64" i="12"/>
  <c r="J64" i="12"/>
  <c r="G64" i="10"/>
  <c r="L63" i="10"/>
  <c r="F64" i="12" l="1"/>
  <c r="K64" i="12"/>
  <c r="C65" i="12" s="1"/>
  <c r="I64" i="12"/>
  <c r="H64" i="10"/>
  <c r="E64" i="10"/>
  <c r="J64" i="10"/>
  <c r="L64" i="12" l="1"/>
  <c r="G65" i="12"/>
  <c r="F64" i="10"/>
  <c r="K64" i="10"/>
  <c r="C65" i="10" s="1"/>
  <c r="I64" i="10"/>
  <c r="H65" i="12" l="1"/>
  <c r="E65" i="12"/>
  <c r="J65" i="12"/>
  <c r="L64" i="10"/>
  <c r="G65" i="10"/>
  <c r="F65" i="12" l="1"/>
  <c r="I65" i="12"/>
  <c r="K65" i="12"/>
  <c r="C66" i="12" s="1"/>
  <c r="H65" i="10"/>
  <c r="E65" i="10"/>
  <c r="J65" i="10"/>
  <c r="L65" i="12" l="1"/>
  <c r="G66" i="12"/>
  <c r="F65" i="10"/>
  <c r="I65" i="10"/>
  <c r="K65" i="10"/>
  <c r="C66" i="10" s="1"/>
  <c r="H66" i="12" l="1"/>
  <c r="E66" i="12"/>
  <c r="J66" i="12"/>
  <c r="G66" i="10"/>
  <c r="L65" i="10"/>
  <c r="F66" i="12" l="1"/>
  <c r="I66" i="12"/>
  <c r="K66" i="12"/>
  <c r="C67" i="12" s="1"/>
  <c r="H66" i="10"/>
  <c r="E66" i="10"/>
  <c r="J66" i="10"/>
  <c r="L66" i="12" l="1"/>
  <c r="G67" i="12"/>
  <c r="F66" i="10"/>
  <c r="K66" i="10"/>
  <c r="C67" i="10" s="1"/>
  <c r="I66" i="10"/>
  <c r="H67" i="12" l="1"/>
  <c r="E67" i="12"/>
  <c r="J67" i="12"/>
  <c r="L66" i="10"/>
  <c r="G67" i="10"/>
  <c r="F67" i="12" l="1"/>
  <c r="I67" i="12"/>
  <c r="K67" i="12"/>
  <c r="C68" i="12" s="1"/>
  <c r="H67" i="10"/>
  <c r="E67" i="10"/>
  <c r="J67" i="10"/>
  <c r="L67" i="12" l="1"/>
  <c r="G68" i="12"/>
  <c r="F67" i="10"/>
  <c r="I67" i="10"/>
  <c r="K67" i="10"/>
  <c r="C68" i="10" s="1"/>
  <c r="H68" i="12" l="1"/>
  <c r="E68" i="12"/>
  <c r="J68" i="12"/>
  <c r="G68" i="10"/>
  <c r="L67" i="10"/>
  <c r="F68" i="12" l="1"/>
  <c r="I68" i="12"/>
  <c r="K68" i="12"/>
  <c r="C69" i="12" s="1"/>
  <c r="H68" i="10"/>
  <c r="E68" i="10"/>
  <c r="J68" i="10"/>
  <c r="G69" i="12" l="1"/>
  <c r="L68" i="12"/>
  <c r="F68" i="10"/>
  <c r="K68" i="10"/>
  <c r="C69" i="10" s="1"/>
  <c r="I68" i="10"/>
  <c r="H69" i="12" l="1"/>
  <c r="E69" i="12"/>
  <c r="J69" i="12"/>
  <c r="L68" i="10"/>
  <c r="G69" i="10"/>
  <c r="F69" i="12" l="1"/>
  <c r="K69" i="12"/>
  <c r="C70" i="12" s="1"/>
  <c r="I69" i="12"/>
  <c r="H69" i="10"/>
  <c r="E69" i="10"/>
  <c r="J69" i="10"/>
  <c r="G70" i="12" l="1"/>
  <c r="L69" i="12"/>
  <c r="F69" i="10"/>
  <c r="I69" i="10"/>
  <c r="K69" i="10"/>
  <c r="C70" i="10" s="1"/>
  <c r="H70" i="12" l="1"/>
  <c r="E70" i="12"/>
  <c r="J70" i="12"/>
  <c r="G70" i="10"/>
  <c r="L69" i="10"/>
  <c r="F70" i="12" l="1"/>
  <c r="K70" i="12"/>
  <c r="C71" i="12" s="1"/>
  <c r="I70" i="12"/>
  <c r="H70" i="10"/>
  <c r="E70" i="10"/>
  <c r="J70" i="10"/>
  <c r="G71" i="12" l="1"/>
  <c r="L70" i="12"/>
  <c r="F70" i="10"/>
  <c r="K70" i="10"/>
  <c r="C71" i="10" s="1"/>
  <c r="I70" i="10"/>
  <c r="H71" i="12" l="1"/>
  <c r="E71" i="12"/>
  <c r="J71" i="12"/>
  <c r="L70" i="10"/>
  <c r="G71" i="10"/>
  <c r="F71" i="12" l="1"/>
  <c r="K71" i="12"/>
  <c r="C72" i="12" s="1"/>
  <c r="I71" i="12"/>
  <c r="H71" i="10"/>
  <c r="E71" i="10"/>
  <c r="J71" i="10"/>
  <c r="L71" i="12" l="1"/>
  <c r="G72" i="12"/>
  <c r="F71" i="10"/>
  <c r="I71" i="10"/>
  <c r="K71" i="10"/>
  <c r="C72" i="10" s="1"/>
  <c r="H72" i="12" l="1"/>
  <c r="E72" i="12"/>
  <c r="J72" i="12"/>
  <c r="G72" i="10"/>
  <c r="L71" i="10"/>
  <c r="F72" i="12" l="1"/>
  <c r="I72" i="12"/>
  <c r="K72" i="12"/>
  <c r="C73" i="12" s="1"/>
  <c r="H72" i="10"/>
  <c r="E72" i="10"/>
  <c r="J72" i="10"/>
  <c r="G73" i="12" l="1"/>
  <c r="L72" i="12"/>
  <c r="F72" i="10"/>
  <c r="K72" i="10"/>
  <c r="C73" i="10" s="1"/>
  <c r="I72" i="10"/>
  <c r="H73" i="12" l="1"/>
  <c r="E73" i="12"/>
  <c r="J73" i="12"/>
  <c r="L72" i="10"/>
  <c r="G73" i="10"/>
  <c r="F73" i="12" l="1"/>
  <c r="K73" i="12"/>
  <c r="C74" i="12" s="1"/>
  <c r="I73" i="12"/>
  <c r="H73" i="10"/>
  <c r="E73" i="10"/>
  <c r="J73" i="10"/>
  <c r="L73" i="12" l="1"/>
  <c r="G74" i="12"/>
  <c r="F73" i="10"/>
  <c r="I73" i="10"/>
  <c r="K73" i="10"/>
  <c r="C74" i="10" s="1"/>
  <c r="H74" i="12" l="1"/>
  <c r="E74" i="12"/>
  <c r="J74" i="12"/>
  <c r="G74" i="10"/>
  <c r="L73" i="10"/>
  <c r="F74" i="12" l="1"/>
  <c r="I74" i="12"/>
  <c r="K74" i="12"/>
  <c r="C75" i="12" s="1"/>
  <c r="H74" i="10"/>
  <c r="E74" i="10"/>
  <c r="J74" i="10"/>
  <c r="L74" i="12" l="1"/>
  <c r="G75" i="12"/>
  <c r="F74" i="10"/>
  <c r="K74" i="10"/>
  <c r="C75" i="10" s="1"/>
  <c r="I74" i="10"/>
  <c r="H75" i="12" l="1"/>
  <c r="E75" i="12"/>
  <c r="J75" i="12"/>
  <c r="L74" i="10"/>
  <c r="G75" i="10"/>
  <c r="F75" i="12" l="1"/>
  <c r="I75" i="12"/>
  <c r="K75" i="12"/>
  <c r="C76" i="12" s="1"/>
  <c r="H75" i="10"/>
  <c r="E75" i="10"/>
  <c r="J75" i="10"/>
  <c r="L75" i="12" l="1"/>
  <c r="G76" i="12"/>
  <c r="F75" i="10"/>
  <c r="I75" i="10"/>
  <c r="K75" i="10"/>
  <c r="C76" i="10" s="1"/>
  <c r="H76" i="12" l="1"/>
  <c r="E76" i="12"/>
  <c r="J76" i="12"/>
  <c r="G76" i="10"/>
  <c r="L75" i="10"/>
  <c r="F76" i="12" l="1"/>
  <c r="I76" i="12"/>
  <c r="K76" i="12"/>
  <c r="C77" i="12" s="1"/>
  <c r="H76" i="10"/>
  <c r="E76" i="10"/>
  <c r="J76" i="10"/>
  <c r="G77" i="12" l="1"/>
  <c r="L76" i="12"/>
  <c r="F76" i="10"/>
  <c r="K76" i="10"/>
  <c r="C77" i="10" s="1"/>
  <c r="I76" i="10"/>
  <c r="H77" i="12" l="1"/>
  <c r="E77" i="12"/>
  <c r="J77" i="12"/>
  <c r="L76" i="10"/>
  <c r="G77" i="10"/>
  <c r="F77" i="12" l="1"/>
  <c r="K77" i="12"/>
  <c r="C78" i="12" s="1"/>
  <c r="I77" i="12"/>
  <c r="H77" i="10"/>
  <c r="E77" i="10"/>
  <c r="J77" i="10"/>
  <c r="G78" i="12" l="1"/>
  <c r="L77" i="12"/>
  <c r="F77" i="10"/>
  <c r="I77" i="10"/>
  <c r="K77" i="10"/>
  <c r="C78" i="10" s="1"/>
  <c r="H78" i="12" l="1"/>
  <c r="E78" i="12"/>
  <c r="J78" i="12"/>
  <c r="G78" i="10"/>
  <c r="L77" i="10"/>
  <c r="F78" i="12" l="1"/>
  <c r="K78" i="12"/>
  <c r="C79" i="12" s="1"/>
  <c r="I78" i="12"/>
  <c r="H78" i="10"/>
  <c r="E78" i="10"/>
  <c r="J78" i="10"/>
  <c r="G79" i="12" l="1"/>
  <c r="L78" i="12"/>
  <c r="F78" i="10"/>
  <c r="K78" i="10"/>
  <c r="C79" i="10" s="1"/>
  <c r="I78" i="10"/>
  <c r="H79" i="12" l="1"/>
  <c r="E79" i="12"/>
  <c r="J79" i="12"/>
  <c r="L78" i="10"/>
  <c r="G79" i="10"/>
  <c r="F79" i="12" l="1"/>
  <c r="K79" i="12"/>
  <c r="C80" i="12" s="1"/>
  <c r="I79" i="12"/>
  <c r="H79" i="10"/>
  <c r="E79" i="10"/>
  <c r="J79" i="10"/>
  <c r="L79" i="12" l="1"/>
  <c r="G80" i="12"/>
  <c r="F79" i="10"/>
  <c r="I79" i="10"/>
  <c r="K79" i="10"/>
  <c r="C80" i="10" s="1"/>
  <c r="H80" i="12" l="1"/>
  <c r="E80" i="12"/>
  <c r="J80" i="12"/>
  <c r="G80" i="10"/>
  <c r="L79" i="10"/>
  <c r="F80" i="12" l="1"/>
  <c r="I80" i="12"/>
  <c r="K80" i="12"/>
  <c r="C81" i="12" s="1"/>
  <c r="H80" i="10"/>
  <c r="E80" i="10"/>
  <c r="J80" i="10"/>
  <c r="L80" i="12" l="1"/>
  <c r="G81" i="12"/>
  <c r="F80" i="10"/>
  <c r="K80" i="10"/>
  <c r="C81" i="10" s="1"/>
  <c r="I80" i="10"/>
  <c r="H81" i="12" l="1"/>
  <c r="E81" i="12"/>
  <c r="J81" i="12"/>
  <c r="L80" i="10"/>
  <c r="G81" i="10"/>
  <c r="F81" i="12" l="1"/>
  <c r="I81" i="12"/>
  <c r="K81" i="12"/>
  <c r="C82" i="12" s="1"/>
  <c r="H81" i="10"/>
  <c r="E81" i="10"/>
  <c r="J81" i="10"/>
  <c r="L81" i="12" l="1"/>
  <c r="G82" i="12"/>
  <c r="F81" i="10"/>
  <c r="I81" i="10"/>
  <c r="K81" i="10"/>
  <c r="C82" i="10" s="1"/>
  <c r="H82" i="12" l="1"/>
  <c r="E82" i="12"/>
  <c r="J82" i="12"/>
  <c r="G82" i="10"/>
  <c r="L81" i="10"/>
  <c r="F82" i="12" l="1"/>
  <c r="I82" i="12"/>
  <c r="K82" i="12"/>
  <c r="C83" i="12" s="1"/>
  <c r="H82" i="10"/>
  <c r="E82" i="10"/>
  <c r="J82" i="10"/>
  <c r="G83" i="12" l="1"/>
  <c r="L82" i="12"/>
  <c r="F82" i="10"/>
  <c r="K82" i="10"/>
  <c r="C83" i="10" s="1"/>
  <c r="I82" i="10"/>
  <c r="H83" i="12" l="1"/>
  <c r="E83" i="12"/>
  <c r="J83" i="12"/>
  <c r="L82" i="10"/>
  <c r="G83" i="10"/>
  <c r="F83" i="12" l="1"/>
  <c r="K83" i="12"/>
  <c r="C84" i="12" s="1"/>
  <c r="I83" i="12"/>
  <c r="H83" i="10"/>
  <c r="E83" i="10"/>
  <c r="J83" i="10"/>
  <c r="G84" i="12" l="1"/>
  <c r="L83" i="12"/>
  <c r="F83" i="10"/>
  <c r="I83" i="10"/>
  <c r="K83" i="10"/>
  <c r="C84" i="10" s="1"/>
  <c r="H84" i="12" l="1"/>
  <c r="E84" i="12"/>
  <c r="J84" i="12"/>
  <c r="G84" i="10"/>
  <c r="L83" i="10"/>
  <c r="F84" i="12" l="1"/>
  <c r="K84" i="12"/>
  <c r="C85" i="12" s="1"/>
  <c r="I84" i="12"/>
  <c r="H84" i="10"/>
  <c r="E84" i="10"/>
  <c r="J84" i="10"/>
  <c r="L84" i="12" l="1"/>
  <c r="G85" i="12"/>
  <c r="F84" i="10"/>
  <c r="K84" i="10"/>
  <c r="C85" i="10" s="1"/>
  <c r="I84" i="10"/>
  <c r="H85" i="12" l="1"/>
  <c r="E85" i="12"/>
  <c r="J85" i="12"/>
  <c r="L84" i="10"/>
  <c r="G85" i="10"/>
  <c r="F85" i="12" l="1"/>
  <c r="I85" i="12"/>
  <c r="K85" i="12"/>
  <c r="C86" i="12" s="1"/>
  <c r="H85" i="10"/>
  <c r="E85" i="10"/>
  <c r="J85" i="10"/>
  <c r="L85" i="12" l="1"/>
  <c r="G86" i="12"/>
  <c r="F85" i="10"/>
  <c r="I85" i="10"/>
  <c r="K85" i="10"/>
  <c r="C86" i="10" s="1"/>
  <c r="H86" i="12" l="1"/>
  <c r="E86" i="12"/>
  <c r="J86" i="12"/>
  <c r="G86" i="10"/>
  <c r="L85" i="10"/>
  <c r="F86" i="12" l="1"/>
  <c r="I86" i="12"/>
  <c r="K86" i="12"/>
  <c r="C87" i="12" s="1"/>
  <c r="H86" i="10"/>
  <c r="E86" i="10"/>
  <c r="J86" i="10"/>
  <c r="G87" i="12" l="1"/>
  <c r="L86" i="12"/>
  <c r="F86" i="10"/>
  <c r="K86" i="10"/>
  <c r="C87" i="10" s="1"/>
  <c r="I86" i="10"/>
  <c r="H87" i="12" l="1"/>
  <c r="E87" i="12"/>
  <c r="J87" i="12"/>
  <c r="L86" i="10"/>
  <c r="G87" i="10"/>
  <c r="F87" i="12" l="1"/>
  <c r="K87" i="12"/>
  <c r="C88" i="12" s="1"/>
  <c r="I87" i="12"/>
  <c r="H87" i="10"/>
  <c r="E87" i="10"/>
  <c r="J87" i="10"/>
  <c r="G88" i="12" l="1"/>
  <c r="L87" i="12"/>
  <c r="F87" i="10"/>
  <c r="I87" i="10"/>
  <c r="K87" i="10"/>
  <c r="C88" i="10" s="1"/>
  <c r="H88" i="12" l="1"/>
  <c r="E88" i="12"/>
  <c r="J88" i="12"/>
  <c r="G88" i="10"/>
  <c r="L87" i="10"/>
  <c r="F88" i="12" l="1"/>
  <c r="K88" i="12"/>
  <c r="C89" i="12" s="1"/>
  <c r="I88" i="12"/>
  <c r="H88" i="10"/>
  <c r="E88" i="10"/>
  <c r="J88" i="10"/>
  <c r="G89" i="12" l="1"/>
  <c r="L88" i="12"/>
  <c r="F88" i="10"/>
  <c r="K88" i="10"/>
  <c r="C89" i="10" s="1"/>
  <c r="I88" i="10"/>
  <c r="H89" i="12" l="1"/>
  <c r="E89" i="12"/>
  <c r="J89" i="12"/>
  <c r="L88" i="10"/>
  <c r="G89" i="10"/>
  <c r="F89" i="12" l="1"/>
  <c r="K89" i="12"/>
  <c r="C90" i="12" s="1"/>
  <c r="I89" i="12"/>
  <c r="H89" i="10"/>
  <c r="E89" i="10"/>
  <c r="J89" i="10"/>
  <c r="L89" i="12" l="1"/>
  <c r="G90" i="12"/>
  <c r="F89" i="10"/>
  <c r="I89" i="10"/>
  <c r="K89" i="10"/>
  <c r="C90" i="10" s="1"/>
  <c r="H90" i="12" l="1"/>
  <c r="E90" i="12"/>
  <c r="J90" i="12"/>
  <c r="G90" i="10"/>
  <c r="L89" i="10"/>
  <c r="F90" i="12" l="1"/>
  <c r="I90" i="12"/>
  <c r="K90" i="12"/>
  <c r="C91" i="12" s="1"/>
  <c r="H90" i="10"/>
  <c r="E90" i="10"/>
  <c r="J90" i="10"/>
  <c r="G91" i="12" l="1"/>
  <c r="L90" i="12"/>
  <c r="F90" i="10"/>
  <c r="K90" i="10"/>
  <c r="C91" i="10" s="1"/>
  <c r="I90" i="10"/>
  <c r="H91" i="12" l="1"/>
  <c r="E91" i="12"/>
  <c r="J91" i="12"/>
  <c r="L90" i="10"/>
  <c r="G91" i="10"/>
  <c r="F91" i="12" l="1"/>
  <c r="K91" i="12"/>
  <c r="C92" i="12" s="1"/>
  <c r="I91" i="12"/>
  <c r="H91" i="10"/>
  <c r="E91" i="10"/>
  <c r="J91" i="10"/>
  <c r="L91" i="12" l="1"/>
  <c r="G92" i="12"/>
  <c r="F91" i="10"/>
  <c r="I91" i="10"/>
  <c r="K91" i="10"/>
  <c r="C92" i="10" s="1"/>
  <c r="H92" i="12" l="1"/>
  <c r="E92" i="12"/>
  <c r="J92" i="12"/>
  <c r="G92" i="10"/>
  <c r="L91" i="10"/>
  <c r="F92" i="12" l="1"/>
  <c r="K92" i="12"/>
  <c r="C93" i="12" s="1"/>
  <c r="I92" i="12"/>
  <c r="H92" i="10"/>
  <c r="E92" i="10"/>
  <c r="J92" i="10"/>
  <c r="L92" i="12" l="1"/>
  <c r="G93" i="12"/>
  <c r="F92" i="10"/>
  <c r="K92" i="10"/>
  <c r="C93" i="10" s="1"/>
  <c r="I92" i="10"/>
  <c r="H93" i="12" l="1"/>
  <c r="E93" i="12"/>
  <c r="J93" i="12"/>
  <c r="L92" i="10"/>
  <c r="G93" i="10"/>
  <c r="F93" i="12" l="1"/>
  <c r="I93" i="12"/>
  <c r="K93" i="12"/>
  <c r="C94" i="12" s="1"/>
  <c r="H93" i="10"/>
  <c r="E93" i="10"/>
  <c r="J93" i="10"/>
  <c r="G94" i="12" l="1"/>
  <c r="L93" i="12"/>
  <c r="F93" i="10"/>
  <c r="I93" i="10"/>
  <c r="K93" i="10"/>
  <c r="C94" i="10" s="1"/>
  <c r="H94" i="12" l="1"/>
  <c r="E94" i="12"/>
  <c r="J94" i="12"/>
  <c r="G94" i="10"/>
  <c r="L93" i="10"/>
  <c r="F94" i="12" l="1"/>
  <c r="K94" i="12"/>
  <c r="C95" i="12" s="1"/>
  <c r="I94" i="12"/>
  <c r="H94" i="10"/>
  <c r="E94" i="10"/>
  <c r="J94" i="10"/>
  <c r="L94" i="12" l="1"/>
  <c r="G95" i="12"/>
  <c r="F94" i="10"/>
  <c r="K94" i="10"/>
  <c r="C95" i="10" s="1"/>
  <c r="I94" i="10"/>
  <c r="H95" i="12" l="1"/>
  <c r="E95" i="12"/>
  <c r="J95" i="12"/>
  <c r="L94" i="10"/>
  <c r="G95" i="10"/>
  <c r="F95" i="12" l="1"/>
  <c r="I95" i="12"/>
  <c r="K95" i="12"/>
  <c r="C96" i="12" s="1"/>
  <c r="H95" i="10"/>
  <c r="E95" i="10"/>
  <c r="J95" i="10"/>
  <c r="G96" i="12" l="1"/>
  <c r="L95" i="12"/>
  <c r="F95" i="10"/>
  <c r="I95" i="10"/>
  <c r="K95" i="10"/>
  <c r="C96" i="10" s="1"/>
  <c r="H96" i="12" l="1"/>
  <c r="E96" i="12"/>
  <c r="J96" i="12"/>
  <c r="L95" i="10"/>
  <c r="G96" i="10"/>
  <c r="F96" i="12" l="1"/>
  <c r="K96" i="12"/>
  <c r="C97" i="12" s="1"/>
  <c r="I96" i="12"/>
  <c r="H96" i="10"/>
  <c r="E96" i="10"/>
  <c r="J96" i="10"/>
  <c r="L96" i="12" l="1"/>
  <c r="G97" i="12"/>
  <c r="F96" i="10"/>
  <c r="I96" i="10"/>
  <c r="K96" i="10"/>
  <c r="C97" i="10" s="1"/>
  <c r="H97" i="12" l="1"/>
  <c r="E97" i="12"/>
  <c r="J97" i="12"/>
  <c r="G97" i="10"/>
  <c r="L96" i="10"/>
  <c r="F97" i="12" l="1"/>
  <c r="I97" i="12"/>
  <c r="K97" i="12"/>
  <c r="C98" i="12" s="1"/>
  <c r="H97" i="10"/>
  <c r="E97" i="10"/>
  <c r="J97" i="10"/>
  <c r="G98" i="12" l="1"/>
  <c r="L97" i="12"/>
  <c r="F97" i="10"/>
  <c r="K97" i="10"/>
  <c r="C98" i="10" s="1"/>
  <c r="I97" i="10"/>
  <c r="H98" i="12" l="1"/>
  <c r="E98" i="12"/>
  <c r="J98" i="12"/>
  <c r="L97" i="10"/>
  <c r="G98" i="10"/>
  <c r="F98" i="12" l="1"/>
  <c r="K98" i="12"/>
  <c r="C99" i="12" s="1"/>
  <c r="I98" i="12"/>
  <c r="H98" i="10"/>
  <c r="E98" i="10"/>
  <c r="J98" i="10"/>
  <c r="L98" i="12" l="1"/>
  <c r="G99" i="12"/>
  <c r="F98" i="10"/>
  <c r="I98" i="10"/>
  <c r="K98" i="10"/>
  <c r="C99" i="10" s="1"/>
  <c r="H99" i="12" l="1"/>
  <c r="E99" i="12"/>
  <c r="J99" i="12"/>
  <c r="G99" i="10"/>
  <c r="L98" i="10"/>
  <c r="F99" i="12" l="1"/>
  <c r="I99" i="12"/>
  <c r="K99" i="12"/>
  <c r="C100" i="12" s="1"/>
  <c r="H99" i="10"/>
  <c r="E99" i="10"/>
  <c r="J99" i="10"/>
  <c r="G100" i="12" l="1"/>
  <c r="L99" i="12"/>
  <c r="F99" i="10"/>
  <c r="K99" i="10"/>
  <c r="C100" i="10" s="1"/>
  <c r="I99" i="10"/>
  <c r="H100" i="12" l="1"/>
  <c r="E100" i="12"/>
  <c r="J100" i="12"/>
  <c r="L99" i="10"/>
  <c r="G100" i="10"/>
  <c r="F100" i="12" l="1"/>
  <c r="K100" i="12"/>
  <c r="C101" i="12" s="1"/>
  <c r="I100" i="12"/>
  <c r="H100" i="10"/>
  <c r="E100" i="10"/>
  <c r="J100" i="10"/>
  <c r="L100" i="12" l="1"/>
  <c r="G101" i="12"/>
  <c r="F100" i="10"/>
  <c r="I100" i="10"/>
  <c r="K100" i="10"/>
  <c r="C101" i="10" s="1"/>
  <c r="H101" i="12" l="1"/>
  <c r="E101" i="12"/>
  <c r="J101" i="12"/>
  <c r="G101" i="10"/>
  <c r="L100" i="10"/>
  <c r="F101" i="12" l="1"/>
  <c r="I101" i="12"/>
  <c r="K101" i="12"/>
  <c r="C102" i="12" s="1"/>
  <c r="H101" i="10"/>
  <c r="E101" i="10"/>
  <c r="J101" i="10"/>
  <c r="G102" i="12" l="1"/>
  <c r="L101" i="12"/>
  <c r="F101" i="10"/>
  <c r="I101" i="10"/>
  <c r="K101" i="10"/>
  <c r="C102" i="10" s="1"/>
  <c r="H102" i="12" l="1"/>
  <c r="E102" i="12"/>
  <c r="J102" i="12"/>
  <c r="G102" i="10"/>
  <c r="L101" i="10"/>
  <c r="F102" i="12" l="1"/>
  <c r="K102" i="12"/>
  <c r="C103" i="12" s="1"/>
  <c r="I102" i="12"/>
  <c r="H102" i="10"/>
  <c r="E102" i="10"/>
  <c r="J102" i="10"/>
  <c r="L102" i="12" l="1"/>
  <c r="G103" i="12"/>
  <c r="F102" i="10"/>
  <c r="K102" i="10"/>
  <c r="C103" i="10" s="1"/>
  <c r="I102" i="10"/>
  <c r="H103" i="12" l="1"/>
  <c r="E103" i="12"/>
  <c r="J103" i="12"/>
  <c r="L102" i="10"/>
  <c r="G103" i="10"/>
  <c r="F103" i="12" l="1"/>
  <c r="I103" i="12"/>
  <c r="K103" i="12"/>
  <c r="C104" i="12" s="1"/>
  <c r="H103" i="10"/>
  <c r="E103" i="10"/>
  <c r="J103" i="10"/>
  <c r="G104" i="12" l="1"/>
  <c r="L103" i="12"/>
  <c r="F103" i="10"/>
  <c r="I103" i="10"/>
  <c r="K103" i="10"/>
  <c r="C104" i="10" s="1"/>
  <c r="H104" i="12" l="1"/>
  <c r="E104" i="12"/>
  <c r="J104" i="12"/>
  <c r="G104" i="10"/>
  <c r="L103" i="10"/>
  <c r="F104" i="12" l="1"/>
  <c r="K104" i="12"/>
  <c r="C105" i="12" s="1"/>
  <c r="I104" i="12"/>
  <c r="H104" i="10"/>
  <c r="E104" i="10"/>
  <c r="J104" i="10"/>
  <c r="L104" i="12" l="1"/>
  <c r="G105" i="12"/>
  <c r="F104" i="10"/>
  <c r="K104" i="10"/>
  <c r="C105" i="10" s="1"/>
  <c r="I104" i="10"/>
  <c r="H105" i="12" l="1"/>
  <c r="E105" i="12"/>
  <c r="J105" i="12"/>
  <c r="G105" i="10"/>
  <c r="L104" i="10"/>
  <c r="F105" i="12" l="1"/>
  <c r="I105" i="12"/>
  <c r="K105" i="12"/>
  <c r="C106" i="12" s="1"/>
  <c r="H105" i="10"/>
  <c r="E105" i="10"/>
  <c r="J105" i="10"/>
  <c r="L105" i="12" l="1"/>
  <c r="G106" i="12"/>
  <c r="F105" i="10"/>
  <c r="K105" i="10"/>
  <c r="C106" i="10" s="1"/>
  <c r="I105" i="10"/>
  <c r="H106" i="12" l="1"/>
  <c r="E106" i="12"/>
  <c r="J106" i="12"/>
  <c r="L105" i="10"/>
  <c r="G106" i="10"/>
  <c r="F106" i="12" l="1"/>
  <c r="I106" i="12"/>
  <c r="K106" i="12"/>
  <c r="C107" i="12" s="1"/>
  <c r="H106" i="10"/>
  <c r="E106" i="10"/>
  <c r="J106" i="10"/>
  <c r="G107" i="12" l="1"/>
  <c r="L106" i="12"/>
  <c r="F106" i="10"/>
  <c r="I106" i="10"/>
  <c r="K106" i="10"/>
  <c r="C107" i="10" s="1"/>
  <c r="H107" i="12" l="1"/>
  <c r="E107" i="12"/>
  <c r="J107" i="12"/>
  <c r="G107" i="10"/>
  <c r="L106" i="10"/>
  <c r="F107" i="12" l="1"/>
  <c r="K107" i="12"/>
  <c r="C108" i="12" s="1"/>
  <c r="I107" i="12"/>
  <c r="H107" i="10"/>
  <c r="E107" i="10"/>
  <c r="J107" i="10"/>
  <c r="L107" i="12" l="1"/>
  <c r="G108" i="12"/>
  <c r="F107" i="10"/>
  <c r="K107" i="10"/>
  <c r="C108" i="10" s="1"/>
  <c r="I107" i="10"/>
  <c r="H108" i="12" l="1"/>
  <c r="E108" i="12"/>
  <c r="J108" i="12"/>
  <c r="L107" i="10"/>
  <c r="G108" i="10"/>
  <c r="F108" i="12" l="1"/>
  <c r="I108" i="12"/>
  <c r="K108" i="12"/>
  <c r="C109" i="12" s="1"/>
  <c r="H108" i="10"/>
  <c r="E108" i="10"/>
  <c r="J108" i="10"/>
  <c r="G109" i="12" l="1"/>
  <c r="L108" i="12"/>
  <c r="F108" i="10"/>
  <c r="I108" i="10"/>
  <c r="K108" i="10"/>
  <c r="C109" i="10" s="1"/>
  <c r="H109" i="12" l="1"/>
  <c r="E109" i="12"/>
  <c r="J109" i="12"/>
  <c r="G109" i="10"/>
  <c r="L108" i="10"/>
  <c r="F109" i="12" l="1"/>
  <c r="K109" i="12"/>
  <c r="C110" i="12" s="1"/>
  <c r="I109" i="12"/>
  <c r="H109" i="10"/>
  <c r="E109" i="10"/>
  <c r="J109" i="10"/>
  <c r="G110" i="12" l="1"/>
  <c r="L109" i="12"/>
  <c r="F109" i="10"/>
  <c r="K109" i="10"/>
  <c r="C110" i="10" s="1"/>
  <c r="I109" i="10"/>
  <c r="H110" i="12" l="1"/>
  <c r="E110" i="12"/>
  <c r="J110" i="12"/>
  <c r="L109" i="10"/>
  <c r="G110" i="10"/>
  <c r="F110" i="12" l="1"/>
  <c r="K110" i="12"/>
  <c r="C111" i="12" s="1"/>
  <c r="I110" i="12"/>
  <c r="H110" i="10"/>
  <c r="E110" i="10"/>
  <c r="J110" i="10"/>
  <c r="L110" i="12" l="1"/>
  <c r="G111" i="12"/>
  <c r="F110" i="10"/>
  <c r="I110" i="10"/>
  <c r="K110" i="10"/>
  <c r="C111" i="10" s="1"/>
  <c r="H111" i="12" l="1"/>
  <c r="E111" i="12"/>
  <c r="J111" i="12"/>
  <c r="G111" i="10"/>
  <c r="L110" i="10"/>
  <c r="F111" i="12" l="1"/>
  <c r="K111" i="12"/>
  <c r="C112" i="12" s="1"/>
  <c r="I111" i="12"/>
  <c r="H111" i="10"/>
  <c r="E111" i="10"/>
  <c r="J111" i="10"/>
  <c r="L111" i="12" l="1"/>
  <c r="G112" i="12"/>
  <c r="F111" i="10"/>
  <c r="K111" i="10"/>
  <c r="C112" i="10" s="1"/>
  <c r="I111" i="10"/>
  <c r="H112" i="12" l="1"/>
  <c r="E112" i="12"/>
  <c r="J112" i="12"/>
  <c r="L111" i="10"/>
  <c r="G112" i="10"/>
  <c r="F112" i="12" l="1"/>
  <c r="I112" i="12"/>
  <c r="K112" i="12"/>
  <c r="C113" i="12" s="1"/>
  <c r="H112" i="10"/>
  <c r="E112" i="10"/>
  <c r="J112" i="10"/>
  <c r="L112" i="12" l="1"/>
  <c r="G113" i="12"/>
  <c r="F112" i="10"/>
  <c r="I112" i="10"/>
  <c r="K112" i="10"/>
  <c r="C113" i="10" s="1"/>
  <c r="H113" i="12" l="1"/>
  <c r="E113" i="12"/>
  <c r="J113" i="12"/>
  <c r="G113" i="10"/>
  <c r="L112" i="10"/>
  <c r="F113" i="12" l="1"/>
  <c r="I113" i="12"/>
  <c r="K113" i="12"/>
  <c r="C114" i="12" s="1"/>
  <c r="H113" i="10"/>
  <c r="E113" i="10"/>
  <c r="J113" i="10"/>
  <c r="G114" i="12" l="1"/>
  <c r="L113" i="12"/>
  <c r="F113" i="10"/>
  <c r="K113" i="10"/>
  <c r="C114" i="10" s="1"/>
  <c r="I113" i="10"/>
  <c r="H114" i="12" l="1"/>
  <c r="E114" i="12"/>
  <c r="J114" i="12"/>
  <c r="L113" i="10"/>
  <c r="G114" i="10"/>
  <c r="F114" i="12" l="1"/>
  <c r="K114" i="12"/>
  <c r="C115" i="12" s="1"/>
  <c r="I114" i="12"/>
  <c r="H114" i="10"/>
  <c r="E114" i="10"/>
  <c r="J114" i="10"/>
  <c r="G115" i="12" l="1"/>
  <c r="L114" i="12"/>
  <c r="F114" i="10"/>
  <c r="I114" i="10"/>
  <c r="K114" i="10"/>
  <c r="C115" i="10" s="1"/>
  <c r="H115" i="12" l="1"/>
  <c r="E115" i="12"/>
  <c r="J115" i="12"/>
  <c r="G115" i="10"/>
  <c r="L114" i="10"/>
  <c r="F115" i="12" l="1"/>
  <c r="K115" i="12"/>
  <c r="C116" i="12" s="1"/>
  <c r="I115" i="12"/>
  <c r="H115" i="10"/>
  <c r="E115" i="10"/>
  <c r="J115" i="10"/>
  <c r="L115" i="12" l="1"/>
  <c r="G116" i="12"/>
  <c r="F115" i="10"/>
  <c r="K115" i="10"/>
  <c r="C116" i="10" s="1"/>
  <c r="I115" i="10"/>
  <c r="H116" i="12" l="1"/>
  <c r="E116" i="12"/>
  <c r="J116" i="12"/>
  <c r="L115" i="10"/>
  <c r="G116" i="10"/>
  <c r="F116" i="12" l="1"/>
  <c r="I116" i="12"/>
  <c r="K116" i="12"/>
  <c r="C117" i="12" s="1"/>
  <c r="H116" i="10"/>
  <c r="E116" i="10"/>
  <c r="J116" i="10"/>
  <c r="G117" i="12" l="1"/>
  <c r="L116" i="12"/>
  <c r="F116" i="10"/>
  <c r="K116" i="10"/>
  <c r="C117" i="10" s="1"/>
  <c r="I116" i="10"/>
  <c r="H117" i="12" l="1"/>
  <c r="E117" i="12"/>
  <c r="J117" i="12"/>
  <c r="L116" i="10"/>
  <c r="G117" i="10"/>
  <c r="F117" i="12" l="1"/>
  <c r="K117" i="12"/>
  <c r="C118" i="12" s="1"/>
  <c r="I117" i="12"/>
  <c r="H117" i="10"/>
  <c r="E117" i="10"/>
  <c r="J117" i="10"/>
  <c r="L117" i="12" l="1"/>
  <c r="G118" i="12"/>
  <c r="F117" i="10"/>
  <c r="I117" i="10"/>
  <c r="K117" i="10"/>
  <c r="C118" i="10" s="1"/>
  <c r="H118" i="12" l="1"/>
  <c r="E118" i="12"/>
  <c r="J118" i="12"/>
  <c r="G118" i="10"/>
  <c r="L117" i="10"/>
  <c r="F118" i="12" l="1"/>
  <c r="I118" i="12"/>
  <c r="K118" i="12"/>
  <c r="C119" i="12" s="1"/>
  <c r="H118" i="10"/>
  <c r="E118" i="10"/>
  <c r="J118" i="10"/>
  <c r="L118" i="12" l="1"/>
  <c r="G119" i="12"/>
  <c r="F118" i="10"/>
  <c r="K118" i="10"/>
  <c r="C119" i="10" s="1"/>
  <c r="I118" i="10"/>
  <c r="H119" i="12" l="1"/>
  <c r="E119" i="12"/>
  <c r="J119" i="12"/>
  <c r="L118" i="10"/>
  <c r="G119" i="10"/>
  <c r="F119" i="12" l="1"/>
  <c r="K119" i="12"/>
  <c r="C120" i="12" s="1"/>
  <c r="I119" i="12"/>
  <c r="H119" i="10"/>
  <c r="E119" i="10"/>
  <c r="J119" i="10"/>
  <c r="L119" i="12" l="1"/>
  <c r="G120" i="12"/>
  <c r="F119" i="10"/>
  <c r="I119" i="10"/>
  <c r="K119" i="10"/>
  <c r="C120" i="10" s="1"/>
  <c r="H120" i="12" l="1"/>
  <c r="E120" i="12"/>
  <c r="J120" i="12"/>
  <c r="G120" i="10"/>
  <c r="L119" i="10"/>
  <c r="F120" i="12" l="1"/>
  <c r="I120" i="12"/>
  <c r="K120" i="12"/>
  <c r="C121" i="12" s="1"/>
  <c r="H120" i="10"/>
  <c r="E120" i="10"/>
  <c r="J120" i="10"/>
  <c r="L120" i="12" l="1"/>
  <c r="G121" i="12"/>
  <c r="F120" i="10"/>
  <c r="K120" i="10"/>
  <c r="C121" i="10" s="1"/>
  <c r="I120" i="10"/>
  <c r="H121" i="12" l="1"/>
  <c r="E121" i="12"/>
  <c r="J121" i="12"/>
  <c r="L120" i="10"/>
  <c r="G121" i="10"/>
  <c r="F121" i="12" l="1"/>
  <c r="I121" i="12"/>
  <c r="K121" i="12"/>
  <c r="C122" i="12" s="1"/>
  <c r="H121" i="10"/>
  <c r="E121" i="10"/>
  <c r="J121" i="10"/>
  <c r="G122" i="12" l="1"/>
  <c r="L121" i="12"/>
  <c r="F121" i="10"/>
  <c r="I121" i="10"/>
  <c r="K121" i="10"/>
  <c r="C122" i="10" s="1"/>
  <c r="H122" i="12" l="1"/>
  <c r="E122" i="12"/>
  <c r="J122" i="12"/>
  <c r="G122" i="10"/>
  <c r="L121" i="10"/>
  <c r="F122" i="12" l="1"/>
  <c r="K122" i="12"/>
  <c r="C123" i="12" s="1"/>
  <c r="I122" i="12"/>
  <c r="H122" i="10"/>
  <c r="E122" i="10"/>
  <c r="J122" i="10"/>
  <c r="G123" i="12" l="1"/>
  <c r="L122" i="12"/>
  <c r="F122" i="10"/>
  <c r="K122" i="10"/>
  <c r="C123" i="10" s="1"/>
  <c r="I122" i="10"/>
  <c r="H123" i="12" l="1"/>
  <c r="E123" i="12"/>
  <c r="J123" i="12"/>
  <c r="L122" i="10"/>
  <c r="G123" i="10"/>
  <c r="F123" i="12" l="1"/>
  <c r="K123" i="12"/>
  <c r="C124" i="12" s="1"/>
  <c r="I123" i="12"/>
  <c r="H123" i="10"/>
  <c r="E123" i="10"/>
  <c r="J123" i="10"/>
  <c r="L123" i="12" l="1"/>
  <c r="G124" i="12"/>
  <c r="F123" i="10"/>
  <c r="I123" i="10"/>
  <c r="K123" i="10"/>
  <c r="C124" i="10" s="1"/>
  <c r="H124" i="12" l="1"/>
  <c r="E124" i="12"/>
  <c r="J124" i="12"/>
  <c r="G124" i="10"/>
  <c r="L123" i="10"/>
  <c r="F124" i="12" l="1"/>
  <c r="I124" i="12"/>
  <c r="K124" i="12"/>
  <c r="C125" i="12" s="1"/>
  <c r="H124" i="10"/>
  <c r="E124" i="10"/>
  <c r="J124" i="10"/>
  <c r="L124" i="12" l="1"/>
  <c r="G125" i="12"/>
  <c r="F124" i="10"/>
  <c r="I124" i="10"/>
  <c r="K124" i="10"/>
  <c r="C125" i="10" s="1"/>
  <c r="H125" i="12" l="1"/>
  <c r="E125" i="12"/>
  <c r="J125" i="12"/>
  <c r="G125" i="10"/>
  <c r="L124" i="10"/>
  <c r="F125" i="12" l="1"/>
  <c r="I125" i="12"/>
  <c r="K125" i="12"/>
  <c r="C126" i="12" s="1"/>
  <c r="H125" i="10"/>
  <c r="E125" i="10"/>
  <c r="J125" i="10"/>
  <c r="G126" i="12" l="1"/>
  <c r="L125" i="12"/>
  <c r="F125" i="10"/>
  <c r="K125" i="10"/>
  <c r="C126" i="10" s="1"/>
  <c r="I125" i="10"/>
  <c r="H126" i="12" l="1"/>
  <c r="E126" i="12"/>
  <c r="J126" i="12"/>
  <c r="G126" i="10"/>
  <c r="L125" i="10"/>
  <c r="F126" i="12" l="1"/>
  <c r="K126" i="12"/>
  <c r="C127" i="12" s="1"/>
  <c r="I126" i="12"/>
  <c r="H126" i="10"/>
  <c r="E126" i="10"/>
  <c r="J126" i="10"/>
  <c r="L126" i="12" l="1"/>
  <c r="G127" i="12"/>
  <c r="F126" i="10"/>
  <c r="K126" i="10"/>
  <c r="C127" i="10" s="1"/>
  <c r="I126" i="10"/>
  <c r="H127" i="12" l="1"/>
  <c r="E127" i="12"/>
  <c r="J127" i="12"/>
  <c r="L126" i="10"/>
  <c r="G127" i="10"/>
  <c r="F127" i="12" l="1"/>
  <c r="K127" i="12"/>
  <c r="C128" i="12" s="1"/>
  <c r="I127" i="12"/>
  <c r="H127" i="10"/>
  <c r="E127" i="10"/>
  <c r="J127" i="10"/>
  <c r="L127" i="12" l="1"/>
  <c r="G128" i="12"/>
  <c r="F127" i="10"/>
  <c r="I127" i="10"/>
  <c r="K127" i="10"/>
  <c r="C128" i="10" s="1"/>
  <c r="H128" i="12" l="1"/>
  <c r="E128" i="12"/>
  <c r="J128" i="12"/>
  <c r="G128" i="10"/>
  <c r="L127" i="10"/>
  <c r="F128" i="12" l="1"/>
  <c r="I128" i="12"/>
  <c r="K128" i="12"/>
  <c r="C129" i="12" s="1"/>
  <c r="H128" i="10"/>
  <c r="E128" i="10"/>
  <c r="J128" i="10"/>
  <c r="G129" i="12" l="1"/>
  <c r="L128" i="12"/>
  <c r="F128" i="10"/>
  <c r="K128" i="10"/>
  <c r="C129" i="10" s="1"/>
  <c r="I128" i="10"/>
  <c r="H129" i="12" l="1"/>
  <c r="E129" i="12"/>
  <c r="J129" i="12"/>
  <c r="L128" i="10"/>
  <c r="G129" i="10"/>
  <c r="F129" i="12" l="1"/>
  <c r="I129" i="12"/>
  <c r="K129" i="12"/>
  <c r="C130" i="12" s="1"/>
  <c r="H129" i="10"/>
  <c r="E129" i="10"/>
  <c r="J129" i="10"/>
  <c r="G130" i="12" l="1"/>
  <c r="L129" i="12"/>
  <c r="F129" i="10"/>
  <c r="I129" i="10"/>
  <c r="K129" i="10"/>
  <c r="C130" i="10" s="1"/>
  <c r="H130" i="12" l="1"/>
  <c r="E130" i="12"/>
  <c r="J130" i="12"/>
  <c r="G130" i="10"/>
  <c r="L129" i="10"/>
  <c r="F130" i="12" l="1"/>
  <c r="K130" i="12"/>
  <c r="C131" i="12" s="1"/>
  <c r="I130" i="12"/>
  <c r="H130" i="10"/>
  <c r="E130" i="10"/>
  <c r="J130" i="10"/>
  <c r="L130" i="12" l="1"/>
  <c r="G131" i="12"/>
  <c r="F130" i="10"/>
  <c r="I130" i="10"/>
  <c r="K130" i="10"/>
  <c r="C131" i="10" s="1"/>
  <c r="H131" i="12" l="1"/>
  <c r="E131" i="12"/>
  <c r="J131" i="12"/>
  <c r="G131" i="10"/>
  <c r="L130" i="10"/>
  <c r="F131" i="12" l="1"/>
  <c r="I131" i="12"/>
  <c r="K131" i="12"/>
  <c r="C132" i="12" s="1"/>
  <c r="H131" i="10"/>
  <c r="E131" i="10"/>
  <c r="J131" i="10"/>
  <c r="G132" i="12" l="1"/>
  <c r="L131" i="12"/>
  <c r="F131" i="10"/>
  <c r="K131" i="10"/>
  <c r="C132" i="10" s="1"/>
  <c r="I131" i="10"/>
  <c r="H132" i="12" l="1"/>
  <c r="E132" i="12"/>
  <c r="J132" i="12"/>
  <c r="L131" i="10"/>
  <c r="G132" i="10"/>
  <c r="F132" i="12" l="1"/>
  <c r="I132" i="12"/>
  <c r="K132" i="12"/>
  <c r="C133" i="12" s="1"/>
  <c r="H132" i="10"/>
  <c r="E132" i="10"/>
  <c r="J132" i="10"/>
  <c r="G133" i="12" l="1"/>
  <c r="L132" i="12"/>
  <c r="F132" i="10"/>
  <c r="K132" i="10"/>
  <c r="C133" i="10" s="1"/>
  <c r="I132" i="10"/>
  <c r="H133" i="12" l="1"/>
  <c r="E133" i="12"/>
  <c r="J133" i="12"/>
  <c r="L132" i="10"/>
  <c r="G133" i="10"/>
  <c r="F133" i="12" l="1"/>
  <c r="K133" i="12"/>
  <c r="C134" i="12" s="1"/>
  <c r="I133" i="12"/>
  <c r="H133" i="10"/>
  <c r="E133" i="10"/>
  <c r="J133" i="10"/>
  <c r="L133" i="12" l="1"/>
  <c r="G134" i="12"/>
  <c r="F133" i="10"/>
  <c r="K133" i="10"/>
  <c r="C134" i="10" s="1"/>
  <c r="I133" i="10"/>
  <c r="H134" i="12" l="1"/>
  <c r="E134" i="12"/>
  <c r="J134" i="12"/>
  <c r="L133" i="10"/>
  <c r="G134" i="10"/>
  <c r="F134" i="12" l="1"/>
  <c r="I134" i="12"/>
  <c r="K134" i="12"/>
  <c r="C135" i="12" s="1"/>
  <c r="H134" i="10"/>
  <c r="E134" i="10"/>
  <c r="J134" i="10"/>
  <c r="G135" i="12" l="1"/>
  <c r="L134" i="12"/>
  <c r="F134" i="10"/>
  <c r="I134" i="10"/>
  <c r="K134" i="10"/>
  <c r="C135" i="10" s="1"/>
  <c r="H135" i="12" l="1"/>
  <c r="E135" i="12"/>
  <c r="J135" i="12"/>
  <c r="G135" i="10"/>
  <c r="L134" i="10"/>
  <c r="F135" i="12" l="1"/>
  <c r="K135" i="12"/>
  <c r="C136" i="12" s="1"/>
  <c r="I135" i="12"/>
  <c r="H135" i="10"/>
  <c r="E135" i="10"/>
  <c r="J135" i="10"/>
  <c r="L135" i="12" l="1"/>
  <c r="G136" i="12"/>
  <c r="F135" i="10"/>
  <c r="K135" i="10"/>
  <c r="C136" i="10" s="1"/>
  <c r="I135" i="10"/>
  <c r="H136" i="12" l="1"/>
  <c r="E136" i="12"/>
  <c r="J136" i="12"/>
  <c r="L135" i="10"/>
  <c r="G136" i="10"/>
  <c r="F136" i="12" l="1"/>
  <c r="I136" i="12"/>
  <c r="K136" i="12"/>
  <c r="C137" i="12" s="1"/>
  <c r="H136" i="10"/>
  <c r="E136" i="10"/>
  <c r="J136" i="10"/>
  <c r="G137" i="12" l="1"/>
  <c r="L136" i="12"/>
  <c r="F136" i="10"/>
  <c r="I136" i="10"/>
  <c r="K136" i="10"/>
  <c r="C137" i="10" s="1"/>
  <c r="H137" i="12" l="1"/>
  <c r="E137" i="12"/>
  <c r="J137" i="12"/>
  <c r="G137" i="10"/>
  <c r="L136" i="10"/>
  <c r="F137" i="12" l="1"/>
  <c r="K137" i="12"/>
  <c r="C138" i="12" s="1"/>
  <c r="I137" i="12"/>
  <c r="H137" i="10"/>
  <c r="E137" i="10"/>
  <c r="J137" i="10"/>
  <c r="L137" i="12" l="1"/>
  <c r="G138" i="12"/>
  <c r="F137" i="10"/>
  <c r="K137" i="10"/>
  <c r="C138" i="10" s="1"/>
  <c r="I137" i="10"/>
  <c r="H138" i="12" l="1"/>
  <c r="E138" i="12"/>
  <c r="J138" i="12"/>
  <c r="L137" i="10"/>
  <c r="G138" i="10"/>
  <c r="F138" i="12" l="1"/>
  <c r="I138" i="12"/>
  <c r="K138" i="12"/>
  <c r="C139" i="12" s="1"/>
  <c r="H138" i="10"/>
  <c r="E138" i="10"/>
  <c r="J138" i="10"/>
  <c r="G139" i="12" l="1"/>
  <c r="L138" i="12"/>
  <c r="F138" i="10"/>
  <c r="I138" i="10"/>
  <c r="K138" i="10"/>
  <c r="C139" i="10" s="1"/>
  <c r="H139" i="12" l="1"/>
  <c r="E139" i="12"/>
  <c r="J139" i="12"/>
  <c r="G139" i="10"/>
  <c r="L138" i="10"/>
  <c r="F139" i="12" l="1"/>
  <c r="K139" i="12"/>
  <c r="C140" i="12" s="1"/>
  <c r="I139" i="12"/>
  <c r="H139" i="10"/>
  <c r="E139" i="10"/>
  <c r="J139" i="10"/>
  <c r="G140" i="12" l="1"/>
  <c r="L139" i="12"/>
  <c r="F139" i="10"/>
  <c r="I139" i="10"/>
  <c r="K139" i="10"/>
  <c r="C140" i="10" s="1"/>
  <c r="H140" i="12" l="1"/>
  <c r="E140" i="12"/>
  <c r="J140" i="12"/>
  <c r="G140" i="10"/>
  <c r="L139" i="10"/>
  <c r="F140" i="12" l="1"/>
  <c r="K140" i="12"/>
  <c r="C141" i="12" s="1"/>
  <c r="I140" i="12"/>
  <c r="H140" i="10"/>
  <c r="E140" i="10"/>
  <c r="J140" i="10"/>
  <c r="G141" i="12" l="1"/>
  <c r="L140" i="12"/>
  <c r="F140" i="10"/>
  <c r="K140" i="10"/>
  <c r="C141" i="10" s="1"/>
  <c r="I140" i="10"/>
  <c r="H141" i="12" l="1"/>
  <c r="E141" i="12"/>
  <c r="J141" i="12"/>
  <c r="L140" i="10"/>
  <c r="G141" i="10"/>
  <c r="F141" i="12" l="1"/>
  <c r="K141" i="12"/>
  <c r="C142" i="12" s="1"/>
  <c r="I141" i="12"/>
  <c r="H141" i="10"/>
  <c r="E141" i="10"/>
  <c r="J141" i="10"/>
  <c r="L141" i="12" l="1"/>
  <c r="G142" i="12"/>
  <c r="F141" i="10"/>
  <c r="I141" i="10"/>
  <c r="K141" i="10"/>
  <c r="C142" i="10" s="1"/>
  <c r="H142" i="12" l="1"/>
  <c r="E142" i="12"/>
  <c r="J142" i="12"/>
  <c r="G142" i="10"/>
  <c r="L141" i="10"/>
  <c r="F142" i="12" l="1"/>
  <c r="I142" i="12"/>
  <c r="K142" i="12"/>
  <c r="C143" i="12" s="1"/>
  <c r="H142" i="10"/>
  <c r="E142" i="10"/>
  <c r="J142" i="10"/>
  <c r="L142" i="12" l="1"/>
  <c r="G143" i="12"/>
  <c r="F142" i="10"/>
  <c r="K142" i="10"/>
  <c r="C143" i="10" s="1"/>
  <c r="I142" i="10"/>
  <c r="H143" i="12" l="1"/>
  <c r="E143" i="12"/>
  <c r="J143" i="12"/>
  <c r="L142" i="10"/>
  <c r="G143" i="10"/>
  <c r="F143" i="12" l="1"/>
  <c r="I143" i="12"/>
  <c r="K143" i="12"/>
  <c r="C144" i="12" s="1"/>
  <c r="H143" i="10"/>
  <c r="E143" i="10"/>
  <c r="J143" i="10"/>
  <c r="L143" i="12" l="1"/>
  <c r="G144" i="12"/>
  <c r="F143" i="10"/>
  <c r="I143" i="10"/>
  <c r="K143" i="10"/>
  <c r="C144" i="10" s="1"/>
  <c r="H144" i="12" l="1"/>
  <c r="E144" i="12"/>
  <c r="J144" i="12"/>
  <c r="G144" i="10"/>
  <c r="L143" i="10"/>
  <c r="F144" i="12" l="1"/>
  <c r="K144" i="12"/>
  <c r="C145" i="12" s="1"/>
  <c r="I144" i="12"/>
  <c r="H144" i="10"/>
  <c r="E144" i="10"/>
  <c r="J144" i="10"/>
  <c r="L144" i="12" l="1"/>
  <c r="G145" i="12"/>
  <c r="F144" i="10"/>
  <c r="K144" i="10"/>
  <c r="C145" i="10" s="1"/>
  <c r="I144" i="10"/>
  <c r="H145" i="12" l="1"/>
  <c r="E145" i="12"/>
  <c r="J145" i="12"/>
  <c r="L144" i="10"/>
  <c r="G145" i="10"/>
  <c r="F145" i="12" l="1"/>
  <c r="I145" i="12"/>
  <c r="K145" i="12"/>
  <c r="C146" i="12" s="1"/>
  <c r="H145" i="10"/>
  <c r="E145" i="10"/>
  <c r="J145" i="10"/>
  <c r="G146" i="12" l="1"/>
  <c r="L145" i="12"/>
  <c r="F145" i="10"/>
  <c r="I145" i="10"/>
  <c r="K145" i="10"/>
  <c r="C146" i="10" s="1"/>
  <c r="H146" i="12" l="1"/>
  <c r="E146" i="12"/>
  <c r="J146" i="12"/>
  <c r="G146" i="10"/>
  <c r="L145" i="10"/>
  <c r="F146" i="12" l="1"/>
  <c r="K146" i="12"/>
  <c r="C147" i="12" s="1"/>
  <c r="I146" i="12"/>
  <c r="H146" i="10"/>
  <c r="E146" i="10"/>
  <c r="J146" i="10"/>
  <c r="L146" i="12" l="1"/>
  <c r="G147" i="12"/>
  <c r="F146" i="10"/>
  <c r="K146" i="10"/>
  <c r="C147" i="10" s="1"/>
  <c r="I146" i="10"/>
  <c r="H147" i="12" l="1"/>
  <c r="E147" i="12"/>
  <c r="J147" i="12"/>
  <c r="L146" i="10"/>
  <c r="G147" i="10"/>
  <c r="F147" i="12" l="1"/>
  <c r="I147" i="12"/>
  <c r="K147" i="12"/>
  <c r="C148" i="12" s="1"/>
  <c r="H147" i="10"/>
  <c r="E147" i="10"/>
  <c r="J147" i="10"/>
  <c r="G148" i="12" l="1"/>
  <c r="L147" i="12"/>
  <c r="F147" i="10"/>
  <c r="I147" i="10"/>
  <c r="K147" i="10"/>
  <c r="C148" i="10" s="1"/>
  <c r="H148" i="12" l="1"/>
  <c r="E148" i="12"/>
  <c r="J148" i="12"/>
  <c r="G148" i="10"/>
  <c r="L147" i="10"/>
  <c r="F148" i="12" l="1"/>
  <c r="K148" i="12"/>
  <c r="C149" i="12" s="1"/>
  <c r="I148" i="12"/>
  <c r="H148" i="10"/>
  <c r="E148" i="10"/>
  <c r="J148" i="10"/>
  <c r="L148" i="12" l="1"/>
  <c r="G149" i="12"/>
  <c r="F148" i="10"/>
  <c r="K148" i="10"/>
  <c r="C149" i="10" s="1"/>
  <c r="I148" i="10"/>
  <c r="H149" i="12" l="1"/>
  <c r="E149" i="12"/>
  <c r="J149" i="12"/>
  <c r="G149" i="10"/>
  <c r="L148" i="10"/>
  <c r="F149" i="12" l="1"/>
  <c r="I149" i="12"/>
  <c r="K149" i="12"/>
  <c r="C150" i="12" s="1"/>
  <c r="H149" i="10"/>
  <c r="E149" i="10"/>
  <c r="J149" i="10"/>
  <c r="G150" i="12" l="1"/>
  <c r="L149" i="12"/>
  <c r="F149" i="10"/>
  <c r="K149" i="10"/>
  <c r="C150" i="10" s="1"/>
  <c r="I149" i="10"/>
  <c r="H150" i="12" l="1"/>
  <c r="E150" i="12"/>
  <c r="J150" i="12"/>
  <c r="L149" i="10"/>
  <c r="G150" i="10"/>
  <c r="F150" i="12" l="1"/>
  <c r="K150" i="12"/>
  <c r="C151" i="12" s="1"/>
  <c r="I150" i="12"/>
  <c r="H150" i="10"/>
  <c r="E150" i="10"/>
  <c r="J150" i="10"/>
  <c r="L150" i="12" l="1"/>
  <c r="G151" i="12"/>
  <c r="F150" i="10"/>
  <c r="I150" i="10"/>
  <c r="K150" i="10"/>
  <c r="C151" i="10" s="1"/>
  <c r="H151" i="12" l="1"/>
  <c r="E151" i="12"/>
  <c r="J151" i="12"/>
  <c r="G151" i="10"/>
  <c r="L150" i="10"/>
  <c r="F151" i="12" l="1"/>
  <c r="I151" i="12"/>
  <c r="K151" i="12"/>
  <c r="C152" i="12" s="1"/>
  <c r="H151" i="10"/>
  <c r="E151" i="10"/>
  <c r="J151" i="10"/>
  <c r="G152" i="12" l="1"/>
  <c r="L151" i="12"/>
  <c r="F151" i="10"/>
  <c r="K151" i="10"/>
  <c r="C152" i="10" s="1"/>
  <c r="I151" i="10"/>
  <c r="H152" i="12" l="1"/>
  <c r="E152" i="12"/>
  <c r="J152" i="12"/>
  <c r="L151" i="10"/>
  <c r="G152" i="10"/>
  <c r="F152" i="12" l="1"/>
  <c r="K152" i="12"/>
  <c r="C153" i="12" s="1"/>
  <c r="I152" i="12"/>
  <c r="H152" i="10"/>
  <c r="E152" i="10"/>
  <c r="J152" i="10"/>
  <c r="L152" i="12" l="1"/>
  <c r="G153" i="12"/>
  <c r="F152" i="10"/>
  <c r="I152" i="10"/>
  <c r="K152" i="10"/>
  <c r="C153" i="10" s="1"/>
  <c r="H153" i="12" l="1"/>
  <c r="E153" i="12"/>
  <c r="J153" i="12"/>
  <c r="G153" i="10"/>
  <c r="L152" i="10"/>
  <c r="F153" i="12" l="1"/>
  <c r="I153" i="12"/>
  <c r="K153" i="12"/>
  <c r="C154" i="12" s="1"/>
  <c r="H153" i="10"/>
  <c r="E153" i="10"/>
  <c r="J153" i="10"/>
  <c r="G154" i="12" l="1"/>
  <c r="L153" i="12"/>
  <c r="F153" i="10"/>
  <c r="K153" i="10"/>
  <c r="C154" i="10" s="1"/>
  <c r="I153" i="10"/>
  <c r="H154" i="12" l="1"/>
  <c r="E154" i="12"/>
  <c r="J154" i="12"/>
  <c r="L153" i="10"/>
  <c r="G154" i="10"/>
  <c r="F154" i="12" l="1"/>
  <c r="K154" i="12"/>
  <c r="C155" i="12" s="1"/>
  <c r="I154" i="12"/>
  <c r="H154" i="10"/>
  <c r="E154" i="10"/>
  <c r="J154" i="10"/>
  <c r="G155" i="12" l="1"/>
  <c r="L154" i="12"/>
  <c r="F154" i="10"/>
  <c r="I154" i="10"/>
  <c r="K154" i="10"/>
  <c r="C155" i="10" s="1"/>
  <c r="H155" i="12" l="1"/>
  <c r="E155" i="12"/>
  <c r="J155" i="12"/>
  <c r="G155" i="10"/>
  <c r="L154" i="10"/>
  <c r="F155" i="12" l="1"/>
  <c r="K155" i="12"/>
  <c r="C156" i="12" s="1"/>
  <c r="I155" i="12"/>
  <c r="H155" i="10"/>
  <c r="E155" i="10"/>
  <c r="J155" i="10"/>
  <c r="L155" i="12" l="1"/>
  <c r="G156" i="12"/>
  <c r="F155" i="10"/>
  <c r="K155" i="10"/>
  <c r="C156" i="10" s="1"/>
  <c r="I155" i="10"/>
  <c r="H156" i="12" l="1"/>
  <c r="E156" i="12"/>
  <c r="J156" i="12"/>
  <c r="L155" i="10"/>
  <c r="G156" i="10"/>
  <c r="F156" i="12" l="1"/>
  <c r="I156" i="12"/>
  <c r="K156" i="12"/>
  <c r="C157" i="12" s="1"/>
  <c r="H156" i="10"/>
  <c r="E156" i="10"/>
  <c r="J156" i="10"/>
  <c r="L156" i="12" l="1"/>
  <c r="G157" i="12"/>
  <c r="F156" i="10"/>
  <c r="I156" i="10"/>
  <c r="K156" i="10"/>
  <c r="C157" i="10" s="1"/>
  <c r="H157" i="12" l="1"/>
  <c r="E157" i="12"/>
  <c r="J157" i="12"/>
  <c r="G157" i="10"/>
  <c r="L156" i="10"/>
  <c r="F157" i="12" l="1"/>
  <c r="I157" i="12"/>
  <c r="K157" i="12"/>
  <c r="C158" i="12" s="1"/>
  <c r="H157" i="10"/>
  <c r="E157" i="10"/>
  <c r="J157" i="10"/>
  <c r="L157" i="12" l="1"/>
  <c r="G158" i="12"/>
  <c r="F157" i="10"/>
  <c r="K157" i="10"/>
  <c r="C158" i="10" s="1"/>
  <c r="I157" i="10"/>
  <c r="H158" i="12" l="1"/>
  <c r="E158" i="12"/>
  <c r="J158" i="12"/>
  <c r="G158" i="10"/>
  <c r="L157" i="10"/>
  <c r="F158" i="12" l="1"/>
  <c r="I158" i="12"/>
  <c r="K158" i="12"/>
  <c r="C159" i="12" s="1"/>
  <c r="H158" i="10"/>
  <c r="E158" i="10"/>
  <c r="J158" i="10"/>
  <c r="G159" i="12" l="1"/>
  <c r="L158" i="12"/>
  <c r="F158" i="10"/>
  <c r="K158" i="10"/>
  <c r="C159" i="10" s="1"/>
  <c r="I158" i="10"/>
  <c r="H159" i="12" l="1"/>
  <c r="E159" i="12"/>
  <c r="J159" i="12"/>
  <c r="L158" i="10"/>
  <c r="G159" i="10"/>
  <c r="F159" i="12" l="1"/>
  <c r="K159" i="12"/>
  <c r="C160" i="12" s="1"/>
  <c r="I159" i="12"/>
  <c r="H159" i="10"/>
  <c r="E159" i="10"/>
  <c r="J159" i="10"/>
  <c r="L159" i="12" l="1"/>
  <c r="G160" i="12"/>
  <c r="F159" i="10"/>
  <c r="I159" i="10"/>
  <c r="K159" i="10"/>
  <c r="C160" i="10" s="1"/>
  <c r="H160" i="12" l="1"/>
  <c r="E160" i="12"/>
  <c r="J160" i="12"/>
  <c r="G160" i="10"/>
  <c r="L159" i="10"/>
  <c r="F160" i="12" l="1"/>
  <c r="I160" i="12"/>
  <c r="K160" i="12"/>
  <c r="C161" i="12" s="1"/>
  <c r="H160" i="10"/>
  <c r="E160" i="10"/>
  <c r="J160" i="10"/>
  <c r="G161" i="12" l="1"/>
  <c r="L160" i="12"/>
  <c r="F160" i="10"/>
  <c r="K160" i="10"/>
  <c r="C161" i="10" s="1"/>
  <c r="I160" i="10"/>
  <c r="H161" i="12" l="1"/>
  <c r="E161" i="12"/>
  <c r="J161" i="12"/>
  <c r="G161" i="10"/>
  <c r="L160" i="10"/>
  <c r="F161" i="12" l="1"/>
  <c r="K161" i="12"/>
  <c r="C162" i="12" s="1"/>
  <c r="I161" i="12"/>
  <c r="H161" i="10"/>
  <c r="E161" i="10"/>
  <c r="J161" i="10"/>
  <c r="L161" i="12" l="1"/>
  <c r="G162" i="12"/>
  <c r="F161" i="10"/>
  <c r="K161" i="10"/>
  <c r="C162" i="10" s="1"/>
  <c r="I161" i="10"/>
  <c r="H162" i="12" l="1"/>
  <c r="E162" i="12"/>
  <c r="J162" i="12"/>
  <c r="L161" i="10"/>
  <c r="G162" i="10"/>
  <c r="F162" i="12" l="1"/>
  <c r="I162" i="12"/>
  <c r="K162" i="12"/>
  <c r="C163" i="12" s="1"/>
  <c r="H162" i="10"/>
  <c r="E162" i="10"/>
  <c r="J162" i="10"/>
  <c r="G163" i="12" l="1"/>
  <c r="L162" i="12"/>
  <c r="F162" i="10"/>
  <c r="I162" i="10"/>
  <c r="K162" i="10"/>
  <c r="C163" i="10" s="1"/>
  <c r="H163" i="12" l="1"/>
  <c r="E163" i="12"/>
  <c r="J163" i="12"/>
  <c r="G163" i="10"/>
  <c r="L162" i="10"/>
  <c r="F163" i="12" l="1"/>
  <c r="I163" i="12"/>
  <c r="K163" i="12"/>
  <c r="C164" i="12" s="1"/>
  <c r="H163" i="10"/>
  <c r="E163" i="10"/>
  <c r="J163" i="10"/>
  <c r="G164" i="12" l="1"/>
  <c r="L163" i="12"/>
  <c r="F163" i="10"/>
  <c r="K163" i="10"/>
  <c r="C164" i="10" s="1"/>
  <c r="I163" i="10"/>
  <c r="H164" i="12" l="1"/>
  <c r="E164" i="12"/>
  <c r="J164" i="12"/>
  <c r="L163" i="10"/>
  <c r="G164" i="10"/>
  <c r="F164" i="12" l="1"/>
  <c r="K164" i="12"/>
  <c r="C165" i="12" s="1"/>
  <c r="I164" i="12"/>
  <c r="H164" i="10"/>
  <c r="E164" i="10"/>
  <c r="J164" i="10"/>
  <c r="L164" i="12" l="1"/>
  <c r="G165" i="12"/>
  <c r="F164" i="10"/>
  <c r="I164" i="10"/>
  <c r="K164" i="10"/>
  <c r="C165" i="10" s="1"/>
  <c r="H165" i="12" l="1"/>
  <c r="E165" i="12"/>
  <c r="J165" i="12"/>
  <c r="L164" i="10"/>
  <c r="G165" i="10"/>
  <c r="F165" i="12" l="1"/>
  <c r="I165" i="12"/>
  <c r="K165" i="12"/>
  <c r="C166" i="12" s="1"/>
  <c r="H165" i="10"/>
  <c r="E165" i="10"/>
  <c r="J165" i="10"/>
  <c r="G166" i="12" l="1"/>
  <c r="L165" i="12"/>
  <c r="F165" i="10"/>
  <c r="I165" i="10"/>
  <c r="K165" i="10"/>
  <c r="C166" i="10" s="1"/>
  <c r="H166" i="12" l="1"/>
  <c r="E166" i="12"/>
  <c r="J166" i="12"/>
  <c r="G166" i="10"/>
  <c r="L165" i="10"/>
  <c r="F166" i="12" l="1"/>
  <c r="K166" i="12"/>
  <c r="C167" i="12" s="1"/>
  <c r="I166" i="12"/>
  <c r="H166" i="10"/>
  <c r="E166" i="10"/>
  <c r="J166" i="10"/>
  <c r="G167" i="12" l="1"/>
  <c r="L166" i="12"/>
  <c r="F166" i="10"/>
  <c r="K166" i="10"/>
  <c r="C167" i="10" s="1"/>
  <c r="I166" i="10"/>
  <c r="H167" i="12" l="1"/>
  <c r="E167" i="12"/>
  <c r="J167" i="12"/>
  <c r="L166" i="10"/>
  <c r="G167" i="10"/>
  <c r="F167" i="12" l="1"/>
  <c r="K167" i="12"/>
  <c r="C168" i="12" s="1"/>
  <c r="I167" i="12"/>
  <c r="H167" i="10"/>
  <c r="E167" i="10"/>
  <c r="J167" i="10"/>
  <c r="G168" i="12" l="1"/>
  <c r="L167" i="12"/>
  <c r="F167" i="10"/>
  <c r="I167" i="10"/>
  <c r="K167" i="10"/>
  <c r="C168" i="10" s="1"/>
  <c r="H168" i="12" l="1"/>
  <c r="E168" i="12"/>
  <c r="J168" i="12"/>
  <c r="G168" i="10"/>
  <c r="L167" i="10"/>
  <c r="F168" i="12" l="1"/>
  <c r="K168" i="12"/>
  <c r="C169" i="12" s="1"/>
  <c r="I168" i="12"/>
  <c r="H168" i="10"/>
  <c r="E168" i="10"/>
  <c r="J168" i="10"/>
  <c r="G169" i="12" l="1"/>
  <c r="L168" i="12"/>
  <c r="F168" i="10"/>
  <c r="K168" i="10"/>
  <c r="C169" i="10" s="1"/>
  <c r="I168" i="10"/>
  <c r="H169" i="12" l="1"/>
  <c r="E169" i="12"/>
  <c r="J169" i="12"/>
  <c r="G169" i="10"/>
  <c r="L168" i="10"/>
  <c r="F169" i="12" l="1"/>
  <c r="K169" i="12"/>
  <c r="C170" i="12" s="1"/>
  <c r="I169" i="12"/>
  <c r="H169" i="10"/>
  <c r="E169" i="10"/>
  <c r="J169" i="10"/>
  <c r="L169" i="12" l="1"/>
  <c r="G170" i="12"/>
  <c r="F169" i="10"/>
  <c r="K169" i="10"/>
  <c r="C170" i="10" s="1"/>
  <c r="I169" i="10"/>
  <c r="H170" i="12" l="1"/>
  <c r="E170" i="12"/>
  <c r="J170" i="12"/>
  <c r="L169" i="10"/>
  <c r="G170" i="10"/>
  <c r="F170" i="12" l="1"/>
  <c r="I170" i="12"/>
  <c r="K170" i="12"/>
  <c r="C171" i="12" s="1"/>
  <c r="H170" i="10"/>
  <c r="E170" i="10"/>
  <c r="J170" i="10"/>
  <c r="G171" i="12" l="1"/>
  <c r="L170" i="12"/>
  <c r="F170" i="10"/>
  <c r="I170" i="10"/>
  <c r="K170" i="10"/>
  <c r="C171" i="10" s="1"/>
  <c r="H171" i="12" l="1"/>
  <c r="E171" i="12"/>
  <c r="J171" i="12"/>
  <c r="G171" i="10"/>
  <c r="L170" i="10"/>
  <c r="F171" i="12" l="1"/>
  <c r="K171" i="12"/>
  <c r="C172" i="12" s="1"/>
  <c r="I171" i="12"/>
  <c r="H171" i="10"/>
  <c r="E171" i="10"/>
  <c r="J171" i="10"/>
  <c r="L171" i="12" l="1"/>
  <c r="G172" i="12"/>
  <c r="F171" i="10"/>
  <c r="K171" i="10"/>
  <c r="C172" i="10" s="1"/>
  <c r="I171" i="10"/>
  <c r="H172" i="12" l="1"/>
  <c r="E172" i="12"/>
  <c r="J172" i="12"/>
  <c r="L171" i="10"/>
  <c r="G172" i="10"/>
  <c r="F172" i="12" l="1"/>
  <c r="I172" i="12"/>
  <c r="K172" i="12"/>
  <c r="C173" i="12" s="1"/>
  <c r="H172" i="10"/>
  <c r="E172" i="10"/>
  <c r="J172" i="10"/>
  <c r="L172" i="12" l="1"/>
  <c r="G173" i="12"/>
  <c r="F172" i="10"/>
  <c r="I172" i="10"/>
  <c r="K172" i="10"/>
  <c r="C173" i="10" s="1"/>
  <c r="H173" i="12" l="1"/>
  <c r="E173" i="12"/>
  <c r="J173" i="12"/>
  <c r="G173" i="10"/>
  <c r="L172" i="10"/>
  <c r="F173" i="12" l="1"/>
  <c r="I173" i="12"/>
  <c r="K173" i="12"/>
  <c r="C174" i="12" s="1"/>
  <c r="H173" i="10"/>
  <c r="E173" i="10"/>
  <c r="J173" i="10"/>
  <c r="L173" i="12" l="1"/>
  <c r="G174" i="12"/>
  <c r="F173" i="10"/>
  <c r="K173" i="10"/>
  <c r="C174" i="10" s="1"/>
  <c r="I173" i="10"/>
  <c r="H174" i="12" l="1"/>
  <c r="E174" i="12"/>
  <c r="J174" i="12"/>
  <c r="L173" i="10"/>
  <c r="G174" i="10"/>
  <c r="F174" i="12" l="1"/>
  <c r="I174" i="12"/>
  <c r="K174" i="12"/>
  <c r="C175" i="12" s="1"/>
  <c r="H174" i="10"/>
  <c r="E174" i="10"/>
  <c r="J174" i="10"/>
  <c r="L174" i="12" l="1"/>
  <c r="G175" i="12"/>
  <c r="F174" i="10"/>
  <c r="I174" i="10"/>
  <c r="K174" i="10"/>
  <c r="C175" i="10" s="1"/>
  <c r="H175" i="12" l="1"/>
  <c r="E175" i="12"/>
  <c r="J175" i="12"/>
  <c r="G175" i="10"/>
  <c r="L174" i="10"/>
  <c r="F175" i="12" l="1"/>
  <c r="I175" i="12"/>
  <c r="K175" i="12"/>
  <c r="C176" i="12" s="1"/>
  <c r="H175" i="10"/>
  <c r="E175" i="10"/>
  <c r="J175" i="10"/>
  <c r="L175" i="12" l="1"/>
  <c r="G176" i="12"/>
  <c r="F175" i="10"/>
  <c r="K175" i="10"/>
  <c r="C176" i="10" s="1"/>
  <c r="I175" i="10"/>
  <c r="H176" i="12" l="1"/>
  <c r="E176" i="12"/>
  <c r="J176" i="12"/>
  <c r="G176" i="10"/>
  <c r="L175" i="10"/>
  <c r="F176" i="12" l="1"/>
  <c r="I176" i="12"/>
  <c r="K176" i="12"/>
  <c r="C177" i="12" s="1"/>
  <c r="H176" i="10"/>
  <c r="E176" i="10"/>
  <c r="J176" i="10"/>
  <c r="L176" i="12" l="1"/>
  <c r="G177" i="12"/>
  <c r="F176" i="10"/>
  <c r="K176" i="10"/>
  <c r="C177" i="10" s="1"/>
  <c r="I176" i="10"/>
  <c r="H177" i="12" l="1"/>
  <c r="E177" i="12"/>
  <c r="J177" i="12"/>
  <c r="L176" i="10"/>
  <c r="G177" i="10"/>
  <c r="F177" i="12" l="1"/>
  <c r="I177" i="12"/>
  <c r="K177" i="12"/>
  <c r="C178" i="12" s="1"/>
  <c r="H177" i="10"/>
  <c r="E177" i="10"/>
  <c r="J177" i="10"/>
  <c r="G178" i="12" l="1"/>
  <c r="L177" i="12"/>
  <c r="F177" i="10"/>
  <c r="I177" i="10"/>
  <c r="K177" i="10"/>
  <c r="C178" i="10" s="1"/>
  <c r="H178" i="12" l="1"/>
  <c r="E178" i="12"/>
  <c r="J178" i="12"/>
  <c r="G178" i="10"/>
  <c r="L177" i="10"/>
  <c r="F178" i="12" l="1"/>
  <c r="K178" i="12"/>
  <c r="C179" i="12" s="1"/>
  <c r="I178" i="12"/>
  <c r="H178" i="10"/>
  <c r="E178" i="10"/>
  <c r="J178" i="10"/>
  <c r="L178" i="12" l="1"/>
  <c r="G179" i="12"/>
  <c r="F178" i="10"/>
  <c r="I178" i="10"/>
  <c r="K178" i="10"/>
  <c r="C179" i="10" s="1"/>
  <c r="H179" i="12" l="1"/>
  <c r="E179" i="12"/>
  <c r="J179" i="12"/>
  <c r="G179" i="10"/>
  <c r="L178" i="10"/>
  <c r="F179" i="12" l="1"/>
  <c r="I179" i="12"/>
  <c r="K179" i="12"/>
  <c r="C180" i="12" s="1"/>
  <c r="H179" i="10"/>
  <c r="E179" i="10"/>
  <c r="J179" i="10"/>
  <c r="G180" i="12" l="1"/>
  <c r="L179" i="12"/>
  <c r="F179" i="10"/>
  <c r="K179" i="10"/>
  <c r="C180" i="10" s="1"/>
  <c r="I179" i="10"/>
  <c r="H180" i="12" l="1"/>
  <c r="E180" i="12"/>
  <c r="J180" i="12"/>
  <c r="L179" i="10"/>
  <c r="G180" i="10"/>
  <c r="F180" i="12" l="1"/>
  <c r="K180" i="12"/>
  <c r="C181" i="12" s="1"/>
  <c r="I180" i="12"/>
  <c r="H180" i="10"/>
  <c r="E180" i="10"/>
  <c r="J180" i="10"/>
  <c r="L180" i="12" l="1"/>
  <c r="G181" i="12"/>
  <c r="F180" i="10"/>
  <c r="I180" i="10"/>
  <c r="K180" i="10"/>
  <c r="C181" i="10" s="1"/>
  <c r="H181" i="12" l="1"/>
  <c r="E181" i="12"/>
  <c r="J181" i="12"/>
  <c r="G181" i="10"/>
  <c r="L180" i="10"/>
  <c r="F181" i="12" l="1"/>
  <c r="K181" i="12"/>
  <c r="C182" i="12" s="1"/>
  <c r="I181" i="12"/>
  <c r="H181" i="10"/>
  <c r="E181" i="10"/>
  <c r="J181" i="10"/>
  <c r="L181" i="12" l="1"/>
  <c r="G182" i="12"/>
  <c r="F181" i="10"/>
  <c r="K181" i="10"/>
  <c r="C182" i="10" s="1"/>
  <c r="I181" i="10"/>
  <c r="H182" i="12" l="1"/>
  <c r="E182" i="12"/>
  <c r="J182" i="12"/>
  <c r="L181" i="10"/>
  <c r="G182" i="10"/>
  <c r="F182" i="12" l="1"/>
  <c r="I182" i="12"/>
  <c r="K182" i="12"/>
  <c r="C183" i="12" s="1"/>
  <c r="H182" i="10"/>
  <c r="E182" i="10"/>
  <c r="J182" i="10"/>
  <c r="G183" i="12" l="1"/>
  <c r="L182" i="12"/>
  <c r="F182" i="10"/>
  <c r="I182" i="10"/>
  <c r="K182" i="10"/>
  <c r="C183" i="10" s="1"/>
  <c r="H183" i="12" l="1"/>
  <c r="E183" i="12"/>
  <c r="J183" i="12"/>
  <c r="G183" i="10"/>
  <c r="L182" i="10"/>
  <c r="F183" i="12" l="1"/>
  <c r="K183" i="12"/>
  <c r="C184" i="12" s="1"/>
  <c r="I183" i="12"/>
  <c r="H183" i="10"/>
  <c r="E183" i="10"/>
  <c r="J183" i="10"/>
  <c r="L183" i="12" l="1"/>
  <c r="G184" i="12"/>
  <c r="F183" i="10"/>
  <c r="K183" i="10"/>
  <c r="C184" i="10" s="1"/>
  <c r="I183" i="10"/>
  <c r="H184" i="12" l="1"/>
  <c r="E184" i="12"/>
  <c r="J184" i="12"/>
  <c r="L183" i="10"/>
  <c r="G184" i="10"/>
  <c r="F184" i="12" l="1"/>
  <c r="I184" i="12"/>
  <c r="K184" i="12"/>
  <c r="C185" i="12" s="1"/>
  <c r="H184" i="10"/>
  <c r="E184" i="10"/>
  <c r="J184" i="10"/>
  <c r="L184" i="12" l="1"/>
  <c r="G185" i="12"/>
  <c r="F184" i="10"/>
  <c r="I184" i="10"/>
  <c r="K184" i="10"/>
  <c r="C185" i="10" s="1"/>
  <c r="H185" i="12" l="1"/>
  <c r="E185" i="12"/>
  <c r="J185" i="12"/>
  <c r="G185" i="10"/>
  <c r="L184" i="10"/>
  <c r="F185" i="12" l="1"/>
  <c r="I185" i="12"/>
  <c r="K185" i="12"/>
  <c r="C186" i="12" s="1"/>
  <c r="H185" i="10"/>
  <c r="E185" i="10"/>
  <c r="J185" i="10"/>
  <c r="G186" i="12" l="1"/>
  <c r="L185" i="12"/>
  <c r="F185" i="10"/>
  <c r="K185" i="10"/>
  <c r="C186" i="10" s="1"/>
  <c r="I185" i="10"/>
  <c r="H186" i="12" l="1"/>
  <c r="E186" i="12"/>
  <c r="J186" i="12"/>
  <c r="L185" i="10"/>
  <c r="G186" i="10"/>
  <c r="F186" i="12" l="1"/>
  <c r="K186" i="12"/>
  <c r="C187" i="12" s="1"/>
  <c r="I186" i="12"/>
  <c r="H186" i="10"/>
  <c r="E186" i="10"/>
  <c r="J186" i="10"/>
  <c r="G187" i="12" l="1"/>
  <c r="L186" i="12"/>
  <c r="F186" i="10"/>
  <c r="I186" i="10"/>
  <c r="K186" i="10"/>
  <c r="C187" i="10" s="1"/>
  <c r="H187" i="12" l="1"/>
  <c r="E187" i="12"/>
  <c r="J187" i="12"/>
  <c r="G187" i="10"/>
  <c r="L186" i="10"/>
  <c r="F187" i="12" l="1"/>
  <c r="K187" i="12"/>
  <c r="C188" i="12" s="1"/>
  <c r="I187" i="12"/>
  <c r="H187" i="10"/>
  <c r="E187" i="10"/>
  <c r="J187" i="10"/>
  <c r="L187" i="12" l="1"/>
  <c r="G188" i="12"/>
  <c r="F187" i="10"/>
  <c r="K187" i="10"/>
  <c r="C188" i="10" s="1"/>
  <c r="I187" i="10"/>
  <c r="H188" i="12" l="1"/>
  <c r="E188" i="12"/>
  <c r="J188" i="12"/>
  <c r="L187" i="10"/>
  <c r="G188" i="10"/>
  <c r="F188" i="12" l="1"/>
  <c r="I188" i="12"/>
  <c r="K188" i="12"/>
  <c r="C189" i="12" s="1"/>
  <c r="H188" i="10"/>
  <c r="E188" i="10"/>
  <c r="J188" i="10"/>
  <c r="L188" i="12" l="1"/>
  <c r="G189" i="12"/>
  <c r="F188" i="10"/>
  <c r="I188" i="10"/>
  <c r="K188" i="10"/>
  <c r="C189" i="10" s="1"/>
  <c r="H189" i="12" l="1"/>
  <c r="E189" i="12"/>
  <c r="J189" i="12"/>
  <c r="G189" i="10"/>
  <c r="L188" i="10"/>
  <c r="F189" i="12" l="1"/>
  <c r="I189" i="12"/>
  <c r="K189" i="12"/>
  <c r="C190" i="12" s="1"/>
  <c r="H189" i="10"/>
  <c r="E189" i="10"/>
  <c r="J189" i="10"/>
  <c r="G190" i="12" l="1"/>
  <c r="L189" i="12"/>
  <c r="F189" i="10"/>
  <c r="K189" i="10"/>
  <c r="C190" i="10" s="1"/>
  <c r="I189" i="10"/>
  <c r="H190" i="12" l="1"/>
  <c r="E190" i="12"/>
  <c r="J190" i="12"/>
  <c r="L189" i="10"/>
  <c r="G190" i="10"/>
  <c r="F190" i="12" l="1"/>
  <c r="K190" i="12"/>
  <c r="C191" i="12" s="1"/>
  <c r="I190" i="12"/>
  <c r="H190" i="10"/>
  <c r="E190" i="10"/>
  <c r="J190" i="10"/>
  <c r="L190" i="12" l="1"/>
  <c r="G191" i="12"/>
  <c r="F190" i="10"/>
  <c r="I190" i="10"/>
  <c r="K190" i="10"/>
  <c r="C191" i="10" s="1"/>
  <c r="H191" i="12" l="1"/>
  <c r="E191" i="12"/>
  <c r="J191" i="12"/>
  <c r="G191" i="10"/>
  <c r="L190" i="10"/>
  <c r="F191" i="12" l="1"/>
  <c r="I191" i="12"/>
  <c r="K191" i="12"/>
  <c r="C192" i="12" s="1"/>
  <c r="H191" i="10"/>
  <c r="E191" i="10"/>
  <c r="J191" i="10"/>
  <c r="G192" i="12" l="1"/>
  <c r="L191" i="12"/>
  <c r="F191" i="10"/>
  <c r="K191" i="10"/>
  <c r="C192" i="10" s="1"/>
  <c r="I191" i="10"/>
  <c r="H192" i="12" l="1"/>
  <c r="E192" i="12"/>
  <c r="J192" i="12"/>
  <c r="L191" i="10"/>
  <c r="G192" i="10"/>
  <c r="F192" i="12" l="1"/>
  <c r="K192" i="12"/>
  <c r="C193" i="12" s="1"/>
  <c r="I192" i="12"/>
  <c r="H192" i="10"/>
  <c r="E192" i="10"/>
  <c r="J192" i="10"/>
  <c r="G193" i="12" l="1"/>
  <c r="L192" i="12"/>
  <c r="F192" i="10"/>
  <c r="I192" i="10"/>
  <c r="K192" i="10"/>
  <c r="C193" i="10" s="1"/>
  <c r="H193" i="12" l="1"/>
  <c r="E193" i="12"/>
  <c r="J193" i="12"/>
  <c r="L192" i="10"/>
  <c r="G193" i="10"/>
  <c r="F193" i="12" l="1"/>
  <c r="K193" i="12"/>
  <c r="C194" i="12" s="1"/>
  <c r="I193" i="12"/>
  <c r="H193" i="10"/>
  <c r="E193" i="10"/>
  <c r="J193" i="10"/>
  <c r="G194" i="12" l="1"/>
  <c r="L193" i="12"/>
  <c r="F193" i="10"/>
  <c r="I193" i="10"/>
  <c r="K193" i="10"/>
  <c r="C194" i="10" s="1"/>
  <c r="H194" i="12" l="1"/>
  <c r="E194" i="12"/>
  <c r="J194" i="12"/>
  <c r="G194" i="10"/>
  <c r="L193" i="10"/>
  <c r="F194" i="12" l="1"/>
  <c r="K194" i="12"/>
  <c r="C195" i="12" s="1"/>
  <c r="I194" i="12"/>
  <c r="H194" i="10"/>
  <c r="E194" i="10"/>
  <c r="J194" i="10"/>
  <c r="G195" i="12" l="1"/>
  <c r="L194" i="12"/>
  <c r="F194" i="10"/>
  <c r="K194" i="10"/>
  <c r="C195" i="10" s="1"/>
  <c r="I194" i="10"/>
  <c r="H195" i="12" l="1"/>
  <c r="E195" i="12"/>
  <c r="J195" i="12"/>
  <c r="L194" i="10"/>
  <c r="G195" i="10"/>
  <c r="F195" i="12" l="1"/>
  <c r="K195" i="12"/>
  <c r="C196" i="12" s="1"/>
  <c r="I195" i="12"/>
  <c r="H195" i="10"/>
  <c r="E195" i="10"/>
  <c r="J195" i="10"/>
  <c r="G196" i="12" l="1"/>
  <c r="L195" i="12"/>
  <c r="F195" i="10"/>
  <c r="I195" i="10"/>
  <c r="K195" i="10"/>
  <c r="C196" i="10" s="1"/>
  <c r="H196" i="12" l="1"/>
  <c r="E196" i="12"/>
  <c r="J196" i="12"/>
  <c r="G196" i="10"/>
  <c r="L195" i="10"/>
  <c r="F196" i="12" l="1"/>
  <c r="K196" i="12"/>
  <c r="C197" i="12" s="1"/>
  <c r="I196" i="12"/>
  <c r="H196" i="10"/>
  <c r="E196" i="10"/>
  <c r="J196" i="10"/>
  <c r="L196" i="12" l="1"/>
  <c r="G197" i="12"/>
  <c r="F196" i="10"/>
  <c r="K196" i="10"/>
  <c r="C197" i="10" s="1"/>
  <c r="I196" i="10"/>
  <c r="H197" i="12" l="1"/>
  <c r="E197" i="12"/>
  <c r="J197" i="12"/>
  <c r="G197" i="10"/>
  <c r="L196" i="10"/>
  <c r="F197" i="12" l="1"/>
  <c r="I197" i="12"/>
  <c r="K197" i="12"/>
  <c r="C198" i="12" s="1"/>
  <c r="H197" i="10"/>
  <c r="E197" i="10"/>
  <c r="J197" i="10"/>
  <c r="L197" i="12" l="1"/>
  <c r="G198" i="12"/>
  <c r="F197" i="10"/>
  <c r="K197" i="10"/>
  <c r="C198" i="10" s="1"/>
  <c r="I197" i="10"/>
  <c r="H198" i="12" l="1"/>
  <c r="E198" i="12"/>
  <c r="J198" i="12"/>
  <c r="L197" i="10"/>
  <c r="G198" i="10"/>
  <c r="F198" i="12" l="1"/>
  <c r="I198" i="12"/>
  <c r="K198" i="12"/>
  <c r="C199" i="12" s="1"/>
  <c r="H198" i="10"/>
  <c r="E198" i="10"/>
  <c r="J198" i="10"/>
  <c r="G199" i="12" l="1"/>
  <c r="L198" i="12"/>
  <c r="F198" i="10"/>
  <c r="I198" i="10"/>
  <c r="K198" i="10"/>
  <c r="C199" i="10" s="1"/>
  <c r="H199" i="12" l="1"/>
  <c r="E199" i="12"/>
  <c r="J199" i="12"/>
  <c r="G199" i="10"/>
  <c r="L198" i="10"/>
  <c r="F199" i="12" l="1"/>
  <c r="K199" i="12"/>
  <c r="C200" i="12" s="1"/>
  <c r="I199" i="12"/>
  <c r="H199" i="10"/>
  <c r="E199" i="10"/>
  <c r="J199" i="10"/>
  <c r="L199" i="12" l="1"/>
  <c r="G200" i="12"/>
  <c r="F199" i="10"/>
  <c r="K199" i="10"/>
  <c r="C200" i="10" s="1"/>
  <c r="I199" i="10"/>
  <c r="H200" i="12" l="1"/>
  <c r="E200" i="12"/>
  <c r="J200" i="12"/>
  <c r="L199" i="10"/>
  <c r="G200" i="10"/>
  <c r="F200" i="12" l="1"/>
  <c r="K200" i="12"/>
  <c r="C201" i="12" s="1"/>
  <c r="I200" i="12"/>
  <c r="H200" i="10"/>
  <c r="E200" i="10"/>
  <c r="J200" i="10"/>
  <c r="G201" i="12" l="1"/>
  <c r="L200" i="12"/>
  <c r="F200" i="10"/>
  <c r="I200" i="10"/>
  <c r="K200" i="10"/>
  <c r="C201" i="10" s="1"/>
  <c r="H201" i="12" l="1"/>
  <c r="E201" i="12"/>
  <c r="J201" i="12"/>
  <c r="G201" i="10"/>
  <c r="L200" i="10"/>
  <c r="F201" i="12" l="1"/>
  <c r="K201" i="12"/>
  <c r="C202" i="12" s="1"/>
  <c r="I201" i="12"/>
  <c r="H201" i="10"/>
  <c r="E201" i="10"/>
  <c r="J201" i="10"/>
  <c r="L201" i="12" l="1"/>
  <c r="G202" i="12"/>
  <c r="F201" i="10"/>
  <c r="K201" i="10"/>
  <c r="C202" i="10" s="1"/>
  <c r="I201" i="10"/>
  <c r="H202" i="12" l="1"/>
  <c r="E202" i="12"/>
  <c r="J202" i="12"/>
  <c r="L201" i="10"/>
  <c r="G202" i="10"/>
  <c r="F202" i="12" l="1"/>
  <c r="I202" i="12"/>
  <c r="K202" i="12"/>
  <c r="C203" i="12" s="1"/>
  <c r="H202" i="10"/>
  <c r="E202" i="10"/>
  <c r="J202" i="10"/>
  <c r="L202" i="12" l="1"/>
  <c r="G203" i="12"/>
  <c r="F202" i="10"/>
  <c r="I202" i="10"/>
  <c r="K202" i="10"/>
  <c r="C203" i="10" s="1"/>
  <c r="H203" i="12" l="1"/>
  <c r="E203" i="12"/>
  <c r="J203" i="12"/>
  <c r="G203" i="10"/>
  <c r="L202" i="10"/>
  <c r="F203" i="12" l="1"/>
  <c r="I203" i="12"/>
  <c r="K203" i="12"/>
  <c r="C204" i="12" s="1"/>
  <c r="H203" i="10"/>
  <c r="E203" i="10"/>
  <c r="J203" i="10"/>
  <c r="G204" i="12" l="1"/>
  <c r="L203" i="12"/>
  <c r="F203" i="10"/>
  <c r="K203" i="10"/>
  <c r="C204" i="10" s="1"/>
  <c r="I203" i="10"/>
  <c r="H204" i="12" l="1"/>
  <c r="E204" i="12"/>
  <c r="J204" i="12"/>
  <c r="L203" i="10"/>
  <c r="G204" i="10"/>
  <c r="F204" i="12" l="1"/>
  <c r="K204" i="12"/>
  <c r="C205" i="12" s="1"/>
  <c r="I204" i="12"/>
  <c r="H204" i="10"/>
  <c r="E204" i="10"/>
  <c r="J204" i="10"/>
  <c r="L204" i="12" l="1"/>
  <c r="G205" i="12"/>
  <c r="F204" i="10"/>
  <c r="I204" i="10"/>
  <c r="K204" i="10"/>
  <c r="C205" i="10" s="1"/>
  <c r="H205" i="12" l="1"/>
  <c r="E205" i="12"/>
  <c r="J205" i="12"/>
  <c r="G205" i="10"/>
  <c r="L204" i="10"/>
  <c r="F205" i="12" l="1"/>
  <c r="K205" i="12"/>
  <c r="C206" i="12" s="1"/>
  <c r="I205" i="12"/>
  <c r="H205" i="10"/>
  <c r="E205" i="10"/>
  <c r="J205" i="10"/>
  <c r="L205" i="12" l="1"/>
  <c r="G206" i="12"/>
  <c r="F205" i="10"/>
  <c r="K205" i="10"/>
  <c r="C206" i="10" s="1"/>
  <c r="I205" i="10"/>
  <c r="H206" i="12" l="1"/>
  <c r="E206" i="12"/>
  <c r="J206" i="12"/>
  <c r="L205" i="10"/>
  <c r="G206" i="10"/>
  <c r="F206" i="12" l="1"/>
  <c r="I206" i="12"/>
  <c r="K206" i="12"/>
  <c r="C207" i="12" s="1"/>
  <c r="H206" i="10"/>
  <c r="E206" i="10"/>
  <c r="J206" i="10"/>
  <c r="G207" i="12" l="1"/>
  <c r="L206" i="12"/>
  <c r="F206" i="10"/>
  <c r="I206" i="10"/>
  <c r="K206" i="10"/>
  <c r="C207" i="10" s="1"/>
  <c r="H207" i="12" l="1"/>
  <c r="E207" i="12"/>
  <c r="J207" i="12"/>
  <c r="G207" i="10"/>
  <c r="L206" i="10"/>
  <c r="F207" i="12" l="1"/>
  <c r="K207" i="12"/>
  <c r="C208" i="12" s="1"/>
  <c r="I207" i="12"/>
  <c r="H207" i="10"/>
  <c r="E207" i="10"/>
  <c r="J207" i="10"/>
  <c r="G208" i="12" l="1"/>
  <c r="L207" i="12"/>
  <c r="F207" i="10"/>
  <c r="K207" i="10"/>
  <c r="C208" i="10" s="1"/>
  <c r="I207" i="10"/>
  <c r="H208" i="12" l="1"/>
  <c r="E208" i="12"/>
  <c r="J208" i="12"/>
  <c r="L207" i="10"/>
  <c r="G208" i="10"/>
  <c r="F208" i="12" l="1"/>
  <c r="K208" i="12"/>
  <c r="C209" i="12" s="1"/>
  <c r="I208" i="12"/>
  <c r="H208" i="10"/>
  <c r="E208" i="10"/>
  <c r="J208" i="10"/>
  <c r="G209" i="12" l="1"/>
  <c r="L208" i="12"/>
  <c r="F208" i="10"/>
  <c r="I208" i="10"/>
  <c r="K208" i="10"/>
  <c r="C209" i="10" s="1"/>
  <c r="H209" i="12" l="1"/>
  <c r="E209" i="12"/>
  <c r="J209" i="12"/>
  <c r="G209" i="10"/>
  <c r="L208" i="10"/>
  <c r="F209" i="12" l="1"/>
  <c r="K209" i="12"/>
  <c r="C210" i="12" s="1"/>
  <c r="I209" i="12"/>
  <c r="H209" i="10"/>
  <c r="E209" i="10"/>
  <c r="J209" i="10"/>
  <c r="L209" i="12" l="1"/>
  <c r="G210" i="12"/>
  <c r="F209" i="10"/>
  <c r="K209" i="10"/>
  <c r="C210" i="10" s="1"/>
  <c r="I209" i="10"/>
  <c r="H210" i="12" l="1"/>
  <c r="E210" i="12"/>
  <c r="J210" i="12"/>
  <c r="L209" i="10"/>
  <c r="G210" i="10"/>
  <c r="F210" i="12" l="1"/>
  <c r="I210" i="12"/>
  <c r="K210" i="12"/>
  <c r="C211" i="12" s="1"/>
  <c r="H210" i="10"/>
  <c r="E210" i="10"/>
  <c r="J210" i="10"/>
  <c r="G211" i="12" l="1"/>
  <c r="L210" i="12"/>
  <c r="F210" i="10"/>
  <c r="I210" i="10"/>
  <c r="K210" i="10"/>
  <c r="C211" i="10" s="1"/>
  <c r="H211" i="12" l="1"/>
  <c r="E211" i="12"/>
  <c r="J211" i="12"/>
  <c r="G211" i="10"/>
  <c r="L210" i="10"/>
  <c r="F211" i="12" l="1"/>
  <c r="I211" i="12"/>
  <c r="K211" i="12"/>
  <c r="C212" i="12" s="1"/>
  <c r="H211" i="10"/>
  <c r="E211" i="10"/>
  <c r="J211" i="10"/>
  <c r="L211" i="12" l="1"/>
  <c r="G212" i="12"/>
  <c r="F211" i="10"/>
  <c r="K211" i="10"/>
  <c r="C212" i="10" s="1"/>
  <c r="I211" i="10"/>
  <c r="H212" i="12" l="1"/>
  <c r="E212" i="12"/>
  <c r="J212" i="12"/>
  <c r="L211" i="10"/>
  <c r="G212" i="10"/>
  <c r="F212" i="12" l="1"/>
  <c r="I212" i="12"/>
  <c r="K212" i="12"/>
  <c r="C213" i="12" s="1"/>
  <c r="H212" i="10"/>
  <c r="E212" i="10"/>
  <c r="J212" i="10"/>
  <c r="G213" i="12" l="1"/>
  <c r="L212" i="12"/>
  <c r="F212" i="10"/>
  <c r="I212" i="10"/>
  <c r="K212" i="10"/>
  <c r="C213" i="10" s="1"/>
  <c r="H213" i="12" l="1"/>
  <c r="E213" i="12"/>
  <c r="J213" i="12"/>
  <c r="G213" i="10"/>
  <c r="L212" i="10"/>
  <c r="F213" i="12" l="1"/>
  <c r="K213" i="12"/>
  <c r="C214" i="12" s="1"/>
  <c r="I213" i="12"/>
  <c r="H213" i="10"/>
  <c r="E213" i="10"/>
  <c r="J213" i="10"/>
  <c r="L213" i="12" l="1"/>
  <c r="G214" i="12"/>
  <c r="F213" i="10"/>
  <c r="K213" i="10"/>
  <c r="C214" i="10" s="1"/>
  <c r="I213" i="10"/>
  <c r="H214" i="12" l="1"/>
  <c r="E214" i="12"/>
  <c r="J214" i="12"/>
  <c r="L213" i="10"/>
  <c r="G214" i="10"/>
  <c r="F214" i="12" l="1"/>
  <c r="I214" i="12"/>
  <c r="K214" i="12"/>
  <c r="C215" i="12" s="1"/>
  <c r="H214" i="10"/>
  <c r="E214" i="10"/>
  <c r="J214" i="10"/>
  <c r="G215" i="12" l="1"/>
  <c r="L214" i="12"/>
  <c r="F214" i="10"/>
  <c r="I214" i="10"/>
  <c r="K214" i="10"/>
  <c r="C215" i="10" s="1"/>
  <c r="H215" i="12" l="1"/>
  <c r="E215" i="12"/>
  <c r="J215" i="12"/>
  <c r="G215" i="10"/>
  <c r="L214" i="10"/>
  <c r="F215" i="12" l="1"/>
  <c r="K215" i="12"/>
  <c r="C216" i="12" s="1"/>
  <c r="I215" i="12"/>
  <c r="H215" i="10"/>
  <c r="E215" i="10"/>
  <c r="J215" i="10"/>
  <c r="G216" i="12" l="1"/>
  <c r="L215" i="12"/>
  <c r="F215" i="10"/>
  <c r="K215" i="10"/>
  <c r="C216" i="10" s="1"/>
  <c r="I215" i="10"/>
  <c r="H216" i="12" l="1"/>
  <c r="E216" i="12"/>
  <c r="J216" i="12"/>
  <c r="G216" i="10"/>
  <c r="L215" i="10"/>
  <c r="F216" i="12" l="1"/>
  <c r="K216" i="12"/>
  <c r="C217" i="12" s="1"/>
  <c r="I216" i="12"/>
  <c r="H216" i="10"/>
  <c r="E216" i="10"/>
  <c r="J216" i="10"/>
  <c r="G217" i="12" l="1"/>
  <c r="L216" i="12"/>
  <c r="F216" i="10"/>
  <c r="K216" i="10"/>
  <c r="C217" i="10" s="1"/>
  <c r="I216" i="10"/>
  <c r="H217" i="12" l="1"/>
  <c r="E217" i="12"/>
  <c r="J217" i="12"/>
  <c r="L216" i="10"/>
  <c r="G217" i="10"/>
  <c r="F217" i="12" l="1"/>
  <c r="K217" i="12"/>
  <c r="C218" i="12" s="1"/>
  <c r="I217" i="12"/>
  <c r="H217" i="10"/>
  <c r="E217" i="10"/>
  <c r="J217" i="10"/>
  <c r="G218" i="12" l="1"/>
  <c r="L217" i="12"/>
  <c r="F217" i="10"/>
  <c r="I217" i="10"/>
  <c r="K217" i="10"/>
  <c r="C218" i="10" s="1"/>
  <c r="H218" i="12" l="1"/>
  <c r="E218" i="12"/>
  <c r="J218" i="12"/>
  <c r="G218" i="10"/>
  <c r="L217" i="10"/>
  <c r="F218" i="12" l="1"/>
  <c r="K218" i="12"/>
  <c r="C219" i="12" s="1"/>
  <c r="I218" i="12"/>
  <c r="H218" i="10"/>
  <c r="E218" i="10"/>
  <c r="J218" i="10"/>
  <c r="G219" i="12" l="1"/>
  <c r="L218" i="12"/>
  <c r="F218" i="10"/>
  <c r="K218" i="10"/>
  <c r="C219" i="10" s="1"/>
  <c r="I218" i="10"/>
  <c r="H219" i="12" l="1"/>
  <c r="E219" i="12"/>
  <c r="J219" i="12"/>
  <c r="L218" i="10"/>
  <c r="G219" i="10"/>
  <c r="F219" i="12" l="1"/>
  <c r="K219" i="12"/>
  <c r="C220" i="12" s="1"/>
  <c r="I219" i="12"/>
  <c r="H219" i="10"/>
  <c r="E219" i="10"/>
  <c r="J219" i="10"/>
  <c r="L219" i="12" l="1"/>
  <c r="G220" i="12"/>
  <c r="F219" i="10"/>
  <c r="I219" i="10"/>
  <c r="K219" i="10"/>
  <c r="C220" i="10" s="1"/>
  <c r="H220" i="12" l="1"/>
  <c r="E220" i="12"/>
  <c r="J220" i="12"/>
  <c r="G220" i="10"/>
  <c r="L219" i="10"/>
  <c r="F220" i="12" l="1"/>
  <c r="I220" i="12"/>
  <c r="K220" i="12"/>
  <c r="C221" i="12" s="1"/>
  <c r="H220" i="10"/>
  <c r="E220" i="10"/>
  <c r="J220" i="10"/>
  <c r="G221" i="12" l="1"/>
  <c r="L220" i="12"/>
  <c r="F220" i="10"/>
  <c r="K220" i="10"/>
  <c r="C221" i="10" s="1"/>
  <c r="I220" i="10"/>
  <c r="H221" i="12" l="1"/>
  <c r="E221" i="12"/>
  <c r="J221" i="12"/>
  <c r="L220" i="10"/>
  <c r="G221" i="10"/>
  <c r="F221" i="12" l="1"/>
  <c r="K221" i="12"/>
  <c r="C222" i="12" s="1"/>
  <c r="I221" i="12"/>
  <c r="H221" i="10"/>
  <c r="E221" i="10"/>
  <c r="J221" i="10"/>
  <c r="L221" i="12" l="1"/>
  <c r="G222" i="12"/>
  <c r="F221" i="10"/>
  <c r="I221" i="10"/>
  <c r="K221" i="10"/>
  <c r="C222" i="10" s="1"/>
  <c r="H222" i="12" l="1"/>
  <c r="E222" i="12"/>
  <c r="J222" i="12"/>
  <c r="G222" i="10"/>
  <c r="L221" i="10"/>
  <c r="F222" i="12" l="1"/>
  <c r="I222" i="12"/>
  <c r="K222" i="12"/>
  <c r="C223" i="12" s="1"/>
  <c r="H222" i="10"/>
  <c r="E222" i="10"/>
  <c r="J222" i="10"/>
  <c r="G223" i="12" l="1"/>
  <c r="L222" i="12"/>
  <c r="F222" i="10"/>
  <c r="I222" i="10"/>
  <c r="K222" i="10"/>
  <c r="C223" i="10" s="1"/>
  <c r="H223" i="12" l="1"/>
  <c r="E223" i="12"/>
  <c r="J223" i="12"/>
  <c r="G223" i="10"/>
  <c r="L222" i="10"/>
  <c r="F223" i="12" l="1"/>
  <c r="K223" i="12"/>
  <c r="C224" i="12" s="1"/>
  <c r="I223" i="12"/>
  <c r="H223" i="10"/>
  <c r="E223" i="10"/>
  <c r="J223" i="10"/>
  <c r="L223" i="12" l="1"/>
  <c r="G224" i="12"/>
  <c r="F223" i="10"/>
  <c r="K223" i="10"/>
  <c r="C224" i="10" s="1"/>
  <c r="I223" i="10"/>
  <c r="H224" i="12" l="1"/>
  <c r="E224" i="12"/>
  <c r="J224" i="12"/>
  <c r="G224" i="10"/>
  <c r="L223" i="10"/>
  <c r="F224" i="12" l="1"/>
  <c r="I224" i="12"/>
  <c r="K224" i="12"/>
  <c r="C225" i="12" s="1"/>
  <c r="H224" i="10"/>
  <c r="E224" i="10"/>
  <c r="J224" i="10"/>
  <c r="L224" i="12" l="1"/>
  <c r="G225" i="12"/>
  <c r="F224" i="10"/>
  <c r="K224" i="10"/>
  <c r="C225" i="10" s="1"/>
  <c r="I224" i="10"/>
  <c r="H225" i="12" l="1"/>
  <c r="E225" i="12"/>
  <c r="J225" i="12"/>
  <c r="L224" i="10"/>
  <c r="G225" i="10"/>
  <c r="F225" i="12" l="1"/>
  <c r="I225" i="12"/>
  <c r="K225" i="12"/>
  <c r="C226" i="12" s="1"/>
  <c r="H225" i="10"/>
  <c r="E225" i="10"/>
  <c r="J225" i="10"/>
  <c r="L225" i="12" l="1"/>
  <c r="G226" i="12"/>
  <c r="F225" i="10"/>
  <c r="I225" i="10"/>
  <c r="K225" i="10"/>
  <c r="C226" i="10" s="1"/>
  <c r="H226" i="12" l="1"/>
  <c r="E226" i="12"/>
  <c r="J226" i="12"/>
  <c r="G226" i="10"/>
  <c r="L225" i="10"/>
  <c r="F226" i="12" l="1"/>
  <c r="I226" i="12"/>
  <c r="K226" i="12"/>
  <c r="C227" i="12" s="1"/>
  <c r="H226" i="10"/>
  <c r="E226" i="10"/>
  <c r="J226" i="10"/>
  <c r="G227" i="12" l="1"/>
  <c r="L226" i="12"/>
  <c r="F226" i="10"/>
  <c r="K226" i="10"/>
  <c r="C227" i="10" s="1"/>
  <c r="I226" i="10"/>
  <c r="H227" i="12" l="1"/>
  <c r="E227" i="12"/>
  <c r="J227" i="12"/>
  <c r="L226" i="10"/>
  <c r="G227" i="10"/>
  <c r="F227" i="12" l="1"/>
  <c r="K227" i="12"/>
  <c r="C228" i="12" s="1"/>
  <c r="I227" i="12"/>
  <c r="H227" i="10"/>
  <c r="E227" i="10"/>
  <c r="J227" i="10"/>
  <c r="G228" i="12" l="1"/>
  <c r="L227" i="12"/>
  <c r="F227" i="10"/>
  <c r="K227" i="10"/>
  <c r="C228" i="10" s="1"/>
  <c r="I227" i="10"/>
  <c r="H228" i="12" l="1"/>
  <c r="E228" i="12"/>
  <c r="J228" i="12"/>
  <c r="L227" i="10"/>
  <c r="G228" i="10"/>
  <c r="F228" i="12" l="1"/>
  <c r="K228" i="12"/>
  <c r="C229" i="12" s="1"/>
  <c r="I228" i="12"/>
  <c r="H228" i="10"/>
  <c r="E228" i="10"/>
  <c r="J228" i="10"/>
  <c r="L228" i="12" l="1"/>
  <c r="G229" i="12"/>
  <c r="F228" i="10"/>
  <c r="I228" i="10"/>
  <c r="K228" i="10"/>
  <c r="C229" i="10" s="1"/>
  <c r="H229" i="12" l="1"/>
  <c r="E229" i="12"/>
  <c r="J229" i="12"/>
  <c r="G229" i="10"/>
  <c r="L228" i="10"/>
  <c r="F229" i="12" l="1"/>
  <c r="I229" i="12"/>
  <c r="K229" i="12"/>
  <c r="C230" i="12" s="1"/>
  <c r="H229" i="10"/>
  <c r="E229" i="10"/>
  <c r="J229" i="10"/>
  <c r="L229" i="12" l="1"/>
  <c r="G230" i="12"/>
  <c r="F229" i="10"/>
  <c r="K229" i="10"/>
  <c r="C230" i="10" s="1"/>
  <c r="I229" i="10"/>
  <c r="H230" i="12" l="1"/>
  <c r="E230" i="12"/>
  <c r="J230" i="12"/>
  <c r="L229" i="10"/>
  <c r="G230" i="10"/>
  <c r="F230" i="12" l="1"/>
  <c r="I230" i="12"/>
  <c r="K230" i="12"/>
  <c r="C231" i="12" s="1"/>
  <c r="H230" i="10"/>
  <c r="E230" i="10"/>
  <c r="J230" i="10"/>
  <c r="G231" i="12" l="1"/>
  <c r="L230" i="12"/>
  <c r="F230" i="10"/>
  <c r="I230" i="10"/>
  <c r="K230" i="10"/>
  <c r="C231" i="10" s="1"/>
  <c r="H231" i="12" l="1"/>
  <c r="E231" i="12"/>
  <c r="J231" i="12"/>
  <c r="G231" i="10"/>
  <c r="L230" i="10"/>
  <c r="F231" i="12" l="1"/>
  <c r="I231" i="12"/>
  <c r="K231" i="12"/>
  <c r="C232" i="12" s="1"/>
  <c r="H231" i="10"/>
  <c r="E231" i="10"/>
  <c r="J231" i="10"/>
  <c r="G232" i="12" l="1"/>
  <c r="L231" i="12"/>
  <c r="F231" i="10"/>
  <c r="K231" i="10"/>
  <c r="C232" i="10" s="1"/>
  <c r="I231" i="10"/>
  <c r="H232" i="12" l="1"/>
  <c r="E232" i="12"/>
  <c r="J232" i="12"/>
  <c r="L231" i="10"/>
  <c r="G232" i="10"/>
  <c r="F232" i="12" l="1"/>
  <c r="K232" i="12"/>
  <c r="C233" i="12" s="1"/>
  <c r="I232" i="12"/>
  <c r="H232" i="10"/>
  <c r="E232" i="10"/>
  <c r="J232" i="10"/>
  <c r="G233" i="12" l="1"/>
  <c r="L232" i="12"/>
  <c r="F232" i="10"/>
  <c r="I232" i="10"/>
  <c r="K232" i="10"/>
  <c r="C233" i="10" s="1"/>
  <c r="H233" i="12" l="1"/>
  <c r="E233" i="12"/>
  <c r="J233" i="12"/>
  <c r="L232" i="10"/>
  <c r="G233" i="10"/>
  <c r="F233" i="12" l="1"/>
  <c r="K233" i="12"/>
  <c r="C234" i="12" s="1"/>
  <c r="I233" i="12"/>
  <c r="H233" i="10"/>
  <c r="E233" i="10"/>
  <c r="J233" i="10"/>
  <c r="L233" i="12" l="1"/>
  <c r="G234" i="12"/>
  <c r="F233" i="10"/>
  <c r="I233" i="10"/>
  <c r="K233" i="10"/>
  <c r="C234" i="10" s="1"/>
  <c r="H234" i="12" l="1"/>
  <c r="E234" i="12"/>
  <c r="J234" i="12"/>
  <c r="G234" i="10"/>
  <c r="L233" i="10"/>
  <c r="F234" i="12" l="1"/>
  <c r="I234" i="12"/>
  <c r="K234" i="12"/>
  <c r="C235" i="12" s="1"/>
  <c r="H234" i="10"/>
  <c r="E234" i="10"/>
  <c r="J234" i="10"/>
  <c r="G235" i="12" l="1"/>
  <c r="L234" i="12"/>
  <c r="F234" i="10"/>
  <c r="K234" i="10"/>
  <c r="C235" i="10" s="1"/>
  <c r="I234" i="10"/>
  <c r="H235" i="12" l="1"/>
  <c r="E235" i="12"/>
  <c r="J235" i="12"/>
  <c r="L234" i="10"/>
  <c r="G235" i="10"/>
  <c r="F235" i="12" l="1"/>
  <c r="K235" i="12"/>
  <c r="C236" i="12" s="1"/>
  <c r="I235" i="12"/>
  <c r="H235" i="10"/>
  <c r="E235" i="10"/>
  <c r="J235" i="10"/>
  <c r="L235" i="12" l="1"/>
  <c r="G236" i="12"/>
  <c r="F235" i="10"/>
  <c r="I235" i="10"/>
  <c r="K235" i="10"/>
  <c r="C236" i="10" s="1"/>
  <c r="H236" i="12" l="1"/>
  <c r="E236" i="12"/>
  <c r="J236" i="12"/>
  <c r="L235" i="10"/>
  <c r="G236" i="10"/>
  <c r="F236" i="12" l="1"/>
  <c r="I236" i="12"/>
  <c r="K236" i="12"/>
  <c r="C237" i="12" s="1"/>
  <c r="H236" i="10"/>
  <c r="E236" i="10"/>
  <c r="J236" i="10"/>
  <c r="G237" i="12" l="1"/>
  <c r="L236" i="12"/>
  <c r="F236" i="10"/>
  <c r="I236" i="10"/>
  <c r="K236" i="10"/>
  <c r="C237" i="10" s="1"/>
  <c r="H237" i="12" l="1"/>
  <c r="E237" i="12"/>
  <c r="J237" i="12"/>
  <c r="G237" i="10"/>
  <c r="L236" i="10"/>
  <c r="F237" i="12" l="1"/>
  <c r="K237" i="12"/>
  <c r="C238" i="12" s="1"/>
  <c r="I237" i="12"/>
  <c r="H237" i="10"/>
  <c r="E237" i="10"/>
  <c r="J237" i="10"/>
  <c r="L237" i="12" l="1"/>
  <c r="G238" i="12"/>
  <c r="F237" i="10"/>
  <c r="K237" i="10"/>
  <c r="C238" i="10" s="1"/>
  <c r="I237" i="10"/>
  <c r="H238" i="12" l="1"/>
  <c r="E238" i="12"/>
  <c r="J238" i="12"/>
  <c r="G238" i="10"/>
  <c r="L237" i="10"/>
  <c r="F238" i="12" l="1"/>
  <c r="K238" i="12"/>
  <c r="C239" i="12" s="1"/>
  <c r="I238" i="12"/>
  <c r="H238" i="10"/>
  <c r="E238" i="10"/>
  <c r="J238" i="10"/>
  <c r="L238" i="12" l="1"/>
  <c r="G239" i="12"/>
  <c r="F238" i="10"/>
  <c r="K238" i="10"/>
  <c r="C239" i="10" s="1"/>
  <c r="I238" i="10"/>
  <c r="H239" i="12" l="1"/>
  <c r="E239" i="12"/>
  <c r="J239" i="12"/>
  <c r="L238" i="10"/>
  <c r="G239" i="10"/>
  <c r="F239" i="12" l="1"/>
  <c r="I239" i="12"/>
  <c r="K239" i="12"/>
  <c r="C240" i="12" s="1"/>
  <c r="H239" i="10"/>
  <c r="E239" i="10"/>
  <c r="J239" i="10"/>
  <c r="G240" i="12" l="1"/>
  <c r="L239" i="12"/>
  <c r="F239" i="10"/>
  <c r="K239" i="10"/>
  <c r="C240" i="10" s="1"/>
  <c r="I239" i="10"/>
  <c r="H240" i="12" l="1"/>
  <c r="E240" i="12"/>
  <c r="J240" i="12"/>
  <c r="L239" i="10"/>
  <c r="G240" i="10"/>
  <c r="F240" i="12" l="1"/>
  <c r="K240" i="12"/>
  <c r="C241" i="12" s="1"/>
  <c r="I240" i="12"/>
  <c r="H240" i="10"/>
  <c r="E240" i="10"/>
  <c r="J240" i="10"/>
  <c r="L240" i="12" l="1"/>
  <c r="G241" i="12"/>
  <c r="F240" i="10"/>
  <c r="I240" i="10"/>
  <c r="K240" i="10"/>
  <c r="C241" i="10" s="1"/>
  <c r="H241" i="12" l="1"/>
  <c r="E241" i="12"/>
  <c r="J241" i="12"/>
  <c r="G241" i="10"/>
  <c r="L240" i="10"/>
  <c r="F241" i="12" l="1"/>
  <c r="I241" i="12"/>
  <c r="K241" i="12"/>
  <c r="C242" i="12" s="1"/>
  <c r="H241" i="10"/>
  <c r="E241" i="10"/>
  <c r="J241" i="10"/>
  <c r="G242" i="12" l="1"/>
  <c r="L241" i="12"/>
  <c r="F241" i="10"/>
  <c r="K241" i="10"/>
  <c r="C242" i="10" s="1"/>
  <c r="I241" i="10"/>
  <c r="H242" i="12" l="1"/>
  <c r="E242" i="12"/>
  <c r="J242" i="12"/>
  <c r="G242" i="10"/>
  <c r="L241" i="10"/>
  <c r="F242" i="12" l="1"/>
  <c r="K242" i="12"/>
  <c r="C243" i="12" s="1"/>
  <c r="I242" i="12"/>
  <c r="H242" i="10"/>
  <c r="E242" i="10"/>
  <c r="J242" i="10"/>
  <c r="L242" i="12" l="1"/>
  <c r="G243" i="12"/>
  <c r="F242" i="10"/>
  <c r="I242" i="10"/>
  <c r="K242" i="10"/>
  <c r="C243" i="10" s="1"/>
  <c r="H243" i="12" l="1"/>
  <c r="E243" i="12"/>
  <c r="J243" i="12"/>
  <c r="G243" i="10"/>
  <c r="L242" i="10"/>
  <c r="F243" i="12" l="1"/>
  <c r="I243" i="12"/>
  <c r="K243" i="12"/>
  <c r="C244" i="12" s="1"/>
  <c r="H243" i="10"/>
  <c r="E243" i="10"/>
  <c r="J243" i="10"/>
  <c r="G244" i="12" l="1"/>
  <c r="L243" i="12"/>
  <c r="F243" i="10"/>
  <c r="K243" i="10"/>
  <c r="C244" i="10" s="1"/>
  <c r="I243" i="10"/>
  <c r="H244" i="12" l="1"/>
  <c r="E244" i="12"/>
  <c r="J244" i="12"/>
  <c r="L243" i="10"/>
  <c r="G244" i="10"/>
  <c r="F244" i="12" l="1"/>
  <c r="K244" i="12"/>
  <c r="C245" i="12" s="1"/>
  <c r="I244" i="12"/>
  <c r="H244" i="10"/>
  <c r="E244" i="10"/>
  <c r="J244" i="10"/>
  <c r="L244" i="12" l="1"/>
  <c r="G245" i="12"/>
  <c r="F244" i="10"/>
  <c r="I244" i="10"/>
  <c r="K244" i="10"/>
  <c r="C245" i="10" s="1"/>
  <c r="H245" i="12" l="1"/>
  <c r="E245" i="12"/>
  <c r="J245" i="12"/>
  <c r="L244" i="10"/>
  <c r="G245" i="10"/>
  <c r="F245" i="12" l="1"/>
  <c r="I245" i="12"/>
  <c r="K245" i="12"/>
  <c r="C246" i="12" s="1"/>
  <c r="H245" i="10"/>
  <c r="E245" i="10"/>
  <c r="J245" i="10"/>
  <c r="G246" i="12" l="1"/>
  <c r="L245" i="12"/>
  <c r="F245" i="10"/>
  <c r="I245" i="10"/>
  <c r="K245" i="10"/>
  <c r="C246" i="10" s="1"/>
  <c r="H246" i="12" l="1"/>
  <c r="E246" i="12"/>
  <c r="J246" i="12"/>
  <c r="G246" i="10"/>
  <c r="L245" i="10"/>
  <c r="F246" i="12" l="1"/>
  <c r="I246" i="12"/>
  <c r="K246" i="12"/>
  <c r="C247" i="12" s="1"/>
  <c r="H246" i="10"/>
  <c r="E246" i="10"/>
  <c r="J246" i="10"/>
  <c r="G247" i="12" l="1"/>
  <c r="L246" i="12"/>
  <c r="F246" i="10"/>
  <c r="K246" i="10"/>
  <c r="C247" i="10" s="1"/>
  <c r="I246" i="10"/>
  <c r="H247" i="12" l="1"/>
  <c r="E247" i="12"/>
  <c r="J247" i="12"/>
  <c r="L246" i="10"/>
  <c r="G247" i="10"/>
  <c r="F247" i="12" l="1"/>
  <c r="K247" i="12"/>
  <c r="C248" i="12" s="1"/>
  <c r="I247" i="12"/>
  <c r="H247" i="10"/>
  <c r="E247" i="10"/>
  <c r="J247" i="10"/>
  <c r="L247" i="12" l="1"/>
  <c r="G248" i="12"/>
  <c r="F247" i="10"/>
  <c r="I247" i="10"/>
  <c r="K247" i="10"/>
  <c r="C248" i="10" s="1"/>
  <c r="H248" i="12" l="1"/>
  <c r="E248" i="12"/>
  <c r="J248" i="12"/>
  <c r="G248" i="10"/>
  <c r="L247" i="10"/>
  <c r="F248" i="12" l="1"/>
  <c r="K248" i="12"/>
  <c r="C249" i="12" s="1"/>
  <c r="I248" i="12"/>
  <c r="H248" i="10"/>
  <c r="E248" i="10"/>
  <c r="J248" i="10"/>
  <c r="L248" i="12" l="1"/>
  <c r="G249" i="12"/>
  <c r="F248" i="10"/>
  <c r="K248" i="10"/>
  <c r="C249" i="10" s="1"/>
  <c r="I248" i="10"/>
  <c r="H249" i="12" l="1"/>
  <c r="E249" i="12"/>
  <c r="J249" i="12"/>
  <c r="L248" i="10"/>
  <c r="G249" i="10"/>
  <c r="F249" i="12" l="1"/>
  <c r="I249" i="12"/>
  <c r="K249" i="12"/>
  <c r="C250" i="12" s="1"/>
  <c r="H249" i="10"/>
  <c r="E249" i="10"/>
  <c r="J249" i="10"/>
  <c r="G250" i="12" l="1"/>
  <c r="L249" i="12"/>
  <c r="F249" i="10"/>
  <c r="I249" i="10"/>
  <c r="K249" i="10"/>
  <c r="C250" i="10" s="1"/>
  <c r="H250" i="12" l="1"/>
  <c r="E250" i="12"/>
  <c r="J250" i="12"/>
  <c r="G250" i="10"/>
  <c r="L249" i="10"/>
  <c r="F250" i="12" l="1"/>
  <c r="K250" i="12"/>
  <c r="C251" i="12" s="1"/>
  <c r="I250" i="12"/>
  <c r="H250" i="10"/>
  <c r="E250" i="10"/>
  <c r="J250" i="10"/>
  <c r="L250" i="12" l="1"/>
  <c r="G251" i="12"/>
  <c r="F250" i="10"/>
  <c r="K250" i="10"/>
  <c r="C251" i="10" s="1"/>
  <c r="I250" i="10"/>
  <c r="H251" i="12" l="1"/>
  <c r="E251" i="12"/>
  <c r="J251" i="12"/>
  <c r="L250" i="10"/>
  <c r="G251" i="10"/>
  <c r="F251" i="12" l="1"/>
  <c r="I251" i="12"/>
  <c r="K251" i="12"/>
  <c r="C252" i="12" s="1"/>
  <c r="H251" i="10"/>
  <c r="E251" i="10"/>
  <c r="J251" i="10"/>
  <c r="G252" i="12" l="1"/>
  <c r="L251" i="12"/>
  <c r="F251" i="10"/>
  <c r="I251" i="10"/>
  <c r="K251" i="10"/>
  <c r="C252" i="10" s="1"/>
  <c r="H252" i="12" l="1"/>
  <c r="E252" i="12"/>
  <c r="J252" i="12"/>
  <c r="G252" i="10"/>
  <c r="L251" i="10"/>
  <c r="F252" i="12" l="1"/>
  <c r="K252" i="12"/>
  <c r="C253" i="12" s="1"/>
  <c r="I252" i="12"/>
  <c r="H252" i="10"/>
  <c r="E252" i="10"/>
  <c r="J252" i="10"/>
  <c r="L252" i="12" l="1"/>
  <c r="G253" i="12"/>
  <c r="F252" i="10"/>
  <c r="I252" i="10"/>
  <c r="K252" i="10"/>
  <c r="C253" i="10" s="1"/>
  <c r="H253" i="12" l="1"/>
  <c r="E253" i="12"/>
  <c r="J253" i="12"/>
  <c r="L252" i="10"/>
  <c r="G253" i="10"/>
  <c r="F253" i="12" l="1"/>
  <c r="I253" i="12"/>
  <c r="K253" i="12"/>
  <c r="C254" i="12" s="1"/>
  <c r="H253" i="10"/>
  <c r="E253" i="10"/>
  <c r="J253" i="10"/>
  <c r="G254" i="12" l="1"/>
  <c r="L253" i="12"/>
  <c r="F253" i="10"/>
  <c r="I253" i="10"/>
  <c r="K253" i="10"/>
  <c r="C254" i="10" s="1"/>
  <c r="H254" i="12" l="1"/>
  <c r="E254" i="12"/>
  <c r="J254" i="12"/>
  <c r="G254" i="10"/>
  <c r="L253" i="10"/>
  <c r="F254" i="12" l="1"/>
  <c r="K254" i="12"/>
  <c r="C255" i="12" s="1"/>
  <c r="I254" i="12"/>
  <c r="H254" i="10"/>
  <c r="E254" i="10"/>
  <c r="J254" i="10"/>
  <c r="L254" i="12" l="1"/>
  <c r="G255" i="12"/>
  <c r="F254" i="10"/>
  <c r="K254" i="10"/>
  <c r="C255" i="10" s="1"/>
  <c r="I254" i="10"/>
  <c r="H255" i="12" l="1"/>
  <c r="E255" i="12"/>
  <c r="J255" i="12"/>
  <c r="L254" i="10"/>
  <c r="G255" i="10"/>
  <c r="F255" i="12" l="1"/>
  <c r="I255" i="12"/>
  <c r="K255" i="12"/>
  <c r="C256" i="12" s="1"/>
  <c r="H255" i="10"/>
  <c r="E255" i="10"/>
  <c r="J255" i="10"/>
  <c r="G256" i="12" l="1"/>
  <c r="L255" i="12"/>
  <c r="F255" i="10"/>
  <c r="I255" i="10"/>
  <c r="K255" i="10"/>
  <c r="C256" i="10" s="1"/>
  <c r="H256" i="12" l="1"/>
  <c r="E256" i="12"/>
  <c r="J256" i="12"/>
  <c r="G256" i="10"/>
  <c r="L255" i="10"/>
  <c r="F256" i="12" l="1"/>
  <c r="K256" i="12"/>
  <c r="C257" i="12" s="1"/>
  <c r="I256" i="12"/>
  <c r="H256" i="10"/>
  <c r="E256" i="10"/>
  <c r="J256" i="10"/>
  <c r="L256" i="12" l="1"/>
  <c r="G257" i="12"/>
  <c r="F256" i="10"/>
  <c r="K256" i="10"/>
  <c r="C257" i="10" s="1"/>
  <c r="I256" i="10"/>
  <c r="H257" i="12" l="1"/>
  <c r="E257" i="12"/>
  <c r="J257" i="12"/>
  <c r="L256" i="10"/>
  <c r="G257" i="10"/>
  <c r="F257" i="12" l="1"/>
  <c r="I257" i="12"/>
  <c r="K257" i="12"/>
  <c r="C258" i="12" s="1"/>
  <c r="H257" i="10"/>
  <c r="E257" i="10"/>
  <c r="J257" i="10"/>
  <c r="G258" i="12" l="1"/>
  <c r="L257" i="12"/>
  <c r="F257" i="10"/>
  <c r="I257" i="10"/>
  <c r="K257" i="10"/>
  <c r="C258" i="10" s="1"/>
  <c r="H258" i="12" l="1"/>
  <c r="E258" i="12"/>
  <c r="J258" i="12"/>
  <c r="L257" i="10"/>
  <c r="G258" i="10"/>
  <c r="F258" i="12" l="1"/>
  <c r="K258" i="12"/>
  <c r="C259" i="12" s="1"/>
  <c r="I258" i="12"/>
  <c r="H258" i="10"/>
  <c r="E258" i="10"/>
  <c r="J258" i="10"/>
  <c r="L258" i="12" l="1"/>
  <c r="G259" i="12"/>
  <c r="F258" i="10"/>
  <c r="I258" i="10"/>
  <c r="K258" i="10"/>
  <c r="C259" i="10" s="1"/>
  <c r="H259" i="12" l="1"/>
  <c r="E259" i="12"/>
  <c r="J259" i="12"/>
  <c r="G259" i="10"/>
  <c r="L258" i="10"/>
  <c r="F259" i="12" l="1"/>
  <c r="I259" i="12"/>
  <c r="K259" i="12"/>
  <c r="C260" i="12" s="1"/>
  <c r="H259" i="10"/>
  <c r="E259" i="10"/>
  <c r="J259" i="10"/>
  <c r="G260" i="12" l="1"/>
  <c r="L259" i="12"/>
  <c r="F259" i="10"/>
  <c r="K259" i="10"/>
  <c r="C260" i="10" s="1"/>
  <c r="I259" i="10"/>
  <c r="H260" i="12" l="1"/>
  <c r="E260" i="12"/>
  <c r="J260" i="12"/>
  <c r="L259" i="10"/>
  <c r="G260" i="10"/>
  <c r="F260" i="12" l="1"/>
  <c r="K260" i="12"/>
  <c r="C261" i="12" s="1"/>
  <c r="I260" i="12"/>
  <c r="H260" i="10"/>
  <c r="E260" i="10"/>
  <c r="J260" i="10"/>
  <c r="G261" i="12" l="1"/>
  <c r="L260" i="12"/>
  <c r="F260" i="10"/>
  <c r="I260" i="10"/>
  <c r="K260" i="10"/>
  <c r="C261" i="10" s="1"/>
  <c r="H261" i="12" l="1"/>
  <c r="E261" i="12"/>
  <c r="J261" i="12"/>
  <c r="G261" i="10"/>
  <c r="L260" i="10"/>
  <c r="F261" i="12" l="1"/>
  <c r="K261" i="12"/>
  <c r="C262" i="12" s="1"/>
  <c r="I261" i="12"/>
  <c r="H261" i="10"/>
  <c r="E261" i="10"/>
  <c r="J261" i="10"/>
  <c r="L261" i="12" l="1"/>
  <c r="G262" i="12"/>
  <c r="F261" i="10"/>
  <c r="K261" i="10"/>
  <c r="C262" i="10" s="1"/>
  <c r="I261" i="10"/>
  <c r="H262" i="12" l="1"/>
  <c r="E262" i="12"/>
  <c r="J262" i="12"/>
  <c r="L261" i="10"/>
  <c r="G262" i="10"/>
  <c r="F262" i="12" l="1"/>
  <c r="I262" i="12"/>
  <c r="K262" i="12"/>
  <c r="C263" i="12" s="1"/>
  <c r="H262" i="10"/>
  <c r="E262" i="10"/>
  <c r="J262" i="10"/>
  <c r="G263" i="12" l="1"/>
  <c r="L262" i="12"/>
  <c r="F262" i="10"/>
  <c r="I262" i="10"/>
  <c r="K262" i="10"/>
  <c r="C263" i="10" s="1"/>
  <c r="H263" i="12" l="1"/>
  <c r="E263" i="12"/>
  <c r="J263" i="12"/>
  <c r="G263" i="10"/>
  <c r="L262" i="10"/>
  <c r="F263" i="12" l="1"/>
  <c r="K263" i="12"/>
  <c r="C264" i="12" s="1"/>
  <c r="I263" i="12"/>
  <c r="H263" i="10"/>
  <c r="E263" i="10"/>
  <c r="J263" i="10"/>
  <c r="L263" i="12" l="1"/>
  <c r="G264" i="12"/>
  <c r="F263" i="10"/>
  <c r="K263" i="10"/>
  <c r="C264" i="10" s="1"/>
  <c r="I263" i="10"/>
  <c r="H264" i="12" l="1"/>
  <c r="E264" i="12"/>
  <c r="J264" i="12"/>
  <c r="L263" i="10"/>
  <c r="G264" i="10"/>
  <c r="F264" i="12" l="1"/>
  <c r="I264" i="12"/>
  <c r="K264" i="12"/>
  <c r="C265" i="12" s="1"/>
  <c r="H264" i="10"/>
  <c r="E264" i="10"/>
  <c r="J264" i="10"/>
  <c r="G265" i="12" l="1"/>
  <c r="L264" i="12"/>
  <c r="F264" i="10"/>
  <c r="I264" i="10"/>
  <c r="K264" i="10"/>
  <c r="C265" i="10" s="1"/>
  <c r="H265" i="12" l="1"/>
  <c r="E265" i="12"/>
  <c r="J265" i="12"/>
  <c r="G265" i="10"/>
  <c r="L264" i="10"/>
  <c r="F265" i="12" l="1"/>
  <c r="K265" i="12"/>
  <c r="C266" i="12" s="1"/>
  <c r="I265" i="12"/>
  <c r="H265" i="10"/>
  <c r="E265" i="10"/>
  <c r="J265" i="10"/>
  <c r="L265" i="12" l="1"/>
  <c r="G266" i="12"/>
  <c r="F265" i="10"/>
  <c r="K265" i="10"/>
  <c r="C266" i="10" s="1"/>
  <c r="I265" i="10"/>
  <c r="H266" i="12" l="1"/>
  <c r="E266" i="12"/>
  <c r="J266" i="12"/>
  <c r="G266" i="10"/>
  <c r="L265" i="10"/>
  <c r="F266" i="12" l="1"/>
  <c r="I266" i="12"/>
  <c r="K266" i="12"/>
  <c r="C267" i="12" s="1"/>
  <c r="H266" i="10"/>
  <c r="E266" i="10"/>
  <c r="J266" i="10"/>
  <c r="G267" i="12" l="1"/>
  <c r="L266" i="12"/>
  <c r="F266" i="10"/>
  <c r="I266" i="10"/>
  <c r="K266" i="10"/>
  <c r="C267" i="10" s="1"/>
  <c r="H267" i="12" l="1"/>
  <c r="E267" i="12"/>
  <c r="J267" i="12"/>
  <c r="G267" i="10"/>
  <c r="L266" i="10"/>
  <c r="F267" i="12" l="1"/>
  <c r="K267" i="12"/>
  <c r="C268" i="12" s="1"/>
  <c r="I267" i="12"/>
  <c r="H267" i="10"/>
  <c r="E267" i="10"/>
  <c r="J267" i="10"/>
  <c r="L267" i="12" l="1"/>
  <c r="G268" i="12"/>
  <c r="F267" i="10"/>
  <c r="I267" i="10"/>
  <c r="K267" i="10"/>
  <c r="C268" i="10" s="1"/>
  <c r="H268" i="12" l="1"/>
  <c r="E268" i="12"/>
  <c r="J268" i="12"/>
  <c r="L267" i="10"/>
  <c r="G268" i="10"/>
  <c r="F268" i="12" l="1"/>
  <c r="I268" i="12"/>
  <c r="K268" i="12"/>
  <c r="C269" i="12" s="1"/>
  <c r="H268" i="10"/>
  <c r="E268" i="10"/>
  <c r="J268" i="10"/>
  <c r="G269" i="12" l="1"/>
  <c r="L268" i="12"/>
  <c r="F268" i="10"/>
  <c r="I268" i="10"/>
  <c r="K268" i="10"/>
  <c r="C269" i="10" s="1"/>
  <c r="H269" i="12" l="1"/>
  <c r="E269" i="12"/>
  <c r="J269" i="12"/>
  <c r="G269" i="10"/>
  <c r="L268" i="10"/>
  <c r="F269" i="12" l="1"/>
  <c r="K269" i="12"/>
  <c r="C270" i="12" s="1"/>
  <c r="I269" i="12"/>
  <c r="H269" i="10"/>
  <c r="E269" i="10"/>
  <c r="J269" i="10"/>
  <c r="L269" i="12" l="1"/>
  <c r="G270" i="12"/>
  <c r="F269" i="10"/>
  <c r="K269" i="10"/>
  <c r="C270" i="10" s="1"/>
  <c r="I269" i="10"/>
  <c r="H270" i="12" l="1"/>
  <c r="E270" i="12"/>
  <c r="J270" i="12"/>
  <c r="L269" i="10"/>
  <c r="G270" i="10"/>
  <c r="F270" i="12" l="1"/>
  <c r="K270" i="12"/>
  <c r="C271" i="12" s="1"/>
  <c r="I270" i="12"/>
  <c r="H270" i="10"/>
  <c r="E270" i="10"/>
  <c r="J270" i="10"/>
  <c r="G271" i="12" l="1"/>
  <c r="L270" i="12"/>
  <c r="F270" i="10"/>
  <c r="I270" i="10"/>
  <c r="K270" i="10"/>
  <c r="C271" i="10" s="1"/>
  <c r="H271" i="12" l="1"/>
  <c r="E271" i="12"/>
  <c r="J271" i="12"/>
  <c r="L270" i="10"/>
  <c r="G271" i="10"/>
  <c r="F271" i="12" l="1"/>
  <c r="K271" i="12"/>
  <c r="C272" i="12" s="1"/>
  <c r="I271" i="12"/>
  <c r="H271" i="10"/>
  <c r="E271" i="10"/>
  <c r="J271" i="10"/>
  <c r="L271" i="12" l="1"/>
  <c r="G272" i="12"/>
  <c r="F271" i="10"/>
  <c r="I271" i="10"/>
  <c r="K271" i="10"/>
  <c r="C272" i="10" s="1"/>
  <c r="H272" i="12" l="1"/>
  <c r="E272" i="12"/>
  <c r="J272" i="12"/>
  <c r="L271" i="10"/>
  <c r="G272" i="10"/>
  <c r="F272" i="12" l="1"/>
  <c r="I272" i="12"/>
  <c r="K272" i="12"/>
  <c r="C273" i="12" s="1"/>
  <c r="H272" i="10"/>
  <c r="E272" i="10"/>
  <c r="J272" i="10"/>
  <c r="G273" i="12" l="1"/>
  <c r="L272" i="12"/>
  <c r="F272" i="10"/>
  <c r="K272" i="10"/>
  <c r="C273" i="10" s="1"/>
  <c r="I272" i="10"/>
  <c r="H273" i="12" l="1"/>
  <c r="E273" i="12"/>
  <c r="J273" i="12"/>
  <c r="G273" i="10"/>
  <c r="L272" i="10"/>
  <c r="F273" i="12" l="1"/>
  <c r="K273" i="12"/>
  <c r="C274" i="12" s="1"/>
  <c r="I273" i="12"/>
  <c r="H273" i="10"/>
  <c r="E273" i="10"/>
  <c r="J273" i="10"/>
  <c r="L273" i="12" l="1"/>
  <c r="G274" i="12"/>
  <c r="F273" i="10"/>
  <c r="K273" i="10"/>
  <c r="C274" i="10" s="1"/>
  <c r="I273" i="10"/>
  <c r="H274" i="12" l="1"/>
  <c r="E274" i="12"/>
  <c r="J274" i="12"/>
  <c r="L273" i="10"/>
  <c r="G274" i="10"/>
  <c r="F274" i="12" l="1"/>
  <c r="I274" i="12"/>
  <c r="K274" i="12"/>
  <c r="C275" i="12" s="1"/>
  <c r="H274" i="10"/>
  <c r="E274" i="10"/>
  <c r="J274" i="10"/>
  <c r="G275" i="12" l="1"/>
  <c r="L274" i="12"/>
  <c r="F274" i="10"/>
  <c r="I274" i="10"/>
  <c r="K274" i="10"/>
  <c r="C275" i="10" s="1"/>
  <c r="H275" i="12" l="1"/>
  <c r="E275" i="12"/>
  <c r="J275" i="12"/>
  <c r="G275" i="10"/>
  <c r="L274" i="10"/>
  <c r="F275" i="12" l="1"/>
  <c r="K275" i="12"/>
  <c r="C276" i="12" s="1"/>
  <c r="I275" i="12"/>
  <c r="H275" i="10"/>
  <c r="E275" i="10"/>
  <c r="J275" i="10"/>
  <c r="L275" i="12" l="1"/>
  <c r="G276" i="12"/>
  <c r="F275" i="10"/>
  <c r="I275" i="10"/>
  <c r="K275" i="10"/>
  <c r="C276" i="10" s="1"/>
  <c r="H276" i="12" l="1"/>
  <c r="E276" i="12"/>
  <c r="J276" i="12"/>
  <c r="G276" i="10"/>
  <c r="L275" i="10"/>
  <c r="F276" i="12" l="1"/>
  <c r="I276" i="12"/>
  <c r="K276" i="12"/>
  <c r="C277" i="12" s="1"/>
  <c r="H276" i="10"/>
  <c r="E276" i="10"/>
  <c r="J276" i="10"/>
  <c r="G277" i="12" l="1"/>
  <c r="L276" i="12"/>
  <c r="F276" i="10"/>
  <c r="K276" i="10"/>
  <c r="C277" i="10" s="1"/>
  <c r="I276" i="10"/>
  <c r="H277" i="12" l="1"/>
  <c r="E277" i="12"/>
  <c r="J277" i="12"/>
  <c r="G277" i="10"/>
  <c r="L276" i="10"/>
  <c r="F277" i="12" l="1"/>
  <c r="K277" i="12"/>
  <c r="C278" i="12" s="1"/>
  <c r="I277" i="12"/>
  <c r="H277" i="10"/>
  <c r="E277" i="10"/>
  <c r="J277" i="10"/>
  <c r="L277" i="12" l="1"/>
  <c r="G278" i="12"/>
  <c r="F277" i="10"/>
  <c r="K277" i="10"/>
  <c r="C278" i="10" s="1"/>
  <c r="I277" i="10"/>
  <c r="H278" i="12" l="1"/>
  <c r="E278" i="12"/>
  <c r="J278" i="12"/>
  <c r="G278" i="10"/>
  <c r="L277" i="10"/>
  <c r="F278" i="12" l="1"/>
  <c r="I278" i="12"/>
  <c r="K278" i="12"/>
  <c r="C279" i="12" s="1"/>
  <c r="H278" i="10"/>
  <c r="E278" i="10"/>
  <c r="J278" i="10"/>
  <c r="G279" i="12" l="1"/>
  <c r="L278" i="12"/>
  <c r="F278" i="10"/>
  <c r="K278" i="10"/>
  <c r="C279" i="10" s="1"/>
  <c r="I278" i="10"/>
  <c r="H279" i="12" l="1"/>
  <c r="E279" i="12"/>
  <c r="J279" i="12"/>
  <c r="L278" i="10"/>
  <c r="G279" i="10"/>
  <c r="F279" i="12" l="1"/>
  <c r="K279" i="12"/>
  <c r="C280" i="12" s="1"/>
  <c r="I279" i="12"/>
  <c r="H279" i="10"/>
  <c r="E279" i="10"/>
  <c r="J279" i="10"/>
  <c r="L279" i="12" l="1"/>
  <c r="G280" i="12"/>
  <c r="F279" i="10"/>
  <c r="I279" i="10"/>
  <c r="K279" i="10"/>
  <c r="C280" i="10" s="1"/>
  <c r="H280" i="12" l="1"/>
  <c r="E280" i="12"/>
  <c r="J280" i="12"/>
  <c r="G280" i="10"/>
  <c r="L279" i="10"/>
  <c r="F280" i="12" l="1"/>
  <c r="I280" i="12"/>
  <c r="K280" i="12"/>
  <c r="C281" i="12" s="1"/>
  <c r="H280" i="10"/>
  <c r="E280" i="10"/>
  <c r="J280" i="10"/>
  <c r="G281" i="12" l="1"/>
  <c r="L280" i="12"/>
  <c r="F280" i="10"/>
  <c r="K280" i="10"/>
  <c r="C281" i="10" s="1"/>
  <c r="I280" i="10"/>
  <c r="H281" i="12" l="1"/>
  <c r="E281" i="12"/>
  <c r="J281" i="12"/>
  <c r="L280" i="10"/>
  <c r="G281" i="10"/>
  <c r="F281" i="12" l="1"/>
  <c r="K281" i="12"/>
  <c r="C282" i="12" s="1"/>
  <c r="I281" i="12"/>
  <c r="H281" i="10"/>
  <c r="E281" i="10"/>
  <c r="J281" i="10"/>
  <c r="L281" i="12" l="1"/>
  <c r="G282" i="12"/>
  <c r="F281" i="10"/>
  <c r="K281" i="10"/>
  <c r="C282" i="10" s="1"/>
  <c r="I281" i="10"/>
  <c r="H282" i="12" l="1"/>
  <c r="E282" i="12"/>
  <c r="J282" i="12"/>
  <c r="L281" i="10"/>
  <c r="G282" i="10"/>
  <c r="F282" i="12" l="1"/>
  <c r="I282" i="12"/>
  <c r="K282" i="12"/>
  <c r="C283" i="12" s="1"/>
  <c r="H282" i="10"/>
  <c r="E282" i="10"/>
  <c r="J282" i="10"/>
  <c r="G283" i="12" l="1"/>
  <c r="L282" i="12"/>
  <c r="F282" i="10"/>
  <c r="I282" i="10"/>
  <c r="K282" i="10"/>
  <c r="C283" i="10" s="1"/>
  <c r="H283" i="12" l="1"/>
  <c r="E283" i="12"/>
  <c r="J283" i="12"/>
  <c r="G283" i="10"/>
  <c r="L282" i="10"/>
  <c r="F283" i="12" l="1"/>
  <c r="K283" i="12"/>
  <c r="C284" i="12" s="1"/>
  <c r="I283" i="12"/>
  <c r="H283" i="10"/>
  <c r="E283" i="10"/>
  <c r="J283" i="10"/>
  <c r="L283" i="12" l="1"/>
  <c r="G284" i="12"/>
  <c r="F283" i="10"/>
  <c r="I283" i="10"/>
  <c r="K283" i="10"/>
  <c r="C284" i="10" s="1"/>
  <c r="H284" i="12" l="1"/>
  <c r="E284" i="12"/>
  <c r="J284" i="12"/>
  <c r="L283" i="10"/>
  <c r="G284" i="10"/>
  <c r="F284" i="12" l="1"/>
  <c r="I284" i="12"/>
  <c r="K284" i="12"/>
  <c r="C285" i="12" s="1"/>
  <c r="H284" i="10"/>
  <c r="E284" i="10"/>
  <c r="J284" i="10"/>
  <c r="G285" i="12" l="1"/>
  <c r="L284" i="12"/>
  <c r="F284" i="10"/>
  <c r="I284" i="10"/>
  <c r="K284" i="10"/>
  <c r="C285" i="10" s="1"/>
  <c r="H285" i="12" l="1"/>
  <c r="E285" i="12"/>
  <c r="J285" i="12"/>
  <c r="G285" i="10"/>
  <c r="L284" i="10"/>
  <c r="F285" i="12" l="1"/>
  <c r="K285" i="12"/>
  <c r="C286" i="12" s="1"/>
  <c r="I285" i="12"/>
  <c r="H285" i="10"/>
  <c r="E285" i="10"/>
  <c r="J285" i="10"/>
  <c r="L285" i="12" l="1"/>
  <c r="G286" i="12"/>
  <c r="F285" i="10"/>
  <c r="K285" i="10"/>
  <c r="C286" i="10" s="1"/>
  <c r="I285" i="10"/>
  <c r="H286" i="12" l="1"/>
  <c r="E286" i="12"/>
  <c r="J286" i="12"/>
  <c r="G286" i="10"/>
  <c r="L285" i="10"/>
  <c r="F286" i="12" l="1"/>
  <c r="I286" i="12"/>
  <c r="K286" i="12"/>
  <c r="C287" i="12" s="1"/>
  <c r="H286" i="10"/>
  <c r="E286" i="10"/>
  <c r="J286" i="10"/>
  <c r="G287" i="12" l="1"/>
  <c r="L286" i="12"/>
  <c r="F286" i="10"/>
  <c r="I286" i="10"/>
  <c r="K286" i="10"/>
  <c r="C287" i="10" s="1"/>
  <c r="H287" i="12" l="1"/>
  <c r="E287" i="12"/>
  <c r="J287" i="12"/>
  <c r="G287" i="10"/>
  <c r="L286" i="10"/>
  <c r="F287" i="12" l="1"/>
  <c r="K287" i="12"/>
  <c r="C288" i="12" s="1"/>
  <c r="I287" i="12"/>
  <c r="H287" i="10"/>
  <c r="E287" i="10"/>
  <c r="J287" i="10"/>
  <c r="L287" i="12" l="1"/>
  <c r="G288" i="12"/>
  <c r="F287" i="10"/>
  <c r="K287" i="10"/>
  <c r="C288" i="10" s="1"/>
  <c r="I287" i="10"/>
  <c r="H288" i="12" l="1"/>
  <c r="E288" i="12"/>
  <c r="J288" i="12"/>
  <c r="L287" i="10"/>
  <c r="G288" i="10"/>
  <c r="F288" i="12" l="1"/>
  <c r="I288" i="12"/>
  <c r="K288" i="12"/>
  <c r="C289" i="12" s="1"/>
  <c r="H288" i="10"/>
  <c r="E288" i="10"/>
  <c r="J288" i="10"/>
  <c r="G289" i="12" l="1"/>
  <c r="L288" i="12"/>
  <c r="F288" i="10"/>
  <c r="I288" i="10"/>
  <c r="K288" i="10"/>
  <c r="C289" i="10" s="1"/>
  <c r="H289" i="12" l="1"/>
  <c r="E289" i="12"/>
  <c r="J289" i="12"/>
  <c r="G289" i="10"/>
  <c r="L288" i="10"/>
  <c r="F289" i="12" l="1"/>
  <c r="K289" i="12"/>
  <c r="C290" i="12" s="1"/>
  <c r="I289" i="12"/>
  <c r="H289" i="10"/>
  <c r="E289" i="10"/>
  <c r="J289" i="10"/>
  <c r="L289" i="12" l="1"/>
  <c r="G290" i="12"/>
  <c r="F289" i="10"/>
  <c r="K289" i="10"/>
  <c r="C290" i="10" s="1"/>
  <c r="I289" i="10"/>
  <c r="H290" i="12" l="1"/>
  <c r="E290" i="12"/>
  <c r="J290" i="12"/>
  <c r="G290" i="10"/>
  <c r="L289" i="10"/>
  <c r="F290" i="12" l="1"/>
  <c r="I290" i="12"/>
  <c r="K290" i="12"/>
  <c r="C291" i="12" s="1"/>
  <c r="H290" i="10"/>
  <c r="E290" i="10"/>
  <c r="J290" i="10"/>
  <c r="G291" i="12" l="1"/>
  <c r="L290" i="12"/>
  <c r="F290" i="10"/>
  <c r="K290" i="10"/>
  <c r="C291" i="10" s="1"/>
  <c r="I290" i="10"/>
  <c r="H291" i="12" l="1"/>
  <c r="E291" i="12"/>
  <c r="J291" i="12"/>
  <c r="G291" i="10"/>
  <c r="L290" i="10"/>
  <c r="F291" i="12" l="1"/>
  <c r="K291" i="12"/>
  <c r="C292" i="12" s="1"/>
  <c r="I291" i="12"/>
  <c r="H291" i="10"/>
  <c r="E291" i="10"/>
  <c r="J291" i="10"/>
  <c r="L291" i="12" l="1"/>
  <c r="G292" i="12"/>
  <c r="F291" i="10"/>
  <c r="I291" i="10"/>
  <c r="K291" i="10"/>
  <c r="C292" i="10" s="1"/>
  <c r="H292" i="12" l="1"/>
  <c r="E292" i="12"/>
  <c r="J292" i="12"/>
  <c r="L291" i="10"/>
  <c r="G292" i="10"/>
  <c r="F292" i="12" l="1"/>
  <c r="I292" i="12"/>
  <c r="K292" i="12"/>
  <c r="C293" i="12" s="1"/>
  <c r="H292" i="10"/>
  <c r="E292" i="10"/>
  <c r="J292" i="10"/>
  <c r="G293" i="12" l="1"/>
  <c r="L292" i="12"/>
  <c r="F292" i="10"/>
  <c r="I292" i="10"/>
  <c r="K292" i="10"/>
  <c r="C293" i="10" s="1"/>
  <c r="H293" i="12" l="1"/>
  <c r="E293" i="12"/>
  <c r="J293" i="12"/>
  <c r="L292" i="10"/>
  <c r="G293" i="10"/>
  <c r="F293" i="12" l="1"/>
  <c r="K293" i="12"/>
  <c r="C294" i="12" s="1"/>
  <c r="I293" i="12"/>
  <c r="H293" i="10"/>
  <c r="E293" i="10"/>
  <c r="J293" i="10"/>
  <c r="L293" i="12" l="1"/>
  <c r="G294" i="12"/>
  <c r="F293" i="10"/>
  <c r="I293" i="10"/>
  <c r="K293" i="10"/>
  <c r="C294" i="10" s="1"/>
  <c r="H294" i="12" l="1"/>
  <c r="E294" i="12"/>
  <c r="J294" i="12"/>
  <c r="G294" i="10"/>
  <c r="L293" i="10"/>
  <c r="F294" i="12" l="1"/>
  <c r="I294" i="12"/>
  <c r="K294" i="12"/>
  <c r="C295" i="12" s="1"/>
  <c r="H294" i="10"/>
  <c r="E294" i="10"/>
  <c r="J294" i="10"/>
  <c r="G295" i="12" l="1"/>
  <c r="L294" i="12"/>
  <c r="F294" i="10"/>
  <c r="K294" i="10"/>
  <c r="C295" i="10" s="1"/>
  <c r="I294" i="10"/>
  <c r="H295" i="12" l="1"/>
  <c r="E295" i="12"/>
  <c r="J295" i="12"/>
  <c r="G295" i="10"/>
  <c r="L294" i="10"/>
  <c r="F295" i="12" l="1"/>
  <c r="K295" i="12"/>
  <c r="C296" i="12" s="1"/>
  <c r="I295" i="12"/>
  <c r="H295" i="10"/>
  <c r="E295" i="10"/>
  <c r="J295" i="10"/>
  <c r="L295" i="12" l="1"/>
  <c r="G296" i="12"/>
  <c r="F295" i="10"/>
  <c r="K295" i="10"/>
  <c r="C296" i="10" s="1"/>
  <c r="I295" i="10"/>
  <c r="H296" i="12" l="1"/>
  <c r="E296" i="12"/>
  <c r="J296" i="12"/>
  <c r="G296" i="10"/>
  <c r="L295" i="10"/>
  <c r="F296" i="12" l="1"/>
  <c r="I296" i="12"/>
  <c r="K296" i="12"/>
  <c r="C297" i="12" s="1"/>
  <c r="H296" i="10"/>
  <c r="E296" i="10"/>
  <c r="J296" i="10"/>
  <c r="G297" i="12" l="1"/>
  <c r="L296" i="12"/>
  <c r="F296" i="10"/>
  <c r="K296" i="10"/>
  <c r="C297" i="10" s="1"/>
  <c r="I296" i="10"/>
  <c r="H297" i="12" l="1"/>
  <c r="E297" i="12"/>
  <c r="J297" i="12"/>
  <c r="G297" i="10"/>
  <c r="L296" i="10"/>
  <c r="F297" i="12" l="1"/>
  <c r="K297" i="12"/>
  <c r="C298" i="12" s="1"/>
  <c r="I297" i="12"/>
  <c r="H297" i="10"/>
  <c r="E297" i="10"/>
  <c r="J297" i="10"/>
  <c r="L297" i="12" l="1"/>
  <c r="G298" i="12"/>
  <c r="F297" i="10"/>
  <c r="K297" i="10"/>
  <c r="C298" i="10" s="1"/>
  <c r="I297" i="10"/>
  <c r="H298" i="12" l="1"/>
  <c r="E298" i="12"/>
  <c r="J298" i="12"/>
  <c r="L297" i="10"/>
  <c r="G298" i="10"/>
  <c r="F298" i="12" l="1"/>
  <c r="I298" i="12"/>
  <c r="K298" i="12"/>
  <c r="C299" i="12" s="1"/>
  <c r="H298" i="10"/>
  <c r="E298" i="10"/>
  <c r="J298" i="10"/>
  <c r="G299" i="12" l="1"/>
  <c r="L298" i="12"/>
  <c r="F298" i="10"/>
  <c r="I298" i="10"/>
  <c r="K298" i="10"/>
  <c r="C299" i="10" s="1"/>
  <c r="H299" i="12" l="1"/>
  <c r="E299" i="12"/>
  <c r="J299" i="12"/>
  <c r="L298" i="10"/>
  <c r="G299" i="10"/>
  <c r="F299" i="12" l="1"/>
  <c r="K299" i="12"/>
  <c r="C300" i="12" s="1"/>
  <c r="I299" i="12"/>
  <c r="H299" i="10"/>
  <c r="E299" i="10"/>
  <c r="J299" i="10"/>
  <c r="G300" i="12" l="1"/>
  <c r="L299" i="12"/>
  <c r="F299" i="10"/>
  <c r="I299" i="10"/>
  <c r="K299" i="10"/>
  <c r="C300" i="10" s="1"/>
  <c r="H300" i="12" l="1"/>
  <c r="E300" i="12"/>
  <c r="J300" i="12"/>
  <c r="G300" i="10"/>
  <c r="L299" i="10"/>
  <c r="F300" i="12" l="1"/>
  <c r="K300" i="12"/>
  <c r="C301" i="12" s="1"/>
  <c r="I300" i="12"/>
  <c r="H300" i="10"/>
  <c r="E300" i="10"/>
  <c r="J300" i="10"/>
  <c r="L300" i="12" l="1"/>
  <c r="G301" i="12"/>
  <c r="F300" i="10"/>
  <c r="K300" i="10"/>
  <c r="C301" i="10" s="1"/>
  <c r="I300" i="10"/>
  <c r="H301" i="12" l="1"/>
  <c r="E301" i="12"/>
  <c r="J301" i="12"/>
  <c r="G301" i="10"/>
  <c r="L300" i="10"/>
  <c r="F301" i="12" l="1"/>
  <c r="I301" i="12"/>
  <c r="K301" i="12"/>
  <c r="C302" i="12" s="1"/>
  <c r="H301" i="10"/>
  <c r="E301" i="10"/>
  <c r="J301" i="10"/>
  <c r="G302" i="12" l="1"/>
  <c r="L301" i="12"/>
  <c r="F301" i="10"/>
  <c r="K301" i="10"/>
  <c r="C302" i="10" s="1"/>
  <c r="I301" i="10"/>
  <c r="H302" i="12" l="1"/>
  <c r="E302" i="12"/>
  <c r="J302" i="12"/>
  <c r="G302" i="10"/>
  <c r="L301" i="10"/>
  <c r="F302" i="12" l="1"/>
  <c r="K302" i="12"/>
  <c r="C303" i="12" s="1"/>
  <c r="I302" i="12"/>
  <c r="H302" i="10"/>
  <c r="E302" i="10"/>
  <c r="J302" i="10"/>
  <c r="G303" i="12" l="1"/>
  <c r="L302" i="12"/>
  <c r="F302" i="10"/>
  <c r="K302" i="10"/>
  <c r="C303" i="10" s="1"/>
  <c r="I302" i="10"/>
  <c r="H303" i="12" l="1"/>
  <c r="E303" i="12"/>
  <c r="J303" i="12"/>
  <c r="G303" i="10"/>
  <c r="L302" i="10"/>
  <c r="F303" i="12" l="1"/>
  <c r="K303" i="12"/>
  <c r="C304" i="12" s="1"/>
  <c r="I303" i="12"/>
  <c r="H303" i="10"/>
  <c r="E303" i="10"/>
  <c r="J303" i="10"/>
  <c r="L303" i="12" l="1"/>
  <c r="G304" i="12"/>
  <c r="F303" i="10"/>
  <c r="K303" i="10"/>
  <c r="C304" i="10" s="1"/>
  <c r="I303" i="10"/>
  <c r="H304" i="12" l="1"/>
  <c r="E304" i="12"/>
  <c r="J304" i="12"/>
  <c r="G304" i="10"/>
  <c r="L303" i="10"/>
  <c r="F304" i="12" l="1"/>
  <c r="I304" i="12"/>
  <c r="K304" i="12"/>
  <c r="C305" i="12" s="1"/>
  <c r="H304" i="10"/>
  <c r="E304" i="10"/>
  <c r="J304" i="10"/>
  <c r="G305" i="12" l="1"/>
  <c r="L304" i="12"/>
  <c r="F304" i="10"/>
  <c r="K304" i="10"/>
  <c r="C305" i="10" s="1"/>
  <c r="I304" i="10"/>
  <c r="H305" i="12" l="1"/>
  <c r="E305" i="12"/>
  <c r="J305" i="12"/>
  <c r="G305" i="10"/>
  <c r="L304" i="10"/>
  <c r="F305" i="12" l="1"/>
  <c r="K305" i="12"/>
  <c r="C306" i="12" s="1"/>
  <c r="I305" i="12"/>
  <c r="H305" i="10"/>
  <c r="E305" i="10"/>
  <c r="J305" i="10"/>
  <c r="L305" i="12" l="1"/>
  <c r="G306" i="12"/>
  <c r="F305" i="10"/>
  <c r="I305" i="10"/>
  <c r="K305" i="10"/>
  <c r="C306" i="10" s="1"/>
  <c r="H306" i="12" l="1"/>
  <c r="E306" i="12"/>
  <c r="J306" i="12"/>
  <c r="G306" i="10"/>
  <c r="L305" i="10"/>
  <c r="F306" i="12" l="1"/>
  <c r="I306" i="12"/>
  <c r="K306" i="12"/>
  <c r="C307" i="12" s="1"/>
  <c r="H306" i="10"/>
  <c r="E306" i="10"/>
  <c r="J306" i="10"/>
  <c r="G307" i="12" l="1"/>
  <c r="L306" i="12"/>
  <c r="F306" i="10"/>
  <c r="K306" i="10"/>
  <c r="C307" i="10" s="1"/>
  <c r="I306" i="10"/>
  <c r="H307" i="12" l="1"/>
  <c r="E307" i="12"/>
  <c r="J307" i="12"/>
  <c r="G307" i="10"/>
  <c r="L306" i="10"/>
  <c r="F307" i="12" l="1"/>
  <c r="K307" i="12"/>
  <c r="C308" i="12" s="1"/>
  <c r="I307" i="12"/>
  <c r="H307" i="10"/>
  <c r="E307" i="10"/>
  <c r="J307" i="10"/>
  <c r="L307" i="12" l="1"/>
  <c r="G308" i="12"/>
  <c r="F307" i="10"/>
  <c r="K307" i="10"/>
  <c r="C308" i="10" s="1"/>
  <c r="I307" i="10"/>
  <c r="H308" i="12" l="1"/>
  <c r="E308" i="12"/>
  <c r="J308" i="12"/>
  <c r="L307" i="10"/>
  <c r="G308" i="10"/>
  <c r="F308" i="12" l="1"/>
  <c r="I308" i="12"/>
  <c r="K308" i="12"/>
  <c r="C309" i="12" s="1"/>
  <c r="H308" i="10"/>
  <c r="E308" i="10"/>
  <c r="J308" i="10"/>
  <c r="G309" i="12" l="1"/>
  <c r="L308" i="12"/>
  <c r="F308" i="10"/>
  <c r="I308" i="10"/>
  <c r="K308" i="10"/>
  <c r="C309" i="10" s="1"/>
  <c r="H309" i="12" l="1"/>
  <c r="E309" i="12"/>
  <c r="J309" i="12"/>
  <c r="G309" i="10"/>
  <c r="L308" i="10"/>
  <c r="F309" i="12" l="1"/>
  <c r="K309" i="12"/>
  <c r="C310" i="12" s="1"/>
  <c r="I309" i="12"/>
  <c r="H309" i="10"/>
  <c r="E309" i="10"/>
  <c r="J309" i="10"/>
  <c r="L309" i="12" l="1"/>
  <c r="G310" i="12"/>
  <c r="F309" i="10"/>
  <c r="I309" i="10"/>
  <c r="K309" i="10"/>
  <c r="C310" i="10" s="1"/>
  <c r="H310" i="12" l="1"/>
  <c r="E310" i="12"/>
  <c r="J310" i="12"/>
  <c r="L309" i="10"/>
  <c r="G310" i="10"/>
  <c r="F310" i="12" l="1"/>
  <c r="I310" i="12"/>
  <c r="K310" i="12"/>
  <c r="C311" i="12" s="1"/>
  <c r="H310" i="10"/>
  <c r="E310" i="10"/>
  <c r="J310" i="10"/>
  <c r="G311" i="12" l="1"/>
  <c r="L310" i="12"/>
  <c r="F310" i="10"/>
  <c r="I310" i="10"/>
  <c r="K310" i="10"/>
  <c r="C311" i="10" s="1"/>
  <c r="H311" i="12" l="1"/>
  <c r="E311" i="12"/>
  <c r="J311" i="12"/>
  <c r="L310" i="10"/>
  <c r="G311" i="10"/>
  <c r="F311" i="12" l="1"/>
  <c r="K311" i="12"/>
  <c r="C312" i="12" s="1"/>
  <c r="I311" i="12"/>
  <c r="H311" i="10"/>
  <c r="E311" i="10"/>
  <c r="J311" i="10"/>
  <c r="L311" i="12" l="1"/>
  <c r="G312" i="12"/>
  <c r="F311" i="10"/>
  <c r="I311" i="10"/>
  <c r="K311" i="10"/>
  <c r="C312" i="10" s="1"/>
  <c r="H312" i="12" l="1"/>
  <c r="E312" i="12"/>
  <c r="J312" i="12"/>
  <c r="G312" i="10"/>
  <c r="L311" i="10"/>
  <c r="F312" i="12" l="1"/>
  <c r="I312" i="12"/>
  <c r="K312" i="12"/>
  <c r="C313" i="12" s="1"/>
  <c r="H312" i="10"/>
  <c r="E312" i="10"/>
  <c r="J312" i="10"/>
  <c r="G313" i="12" l="1"/>
  <c r="L312" i="12"/>
  <c r="F312" i="10"/>
  <c r="K312" i="10"/>
  <c r="C313" i="10" s="1"/>
  <c r="I312" i="10"/>
  <c r="H313" i="12" l="1"/>
  <c r="E313" i="12"/>
  <c r="J313" i="12"/>
  <c r="L312" i="10"/>
  <c r="G313" i="10"/>
  <c r="F313" i="12" l="1"/>
  <c r="K313" i="12"/>
  <c r="C314" i="12" s="1"/>
  <c r="I313" i="12"/>
  <c r="H313" i="10"/>
  <c r="E313" i="10"/>
  <c r="J313" i="10"/>
  <c r="L313" i="12" l="1"/>
  <c r="G314" i="12"/>
  <c r="F313" i="10"/>
  <c r="I313" i="10"/>
  <c r="K313" i="10"/>
  <c r="C314" i="10" s="1"/>
  <c r="H314" i="12" l="1"/>
  <c r="E314" i="12"/>
  <c r="J314" i="12"/>
  <c r="G314" i="10"/>
  <c r="L313" i="10"/>
  <c r="F314" i="12" l="1"/>
  <c r="I314" i="12"/>
  <c r="K314" i="12"/>
  <c r="C315" i="12" s="1"/>
  <c r="H314" i="10"/>
  <c r="E314" i="10"/>
  <c r="J314" i="10"/>
  <c r="G315" i="12" l="1"/>
  <c r="L314" i="12"/>
  <c r="F314" i="10"/>
  <c r="K314" i="10"/>
  <c r="C315" i="10" s="1"/>
  <c r="I314" i="10"/>
  <c r="H315" i="12" l="1"/>
  <c r="E315" i="12"/>
  <c r="J315" i="12"/>
  <c r="G315" i="10"/>
  <c r="L314" i="10"/>
  <c r="F315" i="12" l="1"/>
  <c r="K315" i="12"/>
  <c r="C316" i="12" s="1"/>
  <c r="I315" i="12"/>
  <c r="H315" i="10"/>
  <c r="E315" i="10"/>
  <c r="J315" i="10"/>
  <c r="L315" i="12" l="1"/>
  <c r="G316" i="12"/>
  <c r="F315" i="10"/>
  <c r="K315" i="10"/>
  <c r="C316" i="10" s="1"/>
  <c r="I315" i="10"/>
  <c r="H316" i="12" l="1"/>
  <c r="E316" i="12"/>
  <c r="J316" i="12"/>
  <c r="L315" i="10"/>
  <c r="G316" i="10"/>
  <c r="F316" i="12" l="1"/>
  <c r="I316" i="12"/>
  <c r="K316" i="12"/>
  <c r="C317" i="12" s="1"/>
  <c r="H316" i="10"/>
  <c r="E316" i="10"/>
  <c r="J316" i="10"/>
  <c r="G317" i="12" l="1"/>
  <c r="L316" i="12"/>
  <c r="F316" i="10"/>
  <c r="I316" i="10"/>
  <c r="K316" i="10"/>
  <c r="C317" i="10" s="1"/>
  <c r="H317" i="12" l="1"/>
  <c r="E317" i="12"/>
  <c r="J317" i="12"/>
  <c r="G317" i="10"/>
  <c r="L316" i="10"/>
  <c r="F317" i="12" l="1"/>
  <c r="K317" i="12"/>
  <c r="C318" i="12" s="1"/>
  <c r="I317" i="12"/>
  <c r="H317" i="10"/>
  <c r="E317" i="10"/>
  <c r="J317" i="10"/>
  <c r="G318" i="12" l="1"/>
  <c r="L317" i="12"/>
  <c r="F317" i="10"/>
  <c r="K317" i="10"/>
  <c r="C318" i="10" s="1"/>
  <c r="I317" i="10"/>
  <c r="H318" i="12" l="1"/>
  <c r="E318" i="12"/>
  <c r="J318" i="12"/>
  <c r="L317" i="10"/>
  <c r="G318" i="10"/>
  <c r="F318" i="12" l="1"/>
  <c r="K318" i="12"/>
  <c r="C319" i="12" s="1"/>
  <c r="I318" i="12"/>
  <c r="H318" i="10"/>
  <c r="E318" i="10"/>
  <c r="J318" i="10"/>
  <c r="L318" i="12" l="1"/>
  <c r="G319" i="12"/>
  <c r="F318" i="10"/>
  <c r="I318" i="10"/>
  <c r="K318" i="10"/>
  <c r="C319" i="10" s="1"/>
  <c r="H319" i="12" l="1"/>
  <c r="E319" i="12"/>
  <c r="J319" i="12"/>
  <c r="G319" i="10"/>
  <c r="L318" i="10"/>
  <c r="F319" i="12" l="1"/>
  <c r="I319" i="12"/>
  <c r="K319" i="12"/>
  <c r="C320" i="12" s="1"/>
  <c r="H319" i="10"/>
  <c r="E319" i="10"/>
  <c r="J319" i="10"/>
  <c r="L319" i="12" l="1"/>
  <c r="G320" i="12"/>
  <c r="F319" i="10"/>
  <c r="I319" i="10"/>
  <c r="K319" i="10"/>
  <c r="C320" i="10" s="1"/>
  <c r="H320" i="12" l="1"/>
  <c r="E320" i="12"/>
  <c r="J320" i="12"/>
  <c r="G320" i="10"/>
  <c r="L319" i="10"/>
  <c r="F320" i="12" l="1"/>
  <c r="I320" i="12"/>
  <c r="K320" i="12"/>
  <c r="C321" i="12" s="1"/>
  <c r="H320" i="10"/>
  <c r="E320" i="10"/>
  <c r="J320" i="10"/>
  <c r="G321" i="12" l="1"/>
  <c r="L320" i="12"/>
  <c r="F320" i="10"/>
  <c r="I320" i="10"/>
  <c r="K320" i="10"/>
  <c r="C321" i="10" s="1"/>
  <c r="H321" i="12" l="1"/>
  <c r="E321" i="12"/>
  <c r="J321" i="12"/>
  <c r="L320" i="10"/>
  <c r="G321" i="10"/>
  <c r="F321" i="12" l="1"/>
  <c r="K321" i="12"/>
  <c r="C322" i="12" s="1"/>
  <c r="I321" i="12"/>
  <c r="H321" i="10"/>
  <c r="E321" i="10"/>
  <c r="J321" i="10"/>
  <c r="L321" i="12" l="1"/>
  <c r="G322" i="12"/>
  <c r="F321" i="10"/>
  <c r="I321" i="10"/>
  <c r="K321" i="10"/>
  <c r="C322" i="10" s="1"/>
  <c r="H322" i="12" l="1"/>
  <c r="E322" i="12"/>
  <c r="J322" i="12"/>
  <c r="G322" i="10"/>
  <c r="L321" i="10"/>
  <c r="F322" i="12" l="1"/>
  <c r="I322" i="12"/>
  <c r="K322" i="12"/>
  <c r="C323" i="12" s="1"/>
  <c r="H322" i="10"/>
  <c r="E322" i="10"/>
  <c r="J322" i="10"/>
  <c r="G323" i="12" l="1"/>
  <c r="L322" i="12"/>
  <c r="F322" i="10"/>
  <c r="K322" i="10"/>
  <c r="C323" i="10" s="1"/>
  <c r="I322" i="10"/>
  <c r="H323" i="12" l="1"/>
  <c r="E323" i="12"/>
  <c r="J323" i="12"/>
  <c r="G323" i="10"/>
  <c r="L322" i="10"/>
  <c r="F323" i="12" l="1"/>
  <c r="K323" i="12"/>
  <c r="C324" i="12" s="1"/>
  <c r="I323" i="12"/>
  <c r="H323" i="10"/>
  <c r="E323" i="10"/>
  <c r="J323" i="10"/>
  <c r="G324" i="12" l="1"/>
  <c r="L323" i="12"/>
  <c r="F323" i="10"/>
  <c r="K323" i="10"/>
  <c r="C324" i="10" s="1"/>
  <c r="I323" i="10"/>
  <c r="H324" i="12" l="1"/>
  <c r="E324" i="12"/>
  <c r="J324" i="12"/>
  <c r="L323" i="10"/>
  <c r="G324" i="10"/>
  <c r="F324" i="12" l="1"/>
  <c r="K324" i="12"/>
  <c r="C325" i="12" s="1"/>
  <c r="I324" i="12"/>
  <c r="H324" i="10"/>
  <c r="E324" i="10"/>
  <c r="J324" i="10"/>
  <c r="L324" i="12" l="1"/>
  <c r="G325" i="12"/>
  <c r="F324" i="10"/>
  <c r="I324" i="10"/>
  <c r="K324" i="10"/>
  <c r="C325" i="10" s="1"/>
  <c r="H325" i="12" l="1"/>
  <c r="E325" i="12"/>
  <c r="J325" i="12"/>
  <c r="L324" i="10"/>
  <c r="G325" i="10"/>
  <c r="F325" i="12" l="1"/>
  <c r="I325" i="12"/>
  <c r="K325" i="12"/>
  <c r="C326" i="12" s="1"/>
  <c r="H325" i="10"/>
  <c r="E325" i="10"/>
  <c r="J325" i="10"/>
  <c r="L325" i="12" l="1"/>
  <c r="G326" i="12"/>
  <c r="F325" i="10"/>
  <c r="I325" i="10"/>
  <c r="K325" i="10"/>
  <c r="C326" i="10" s="1"/>
  <c r="H326" i="12" l="1"/>
  <c r="E326" i="12"/>
  <c r="J326" i="12"/>
  <c r="L325" i="10"/>
  <c r="G326" i="10"/>
  <c r="F326" i="12" l="1"/>
  <c r="K326" i="12"/>
  <c r="C327" i="12" s="1"/>
  <c r="I326" i="12"/>
  <c r="H326" i="10"/>
  <c r="E326" i="10"/>
  <c r="J326" i="10"/>
  <c r="L326" i="12" l="1"/>
  <c r="G327" i="12"/>
  <c r="F326" i="10"/>
  <c r="K326" i="10"/>
  <c r="C327" i="10" s="1"/>
  <c r="I326" i="10"/>
  <c r="H327" i="12" l="1"/>
  <c r="E327" i="12"/>
  <c r="J327" i="12"/>
  <c r="G327" i="10"/>
  <c r="L326" i="10"/>
  <c r="F327" i="12" l="1"/>
  <c r="I327" i="12"/>
  <c r="K327" i="12"/>
  <c r="C328" i="12" s="1"/>
  <c r="H327" i="10"/>
  <c r="E327" i="10"/>
  <c r="J327" i="10"/>
  <c r="G328" i="12" l="1"/>
  <c r="L327" i="12"/>
  <c r="F327" i="10"/>
  <c r="K327" i="10"/>
  <c r="C328" i="10" s="1"/>
  <c r="I327" i="10"/>
  <c r="H328" i="12" l="1"/>
  <c r="E328" i="12"/>
  <c r="J328" i="12"/>
  <c r="L327" i="10"/>
  <c r="G328" i="10"/>
  <c r="F328" i="12" l="1"/>
  <c r="K328" i="12"/>
  <c r="C329" i="12" s="1"/>
  <c r="I328" i="12"/>
  <c r="H328" i="10"/>
  <c r="E328" i="10"/>
  <c r="J328" i="10"/>
  <c r="L328" i="12" l="1"/>
  <c r="G329" i="12"/>
  <c r="F328" i="10"/>
  <c r="I328" i="10"/>
  <c r="K328" i="10"/>
  <c r="C329" i="10" s="1"/>
  <c r="H329" i="12" l="1"/>
  <c r="E329" i="12"/>
  <c r="J329" i="12"/>
  <c r="L328" i="10"/>
  <c r="G329" i="10"/>
  <c r="F329" i="12" l="1"/>
  <c r="I329" i="12"/>
  <c r="K329" i="12"/>
  <c r="C330" i="12" s="1"/>
  <c r="H329" i="10"/>
  <c r="E329" i="10"/>
  <c r="J329" i="10"/>
  <c r="G330" i="12" l="1"/>
  <c r="L329" i="12"/>
  <c r="F329" i="10"/>
  <c r="I329" i="10"/>
  <c r="K329" i="10"/>
  <c r="C330" i="10" s="1"/>
  <c r="H330" i="12" l="1"/>
  <c r="E330" i="12"/>
  <c r="J330" i="12"/>
  <c r="L329" i="10"/>
  <c r="G330" i="10"/>
  <c r="F330" i="12" l="1"/>
  <c r="K330" i="12"/>
  <c r="C331" i="12" s="1"/>
  <c r="I330" i="12"/>
  <c r="H330" i="10"/>
  <c r="E330" i="10"/>
  <c r="J330" i="10"/>
  <c r="L330" i="12" l="1"/>
  <c r="G331" i="12"/>
  <c r="F330" i="10"/>
  <c r="I330" i="10"/>
  <c r="K330" i="10"/>
  <c r="C331" i="10" s="1"/>
  <c r="H331" i="12" l="1"/>
  <c r="E331" i="12"/>
  <c r="J331" i="12"/>
  <c r="L330" i="10"/>
  <c r="G331" i="10"/>
  <c r="F331" i="12" l="1"/>
  <c r="I331" i="12"/>
  <c r="K331" i="12"/>
  <c r="C332" i="12" s="1"/>
  <c r="H331" i="10"/>
  <c r="E331" i="10"/>
  <c r="J331" i="10"/>
  <c r="G332" i="12" l="1"/>
  <c r="L331" i="12"/>
  <c r="F331" i="10"/>
  <c r="I331" i="10"/>
  <c r="K331" i="10"/>
  <c r="C332" i="10" s="1"/>
  <c r="H332" i="12" l="1"/>
  <c r="E332" i="12"/>
  <c r="J332" i="12"/>
  <c r="G332" i="10"/>
  <c r="L331" i="10"/>
  <c r="F332" i="12" l="1"/>
  <c r="K332" i="12"/>
  <c r="C333" i="12" s="1"/>
  <c r="I332" i="12"/>
  <c r="H332" i="10"/>
  <c r="E332" i="10"/>
  <c r="J332" i="10"/>
  <c r="L332" i="12" l="1"/>
  <c r="G333" i="12"/>
  <c r="F332" i="10"/>
  <c r="K332" i="10"/>
  <c r="C333" i="10" s="1"/>
  <c r="I332" i="10"/>
  <c r="H333" i="12" l="1"/>
  <c r="E333" i="12"/>
  <c r="J333" i="12"/>
  <c r="G333" i="10"/>
  <c r="L332" i="10"/>
  <c r="F333" i="12" l="1"/>
  <c r="I333" i="12"/>
  <c r="K333" i="12"/>
  <c r="C334" i="12" s="1"/>
  <c r="H333" i="10"/>
  <c r="E333" i="10"/>
  <c r="J333" i="10"/>
  <c r="G334" i="12" l="1"/>
  <c r="L333" i="12"/>
  <c r="F333" i="10"/>
  <c r="K333" i="10"/>
  <c r="C334" i="10" s="1"/>
  <c r="I333" i="10"/>
  <c r="H334" i="12" l="1"/>
  <c r="E334" i="12"/>
  <c r="J334" i="12"/>
  <c r="G334" i="10"/>
  <c r="L333" i="10"/>
  <c r="F334" i="12" l="1"/>
  <c r="K334" i="12"/>
  <c r="C335" i="12" s="1"/>
  <c r="I334" i="12"/>
  <c r="H334" i="10"/>
  <c r="E334" i="10"/>
  <c r="J334" i="10"/>
  <c r="L334" i="12" l="1"/>
  <c r="G335" i="12"/>
  <c r="F334" i="10"/>
  <c r="K334" i="10"/>
  <c r="C335" i="10" s="1"/>
  <c r="I334" i="10"/>
  <c r="H335" i="12" l="1"/>
  <c r="E335" i="12"/>
  <c r="J335" i="12"/>
  <c r="L334" i="10"/>
  <c r="G335" i="10"/>
  <c r="F335" i="12" l="1"/>
  <c r="I335" i="12"/>
  <c r="K335" i="12"/>
  <c r="C336" i="12" s="1"/>
  <c r="H335" i="10"/>
  <c r="E335" i="10"/>
  <c r="J335" i="10"/>
  <c r="G336" i="12" l="1"/>
  <c r="L335" i="12"/>
  <c r="F335" i="10"/>
  <c r="I335" i="10"/>
  <c r="K335" i="10"/>
  <c r="C336" i="10" s="1"/>
  <c r="H336" i="12" l="1"/>
  <c r="E336" i="12"/>
  <c r="J336" i="12"/>
  <c r="G336" i="10"/>
  <c r="L335" i="10"/>
  <c r="F336" i="12" l="1"/>
  <c r="K336" i="12"/>
  <c r="C337" i="12" s="1"/>
  <c r="I336" i="12"/>
  <c r="H336" i="10"/>
  <c r="E336" i="10"/>
  <c r="J336" i="10"/>
  <c r="L336" i="12" l="1"/>
  <c r="G337" i="12"/>
  <c r="F336" i="10"/>
  <c r="K336" i="10"/>
  <c r="C337" i="10" s="1"/>
  <c r="I336" i="10"/>
  <c r="H337" i="12" l="1"/>
  <c r="E337" i="12"/>
  <c r="J337" i="12"/>
  <c r="G337" i="10"/>
  <c r="L336" i="10"/>
  <c r="F337" i="12" l="1"/>
  <c r="I337" i="12"/>
  <c r="K337" i="12"/>
  <c r="C338" i="12" s="1"/>
  <c r="H337" i="10"/>
  <c r="E337" i="10"/>
  <c r="J337" i="10"/>
  <c r="G338" i="12" l="1"/>
  <c r="L337" i="12"/>
  <c r="F337" i="10"/>
  <c r="K337" i="10"/>
  <c r="C338" i="10" s="1"/>
  <c r="I337" i="10"/>
  <c r="H338" i="12" l="1"/>
  <c r="E338" i="12"/>
  <c r="J338" i="12"/>
  <c r="L337" i="10"/>
  <c r="G338" i="10"/>
  <c r="F338" i="12" l="1"/>
  <c r="K338" i="12"/>
  <c r="C339" i="12" s="1"/>
  <c r="I338" i="12"/>
  <c r="H338" i="10"/>
  <c r="E338" i="10"/>
  <c r="J338" i="10"/>
  <c r="L338" i="12" l="1"/>
  <c r="G339" i="12"/>
  <c r="F338" i="10"/>
  <c r="K338" i="10"/>
  <c r="C339" i="10" s="1"/>
  <c r="I338" i="10"/>
  <c r="H339" i="12" l="1"/>
  <c r="E339" i="12"/>
  <c r="J339" i="12"/>
  <c r="L338" i="10"/>
  <c r="G339" i="10"/>
  <c r="F339" i="12" l="1"/>
  <c r="I339" i="12"/>
  <c r="K339" i="12"/>
  <c r="C340" i="12" s="1"/>
  <c r="H339" i="10"/>
  <c r="E339" i="10"/>
  <c r="J339" i="10"/>
  <c r="G340" i="12" l="1"/>
  <c r="L339" i="12"/>
  <c r="F339" i="10"/>
  <c r="I339" i="10"/>
  <c r="K339" i="10"/>
  <c r="C340" i="10" s="1"/>
  <c r="H340" i="12" l="1"/>
  <c r="E340" i="12"/>
  <c r="J340" i="12"/>
  <c r="L339" i="10"/>
  <c r="G340" i="10"/>
  <c r="F340" i="12" l="1"/>
  <c r="K340" i="12"/>
  <c r="C341" i="12" s="1"/>
  <c r="I340" i="12"/>
  <c r="H340" i="10"/>
  <c r="E340" i="10"/>
  <c r="J340" i="10"/>
  <c r="L340" i="12" l="1"/>
  <c r="G341" i="12"/>
  <c r="F340" i="10"/>
  <c r="I340" i="10"/>
  <c r="K340" i="10"/>
  <c r="C341" i="10" s="1"/>
  <c r="H341" i="12" l="1"/>
  <c r="E341" i="12"/>
  <c r="J341" i="12"/>
  <c r="G341" i="10"/>
  <c r="L340" i="10"/>
  <c r="F341" i="12" l="1"/>
  <c r="I341" i="12"/>
  <c r="K341" i="12"/>
  <c r="C342" i="12" s="1"/>
  <c r="H341" i="10"/>
  <c r="E341" i="10"/>
  <c r="J341" i="10"/>
  <c r="G342" i="12" l="1"/>
  <c r="L341" i="12"/>
  <c r="F341" i="10"/>
  <c r="K341" i="10"/>
  <c r="C342" i="10" s="1"/>
  <c r="I341" i="10"/>
  <c r="H342" i="12" l="1"/>
  <c r="E342" i="12"/>
  <c r="J342" i="12"/>
  <c r="L341" i="10"/>
  <c r="G342" i="10"/>
  <c r="F342" i="12" l="1"/>
  <c r="I342" i="12"/>
  <c r="K342" i="12"/>
  <c r="C343" i="12" s="1"/>
  <c r="H342" i="10"/>
  <c r="E342" i="10"/>
  <c r="J342" i="10"/>
  <c r="L342" i="12" l="1"/>
  <c r="G343" i="12"/>
  <c r="F342" i="10"/>
  <c r="I342" i="10"/>
  <c r="K342" i="10"/>
  <c r="C343" i="10" s="1"/>
  <c r="H343" i="12" l="1"/>
  <c r="E343" i="12"/>
  <c r="J343" i="12"/>
  <c r="L342" i="10"/>
  <c r="G343" i="10"/>
  <c r="F343" i="12" l="1"/>
  <c r="I343" i="12"/>
  <c r="K343" i="12"/>
  <c r="C344" i="12" s="1"/>
  <c r="H343" i="10"/>
  <c r="E343" i="10"/>
  <c r="J343" i="10"/>
  <c r="G344" i="12" l="1"/>
  <c r="L343" i="12"/>
  <c r="F343" i="10"/>
  <c r="K343" i="10"/>
  <c r="C344" i="10" s="1"/>
  <c r="I343" i="10"/>
  <c r="H344" i="12" l="1"/>
  <c r="E344" i="12"/>
  <c r="J344" i="12"/>
  <c r="L343" i="10"/>
  <c r="G344" i="10"/>
  <c r="F344" i="12" l="1"/>
  <c r="K344" i="12"/>
  <c r="C345" i="12" s="1"/>
  <c r="I344" i="12"/>
  <c r="H344" i="10"/>
  <c r="E344" i="10"/>
  <c r="J344" i="10"/>
  <c r="L344" i="12" l="1"/>
  <c r="G345" i="12"/>
  <c r="F344" i="10"/>
  <c r="I344" i="10"/>
  <c r="K344" i="10"/>
  <c r="C345" i="10" s="1"/>
  <c r="H345" i="12" l="1"/>
  <c r="E345" i="12"/>
  <c r="J345" i="12"/>
  <c r="L344" i="10"/>
  <c r="G345" i="10"/>
  <c r="F345" i="12" l="1"/>
  <c r="I345" i="12"/>
  <c r="K345" i="12"/>
  <c r="C346" i="12" s="1"/>
  <c r="H345" i="10"/>
  <c r="E345" i="10"/>
  <c r="J345" i="10"/>
  <c r="G346" i="12" l="1"/>
  <c r="L345" i="12"/>
  <c r="F345" i="10"/>
  <c r="I345" i="10"/>
  <c r="K345" i="10"/>
  <c r="C346" i="10" s="1"/>
  <c r="H346" i="12" l="1"/>
  <c r="E346" i="12"/>
  <c r="J346" i="12"/>
  <c r="G346" i="10"/>
  <c r="L345" i="10"/>
  <c r="F346" i="12" l="1"/>
  <c r="K346" i="12"/>
  <c r="C347" i="12" s="1"/>
  <c r="I346" i="12"/>
  <c r="H346" i="10"/>
  <c r="E346" i="10"/>
  <c r="J346" i="10"/>
  <c r="G347" i="12" l="1"/>
  <c r="L346" i="12"/>
  <c r="F346" i="10"/>
  <c r="I346" i="10"/>
  <c r="K346" i="10"/>
  <c r="C347" i="10" s="1"/>
  <c r="H347" i="12" l="1"/>
  <c r="E347" i="12"/>
  <c r="J347" i="12"/>
  <c r="G347" i="10"/>
  <c r="L346" i="10"/>
  <c r="F347" i="12" l="1"/>
  <c r="K347" i="12"/>
  <c r="C348" i="12" s="1"/>
  <c r="I347" i="12"/>
  <c r="H347" i="10"/>
  <c r="E347" i="10"/>
  <c r="J347" i="10"/>
  <c r="L347" i="12" l="1"/>
  <c r="G348" i="12"/>
  <c r="F347" i="10"/>
  <c r="K347" i="10"/>
  <c r="C348" i="10" s="1"/>
  <c r="I347" i="10"/>
  <c r="H348" i="12" l="1"/>
  <c r="E348" i="12"/>
  <c r="J348" i="12"/>
  <c r="L347" i="10"/>
  <c r="G348" i="10"/>
  <c r="F348" i="12" l="1"/>
  <c r="I348" i="12"/>
  <c r="K348" i="12"/>
  <c r="C349" i="12" s="1"/>
  <c r="H348" i="10"/>
  <c r="E348" i="10"/>
  <c r="J348" i="10"/>
  <c r="G349" i="12" l="1"/>
  <c r="L348" i="12"/>
  <c r="F348" i="10"/>
  <c r="I348" i="10"/>
  <c r="K348" i="10"/>
  <c r="C349" i="10" s="1"/>
  <c r="H349" i="12" l="1"/>
  <c r="E349" i="12"/>
  <c r="J349" i="12"/>
  <c r="G349" i="10"/>
  <c r="L348" i="10"/>
  <c r="F349" i="12" l="1"/>
  <c r="K349" i="12"/>
  <c r="C350" i="12" s="1"/>
  <c r="I349" i="12"/>
  <c r="H349" i="10"/>
  <c r="E349" i="10"/>
  <c r="J349" i="10"/>
  <c r="L349" i="12" l="1"/>
  <c r="G350" i="12"/>
  <c r="F349" i="10"/>
  <c r="K349" i="10"/>
  <c r="C350" i="10" s="1"/>
  <c r="I349" i="10"/>
  <c r="H350" i="12" l="1"/>
  <c r="E350" i="12"/>
  <c r="J350" i="12"/>
  <c r="L349" i="10"/>
  <c r="G350" i="10"/>
  <c r="F350" i="12" l="1"/>
  <c r="I350" i="12"/>
  <c r="K350" i="12"/>
  <c r="C351" i="12" s="1"/>
  <c r="H350" i="10"/>
  <c r="E350" i="10"/>
  <c r="J350" i="10"/>
  <c r="G351" i="12" l="1"/>
  <c r="L350" i="12"/>
  <c r="F350" i="10"/>
  <c r="I350" i="10"/>
  <c r="K350" i="10"/>
  <c r="C351" i="10" s="1"/>
  <c r="H351" i="12" l="1"/>
  <c r="E351" i="12"/>
  <c r="J351" i="12"/>
  <c r="G351" i="10"/>
  <c r="L350" i="10"/>
  <c r="F351" i="12" l="1"/>
  <c r="K351" i="12"/>
  <c r="C352" i="12" s="1"/>
  <c r="I351" i="12"/>
  <c r="H351" i="10"/>
  <c r="E351" i="10"/>
  <c r="J351" i="10"/>
  <c r="L351" i="12" l="1"/>
  <c r="G352" i="12"/>
  <c r="F351" i="10"/>
  <c r="K351" i="10"/>
  <c r="C352" i="10" s="1"/>
  <c r="I351" i="10"/>
  <c r="H352" i="12" l="1"/>
  <c r="E352" i="12"/>
  <c r="J352" i="12"/>
  <c r="L351" i="10"/>
  <c r="G352" i="10"/>
  <c r="F352" i="12" l="1"/>
  <c r="I352" i="12"/>
  <c r="K352" i="12"/>
  <c r="C353" i="12" s="1"/>
  <c r="H352" i="10"/>
  <c r="E352" i="10"/>
  <c r="J352" i="10"/>
  <c r="G353" i="12" l="1"/>
  <c r="L352" i="12"/>
  <c r="F352" i="10"/>
  <c r="I352" i="10"/>
  <c r="K352" i="10"/>
  <c r="C353" i="10" s="1"/>
  <c r="H353" i="12" l="1"/>
  <c r="E353" i="12"/>
  <c r="J353" i="12"/>
  <c r="G353" i="10"/>
  <c r="L352" i="10"/>
  <c r="F353" i="12" l="1"/>
  <c r="K353" i="12"/>
  <c r="C354" i="12" s="1"/>
  <c r="I353" i="12"/>
  <c r="H353" i="10"/>
  <c r="E353" i="10"/>
  <c r="J353" i="10"/>
  <c r="L353" i="12" l="1"/>
  <c r="G354" i="12"/>
  <c r="F353" i="10"/>
  <c r="I353" i="10"/>
  <c r="K353" i="10"/>
  <c r="C354" i="10" s="1"/>
  <c r="H354" i="12" l="1"/>
  <c r="E354" i="12"/>
  <c r="J354" i="12"/>
  <c r="G354" i="10"/>
  <c r="L353" i="10"/>
  <c r="F354" i="12" l="1"/>
  <c r="I354" i="12"/>
  <c r="K354" i="12"/>
  <c r="C355" i="12" s="1"/>
  <c r="H354" i="10"/>
  <c r="E354" i="10"/>
  <c r="J354" i="10"/>
  <c r="G355" i="12" l="1"/>
  <c r="L354" i="12"/>
  <c r="F354" i="10"/>
  <c r="K354" i="10"/>
  <c r="C355" i="10" s="1"/>
  <c r="I354" i="10"/>
  <c r="H355" i="12" l="1"/>
  <c r="E355" i="12"/>
  <c r="J355" i="12"/>
  <c r="G355" i="10"/>
  <c r="L354" i="10"/>
  <c r="F355" i="12" l="1"/>
  <c r="I355" i="12"/>
  <c r="K355" i="12"/>
  <c r="C356" i="12" s="1"/>
  <c r="H355" i="10"/>
  <c r="E355" i="10"/>
  <c r="J355" i="10"/>
  <c r="G356" i="12" l="1"/>
  <c r="L355" i="12"/>
  <c r="F355" i="10"/>
  <c r="K355" i="10"/>
  <c r="C356" i="10" s="1"/>
  <c r="I355" i="10"/>
  <c r="H356" i="12" l="1"/>
  <c r="E356" i="12"/>
  <c r="J356" i="12"/>
  <c r="L355" i="10"/>
  <c r="G356" i="10"/>
  <c r="F356" i="12" l="1"/>
  <c r="I356" i="12"/>
  <c r="K356" i="12"/>
  <c r="C357" i="12" s="1"/>
  <c r="H356" i="10"/>
  <c r="E356" i="10"/>
  <c r="J356" i="10"/>
  <c r="G357" i="12" l="1"/>
  <c r="L356" i="12"/>
  <c r="F356" i="10"/>
  <c r="I356" i="10"/>
  <c r="K356" i="10"/>
  <c r="C357" i="10" s="1"/>
  <c r="H357" i="12" l="1"/>
  <c r="E357" i="12"/>
  <c r="J357" i="12"/>
  <c r="G357" i="10"/>
  <c r="L356" i="10"/>
  <c r="F357" i="12" l="1"/>
  <c r="K357" i="12"/>
  <c r="C358" i="12" s="1"/>
  <c r="I357" i="12"/>
  <c r="H357" i="10"/>
  <c r="E357" i="10"/>
  <c r="J357" i="10"/>
  <c r="L357" i="12" l="1"/>
  <c r="G358" i="12"/>
  <c r="F357" i="10"/>
  <c r="K357" i="10"/>
  <c r="C358" i="10" s="1"/>
  <c r="I357" i="10"/>
  <c r="H358" i="12" l="1"/>
  <c r="E358" i="12"/>
  <c r="J358" i="12"/>
  <c r="L357" i="10"/>
  <c r="G358" i="10"/>
  <c r="F358" i="12" l="1"/>
  <c r="I358" i="12"/>
  <c r="K358" i="12"/>
  <c r="C359" i="12" s="1"/>
  <c r="H358" i="10"/>
  <c r="E358" i="10"/>
  <c r="J358" i="10"/>
  <c r="G359" i="12" l="1"/>
  <c r="L358" i="12"/>
  <c r="F358" i="10"/>
  <c r="I358" i="10"/>
  <c r="K358" i="10"/>
  <c r="C359" i="10" s="1"/>
  <c r="H359" i="12" l="1"/>
  <c r="E359" i="12"/>
  <c r="J359" i="12"/>
  <c r="G359" i="10"/>
  <c r="L358" i="10"/>
  <c r="F359" i="12" l="1"/>
  <c r="K359" i="12"/>
  <c r="C360" i="12" s="1"/>
  <c r="I359" i="12"/>
  <c r="H359" i="10"/>
  <c r="E359" i="10"/>
  <c r="J359" i="10"/>
  <c r="L359" i="12" l="1"/>
  <c r="G360" i="12"/>
  <c r="F359" i="10"/>
  <c r="K359" i="10"/>
  <c r="C360" i="10" s="1"/>
  <c r="I359" i="10"/>
  <c r="H360" i="12" l="1"/>
  <c r="E360" i="12"/>
  <c r="J360" i="12"/>
  <c r="L359" i="10"/>
  <c r="G360" i="10"/>
  <c r="F360" i="12" l="1"/>
  <c r="I360" i="12"/>
  <c r="K360" i="12"/>
  <c r="C361" i="12" s="1"/>
  <c r="H360" i="10"/>
  <c r="E360" i="10"/>
  <c r="J360" i="10"/>
  <c r="G361" i="12" l="1"/>
  <c r="L360" i="12"/>
  <c r="F360" i="10"/>
  <c r="I360" i="10"/>
  <c r="K360" i="10"/>
  <c r="C361" i="10" s="1"/>
  <c r="H361" i="12" l="1"/>
  <c r="E361" i="12"/>
  <c r="J361" i="12"/>
  <c r="G361" i="10"/>
  <c r="L360" i="10"/>
  <c r="F361" i="12" l="1"/>
  <c r="I361" i="12"/>
  <c r="K361" i="12"/>
  <c r="C362" i="12" s="1"/>
  <c r="H361" i="10"/>
  <c r="E361" i="10"/>
  <c r="J361" i="10"/>
  <c r="G362" i="12" l="1"/>
  <c r="L361" i="12"/>
  <c r="F361" i="10"/>
  <c r="K361" i="10"/>
  <c r="C362" i="10" s="1"/>
  <c r="I361" i="10"/>
  <c r="H362" i="12" l="1"/>
  <c r="E362" i="12"/>
  <c r="J362" i="12"/>
  <c r="L361" i="10"/>
  <c r="G362" i="10"/>
  <c r="F362" i="12" l="1"/>
  <c r="K362" i="12"/>
  <c r="C363" i="12" s="1"/>
  <c r="I362" i="12"/>
  <c r="H362" i="10"/>
  <c r="E362" i="10"/>
  <c r="J362" i="10"/>
  <c r="L362" i="12" l="1"/>
  <c r="G363" i="12"/>
  <c r="F362" i="10"/>
  <c r="I362" i="10"/>
  <c r="K362" i="10"/>
  <c r="C363" i="10" s="1"/>
  <c r="H363" i="12" l="1"/>
  <c r="E363" i="12"/>
  <c r="J363" i="12"/>
  <c r="G363" i="10"/>
  <c r="L362" i="10"/>
  <c r="F363" i="12" l="1"/>
  <c r="I363" i="12"/>
  <c r="K363" i="12"/>
  <c r="C364" i="12" s="1"/>
  <c r="H363" i="10"/>
  <c r="E363" i="10"/>
  <c r="J363" i="10"/>
  <c r="G364" i="12" l="1"/>
  <c r="L363" i="12"/>
  <c r="F363" i="10"/>
  <c r="I363" i="10"/>
  <c r="K363" i="10"/>
  <c r="C364" i="10" s="1"/>
  <c r="H364" i="12" l="1"/>
  <c r="E364" i="12"/>
  <c r="J364" i="12"/>
  <c r="L363" i="10"/>
  <c r="G364" i="10"/>
  <c r="F364" i="12" l="1"/>
  <c r="I364" i="12"/>
  <c r="K364" i="12"/>
  <c r="C365" i="12" s="1"/>
  <c r="H364" i="10"/>
  <c r="E364" i="10"/>
  <c r="J364" i="10"/>
  <c r="E2" i="1"/>
  <c r="K2" i="1"/>
  <c r="B41" i="2"/>
  <c r="B40" i="2"/>
  <c r="B9" i="2" s="1"/>
  <c r="C29" i="2"/>
  <c r="C10" i="2"/>
  <c r="D31" i="2"/>
  <c r="B37" i="2"/>
  <c r="C37" i="2" s="1"/>
  <c r="B36" i="2"/>
  <c r="C30" i="2"/>
  <c r="B31" i="2"/>
  <c r="C31" i="2"/>
  <c r="G6" i="2"/>
  <c r="G2" i="1"/>
  <c r="B35" i="2"/>
  <c r="B34" i="2"/>
  <c r="B33" i="2"/>
  <c r="B11" i="2"/>
  <c r="G29" i="6"/>
  <c r="B12" i="6"/>
  <c r="C32" i="6"/>
  <c r="C31" i="6"/>
  <c r="C30" i="6"/>
  <c r="G30" i="6"/>
  <c r="B29" i="6"/>
  <c r="C29" i="6" s="1"/>
  <c r="B27" i="6"/>
  <c r="K16" i="6" s="1"/>
  <c r="B11" i="6"/>
  <c r="C10" i="6"/>
  <c r="G9" i="6"/>
  <c r="K8" i="6"/>
  <c r="B7" i="6"/>
  <c r="G6" i="6"/>
  <c r="B6" i="6"/>
  <c r="L5" i="6"/>
  <c r="C5" i="6"/>
  <c r="C3" i="6"/>
  <c r="C32" i="5"/>
  <c r="C31" i="5"/>
  <c r="C30" i="5"/>
  <c r="G29" i="5"/>
  <c r="G30" i="5" s="1"/>
  <c r="B29" i="5"/>
  <c r="C29" i="5" s="1"/>
  <c r="B27" i="5"/>
  <c r="K15" i="5" s="1"/>
  <c r="B11" i="5"/>
  <c r="C10" i="5"/>
  <c r="G9" i="5"/>
  <c r="K8" i="5"/>
  <c r="B7" i="5"/>
  <c r="G6" i="5"/>
  <c r="B6" i="5"/>
  <c r="L5" i="5"/>
  <c r="K14" i="5" s="1"/>
  <c r="C5" i="5"/>
  <c r="C3" i="5"/>
  <c r="C5" i="2"/>
  <c r="C3" i="2"/>
  <c r="B7" i="2"/>
  <c r="B6" i="2"/>
  <c r="G9" i="2"/>
  <c r="G336" i="1"/>
  <c r="E336" i="1"/>
  <c r="G335" i="1"/>
  <c r="E335" i="1"/>
  <c r="G334" i="1"/>
  <c r="E334" i="1"/>
  <c r="G333" i="1"/>
  <c r="E333" i="1"/>
  <c r="G332" i="1"/>
  <c r="E332" i="1"/>
  <c r="G331" i="1"/>
  <c r="E331" i="1"/>
  <c r="G330" i="1"/>
  <c r="E330" i="1"/>
  <c r="G329" i="1"/>
  <c r="E329" i="1"/>
  <c r="G328" i="1"/>
  <c r="E328" i="1"/>
  <c r="G327" i="1"/>
  <c r="E327" i="1"/>
  <c r="G326" i="1"/>
  <c r="E326" i="1"/>
  <c r="G325" i="1"/>
  <c r="E325" i="1"/>
  <c r="G324" i="1"/>
  <c r="E324" i="1"/>
  <c r="G323" i="1"/>
  <c r="E323" i="1"/>
  <c r="G322" i="1"/>
  <c r="E322" i="1"/>
  <c r="G321" i="1"/>
  <c r="E321" i="1"/>
  <c r="G320" i="1"/>
  <c r="E320" i="1"/>
  <c r="G319" i="1"/>
  <c r="E319" i="1"/>
  <c r="G318" i="1"/>
  <c r="E318" i="1"/>
  <c r="G317" i="1"/>
  <c r="E317" i="1"/>
  <c r="G316" i="1"/>
  <c r="E316" i="1"/>
  <c r="G315" i="1"/>
  <c r="E315" i="1"/>
  <c r="G314" i="1"/>
  <c r="E314" i="1"/>
  <c r="G313" i="1"/>
  <c r="E313" i="1"/>
  <c r="G312" i="1"/>
  <c r="E312" i="1"/>
  <c r="G311" i="1"/>
  <c r="E311" i="1"/>
  <c r="G310" i="1"/>
  <c r="E310" i="1"/>
  <c r="G309" i="1"/>
  <c r="E309" i="1"/>
  <c r="G308" i="1"/>
  <c r="E308" i="1"/>
  <c r="G307" i="1"/>
  <c r="E307" i="1"/>
  <c r="G306" i="1"/>
  <c r="E306" i="1"/>
  <c r="G305" i="1"/>
  <c r="E305" i="1"/>
  <c r="G304" i="1"/>
  <c r="E304" i="1"/>
  <c r="G303" i="1"/>
  <c r="E303" i="1"/>
  <c r="G302" i="1"/>
  <c r="E302" i="1"/>
  <c r="G301" i="1"/>
  <c r="E301" i="1"/>
  <c r="G300" i="1"/>
  <c r="E300" i="1"/>
  <c r="G299" i="1"/>
  <c r="E299" i="1"/>
  <c r="G298" i="1"/>
  <c r="E298" i="1"/>
  <c r="G297" i="1"/>
  <c r="E297" i="1"/>
  <c r="G296" i="1"/>
  <c r="E296" i="1"/>
  <c r="G295" i="1"/>
  <c r="E295" i="1"/>
  <c r="G294" i="1"/>
  <c r="E294" i="1"/>
  <c r="G293" i="1"/>
  <c r="E293" i="1"/>
  <c r="G292" i="1"/>
  <c r="E292" i="1"/>
  <c r="G291" i="1"/>
  <c r="E291" i="1"/>
  <c r="G290" i="1"/>
  <c r="E290" i="1"/>
  <c r="G289" i="1"/>
  <c r="E289" i="1"/>
  <c r="G288" i="1"/>
  <c r="E288" i="1"/>
  <c r="G287" i="1"/>
  <c r="E287" i="1"/>
  <c r="G286" i="1"/>
  <c r="E286" i="1"/>
  <c r="G285" i="1"/>
  <c r="E285" i="1"/>
  <c r="G284" i="1"/>
  <c r="E284" i="1"/>
  <c r="G283" i="1"/>
  <c r="E283" i="1"/>
  <c r="G282" i="1"/>
  <c r="E282" i="1"/>
  <c r="G281" i="1"/>
  <c r="E281" i="1"/>
  <c r="G280" i="1"/>
  <c r="E280" i="1"/>
  <c r="G279" i="1"/>
  <c r="E279" i="1"/>
  <c r="G278" i="1"/>
  <c r="E278" i="1"/>
  <c r="G277" i="1"/>
  <c r="E277" i="1"/>
  <c r="G276" i="1"/>
  <c r="E276" i="1"/>
  <c r="G275" i="1"/>
  <c r="E275" i="1"/>
  <c r="G274" i="1"/>
  <c r="E274" i="1"/>
  <c r="G273" i="1"/>
  <c r="E273" i="1"/>
  <c r="G272" i="1"/>
  <c r="E272" i="1"/>
  <c r="G271" i="1"/>
  <c r="E271" i="1"/>
  <c r="G270" i="1"/>
  <c r="E270" i="1"/>
  <c r="G269" i="1"/>
  <c r="E269" i="1"/>
  <c r="G268" i="1"/>
  <c r="E268" i="1"/>
  <c r="G267" i="1"/>
  <c r="E267" i="1"/>
  <c r="G266" i="1"/>
  <c r="E266" i="1"/>
  <c r="G265" i="1"/>
  <c r="E265" i="1"/>
  <c r="G264" i="1"/>
  <c r="E264" i="1"/>
  <c r="G263" i="1"/>
  <c r="E263" i="1"/>
  <c r="G262" i="1"/>
  <c r="E262" i="1"/>
  <c r="G261" i="1"/>
  <c r="E261" i="1"/>
  <c r="G260" i="1"/>
  <c r="E260" i="1"/>
  <c r="G259" i="1"/>
  <c r="E259" i="1"/>
  <c r="G258" i="1"/>
  <c r="E258" i="1"/>
  <c r="G257" i="1"/>
  <c r="E257" i="1"/>
  <c r="G256" i="1"/>
  <c r="E256" i="1"/>
  <c r="G255" i="1"/>
  <c r="E255" i="1"/>
  <c r="G254" i="1"/>
  <c r="E254" i="1"/>
  <c r="G253" i="1"/>
  <c r="E253" i="1"/>
  <c r="G252" i="1"/>
  <c r="E252" i="1"/>
  <c r="G251" i="1"/>
  <c r="E251" i="1"/>
  <c r="G250" i="1"/>
  <c r="E250" i="1"/>
  <c r="G249" i="1"/>
  <c r="E249" i="1"/>
  <c r="G248" i="1"/>
  <c r="E248" i="1"/>
  <c r="G247" i="1"/>
  <c r="E247" i="1"/>
  <c r="G246" i="1"/>
  <c r="E246" i="1"/>
  <c r="G245" i="1"/>
  <c r="E245" i="1"/>
  <c r="G244" i="1"/>
  <c r="E244" i="1"/>
  <c r="G243" i="1"/>
  <c r="E243" i="1"/>
  <c r="G242" i="1"/>
  <c r="E242" i="1"/>
  <c r="G241" i="1"/>
  <c r="E241" i="1"/>
  <c r="G240" i="1"/>
  <c r="E240" i="1"/>
  <c r="G239" i="1"/>
  <c r="E239" i="1"/>
  <c r="G238" i="1"/>
  <c r="E238" i="1"/>
  <c r="G237" i="1"/>
  <c r="E237" i="1"/>
  <c r="G236" i="1"/>
  <c r="E236" i="1"/>
  <c r="G235" i="1"/>
  <c r="E235" i="1"/>
  <c r="G234" i="1"/>
  <c r="E234" i="1"/>
  <c r="G233" i="1"/>
  <c r="E233" i="1"/>
  <c r="G232" i="1"/>
  <c r="E232" i="1"/>
  <c r="G231" i="1"/>
  <c r="E231" i="1"/>
  <c r="G230" i="1"/>
  <c r="E230" i="1"/>
  <c r="G229" i="1"/>
  <c r="E229" i="1"/>
  <c r="G228" i="1"/>
  <c r="E228" i="1"/>
  <c r="G227" i="1"/>
  <c r="E227" i="1"/>
  <c r="G226" i="1"/>
  <c r="E226" i="1"/>
  <c r="G225" i="1"/>
  <c r="E225" i="1"/>
  <c r="G224" i="1"/>
  <c r="E224" i="1"/>
  <c r="G223" i="1"/>
  <c r="E223" i="1"/>
  <c r="G222" i="1"/>
  <c r="E222" i="1"/>
  <c r="G221" i="1"/>
  <c r="E221" i="1"/>
  <c r="G220" i="1"/>
  <c r="E220" i="1"/>
  <c r="G219" i="1"/>
  <c r="E219" i="1"/>
  <c r="G218" i="1"/>
  <c r="E218" i="1"/>
  <c r="G217" i="1"/>
  <c r="E217" i="1"/>
  <c r="G216" i="1"/>
  <c r="E216" i="1"/>
  <c r="G215" i="1"/>
  <c r="E215" i="1"/>
  <c r="G214" i="1"/>
  <c r="E214" i="1"/>
  <c r="G213" i="1"/>
  <c r="E213" i="1"/>
  <c r="G212" i="1"/>
  <c r="E212" i="1"/>
  <c r="G211" i="1"/>
  <c r="E211" i="1"/>
  <c r="G210" i="1"/>
  <c r="E210" i="1"/>
  <c r="G209" i="1"/>
  <c r="E209" i="1"/>
  <c r="G208" i="1"/>
  <c r="E208" i="1"/>
  <c r="G207" i="1"/>
  <c r="E207" i="1"/>
  <c r="G206" i="1"/>
  <c r="E206" i="1"/>
  <c r="G205" i="1"/>
  <c r="E205" i="1"/>
  <c r="G204" i="1"/>
  <c r="E204" i="1"/>
  <c r="G203" i="1"/>
  <c r="E203" i="1"/>
  <c r="G202" i="1"/>
  <c r="E202" i="1"/>
  <c r="G201" i="1"/>
  <c r="E201" i="1"/>
  <c r="G200" i="1"/>
  <c r="E200" i="1"/>
  <c r="G199" i="1"/>
  <c r="E199" i="1"/>
  <c r="G198" i="1"/>
  <c r="E198" i="1"/>
  <c r="G197" i="1"/>
  <c r="E197" i="1"/>
  <c r="G196" i="1"/>
  <c r="E196" i="1"/>
  <c r="G195" i="1"/>
  <c r="E195" i="1"/>
  <c r="G194" i="1"/>
  <c r="E194" i="1"/>
  <c r="G193" i="1"/>
  <c r="E193" i="1"/>
  <c r="G192" i="1"/>
  <c r="E192" i="1"/>
  <c r="G191" i="1"/>
  <c r="E191" i="1"/>
  <c r="G190" i="1"/>
  <c r="E190" i="1"/>
  <c r="G189" i="1"/>
  <c r="E189" i="1"/>
  <c r="G188" i="1"/>
  <c r="E188" i="1"/>
  <c r="G187" i="1"/>
  <c r="E187" i="1"/>
  <c r="G186" i="1"/>
  <c r="E186" i="1"/>
  <c r="G185" i="1"/>
  <c r="E185" i="1"/>
  <c r="G184" i="1"/>
  <c r="E184" i="1"/>
  <c r="G183" i="1"/>
  <c r="E183" i="1"/>
  <c r="G182" i="1"/>
  <c r="E182" i="1"/>
  <c r="G181" i="1"/>
  <c r="E181" i="1"/>
  <c r="G180" i="1"/>
  <c r="E180" i="1"/>
  <c r="G179" i="1"/>
  <c r="E179" i="1"/>
  <c r="G178" i="1"/>
  <c r="E178" i="1"/>
  <c r="G177" i="1"/>
  <c r="E177" i="1"/>
  <c r="G176" i="1"/>
  <c r="E176" i="1"/>
  <c r="G175" i="1"/>
  <c r="E175" i="1"/>
  <c r="G174" i="1"/>
  <c r="E174" i="1"/>
  <c r="G173" i="1"/>
  <c r="E173" i="1"/>
  <c r="G172" i="1"/>
  <c r="E172" i="1"/>
  <c r="G171" i="1"/>
  <c r="E171" i="1"/>
  <c r="G170" i="1"/>
  <c r="E170" i="1"/>
  <c r="G169" i="1"/>
  <c r="E169" i="1"/>
  <c r="G168" i="1"/>
  <c r="E168" i="1"/>
  <c r="G167" i="1"/>
  <c r="E167" i="1"/>
  <c r="G166" i="1"/>
  <c r="E166" i="1"/>
  <c r="G165" i="1"/>
  <c r="E165" i="1"/>
  <c r="G164" i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131" i="1"/>
  <c r="E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G121" i="1"/>
  <c r="E121" i="1"/>
  <c r="G120" i="1"/>
  <c r="E120" i="1"/>
  <c r="G119" i="1"/>
  <c r="E119" i="1"/>
  <c r="G118" i="1"/>
  <c r="E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I28" i="2"/>
  <c r="I29" i="2" s="1"/>
  <c r="C32" i="2"/>
  <c r="B28" i="2"/>
  <c r="C28" i="2" s="1"/>
  <c r="C3" i="3"/>
  <c r="B6" i="3"/>
  <c r="K8" i="2"/>
  <c r="L5" i="2"/>
  <c r="B26" i="2"/>
  <c r="K15" i="2" s="1"/>
  <c r="B8" i="3" l="1"/>
  <c r="B9" i="3" s="1"/>
  <c r="I6" i="3" s="1"/>
  <c r="J6" i="3" s="1"/>
  <c r="G365" i="12"/>
  <c r="L364" i="12"/>
  <c r="F364" i="10"/>
  <c r="I364" i="10"/>
  <c r="K364" i="10"/>
  <c r="C365" i="10" s="1"/>
  <c r="B13" i="2"/>
  <c r="K14" i="2"/>
  <c r="C36" i="2"/>
  <c r="K15" i="6"/>
  <c r="G8" i="6"/>
  <c r="G10" i="6" s="1"/>
  <c r="B9" i="6"/>
  <c r="B14" i="6" s="1"/>
  <c r="B9" i="5"/>
  <c r="B13" i="5" s="1"/>
  <c r="G8" i="5"/>
  <c r="G10" i="5" s="1"/>
  <c r="G8" i="2"/>
  <c r="G10" i="2" s="1"/>
  <c r="J8" i="3" l="1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14" i="3"/>
  <c r="J46" i="3"/>
  <c r="J64" i="3"/>
  <c r="J10" i="3"/>
  <c r="J42" i="3"/>
  <c r="J66" i="3"/>
  <c r="J38" i="3"/>
  <c r="J77" i="3"/>
  <c r="J81" i="3"/>
  <c r="J85" i="3"/>
  <c r="J89" i="3"/>
  <c r="J93" i="3"/>
  <c r="J97" i="3"/>
  <c r="J101" i="3"/>
  <c r="J105" i="3"/>
  <c r="J109" i="3"/>
  <c r="J113" i="3"/>
  <c r="J34" i="3"/>
  <c r="M6" i="3"/>
  <c r="J30" i="3"/>
  <c r="J68" i="3"/>
  <c r="J74" i="3"/>
  <c r="J78" i="3"/>
  <c r="J82" i="3"/>
  <c r="J86" i="3"/>
  <c r="J90" i="3"/>
  <c r="J94" i="3"/>
  <c r="J98" i="3"/>
  <c r="J102" i="3"/>
  <c r="J26" i="3"/>
  <c r="J58" i="3"/>
  <c r="J62" i="3"/>
  <c r="J70" i="3"/>
  <c r="J22" i="3"/>
  <c r="J54" i="3"/>
  <c r="J75" i="3"/>
  <c r="J79" i="3"/>
  <c r="J83" i="3"/>
  <c r="J87" i="3"/>
  <c r="J91" i="3"/>
  <c r="J95" i="3"/>
  <c r="J84" i="3"/>
  <c r="J88" i="3"/>
  <c r="J99" i="3"/>
  <c r="J118" i="3"/>
  <c r="J122" i="3"/>
  <c r="J126" i="3"/>
  <c r="J130" i="3"/>
  <c r="J134" i="3"/>
  <c r="J138" i="3"/>
  <c r="J142" i="3"/>
  <c r="J146" i="3"/>
  <c r="J150" i="3"/>
  <c r="J154" i="3"/>
  <c r="J158" i="3"/>
  <c r="J72" i="3"/>
  <c r="J76" i="3"/>
  <c r="J92" i="3"/>
  <c r="J50" i="3"/>
  <c r="J104" i="3"/>
  <c r="J114" i="3"/>
  <c r="J119" i="3"/>
  <c r="J123" i="3"/>
  <c r="J127" i="3"/>
  <c r="J131" i="3"/>
  <c r="J135" i="3"/>
  <c r="J139" i="3"/>
  <c r="J143" i="3"/>
  <c r="J147" i="3"/>
  <c r="J151" i="3"/>
  <c r="J155" i="3"/>
  <c r="J159" i="3"/>
  <c r="J106" i="3"/>
  <c r="J121" i="3"/>
  <c r="J136" i="3"/>
  <c r="J103" i="3"/>
  <c r="J112" i="3"/>
  <c r="J115" i="3"/>
  <c r="J117" i="3"/>
  <c r="J132" i="3"/>
  <c r="J149" i="3"/>
  <c r="J128" i="3"/>
  <c r="J145" i="3"/>
  <c r="J18" i="3"/>
  <c r="J107" i="3"/>
  <c r="J110" i="3"/>
  <c r="J124" i="3"/>
  <c r="J141" i="3"/>
  <c r="J156" i="3"/>
  <c r="J100" i="3"/>
  <c r="J120" i="3"/>
  <c r="J137" i="3"/>
  <c r="J152" i="3"/>
  <c r="J166" i="3"/>
  <c r="J170" i="3"/>
  <c r="J174" i="3"/>
  <c r="J178" i="3"/>
  <c r="J182" i="3"/>
  <c r="J186" i="3"/>
  <c r="J190" i="3"/>
  <c r="J194" i="3"/>
  <c r="J198" i="3"/>
  <c r="J202" i="3"/>
  <c r="J80" i="3"/>
  <c r="J96" i="3"/>
  <c r="J116" i="3"/>
  <c r="J133" i="3"/>
  <c r="J148" i="3"/>
  <c r="J162" i="3"/>
  <c r="J108" i="3"/>
  <c r="J111" i="3"/>
  <c r="J129" i="3"/>
  <c r="J144" i="3"/>
  <c r="J163" i="3"/>
  <c r="J167" i="3"/>
  <c r="J171" i="3"/>
  <c r="J175" i="3"/>
  <c r="J179" i="3"/>
  <c r="J183" i="3"/>
  <c r="J187" i="3"/>
  <c r="J191" i="3"/>
  <c r="J195" i="3"/>
  <c r="J199" i="3"/>
  <c r="J203" i="3"/>
  <c r="J125" i="3"/>
  <c r="J153" i="3"/>
  <c r="J169" i="3"/>
  <c r="J184" i="3"/>
  <c r="J201" i="3"/>
  <c r="J205" i="3"/>
  <c r="J165" i="3"/>
  <c r="J180" i="3"/>
  <c r="J197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160" i="3"/>
  <c r="J176" i="3"/>
  <c r="J193" i="3"/>
  <c r="J161" i="3"/>
  <c r="J172" i="3"/>
  <c r="J189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168" i="3"/>
  <c r="J185" i="3"/>
  <c r="J200" i="3"/>
  <c r="J157" i="3"/>
  <c r="J164" i="3"/>
  <c r="J181" i="3"/>
  <c r="J196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177" i="3"/>
  <c r="J192" i="3"/>
  <c r="J210" i="3"/>
  <c r="J242" i="3"/>
  <c r="J270" i="3"/>
  <c r="J302" i="3"/>
  <c r="J323" i="3"/>
  <c r="J327" i="3"/>
  <c r="J331" i="3"/>
  <c r="J335" i="3"/>
  <c r="J339" i="3"/>
  <c r="J342" i="3"/>
  <c r="J350" i="3"/>
  <c r="J358" i="3"/>
  <c r="J230" i="3"/>
  <c r="J266" i="3"/>
  <c r="J298" i="3"/>
  <c r="J345" i="3"/>
  <c r="J353" i="3"/>
  <c r="J361" i="3"/>
  <c r="J188" i="3"/>
  <c r="J218" i="3"/>
  <c r="J250" i="3"/>
  <c r="J262" i="3"/>
  <c r="J294" i="3"/>
  <c r="J310" i="3"/>
  <c r="J318" i="3"/>
  <c r="J324" i="3"/>
  <c r="J328" i="3"/>
  <c r="J332" i="3"/>
  <c r="J336" i="3"/>
  <c r="J340" i="3"/>
  <c r="J348" i="3"/>
  <c r="J356" i="3"/>
  <c r="J364" i="3"/>
  <c r="J278" i="3"/>
  <c r="J326" i="3"/>
  <c r="J274" i="3"/>
  <c r="J355" i="3"/>
  <c r="J363" i="3"/>
  <c r="J140" i="3"/>
  <c r="J173" i="3"/>
  <c r="J206" i="3"/>
  <c r="J238" i="3"/>
  <c r="J258" i="3"/>
  <c r="J290" i="3"/>
  <c r="J343" i="3"/>
  <c r="J351" i="3"/>
  <c r="J359" i="3"/>
  <c r="J234" i="3"/>
  <c r="J314" i="3"/>
  <c r="J330" i="3"/>
  <c r="J360" i="3"/>
  <c r="J226" i="3"/>
  <c r="J254" i="3"/>
  <c r="J286" i="3"/>
  <c r="J321" i="3"/>
  <c r="J325" i="3"/>
  <c r="J329" i="3"/>
  <c r="J333" i="3"/>
  <c r="J337" i="3"/>
  <c r="J346" i="3"/>
  <c r="J354" i="3"/>
  <c r="J362" i="3"/>
  <c r="J322" i="3"/>
  <c r="J338" i="3"/>
  <c r="J344" i="3"/>
  <c r="J352" i="3"/>
  <c r="J222" i="3"/>
  <c r="J214" i="3"/>
  <c r="J246" i="3"/>
  <c r="J282" i="3"/>
  <c r="J341" i="3"/>
  <c r="J349" i="3"/>
  <c r="J357" i="3"/>
  <c r="J365" i="3"/>
  <c r="J334" i="3"/>
  <c r="J306" i="3"/>
  <c r="J347" i="3"/>
  <c r="H365" i="12"/>
  <c r="E365" i="12"/>
  <c r="J365" i="12"/>
  <c r="G365" i="10"/>
  <c r="J365" i="10" s="1"/>
  <c r="L364" i="10"/>
  <c r="K6" i="3" l="1"/>
  <c r="O6" i="3"/>
  <c r="L6" i="3"/>
  <c r="Q6" i="3"/>
  <c r="I7" i="3" s="1"/>
  <c r="N6" i="3"/>
  <c r="P6" i="3"/>
  <c r="F365" i="12"/>
  <c r="K365" i="12"/>
  <c r="I365" i="12"/>
  <c r="L365" i="12" s="1"/>
  <c r="H365" i="10"/>
  <c r="E365" i="10"/>
  <c r="M7" i="3" l="1"/>
  <c r="P7" i="3" s="1"/>
  <c r="R6" i="3"/>
  <c r="F365" i="10"/>
  <c r="K365" i="10"/>
  <c r="I365" i="10"/>
  <c r="L365" i="10" s="1"/>
  <c r="N7" i="3" l="1"/>
  <c r="K7" i="3"/>
  <c r="L7" i="3" l="1"/>
  <c r="Q7" i="3"/>
  <c r="I8" i="3" s="1"/>
  <c r="O7" i="3"/>
  <c r="R7" i="3" l="1"/>
  <c r="M8" i="3"/>
  <c r="N8" i="3" l="1"/>
  <c r="K8" i="3"/>
  <c r="P8" i="3"/>
  <c r="L8" i="3" l="1"/>
  <c r="O8" i="3"/>
  <c r="Q8" i="3"/>
  <c r="I9" i="3" s="1"/>
  <c r="M9" i="3" l="1"/>
  <c r="R8" i="3"/>
  <c r="N9" i="3" l="1"/>
  <c r="K9" i="3"/>
  <c r="P9" i="3"/>
  <c r="L9" i="3" l="1"/>
  <c r="Q9" i="3"/>
  <c r="I10" i="3" s="1"/>
  <c r="O9" i="3"/>
  <c r="R9" i="3" l="1"/>
  <c r="M10" i="3"/>
  <c r="N10" i="3" l="1"/>
  <c r="K10" i="3"/>
  <c r="P10" i="3"/>
  <c r="L10" i="3" l="1"/>
  <c r="O10" i="3"/>
  <c r="Q10" i="3"/>
  <c r="I11" i="3" s="1"/>
  <c r="M11" i="3" l="1"/>
  <c r="R10" i="3"/>
  <c r="N11" i="3" l="1"/>
  <c r="K11" i="3"/>
  <c r="P11" i="3"/>
  <c r="L11" i="3" l="1"/>
  <c r="Q11" i="3"/>
  <c r="I12" i="3" s="1"/>
  <c r="O11" i="3"/>
  <c r="R11" i="3" l="1"/>
  <c r="M12" i="3"/>
  <c r="N12" i="3" l="1"/>
  <c r="K12" i="3"/>
  <c r="P12" i="3"/>
  <c r="L12" i="3" l="1"/>
  <c r="O12" i="3"/>
  <c r="Q12" i="3"/>
  <c r="I13" i="3" s="1"/>
  <c r="M13" i="3" l="1"/>
  <c r="R12" i="3"/>
  <c r="N13" i="3" l="1"/>
  <c r="K13" i="3"/>
  <c r="P13" i="3"/>
  <c r="L13" i="3" l="1"/>
  <c r="Q13" i="3"/>
  <c r="I14" i="3" s="1"/>
  <c r="O13" i="3"/>
  <c r="R13" i="3" l="1"/>
  <c r="M14" i="3"/>
  <c r="N14" i="3" l="1"/>
  <c r="K14" i="3"/>
  <c r="P14" i="3"/>
  <c r="L14" i="3" l="1"/>
  <c r="O14" i="3"/>
  <c r="Q14" i="3"/>
  <c r="I15" i="3" s="1"/>
  <c r="M15" i="3" l="1"/>
  <c r="R14" i="3"/>
  <c r="N15" i="3" l="1"/>
  <c r="K15" i="3"/>
  <c r="P15" i="3"/>
  <c r="L15" i="3" l="1"/>
  <c r="Q15" i="3"/>
  <c r="I16" i="3" s="1"/>
  <c r="O15" i="3"/>
  <c r="R15" i="3" l="1"/>
  <c r="M16" i="3"/>
  <c r="N16" i="3" l="1"/>
  <c r="K16" i="3"/>
  <c r="P16" i="3"/>
  <c r="L16" i="3" l="1"/>
  <c r="O16" i="3"/>
  <c r="Q16" i="3"/>
  <c r="I17" i="3" s="1"/>
  <c r="M17" i="3" l="1"/>
  <c r="R16" i="3"/>
  <c r="N17" i="3" l="1"/>
  <c r="K17" i="3"/>
  <c r="P17" i="3"/>
  <c r="L17" i="3" l="1"/>
  <c r="Q17" i="3"/>
  <c r="I18" i="3" s="1"/>
  <c r="O17" i="3"/>
  <c r="R17" i="3" l="1"/>
  <c r="M18" i="3"/>
  <c r="N18" i="3" l="1"/>
  <c r="K18" i="3"/>
  <c r="P18" i="3"/>
  <c r="L18" i="3" l="1"/>
  <c r="O18" i="3"/>
  <c r="Q18" i="3"/>
  <c r="I19" i="3" s="1"/>
  <c r="M19" i="3" l="1"/>
  <c r="R18" i="3"/>
  <c r="N19" i="3" l="1"/>
  <c r="K19" i="3"/>
  <c r="P19" i="3"/>
  <c r="L19" i="3" l="1"/>
  <c r="Q19" i="3"/>
  <c r="I20" i="3" s="1"/>
  <c r="O19" i="3"/>
  <c r="R19" i="3" l="1"/>
  <c r="M20" i="3"/>
  <c r="N20" i="3" l="1"/>
  <c r="K20" i="3"/>
  <c r="P20" i="3"/>
  <c r="L20" i="3" l="1"/>
  <c r="O20" i="3"/>
  <c r="Q20" i="3"/>
  <c r="I21" i="3" s="1"/>
  <c r="M21" i="3" l="1"/>
  <c r="R20" i="3"/>
  <c r="N21" i="3" l="1"/>
  <c r="K21" i="3"/>
  <c r="P21" i="3"/>
  <c r="L21" i="3" l="1"/>
  <c r="Q21" i="3"/>
  <c r="I22" i="3" s="1"/>
  <c r="O21" i="3"/>
  <c r="R21" i="3" l="1"/>
  <c r="M22" i="3"/>
  <c r="N22" i="3" l="1"/>
  <c r="K22" i="3"/>
  <c r="P22" i="3"/>
  <c r="L22" i="3" l="1"/>
  <c r="O22" i="3"/>
  <c r="Q22" i="3"/>
  <c r="I23" i="3" s="1"/>
  <c r="M23" i="3" l="1"/>
  <c r="R22" i="3"/>
  <c r="N23" i="3" l="1"/>
  <c r="K23" i="3"/>
  <c r="P23" i="3"/>
  <c r="L23" i="3" l="1"/>
  <c r="Q23" i="3"/>
  <c r="I24" i="3" s="1"/>
  <c r="O23" i="3"/>
  <c r="R23" i="3" l="1"/>
  <c r="M24" i="3"/>
  <c r="N24" i="3" l="1"/>
  <c r="K24" i="3"/>
  <c r="P24" i="3"/>
  <c r="L24" i="3" l="1"/>
  <c r="O24" i="3"/>
  <c r="Q24" i="3"/>
  <c r="I25" i="3" s="1"/>
  <c r="M25" i="3" l="1"/>
  <c r="R24" i="3"/>
  <c r="N25" i="3" l="1"/>
  <c r="K25" i="3"/>
  <c r="P25" i="3"/>
  <c r="L25" i="3" l="1"/>
  <c r="Q25" i="3"/>
  <c r="I26" i="3" s="1"/>
  <c r="O25" i="3"/>
  <c r="R25" i="3" l="1"/>
  <c r="M26" i="3"/>
  <c r="N26" i="3" l="1"/>
  <c r="K26" i="3"/>
  <c r="P26" i="3"/>
  <c r="L26" i="3" l="1"/>
  <c r="O26" i="3"/>
  <c r="Q26" i="3"/>
  <c r="I27" i="3" s="1"/>
  <c r="M27" i="3" l="1"/>
  <c r="R26" i="3"/>
  <c r="N27" i="3" l="1"/>
  <c r="K27" i="3"/>
  <c r="P27" i="3"/>
  <c r="L27" i="3" l="1"/>
  <c r="Q27" i="3"/>
  <c r="I28" i="3" s="1"/>
  <c r="O27" i="3"/>
  <c r="R27" i="3" l="1"/>
  <c r="M28" i="3"/>
  <c r="N28" i="3" l="1"/>
  <c r="K28" i="3"/>
  <c r="P28" i="3"/>
  <c r="L28" i="3" l="1"/>
  <c r="O28" i="3"/>
  <c r="Q28" i="3"/>
  <c r="I29" i="3" s="1"/>
  <c r="M29" i="3" l="1"/>
  <c r="R28" i="3"/>
  <c r="N29" i="3" l="1"/>
  <c r="K29" i="3"/>
  <c r="P29" i="3"/>
  <c r="L29" i="3" l="1"/>
  <c r="Q29" i="3"/>
  <c r="I30" i="3" s="1"/>
  <c r="O29" i="3"/>
  <c r="R29" i="3" l="1"/>
  <c r="M30" i="3"/>
  <c r="N30" i="3" l="1"/>
  <c r="K30" i="3"/>
  <c r="P30" i="3"/>
  <c r="L30" i="3" l="1"/>
  <c r="O30" i="3"/>
  <c r="Q30" i="3"/>
  <c r="I31" i="3" s="1"/>
  <c r="M31" i="3" l="1"/>
  <c r="R30" i="3"/>
  <c r="N31" i="3" l="1"/>
  <c r="K31" i="3"/>
  <c r="P31" i="3"/>
  <c r="L31" i="3" l="1"/>
  <c r="Q31" i="3"/>
  <c r="I32" i="3" s="1"/>
  <c r="O31" i="3"/>
  <c r="R31" i="3" l="1"/>
  <c r="M32" i="3"/>
  <c r="N32" i="3" l="1"/>
  <c r="K32" i="3"/>
  <c r="P32" i="3"/>
  <c r="L32" i="3" l="1"/>
  <c r="O32" i="3"/>
  <c r="Q32" i="3"/>
  <c r="I33" i="3" s="1"/>
  <c r="M33" i="3" l="1"/>
  <c r="R32" i="3"/>
  <c r="N33" i="3" l="1"/>
  <c r="K33" i="3"/>
  <c r="P33" i="3"/>
  <c r="L33" i="3" l="1"/>
  <c r="Q33" i="3"/>
  <c r="I34" i="3" s="1"/>
  <c r="O33" i="3"/>
  <c r="R33" i="3" l="1"/>
  <c r="M34" i="3"/>
  <c r="N34" i="3" l="1"/>
  <c r="K34" i="3"/>
  <c r="P34" i="3"/>
  <c r="L34" i="3" l="1"/>
  <c r="O34" i="3"/>
  <c r="Q34" i="3"/>
  <c r="I35" i="3" s="1"/>
  <c r="M35" i="3" l="1"/>
  <c r="R34" i="3"/>
  <c r="N35" i="3" l="1"/>
  <c r="K35" i="3"/>
  <c r="P35" i="3"/>
  <c r="L35" i="3" l="1"/>
  <c r="Q35" i="3"/>
  <c r="I36" i="3" s="1"/>
  <c r="O35" i="3"/>
  <c r="R35" i="3" l="1"/>
  <c r="M36" i="3"/>
  <c r="N36" i="3" l="1"/>
  <c r="K36" i="3"/>
  <c r="P36" i="3"/>
  <c r="L36" i="3" l="1"/>
  <c r="O36" i="3"/>
  <c r="Q36" i="3"/>
  <c r="I37" i="3" s="1"/>
  <c r="M37" i="3" l="1"/>
  <c r="R36" i="3"/>
  <c r="N37" i="3" l="1"/>
  <c r="K37" i="3"/>
  <c r="P37" i="3"/>
  <c r="L37" i="3" l="1"/>
  <c r="Q37" i="3"/>
  <c r="I38" i="3" s="1"/>
  <c r="O37" i="3"/>
  <c r="R37" i="3" l="1"/>
  <c r="M38" i="3"/>
  <c r="N38" i="3" l="1"/>
  <c r="K38" i="3"/>
  <c r="P38" i="3"/>
  <c r="L38" i="3" l="1"/>
  <c r="O38" i="3"/>
  <c r="Q38" i="3"/>
  <c r="I39" i="3" s="1"/>
  <c r="M39" i="3" l="1"/>
  <c r="R38" i="3"/>
  <c r="N39" i="3" l="1"/>
  <c r="K39" i="3"/>
  <c r="P39" i="3"/>
  <c r="L39" i="3" l="1"/>
  <c r="Q39" i="3"/>
  <c r="I40" i="3" s="1"/>
  <c r="O39" i="3"/>
  <c r="R39" i="3" l="1"/>
  <c r="M40" i="3"/>
  <c r="N40" i="3" l="1"/>
  <c r="K40" i="3"/>
  <c r="P40" i="3"/>
  <c r="L40" i="3" l="1"/>
  <c r="O40" i="3"/>
  <c r="Q40" i="3"/>
  <c r="I41" i="3" s="1"/>
  <c r="M41" i="3" l="1"/>
  <c r="R40" i="3"/>
  <c r="N41" i="3" l="1"/>
  <c r="K41" i="3"/>
  <c r="P41" i="3"/>
  <c r="L41" i="3" l="1"/>
  <c r="Q41" i="3"/>
  <c r="I42" i="3" s="1"/>
  <c r="O41" i="3"/>
  <c r="R41" i="3" l="1"/>
  <c r="M42" i="3"/>
  <c r="N42" i="3" l="1"/>
  <c r="K42" i="3"/>
  <c r="P42" i="3"/>
  <c r="L42" i="3" l="1"/>
  <c r="O42" i="3"/>
  <c r="Q42" i="3"/>
  <c r="I43" i="3" s="1"/>
  <c r="M43" i="3" l="1"/>
  <c r="R42" i="3"/>
  <c r="N43" i="3" l="1"/>
  <c r="K43" i="3"/>
  <c r="P43" i="3"/>
  <c r="L43" i="3" l="1"/>
  <c r="Q43" i="3"/>
  <c r="I44" i="3" s="1"/>
  <c r="O43" i="3"/>
  <c r="R43" i="3" l="1"/>
  <c r="M44" i="3"/>
  <c r="N44" i="3" l="1"/>
  <c r="K44" i="3"/>
  <c r="P44" i="3"/>
  <c r="L44" i="3" l="1"/>
  <c r="O44" i="3"/>
  <c r="Q44" i="3"/>
  <c r="I45" i="3" s="1"/>
  <c r="M45" i="3" l="1"/>
  <c r="R44" i="3"/>
  <c r="N45" i="3" l="1"/>
  <c r="K45" i="3"/>
  <c r="P45" i="3"/>
  <c r="L45" i="3" l="1"/>
  <c r="Q45" i="3"/>
  <c r="I46" i="3" s="1"/>
  <c r="O45" i="3"/>
  <c r="M46" i="3" l="1"/>
  <c r="R45" i="3"/>
  <c r="N46" i="3" l="1"/>
  <c r="K46" i="3"/>
  <c r="P46" i="3"/>
  <c r="L46" i="3" l="1"/>
  <c r="Q46" i="3"/>
  <c r="I47" i="3" s="1"/>
  <c r="O46" i="3"/>
  <c r="R46" i="3" l="1"/>
  <c r="M47" i="3"/>
  <c r="N47" i="3" l="1"/>
  <c r="K47" i="3"/>
  <c r="P47" i="3"/>
  <c r="L47" i="3" l="1"/>
  <c r="O47" i="3"/>
  <c r="Q47" i="3"/>
  <c r="I48" i="3" s="1"/>
  <c r="M48" i="3" l="1"/>
  <c r="R47" i="3"/>
  <c r="N48" i="3" l="1"/>
  <c r="K48" i="3"/>
  <c r="P48" i="3"/>
  <c r="L48" i="3" l="1"/>
  <c r="Q48" i="3"/>
  <c r="I49" i="3" s="1"/>
  <c r="O48" i="3"/>
  <c r="R48" i="3" l="1"/>
  <c r="M49" i="3"/>
  <c r="N49" i="3" l="1"/>
  <c r="K49" i="3"/>
  <c r="P49" i="3"/>
  <c r="L49" i="3" l="1"/>
  <c r="O49" i="3"/>
  <c r="Q49" i="3"/>
  <c r="I50" i="3" s="1"/>
  <c r="M50" i="3" l="1"/>
  <c r="R49" i="3"/>
  <c r="N50" i="3" l="1"/>
  <c r="K50" i="3"/>
  <c r="P50" i="3"/>
  <c r="L50" i="3" l="1"/>
  <c r="Q50" i="3"/>
  <c r="I51" i="3" s="1"/>
  <c r="O50" i="3"/>
  <c r="R50" i="3" l="1"/>
  <c r="M51" i="3"/>
  <c r="N51" i="3" l="1"/>
  <c r="K51" i="3"/>
  <c r="P51" i="3"/>
  <c r="L51" i="3" l="1"/>
  <c r="O51" i="3"/>
  <c r="Q51" i="3"/>
  <c r="I52" i="3" s="1"/>
  <c r="M52" i="3" l="1"/>
  <c r="R51" i="3"/>
  <c r="N52" i="3" l="1"/>
  <c r="K52" i="3"/>
  <c r="P52" i="3"/>
  <c r="L52" i="3" l="1"/>
  <c r="Q52" i="3"/>
  <c r="I53" i="3" s="1"/>
  <c r="O52" i="3"/>
  <c r="R52" i="3" l="1"/>
  <c r="M53" i="3"/>
  <c r="N53" i="3" l="1"/>
  <c r="K53" i="3"/>
  <c r="P53" i="3"/>
  <c r="L53" i="3" l="1"/>
  <c r="O53" i="3"/>
  <c r="Q53" i="3"/>
  <c r="I54" i="3" s="1"/>
  <c r="M54" i="3" l="1"/>
  <c r="R53" i="3"/>
  <c r="N54" i="3" l="1"/>
  <c r="K54" i="3"/>
  <c r="P54" i="3"/>
  <c r="L54" i="3" l="1"/>
  <c r="Q54" i="3"/>
  <c r="I55" i="3" s="1"/>
  <c r="O54" i="3"/>
  <c r="R54" i="3" l="1"/>
  <c r="M55" i="3"/>
  <c r="N55" i="3" l="1"/>
  <c r="K55" i="3"/>
  <c r="P55" i="3"/>
  <c r="L55" i="3" l="1"/>
  <c r="O55" i="3"/>
  <c r="Q55" i="3"/>
  <c r="I56" i="3" s="1"/>
  <c r="M56" i="3" l="1"/>
  <c r="R55" i="3"/>
  <c r="N56" i="3" l="1"/>
  <c r="K56" i="3"/>
  <c r="P56" i="3"/>
  <c r="L56" i="3" l="1"/>
  <c r="Q56" i="3"/>
  <c r="I57" i="3" s="1"/>
  <c r="O56" i="3"/>
  <c r="R56" i="3" l="1"/>
  <c r="M57" i="3"/>
  <c r="N57" i="3" l="1"/>
  <c r="K57" i="3"/>
  <c r="P57" i="3"/>
  <c r="L57" i="3" l="1"/>
  <c r="O57" i="3"/>
  <c r="Q57" i="3"/>
  <c r="I58" i="3" s="1"/>
  <c r="M58" i="3" l="1"/>
  <c r="R57" i="3"/>
  <c r="N58" i="3" l="1"/>
  <c r="K58" i="3"/>
  <c r="P58" i="3"/>
  <c r="L58" i="3" l="1"/>
  <c r="Q58" i="3"/>
  <c r="I59" i="3" s="1"/>
  <c r="O58" i="3"/>
  <c r="R58" i="3" l="1"/>
  <c r="M59" i="3"/>
  <c r="N59" i="3" l="1"/>
  <c r="K59" i="3"/>
  <c r="P59" i="3"/>
  <c r="L59" i="3" l="1"/>
  <c r="O59" i="3"/>
  <c r="Q59" i="3"/>
  <c r="I60" i="3" s="1"/>
  <c r="M60" i="3" l="1"/>
  <c r="R59" i="3"/>
  <c r="N60" i="3" l="1"/>
  <c r="K60" i="3"/>
  <c r="P60" i="3"/>
  <c r="L60" i="3" l="1"/>
  <c r="Q60" i="3"/>
  <c r="I61" i="3" s="1"/>
  <c r="O60" i="3"/>
  <c r="R60" i="3" l="1"/>
  <c r="M61" i="3"/>
  <c r="N61" i="3" l="1"/>
  <c r="K61" i="3"/>
  <c r="P61" i="3"/>
  <c r="L61" i="3" l="1"/>
  <c r="O61" i="3"/>
  <c r="Q61" i="3"/>
  <c r="I62" i="3" s="1"/>
  <c r="M62" i="3" l="1"/>
  <c r="R61" i="3"/>
  <c r="N62" i="3" l="1"/>
  <c r="K62" i="3"/>
  <c r="P62" i="3"/>
  <c r="L62" i="3" l="1"/>
  <c r="Q62" i="3"/>
  <c r="I63" i="3" s="1"/>
  <c r="O62" i="3"/>
  <c r="R62" i="3" l="1"/>
  <c r="M63" i="3"/>
  <c r="N63" i="3" l="1"/>
  <c r="K63" i="3"/>
  <c r="P63" i="3"/>
  <c r="L63" i="3" l="1"/>
  <c r="O63" i="3"/>
  <c r="Q63" i="3"/>
  <c r="I64" i="3" s="1"/>
  <c r="M64" i="3" l="1"/>
  <c r="R63" i="3"/>
  <c r="N64" i="3" l="1"/>
  <c r="K64" i="3"/>
  <c r="P64" i="3"/>
  <c r="L64" i="3" l="1"/>
  <c r="Q64" i="3"/>
  <c r="I65" i="3" s="1"/>
  <c r="O64" i="3"/>
  <c r="R64" i="3" l="1"/>
  <c r="M65" i="3"/>
  <c r="N65" i="3" l="1"/>
  <c r="K65" i="3"/>
  <c r="P65" i="3"/>
  <c r="L65" i="3" l="1"/>
  <c r="O65" i="3"/>
  <c r="Q65" i="3"/>
  <c r="I66" i="3" s="1"/>
  <c r="M66" i="3" l="1"/>
  <c r="R65" i="3"/>
  <c r="N66" i="3" l="1"/>
  <c r="K66" i="3"/>
  <c r="P66" i="3"/>
  <c r="L66" i="3" l="1"/>
  <c r="Q66" i="3"/>
  <c r="I67" i="3" s="1"/>
  <c r="O66" i="3"/>
  <c r="R66" i="3" l="1"/>
  <c r="M67" i="3"/>
  <c r="N67" i="3" l="1"/>
  <c r="K67" i="3"/>
  <c r="P67" i="3"/>
  <c r="L67" i="3" l="1"/>
  <c r="O67" i="3"/>
  <c r="Q67" i="3"/>
  <c r="I68" i="3" s="1"/>
  <c r="M68" i="3" l="1"/>
  <c r="R67" i="3"/>
  <c r="N68" i="3" l="1"/>
  <c r="K68" i="3"/>
  <c r="P68" i="3"/>
  <c r="L68" i="3" l="1"/>
  <c r="Q68" i="3"/>
  <c r="I69" i="3" s="1"/>
  <c r="O68" i="3"/>
  <c r="R68" i="3" l="1"/>
  <c r="M69" i="3"/>
  <c r="N69" i="3" l="1"/>
  <c r="K69" i="3"/>
  <c r="P69" i="3"/>
  <c r="L69" i="3" l="1"/>
  <c r="O69" i="3"/>
  <c r="Q69" i="3"/>
  <c r="I70" i="3" s="1"/>
  <c r="M70" i="3" l="1"/>
  <c r="R69" i="3"/>
  <c r="N70" i="3" l="1"/>
  <c r="K70" i="3"/>
  <c r="P70" i="3"/>
  <c r="L70" i="3" l="1"/>
  <c r="Q70" i="3"/>
  <c r="I71" i="3" s="1"/>
  <c r="O70" i="3"/>
  <c r="R70" i="3" l="1"/>
  <c r="M71" i="3"/>
  <c r="N71" i="3" l="1"/>
  <c r="K71" i="3"/>
  <c r="P71" i="3"/>
  <c r="L71" i="3" l="1"/>
  <c r="O71" i="3"/>
  <c r="Q71" i="3"/>
  <c r="I72" i="3" s="1"/>
  <c r="M72" i="3" l="1"/>
  <c r="R71" i="3"/>
  <c r="N72" i="3" l="1"/>
  <c r="K72" i="3"/>
  <c r="P72" i="3"/>
  <c r="L72" i="3" l="1"/>
  <c r="Q72" i="3"/>
  <c r="I73" i="3" s="1"/>
  <c r="O72" i="3"/>
  <c r="R72" i="3" l="1"/>
  <c r="M73" i="3"/>
  <c r="N73" i="3" l="1"/>
  <c r="K73" i="3"/>
  <c r="P73" i="3"/>
  <c r="L73" i="3" l="1"/>
  <c r="O73" i="3"/>
  <c r="Q73" i="3"/>
  <c r="I74" i="3" s="1"/>
  <c r="M74" i="3" l="1"/>
  <c r="R73" i="3"/>
  <c r="N74" i="3" l="1"/>
  <c r="K74" i="3"/>
  <c r="P74" i="3"/>
  <c r="L74" i="3" l="1"/>
  <c r="Q74" i="3"/>
  <c r="I75" i="3" s="1"/>
  <c r="O74" i="3"/>
  <c r="R74" i="3" l="1"/>
  <c r="M75" i="3"/>
  <c r="N75" i="3" l="1"/>
  <c r="K75" i="3"/>
  <c r="P75" i="3"/>
  <c r="L75" i="3" l="1"/>
  <c r="O75" i="3"/>
  <c r="Q75" i="3"/>
  <c r="I76" i="3" s="1"/>
  <c r="M76" i="3" l="1"/>
  <c r="R75" i="3"/>
  <c r="N76" i="3" l="1"/>
  <c r="K76" i="3"/>
  <c r="P76" i="3"/>
  <c r="L76" i="3" l="1"/>
  <c r="O76" i="3"/>
  <c r="Q76" i="3"/>
  <c r="I77" i="3" s="1"/>
  <c r="M77" i="3" l="1"/>
  <c r="R76" i="3"/>
  <c r="N77" i="3" l="1"/>
  <c r="K77" i="3"/>
  <c r="P77" i="3"/>
  <c r="L77" i="3" l="1"/>
  <c r="Q77" i="3"/>
  <c r="I78" i="3" s="1"/>
  <c r="O77" i="3"/>
  <c r="R77" i="3" l="1"/>
  <c r="M78" i="3"/>
  <c r="N78" i="3" l="1"/>
  <c r="K78" i="3"/>
  <c r="P78" i="3"/>
  <c r="L78" i="3" l="1"/>
  <c r="O78" i="3"/>
  <c r="Q78" i="3"/>
  <c r="I79" i="3" s="1"/>
  <c r="M79" i="3" l="1"/>
  <c r="R78" i="3"/>
  <c r="N79" i="3" l="1"/>
  <c r="K79" i="3"/>
  <c r="P79" i="3"/>
  <c r="L79" i="3" l="1"/>
  <c r="Q79" i="3"/>
  <c r="I80" i="3" s="1"/>
  <c r="O79" i="3"/>
  <c r="R79" i="3" l="1"/>
  <c r="M80" i="3"/>
  <c r="N80" i="3" l="1"/>
  <c r="K80" i="3"/>
  <c r="P80" i="3"/>
  <c r="L80" i="3" l="1"/>
  <c r="O80" i="3"/>
  <c r="Q80" i="3"/>
  <c r="I81" i="3" s="1"/>
  <c r="M81" i="3" l="1"/>
  <c r="R80" i="3"/>
  <c r="N81" i="3" l="1"/>
  <c r="K81" i="3"/>
  <c r="P81" i="3"/>
  <c r="L81" i="3" l="1"/>
  <c r="Q81" i="3"/>
  <c r="I82" i="3" s="1"/>
  <c r="O81" i="3"/>
  <c r="M82" i="3" l="1"/>
  <c r="R81" i="3"/>
  <c r="N82" i="3" l="1"/>
  <c r="K82" i="3"/>
  <c r="P82" i="3"/>
  <c r="L82" i="3" l="1"/>
  <c r="Q82" i="3"/>
  <c r="I83" i="3" s="1"/>
  <c r="O82" i="3"/>
  <c r="R82" i="3" l="1"/>
  <c r="M83" i="3"/>
  <c r="N83" i="3" l="1"/>
  <c r="K83" i="3"/>
  <c r="P83" i="3"/>
  <c r="L83" i="3" l="1"/>
  <c r="O83" i="3"/>
  <c r="Q83" i="3"/>
  <c r="I84" i="3" s="1"/>
  <c r="R83" i="3" l="1"/>
  <c r="M84" i="3"/>
  <c r="N84" i="3" l="1"/>
  <c r="K84" i="3"/>
  <c r="P84" i="3"/>
  <c r="L84" i="3" l="1"/>
  <c r="O84" i="3"/>
  <c r="Q84" i="3"/>
  <c r="I85" i="3" s="1"/>
  <c r="M85" i="3" l="1"/>
  <c r="R84" i="3"/>
  <c r="N85" i="3" l="1"/>
  <c r="K85" i="3"/>
  <c r="P85" i="3"/>
  <c r="L85" i="3" l="1"/>
  <c r="Q85" i="3"/>
  <c r="I86" i="3" s="1"/>
  <c r="O85" i="3"/>
  <c r="M86" i="3" l="1"/>
  <c r="R85" i="3"/>
  <c r="N86" i="3" l="1"/>
  <c r="K86" i="3"/>
  <c r="P86" i="3"/>
  <c r="L86" i="3" l="1"/>
  <c r="Q86" i="3"/>
  <c r="I87" i="3" s="1"/>
  <c r="O86" i="3"/>
  <c r="R86" i="3" l="1"/>
  <c r="M87" i="3"/>
  <c r="N87" i="3" l="1"/>
  <c r="K87" i="3"/>
  <c r="P87" i="3"/>
  <c r="L87" i="3" l="1"/>
  <c r="O87" i="3"/>
  <c r="Q87" i="3"/>
  <c r="I88" i="3" s="1"/>
  <c r="M88" i="3" l="1"/>
  <c r="R87" i="3"/>
  <c r="N88" i="3" l="1"/>
  <c r="K88" i="3"/>
  <c r="P88" i="3"/>
  <c r="L88" i="3" l="1"/>
  <c r="Q88" i="3"/>
  <c r="I89" i="3" s="1"/>
  <c r="O88" i="3"/>
  <c r="R88" i="3" l="1"/>
  <c r="M89" i="3"/>
  <c r="N89" i="3" l="1"/>
  <c r="K89" i="3"/>
  <c r="P89" i="3"/>
  <c r="L89" i="3" l="1"/>
  <c r="O89" i="3"/>
  <c r="Q89" i="3"/>
  <c r="I90" i="3" s="1"/>
  <c r="M90" i="3" l="1"/>
  <c r="R89" i="3"/>
  <c r="N90" i="3" l="1"/>
  <c r="K90" i="3"/>
  <c r="P90" i="3"/>
  <c r="L90" i="3" l="1"/>
  <c r="O90" i="3"/>
  <c r="Q90" i="3"/>
  <c r="I91" i="3" s="1"/>
  <c r="M91" i="3" l="1"/>
  <c r="R90" i="3"/>
  <c r="N91" i="3" l="1"/>
  <c r="K91" i="3"/>
  <c r="P91" i="3"/>
  <c r="L91" i="3" l="1"/>
  <c r="Q91" i="3"/>
  <c r="I92" i="3" s="1"/>
  <c r="O91" i="3"/>
  <c r="R91" i="3" l="1"/>
  <c r="M92" i="3"/>
  <c r="N92" i="3" l="1"/>
  <c r="K92" i="3"/>
  <c r="P92" i="3"/>
  <c r="L92" i="3" l="1"/>
  <c r="O92" i="3"/>
  <c r="Q92" i="3"/>
  <c r="I93" i="3" s="1"/>
  <c r="M93" i="3" l="1"/>
  <c r="R92" i="3"/>
  <c r="N93" i="3" l="1"/>
  <c r="K93" i="3"/>
  <c r="P93" i="3"/>
  <c r="L93" i="3" l="1"/>
  <c r="Q93" i="3"/>
  <c r="I94" i="3" s="1"/>
  <c r="O93" i="3"/>
  <c r="R93" i="3" l="1"/>
  <c r="M94" i="3"/>
  <c r="N94" i="3" l="1"/>
  <c r="K94" i="3"/>
  <c r="P94" i="3"/>
  <c r="L94" i="3" l="1"/>
  <c r="O94" i="3"/>
  <c r="Q94" i="3"/>
  <c r="I95" i="3" s="1"/>
  <c r="M95" i="3" l="1"/>
  <c r="R94" i="3"/>
  <c r="N95" i="3" l="1"/>
  <c r="K95" i="3"/>
  <c r="P95" i="3"/>
  <c r="L95" i="3" l="1"/>
  <c r="Q95" i="3"/>
  <c r="I96" i="3" s="1"/>
  <c r="O95" i="3"/>
  <c r="R95" i="3" l="1"/>
  <c r="M96" i="3"/>
  <c r="N96" i="3" l="1"/>
  <c r="K96" i="3"/>
  <c r="P96" i="3"/>
  <c r="L96" i="3" l="1"/>
  <c r="O96" i="3"/>
  <c r="Q96" i="3"/>
  <c r="I97" i="3" s="1"/>
  <c r="M97" i="3" l="1"/>
  <c r="R96" i="3"/>
  <c r="N97" i="3" l="1"/>
  <c r="K97" i="3"/>
  <c r="P97" i="3"/>
  <c r="L97" i="3" l="1"/>
  <c r="Q97" i="3"/>
  <c r="I98" i="3" s="1"/>
  <c r="O97" i="3"/>
  <c r="R97" i="3" l="1"/>
  <c r="M98" i="3"/>
  <c r="N98" i="3" l="1"/>
  <c r="K98" i="3"/>
  <c r="P98" i="3"/>
  <c r="L98" i="3" l="1"/>
  <c r="O98" i="3"/>
  <c r="Q98" i="3"/>
  <c r="I99" i="3" s="1"/>
  <c r="M99" i="3" l="1"/>
  <c r="R98" i="3"/>
  <c r="N99" i="3" l="1"/>
  <c r="K99" i="3"/>
  <c r="P99" i="3"/>
  <c r="L99" i="3" l="1"/>
  <c r="Q99" i="3"/>
  <c r="I100" i="3" s="1"/>
  <c r="O99" i="3"/>
  <c r="R99" i="3" l="1"/>
  <c r="M100" i="3"/>
  <c r="N100" i="3" l="1"/>
  <c r="K100" i="3"/>
  <c r="P100" i="3"/>
  <c r="L100" i="3" l="1"/>
  <c r="O100" i="3"/>
  <c r="Q100" i="3"/>
  <c r="I101" i="3" s="1"/>
  <c r="M101" i="3" l="1"/>
  <c r="R100" i="3"/>
  <c r="N101" i="3" l="1"/>
  <c r="K101" i="3"/>
  <c r="P101" i="3"/>
  <c r="L101" i="3" l="1"/>
  <c r="Q101" i="3"/>
  <c r="I102" i="3" s="1"/>
  <c r="O101" i="3"/>
  <c r="R101" i="3" l="1"/>
  <c r="M102" i="3"/>
  <c r="N102" i="3" l="1"/>
  <c r="K102" i="3"/>
  <c r="P102" i="3"/>
  <c r="L102" i="3" l="1"/>
  <c r="O102" i="3"/>
  <c r="Q102" i="3"/>
  <c r="I103" i="3" s="1"/>
  <c r="M103" i="3" l="1"/>
  <c r="R102" i="3"/>
  <c r="N103" i="3" l="1"/>
  <c r="K103" i="3"/>
  <c r="P103" i="3"/>
  <c r="L103" i="3" l="1"/>
  <c r="Q103" i="3"/>
  <c r="I104" i="3" s="1"/>
  <c r="O103" i="3"/>
  <c r="R103" i="3" l="1"/>
  <c r="M104" i="3"/>
  <c r="N104" i="3" l="1"/>
  <c r="K104" i="3"/>
  <c r="P104" i="3"/>
  <c r="L104" i="3" l="1"/>
  <c r="O104" i="3"/>
  <c r="Q104" i="3"/>
  <c r="I105" i="3" s="1"/>
  <c r="M105" i="3" l="1"/>
  <c r="R104" i="3"/>
  <c r="N105" i="3" l="1"/>
  <c r="K105" i="3"/>
  <c r="P105" i="3"/>
  <c r="L105" i="3" l="1"/>
  <c r="Q105" i="3"/>
  <c r="I106" i="3" s="1"/>
  <c r="O105" i="3"/>
  <c r="R105" i="3" l="1"/>
  <c r="M106" i="3"/>
  <c r="N106" i="3" l="1"/>
  <c r="K106" i="3"/>
  <c r="P106" i="3"/>
  <c r="L106" i="3" l="1"/>
  <c r="O106" i="3"/>
  <c r="Q106" i="3"/>
  <c r="I107" i="3" s="1"/>
  <c r="M107" i="3" l="1"/>
  <c r="R106" i="3"/>
  <c r="N107" i="3" l="1"/>
  <c r="K107" i="3"/>
  <c r="P107" i="3"/>
  <c r="L107" i="3" l="1"/>
  <c r="Q107" i="3"/>
  <c r="I108" i="3" s="1"/>
  <c r="O107" i="3"/>
  <c r="R107" i="3" l="1"/>
  <c r="M108" i="3"/>
  <c r="N108" i="3" l="1"/>
  <c r="K108" i="3"/>
  <c r="P108" i="3"/>
  <c r="L108" i="3" l="1"/>
  <c r="O108" i="3"/>
  <c r="Q108" i="3"/>
  <c r="I109" i="3" s="1"/>
  <c r="M109" i="3" l="1"/>
  <c r="R108" i="3"/>
  <c r="N109" i="3" l="1"/>
  <c r="K109" i="3"/>
  <c r="P109" i="3"/>
  <c r="L109" i="3" l="1"/>
  <c r="Q109" i="3"/>
  <c r="I110" i="3" s="1"/>
  <c r="O109" i="3"/>
  <c r="R109" i="3" l="1"/>
  <c r="M110" i="3"/>
  <c r="N110" i="3" l="1"/>
  <c r="K110" i="3"/>
  <c r="P110" i="3"/>
  <c r="L110" i="3" l="1"/>
  <c r="O110" i="3"/>
  <c r="Q110" i="3"/>
  <c r="I111" i="3" s="1"/>
  <c r="M111" i="3" l="1"/>
  <c r="R110" i="3"/>
  <c r="N111" i="3" l="1"/>
  <c r="K111" i="3"/>
  <c r="P111" i="3"/>
  <c r="L111" i="3" l="1"/>
  <c r="Q111" i="3"/>
  <c r="I112" i="3" s="1"/>
  <c r="O111" i="3"/>
  <c r="R111" i="3" l="1"/>
  <c r="M112" i="3"/>
  <c r="N112" i="3" l="1"/>
  <c r="K112" i="3"/>
  <c r="P112" i="3"/>
  <c r="L112" i="3" l="1"/>
  <c r="O112" i="3"/>
  <c r="Q112" i="3"/>
  <c r="I113" i="3" s="1"/>
  <c r="M113" i="3" l="1"/>
  <c r="R112" i="3"/>
  <c r="N113" i="3" l="1"/>
  <c r="K113" i="3"/>
  <c r="P113" i="3"/>
  <c r="L113" i="3" l="1"/>
  <c r="Q113" i="3"/>
  <c r="I114" i="3" s="1"/>
  <c r="O113" i="3"/>
  <c r="R113" i="3" l="1"/>
  <c r="M114" i="3"/>
  <c r="N114" i="3" l="1"/>
  <c r="K114" i="3"/>
  <c r="P114" i="3"/>
  <c r="L114" i="3" l="1"/>
  <c r="O114" i="3"/>
  <c r="Q114" i="3"/>
  <c r="I115" i="3" s="1"/>
  <c r="M115" i="3" l="1"/>
  <c r="R114" i="3"/>
  <c r="N115" i="3" l="1"/>
  <c r="K115" i="3"/>
  <c r="P115" i="3"/>
  <c r="L115" i="3" l="1"/>
  <c r="Q115" i="3"/>
  <c r="I116" i="3" s="1"/>
  <c r="O115" i="3"/>
  <c r="R115" i="3" l="1"/>
  <c r="M116" i="3"/>
  <c r="N116" i="3" l="1"/>
  <c r="K116" i="3"/>
  <c r="P116" i="3"/>
  <c r="L116" i="3" l="1"/>
  <c r="O116" i="3"/>
  <c r="Q116" i="3"/>
  <c r="I117" i="3" s="1"/>
  <c r="M117" i="3" l="1"/>
  <c r="R116" i="3"/>
  <c r="N117" i="3" l="1"/>
  <c r="K117" i="3"/>
  <c r="P117" i="3"/>
  <c r="L117" i="3" l="1"/>
  <c r="Q117" i="3"/>
  <c r="I118" i="3" s="1"/>
  <c r="O117" i="3"/>
  <c r="R117" i="3" l="1"/>
  <c r="M118" i="3"/>
  <c r="N118" i="3" l="1"/>
  <c r="K118" i="3"/>
  <c r="P118" i="3"/>
  <c r="L118" i="3" l="1"/>
  <c r="O118" i="3"/>
  <c r="Q118" i="3"/>
  <c r="I119" i="3" s="1"/>
  <c r="M119" i="3" l="1"/>
  <c r="R118" i="3"/>
  <c r="N119" i="3" l="1"/>
  <c r="K119" i="3"/>
  <c r="P119" i="3"/>
  <c r="L119" i="3" l="1"/>
  <c r="Q119" i="3"/>
  <c r="I120" i="3" s="1"/>
  <c r="O119" i="3"/>
  <c r="R119" i="3" l="1"/>
  <c r="M120" i="3"/>
  <c r="N120" i="3" l="1"/>
  <c r="K120" i="3"/>
  <c r="P120" i="3"/>
  <c r="L120" i="3" l="1"/>
  <c r="O120" i="3"/>
  <c r="Q120" i="3"/>
  <c r="I121" i="3" s="1"/>
  <c r="M121" i="3" l="1"/>
  <c r="R120" i="3"/>
  <c r="N121" i="3" l="1"/>
  <c r="K121" i="3"/>
  <c r="P121" i="3"/>
  <c r="L121" i="3" l="1"/>
  <c r="Q121" i="3"/>
  <c r="I122" i="3" s="1"/>
  <c r="O121" i="3"/>
  <c r="R121" i="3" l="1"/>
  <c r="M122" i="3"/>
  <c r="N122" i="3" l="1"/>
  <c r="K122" i="3"/>
  <c r="P122" i="3"/>
  <c r="L122" i="3" l="1"/>
  <c r="O122" i="3"/>
  <c r="Q122" i="3"/>
  <c r="I123" i="3" s="1"/>
  <c r="M123" i="3" l="1"/>
  <c r="R122" i="3"/>
  <c r="N123" i="3" l="1"/>
  <c r="K123" i="3"/>
  <c r="P123" i="3"/>
  <c r="L123" i="3" l="1"/>
  <c r="Q123" i="3"/>
  <c r="I124" i="3" s="1"/>
  <c r="O123" i="3"/>
  <c r="R123" i="3" l="1"/>
  <c r="M124" i="3"/>
  <c r="N124" i="3" l="1"/>
  <c r="K124" i="3"/>
  <c r="P124" i="3"/>
  <c r="L124" i="3" l="1"/>
  <c r="O124" i="3"/>
  <c r="Q124" i="3"/>
  <c r="I125" i="3" s="1"/>
  <c r="M125" i="3" l="1"/>
  <c r="R124" i="3"/>
  <c r="N125" i="3" l="1"/>
  <c r="K125" i="3"/>
  <c r="P125" i="3"/>
  <c r="L125" i="3" l="1"/>
  <c r="Q125" i="3"/>
  <c r="I126" i="3" s="1"/>
  <c r="O125" i="3"/>
  <c r="R125" i="3" l="1"/>
  <c r="M126" i="3"/>
  <c r="N126" i="3" l="1"/>
  <c r="K126" i="3"/>
  <c r="P126" i="3"/>
  <c r="L126" i="3" l="1"/>
  <c r="O126" i="3"/>
  <c r="Q126" i="3"/>
  <c r="I127" i="3" s="1"/>
  <c r="M127" i="3" l="1"/>
  <c r="R126" i="3"/>
  <c r="N127" i="3" l="1"/>
  <c r="K127" i="3"/>
  <c r="P127" i="3"/>
  <c r="L127" i="3" l="1"/>
  <c r="Q127" i="3"/>
  <c r="I128" i="3" s="1"/>
  <c r="O127" i="3"/>
  <c r="R127" i="3" l="1"/>
  <c r="M128" i="3"/>
  <c r="N128" i="3" l="1"/>
  <c r="K128" i="3"/>
  <c r="P128" i="3"/>
  <c r="L128" i="3" l="1"/>
  <c r="O128" i="3"/>
  <c r="Q128" i="3"/>
  <c r="I129" i="3" s="1"/>
  <c r="M129" i="3" l="1"/>
  <c r="R128" i="3"/>
  <c r="N129" i="3" l="1"/>
  <c r="K129" i="3"/>
  <c r="P129" i="3"/>
  <c r="L129" i="3" l="1"/>
  <c r="Q129" i="3"/>
  <c r="I130" i="3" s="1"/>
  <c r="O129" i="3"/>
  <c r="R129" i="3" l="1"/>
  <c r="M130" i="3"/>
  <c r="N130" i="3" l="1"/>
  <c r="K130" i="3"/>
  <c r="P130" i="3"/>
  <c r="L130" i="3" l="1"/>
  <c r="O130" i="3"/>
  <c r="Q130" i="3"/>
  <c r="I131" i="3" s="1"/>
  <c r="M131" i="3" l="1"/>
  <c r="R130" i="3"/>
  <c r="N131" i="3" l="1"/>
  <c r="K131" i="3"/>
  <c r="P131" i="3"/>
  <c r="L131" i="3" l="1"/>
  <c r="Q131" i="3"/>
  <c r="I132" i="3" s="1"/>
  <c r="O131" i="3"/>
  <c r="R131" i="3" l="1"/>
  <c r="M132" i="3"/>
  <c r="N132" i="3" l="1"/>
  <c r="K132" i="3"/>
  <c r="P132" i="3"/>
  <c r="L132" i="3" l="1"/>
  <c r="O132" i="3"/>
  <c r="Q132" i="3"/>
  <c r="I133" i="3" s="1"/>
  <c r="M133" i="3" l="1"/>
  <c r="R132" i="3"/>
  <c r="N133" i="3" l="1"/>
  <c r="K133" i="3"/>
  <c r="P133" i="3"/>
  <c r="L133" i="3" l="1"/>
  <c r="Q133" i="3"/>
  <c r="I134" i="3" s="1"/>
  <c r="O133" i="3"/>
  <c r="R133" i="3" l="1"/>
  <c r="M134" i="3"/>
  <c r="N134" i="3" l="1"/>
  <c r="K134" i="3"/>
  <c r="P134" i="3"/>
  <c r="L134" i="3" l="1"/>
  <c r="O134" i="3"/>
  <c r="Q134" i="3"/>
  <c r="I135" i="3" s="1"/>
  <c r="M135" i="3" l="1"/>
  <c r="R134" i="3"/>
  <c r="N135" i="3" l="1"/>
  <c r="K135" i="3"/>
  <c r="P135" i="3"/>
  <c r="L135" i="3" l="1"/>
  <c r="Q135" i="3"/>
  <c r="I136" i="3" s="1"/>
  <c r="O135" i="3"/>
  <c r="R135" i="3" l="1"/>
  <c r="M136" i="3"/>
  <c r="N136" i="3" l="1"/>
  <c r="K136" i="3"/>
  <c r="P136" i="3"/>
  <c r="L136" i="3" l="1"/>
  <c r="O136" i="3"/>
  <c r="Q136" i="3"/>
  <c r="I137" i="3" s="1"/>
  <c r="M137" i="3" l="1"/>
  <c r="R136" i="3"/>
  <c r="N137" i="3" l="1"/>
  <c r="K137" i="3"/>
  <c r="P137" i="3"/>
  <c r="L137" i="3" l="1"/>
  <c r="Q137" i="3"/>
  <c r="I138" i="3" s="1"/>
  <c r="O137" i="3"/>
  <c r="R137" i="3" l="1"/>
  <c r="M138" i="3"/>
  <c r="N138" i="3" l="1"/>
  <c r="K138" i="3"/>
  <c r="P138" i="3"/>
  <c r="L138" i="3" l="1"/>
  <c r="O138" i="3"/>
  <c r="Q138" i="3"/>
  <c r="I139" i="3" s="1"/>
  <c r="M139" i="3" l="1"/>
  <c r="R138" i="3"/>
  <c r="N139" i="3" l="1"/>
  <c r="K139" i="3"/>
  <c r="P139" i="3"/>
  <c r="L139" i="3" l="1"/>
  <c r="Q139" i="3"/>
  <c r="I140" i="3" s="1"/>
  <c r="O139" i="3"/>
  <c r="R139" i="3" l="1"/>
  <c r="M140" i="3"/>
  <c r="N140" i="3" l="1"/>
  <c r="K140" i="3"/>
  <c r="P140" i="3"/>
  <c r="L140" i="3" l="1"/>
  <c r="O140" i="3"/>
  <c r="Q140" i="3"/>
  <c r="I141" i="3" s="1"/>
  <c r="M141" i="3" l="1"/>
  <c r="R140" i="3"/>
  <c r="N141" i="3" l="1"/>
  <c r="K141" i="3"/>
  <c r="P141" i="3"/>
  <c r="L141" i="3" l="1"/>
  <c r="Q141" i="3"/>
  <c r="I142" i="3" s="1"/>
  <c r="O141" i="3"/>
  <c r="R141" i="3" l="1"/>
  <c r="M142" i="3"/>
  <c r="N142" i="3" l="1"/>
  <c r="K142" i="3"/>
  <c r="P142" i="3"/>
  <c r="L142" i="3" l="1"/>
  <c r="O142" i="3"/>
  <c r="Q142" i="3"/>
  <c r="I143" i="3" s="1"/>
  <c r="M143" i="3" l="1"/>
  <c r="R142" i="3"/>
  <c r="N143" i="3" l="1"/>
  <c r="K143" i="3"/>
  <c r="P143" i="3"/>
  <c r="L143" i="3" l="1"/>
  <c r="Q143" i="3"/>
  <c r="I144" i="3" s="1"/>
  <c r="O143" i="3"/>
  <c r="R143" i="3" l="1"/>
  <c r="M144" i="3"/>
  <c r="N144" i="3" l="1"/>
  <c r="K144" i="3"/>
  <c r="P144" i="3"/>
  <c r="L144" i="3" l="1"/>
  <c r="O144" i="3"/>
  <c r="Q144" i="3"/>
  <c r="I145" i="3" s="1"/>
  <c r="M145" i="3" l="1"/>
  <c r="R144" i="3"/>
  <c r="N145" i="3" l="1"/>
  <c r="K145" i="3"/>
  <c r="P145" i="3"/>
  <c r="L145" i="3" l="1"/>
  <c r="Q145" i="3"/>
  <c r="I146" i="3" s="1"/>
  <c r="O145" i="3"/>
  <c r="R145" i="3" l="1"/>
  <c r="M146" i="3"/>
  <c r="N146" i="3" l="1"/>
  <c r="K146" i="3"/>
  <c r="P146" i="3"/>
  <c r="L146" i="3" l="1"/>
  <c r="O146" i="3"/>
  <c r="Q146" i="3"/>
  <c r="I147" i="3" s="1"/>
  <c r="M147" i="3" l="1"/>
  <c r="R146" i="3"/>
  <c r="N147" i="3" l="1"/>
  <c r="K147" i="3"/>
  <c r="P147" i="3"/>
  <c r="L147" i="3" l="1"/>
  <c r="Q147" i="3"/>
  <c r="I148" i="3" s="1"/>
  <c r="O147" i="3"/>
  <c r="R147" i="3" l="1"/>
  <c r="M148" i="3"/>
  <c r="N148" i="3" l="1"/>
  <c r="K148" i="3"/>
  <c r="P148" i="3"/>
  <c r="L148" i="3" l="1"/>
  <c r="O148" i="3"/>
  <c r="Q148" i="3"/>
  <c r="I149" i="3" s="1"/>
  <c r="M149" i="3" l="1"/>
  <c r="R148" i="3"/>
  <c r="N149" i="3" l="1"/>
  <c r="K149" i="3"/>
  <c r="P149" i="3"/>
  <c r="L149" i="3" l="1"/>
  <c r="Q149" i="3"/>
  <c r="I150" i="3" s="1"/>
  <c r="O149" i="3"/>
  <c r="R149" i="3" l="1"/>
  <c r="M150" i="3"/>
  <c r="N150" i="3" l="1"/>
  <c r="K150" i="3"/>
  <c r="P150" i="3"/>
  <c r="L150" i="3" l="1"/>
  <c r="O150" i="3"/>
  <c r="Q150" i="3"/>
  <c r="I151" i="3" s="1"/>
  <c r="M151" i="3" l="1"/>
  <c r="R150" i="3"/>
  <c r="N151" i="3" l="1"/>
  <c r="K151" i="3"/>
  <c r="P151" i="3"/>
  <c r="L151" i="3" l="1"/>
  <c r="Q151" i="3"/>
  <c r="I152" i="3" s="1"/>
  <c r="O151" i="3"/>
  <c r="R151" i="3" l="1"/>
  <c r="M152" i="3"/>
  <c r="N152" i="3" l="1"/>
  <c r="K152" i="3"/>
  <c r="P152" i="3"/>
  <c r="L152" i="3" l="1"/>
  <c r="O152" i="3"/>
  <c r="Q152" i="3"/>
  <c r="I153" i="3" s="1"/>
  <c r="M153" i="3" l="1"/>
  <c r="R152" i="3"/>
  <c r="N153" i="3" l="1"/>
  <c r="K153" i="3"/>
  <c r="P153" i="3"/>
  <c r="L153" i="3" l="1"/>
  <c r="Q153" i="3"/>
  <c r="I154" i="3" s="1"/>
  <c r="O153" i="3"/>
  <c r="R153" i="3" l="1"/>
  <c r="M154" i="3"/>
  <c r="N154" i="3" l="1"/>
  <c r="K154" i="3"/>
  <c r="P154" i="3"/>
  <c r="L154" i="3" l="1"/>
  <c r="O154" i="3"/>
  <c r="Q154" i="3"/>
  <c r="I155" i="3" s="1"/>
  <c r="M155" i="3" l="1"/>
  <c r="R154" i="3"/>
  <c r="N155" i="3" l="1"/>
  <c r="K155" i="3"/>
  <c r="P155" i="3"/>
  <c r="L155" i="3" l="1"/>
  <c r="Q155" i="3"/>
  <c r="I156" i="3" s="1"/>
  <c r="O155" i="3"/>
  <c r="R155" i="3" l="1"/>
  <c r="M156" i="3"/>
  <c r="N156" i="3" l="1"/>
  <c r="K156" i="3"/>
  <c r="P156" i="3"/>
  <c r="L156" i="3" l="1"/>
  <c r="O156" i="3"/>
  <c r="Q156" i="3"/>
  <c r="I157" i="3" s="1"/>
  <c r="M157" i="3" l="1"/>
  <c r="R156" i="3"/>
  <c r="N157" i="3" l="1"/>
  <c r="K157" i="3"/>
  <c r="P157" i="3"/>
  <c r="L157" i="3" l="1"/>
  <c r="Q157" i="3"/>
  <c r="I158" i="3" s="1"/>
  <c r="O157" i="3"/>
  <c r="R157" i="3" l="1"/>
  <c r="M158" i="3"/>
  <c r="N158" i="3" l="1"/>
  <c r="K158" i="3"/>
  <c r="P158" i="3"/>
  <c r="L158" i="3" l="1"/>
  <c r="O158" i="3"/>
  <c r="Q158" i="3"/>
  <c r="I159" i="3" s="1"/>
  <c r="M159" i="3" l="1"/>
  <c r="R158" i="3"/>
  <c r="N159" i="3" l="1"/>
  <c r="K159" i="3"/>
  <c r="P159" i="3"/>
  <c r="L159" i="3" l="1"/>
  <c r="Q159" i="3"/>
  <c r="I160" i="3" s="1"/>
  <c r="O159" i="3"/>
  <c r="R159" i="3" l="1"/>
  <c r="M160" i="3"/>
  <c r="N160" i="3" l="1"/>
  <c r="K160" i="3"/>
  <c r="P160" i="3"/>
  <c r="L160" i="3" l="1"/>
  <c r="O160" i="3"/>
  <c r="Q160" i="3"/>
  <c r="I161" i="3" s="1"/>
  <c r="M161" i="3" l="1"/>
  <c r="R160" i="3"/>
  <c r="N161" i="3" l="1"/>
  <c r="K161" i="3"/>
  <c r="P161" i="3"/>
  <c r="L161" i="3" l="1"/>
  <c r="Q161" i="3"/>
  <c r="I162" i="3" s="1"/>
  <c r="O161" i="3"/>
  <c r="R161" i="3" l="1"/>
  <c r="M162" i="3"/>
  <c r="N162" i="3" l="1"/>
  <c r="K162" i="3"/>
  <c r="P162" i="3"/>
  <c r="L162" i="3" l="1"/>
  <c r="O162" i="3"/>
  <c r="Q162" i="3"/>
  <c r="I163" i="3" s="1"/>
  <c r="M163" i="3" l="1"/>
  <c r="R162" i="3"/>
  <c r="N163" i="3" l="1"/>
  <c r="K163" i="3"/>
  <c r="P163" i="3"/>
  <c r="L163" i="3" l="1"/>
  <c r="Q163" i="3"/>
  <c r="I164" i="3" s="1"/>
  <c r="O163" i="3"/>
  <c r="R163" i="3" l="1"/>
  <c r="M164" i="3"/>
  <c r="N164" i="3" l="1"/>
  <c r="K164" i="3"/>
  <c r="P164" i="3"/>
  <c r="L164" i="3" l="1"/>
  <c r="O164" i="3"/>
  <c r="Q164" i="3"/>
  <c r="I165" i="3" s="1"/>
  <c r="M165" i="3" l="1"/>
  <c r="R164" i="3"/>
  <c r="N165" i="3" l="1"/>
  <c r="K165" i="3"/>
  <c r="P165" i="3"/>
  <c r="L165" i="3" l="1"/>
  <c r="Q165" i="3"/>
  <c r="I166" i="3" s="1"/>
  <c r="O165" i="3"/>
  <c r="R165" i="3" l="1"/>
  <c r="M166" i="3"/>
  <c r="N166" i="3" l="1"/>
  <c r="K166" i="3"/>
  <c r="P166" i="3"/>
  <c r="L166" i="3" l="1"/>
  <c r="O166" i="3"/>
  <c r="Q166" i="3"/>
  <c r="I167" i="3" s="1"/>
  <c r="M167" i="3" l="1"/>
  <c r="R166" i="3"/>
  <c r="N167" i="3" l="1"/>
  <c r="K167" i="3"/>
  <c r="P167" i="3"/>
  <c r="L167" i="3" l="1"/>
  <c r="Q167" i="3"/>
  <c r="I168" i="3" s="1"/>
  <c r="O167" i="3"/>
  <c r="R167" i="3" l="1"/>
  <c r="M168" i="3"/>
  <c r="N168" i="3" l="1"/>
  <c r="K168" i="3"/>
  <c r="P168" i="3"/>
  <c r="L168" i="3" l="1"/>
  <c r="O168" i="3"/>
  <c r="Q168" i="3"/>
  <c r="I169" i="3" s="1"/>
  <c r="M169" i="3" l="1"/>
  <c r="R168" i="3"/>
  <c r="N169" i="3" l="1"/>
  <c r="K169" i="3"/>
  <c r="P169" i="3"/>
  <c r="L169" i="3" l="1"/>
  <c r="Q169" i="3"/>
  <c r="I170" i="3" s="1"/>
  <c r="O169" i="3"/>
  <c r="R169" i="3" l="1"/>
  <c r="M170" i="3"/>
  <c r="N170" i="3" l="1"/>
  <c r="K170" i="3"/>
  <c r="P170" i="3"/>
  <c r="L170" i="3" l="1"/>
  <c r="O170" i="3"/>
  <c r="Q170" i="3"/>
  <c r="I171" i="3" s="1"/>
  <c r="M171" i="3" l="1"/>
  <c r="R170" i="3"/>
  <c r="N171" i="3" l="1"/>
  <c r="K171" i="3"/>
  <c r="P171" i="3"/>
  <c r="L171" i="3" l="1"/>
  <c r="Q171" i="3"/>
  <c r="I172" i="3" s="1"/>
  <c r="O171" i="3"/>
  <c r="R171" i="3" l="1"/>
  <c r="M172" i="3"/>
  <c r="N172" i="3" l="1"/>
  <c r="K172" i="3"/>
  <c r="P172" i="3"/>
  <c r="L172" i="3" l="1"/>
  <c r="O172" i="3"/>
  <c r="Q172" i="3"/>
  <c r="I173" i="3" s="1"/>
  <c r="M173" i="3" l="1"/>
  <c r="R172" i="3"/>
  <c r="N173" i="3" l="1"/>
  <c r="K173" i="3"/>
  <c r="P173" i="3"/>
  <c r="L173" i="3" l="1"/>
  <c r="Q173" i="3"/>
  <c r="I174" i="3" s="1"/>
  <c r="O173" i="3"/>
  <c r="R173" i="3" l="1"/>
  <c r="M174" i="3"/>
  <c r="N174" i="3" l="1"/>
  <c r="K174" i="3"/>
  <c r="P174" i="3"/>
  <c r="L174" i="3" l="1"/>
  <c r="O174" i="3"/>
  <c r="Q174" i="3"/>
  <c r="I175" i="3" s="1"/>
  <c r="M175" i="3" l="1"/>
  <c r="R174" i="3"/>
  <c r="N175" i="3" l="1"/>
  <c r="K175" i="3"/>
  <c r="P175" i="3"/>
  <c r="L175" i="3" l="1"/>
  <c r="Q175" i="3"/>
  <c r="I176" i="3" s="1"/>
  <c r="O175" i="3"/>
  <c r="R175" i="3" l="1"/>
  <c r="M176" i="3"/>
  <c r="N176" i="3" l="1"/>
  <c r="K176" i="3"/>
  <c r="P176" i="3"/>
  <c r="L176" i="3" l="1"/>
  <c r="O176" i="3"/>
  <c r="Q176" i="3"/>
  <c r="I177" i="3" s="1"/>
  <c r="M177" i="3" l="1"/>
  <c r="R176" i="3"/>
  <c r="N177" i="3" l="1"/>
  <c r="K177" i="3"/>
  <c r="P177" i="3"/>
  <c r="L177" i="3" l="1"/>
  <c r="Q177" i="3"/>
  <c r="I178" i="3" s="1"/>
  <c r="O177" i="3"/>
  <c r="R177" i="3" l="1"/>
  <c r="M178" i="3"/>
  <c r="N178" i="3" l="1"/>
  <c r="K178" i="3"/>
  <c r="P178" i="3"/>
  <c r="L178" i="3" l="1"/>
  <c r="O178" i="3"/>
  <c r="Q178" i="3"/>
  <c r="I179" i="3" s="1"/>
  <c r="M179" i="3" l="1"/>
  <c r="R178" i="3"/>
  <c r="N179" i="3" l="1"/>
  <c r="K179" i="3"/>
  <c r="P179" i="3"/>
  <c r="L179" i="3" l="1"/>
  <c r="Q179" i="3"/>
  <c r="I180" i="3" s="1"/>
  <c r="O179" i="3"/>
  <c r="R179" i="3" l="1"/>
  <c r="M180" i="3"/>
  <c r="N180" i="3" l="1"/>
  <c r="K180" i="3"/>
  <c r="P180" i="3"/>
  <c r="L180" i="3" l="1"/>
  <c r="O180" i="3"/>
  <c r="Q180" i="3"/>
  <c r="I181" i="3" s="1"/>
  <c r="M181" i="3" l="1"/>
  <c r="R180" i="3"/>
  <c r="N181" i="3" l="1"/>
  <c r="K181" i="3"/>
  <c r="P181" i="3"/>
  <c r="L181" i="3" l="1"/>
  <c r="Q181" i="3"/>
  <c r="I182" i="3" s="1"/>
  <c r="O181" i="3"/>
  <c r="R181" i="3" l="1"/>
  <c r="M182" i="3"/>
  <c r="N182" i="3" l="1"/>
  <c r="K182" i="3"/>
  <c r="P182" i="3"/>
  <c r="L182" i="3" l="1"/>
  <c r="O182" i="3"/>
  <c r="Q182" i="3"/>
  <c r="I183" i="3" s="1"/>
  <c r="M183" i="3" l="1"/>
  <c r="R182" i="3"/>
  <c r="N183" i="3" l="1"/>
  <c r="K183" i="3"/>
  <c r="P183" i="3"/>
  <c r="L183" i="3" l="1"/>
  <c r="Q183" i="3"/>
  <c r="I184" i="3" s="1"/>
  <c r="O183" i="3"/>
  <c r="R183" i="3" l="1"/>
  <c r="M184" i="3"/>
  <c r="N184" i="3" l="1"/>
  <c r="K184" i="3"/>
  <c r="P184" i="3"/>
  <c r="L184" i="3" l="1"/>
  <c r="O184" i="3"/>
  <c r="Q184" i="3"/>
  <c r="I185" i="3" s="1"/>
  <c r="M185" i="3" l="1"/>
  <c r="R184" i="3"/>
  <c r="N185" i="3" l="1"/>
  <c r="K185" i="3"/>
  <c r="P185" i="3"/>
  <c r="L185" i="3" l="1"/>
  <c r="Q185" i="3"/>
  <c r="I186" i="3" s="1"/>
  <c r="O185" i="3"/>
  <c r="R185" i="3" l="1"/>
  <c r="M186" i="3"/>
  <c r="N186" i="3" l="1"/>
  <c r="K186" i="3"/>
  <c r="P186" i="3"/>
  <c r="L186" i="3" l="1"/>
  <c r="O186" i="3"/>
  <c r="Q186" i="3"/>
  <c r="I187" i="3" s="1"/>
  <c r="M187" i="3" l="1"/>
  <c r="R186" i="3"/>
  <c r="N187" i="3" l="1"/>
  <c r="K187" i="3"/>
  <c r="P187" i="3"/>
  <c r="L187" i="3" l="1"/>
  <c r="Q187" i="3"/>
  <c r="I188" i="3" s="1"/>
  <c r="O187" i="3"/>
  <c r="R187" i="3" l="1"/>
  <c r="M188" i="3"/>
  <c r="N188" i="3" l="1"/>
  <c r="K188" i="3"/>
  <c r="P188" i="3"/>
  <c r="L188" i="3" l="1"/>
  <c r="O188" i="3"/>
  <c r="Q188" i="3"/>
  <c r="I189" i="3" s="1"/>
  <c r="M189" i="3" l="1"/>
  <c r="R188" i="3"/>
  <c r="N189" i="3" l="1"/>
  <c r="K189" i="3"/>
  <c r="P189" i="3"/>
  <c r="L189" i="3" l="1"/>
  <c r="Q189" i="3"/>
  <c r="I190" i="3" s="1"/>
  <c r="O189" i="3"/>
  <c r="R189" i="3" l="1"/>
  <c r="M190" i="3"/>
  <c r="N190" i="3" l="1"/>
  <c r="K190" i="3"/>
  <c r="P190" i="3"/>
  <c r="L190" i="3" l="1"/>
  <c r="O190" i="3"/>
  <c r="Q190" i="3"/>
  <c r="I191" i="3" s="1"/>
  <c r="M191" i="3" l="1"/>
  <c r="R190" i="3"/>
  <c r="N191" i="3" l="1"/>
  <c r="K191" i="3"/>
  <c r="P191" i="3"/>
  <c r="L191" i="3" l="1"/>
  <c r="Q191" i="3"/>
  <c r="I192" i="3" s="1"/>
  <c r="O191" i="3"/>
  <c r="R191" i="3" l="1"/>
  <c r="M192" i="3"/>
  <c r="N192" i="3" l="1"/>
  <c r="K192" i="3"/>
  <c r="P192" i="3"/>
  <c r="L192" i="3" l="1"/>
  <c r="O192" i="3"/>
  <c r="Q192" i="3"/>
  <c r="I193" i="3" s="1"/>
  <c r="M193" i="3" l="1"/>
  <c r="R192" i="3"/>
  <c r="N193" i="3" l="1"/>
  <c r="K193" i="3"/>
  <c r="P193" i="3"/>
  <c r="L193" i="3" l="1"/>
  <c r="Q193" i="3"/>
  <c r="I194" i="3" s="1"/>
  <c r="O193" i="3"/>
  <c r="R193" i="3" l="1"/>
  <c r="M194" i="3"/>
  <c r="N194" i="3" l="1"/>
  <c r="K194" i="3"/>
  <c r="P194" i="3"/>
  <c r="L194" i="3" l="1"/>
  <c r="O194" i="3"/>
  <c r="Q194" i="3"/>
  <c r="I195" i="3" s="1"/>
  <c r="M195" i="3" l="1"/>
  <c r="R194" i="3"/>
  <c r="N195" i="3" l="1"/>
  <c r="K195" i="3"/>
  <c r="P195" i="3"/>
  <c r="L195" i="3" l="1"/>
  <c r="Q195" i="3"/>
  <c r="I196" i="3" s="1"/>
  <c r="O195" i="3"/>
  <c r="R195" i="3" l="1"/>
  <c r="M196" i="3"/>
  <c r="N196" i="3" l="1"/>
  <c r="K196" i="3"/>
  <c r="P196" i="3"/>
  <c r="L196" i="3" l="1"/>
  <c r="O196" i="3"/>
  <c r="Q196" i="3"/>
  <c r="I197" i="3" s="1"/>
  <c r="M197" i="3" l="1"/>
  <c r="R196" i="3"/>
  <c r="N197" i="3" l="1"/>
  <c r="K197" i="3"/>
  <c r="P197" i="3"/>
  <c r="L197" i="3" l="1"/>
  <c r="Q197" i="3"/>
  <c r="I198" i="3" s="1"/>
  <c r="O197" i="3"/>
  <c r="R197" i="3" l="1"/>
  <c r="M198" i="3"/>
  <c r="N198" i="3" l="1"/>
  <c r="K198" i="3"/>
  <c r="P198" i="3"/>
  <c r="L198" i="3" l="1"/>
  <c r="O198" i="3"/>
  <c r="Q198" i="3"/>
  <c r="I199" i="3" s="1"/>
  <c r="M199" i="3" l="1"/>
  <c r="R198" i="3"/>
  <c r="N199" i="3" l="1"/>
  <c r="K199" i="3"/>
  <c r="P199" i="3"/>
  <c r="L199" i="3" l="1"/>
  <c r="Q199" i="3"/>
  <c r="I200" i="3" s="1"/>
  <c r="O199" i="3"/>
  <c r="R199" i="3" l="1"/>
  <c r="M200" i="3"/>
  <c r="N200" i="3" l="1"/>
  <c r="K200" i="3"/>
  <c r="P200" i="3"/>
  <c r="L200" i="3" l="1"/>
  <c r="O200" i="3"/>
  <c r="Q200" i="3"/>
  <c r="I201" i="3" s="1"/>
  <c r="M201" i="3" l="1"/>
  <c r="R200" i="3"/>
  <c r="N201" i="3" l="1"/>
  <c r="K201" i="3"/>
  <c r="P201" i="3"/>
  <c r="L201" i="3" l="1"/>
  <c r="Q201" i="3"/>
  <c r="I202" i="3" s="1"/>
  <c r="O201" i="3"/>
  <c r="R201" i="3" l="1"/>
  <c r="M202" i="3"/>
  <c r="N202" i="3" l="1"/>
  <c r="K202" i="3"/>
  <c r="P202" i="3"/>
  <c r="L202" i="3" l="1"/>
  <c r="O202" i="3"/>
  <c r="Q202" i="3"/>
  <c r="I203" i="3" s="1"/>
  <c r="M203" i="3" l="1"/>
  <c r="R202" i="3"/>
  <c r="N203" i="3" l="1"/>
  <c r="K203" i="3"/>
  <c r="P203" i="3"/>
  <c r="L203" i="3" l="1"/>
  <c r="Q203" i="3"/>
  <c r="I204" i="3" s="1"/>
  <c r="O203" i="3"/>
  <c r="R203" i="3" l="1"/>
  <c r="M204" i="3"/>
  <c r="N204" i="3" l="1"/>
  <c r="K204" i="3"/>
  <c r="P204" i="3"/>
  <c r="L204" i="3" l="1"/>
  <c r="O204" i="3"/>
  <c r="Q204" i="3"/>
  <c r="I205" i="3" s="1"/>
  <c r="M205" i="3" l="1"/>
  <c r="R204" i="3"/>
  <c r="N205" i="3" l="1"/>
  <c r="K205" i="3"/>
  <c r="P205" i="3"/>
  <c r="L205" i="3" l="1"/>
  <c r="Q205" i="3"/>
  <c r="I206" i="3" s="1"/>
  <c r="O205" i="3"/>
  <c r="R205" i="3" l="1"/>
  <c r="M206" i="3"/>
  <c r="N206" i="3" l="1"/>
  <c r="K206" i="3"/>
  <c r="P206" i="3"/>
  <c r="L206" i="3" l="1"/>
  <c r="O206" i="3"/>
  <c r="Q206" i="3"/>
  <c r="I207" i="3" s="1"/>
  <c r="M207" i="3" l="1"/>
  <c r="R206" i="3"/>
  <c r="N207" i="3" l="1"/>
  <c r="K207" i="3"/>
  <c r="P207" i="3"/>
  <c r="L207" i="3" l="1"/>
  <c r="Q207" i="3"/>
  <c r="I208" i="3" s="1"/>
  <c r="O207" i="3"/>
  <c r="R207" i="3" l="1"/>
  <c r="M208" i="3"/>
  <c r="N208" i="3" l="1"/>
  <c r="K208" i="3"/>
  <c r="P208" i="3"/>
  <c r="L208" i="3" l="1"/>
  <c r="O208" i="3"/>
  <c r="Q208" i="3"/>
  <c r="I209" i="3" s="1"/>
  <c r="M209" i="3" l="1"/>
  <c r="R208" i="3"/>
  <c r="N209" i="3" l="1"/>
  <c r="K209" i="3"/>
  <c r="P209" i="3"/>
  <c r="L209" i="3" l="1"/>
  <c r="Q209" i="3"/>
  <c r="I210" i="3" s="1"/>
  <c r="O209" i="3"/>
  <c r="R209" i="3" l="1"/>
  <c r="M210" i="3"/>
  <c r="N210" i="3" l="1"/>
  <c r="K210" i="3"/>
  <c r="P210" i="3"/>
  <c r="L210" i="3" l="1"/>
  <c r="O210" i="3"/>
  <c r="Q210" i="3"/>
  <c r="I211" i="3" s="1"/>
  <c r="M211" i="3" l="1"/>
  <c r="R210" i="3"/>
  <c r="N211" i="3" l="1"/>
  <c r="K211" i="3"/>
  <c r="P211" i="3"/>
  <c r="L211" i="3" l="1"/>
  <c r="Q211" i="3"/>
  <c r="I212" i="3" s="1"/>
  <c r="O211" i="3"/>
  <c r="R211" i="3" l="1"/>
  <c r="M212" i="3"/>
  <c r="N212" i="3" l="1"/>
  <c r="K212" i="3"/>
  <c r="P212" i="3"/>
  <c r="L212" i="3" l="1"/>
  <c r="O212" i="3"/>
  <c r="Q212" i="3"/>
  <c r="I213" i="3" s="1"/>
  <c r="M213" i="3" l="1"/>
  <c r="R212" i="3"/>
  <c r="N213" i="3" l="1"/>
  <c r="K213" i="3"/>
  <c r="P213" i="3"/>
  <c r="L213" i="3" l="1"/>
  <c r="Q213" i="3"/>
  <c r="I214" i="3" s="1"/>
  <c r="O213" i="3"/>
  <c r="R213" i="3" l="1"/>
  <c r="M214" i="3"/>
  <c r="N214" i="3" l="1"/>
  <c r="K214" i="3"/>
  <c r="P214" i="3"/>
  <c r="L214" i="3" l="1"/>
  <c r="O214" i="3"/>
  <c r="Q214" i="3"/>
  <c r="I215" i="3" s="1"/>
  <c r="M215" i="3" l="1"/>
  <c r="R214" i="3"/>
  <c r="N215" i="3" l="1"/>
  <c r="K215" i="3"/>
  <c r="P215" i="3"/>
  <c r="L215" i="3" l="1"/>
  <c r="Q215" i="3"/>
  <c r="I216" i="3" s="1"/>
  <c r="O215" i="3"/>
  <c r="R215" i="3" l="1"/>
  <c r="M216" i="3"/>
  <c r="N216" i="3" l="1"/>
  <c r="K216" i="3"/>
  <c r="P216" i="3"/>
  <c r="L216" i="3" l="1"/>
  <c r="O216" i="3"/>
  <c r="Q216" i="3"/>
  <c r="I217" i="3" s="1"/>
  <c r="M217" i="3" l="1"/>
  <c r="R216" i="3"/>
  <c r="N217" i="3" l="1"/>
  <c r="K217" i="3"/>
  <c r="P217" i="3"/>
  <c r="L217" i="3" l="1"/>
  <c r="Q217" i="3"/>
  <c r="I218" i="3" s="1"/>
  <c r="O217" i="3"/>
  <c r="R217" i="3" l="1"/>
  <c r="M218" i="3"/>
  <c r="N218" i="3" l="1"/>
  <c r="K218" i="3"/>
  <c r="P218" i="3"/>
  <c r="L218" i="3" l="1"/>
  <c r="O218" i="3"/>
  <c r="Q218" i="3"/>
  <c r="I219" i="3" s="1"/>
  <c r="M219" i="3" l="1"/>
  <c r="R218" i="3"/>
  <c r="N219" i="3" l="1"/>
  <c r="K219" i="3"/>
  <c r="P219" i="3"/>
  <c r="L219" i="3" l="1"/>
  <c r="Q219" i="3"/>
  <c r="I220" i="3" s="1"/>
  <c r="O219" i="3"/>
  <c r="R219" i="3" l="1"/>
  <c r="M220" i="3"/>
  <c r="N220" i="3" l="1"/>
  <c r="K220" i="3"/>
  <c r="P220" i="3"/>
  <c r="L220" i="3" l="1"/>
  <c r="O220" i="3"/>
  <c r="Q220" i="3"/>
  <c r="I221" i="3" s="1"/>
  <c r="M221" i="3" l="1"/>
  <c r="R220" i="3"/>
  <c r="N221" i="3" l="1"/>
  <c r="K221" i="3"/>
  <c r="P221" i="3"/>
  <c r="L221" i="3" l="1"/>
  <c r="Q221" i="3"/>
  <c r="I222" i="3" s="1"/>
  <c r="O221" i="3"/>
  <c r="R221" i="3" l="1"/>
  <c r="M222" i="3"/>
  <c r="N222" i="3" l="1"/>
  <c r="K222" i="3"/>
  <c r="P222" i="3"/>
  <c r="L222" i="3" l="1"/>
  <c r="O222" i="3"/>
  <c r="Q222" i="3"/>
  <c r="I223" i="3" s="1"/>
  <c r="M223" i="3" l="1"/>
  <c r="R222" i="3"/>
  <c r="N223" i="3" l="1"/>
  <c r="K223" i="3"/>
  <c r="P223" i="3"/>
  <c r="L223" i="3" l="1"/>
  <c r="Q223" i="3"/>
  <c r="I224" i="3" s="1"/>
  <c r="O223" i="3"/>
  <c r="R223" i="3" l="1"/>
  <c r="M224" i="3"/>
  <c r="N224" i="3" l="1"/>
  <c r="K224" i="3"/>
  <c r="P224" i="3"/>
  <c r="L224" i="3" l="1"/>
  <c r="O224" i="3"/>
  <c r="Q224" i="3"/>
  <c r="I225" i="3" s="1"/>
  <c r="M225" i="3" l="1"/>
  <c r="R224" i="3"/>
  <c r="N225" i="3" l="1"/>
  <c r="K225" i="3"/>
  <c r="P225" i="3"/>
  <c r="L225" i="3" l="1"/>
  <c r="Q225" i="3"/>
  <c r="I226" i="3" s="1"/>
  <c r="O225" i="3"/>
  <c r="R225" i="3" l="1"/>
  <c r="M226" i="3"/>
  <c r="N226" i="3" l="1"/>
  <c r="K226" i="3"/>
  <c r="P226" i="3"/>
  <c r="L226" i="3" l="1"/>
  <c r="O226" i="3"/>
  <c r="Q226" i="3"/>
  <c r="I227" i="3" s="1"/>
  <c r="M227" i="3" l="1"/>
  <c r="R226" i="3"/>
  <c r="N227" i="3" l="1"/>
  <c r="K227" i="3"/>
  <c r="P227" i="3"/>
  <c r="L227" i="3" l="1"/>
  <c r="Q227" i="3"/>
  <c r="I228" i="3" s="1"/>
  <c r="O227" i="3"/>
  <c r="R227" i="3" l="1"/>
  <c r="M228" i="3"/>
  <c r="N228" i="3" l="1"/>
  <c r="K228" i="3"/>
  <c r="P228" i="3"/>
  <c r="L228" i="3" l="1"/>
  <c r="O228" i="3"/>
  <c r="Q228" i="3"/>
  <c r="I229" i="3" s="1"/>
  <c r="M229" i="3" l="1"/>
  <c r="R228" i="3"/>
  <c r="N229" i="3" l="1"/>
  <c r="K229" i="3"/>
  <c r="P229" i="3"/>
  <c r="L229" i="3" l="1"/>
  <c r="Q229" i="3"/>
  <c r="I230" i="3" s="1"/>
  <c r="O229" i="3"/>
  <c r="R229" i="3" l="1"/>
  <c r="M230" i="3"/>
  <c r="N230" i="3" l="1"/>
  <c r="K230" i="3"/>
  <c r="P230" i="3"/>
  <c r="L230" i="3" l="1"/>
  <c r="O230" i="3"/>
  <c r="Q230" i="3"/>
  <c r="I231" i="3" s="1"/>
  <c r="M231" i="3" l="1"/>
  <c r="R230" i="3"/>
  <c r="N231" i="3" l="1"/>
  <c r="K231" i="3"/>
  <c r="P231" i="3"/>
  <c r="L231" i="3" l="1"/>
  <c r="Q231" i="3"/>
  <c r="I232" i="3" s="1"/>
  <c r="O231" i="3"/>
  <c r="R231" i="3" l="1"/>
  <c r="M232" i="3"/>
  <c r="N232" i="3" l="1"/>
  <c r="K232" i="3"/>
  <c r="P232" i="3"/>
  <c r="L232" i="3" l="1"/>
  <c r="O232" i="3"/>
  <c r="Q232" i="3"/>
  <c r="I233" i="3" s="1"/>
  <c r="M233" i="3" l="1"/>
  <c r="R232" i="3"/>
  <c r="N233" i="3" l="1"/>
  <c r="K233" i="3"/>
  <c r="P233" i="3"/>
  <c r="L233" i="3" l="1"/>
  <c r="Q233" i="3"/>
  <c r="I234" i="3" s="1"/>
  <c r="O233" i="3"/>
  <c r="R233" i="3" l="1"/>
  <c r="M234" i="3"/>
  <c r="N234" i="3" l="1"/>
  <c r="K234" i="3"/>
  <c r="P234" i="3"/>
  <c r="L234" i="3" l="1"/>
  <c r="O234" i="3"/>
  <c r="Q234" i="3"/>
  <c r="I235" i="3" s="1"/>
  <c r="M235" i="3" l="1"/>
  <c r="R234" i="3"/>
  <c r="N235" i="3" l="1"/>
  <c r="K235" i="3"/>
  <c r="P235" i="3"/>
  <c r="L235" i="3" l="1"/>
  <c r="Q235" i="3"/>
  <c r="I236" i="3" s="1"/>
  <c r="O235" i="3"/>
  <c r="R235" i="3" l="1"/>
  <c r="M236" i="3"/>
  <c r="N236" i="3" l="1"/>
  <c r="K236" i="3"/>
  <c r="P236" i="3"/>
  <c r="L236" i="3" l="1"/>
  <c r="O236" i="3"/>
  <c r="Q236" i="3"/>
  <c r="I237" i="3" s="1"/>
  <c r="M237" i="3" l="1"/>
  <c r="R236" i="3"/>
  <c r="N237" i="3" l="1"/>
  <c r="K237" i="3"/>
  <c r="P237" i="3"/>
  <c r="L237" i="3" l="1"/>
  <c r="Q237" i="3"/>
  <c r="I238" i="3" s="1"/>
  <c r="O237" i="3"/>
  <c r="R237" i="3" l="1"/>
  <c r="M238" i="3"/>
  <c r="N238" i="3" l="1"/>
  <c r="K238" i="3"/>
  <c r="P238" i="3"/>
  <c r="L238" i="3" l="1"/>
  <c r="O238" i="3"/>
  <c r="Q238" i="3"/>
  <c r="I239" i="3" s="1"/>
  <c r="M239" i="3" l="1"/>
  <c r="R238" i="3"/>
  <c r="N239" i="3" l="1"/>
  <c r="K239" i="3"/>
  <c r="P239" i="3"/>
  <c r="L239" i="3" l="1"/>
  <c r="Q239" i="3"/>
  <c r="I240" i="3" s="1"/>
  <c r="O239" i="3"/>
  <c r="R239" i="3" l="1"/>
  <c r="M240" i="3"/>
  <c r="N240" i="3" l="1"/>
  <c r="K240" i="3"/>
  <c r="P240" i="3"/>
  <c r="L240" i="3" l="1"/>
  <c r="O240" i="3"/>
  <c r="Q240" i="3"/>
  <c r="I241" i="3" s="1"/>
  <c r="M241" i="3" l="1"/>
  <c r="R240" i="3"/>
  <c r="N241" i="3" l="1"/>
  <c r="K241" i="3"/>
  <c r="P241" i="3"/>
  <c r="L241" i="3" l="1"/>
  <c r="Q241" i="3"/>
  <c r="I242" i="3" s="1"/>
  <c r="O241" i="3"/>
  <c r="R241" i="3" l="1"/>
  <c r="M242" i="3"/>
  <c r="N242" i="3" l="1"/>
  <c r="K242" i="3"/>
  <c r="P242" i="3"/>
  <c r="L242" i="3" l="1"/>
  <c r="O242" i="3"/>
  <c r="Q242" i="3"/>
  <c r="I243" i="3" s="1"/>
  <c r="R242" i="3" l="1"/>
  <c r="M243" i="3"/>
  <c r="N243" i="3" l="1"/>
  <c r="K243" i="3"/>
  <c r="P243" i="3"/>
  <c r="L243" i="3" l="1"/>
  <c r="O243" i="3"/>
  <c r="Q243" i="3"/>
  <c r="I244" i="3" s="1"/>
  <c r="M244" i="3" l="1"/>
  <c r="R243" i="3"/>
  <c r="N244" i="3" l="1"/>
  <c r="K244" i="3"/>
  <c r="P244" i="3"/>
  <c r="L244" i="3" l="1"/>
  <c r="Q244" i="3"/>
  <c r="I245" i="3" s="1"/>
  <c r="O244" i="3"/>
  <c r="R244" i="3" l="1"/>
  <c r="M245" i="3"/>
  <c r="N245" i="3" l="1"/>
  <c r="K245" i="3"/>
  <c r="P245" i="3"/>
  <c r="L245" i="3" l="1"/>
  <c r="O245" i="3"/>
  <c r="Q245" i="3"/>
  <c r="I246" i="3" s="1"/>
  <c r="M246" i="3" l="1"/>
  <c r="R245" i="3"/>
  <c r="N246" i="3" l="1"/>
  <c r="K246" i="3"/>
  <c r="P246" i="3"/>
  <c r="L246" i="3" l="1"/>
  <c r="Q246" i="3"/>
  <c r="I247" i="3" s="1"/>
  <c r="O246" i="3"/>
  <c r="R246" i="3" l="1"/>
  <c r="M247" i="3"/>
  <c r="N247" i="3" l="1"/>
  <c r="K247" i="3"/>
  <c r="P247" i="3"/>
  <c r="L247" i="3" l="1"/>
  <c r="O247" i="3"/>
  <c r="Q247" i="3"/>
  <c r="I248" i="3" s="1"/>
  <c r="M248" i="3" l="1"/>
  <c r="R247" i="3"/>
  <c r="N248" i="3" l="1"/>
  <c r="K248" i="3"/>
  <c r="P248" i="3"/>
  <c r="L248" i="3" l="1"/>
  <c r="Q248" i="3"/>
  <c r="I249" i="3" s="1"/>
  <c r="O248" i="3"/>
  <c r="R248" i="3" l="1"/>
  <c r="M249" i="3"/>
  <c r="N249" i="3" l="1"/>
  <c r="K249" i="3"/>
  <c r="P249" i="3"/>
  <c r="L249" i="3" l="1"/>
  <c r="O249" i="3"/>
  <c r="Q249" i="3"/>
  <c r="I250" i="3" s="1"/>
  <c r="M250" i="3" l="1"/>
  <c r="R249" i="3"/>
  <c r="N250" i="3" l="1"/>
  <c r="K250" i="3"/>
  <c r="P250" i="3"/>
  <c r="L250" i="3" l="1"/>
  <c r="Q250" i="3"/>
  <c r="I251" i="3" s="1"/>
  <c r="O250" i="3"/>
  <c r="R250" i="3" l="1"/>
  <c r="M251" i="3"/>
  <c r="N251" i="3" l="1"/>
  <c r="K251" i="3"/>
  <c r="P251" i="3"/>
  <c r="L251" i="3" l="1"/>
  <c r="O251" i="3"/>
  <c r="Q251" i="3"/>
  <c r="I252" i="3" s="1"/>
  <c r="M252" i="3" l="1"/>
  <c r="R251" i="3"/>
  <c r="N252" i="3" l="1"/>
  <c r="K252" i="3"/>
  <c r="P252" i="3"/>
  <c r="L252" i="3" l="1"/>
  <c r="Q252" i="3"/>
  <c r="I253" i="3" s="1"/>
  <c r="O252" i="3"/>
  <c r="R252" i="3" l="1"/>
  <c r="M253" i="3"/>
  <c r="N253" i="3" l="1"/>
  <c r="K253" i="3"/>
  <c r="P253" i="3"/>
  <c r="L253" i="3" l="1"/>
  <c r="O253" i="3"/>
  <c r="Q253" i="3"/>
  <c r="I254" i="3" s="1"/>
  <c r="M254" i="3" l="1"/>
  <c r="R253" i="3"/>
  <c r="N254" i="3" l="1"/>
  <c r="K254" i="3"/>
  <c r="P254" i="3"/>
  <c r="L254" i="3" l="1"/>
  <c r="Q254" i="3"/>
  <c r="I255" i="3" s="1"/>
  <c r="O254" i="3"/>
  <c r="R254" i="3" l="1"/>
  <c r="M255" i="3"/>
  <c r="N255" i="3" l="1"/>
  <c r="K255" i="3"/>
  <c r="P255" i="3"/>
  <c r="L255" i="3" l="1"/>
  <c r="O255" i="3"/>
  <c r="Q255" i="3"/>
  <c r="I256" i="3" s="1"/>
  <c r="M256" i="3" l="1"/>
  <c r="R255" i="3"/>
  <c r="N256" i="3" l="1"/>
  <c r="K256" i="3"/>
  <c r="P256" i="3"/>
  <c r="L256" i="3" l="1"/>
  <c r="Q256" i="3"/>
  <c r="I257" i="3" s="1"/>
  <c r="O256" i="3"/>
  <c r="R256" i="3" l="1"/>
  <c r="M257" i="3"/>
  <c r="N257" i="3" l="1"/>
  <c r="K257" i="3"/>
  <c r="P257" i="3"/>
  <c r="L257" i="3" l="1"/>
  <c r="O257" i="3"/>
  <c r="Q257" i="3"/>
  <c r="I258" i="3" s="1"/>
  <c r="M258" i="3" l="1"/>
  <c r="R257" i="3"/>
  <c r="N258" i="3" l="1"/>
  <c r="K258" i="3"/>
  <c r="P258" i="3"/>
  <c r="L258" i="3" l="1"/>
  <c r="Q258" i="3"/>
  <c r="I259" i="3" s="1"/>
  <c r="O258" i="3"/>
  <c r="R258" i="3" l="1"/>
  <c r="M259" i="3"/>
  <c r="N259" i="3" l="1"/>
  <c r="K259" i="3"/>
  <c r="P259" i="3"/>
  <c r="L259" i="3" l="1"/>
  <c r="O259" i="3"/>
  <c r="Q259" i="3"/>
  <c r="I260" i="3" s="1"/>
  <c r="M260" i="3" l="1"/>
  <c r="R259" i="3"/>
  <c r="N260" i="3" l="1"/>
  <c r="K260" i="3"/>
  <c r="P260" i="3"/>
  <c r="L260" i="3" l="1"/>
  <c r="Q260" i="3"/>
  <c r="I261" i="3" s="1"/>
  <c r="O260" i="3"/>
  <c r="R260" i="3" l="1"/>
  <c r="M261" i="3"/>
  <c r="N261" i="3" l="1"/>
  <c r="K261" i="3"/>
  <c r="P261" i="3"/>
  <c r="L261" i="3" l="1"/>
  <c r="O261" i="3"/>
  <c r="Q261" i="3"/>
  <c r="I262" i="3" s="1"/>
  <c r="M262" i="3" l="1"/>
  <c r="R261" i="3"/>
  <c r="N262" i="3" l="1"/>
  <c r="K262" i="3"/>
  <c r="P262" i="3"/>
  <c r="L262" i="3" l="1"/>
  <c r="Q262" i="3"/>
  <c r="I263" i="3" s="1"/>
  <c r="O262" i="3"/>
  <c r="R262" i="3" l="1"/>
  <c r="M263" i="3"/>
  <c r="N263" i="3" l="1"/>
  <c r="K263" i="3"/>
  <c r="P263" i="3"/>
  <c r="L263" i="3" l="1"/>
  <c r="O263" i="3"/>
  <c r="Q263" i="3"/>
  <c r="I264" i="3" s="1"/>
  <c r="M264" i="3" l="1"/>
  <c r="R263" i="3"/>
  <c r="N264" i="3" l="1"/>
  <c r="K264" i="3"/>
  <c r="P264" i="3"/>
  <c r="L264" i="3" l="1"/>
  <c r="Q264" i="3"/>
  <c r="I265" i="3" s="1"/>
  <c r="O264" i="3"/>
  <c r="R264" i="3" l="1"/>
  <c r="M265" i="3"/>
  <c r="N265" i="3" l="1"/>
  <c r="K265" i="3"/>
  <c r="P265" i="3"/>
  <c r="L265" i="3" l="1"/>
  <c r="O265" i="3"/>
  <c r="Q265" i="3"/>
  <c r="I266" i="3" s="1"/>
  <c r="M266" i="3" l="1"/>
  <c r="R265" i="3"/>
  <c r="N266" i="3" l="1"/>
  <c r="K266" i="3"/>
  <c r="P266" i="3"/>
  <c r="L266" i="3" l="1"/>
  <c r="Q266" i="3"/>
  <c r="I267" i="3" s="1"/>
  <c r="O266" i="3"/>
  <c r="R266" i="3" l="1"/>
  <c r="M267" i="3"/>
  <c r="N267" i="3" l="1"/>
  <c r="K267" i="3"/>
  <c r="P267" i="3"/>
  <c r="L267" i="3" l="1"/>
  <c r="O267" i="3"/>
  <c r="Q267" i="3"/>
  <c r="I268" i="3" s="1"/>
  <c r="M268" i="3" l="1"/>
  <c r="R267" i="3"/>
  <c r="N268" i="3" l="1"/>
  <c r="K268" i="3"/>
  <c r="P268" i="3"/>
  <c r="L268" i="3" l="1"/>
  <c r="Q268" i="3"/>
  <c r="I269" i="3" s="1"/>
  <c r="O268" i="3"/>
  <c r="R268" i="3" l="1"/>
  <c r="M269" i="3"/>
  <c r="N269" i="3" l="1"/>
  <c r="K269" i="3"/>
  <c r="P269" i="3"/>
  <c r="L269" i="3" l="1"/>
  <c r="O269" i="3"/>
  <c r="Q269" i="3"/>
  <c r="I270" i="3" s="1"/>
  <c r="M270" i="3" l="1"/>
  <c r="R269" i="3"/>
  <c r="N270" i="3" l="1"/>
  <c r="K270" i="3"/>
  <c r="P270" i="3"/>
  <c r="L270" i="3" l="1"/>
  <c r="Q270" i="3"/>
  <c r="I271" i="3" s="1"/>
  <c r="O270" i="3"/>
  <c r="R270" i="3" l="1"/>
  <c r="M271" i="3"/>
  <c r="N271" i="3" l="1"/>
  <c r="K271" i="3"/>
  <c r="P271" i="3"/>
  <c r="L271" i="3" l="1"/>
  <c r="O271" i="3"/>
  <c r="Q271" i="3"/>
  <c r="I272" i="3" s="1"/>
  <c r="M272" i="3" l="1"/>
  <c r="R271" i="3"/>
  <c r="N272" i="3" l="1"/>
  <c r="K272" i="3"/>
  <c r="P272" i="3"/>
  <c r="L272" i="3" l="1"/>
  <c r="Q272" i="3"/>
  <c r="I273" i="3" s="1"/>
  <c r="O272" i="3"/>
  <c r="R272" i="3" l="1"/>
  <c r="M273" i="3"/>
  <c r="N273" i="3" l="1"/>
  <c r="K273" i="3"/>
  <c r="P273" i="3"/>
  <c r="L273" i="3" l="1"/>
  <c r="O273" i="3"/>
  <c r="Q273" i="3"/>
  <c r="I274" i="3" s="1"/>
  <c r="M274" i="3" l="1"/>
  <c r="R273" i="3"/>
  <c r="N274" i="3" l="1"/>
  <c r="K274" i="3"/>
  <c r="P274" i="3"/>
  <c r="L274" i="3" l="1"/>
  <c r="Q274" i="3"/>
  <c r="I275" i="3" s="1"/>
  <c r="O274" i="3"/>
  <c r="R274" i="3" l="1"/>
  <c r="M275" i="3"/>
  <c r="N275" i="3" l="1"/>
  <c r="K275" i="3"/>
  <c r="P275" i="3"/>
  <c r="L275" i="3" l="1"/>
  <c r="O275" i="3"/>
  <c r="Q275" i="3"/>
  <c r="I276" i="3" s="1"/>
  <c r="M276" i="3" l="1"/>
  <c r="R275" i="3"/>
  <c r="N276" i="3" l="1"/>
  <c r="K276" i="3"/>
  <c r="P276" i="3"/>
  <c r="L276" i="3" l="1"/>
  <c r="Q276" i="3"/>
  <c r="I277" i="3" s="1"/>
  <c r="O276" i="3"/>
  <c r="R276" i="3" l="1"/>
  <c r="M277" i="3"/>
  <c r="N277" i="3" l="1"/>
  <c r="K277" i="3"/>
  <c r="P277" i="3"/>
  <c r="L277" i="3" l="1"/>
  <c r="O277" i="3"/>
  <c r="Q277" i="3"/>
  <c r="I278" i="3" s="1"/>
  <c r="M278" i="3" l="1"/>
  <c r="R277" i="3"/>
  <c r="N278" i="3" l="1"/>
  <c r="K278" i="3"/>
  <c r="P278" i="3"/>
  <c r="L278" i="3" l="1"/>
  <c r="Q278" i="3"/>
  <c r="I279" i="3" s="1"/>
  <c r="O278" i="3"/>
  <c r="R278" i="3" l="1"/>
  <c r="M279" i="3"/>
  <c r="N279" i="3" l="1"/>
  <c r="K279" i="3"/>
  <c r="P279" i="3"/>
  <c r="L279" i="3" l="1"/>
  <c r="O279" i="3"/>
  <c r="Q279" i="3"/>
  <c r="I280" i="3" s="1"/>
  <c r="M280" i="3" l="1"/>
  <c r="R279" i="3"/>
  <c r="N280" i="3" l="1"/>
  <c r="K280" i="3"/>
  <c r="P280" i="3"/>
  <c r="L280" i="3" l="1"/>
  <c r="Q280" i="3"/>
  <c r="I281" i="3" s="1"/>
  <c r="O280" i="3"/>
  <c r="R280" i="3" l="1"/>
  <c r="M281" i="3"/>
  <c r="N281" i="3" l="1"/>
  <c r="K281" i="3"/>
  <c r="P281" i="3"/>
  <c r="L281" i="3" l="1"/>
  <c r="O281" i="3"/>
  <c r="Q281" i="3"/>
  <c r="I282" i="3" s="1"/>
  <c r="M282" i="3" l="1"/>
  <c r="R281" i="3"/>
  <c r="N282" i="3" l="1"/>
  <c r="K282" i="3"/>
  <c r="P282" i="3"/>
  <c r="L282" i="3" l="1"/>
  <c r="Q282" i="3"/>
  <c r="I283" i="3" s="1"/>
  <c r="O282" i="3"/>
  <c r="R282" i="3" l="1"/>
  <c r="M283" i="3"/>
  <c r="N283" i="3" l="1"/>
  <c r="K283" i="3"/>
  <c r="P283" i="3"/>
  <c r="L283" i="3" l="1"/>
  <c r="O283" i="3"/>
  <c r="Q283" i="3"/>
  <c r="I284" i="3" s="1"/>
  <c r="M284" i="3" l="1"/>
  <c r="R283" i="3"/>
  <c r="N284" i="3" l="1"/>
  <c r="K284" i="3"/>
  <c r="P284" i="3"/>
  <c r="L284" i="3" l="1"/>
  <c r="Q284" i="3"/>
  <c r="I285" i="3" s="1"/>
  <c r="O284" i="3"/>
  <c r="R284" i="3" l="1"/>
  <c r="M285" i="3"/>
  <c r="N285" i="3" l="1"/>
  <c r="K285" i="3"/>
  <c r="P285" i="3"/>
  <c r="L285" i="3" l="1"/>
  <c r="O285" i="3"/>
  <c r="Q285" i="3"/>
  <c r="I286" i="3" s="1"/>
  <c r="M286" i="3" l="1"/>
  <c r="R285" i="3"/>
  <c r="N286" i="3" l="1"/>
  <c r="K286" i="3"/>
  <c r="P286" i="3"/>
  <c r="L286" i="3" l="1"/>
  <c r="Q286" i="3"/>
  <c r="I287" i="3" s="1"/>
  <c r="O286" i="3"/>
  <c r="R286" i="3" l="1"/>
  <c r="M287" i="3"/>
  <c r="N287" i="3" l="1"/>
  <c r="K287" i="3"/>
  <c r="P287" i="3"/>
  <c r="L287" i="3" l="1"/>
  <c r="O287" i="3"/>
  <c r="Q287" i="3"/>
  <c r="I288" i="3" s="1"/>
  <c r="M288" i="3" l="1"/>
  <c r="R287" i="3"/>
  <c r="N288" i="3" l="1"/>
  <c r="K288" i="3"/>
  <c r="P288" i="3"/>
  <c r="L288" i="3" l="1"/>
  <c r="Q288" i="3"/>
  <c r="I289" i="3" s="1"/>
  <c r="O288" i="3"/>
  <c r="R288" i="3" l="1"/>
  <c r="M289" i="3"/>
  <c r="N289" i="3" l="1"/>
  <c r="K289" i="3"/>
  <c r="P289" i="3"/>
  <c r="L289" i="3" l="1"/>
  <c r="O289" i="3"/>
  <c r="Q289" i="3"/>
  <c r="I290" i="3" s="1"/>
  <c r="M290" i="3" l="1"/>
  <c r="R289" i="3"/>
  <c r="N290" i="3" l="1"/>
  <c r="K290" i="3"/>
  <c r="P290" i="3"/>
  <c r="L290" i="3" l="1"/>
  <c r="Q290" i="3"/>
  <c r="I291" i="3" s="1"/>
  <c r="O290" i="3"/>
  <c r="R290" i="3" l="1"/>
  <c r="M291" i="3"/>
  <c r="N291" i="3" l="1"/>
  <c r="K291" i="3"/>
  <c r="P291" i="3"/>
  <c r="L291" i="3" l="1"/>
  <c r="O291" i="3"/>
  <c r="Q291" i="3"/>
  <c r="I292" i="3" s="1"/>
  <c r="M292" i="3" l="1"/>
  <c r="R291" i="3"/>
  <c r="N292" i="3" l="1"/>
  <c r="K292" i="3"/>
  <c r="P292" i="3"/>
  <c r="L292" i="3" l="1"/>
  <c r="Q292" i="3"/>
  <c r="I293" i="3" s="1"/>
  <c r="O292" i="3"/>
  <c r="R292" i="3" l="1"/>
  <c r="M293" i="3"/>
  <c r="N293" i="3" l="1"/>
  <c r="K293" i="3"/>
  <c r="P293" i="3"/>
  <c r="L293" i="3" l="1"/>
  <c r="O293" i="3"/>
  <c r="Q293" i="3"/>
  <c r="I294" i="3" s="1"/>
  <c r="M294" i="3" l="1"/>
  <c r="R293" i="3"/>
  <c r="N294" i="3" l="1"/>
  <c r="K294" i="3"/>
  <c r="P294" i="3"/>
  <c r="L294" i="3" l="1"/>
  <c r="Q294" i="3"/>
  <c r="I295" i="3" s="1"/>
  <c r="O294" i="3"/>
  <c r="R294" i="3" l="1"/>
  <c r="M295" i="3"/>
  <c r="N295" i="3" l="1"/>
  <c r="K295" i="3"/>
  <c r="P295" i="3"/>
  <c r="L295" i="3" l="1"/>
  <c r="O295" i="3"/>
  <c r="Q295" i="3"/>
  <c r="I296" i="3" s="1"/>
  <c r="M296" i="3" l="1"/>
  <c r="R295" i="3"/>
  <c r="N296" i="3" l="1"/>
  <c r="K296" i="3"/>
  <c r="P296" i="3"/>
  <c r="L296" i="3" l="1"/>
  <c r="Q296" i="3"/>
  <c r="I297" i="3" s="1"/>
  <c r="O296" i="3"/>
  <c r="R296" i="3" l="1"/>
  <c r="M297" i="3"/>
  <c r="N297" i="3" l="1"/>
  <c r="K297" i="3"/>
  <c r="P297" i="3"/>
  <c r="L297" i="3" l="1"/>
  <c r="O297" i="3"/>
  <c r="Q297" i="3"/>
  <c r="I298" i="3" s="1"/>
  <c r="M298" i="3" l="1"/>
  <c r="R297" i="3"/>
  <c r="N298" i="3" l="1"/>
  <c r="K298" i="3"/>
  <c r="P298" i="3"/>
  <c r="L298" i="3" l="1"/>
  <c r="Q298" i="3"/>
  <c r="I299" i="3" s="1"/>
  <c r="O298" i="3"/>
  <c r="R298" i="3" l="1"/>
  <c r="M299" i="3"/>
  <c r="N299" i="3" l="1"/>
  <c r="K299" i="3"/>
  <c r="P299" i="3"/>
  <c r="L299" i="3" l="1"/>
  <c r="O299" i="3"/>
  <c r="Q299" i="3"/>
  <c r="I300" i="3" s="1"/>
  <c r="M300" i="3" l="1"/>
  <c r="R299" i="3"/>
  <c r="N300" i="3" l="1"/>
  <c r="K300" i="3"/>
  <c r="P300" i="3"/>
  <c r="L300" i="3" l="1"/>
  <c r="Q300" i="3"/>
  <c r="I301" i="3" s="1"/>
  <c r="O300" i="3"/>
  <c r="R300" i="3" l="1"/>
  <c r="M301" i="3"/>
  <c r="N301" i="3" l="1"/>
  <c r="K301" i="3"/>
  <c r="P301" i="3"/>
  <c r="L301" i="3" l="1"/>
  <c r="O301" i="3"/>
  <c r="Q301" i="3"/>
  <c r="I302" i="3" s="1"/>
  <c r="M302" i="3" l="1"/>
  <c r="R301" i="3"/>
  <c r="N302" i="3" l="1"/>
  <c r="K302" i="3"/>
  <c r="P302" i="3"/>
  <c r="L302" i="3" l="1"/>
  <c r="Q302" i="3"/>
  <c r="I303" i="3" s="1"/>
  <c r="O302" i="3"/>
  <c r="R302" i="3" l="1"/>
  <c r="M303" i="3"/>
  <c r="N303" i="3" l="1"/>
  <c r="K303" i="3"/>
  <c r="P303" i="3"/>
  <c r="L303" i="3" l="1"/>
  <c r="O303" i="3"/>
  <c r="Q303" i="3"/>
  <c r="I304" i="3" s="1"/>
  <c r="M304" i="3" l="1"/>
  <c r="R303" i="3"/>
  <c r="N304" i="3" l="1"/>
  <c r="K304" i="3"/>
  <c r="P304" i="3"/>
  <c r="L304" i="3" l="1"/>
  <c r="Q304" i="3"/>
  <c r="I305" i="3" s="1"/>
  <c r="O304" i="3"/>
  <c r="R304" i="3" l="1"/>
  <c r="M305" i="3"/>
  <c r="N305" i="3" l="1"/>
  <c r="K305" i="3"/>
  <c r="P305" i="3"/>
  <c r="L305" i="3" l="1"/>
  <c r="O305" i="3"/>
  <c r="Q305" i="3"/>
  <c r="I306" i="3" s="1"/>
  <c r="M306" i="3" l="1"/>
  <c r="R305" i="3"/>
  <c r="N306" i="3" l="1"/>
  <c r="K306" i="3"/>
  <c r="P306" i="3"/>
  <c r="L306" i="3" l="1"/>
  <c r="Q306" i="3"/>
  <c r="I307" i="3" s="1"/>
  <c r="O306" i="3"/>
  <c r="R306" i="3" l="1"/>
  <c r="M307" i="3"/>
  <c r="N307" i="3" l="1"/>
  <c r="K307" i="3"/>
  <c r="P307" i="3"/>
  <c r="L307" i="3" l="1"/>
  <c r="O307" i="3"/>
  <c r="Q307" i="3"/>
  <c r="I308" i="3" s="1"/>
  <c r="M308" i="3" l="1"/>
  <c r="R307" i="3"/>
  <c r="N308" i="3" l="1"/>
  <c r="K308" i="3"/>
  <c r="P308" i="3"/>
  <c r="L308" i="3" l="1"/>
  <c r="Q308" i="3"/>
  <c r="I309" i="3" s="1"/>
  <c r="O308" i="3"/>
  <c r="R308" i="3" l="1"/>
  <c r="M309" i="3"/>
  <c r="N309" i="3" l="1"/>
  <c r="K309" i="3"/>
  <c r="P309" i="3"/>
  <c r="L309" i="3" l="1"/>
  <c r="O309" i="3"/>
  <c r="Q309" i="3"/>
  <c r="I310" i="3" s="1"/>
  <c r="M310" i="3" l="1"/>
  <c r="R309" i="3"/>
  <c r="N310" i="3" l="1"/>
  <c r="K310" i="3"/>
  <c r="P310" i="3"/>
  <c r="L310" i="3" l="1"/>
  <c r="Q310" i="3"/>
  <c r="I311" i="3" s="1"/>
  <c r="O310" i="3"/>
  <c r="R310" i="3" l="1"/>
  <c r="M311" i="3"/>
  <c r="N311" i="3" l="1"/>
  <c r="K311" i="3"/>
  <c r="P311" i="3"/>
  <c r="L311" i="3" l="1"/>
  <c r="O311" i="3"/>
  <c r="Q311" i="3"/>
  <c r="I312" i="3" s="1"/>
  <c r="M312" i="3" l="1"/>
  <c r="R311" i="3"/>
  <c r="N312" i="3" l="1"/>
  <c r="K312" i="3"/>
  <c r="P312" i="3"/>
  <c r="L312" i="3" l="1"/>
  <c r="Q312" i="3"/>
  <c r="I313" i="3" s="1"/>
  <c r="O312" i="3"/>
  <c r="R312" i="3" l="1"/>
  <c r="M313" i="3"/>
  <c r="N313" i="3" l="1"/>
  <c r="K313" i="3"/>
  <c r="P313" i="3"/>
  <c r="L313" i="3" l="1"/>
  <c r="O313" i="3"/>
  <c r="Q313" i="3"/>
  <c r="I314" i="3" s="1"/>
  <c r="M314" i="3" l="1"/>
  <c r="R313" i="3"/>
  <c r="N314" i="3" l="1"/>
  <c r="K314" i="3"/>
  <c r="P314" i="3"/>
  <c r="L314" i="3" l="1"/>
  <c r="Q314" i="3"/>
  <c r="I315" i="3" s="1"/>
  <c r="O314" i="3"/>
  <c r="R314" i="3" l="1"/>
  <c r="M315" i="3"/>
  <c r="N315" i="3" l="1"/>
  <c r="K315" i="3"/>
  <c r="P315" i="3"/>
  <c r="L315" i="3" l="1"/>
  <c r="O315" i="3"/>
  <c r="Q315" i="3"/>
  <c r="I316" i="3" s="1"/>
  <c r="M316" i="3" l="1"/>
  <c r="R315" i="3"/>
  <c r="N316" i="3" l="1"/>
  <c r="K316" i="3"/>
  <c r="P316" i="3"/>
  <c r="L316" i="3" l="1"/>
  <c r="Q316" i="3"/>
  <c r="I317" i="3" s="1"/>
  <c r="O316" i="3"/>
  <c r="R316" i="3" l="1"/>
  <c r="M317" i="3"/>
  <c r="N317" i="3" l="1"/>
  <c r="K317" i="3"/>
  <c r="P317" i="3"/>
  <c r="L317" i="3" l="1"/>
  <c r="O317" i="3"/>
  <c r="Q317" i="3"/>
  <c r="I318" i="3" s="1"/>
  <c r="M318" i="3" l="1"/>
  <c r="R317" i="3"/>
  <c r="N318" i="3" l="1"/>
  <c r="K318" i="3"/>
  <c r="P318" i="3"/>
  <c r="L318" i="3" l="1"/>
  <c r="Q318" i="3"/>
  <c r="I319" i="3" s="1"/>
  <c r="O318" i="3"/>
  <c r="R318" i="3" l="1"/>
  <c r="M319" i="3"/>
  <c r="N319" i="3" l="1"/>
  <c r="K319" i="3"/>
  <c r="P319" i="3"/>
  <c r="L319" i="3" l="1"/>
  <c r="O319" i="3"/>
  <c r="Q319" i="3"/>
  <c r="I320" i="3" s="1"/>
  <c r="M320" i="3" l="1"/>
  <c r="R319" i="3"/>
  <c r="N320" i="3" l="1"/>
  <c r="K320" i="3"/>
  <c r="P320" i="3"/>
  <c r="L320" i="3" l="1"/>
  <c r="Q320" i="3"/>
  <c r="I321" i="3" s="1"/>
  <c r="O320" i="3"/>
  <c r="R320" i="3" l="1"/>
  <c r="M321" i="3"/>
  <c r="N321" i="3" l="1"/>
  <c r="K321" i="3"/>
  <c r="P321" i="3"/>
  <c r="L321" i="3" l="1"/>
  <c r="O321" i="3"/>
  <c r="Q321" i="3"/>
  <c r="I322" i="3" s="1"/>
  <c r="M322" i="3" l="1"/>
  <c r="R321" i="3"/>
  <c r="N322" i="3" l="1"/>
  <c r="K322" i="3"/>
  <c r="P322" i="3"/>
  <c r="L322" i="3" l="1"/>
  <c r="Q322" i="3"/>
  <c r="I323" i="3" s="1"/>
  <c r="O322" i="3"/>
  <c r="R322" i="3" l="1"/>
  <c r="M323" i="3"/>
  <c r="N323" i="3" l="1"/>
  <c r="K323" i="3"/>
  <c r="P323" i="3"/>
  <c r="L323" i="3" l="1"/>
  <c r="O323" i="3"/>
  <c r="Q323" i="3"/>
  <c r="I324" i="3" s="1"/>
  <c r="M324" i="3" l="1"/>
  <c r="R323" i="3"/>
  <c r="N324" i="3" l="1"/>
  <c r="K324" i="3"/>
  <c r="P324" i="3"/>
  <c r="L324" i="3" l="1"/>
  <c r="Q324" i="3"/>
  <c r="I325" i="3" s="1"/>
  <c r="O324" i="3"/>
  <c r="R324" i="3" l="1"/>
  <c r="M325" i="3"/>
  <c r="N325" i="3" l="1"/>
  <c r="K325" i="3"/>
  <c r="P325" i="3"/>
  <c r="L325" i="3" l="1"/>
  <c r="O325" i="3"/>
  <c r="Q325" i="3"/>
  <c r="I326" i="3" s="1"/>
  <c r="M326" i="3" l="1"/>
  <c r="R325" i="3"/>
  <c r="N326" i="3" l="1"/>
  <c r="K326" i="3"/>
  <c r="P326" i="3"/>
  <c r="L326" i="3" l="1"/>
  <c r="Q326" i="3"/>
  <c r="I327" i="3" s="1"/>
  <c r="O326" i="3"/>
  <c r="R326" i="3" l="1"/>
  <c r="M327" i="3"/>
  <c r="N327" i="3" l="1"/>
  <c r="K327" i="3"/>
  <c r="P327" i="3"/>
  <c r="L327" i="3" l="1"/>
  <c r="O327" i="3"/>
  <c r="Q327" i="3"/>
  <c r="I328" i="3" s="1"/>
  <c r="M328" i="3" l="1"/>
  <c r="R327" i="3"/>
  <c r="N328" i="3" l="1"/>
  <c r="K328" i="3"/>
  <c r="P328" i="3"/>
  <c r="L328" i="3" l="1"/>
  <c r="Q328" i="3"/>
  <c r="I329" i="3" s="1"/>
  <c r="O328" i="3"/>
  <c r="R328" i="3" l="1"/>
  <c r="M329" i="3"/>
  <c r="N329" i="3" l="1"/>
  <c r="K329" i="3"/>
  <c r="P329" i="3"/>
  <c r="L329" i="3" l="1"/>
  <c r="O329" i="3"/>
  <c r="Q329" i="3"/>
  <c r="I330" i="3" s="1"/>
  <c r="M330" i="3" l="1"/>
  <c r="R329" i="3"/>
  <c r="N330" i="3" l="1"/>
  <c r="K330" i="3"/>
  <c r="P330" i="3"/>
  <c r="L330" i="3" l="1"/>
  <c r="Q330" i="3"/>
  <c r="I331" i="3" s="1"/>
  <c r="O330" i="3"/>
  <c r="R330" i="3" l="1"/>
  <c r="M331" i="3"/>
  <c r="N331" i="3" l="1"/>
  <c r="K331" i="3"/>
  <c r="P331" i="3"/>
  <c r="L331" i="3" l="1"/>
  <c r="O331" i="3"/>
  <c r="Q331" i="3"/>
  <c r="I332" i="3" s="1"/>
  <c r="R331" i="3" l="1"/>
  <c r="M332" i="3"/>
  <c r="N332" i="3" l="1"/>
  <c r="K332" i="3"/>
  <c r="P332" i="3"/>
  <c r="L332" i="3" l="1"/>
  <c r="Q332" i="3"/>
  <c r="I333" i="3" s="1"/>
  <c r="O332" i="3"/>
  <c r="R332" i="3" l="1"/>
  <c r="M333" i="3"/>
  <c r="N333" i="3" l="1"/>
  <c r="K333" i="3"/>
  <c r="P333" i="3"/>
  <c r="L333" i="3" l="1"/>
  <c r="O333" i="3"/>
  <c r="Q333" i="3"/>
  <c r="I334" i="3" s="1"/>
  <c r="M334" i="3" l="1"/>
  <c r="R333" i="3"/>
  <c r="N334" i="3" l="1"/>
  <c r="K334" i="3"/>
  <c r="P334" i="3"/>
  <c r="L334" i="3" l="1"/>
  <c r="O334" i="3"/>
  <c r="Q334" i="3"/>
  <c r="I335" i="3" s="1"/>
  <c r="M335" i="3" l="1"/>
  <c r="R334" i="3"/>
  <c r="N335" i="3" l="1"/>
  <c r="K335" i="3"/>
  <c r="P335" i="3"/>
  <c r="L335" i="3" l="1"/>
  <c r="Q335" i="3"/>
  <c r="I336" i="3" s="1"/>
  <c r="O335" i="3"/>
  <c r="R335" i="3" l="1"/>
  <c r="M336" i="3"/>
  <c r="N336" i="3" l="1"/>
  <c r="K336" i="3"/>
  <c r="P336" i="3"/>
  <c r="L336" i="3" l="1"/>
  <c r="O336" i="3"/>
  <c r="Q336" i="3"/>
  <c r="I337" i="3" s="1"/>
  <c r="M337" i="3" l="1"/>
  <c r="R336" i="3"/>
  <c r="N337" i="3" l="1"/>
  <c r="K337" i="3"/>
  <c r="P337" i="3"/>
  <c r="L337" i="3" l="1"/>
  <c r="Q337" i="3"/>
  <c r="I338" i="3" s="1"/>
  <c r="O337" i="3"/>
  <c r="R337" i="3" l="1"/>
  <c r="M338" i="3"/>
  <c r="N338" i="3" l="1"/>
  <c r="K338" i="3"/>
  <c r="P338" i="3"/>
  <c r="L338" i="3" l="1"/>
  <c r="O338" i="3"/>
  <c r="Q338" i="3"/>
  <c r="I339" i="3" s="1"/>
  <c r="M339" i="3" l="1"/>
  <c r="R338" i="3"/>
  <c r="N339" i="3" l="1"/>
  <c r="K339" i="3"/>
  <c r="P339" i="3"/>
  <c r="L339" i="3" l="1"/>
  <c r="Q339" i="3"/>
  <c r="I340" i="3" s="1"/>
  <c r="O339" i="3"/>
  <c r="R339" i="3" l="1"/>
  <c r="M340" i="3"/>
  <c r="N340" i="3" l="1"/>
  <c r="K340" i="3"/>
  <c r="P340" i="3"/>
  <c r="L340" i="3" l="1"/>
  <c r="O340" i="3"/>
  <c r="Q340" i="3"/>
  <c r="I341" i="3" s="1"/>
  <c r="M341" i="3" l="1"/>
  <c r="R340" i="3"/>
  <c r="N341" i="3" l="1"/>
  <c r="K341" i="3"/>
  <c r="P341" i="3"/>
  <c r="L341" i="3" l="1"/>
  <c r="Q341" i="3"/>
  <c r="I342" i="3" s="1"/>
  <c r="O341" i="3"/>
  <c r="R341" i="3" l="1"/>
  <c r="M342" i="3"/>
  <c r="N342" i="3" l="1"/>
  <c r="K342" i="3"/>
  <c r="P342" i="3"/>
  <c r="L342" i="3" l="1"/>
  <c r="O342" i="3"/>
  <c r="Q342" i="3"/>
  <c r="I343" i="3" s="1"/>
  <c r="M343" i="3" l="1"/>
  <c r="R342" i="3"/>
  <c r="N343" i="3" l="1"/>
  <c r="K343" i="3"/>
  <c r="P343" i="3"/>
  <c r="L343" i="3" l="1"/>
  <c r="Q343" i="3"/>
  <c r="I344" i="3" s="1"/>
  <c r="O343" i="3"/>
  <c r="R343" i="3" l="1"/>
  <c r="M344" i="3"/>
  <c r="N344" i="3" l="1"/>
  <c r="K344" i="3"/>
  <c r="P344" i="3"/>
  <c r="L344" i="3" l="1"/>
  <c r="O344" i="3"/>
  <c r="Q344" i="3"/>
  <c r="I345" i="3" s="1"/>
  <c r="M345" i="3" l="1"/>
  <c r="R344" i="3"/>
  <c r="N345" i="3" l="1"/>
  <c r="K345" i="3"/>
  <c r="P345" i="3"/>
  <c r="L345" i="3" l="1"/>
  <c r="Q345" i="3"/>
  <c r="I346" i="3" s="1"/>
  <c r="O345" i="3"/>
  <c r="R345" i="3" l="1"/>
  <c r="M346" i="3"/>
  <c r="N346" i="3" l="1"/>
  <c r="K346" i="3"/>
  <c r="P346" i="3"/>
  <c r="L346" i="3" l="1"/>
  <c r="O346" i="3"/>
  <c r="Q346" i="3"/>
  <c r="I347" i="3" s="1"/>
  <c r="M347" i="3" l="1"/>
  <c r="R346" i="3"/>
  <c r="N347" i="3" l="1"/>
  <c r="K347" i="3"/>
  <c r="P347" i="3"/>
  <c r="L347" i="3" l="1"/>
  <c r="Q347" i="3"/>
  <c r="I348" i="3" s="1"/>
  <c r="O347" i="3"/>
  <c r="R347" i="3" l="1"/>
  <c r="M348" i="3"/>
  <c r="N348" i="3" l="1"/>
  <c r="K348" i="3"/>
  <c r="P348" i="3"/>
  <c r="L348" i="3" l="1"/>
  <c r="O348" i="3"/>
  <c r="Q348" i="3"/>
  <c r="I349" i="3" s="1"/>
  <c r="M349" i="3" l="1"/>
  <c r="R348" i="3"/>
  <c r="N349" i="3" l="1"/>
  <c r="K349" i="3"/>
  <c r="P349" i="3"/>
  <c r="L349" i="3" l="1"/>
  <c r="Q349" i="3"/>
  <c r="I350" i="3" s="1"/>
  <c r="O349" i="3"/>
  <c r="R349" i="3" l="1"/>
  <c r="M350" i="3"/>
  <c r="N350" i="3" l="1"/>
  <c r="K350" i="3"/>
  <c r="P350" i="3"/>
  <c r="L350" i="3" l="1"/>
  <c r="O350" i="3"/>
  <c r="Q350" i="3"/>
  <c r="I351" i="3" s="1"/>
  <c r="M351" i="3" l="1"/>
  <c r="R350" i="3"/>
  <c r="N351" i="3" l="1"/>
  <c r="K351" i="3"/>
  <c r="P351" i="3"/>
  <c r="L351" i="3" l="1"/>
  <c r="Q351" i="3"/>
  <c r="I352" i="3" s="1"/>
  <c r="O351" i="3"/>
  <c r="R351" i="3" l="1"/>
  <c r="M352" i="3"/>
  <c r="N352" i="3" l="1"/>
  <c r="K352" i="3"/>
  <c r="P352" i="3"/>
  <c r="L352" i="3" l="1"/>
  <c r="O352" i="3"/>
  <c r="Q352" i="3"/>
  <c r="I353" i="3" s="1"/>
  <c r="M353" i="3" l="1"/>
  <c r="R352" i="3"/>
  <c r="N353" i="3" l="1"/>
  <c r="K353" i="3"/>
  <c r="P353" i="3"/>
  <c r="L353" i="3" l="1"/>
  <c r="Q353" i="3"/>
  <c r="I354" i="3" s="1"/>
  <c r="O353" i="3"/>
  <c r="R353" i="3" l="1"/>
  <c r="M354" i="3"/>
  <c r="N354" i="3" l="1"/>
  <c r="K354" i="3"/>
  <c r="P354" i="3"/>
  <c r="L354" i="3" l="1"/>
  <c r="O354" i="3"/>
  <c r="Q354" i="3"/>
  <c r="I355" i="3" s="1"/>
  <c r="M355" i="3" l="1"/>
  <c r="R354" i="3"/>
  <c r="N355" i="3" l="1"/>
  <c r="K355" i="3"/>
  <c r="P355" i="3"/>
  <c r="L355" i="3" l="1"/>
  <c r="Q355" i="3"/>
  <c r="I356" i="3" s="1"/>
  <c r="O355" i="3"/>
  <c r="R355" i="3" l="1"/>
  <c r="M356" i="3"/>
  <c r="N356" i="3" l="1"/>
  <c r="K356" i="3"/>
  <c r="P356" i="3"/>
  <c r="L356" i="3" l="1"/>
  <c r="O356" i="3"/>
  <c r="Q356" i="3"/>
  <c r="I357" i="3" s="1"/>
  <c r="M357" i="3" l="1"/>
  <c r="R356" i="3"/>
  <c r="N357" i="3" l="1"/>
  <c r="K357" i="3"/>
  <c r="P357" i="3"/>
  <c r="L357" i="3" l="1"/>
  <c r="Q357" i="3"/>
  <c r="I358" i="3" s="1"/>
  <c r="O357" i="3"/>
  <c r="R357" i="3" l="1"/>
  <c r="M358" i="3"/>
  <c r="N358" i="3" l="1"/>
  <c r="K358" i="3"/>
  <c r="P358" i="3"/>
  <c r="L358" i="3" l="1"/>
  <c r="O358" i="3"/>
  <c r="Q358" i="3"/>
  <c r="I359" i="3" s="1"/>
  <c r="M359" i="3" l="1"/>
  <c r="R358" i="3"/>
  <c r="N359" i="3" l="1"/>
  <c r="K359" i="3"/>
  <c r="P359" i="3"/>
  <c r="L359" i="3" l="1"/>
  <c r="Q359" i="3"/>
  <c r="I360" i="3" s="1"/>
  <c r="O359" i="3"/>
  <c r="R359" i="3" l="1"/>
  <c r="M360" i="3"/>
  <c r="N360" i="3" l="1"/>
  <c r="K360" i="3"/>
  <c r="P360" i="3"/>
  <c r="L360" i="3" l="1"/>
  <c r="O360" i="3"/>
  <c r="Q360" i="3"/>
  <c r="I361" i="3" s="1"/>
  <c r="M361" i="3" l="1"/>
  <c r="R360" i="3"/>
  <c r="N361" i="3" l="1"/>
  <c r="K361" i="3"/>
  <c r="P361" i="3"/>
  <c r="L361" i="3" l="1"/>
  <c r="Q361" i="3"/>
  <c r="I362" i="3" s="1"/>
  <c r="O361" i="3"/>
  <c r="R361" i="3" l="1"/>
  <c r="M362" i="3"/>
  <c r="N362" i="3" l="1"/>
  <c r="K362" i="3"/>
  <c r="P362" i="3"/>
  <c r="L362" i="3" l="1"/>
  <c r="O362" i="3"/>
  <c r="Q362" i="3"/>
  <c r="I363" i="3" s="1"/>
  <c r="M363" i="3" l="1"/>
  <c r="R362" i="3"/>
  <c r="N363" i="3" l="1"/>
  <c r="K363" i="3"/>
  <c r="P363" i="3"/>
  <c r="L363" i="3" l="1"/>
  <c r="Q363" i="3"/>
  <c r="I364" i="3" s="1"/>
  <c r="O363" i="3"/>
  <c r="R363" i="3" l="1"/>
  <c r="M364" i="3"/>
  <c r="N364" i="3" l="1"/>
  <c r="K364" i="3"/>
  <c r="P364" i="3"/>
  <c r="L364" i="3" l="1"/>
  <c r="O364" i="3"/>
  <c r="Q364" i="3"/>
  <c r="I365" i="3" s="1"/>
  <c r="M365" i="3" l="1"/>
  <c r="R364" i="3"/>
  <c r="N365" i="3" l="1"/>
  <c r="K365" i="3"/>
  <c r="P365" i="3"/>
  <c r="L365" i="3" l="1"/>
  <c r="Q365" i="3"/>
  <c r="O365" i="3"/>
  <c r="R36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G28" authorId="0" shapeId="0" xr:uid="{345793C1-F35D-44CE-9F8C-0B6746563A3F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Dollars per $1000 assessed value, collected for taxes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E29" authorId="0" shapeId="0" xr:uid="{9482C1F5-4BC6-4E4F-9312-204ACBEA0D75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Dollars per $1000 assessed value, collected for taxes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E29" authorId="0" shapeId="0" xr:uid="{931F74D5-4673-4370-85BD-6CBEE963BE40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Dollars per $1000 assessed value, collected for taxes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Smith</author>
  </authors>
  <commentList>
    <comment ref="B1" authorId="0" shapeId="0" xr:uid="{FD0E0CBC-113D-46BF-A827-DCEEDB5FF848}">
      <text>
        <r>
          <rPr>
            <b/>
            <sz val="9"/>
            <color indexed="81"/>
            <rFont val="Tahoma"/>
            <family val="2"/>
          </rPr>
          <t>Matt Smith:</t>
        </r>
        <r>
          <rPr>
            <sz val="9"/>
            <color indexed="81"/>
            <rFont val="Tahoma"/>
            <family val="2"/>
          </rPr>
          <t xml:space="preserve">
2646 on our purchase</t>
        </r>
      </text>
    </comment>
  </commentList>
</comments>
</file>

<file path=xl/sharedStrings.xml><?xml version="1.0" encoding="utf-8"?>
<sst xmlns="http://schemas.openxmlformats.org/spreadsheetml/2006/main" count="440" uniqueCount="173">
  <si>
    <t>Purchase Price</t>
  </si>
  <si>
    <t>Estimated Repairs</t>
  </si>
  <si>
    <t>Master Bath</t>
  </si>
  <si>
    <t>Kitchen</t>
  </si>
  <si>
    <t>Guest baths (3)</t>
  </si>
  <si>
    <t>Total Estimated Repairs</t>
  </si>
  <si>
    <t>Exterior Paint</t>
  </si>
  <si>
    <t>Interior Paint</t>
  </si>
  <si>
    <t>Flooring</t>
  </si>
  <si>
    <t>Cabinets</t>
  </si>
  <si>
    <t>All In Price (Purchase+Repairs)</t>
  </si>
  <si>
    <t>Estimated Profit</t>
  </si>
  <si>
    <t>Loan Interest Rate</t>
  </si>
  <si>
    <t>Estimated ARV (After Repair Value)</t>
  </si>
  <si>
    <t>Hard Money Lender Points Paid</t>
  </si>
  <si>
    <t>Term (months)</t>
  </si>
  <si>
    <t>Hard Money Interest rate</t>
  </si>
  <si>
    <t>Monthly Loan Payment to Hard Money Lender</t>
  </si>
  <si>
    <t>80% ARV (Refinance)</t>
  </si>
  <si>
    <t>Current Equity</t>
  </si>
  <si>
    <t>2950 Admiralty Bay Drive</t>
  </si>
  <si>
    <t>Current Loan Balance</t>
  </si>
  <si>
    <t>sqft</t>
  </si>
  <si>
    <t>as of 11/13/22</t>
  </si>
  <si>
    <t>Original Purchase Price</t>
  </si>
  <si>
    <t>Current Market Price</t>
  </si>
  <si>
    <t>80% Market Price</t>
  </si>
  <si>
    <t>Total Cash Available HELOC (Current Market Price - Current Loan Balance)</t>
  </si>
  <si>
    <t>$/sqft Market Estimate</t>
  </si>
  <si>
    <t>Insurance / Year</t>
  </si>
  <si>
    <t>Property Taxes / Year (1.8%)</t>
  </si>
  <si>
    <t>Down Payment (20%)</t>
  </si>
  <si>
    <t>HOA / year</t>
  </si>
  <si>
    <t>Electricity</t>
  </si>
  <si>
    <t>Nat Gas</t>
  </si>
  <si>
    <t>Water</t>
  </si>
  <si>
    <t>Mill Rate</t>
  </si>
  <si>
    <t>yearly</t>
  </si>
  <si>
    <t>Monthly Interest Payment on Purchase Price</t>
  </si>
  <si>
    <t>paymentNumber</t>
  </si>
  <si>
    <t>paymentDate</t>
  </si>
  <si>
    <t>startingBalance</t>
  </si>
  <si>
    <t>principalPayment</t>
  </si>
  <si>
    <t>interestPayment</t>
  </si>
  <si>
    <t>cumulativePrincipal</t>
  </si>
  <si>
    <t>cumulativeInterest</t>
  </si>
  <si>
    <t>endingBalance</t>
  </si>
  <si>
    <t>Principle Pay Down</t>
  </si>
  <si>
    <t>Interest Percent</t>
  </si>
  <si>
    <t>Principle / Year (Based on Amortization Schedule)</t>
  </si>
  <si>
    <t>Total Monthly Utilities</t>
  </si>
  <si>
    <t>Total Monthly(Interest+Principle+Prop Tax+Insurance)</t>
  </si>
  <si>
    <t>Total Monthly Payment</t>
  </si>
  <si>
    <t>Siding Repairs</t>
  </si>
  <si>
    <t>Miscellaneous (light fixtures/door knobs etc)</t>
  </si>
  <si>
    <t>Closing Costs (3%)</t>
  </si>
  <si>
    <t>One Time Costs at Closing (Closing+Down+HML)</t>
  </si>
  <si>
    <t>Repairs</t>
  </si>
  <si>
    <t>2921 Admiralty Bay</t>
  </si>
  <si>
    <t>asking price</t>
  </si>
  <si>
    <t>Location Location Location</t>
  </si>
  <si>
    <t>Driveway Re-Pave</t>
  </si>
  <si>
    <t>Permits</t>
  </si>
  <si>
    <t>Financials</t>
  </si>
  <si>
    <t>Cash On Cash Return (CoC)</t>
  </si>
  <si>
    <t>ROE (Return on Equity)</t>
  </si>
  <si>
    <t>ROI (Return on Investment)</t>
  </si>
  <si>
    <t>Profit ($)</t>
  </si>
  <si>
    <t>LTV (70%)</t>
  </si>
  <si>
    <t>ARV (80%)</t>
  </si>
  <si>
    <t>Total Holding Costs / Year</t>
  </si>
  <si>
    <t>Interest Only Payments</t>
  </si>
  <si>
    <t>Monthly Interest Payment on Loan Amount (Purchase - Down)</t>
  </si>
  <si>
    <t>Interest Only</t>
  </si>
  <si>
    <t>Total Holding - Interest Only Payments</t>
  </si>
  <si>
    <t>months</t>
  </si>
  <si>
    <t>Guest baths (2)</t>
  </si>
  <si>
    <t>4 bed 3 bath</t>
  </si>
  <si>
    <t>Miscellaneous (blinds, light fixtures, door knobs, deck etc)</t>
  </si>
  <si>
    <t>All In Price (Purchase+Repairs+Holding)</t>
  </si>
  <si>
    <t>Expected Holding Period</t>
  </si>
  <si>
    <t>Actual Holding Costs Interest Only</t>
  </si>
  <si>
    <t>Actual Holding Costs Total</t>
  </si>
  <si>
    <t>HELOC Interest</t>
  </si>
  <si>
    <t>Term</t>
  </si>
  <si>
    <t>30 years</t>
  </si>
  <si>
    <t>Monthly Payment</t>
  </si>
  <si>
    <t>r</t>
  </si>
  <si>
    <t>(1+r)^n</t>
  </si>
  <si>
    <t>Total Paid End of Loan</t>
  </si>
  <si>
    <t>Repairs/Management Fees</t>
  </si>
  <si>
    <t>Net Income</t>
  </si>
  <si>
    <t>Capital Contributions</t>
  </si>
  <si>
    <t>Total Investment (Purchase + Capital)</t>
  </si>
  <si>
    <t>Current Property Value</t>
  </si>
  <si>
    <t>Months Owned</t>
  </si>
  <si>
    <t>Timeline of Repair (yrs)</t>
  </si>
  <si>
    <t>Roof</t>
  </si>
  <si>
    <t>Monthly Cost</t>
  </si>
  <si>
    <t>Guest baths</t>
  </si>
  <si>
    <t>Total Cost (all 8 units)</t>
  </si>
  <si>
    <t>Cost per Unit (2000sqft each)</t>
  </si>
  <si>
    <t>Estimated CapEx</t>
  </si>
  <si>
    <t>Monthly Cash Flow</t>
  </si>
  <si>
    <t>Estimated Expenses</t>
  </si>
  <si>
    <t>Mortgage Payment</t>
  </si>
  <si>
    <t>Interest</t>
  </si>
  <si>
    <t>tenant pays</t>
  </si>
  <si>
    <t>Management Fees</t>
  </si>
  <si>
    <t>Building Maintenance</t>
  </si>
  <si>
    <t>Grounds Cleanup/Services Maintenance</t>
  </si>
  <si>
    <t>Mortgage Pay Down yr 1 (Based on Amortization Schedule)</t>
  </si>
  <si>
    <t>2023#s</t>
  </si>
  <si>
    <t>McCrae Road Condos</t>
  </si>
  <si>
    <t>Total Loan Amount</t>
  </si>
  <si>
    <t>Rules of Thumb</t>
  </si>
  <si>
    <t>50% Rule</t>
  </si>
  <si>
    <t>per month</t>
  </si>
  <si>
    <t>Vacancy</t>
  </si>
  <si>
    <t>Average Rent (8 units)</t>
  </si>
  <si>
    <t>monthly rent</t>
  </si>
  <si>
    <t>yearly rent</t>
  </si>
  <si>
    <t>Calculated Gross Revenue</t>
  </si>
  <si>
    <t>Actual Gross Revenue</t>
  </si>
  <si>
    <t>Cap Rate</t>
  </si>
  <si>
    <t>Yearly Cash Flow / Profit ($)</t>
  </si>
  <si>
    <t>2% Rule</t>
  </si>
  <si>
    <t>Total Montly, including Renovations/Reserves</t>
  </si>
  <si>
    <t>Down Payment + Mortgage Pay Down</t>
  </si>
  <si>
    <t>1930 Independence</t>
  </si>
  <si>
    <t>Average Rent (4 units)</t>
  </si>
  <si>
    <t>Trash Pickup</t>
  </si>
  <si>
    <t>Heloc Amount</t>
  </si>
  <si>
    <t>Payment</t>
  </si>
  <si>
    <t>Monthly Expenses</t>
  </si>
  <si>
    <t>Monthly Rent</t>
  </si>
  <si>
    <t>Rent - Expenses - Payment</t>
  </si>
  <si>
    <t>Interest Rate</t>
  </si>
  <si>
    <t>Down Payment</t>
  </si>
  <si>
    <t>Monthly Cash Flow (financed)</t>
  </si>
  <si>
    <t>Monthly Cash Flow (paid off)</t>
  </si>
  <si>
    <t>Monthly Payment HELOC</t>
  </si>
  <si>
    <t>DSCR</t>
  </si>
  <si>
    <t>years</t>
  </si>
  <si>
    <t>Northern Skies</t>
  </si>
  <si>
    <t>Current Rate</t>
  </si>
  <si>
    <t>Fixed/Variable</t>
  </si>
  <si>
    <t>Credit Union 1</t>
  </si>
  <si>
    <t>KeyBank</t>
  </si>
  <si>
    <t>80-85</t>
  </si>
  <si>
    <t>Variable</t>
  </si>
  <si>
    <t>When it adjusts</t>
  </si>
  <si>
    <t>With prime</t>
  </si>
  <si>
    <t>With prime/Quarterly - payment stays same, amount towards principle changes</t>
  </si>
  <si>
    <t>Terms</t>
  </si>
  <si>
    <t>20 yrs / 5yr draw</t>
  </si>
  <si>
    <t>15yr / 15yr draw</t>
  </si>
  <si>
    <t>20 yr / 10yr draw</t>
  </si>
  <si>
    <t>Credit Union 1 HELOAN</t>
  </si>
  <si>
    <t>Fixed</t>
  </si>
  <si>
    <t>20yr</t>
  </si>
  <si>
    <t>Appraisal</t>
  </si>
  <si>
    <t>KeyBank - HELOAN</t>
  </si>
  <si>
    <t>Included</t>
  </si>
  <si>
    <t>DTI</t>
  </si>
  <si>
    <t>&lt;43%</t>
  </si>
  <si>
    <t>$1000+Title Search ($700)</t>
  </si>
  <si>
    <r>
      <t xml:space="preserve">AVM - $150
Broker Opinion - $500
</t>
    </r>
    <r>
      <rPr>
        <b/>
        <sz val="11"/>
        <color theme="1"/>
        <rFont val="Calibri"/>
        <family val="2"/>
        <scheme val="minor"/>
      </rPr>
      <t>Used for &lt;$250k</t>
    </r>
  </si>
  <si>
    <t>LTV (%)</t>
  </si>
  <si>
    <t>Prepayment Penalties</t>
  </si>
  <si>
    <t>No</t>
  </si>
  <si>
    <t>Pre-Closing fee if within 36 months (appraisal that was waived)</t>
  </si>
  <si>
    <t>Option for interest only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</si>
</sst>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9" fontId="0" fillId="0" borderId="0" xfId="2" applyFont="1"/>
    <xf numFmtId="44" fontId="0" fillId="0" borderId="0" xfId="1" applyFont="1"/>
    <xf numFmtId="4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164" fontId="0" fillId="0" borderId="10" xfId="1" applyNumberFormat="1" applyFont="1" applyBorder="1"/>
    <xf numFmtId="10" fontId="0" fillId="0" borderId="0" xfId="2" applyNumberFormat="1" applyFont="1"/>
    <xf numFmtId="14" fontId="0" fillId="0" borderId="0" xfId="0" applyNumberFormat="1"/>
    <xf numFmtId="8" fontId="0" fillId="0" borderId="0" xfId="0" applyNumberFormat="1"/>
    <xf numFmtId="0" fontId="2" fillId="0" borderId="1" xfId="0" applyFont="1" applyBorder="1"/>
    <xf numFmtId="44" fontId="0" fillId="0" borderId="10" xfId="1" applyFont="1" applyBorder="1"/>
    <xf numFmtId="164" fontId="0" fillId="0" borderId="6" xfId="1" applyNumberFormat="1" applyFont="1" applyBorder="1"/>
    <xf numFmtId="164" fontId="0" fillId="0" borderId="4" xfId="1" applyNumberFormat="1" applyFont="1" applyBorder="1"/>
    <xf numFmtId="164" fontId="0" fillId="0" borderId="12" xfId="1" applyNumberFormat="1" applyFont="1" applyBorder="1"/>
    <xf numFmtId="164" fontId="0" fillId="0" borderId="0" xfId="0" applyNumberFormat="1"/>
    <xf numFmtId="44" fontId="0" fillId="0" borderId="0" xfId="1" applyFont="1" applyAlignment="1"/>
    <xf numFmtId="0" fontId="2" fillId="0" borderId="0" xfId="0" applyFont="1"/>
    <xf numFmtId="0" fontId="0" fillId="0" borderId="13" xfId="0" applyBorder="1"/>
    <xf numFmtId="164" fontId="0" fillId="0" borderId="2" xfId="1" applyNumberFormat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" xfId="0" applyBorder="1"/>
    <xf numFmtId="0" fontId="0" fillId="2" borderId="0" xfId="0" applyFill="1"/>
    <xf numFmtId="164" fontId="0" fillId="0" borderId="17" xfId="1" applyNumberFormat="1" applyFont="1" applyBorder="1"/>
    <xf numFmtId="164" fontId="0" fillId="0" borderId="17" xfId="0" applyNumberFormat="1" applyBorder="1"/>
    <xf numFmtId="0" fontId="0" fillId="0" borderId="18" xfId="0" applyBorder="1"/>
    <xf numFmtId="164" fontId="0" fillId="0" borderId="19" xfId="1" applyNumberFormat="1" applyFont="1" applyBorder="1"/>
    <xf numFmtId="164" fontId="0" fillId="0" borderId="20" xfId="1" applyNumberFormat="1" applyFont="1" applyBorder="1"/>
    <xf numFmtId="0" fontId="0" fillId="0" borderId="21" xfId="0" applyBorder="1"/>
    <xf numFmtId="164" fontId="0" fillId="0" borderId="23" xfId="1" applyNumberFormat="1" applyFont="1" applyBorder="1"/>
    <xf numFmtId="164" fontId="0" fillId="0" borderId="24" xfId="0" applyNumberFormat="1" applyBorder="1"/>
    <xf numFmtId="164" fontId="0" fillId="0" borderId="25" xfId="0" applyNumberFormat="1" applyBorder="1"/>
    <xf numFmtId="44" fontId="0" fillId="0" borderId="8" xfId="0" applyNumberFormat="1" applyBorder="1"/>
    <xf numFmtId="0" fontId="0" fillId="0" borderId="11" xfId="0" applyBorder="1" applyAlignment="1">
      <alignment wrapText="1"/>
    </xf>
    <xf numFmtId="164" fontId="0" fillId="0" borderId="24" xfId="1" applyNumberFormat="1" applyFont="1" applyBorder="1"/>
    <xf numFmtId="164" fontId="0" fillId="0" borderId="26" xfId="1" applyNumberFormat="1" applyFont="1" applyBorder="1"/>
    <xf numFmtId="0" fontId="0" fillId="0" borderId="7" xfId="0" applyBorder="1" applyAlignment="1">
      <alignment wrapText="1"/>
    </xf>
    <xf numFmtId="164" fontId="0" fillId="0" borderId="25" xfId="1" applyNumberFormat="1" applyFont="1" applyBorder="1"/>
    <xf numFmtId="164" fontId="0" fillId="0" borderId="8" xfId="1" applyNumberFormat="1" applyFont="1" applyBorder="1"/>
    <xf numFmtId="164" fontId="0" fillId="0" borderId="1" xfId="1" applyNumberFormat="1" applyFont="1" applyBorder="1"/>
    <xf numFmtId="44" fontId="0" fillId="0" borderId="20" xfId="1" applyFont="1" applyBorder="1"/>
    <xf numFmtId="44" fontId="0" fillId="0" borderId="4" xfId="1" applyFont="1" applyBorder="1"/>
    <xf numFmtId="44" fontId="0" fillId="0" borderId="23" xfId="1" applyFont="1" applyBorder="1"/>
    <xf numFmtId="0" fontId="0" fillId="0" borderId="19" xfId="0" applyBorder="1"/>
    <xf numFmtId="0" fontId="0" fillId="0" borderId="20" xfId="0" applyBorder="1"/>
    <xf numFmtId="44" fontId="0" fillId="0" borderId="21" xfId="1" applyFont="1" applyBorder="1" applyAlignment="1"/>
    <xf numFmtId="0" fontId="0" fillId="0" borderId="22" xfId="0" applyBorder="1"/>
    <xf numFmtId="2" fontId="0" fillId="0" borderId="25" xfId="0" applyNumberFormat="1" applyBorder="1"/>
    <xf numFmtId="44" fontId="0" fillId="0" borderId="25" xfId="1" applyFont="1" applyBorder="1"/>
    <xf numFmtId="2" fontId="0" fillId="0" borderId="0" xfId="2" applyNumberFormat="1" applyFont="1"/>
    <xf numFmtId="8" fontId="0" fillId="3" borderId="0" xfId="0" applyNumberFormat="1" applyFill="1"/>
    <xf numFmtId="8" fontId="0" fillId="4" borderId="0" xfId="0" applyNumberFormat="1" applyFill="1"/>
    <xf numFmtId="2" fontId="0" fillId="0" borderId="0" xfId="1" applyNumberFormat="1" applyFont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0" borderId="10" xfId="0" applyFont="1" applyBorder="1"/>
    <xf numFmtId="0" fontId="0" fillId="0" borderId="27" xfId="0" applyBorder="1" applyAlignment="1">
      <alignment horizontal="center" wrapText="1"/>
    </xf>
    <xf numFmtId="1" fontId="0" fillId="0" borderId="31" xfId="0" applyNumberFormat="1" applyBorder="1"/>
    <xf numFmtId="1" fontId="0" fillId="0" borderId="10" xfId="1" applyNumberFormat="1" applyFont="1" applyBorder="1"/>
    <xf numFmtId="0" fontId="0" fillId="0" borderId="14" xfId="0" applyBorder="1" applyAlignment="1">
      <alignment horizontal="left"/>
    </xf>
    <xf numFmtId="164" fontId="0" fillId="0" borderId="0" xfId="1" applyNumberFormat="1" applyFont="1" applyBorder="1"/>
    <xf numFmtId="10" fontId="0" fillId="0" borderId="0" xfId="2" applyNumberFormat="1" applyFont="1" applyBorder="1"/>
    <xf numFmtId="0" fontId="0" fillId="0" borderId="17" xfId="0" applyBorder="1"/>
    <xf numFmtId="0" fontId="0" fillId="0" borderId="17" xfId="0" applyBorder="1" applyAlignment="1">
      <alignment wrapText="1"/>
    </xf>
    <xf numFmtId="44" fontId="0" fillId="0" borderId="17" xfId="0" applyNumberFormat="1" applyBorder="1"/>
    <xf numFmtId="10" fontId="0" fillId="0" borderId="17" xfId="2" applyNumberFormat="1" applyFont="1" applyBorder="1"/>
    <xf numFmtId="1" fontId="0" fillId="0" borderId="0" xfId="1" applyNumberFormat="1" applyFont="1" applyBorder="1"/>
    <xf numFmtId="0" fontId="2" fillId="0" borderId="7" xfId="0" applyFont="1" applyBorder="1"/>
    <xf numFmtId="8" fontId="0" fillId="0" borderId="17" xfId="0" applyNumberFormat="1" applyBorder="1"/>
    <xf numFmtId="9" fontId="0" fillId="0" borderId="17" xfId="0" applyNumberFormat="1" applyBorder="1"/>
    <xf numFmtId="44" fontId="0" fillId="0" borderId="0" xfId="1" applyFont="1" applyBorder="1"/>
    <xf numFmtId="44" fontId="0" fillId="0" borderId="15" xfId="0" applyNumberFormat="1" applyBorder="1" applyAlignment="1">
      <alignment horizontal="center"/>
    </xf>
    <xf numFmtId="0" fontId="2" fillId="0" borderId="17" xfId="0" applyFont="1" applyBorder="1"/>
    <xf numFmtId="9" fontId="0" fillId="0" borderId="17" xfId="2" applyFont="1" applyBorder="1"/>
    <xf numFmtId="165" fontId="0" fillId="0" borderId="17" xfId="2" applyNumberFormat="1" applyFont="1" applyBorder="1"/>
    <xf numFmtId="164" fontId="0" fillId="2" borderId="17" xfId="1" applyNumberFormat="1" applyFont="1" applyFill="1" applyBorder="1"/>
    <xf numFmtId="8" fontId="0" fillId="0" borderId="17" xfId="1" applyNumberFormat="1" applyFont="1" applyBorder="1"/>
    <xf numFmtId="44" fontId="2" fillId="0" borderId="17" xfId="0" applyNumberFormat="1" applyFont="1" applyBorder="1"/>
    <xf numFmtId="44" fontId="0" fillId="0" borderId="17" xfId="1" applyFont="1" applyBorder="1"/>
    <xf numFmtId="0" fontId="0" fillId="0" borderId="32" xfId="0" applyBorder="1"/>
    <xf numFmtId="44" fontId="0" fillId="0" borderId="33" xfId="1" applyFont="1" applyBorder="1"/>
    <xf numFmtId="165" fontId="0" fillId="0" borderId="15" xfId="2" applyNumberFormat="1" applyFont="1" applyBorder="1"/>
    <xf numFmtId="44" fontId="0" fillId="0" borderId="2" xfId="0" applyNumberFormat="1" applyBorder="1"/>
    <xf numFmtId="164" fontId="0" fillId="0" borderId="17" xfId="1" applyNumberFormat="1" applyFont="1" applyFill="1" applyBorder="1"/>
    <xf numFmtId="166" fontId="0" fillId="0" borderId="0" xfId="2" applyNumberFormat="1" applyFont="1"/>
    <xf numFmtId="2" fontId="0" fillId="0" borderId="0" xfId="0" applyNumberFormat="1"/>
    <xf numFmtId="164" fontId="0" fillId="0" borderId="0" xfId="1" applyNumberFormat="1" applyFont="1" applyAlignment="1">
      <alignment horizontal="left"/>
    </xf>
    <xf numFmtId="10" fontId="0" fillId="2" borderId="0" xfId="2" applyNumberFormat="1" applyFont="1" applyFill="1"/>
    <xf numFmtId="9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HELOC Amortization Schedule 11/13/2022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'1930 Independence Amortization'!$C$5</c:f>
              <c:strCache>
                <c:ptCount val="1"/>
                <c:pt idx="0">
                  <c:v>startingBalance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'1930 Independence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Independence Amortization'!$C$6:$C$365</c:f>
              <c:numCache>
                <c:formatCode>"$"#,##0.00_);[Red]\("$"#,##0.00\)</c:formatCode>
                <c:ptCount val="360"/>
                <c:pt idx="0" formatCode="_(&quot;$&quot;* #,##0.00_);_(&quot;$&quot;* \(#,##0.00\);_(&quot;$&quot;* &quot;-&quot;??_);_(@_)">
                  <c:v>700000</c:v>
                </c:pt>
                <c:pt idx="1">
                  <c:v>699500.94544977811</c:v>
                </c:pt>
                <c:pt idx="2">
                  <c:v>698998.68863285892</c:v>
                </c:pt>
                <c:pt idx="3">
                  <c:v>698493.20900136454</c:v>
                </c:pt>
                <c:pt idx="4">
                  <c:v>697984.485875568</c:v>
                </c:pt>
                <c:pt idx="5">
                  <c:v>697472.49844304763</c:v>
                </c:pt>
                <c:pt idx="6">
                  <c:v>696957.2257578352</c:v>
                </c:pt>
                <c:pt idx="7">
                  <c:v>696438.64673955936</c:v>
                </c:pt>
                <c:pt idx="8">
                  <c:v>695916.74017258291</c:v>
                </c:pt>
                <c:pt idx="9">
                  <c:v>695391.48470513499</c:v>
                </c:pt>
                <c:pt idx="10">
                  <c:v>694862.85884843767</c:v>
                </c:pt>
                <c:pt idx="11">
                  <c:v>694330.84097582649</c:v>
                </c:pt>
                <c:pt idx="12">
                  <c:v>693795.40932186611</c:v>
                </c:pt>
                <c:pt idx="13">
                  <c:v>693256.54198145948</c:v>
                </c:pt>
                <c:pt idx="14">
                  <c:v>692714.21690895187</c:v>
                </c:pt>
                <c:pt idx="15">
                  <c:v>692168.41191722907</c:v>
                </c:pt>
                <c:pt idx="16">
                  <c:v>691619.10467680939</c:v>
                </c:pt>
                <c:pt idx="17">
                  <c:v>691066.27271493035</c:v>
                </c:pt>
                <c:pt idx="18">
                  <c:v>690509.89341462916</c:v>
                </c:pt>
                <c:pt idx="19">
                  <c:v>689949.9440138177</c:v>
                </c:pt>
                <c:pt idx="20">
                  <c:v>689386.40160435112</c:v>
                </c:pt>
                <c:pt idx="21">
                  <c:v>688819.24313109042</c:v>
                </c:pt>
                <c:pt idx="22">
                  <c:v>688248.44539095962</c:v>
                </c:pt>
                <c:pt idx="23">
                  <c:v>687673.98503199639</c:v>
                </c:pt>
                <c:pt idx="24">
                  <c:v>687095.8385523964</c:v>
                </c:pt>
                <c:pt idx="25">
                  <c:v>686513.9822995523</c:v>
                </c:pt>
                <c:pt idx="26">
                  <c:v>685928.39246908587</c:v>
                </c:pt>
                <c:pt idx="27">
                  <c:v>685339.04510387394</c:v>
                </c:pt>
                <c:pt idx="28">
                  <c:v>684745.91609306855</c:v>
                </c:pt>
                <c:pt idx="29">
                  <c:v>684148.98117111041</c:v>
                </c:pt>
                <c:pt idx="30">
                  <c:v>683548.2159167364</c:v>
                </c:pt>
                <c:pt idx="31">
                  <c:v>682943.5957519802</c:v>
                </c:pt>
                <c:pt idx="32">
                  <c:v>682335.09594116674</c:v>
                </c:pt>
                <c:pt idx="33">
                  <c:v>681722.69158990064</c:v>
                </c:pt>
                <c:pt idx="34">
                  <c:v>681106.35764404724</c:v>
                </c:pt>
                <c:pt idx="35">
                  <c:v>680486.0688887079</c:v>
                </c:pt>
                <c:pt idx="36">
                  <c:v>679861.79994718847</c:v>
                </c:pt>
                <c:pt idx="37">
                  <c:v>679233.52527996094</c:v>
                </c:pt>
                <c:pt idx="38">
                  <c:v>678601.21918361878</c:v>
                </c:pt>
                <c:pt idx="39">
                  <c:v>677964.85578982509</c:v>
                </c:pt>
                <c:pt idx="40">
                  <c:v>677324.40906425449</c:v>
                </c:pt>
                <c:pt idx="41">
                  <c:v>676679.85280552821</c:v>
                </c:pt>
                <c:pt idx="42">
                  <c:v>676031.16064414172</c:v>
                </c:pt>
                <c:pt idx="43">
                  <c:v>675378.30604138633</c:v>
                </c:pt>
                <c:pt idx="44">
                  <c:v>674721.2622882633</c:v>
                </c:pt>
                <c:pt idx="45">
                  <c:v>674060.00250439101</c:v>
                </c:pt>
                <c:pt idx="46">
                  <c:v>673394.49963690562</c:v>
                </c:pt>
                <c:pt idx="47">
                  <c:v>672724.72645935381</c:v>
                </c:pt>
                <c:pt idx="48">
                  <c:v>672050.65557057934</c:v>
                </c:pt>
                <c:pt idx="49">
                  <c:v>671372.25939360191</c:v>
                </c:pt>
                <c:pt idx="50">
                  <c:v>670689.51017448888</c:v>
                </c:pt>
                <c:pt idx="51">
                  <c:v>670002.37998121988</c:v>
                </c:pt>
                <c:pt idx="52">
                  <c:v>669310.84070254408</c:v>
                </c:pt>
                <c:pt idx="53">
                  <c:v>668614.8640468301</c:v>
                </c:pt>
                <c:pt idx="54">
                  <c:v>667914.42154090863</c:v>
                </c:pt>
                <c:pt idx="55">
                  <c:v>667209.48452890757</c:v>
                </c:pt>
                <c:pt idx="56">
                  <c:v>666500.02417107951</c:v>
                </c:pt>
                <c:pt idx="57">
                  <c:v>665786.01144262194</c:v>
                </c:pt>
                <c:pt idx="58">
                  <c:v>665067.4171324902</c:v>
                </c:pt>
                <c:pt idx="59">
                  <c:v>664344.21184220177</c:v>
                </c:pt>
                <c:pt idx="60">
                  <c:v>663616.36598463391</c:v>
                </c:pt>
                <c:pt idx="61">
                  <c:v>662883.84978281334</c:v>
                </c:pt>
                <c:pt idx="62">
                  <c:v>662146.63326869777</c:v>
                </c:pt>
                <c:pt idx="63">
                  <c:v>661404.68628194998</c:v>
                </c:pt>
                <c:pt idx="64">
                  <c:v>660657.97846870392</c:v>
                </c:pt>
                <c:pt idx="65">
                  <c:v>659906.47928032279</c:v>
                </c:pt>
                <c:pt idx="66">
                  <c:v>659150.15797214955</c:v>
                </c:pt>
                <c:pt idx="67">
                  <c:v>658388.98360224895</c:v>
                </c:pt>
                <c:pt idx="68">
                  <c:v>657622.92503014149</c:v>
                </c:pt>
                <c:pt idx="69">
                  <c:v>656851.95091552963</c:v>
                </c:pt>
                <c:pt idx="70">
                  <c:v>656076.02971701568</c:v>
                </c:pt>
                <c:pt idx="71">
                  <c:v>655295.12969081127</c:v>
                </c:pt>
                <c:pt idx="72">
                  <c:v>654509.21888943866</c:v>
                </c:pt>
                <c:pt idx="73">
                  <c:v>653718.26516042394</c:v>
                </c:pt>
                <c:pt idx="74">
                  <c:v>652922.23614498135</c:v>
                </c:pt>
                <c:pt idx="75">
                  <c:v>652121.0992766897</c:v>
                </c:pt>
                <c:pt idx="76">
                  <c:v>651314.82178015984</c:v>
                </c:pt>
                <c:pt idx="77">
                  <c:v>650503.37066969392</c:v>
                </c:pt>
                <c:pt idx="78">
                  <c:v>649686.71274793579</c:v>
                </c:pt>
                <c:pt idx="79">
                  <c:v>648864.81460451311</c:v>
                </c:pt>
                <c:pt idx="80">
                  <c:v>648037.6426146701</c:v>
                </c:pt>
                <c:pt idx="81">
                  <c:v>647205.16293789225</c:v>
                </c:pt>
                <c:pt idx="82">
                  <c:v>646367.34151652176</c:v>
                </c:pt>
                <c:pt idx="83">
                  <c:v>645524.14407436422</c:v>
                </c:pt>
                <c:pt idx="84">
                  <c:v>644675.53611528606</c:v>
                </c:pt>
                <c:pt idx="85">
                  <c:v>643821.48292180384</c:v>
                </c:pt>
                <c:pt idx="86">
                  <c:v>642961.94955366349</c:v>
                </c:pt>
                <c:pt idx="87">
                  <c:v>642096.90084641089</c:v>
                </c:pt>
                <c:pt idx="88">
                  <c:v>641226.30140995339</c:v>
                </c:pt>
                <c:pt idx="89">
                  <c:v>640350.11562711198</c:v>
                </c:pt>
                <c:pt idx="90">
                  <c:v>639468.30765216402</c:v>
                </c:pt>
                <c:pt idx="91">
                  <c:v>638580.84140937682</c:v>
                </c:pt>
                <c:pt idx="92">
                  <c:v>637687.68059153168</c:v>
                </c:pt>
                <c:pt idx="93">
                  <c:v>636788.78865843872</c:v>
                </c:pt>
                <c:pt idx="94">
                  <c:v>635884.12883544178</c:v>
                </c:pt>
                <c:pt idx="95">
                  <c:v>634973.66411191388</c:v>
                </c:pt>
                <c:pt idx="96">
                  <c:v>634057.35723974335</c:v>
                </c:pt>
                <c:pt idx="97">
                  <c:v>633135.17073180981</c:v>
                </c:pt>
                <c:pt idx="98">
                  <c:v>632207.06686045032</c:v>
                </c:pt>
                <c:pt idx="99">
                  <c:v>631273.00765591627</c:v>
                </c:pt>
                <c:pt idx="100">
                  <c:v>630332.95490481984</c:v>
                </c:pt>
                <c:pt idx="101">
                  <c:v>629386.87014857051</c:v>
                </c:pt>
                <c:pt idx="102">
                  <c:v>628434.71468180185</c:v>
                </c:pt>
                <c:pt idx="103">
                  <c:v>627476.44955078815</c:v>
                </c:pt>
                <c:pt idx="104">
                  <c:v>626512.03555185045</c:v>
                </c:pt>
                <c:pt idx="105">
                  <c:v>625541.43322975293</c:v>
                </c:pt>
                <c:pt idx="106">
                  <c:v>624564.60287608858</c:v>
                </c:pt>
                <c:pt idx="107">
                  <c:v>623581.50452765485</c:v>
                </c:pt>
                <c:pt idx="108">
                  <c:v>622592.09796481871</c:v>
                </c:pt>
                <c:pt idx="109">
                  <c:v>621596.34270987101</c:v>
                </c:pt>
                <c:pt idx="110">
                  <c:v>620594.19802537072</c:v>
                </c:pt>
                <c:pt idx="111">
                  <c:v>619585.62291247828</c:v>
                </c:pt>
                <c:pt idx="112">
                  <c:v>618570.57610927802</c:v>
                </c:pt>
                <c:pt idx="113">
                  <c:v>617549.01608909061</c:v>
                </c:pt>
                <c:pt idx="114">
                  <c:v>616520.90105877363</c:v>
                </c:pt>
                <c:pt idx="115">
                  <c:v>615486.18895701214</c:v>
                </c:pt>
                <c:pt idx="116">
                  <c:v>614444.83745259768</c:v>
                </c:pt>
                <c:pt idx="117">
                  <c:v>613396.80394269654</c:v>
                </c:pt>
                <c:pt idx="118">
                  <c:v>612342.04555110692</c:v>
                </c:pt>
                <c:pt idx="119">
                  <c:v>611280.51912650454</c:v>
                </c:pt>
                <c:pt idx="120">
                  <c:v>610212.18124067772</c:v>
                </c:pt>
                <c:pt idx="121">
                  <c:v>609136.9881867501</c:v>
                </c:pt>
                <c:pt idx="122">
                  <c:v>608054.89597739314</c:v>
                </c:pt>
                <c:pt idx="123">
                  <c:v>606965.86034302611</c:v>
                </c:pt>
                <c:pt idx="124">
                  <c:v>605869.83673000522</c:v>
                </c:pt>
                <c:pt idx="125">
                  <c:v>604766.78029880079</c:v>
                </c:pt>
                <c:pt idx="126">
                  <c:v>603656.6459221628</c:v>
                </c:pt>
                <c:pt idx="127">
                  <c:v>602539.38818327477</c:v>
                </c:pt>
                <c:pt idx="128">
                  <c:v>601414.96137389552</c:v>
                </c:pt>
                <c:pt idx="129">
                  <c:v>600283.31949248945</c:v>
                </c:pt>
                <c:pt idx="130">
                  <c:v>599144.4162423443</c:v>
                </c:pt>
                <c:pt idx="131">
                  <c:v>597998.20502967737</c:v>
                </c:pt>
                <c:pt idx="132">
                  <c:v>596844.63896172913</c:v>
                </c:pt>
                <c:pt idx="133">
                  <c:v>595683.67084484489</c:v>
                </c:pt>
                <c:pt idx="134">
                  <c:v>594515.25318254402</c:v>
                </c:pt>
                <c:pt idx="135">
                  <c:v>593339.33817357675</c:v>
                </c:pt>
                <c:pt idx="136">
                  <c:v>592155.8777099686</c:v>
                </c:pt>
                <c:pt idx="137">
                  <c:v>590964.82337505231</c:v>
                </c:pt>
                <c:pt idx="138">
                  <c:v>589766.12644148699</c:v>
                </c:pt>
                <c:pt idx="139">
                  <c:v>588559.73786926456</c:v>
                </c:pt>
                <c:pt idx="140">
                  <c:v>587345.60830370372</c:v>
                </c:pt>
                <c:pt idx="141">
                  <c:v>586123.68807343056</c:v>
                </c:pt>
                <c:pt idx="142">
                  <c:v>584893.92718834651</c:v>
                </c:pt>
                <c:pt idx="143">
                  <c:v>583656.27533758315</c:v>
                </c:pt>
                <c:pt idx="144">
                  <c:v>582410.68188744399</c:v>
                </c:pt>
                <c:pt idx="145">
                  <c:v>581157.09587933309</c:v>
                </c:pt>
                <c:pt idx="146">
                  <c:v>579895.46602767019</c:v>
                </c:pt>
                <c:pt idx="147">
                  <c:v>578625.74071779242</c:v>
                </c:pt>
                <c:pt idx="148">
                  <c:v>577347.868003843</c:v>
                </c:pt>
                <c:pt idx="149">
                  <c:v>576061.79560664576</c:v>
                </c:pt>
                <c:pt idx="150">
                  <c:v>574767.4709115664</c:v>
                </c:pt>
                <c:pt idx="151">
                  <c:v>573464.84096636029</c:v>
                </c:pt>
                <c:pt idx="152">
                  <c:v>572153.85247900581</c:v>
                </c:pt>
                <c:pt idx="153">
                  <c:v>570834.45181552414</c:v>
                </c:pt>
                <c:pt idx="154">
                  <c:v>569506.58499778516</c:v>
                </c:pt>
                <c:pt idx="155">
                  <c:v>568170.19770129898</c:v>
                </c:pt>
                <c:pt idx="156">
                  <c:v>566825.23525299365</c:v>
                </c:pt>
                <c:pt idx="157">
                  <c:v>565471.64262897836</c:v>
                </c:pt>
                <c:pt idx="158">
                  <c:v>564109.36445229233</c:v>
                </c:pt>
                <c:pt idx="159">
                  <c:v>562738.34499063925</c:v>
                </c:pt>
                <c:pt idx="160">
                  <c:v>561358.52815410728</c:v>
                </c:pt>
                <c:pt idx="161">
                  <c:v>559969.85749287414</c:v>
                </c:pt>
                <c:pt idx="162">
                  <c:v>558572.27619489818</c:v>
                </c:pt>
                <c:pt idx="163">
                  <c:v>557165.72708359349</c:v>
                </c:pt>
                <c:pt idx="164">
                  <c:v>555750.1526154913</c:v>
                </c:pt>
                <c:pt idx="165">
                  <c:v>554325.49487788545</c:v>
                </c:pt>
                <c:pt idx="166">
                  <c:v>552891.69558646332</c:v>
                </c:pt>
                <c:pt idx="167">
                  <c:v>551448.69608292123</c:v>
                </c:pt>
                <c:pt idx="168">
                  <c:v>549996.43733256473</c:v>
                </c:pt>
                <c:pt idx="169">
                  <c:v>548534.85992189345</c:v>
                </c:pt>
                <c:pt idx="170">
                  <c:v>547063.90405617037</c:v>
                </c:pt>
                <c:pt idx="171">
                  <c:v>545583.50955697556</c:v>
                </c:pt>
                <c:pt idx="172">
                  <c:v>544093.61585974426</c:v>
                </c:pt>
                <c:pt idx="173">
                  <c:v>542594.16201128904</c:v>
                </c:pt>
                <c:pt idx="174">
                  <c:v>541085.08666730614</c:v>
                </c:pt>
                <c:pt idx="175">
                  <c:v>539566.32808986609</c:v>
                </c:pt>
                <c:pt idx="176">
                  <c:v>538037.82414488751</c:v>
                </c:pt>
                <c:pt idx="177">
                  <c:v>536499.51229959528</c:v>
                </c:pt>
                <c:pt idx="178">
                  <c:v>534951.32961996237</c:v>
                </c:pt>
                <c:pt idx="179">
                  <c:v>533393.21276813524</c:v>
                </c:pt>
                <c:pt idx="180">
                  <c:v>531825.09799984214</c:v>
                </c:pt>
                <c:pt idx="181">
                  <c:v>530246.92116178584</c:v>
                </c:pt>
                <c:pt idx="182">
                  <c:v>528658.61768901872</c:v>
                </c:pt>
                <c:pt idx="183">
                  <c:v>527060.1226023013</c:v>
                </c:pt>
                <c:pt idx="184">
                  <c:v>525451.37050544412</c:v>
                </c:pt>
                <c:pt idx="185">
                  <c:v>523832.29558263213</c:v>
                </c:pt>
                <c:pt idx="186">
                  <c:v>522202.83159573207</c:v>
                </c:pt>
                <c:pt idx="187">
                  <c:v>520562.91188158275</c:v>
                </c:pt>
                <c:pt idx="188">
                  <c:v>518912.4693492676</c:v>
                </c:pt>
                <c:pt idx="189">
                  <c:v>517251.43647737009</c:v>
                </c:pt>
                <c:pt idx="190">
                  <c:v>515579.74531121127</c:v>
                </c:pt>
                <c:pt idx="191">
                  <c:v>513897.32746006962</c:v>
                </c:pt>
                <c:pt idx="192">
                  <c:v>512204.11409438314</c:v>
                </c:pt>
                <c:pt idx="193">
                  <c:v>510500.03594293346</c:v>
                </c:pt>
                <c:pt idx="194">
                  <c:v>508785.02329001203</c:v>
                </c:pt>
                <c:pt idx="195">
                  <c:v>507059.00597256765</c:v>
                </c:pt>
                <c:pt idx="196">
                  <c:v>505321.91337733634</c:v>
                </c:pt>
                <c:pt idx="197">
                  <c:v>503573.67443795229</c:v>
                </c:pt>
                <c:pt idx="198">
                  <c:v>501814.21763204056</c:v>
                </c:pt>
                <c:pt idx="199">
                  <c:v>500043.47097829089</c:v>
                </c:pt>
                <c:pt idx="200">
                  <c:v>498261.36203351297</c:v>
                </c:pt>
                <c:pt idx="201">
                  <c:v>496467.8178896727</c:v>
                </c:pt>
                <c:pt idx="202">
                  <c:v>494662.76517090946</c:v>
                </c:pt>
                <c:pt idx="203">
                  <c:v>492846.13003053417</c:v>
                </c:pt>
                <c:pt idx="204">
                  <c:v>491017.83814800816</c:v>
                </c:pt>
                <c:pt idx="205">
                  <c:v>489177.81472590257</c:v>
                </c:pt>
                <c:pt idx="206">
                  <c:v>487325.98448683851</c:v>
                </c:pt>
                <c:pt idx="207">
                  <c:v>485462.27167040709</c:v>
                </c:pt>
                <c:pt idx="208">
                  <c:v>483586.60003007029</c:v>
                </c:pt>
                <c:pt idx="209">
                  <c:v>481698.8928300413</c:v>
                </c:pt>
                <c:pt idx="210">
                  <c:v>479799.07284214546</c:v>
                </c:pt>
                <c:pt idx="211">
                  <c:v>477887.06234266062</c:v>
                </c:pt>
                <c:pt idx="212">
                  <c:v>475962.78310913744</c:v>
                </c:pt>
                <c:pt idx="213">
                  <c:v>474026.15641719912</c:v>
                </c:pt>
                <c:pt idx="214">
                  <c:v>472077.10303732089</c:v>
                </c:pt>
                <c:pt idx="215">
                  <c:v>470115.54323158844</c:v>
                </c:pt>
                <c:pt idx="216">
                  <c:v>468141.39675043587</c:v>
                </c:pt>
                <c:pt idx="217">
                  <c:v>466154.58282936254</c:v>
                </c:pt>
                <c:pt idx="218">
                  <c:v>464155.02018562902</c:v>
                </c:pt>
                <c:pt idx="219">
                  <c:v>462142.62701493152</c:v>
                </c:pt>
                <c:pt idx="220">
                  <c:v>460117.32098805538</c:v>
                </c:pt>
                <c:pt idx="221">
                  <c:v>458079.0192475068</c:v>
                </c:pt>
                <c:pt idx="222">
                  <c:v>456027.63840412302</c:v>
                </c:pt>
                <c:pt idx="223">
                  <c:v>453963.09453366086</c:v>
                </c:pt>
                <c:pt idx="224">
                  <c:v>451885.30317336321</c:v>
                </c:pt>
                <c:pt idx="225">
                  <c:v>449794.17931850365</c:v>
                </c:pt>
                <c:pt idx="226">
                  <c:v>447689.63741890877</c:v>
                </c:pt>
                <c:pt idx="227">
                  <c:v>445571.59137545817</c:v>
                </c:pt>
                <c:pt idx="228">
                  <c:v>443439.95453656209</c:v>
                </c:pt>
                <c:pt idx="229">
                  <c:v>441294.63969461643</c:v>
                </c:pt>
                <c:pt idx="230">
                  <c:v>439135.55908243492</c:v>
                </c:pt>
                <c:pt idx="231">
                  <c:v>436962.62436965859</c:v>
                </c:pt>
                <c:pt idx="232">
                  <c:v>434775.74665914197</c:v>
                </c:pt>
                <c:pt idx="233">
                  <c:v>432574.8364833162</c:v>
                </c:pt>
                <c:pt idx="234">
                  <c:v>430359.80380052887</c:v>
                </c:pt>
                <c:pt idx="235">
                  <c:v>428130.55799136031</c:v>
                </c:pt>
                <c:pt idx="236">
                  <c:v>425887.00785491627</c:v>
                </c:pt>
                <c:pt idx="237">
                  <c:v>423629.06160509668</c:v>
                </c:pt>
                <c:pt idx="238">
                  <c:v>421356.62686684076</c:v>
                </c:pt>
                <c:pt idx="239">
                  <c:v>419069.61067234771</c:v>
                </c:pt>
                <c:pt idx="240">
                  <c:v>416767.91945727332</c:v>
                </c:pt>
                <c:pt idx="241">
                  <c:v>414451.45905690221</c:v>
                </c:pt>
                <c:pt idx="242">
                  <c:v>412120.13470229541</c:v>
                </c:pt>
                <c:pt idx="243">
                  <c:v>409773.85101641319</c:v>
                </c:pt>
                <c:pt idx="244">
                  <c:v>407412.51201021322</c:v>
                </c:pt>
                <c:pt idx="245">
                  <c:v>405036.02107872348</c:v>
                </c:pt>
                <c:pt idx="246">
                  <c:v>402644.28099709004</c:v>
                </c:pt>
                <c:pt idx="247">
                  <c:v>400237.19391659944</c:v>
                </c:pt>
                <c:pt idx="248">
                  <c:v>397814.6613606757</c:v>
                </c:pt>
                <c:pt idx="249">
                  <c:v>395376.58422085142</c:v>
                </c:pt>
                <c:pt idx="250">
                  <c:v>392922.86275271326</c:v>
                </c:pt>
                <c:pt idx="251">
                  <c:v>390453.39657182124</c:v>
                </c:pt>
                <c:pt idx="252">
                  <c:v>387968.08464960183</c:v>
                </c:pt>
                <c:pt idx="253">
                  <c:v>385466.82530921482</c:v>
                </c:pt>
                <c:pt idx="254">
                  <c:v>382949.51622139366</c:v>
                </c:pt>
                <c:pt idx="255">
                  <c:v>380416.05440025899</c:v>
                </c:pt>
                <c:pt idx="256">
                  <c:v>377866.33619910537</c:v>
                </c:pt>
                <c:pt idx="257">
                  <c:v>375300.25730616099</c:v>
                </c:pt>
                <c:pt idx="258">
                  <c:v>372717.71274032025</c:v>
                </c:pt>
                <c:pt idx="259">
                  <c:v>370118.59684684867</c:v>
                </c:pt>
                <c:pt idx="260">
                  <c:v>367502.80329306069</c:v>
                </c:pt>
                <c:pt idx="261">
                  <c:v>364870.22506396921</c:v>
                </c:pt>
                <c:pt idx="262">
                  <c:v>362220.75445790775</c:v>
                </c:pt>
                <c:pt idx="263">
                  <c:v>359554.28308212402</c:v>
                </c:pt>
                <c:pt idx="264">
                  <c:v>356870.70184834569</c:v>
                </c:pt>
                <c:pt idx="265">
                  <c:v>354169.90096831729</c:v>
                </c:pt>
                <c:pt idx="266">
                  <c:v>351451.76994930871</c:v>
                </c:pt>
                <c:pt idx="267">
                  <c:v>348716.19758959481</c:v>
                </c:pt>
                <c:pt idx="268">
                  <c:v>345963.07197390607</c:v>
                </c:pt>
                <c:pt idx="269">
                  <c:v>343192.28046885005</c:v>
                </c:pt>
                <c:pt idx="270">
                  <c:v>340403.70971830323</c:v>
                </c:pt>
                <c:pt idx="271">
                  <c:v>337597.24563877372</c:v>
                </c:pt>
                <c:pt idx="272">
                  <c:v>334772.77341473388</c:v>
                </c:pt>
                <c:pt idx="273">
                  <c:v>331930.17749392317</c:v>
                </c:pt>
                <c:pt idx="274">
                  <c:v>329069.34158262057</c:v>
                </c:pt>
                <c:pt idx="275">
                  <c:v>326190.14864088711</c:v>
                </c:pt>
                <c:pt idx="276">
                  <c:v>323292.4808777775</c:v>
                </c:pt>
                <c:pt idx="277">
                  <c:v>320376.21974652132</c:v>
                </c:pt>
                <c:pt idx="278">
                  <c:v>317441.24593967287</c:v>
                </c:pt>
                <c:pt idx="279">
                  <c:v>314487.43938423047</c:v>
                </c:pt>
                <c:pt idx="280">
                  <c:v>311514.67923672398</c:v>
                </c:pt>
                <c:pt idx="281">
                  <c:v>308522.843878271</c:v>
                </c:pt>
                <c:pt idx="282">
                  <c:v>305511.81090960128</c:v>
                </c:pt>
                <c:pt idx="283">
                  <c:v>302481.45714604924</c:v>
                </c:pt>
                <c:pt idx="284">
                  <c:v>299431.65861251444</c:v>
                </c:pt>
                <c:pt idx="285">
                  <c:v>296362.29053838947</c:v>
                </c:pt>
                <c:pt idx="286">
                  <c:v>293273.22735245555</c:v>
                </c:pt>
                <c:pt idx="287">
                  <c:v>290164.34267774521</c:v>
                </c:pt>
                <c:pt idx="288">
                  <c:v>287035.50932637212</c:v>
                </c:pt>
                <c:pt idx="289">
                  <c:v>283886.59929432772</c:v>
                </c:pt>
                <c:pt idx="290">
                  <c:v>280717.48375624436</c:v>
                </c:pt>
                <c:pt idx="291">
                  <c:v>277528.03306012496</c:v>
                </c:pt>
                <c:pt idx="292">
                  <c:v>274318.11672203883</c:v>
                </c:pt>
                <c:pt idx="293">
                  <c:v>271087.6034207833</c:v>
                </c:pt>
                <c:pt idx="294">
                  <c:v>267836.36099251139</c:v>
                </c:pt>
                <c:pt idx="295">
                  <c:v>264564.25642532471</c:v>
                </c:pt>
                <c:pt idx="296">
                  <c:v>261271.15585383194</c:v>
                </c:pt>
                <c:pt idx="297">
                  <c:v>257956.92455367208</c:v>
                </c:pt>
                <c:pt idx="298">
                  <c:v>254621.42693600286</c:v>
                </c:pt>
                <c:pt idx="299">
                  <c:v>251264.52654195359</c:v>
                </c:pt>
                <c:pt idx="300">
                  <c:v>247886.08603704252</c:v>
                </c:pt>
                <c:pt idx="301">
                  <c:v>244485.96720555826</c:v>
                </c:pt>
                <c:pt idx="302">
                  <c:v>241064.0309449053</c:v>
                </c:pt>
                <c:pt idx="303">
                  <c:v>237620.13725991317</c:v>
                </c:pt>
                <c:pt idx="304">
                  <c:v>234154.14525710899</c:v>
                </c:pt>
                <c:pt idx="305">
                  <c:v>230665.9131389535</c:v>
                </c:pt>
                <c:pt idx="306">
                  <c:v>227155.29819803985</c:v>
                </c:pt>
                <c:pt idx="307">
                  <c:v>223622.15681125532</c:v>
                </c:pt>
                <c:pt idx="308">
                  <c:v>220066.34443390559</c:v>
                </c:pt>
                <c:pt idx="309">
                  <c:v>216487.7155938012</c:v>
                </c:pt>
                <c:pt idx="310">
                  <c:v>212886.12388530615</c:v>
                </c:pt>
                <c:pt idx="311">
                  <c:v>209261.42196334826</c:v>
                </c:pt>
                <c:pt idx="312">
                  <c:v>205613.46153739112</c:v>
                </c:pt>
                <c:pt idx="313">
                  <c:v>201942.09336536744</c:v>
                </c:pt>
                <c:pt idx="314">
                  <c:v>198247.16724757326</c:v>
                </c:pt>
                <c:pt idx="315">
                  <c:v>194528.53202052324</c:v>
                </c:pt>
                <c:pt idx="316">
                  <c:v>190786.03555076633</c:v>
                </c:pt>
                <c:pt idx="317">
                  <c:v>187019.52472866181</c:v>
                </c:pt>
                <c:pt idx="318">
                  <c:v>183228.84546211545</c:v>
                </c:pt>
                <c:pt idx="319">
                  <c:v>179413.84267027542</c:v>
                </c:pt>
                <c:pt idx="320">
                  <c:v>175574.36027718775</c:v>
                </c:pt>
                <c:pt idx="321">
                  <c:v>171710.24120541109</c:v>
                </c:pt>
                <c:pt idx="322">
                  <c:v>167821.32736959052</c:v>
                </c:pt>
                <c:pt idx="323">
                  <c:v>163907.45966999012</c:v>
                </c:pt>
                <c:pt idx="324">
                  <c:v>159968.47798598395</c:v>
                </c:pt>
                <c:pt idx="325">
                  <c:v>156004.22116950538</c:v>
                </c:pt>
                <c:pt idx="326">
                  <c:v>152014.52703845443</c:v>
                </c:pt>
                <c:pt idx="327">
                  <c:v>147999.23237006256</c:v>
                </c:pt>
                <c:pt idx="328">
                  <c:v>143958.17289421518</c:v>
                </c:pt>
                <c:pt idx="329">
                  <c:v>139891.18328673113</c:v>
                </c:pt>
                <c:pt idx="330">
                  <c:v>135798.09716259904</c:v>
                </c:pt>
                <c:pt idx="331">
                  <c:v>131678.74706917044</c:v>
                </c:pt>
                <c:pt idx="332">
                  <c:v>127532.964479309</c:v>
                </c:pt>
                <c:pt idx="333">
                  <c:v>123360.57978449595</c:v>
                </c:pt>
                <c:pt idx="334">
                  <c:v>119161.42228789118</c:v>
                </c:pt>
                <c:pt idx="335">
                  <c:v>114935.32019734987</c:v>
                </c:pt>
                <c:pt idx="336">
                  <c:v>110682.10061839425</c:v>
                </c:pt>
                <c:pt idx="337">
                  <c:v>106401.58954714033</c:v>
                </c:pt>
                <c:pt idx="338">
                  <c:v>102093.61186317921</c:v>
                </c:pt>
                <c:pt idx="339">
                  <c:v>97757.991322412665</c:v>
                </c:pt>
                <c:pt idx="340">
                  <c:v>93394.550549842868</c:v>
                </c:pt>
                <c:pt idx="341">
                  <c:v>89003.111032315748</c:v>
                </c:pt>
                <c:pt idx="342">
                  <c:v>84583.493111217831</c:v>
                </c:pt>
                <c:pt idx="343">
                  <c:v>80135.515975126196</c:v>
                </c:pt>
                <c:pt idx="344">
                  <c:v>75658.997652411315</c:v>
                </c:pt>
                <c:pt idx="345">
                  <c:v>71153.755003792336</c:v>
                </c:pt>
                <c:pt idx="346">
                  <c:v>66619.603714844721</c:v>
                </c:pt>
                <c:pt idx="347">
                  <c:v>62056.358288459698</c:v>
                </c:pt>
                <c:pt idx="348">
                  <c:v>57463.832037255372</c:v>
                </c:pt>
                <c:pt idx="349">
                  <c:v>52841.837075939147</c:v>
                </c:pt>
                <c:pt idx="350">
                  <c:v>48190.184313621146</c:v>
                </c:pt>
                <c:pt idx="351">
                  <c:v>43508.68344607827</c:v>
                </c:pt>
                <c:pt idx="352">
                  <c:v>38797.142947968663</c:v>
                </c:pt>
                <c:pt idx="353">
                  <c:v>34055.370064996183</c:v>
                </c:pt>
                <c:pt idx="354">
                  <c:v>29283.170806024631</c:v>
                </c:pt>
                <c:pt idx="355">
                  <c:v>24480.349935141341</c:v>
                </c:pt>
                <c:pt idx="356">
                  <c:v>19646.710963669884</c:v>
                </c:pt>
                <c:pt idx="357">
                  <c:v>14782.056142131487</c:v>
                </c:pt>
                <c:pt idx="358">
                  <c:v>9886.186452154885</c:v>
                </c:pt>
                <c:pt idx="359">
                  <c:v>4958.9015983342661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7F-427E-83A8-519C72CCD637}"/>
            </c:ext>
          </c:extLst>
        </c:ser>
        <c:ser>
          <c:idx val="1"/>
          <c:order val="1"/>
          <c:tx>
            <c:strRef>
              <c:f>'1930 Independence Amortization'!$I$5</c:f>
              <c:strCache>
                <c:ptCount val="1"/>
                <c:pt idx="0">
                  <c:v>cumulativePrincipal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'1930 Independence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Independence Amortization'!$I$6:$I$365</c:f>
              <c:numCache>
                <c:formatCode>"$"#,##0.00_);[Red]\("$"#,##0.00\)</c:formatCode>
                <c:ptCount val="360"/>
                <c:pt idx="0">
                  <c:v>499.05455022194565</c:v>
                </c:pt>
                <c:pt idx="1">
                  <c:v>1001.3113671411484</c:v>
                </c:pt>
                <c:pt idx="2">
                  <c:v>1506.7909986355826</c:v>
                </c:pt>
                <c:pt idx="3">
                  <c:v>2015.5141244321057</c:v>
                </c:pt>
                <c:pt idx="4">
                  <c:v>2527.5015569524903</c:v>
                </c:pt>
                <c:pt idx="5">
                  <c:v>3042.7742421648809</c:v>
                </c:pt>
                <c:pt idx="6">
                  <c:v>3561.3532604407173</c:v>
                </c:pt>
                <c:pt idx="7">
                  <c:v>4083.2598274171569</c:v>
                </c:pt>
                <c:pt idx="8">
                  <c:v>4608.5152948650293</c:v>
                </c:pt>
                <c:pt idx="9">
                  <c:v>5137.1411515623586</c:v>
                </c:pt>
                <c:pt idx="10">
                  <c:v>5669.1590241734957</c:v>
                </c:pt>
                <c:pt idx="11">
                  <c:v>6204.5906781338881</c:v>
                </c:pt>
                <c:pt idx="12">
                  <c:v>6743.4580185405266</c:v>
                </c:pt>
                <c:pt idx="13">
                  <c:v>7285.7830910481071</c:v>
                </c:pt>
                <c:pt idx="14">
                  <c:v>7831.5880827709452</c:v>
                </c:pt>
                <c:pt idx="15">
                  <c:v>8380.8953231906708</c:v>
                </c:pt>
                <c:pt idx="16">
                  <c:v>8933.7272850697555</c:v>
                </c:pt>
                <c:pt idx="17">
                  <c:v>9490.1065853708969</c:v>
                </c:pt>
                <c:pt idx="18">
                  <c:v>10050.055986182306</c:v>
                </c:pt>
                <c:pt idx="19">
                  <c:v>10613.598395648922</c:v>
                </c:pt>
                <c:pt idx="20">
                  <c:v>11180.756868909615</c:v>
                </c:pt>
                <c:pt idx="21">
                  <c:v>11751.554609040399</c:v>
                </c:pt>
                <c:pt idx="22">
                  <c:v>12326.014968003687</c:v>
                </c:pt>
                <c:pt idx="23">
                  <c:v>12904.161447603656</c:v>
                </c:pt>
                <c:pt idx="24">
                  <c:v>13486.017700447725</c:v>
                </c:pt>
                <c:pt idx="25">
                  <c:v>14071.607530914211</c:v>
                </c:pt>
                <c:pt idx="26">
                  <c:v>14660.95489612619</c:v>
                </c:pt>
                <c:pt idx="27">
                  <c:v>15254.083906931612</c:v>
                </c:pt>
                <c:pt idx="28">
                  <c:v>15851.018828889701</c:v>
                </c:pt>
                <c:pt idx="29">
                  <c:v>16451.784083263687</c:v>
                </c:pt>
                <c:pt idx="30">
                  <c:v>17056.404248019906</c:v>
                </c:pt>
                <c:pt idx="31">
                  <c:v>17664.904058833312</c:v>
                </c:pt>
                <c:pt idx="32">
                  <c:v>18277.308410099438</c:v>
                </c:pt>
                <c:pt idx="33">
                  <c:v>18893.642355952856</c:v>
                </c:pt>
                <c:pt idx="34">
                  <c:v>19513.931111292164</c:v>
                </c:pt>
                <c:pt idx="35">
                  <c:v>20138.200052811568</c:v>
                </c:pt>
                <c:pt idx="36">
                  <c:v>20766.474720039056</c:v>
                </c:pt>
                <c:pt idx="37">
                  <c:v>21398.780816381251</c:v>
                </c:pt>
                <c:pt idx="38">
                  <c:v>22035.144210174978</c:v>
                </c:pt>
                <c:pt idx="39">
                  <c:v>22675.590935745546</c:v>
                </c:pt>
                <c:pt idx="40">
                  <c:v>23320.147194471858</c:v>
                </c:pt>
                <c:pt idx="41">
                  <c:v>23968.83935585833</c:v>
                </c:pt>
                <c:pt idx="42">
                  <c:v>24621.693958613701</c:v>
                </c:pt>
                <c:pt idx="43">
                  <c:v>25278.73771173675</c:v>
                </c:pt>
                <c:pt idx="44">
                  <c:v>25939.997495609008</c:v>
                </c:pt>
                <c:pt idx="45">
                  <c:v>26605.500363094445</c:v>
                </c:pt>
                <c:pt idx="46">
                  <c:v>27275.273540646245</c:v>
                </c:pt>
                <c:pt idx="47">
                  <c:v>27949.344429420671</c:v>
                </c:pt>
                <c:pt idx="48">
                  <c:v>28627.740606398067</c:v>
                </c:pt>
                <c:pt idx="49">
                  <c:v>29310.489825511067</c:v>
                </c:pt>
                <c:pt idx="50">
                  <c:v>29997.620018780042</c:v>
                </c:pt>
                <c:pt idx="51">
                  <c:v>30689.159297455826</c:v>
                </c:pt>
                <c:pt idx="52">
                  <c:v>31385.135953169782</c:v>
                </c:pt>
                <c:pt idx="53">
                  <c:v>32085.578459091234</c:v>
                </c:pt>
                <c:pt idx="54">
                  <c:v>32790.515471092353</c:v>
                </c:pt>
                <c:pt idx="55">
                  <c:v>33499.975828920476</c:v>
                </c:pt>
                <c:pt idx="56">
                  <c:v>34213.988557377997</c:v>
                </c:pt>
                <c:pt idx="57">
                  <c:v>34932.582867509787</c:v>
                </c:pt>
                <c:pt idx="58">
                  <c:v>35655.788157798255</c:v>
                </c:pt>
                <c:pt idx="59">
                  <c:v>36383.634015366071</c:v>
                </c:pt>
                <c:pt idx="60">
                  <c:v>37116.150217186616</c:v>
                </c:pt>
                <c:pt idx="61">
                  <c:v>37853.366731302172</c:v>
                </c:pt>
                <c:pt idx="62">
                  <c:v>38595.313718049976</c:v>
                </c:pt>
                <c:pt idx="63">
                  <c:v>39342.021531296079</c:v>
                </c:pt>
                <c:pt idx="64">
                  <c:v>40093.520719677173</c:v>
                </c:pt>
                <c:pt idx="65">
                  <c:v>40849.842027850384</c:v>
                </c:pt>
                <c:pt idx="66">
                  <c:v>41611.016397751038</c:v>
                </c:pt>
                <c:pt idx="67">
                  <c:v>42377.074969858557</c:v>
                </c:pt>
                <c:pt idx="68">
                  <c:v>43148.049084470425</c:v>
                </c:pt>
                <c:pt idx="69">
                  <c:v>43923.970282984388</c:v>
                </c:pt>
                <c:pt idx="70">
                  <c:v>44704.870309188816</c:v>
                </c:pt>
                <c:pt idx="71">
                  <c:v>45490.781110561387</c:v>
                </c:pt>
                <c:pt idx="72">
                  <c:v>46281.7348395761</c:v>
                </c:pt>
                <c:pt idx="73">
                  <c:v>47077.76385501866</c:v>
                </c:pt>
                <c:pt idx="74">
                  <c:v>47878.900723310311</c:v>
                </c:pt>
                <c:pt idx="75">
                  <c:v>48685.178219840163</c:v>
                </c:pt>
                <c:pt idx="76">
                  <c:v>49496.629330306081</c:v>
                </c:pt>
                <c:pt idx="77">
                  <c:v>50313.287252064154</c:v>
                </c:pt>
                <c:pt idx="78">
                  <c:v>51135.185395486842</c:v>
                </c:pt>
                <c:pt idx="79">
                  <c:v>51962.357385329829</c:v>
                </c:pt>
                <c:pt idx="80">
                  <c:v>52794.837062107639</c:v>
                </c:pt>
                <c:pt idx="81">
                  <c:v>53632.65848347811</c:v>
                </c:pt>
                <c:pt idx="82">
                  <c:v>54475.855925635711</c:v>
                </c:pt>
                <c:pt idx="83">
                  <c:v>55324.463884713819</c:v>
                </c:pt>
                <c:pt idx="84">
                  <c:v>56178.517078196011</c:v>
                </c:pt>
                <c:pt idx="85">
                  <c:v>57038.050446336383</c:v>
                </c:pt>
                <c:pt idx="86">
                  <c:v>57903.099153588992</c:v>
                </c:pt>
                <c:pt idx="87">
                  <c:v>58773.698590046464</c:v>
                </c:pt>
                <c:pt idx="88">
                  <c:v>59649.884372887878</c:v>
                </c:pt>
                <c:pt idx="89">
                  <c:v>60531.692347835859</c:v>
                </c:pt>
                <c:pt idx="90">
                  <c:v>61419.158590623083</c:v>
                </c:pt>
                <c:pt idx="91">
                  <c:v>62312.319408468196</c:v>
                </c:pt>
                <c:pt idx="92">
                  <c:v>63211.211341561146</c:v>
                </c:pt>
                <c:pt idx="93">
                  <c:v>64115.871164558106</c:v>
                </c:pt>
                <c:pt idx="94">
                  <c:v>65026.335888085967</c:v>
                </c:pt>
                <c:pt idx="95">
                  <c:v>65942.642760256465</c:v>
                </c:pt>
                <c:pt idx="96">
                  <c:v>66864.829268190064</c:v>
                </c:pt>
                <c:pt idx="97">
                  <c:v>67792.933139549568</c:v>
                </c:pt>
                <c:pt idx="98">
                  <c:v>68726.992344083628</c:v>
                </c:pt>
                <c:pt idx="99">
                  <c:v>69667.045095180118</c:v>
                </c:pt>
                <c:pt idx="100">
                  <c:v>70613.129851429476</c:v>
                </c:pt>
                <c:pt idx="101">
                  <c:v>71565.28531819809</c:v>
                </c:pt>
                <c:pt idx="102">
                  <c:v>72523.550449211805</c:v>
                </c:pt>
                <c:pt idx="103">
                  <c:v>73487.96444814952</c:v>
                </c:pt>
                <c:pt idx="104">
                  <c:v>74458.566770247096</c:v>
                </c:pt>
                <c:pt idx="105">
                  <c:v>75435.397123911462</c:v>
                </c:pt>
                <c:pt idx="106">
                  <c:v>76418.495472345166</c:v>
                </c:pt>
                <c:pt idx="107">
                  <c:v>77407.902035181323</c:v>
                </c:pt>
                <c:pt idx="108">
                  <c:v>78403.65729012902</c:v>
                </c:pt>
                <c:pt idx="109">
                  <c:v>79405.801974629299</c:v>
                </c:pt>
                <c:pt idx="110">
                  <c:v>80414.377087521789</c:v>
                </c:pt>
                <c:pt idx="111">
                  <c:v>81429.423890721999</c:v>
                </c:pt>
                <c:pt idx="112">
                  <c:v>82450.983910909417</c:v>
                </c:pt>
                <c:pt idx="113">
                  <c:v>83479.098941226359</c:v>
                </c:pt>
                <c:pt idx="114">
                  <c:v>84513.811042987843</c:v>
                </c:pt>
                <c:pt idx="115">
                  <c:v>85555.162547402288</c:v>
                </c:pt>
                <c:pt idx="116">
                  <c:v>86603.196057303401</c:v>
                </c:pt>
                <c:pt idx="117">
                  <c:v>87657.954448893041</c:v>
                </c:pt>
                <c:pt idx="118">
                  <c:v>88719.480873495384</c:v>
                </c:pt>
                <c:pt idx="119">
                  <c:v>89787.818759322254</c:v>
                </c:pt>
                <c:pt idx="120">
                  <c:v>90863.011813249846</c:v>
                </c:pt>
                <c:pt idx="121">
                  <c:v>91945.104022606814</c:v>
                </c:pt>
                <c:pt idx="122">
                  <c:v>93034.139656973828</c:v>
                </c:pt>
                <c:pt idx="123">
                  <c:v>94130.163269994693</c:v>
                </c:pt>
                <c:pt idx="124">
                  <c:v>95233.219701199108</c:v>
                </c:pt>
                <c:pt idx="125">
                  <c:v>96343.354077837081</c:v>
                </c:pt>
                <c:pt idx="126">
                  <c:v>97460.611816725155</c:v>
                </c:pt>
                <c:pt idx="127">
                  <c:v>98585.038626104419</c:v>
                </c:pt>
                <c:pt idx="128">
                  <c:v>99716.680507510537</c:v>
                </c:pt>
                <c:pt idx="129">
                  <c:v>100855.58375765568</c:v>
                </c:pt>
                <c:pt idx="130">
                  <c:v>102001.79497032259</c:v>
                </c:pt>
                <c:pt idx="131">
                  <c:v>103155.36103827077</c:v>
                </c:pt>
                <c:pt idx="132">
                  <c:v>104316.32915515495</c:v>
                </c:pt>
                <c:pt idx="133">
                  <c:v>105484.7468174558</c:v>
                </c:pt>
                <c:pt idx="134">
                  <c:v>106660.66182642309</c:v>
                </c:pt>
                <c:pt idx="135">
                  <c:v>107844.12229003126</c:v>
                </c:pt>
                <c:pt idx="136">
                  <c:v>109035.17662494758</c:v>
                </c:pt>
                <c:pt idx="137">
                  <c:v>110233.87355851293</c:v>
                </c:pt>
                <c:pt idx="138">
                  <c:v>111440.26213073534</c:v>
                </c:pt>
                <c:pt idx="139">
                  <c:v>112654.39169629617</c:v>
                </c:pt>
                <c:pt idx="140">
                  <c:v>113876.31192656935</c:v>
                </c:pt>
                <c:pt idx="141">
                  <c:v>115106.07281165346</c:v>
                </c:pt>
                <c:pt idx="142">
                  <c:v>116343.72466241685</c:v>
                </c:pt>
                <c:pt idx="143">
                  <c:v>117589.31811255596</c:v>
                </c:pt>
                <c:pt idx="144">
                  <c:v>118842.9041206668</c:v>
                </c:pt>
                <c:pt idx="145">
                  <c:v>120104.53397232969</c:v>
                </c:pt>
                <c:pt idx="146">
                  <c:v>121374.25928220742</c:v>
                </c:pt>
                <c:pt idx="147">
                  <c:v>122652.13199615687</c:v>
                </c:pt>
                <c:pt idx="148">
                  <c:v>123938.20439335416</c:v>
                </c:pt>
                <c:pt idx="149">
                  <c:v>125232.52908843345</c:v>
                </c:pt>
                <c:pt idx="150">
                  <c:v>126535.15903363952</c:v>
                </c:pt>
                <c:pt idx="151">
                  <c:v>127846.14752099398</c:v>
                </c:pt>
                <c:pt idx="152">
                  <c:v>129165.54818447564</c:v>
                </c:pt>
                <c:pt idx="153">
                  <c:v>130493.41500221464</c:v>
                </c:pt>
                <c:pt idx="154">
                  <c:v>131829.80229870079</c:v>
                </c:pt>
                <c:pt idx="155">
                  <c:v>133174.76474700606</c:v>
                </c:pt>
                <c:pt idx="156">
                  <c:v>134528.35737102129</c:v>
                </c:pt>
                <c:pt idx="157">
                  <c:v>135890.63554770729</c:v>
                </c:pt>
                <c:pt idx="158">
                  <c:v>137261.65500936037</c:v>
                </c:pt>
                <c:pt idx="159">
                  <c:v>138641.47184589237</c:v>
                </c:pt>
                <c:pt idx="160">
                  <c:v>140030.14250712548</c:v>
                </c:pt>
                <c:pt idx="161">
                  <c:v>141427.72380510147</c:v>
                </c:pt>
                <c:pt idx="162">
                  <c:v>142834.27291640616</c:v>
                </c:pt>
                <c:pt idx="163">
                  <c:v>144249.84738450838</c:v>
                </c:pt>
                <c:pt idx="164">
                  <c:v>145674.50512211426</c:v>
                </c:pt>
                <c:pt idx="165">
                  <c:v>147108.30441353645</c:v>
                </c:pt>
                <c:pt idx="166">
                  <c:v>148551.30391707859</c:v>
                </c:pt>
                <c:pt idx="167">
                  <c:v>150003.56266743512</c:v>
                </c:pt>
                <c:pt idx="168">
                  <c:v>151465.14007810646</c:v>
                </c:pt>
                <c:pt idx="169">
                  <c:v>152936.0959438296</c:v>
                </c:pt>
                <c:pt idx="170">
                  <c:v>154416.49044302446</c:v>
                </c:pt>
                <c:pt idx="171">
                  <c:v>155906.3841402558</c:v>
                </c:pt>
                <c:pt idx="172">
                  <c:v>157405.83798871105</c:v>
                </c:pt>
                <c:pt idx="173">
                  <c:v>158914.91333269389</c:v>
                </c:pt>
                <c:pt idx="174">
                  <c:v>160433.67191013397</c:v>
                </c:pt>
                <c:pt idx="175">
                  <c:v>161962.17585511261</c:v>
                </c:pt>
                <c:pt idx="176">
                  <c:v>163500.48770040486</c:v>
                </c:pt>
                <c:pt idx="177">
                  <c:v>165048.67038003774</c:v>
                </c:pt>
                <c:pt idx="178">
                  <c:v>166606.78723186493</c:v>
                </c:pt>
                <c:pt idx="179">
                  <c:v>168174.90200015801</c:v>
                </c:pt>
                <c:pt idx="180">
                  <c:v>169753.07883821431</c:v>
                </c:pt>
                <c:pt idx="181">
                  <c:v>171341.38231098145</c:v>
                </c:pt>
                <c:pt idx="182">
                  <c:v>172939.87739769887</c:v>
                </c:pt>
                <c:pt idx="183">
                  <c:v>174548.62949455605</c:v>
                </c:pt>
                <c:pt idx="184">
                  <c:v>176167.70441736808</c:v>
                </c:pt>
                <c:pt idx="185">
                  <c:v>177797.16840426813</c:v>
                </c:pt>
                <c:pt idx="186">
                  <c:v>179437.08811841745</c:v>
                </c:pt>
                <c:pt idx="187">
                  <c:v>181087.53065073257</c:v>
                </c:pt>
                <c:pt idx="188">
                  <c:v>182748.56352263005</c:v>
                </c:pt>
                <c:pt idx="189">
                  <c:v>184420.25468878887</c:v>
                </c:pt>
                <c:pt idx="190">
                  <c:v>186102.67253993056</c:v>
                </c:pt>
                <c:pt idx="191">
                  <c:v>187795.88590561706</c:v>
                </c:pt>
                <c:pt idx="192">
                  <c:v>189499.96405706671</c:v>
                </c:pt>
                <c:pt idx="193">
                  <c:v>191214.97670998817</c:v>
                </c:pt>
                <c:pt idx="194">
                  <c:v>192940.99402743255</c:v>
                </c:pt>
                <c:pt idx="195">
                  <c:v>194678.08662266386</c:v>
                </c:pt>
                <c:pt idx="196">
                  <c:v>196426.32556204789</c:v>
                </c:pt>
                <c:pt idx="197">
                  <c:v>198185.78236795965</c:v>
                </c:pt>
                <c:pt idx="198">
                  <c:v>199956.52902170934</c:v>
                </c:pt>
                <c:pt idx="199">
                  <c:v>201738.63796648727</c:v>
                </c:pt>
                <c:pt idx="200">
                  <c:v>203532.1821103275</c:v>
                </c:pt>
                <c:pt idx="201">
                  <c:v>205337.23482909071</c:v>
                </c:pt>
                <c:pt idx="202">
                  <c:v>207153.86996946597</c:v>
                </c:pt>
                <c:pt idx="203">
                  <c:v>208982.16185199199</c:v>
                </c:pt>
                <c:pt idx="204">
                  <c:v>210822.18527409754</c:v>
                </c:pt>
                <c:pt idx="205">
                  <c:v>212674.0155131616</c:v>
                </c:pt>
                <c:pt idx="206">
                  <c:v>214537.728329593</c:v>
                </c:pt>
                <c:pt idx="207">
                  <c:v>216413.39996992983</c:v>
                </c:pt>
                <c:pt idx="208">
                  <c:v>218301.10716995882</c:v>
                </c:pt>
                <c:pt idx="209">
                  <c:v>220200.92715785466</c:v>
                </c:pt>
                <c:pt idx="210">
                  <c:v>222112.9376573395</c:v>
                </c:pt>
                <c:pt idx="211">
                  <c:v>224037.21689086271</c:v>
                </c:pt>
                <c:pt idx="212">
                  <c:v>225973.84358280103</c:v>
                </c:pt>
                <c:pt idx="213">
                  <c:v>227922.89696267928</c:v>
                </c:pt>
                <c:pt idx="214">
                  <c:v>229884.45676841176</c:v>
                </c:pt>
                <c:pt idx="215">
                  <c:v>231858.60324956436</c:v>
                </c:pt>
                <c:pt idx="216">
                  <c:v>233845.41717063767</c:v>
                </c:pt>
                <c:pt idx="217">
                  <c:v>235844.97981437121</c:v>
                </c:pt>
                <c:pt idx="218">
                  <c:v>237857.37298506871</c:v>
                </c:pt>
                <c:pt idx="219">
                  <c:v>239882.67901194486</c:v>
                </c:pt>
                <c:pt idx="220">
                  <c:v>241920.98075249346</c:v>
                </c:pt>
                <c:pt idx="221">
                  <c:v>243972.36159587724</c:v>
                </c:pt>
                <c:pt idx="222">
                  <c:v>246036.90546633941</c:v>
                </c:pt>
                <c:pt idx="223">
                  <c:v>248114.69682663702</c:v>
                </c:pt>
                <c:pt idx="224">
                  <c:v>250205.82068149655</c:v>
                </c:pt>
                <c:pt idx="225">
                  <c:v>252310.36258109144</c:v>
                </c:pt>
                <c:pt idx="226">
                  <c:v>254428.40862454206</c:v>
                </c:pt>
                <c:pt idx="227">
                  <c:v>256560.04546343815</c:v>
                </c:pt>
                <c:pt idx="228">
                  <c:v>258705.36030538383</c:v>
                </c:pt>
                <c:pt idx="229">
                  <c:v>260864.44091756531</c:v>
                </c:pt>
                <c:pt idx="230">
                  <c:v>263037.37563034164</c:v>
                </c:pt>
                <c:pt idx="231">
                  <c:v>265224.25334085827</c:v>
                </c:pt>
                <c:pt idx="232">
                  <c:v>267425.16351668403</c:v>
                </c:pt>
                <c:pt idx="233">
                  <c:v>269640.19619947136</c:v>
                </c:pt>
                <c:pt idx="234">
                  <c:v>271869.44200863992</c:v>
                </c:pt>
                <c:pt idx="235">
                  <c:v>274112.99214508396</c:v>
                </c:pt>
                <c:pt idx="236">
                  <c:v>276370.93839490355</c:v>
                </c:pt>
                <c:pt idx="237">
                  <c:v>278643.37313315948</c:v>
                </c:pt>
                <c:pt idx="238">
                  <c:v>280930.38932765252</c:v>
                </c:pt>
                <c:pt idx="239">
                  <c:v>283232.08054272691</c:v>
                </c:pt>
                <c:pt idx="240">
                  <c:v>285548.54094309802</c:v>
                </c:pt>
                <c:pt idx="241">
                  <c:v>287879.86529770482</c:v>
                </c:pt>
                <c:pt idx="242">
                  <c:v>290226.14898358705</c:v>
                </c:pt>
                <c:pt idx="243">
                  <c:v>292587.48798978701</c:v>
                </c:pt>
                <c:pt idx="244">
                  <c:v>294963.97892127675</c:v>
                </c:pt>
                <c:pt idx="245">
                  <c:v>297355.71900291019</c:v>
                </c:pt>
                <c:pt idx="246">
                  <c:v>299762.80608340079</c:v>
                </c:pt>
                <c:pt idx="247">
                  <c:v>302185.33863932453</c:v>
                </c:pt>
                <c:pt idx="248">
                  <c:v>304623.41577914881</c:v>
                </c:pt>
                <c:pt idx="249">
                  <c:v>307077.13724728697</c:v>
                </c:pt>
                <c:pt idx="250">
                  <c:v>309546.60342817899</c:v>
                </c:pt>
                <c:pt idx="251">
                  <c:v>312031.9153503984</c:v>
                </c:pt>
                <c:pt idx="252">
                  <c:v>314533.17469078541</c:v>
                </c:pt>
                <c:pt idx="253">
                  <c:v>317050.48377860658</c:v>
                </c:pt>
                <c:pt idx="254">
                  <c:v>319583.94559974124</c:v>
                </c:pt>
                <c:pt idx="255">
                  <c:v>322133.66380089486</c:v>
                </c:pt>
                <c:pt idx="256">
                  <c:v>324699.74269383925</c:v>
                </c:pt>
                <c:pt idx="257">
                  <c:v>327282.28725967999</c:v>
                </c:pt>
                <c:pt idx="258">
                  <c:v>329881.40315315156</c:v>
                </c:pt>
                <c:pt idx="259">
                  <c:v>332497.19670693955</c:v>
                </c:pt>
                <c:pt idx="260">
                  <c:v>335129.77493603103</c:v>
                </c:pt>
                <c:pt idx="261">
                  <c:v>337779.24554209248</c:v>
                </c:pt>
                <c:pt idx="262">
                  <c:v>340445.71691787621</c:v>
                </c:pt>
                <c:pt idx="263">
                  <c:v>343129.29815165454</c:v>
                </c:pt>
                <c:pt idx="264">
                  <c:v>345830.09903168294</c:v>
                </c:pt>
                <c:pt idx="265">
                  <c:v>348548.23005069152</c:v>
                </c:pt>
                <c:pt idx="266">
                  <c:v>351283.80241040542</c:v>
                </c:pt>
                <c:pt idx="267">
                  <c:v>354036.92802609416</c:v>
                </c:pt>
                <c:pt idx="268">
                  <c:v>356807.71953115019</c:v>
                </c:pt>
                <c:pt idx="269">
                  <c:v>359596.290281697</c:v>
                </c:pt>
                <c:pt idx="270">
                  <c:v>362402.75436122651</c:v>
                </c:pt>
                <c:pt idx="271">
                  <c:v>365227.22658526635</c:v>
                </c:pt>
                <c:pt idx="272">
                  <c:v>368069.82250607706</c:v>
                </c:pt>
                <c:pt idx="273">
                  <c:v>370930.65841737966</c:v>
                </c:pt>
                <c:pt idx="274">
                  <c:v>373809.85135911312</c:v>
                </c:pt>
                <c:pt idx="275">
                  <c:v>376707.51912222273</c:v>
                </c:pt>
                <c:pt idx="276">
                  <c:v>379623.78025347891</c:v>
                </c:pt>
                <c:pt idx="277">
                  <c:v>382558.75406032737</c:v>
                </c:pt>
                <c:pt idx="278">
                  <c:v>385512.56061576976</c:v>
                </c:pt>
                <c:pt idx="279">
                  <c:v>388485.32076327625</c:v>
                </c:pt>
                <c:pt idx="280">
                  <c:v>391477.15612172923</c:v>
                </c:pt>
                <c:pt idx="281">
                  <c:v>394488.18909039896</c:v>
                </c:pt>
                <c:pt idx="282">
                  <c:v>397518.54285395099</c:v>
                </c:pt>
                <c:pt idx="283">
                  <c:v>400568.34138748579</c:v>
                </c:pt>
                <c:pt idx="284">
                  <c:v>403637.70946161076</c:v>
                </c:pt>
                <c:pt idx="285">
                  <c:v>406726.77264754468</c:v>
                </c:pt>
                <c:pt idx="286">
                  <c:v>409835.65732225502</c:v>
                </c:pt>
                <c:pt idx="287">
                  <c:v>412964.49067362811</c:v>
                </c:pt>
                <c:pt idx="288">
                  <c:v>416113.40070567251</c:v>
                </c:pt>
                <c:pt idx="289">
                  <c:v>419282.51624375588</c:v>
                </c:pt>
                <c:pt idx="290">
                  <c:v>422471.96693987527</c:v>
                </c:pt>
                <c:pt idx="291">
                  <c:v>425681.8832779614</c:v>
                </c:pt>
                <c:pt idx="292">
                  <c:v>428912.39657921693</c:v>
                </c:pt>
                <c:pt idx="293">
                  <c:v>432163.63900748885</c:v>
                </c:pt>
                <c:pt idx="294">
                  <c:v>435435.74357467552</c:v>
                </c:pt>
                <c:pt idx="295">
                  <c:v>438728.84414616833</c:v>
                </c:pt>
                <c:pt idx="296">
                  <c:v>442043.07544632821</c:v>
                </c:pt>
                <c:pt idx="297">
                  <c:v>445378.57306399744</c:v>
                </c:pt>
                <c:pt idx="298">
                  <c:v>448735.47345804668</c:v>
                </c:pt>
                <c:pt idx="299">
                  <c:v>452113.91396295774</c:v>
                </c:pt>
                <c:pt idx="300">
                  <c:v>455514.03279444197</c:v>
                </c:pt>
                <c:pt idx="301">
                  <c:v>458935.96905509493</c:v>
                </c:pt>
                <c:pt idx="302">
                  <c:v>462379.86274008709</c:v>
                </c:pt>
                <c:pt idx="303">
                  <c:v>465845.85474289127</c:v>
                </c:pt>
                <c:pt idx="304">
                  <c:v>469334.08686104679</c:v>
                </c:pt>
                <c:pt idx="305">
                  <c:v>472844.70180196047</c:v>
                </c:pt>
                <c:pt idx="306">
                  <c:v>476377.84318874497</c:v>
                </c:pt>
                <c:pt idx="307">
                  <c:v>479933.65556609468</c:v>
                </c:pt>
                <c:pt idx="308">
                  <c:v>483512.28440619906</c:v>
                </c:pt>
                <c:pt idx="309">
                  <c:v>487113.87611469411</c:v>
                </c:pt>
                <c:pt idx="310">
                  <c:v>490738.578036652</c:v>
                </c:pt>
                <c:pt idx="311">
                  <c:v>494386.53846260911</c:v>
                </c:pt>
                <c:pt idx="312">
                  <c:v>498057.90663463279</c:v>
                </c:pt>
                <c:pt idx="313">
                  <c:v>501752.83275242697</c:v>
                </c:pt>
                <c:pt idx="314">
                  <c:v>505471.46797947696</c:v>
                </c:pt>
                <c:pt idx="315">
                  <c:v>509213.9644492339</c:v>
                </c:pt>
                <c:pt idx="316">
                  <c:v>512980.47527133842</c:v>
                </c:pt>
                <c:pt idx="317">
                  <c:v>516771.15453788481</c:v>
                </c:pt>
                <c:pt idx="318">
                  <c:v>520586.15732972487</c:v>
                </c:pt>
                <c:pt idx="319">
                  <c:v>524425.63972281257</c:v>
                </c:pt>
                <c:pt idx="320">
                  <c:v>528289.7587945892</c:v>
                </c:pt>
                <c:pt idx="321">
                  <c:v>532178.67263040971</c:v>
                </c:pt>
                <c:pt idx="322">
                  <c:v>536092.54033001012</c:v>
                </c:pt>
                <c:pt idx="323">
                  <c:v>540031.52201401629</c:v>
                </c:pt>
                <c:pt idx="324">
                  <c:v>543995.77883049485</c:v>
                </c:pt>
                <c:pt idx="325">
                  <c:v>547985.47296154581</c:v>
                </c:pt>
                <c:pt idx="326">
                  <c:v>552000.76762993762</c:v>
                </c:pt>
                <c:pt idx="327">
                  <c:v>556041.82710578502</c:v>
                </c:pt>
                <c:pt idx="328">
                  <c:v>560108.8167132691</c:v>
                </c:pt>
                <c:pt idx="329">
                  <c:v>564201.90283740114</c:v>
                </c:pt>
                <c:pt idx="330">
                  <c:v>568321.25293082977</c:v>
                </c:pt>
                <c:pt idx="331">
                  <c:v>572467.03552069119</c:v>
                </c:pt>
                <c:pt idx="332">
                  <c:v>576639.42021550424</c:v>
                </c:pt>
                <c:pt idx="333">
                  <c:v>580838.57771210896</c:v>
                </c:pt>
                <c:pt idx="334">
                  <c:v>585064.67980265024</c:v>
                </c:pt>
                <c:pt idx="335">
                  <c:v>589317.89938160591</c:v>
                </c:pt>
                <c:pt idx="336">
                  <c:v>593598.41045285983</c:v>
                </c:pt>
                <c:pt idx="337">
                  <c:v>597906.38813682098</c:v>
                </c:pt>
                <c:pt idx="338">
                  <c:v>602242.0086775875</c:v>
                </c:pt>
                <c:pt idx="339">
                  <c:v>606605.44945015735</c:v>
                </c:pt>
                <c:pt idx="340">
                  <c:v>610996.88896768447</c:v>
                </c:pt>
                <c:pt idx="341">
                  <c:v>615416.50688878237</c:v>
                </c:pt>
                <c:pt idx="342">
                  <c:v>619864.48402487405</c:v>
                </c:pt>
                <c:pt idx="343">
                  <c:v>624341.00234758889</c:v>
                </c:pt>
                <c:pt idx="344">
                  <c:v>628846.24499620788</c:v>
                </c:pt>
                <c:pt idx="345">
                  <c:v>633380.39628515544</c:v>
                </c:pt>
                <c:pt idx="346">
                  <c:v>637943.64171154052</c:v>
                </c:pt>
                <c:pt idx="347">
                  <c:v>642536.16796274483</c:v>
                </c:pt>
                <c:pt idx="348">
                  <c:v>647158.16292406106</c:v>
                </c:pt>
                <c:pt idx="349">
                  <c:v>651809.81568637909</c:v>
                </c:pt>
                <c:pt idx="350">
                  <c:v>656491.31655392202</c:v>
                </c:pt>
                <c:pt idx="351">
                  <c:v>661202.85705203167</c:v>
                </c:pt>
                <c:pt idx="352">
                  <c:v>665944.62993500417</c:v>
                </c:pt>
                <c:pt idx="353">
                  <c:v>670716.82919397578</c:v>
                </c:pt>
                <c:pt idx="354">
                  <c:v>675519.65006485907</c:v>
                </c:pt>
                <c:pt idx="355">
                  <c:v>680353.28903633053</c:v>
                </c:pt>
                <c:pt idx="356">
                  <c:v>685217.9438578689</c:v>
                </c:pt>
                <c:pt idx="357">
                  <c:v>690113.81354784546</c:v>
                </c:pt>
                <c:pt idx="358">
                  <c:v>695041.09840166604</c:v>
                </c:pt>
                <c:pt idx="359">
                  <c:v>699999.99999996531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7F-427E-83A8-519C72CCD637}"/>
            </c:ext>
          </c:extLst>
        </c:ser>
        <c:ser>
          <c:idx val="2"/>
          <c:order val="2"/>
          <c:tx>
            <c:strRef>
              <c:f>'1930 Independence Amortization'!$J$5</c:f>
              <c:strCache>
                <c:ptCount val="1"/>
                <c:pt idx="0">
                  <c:v>cumulativeInterest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'1930 Independence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Independence Amortization'!$J$6:$J$365</c:f>
              <c:numCache>
                <c:formatCode>"$"#,##0.00_);[Red]\("$"#,##0.00\)</c:formatCode>
                <c:ptCount val="360"/>
                <c:pt idx="0">
                  <c:v>4491.666666666667</c:v>
                </c:pt>
                <c:pt idx="1">
                  <c:v>8980.1310666360769</c:v>
                </c:pt>
                <c:pt idx="2">
                  <c:v>13465.372652030255</c:v>
                </c:pt>
                <c:pt idx="3">
                  <c:v>17947.370743122345</c:v>
                </c:pt>
                <c:pt idx="4">
                  <c:v>22426.104527490574</c:v>
                </c:pt>
                <c:pt idx="5">
                  <c:v>26901.553059166796</c:v>
                </c:pt>
                <c:pt idx="6">
                  <c:v>31373.695257779571</c:v>
                </c:pt>
                <c:pt idx="7">
                  <c:v>35842.509907691747</c:v>
                </c:pt>
                <c:pt idx="8">
                  <c:v>40307.975657132483</c:v>
                </c:pt>
                <c:pt idx="9">
                  <c:v>44770.071017323768</c:v>
                </c:pt>
                <c:pt idx="10">
                  <c:v>49228.774361601245</c:v>
                </c:pt>
                <c:pt idx="11">
                  <c:v>53684.063924529466</c:v>
                </c:pt>
                <c:pt idx="12">
                  <c:v>58135.917801011441</c:v>
                </c:pt>
                <c:pt idx="13">
                  <c:v>62584.313945392474</c:v>
                </c:pt>
                <c:pt idx="14">
                  <c:v>67029.23017055825</c:v>
                </c:pt>
                <c:pt idx="15">
                  <c:v>71470.644147027138</c:v>
                </c:pt>
                <c:pt idx="16">
                  <c:v>75908.533402036672</c:v>
                </c:pt>
                <c:pt idx="17">
                  <c:v>80342.875318624137</c:v>
                </c:pt>
                <c:pt idx="18">
                  <c:v>84773.647134701343</c:v>
                </c:pt>
                <c:pt idx="19">
                  <c:v>89200.825942123338</c:v>
                </c:pt>
                <c:pt idx="20">
                  <c:v>93624.388685751255</c:v>
                </c:pt>
                <c:pt idx="21">
                  <c:v>98044.312162509086</c:v>
                </c:pt>
                <c:pt idx="22">
                  <c:v>102460.57302043441</c:v>
                </c:pt>
                <c:pt idx="23">
                  <c:v>106873.14775772305</c:v>
                </c:pt>
                <c:pt idx="24">
                  <c:v>111282.01272176759</c:v>
                </c:pt>
                <c:pt idx="25">
                  <c:v>115687.14410818972</c:v>
                </c:pt>
                <c:pt idx="26">
                  <c:v>120088.51795986635</c:v>
                </c:pt>
                <c:pt idx="27">
                  <c:v>124486.11016594955</c:v>
                </c:pt>
                <c:pt idx="28">
                  <c:v>128879.89646088007</c:v>
                </c:pt>
                <c:pt idx="29">
                  <c:v>133269.85242339471</c:v>
                </c:pt>
                <c:pt idx="30">
                  <c:v>137655.95347552712</c:v>
                </c:pt>
                <c:pt idx="31">
                  <c:v>142038.17488160232</c:v>
                </c:pt>
                <c:pt idx="32">
                  <c:v>146416.49174722479</c:v>
                </c:pt>
                <c:pt idx="33">
                  <c:v>150790.87901825999</c:v>
                </c:pt>
                <c:pt idx="34">
                  <c:v>155161.31147980929</c:v>
                </c:pt>
                <c:pt idx="35">
                  <c:v>159527.76375517849</c:v>
                </c:pt>
                <c:pt idx="36">
                  <c:v>163890.21030483962</c:v>
                </c:pt>
                <c:pt idx="37">
                  <c:v>168248.62542538604</c:v>
                </c:pt>
                <c:pt idx="38">
                  <c:v>172602.98324848092</c:v>
                </c:pt>
                <c:pt idx="39">
                  <c:v>176953.25773979895</c:v>
                </c:pt>
                <c:pt idx="40">
                  <c:v>181299.42269796124</c:v>
                </c:pt>
                <c:pt idx="41">
                  <c:v>185641.45175346339</c:v>
                </c:pt>
                <c:pt idx="42">
                  <c:v>189979.31836759663</c:v>
                </c:pt>
                <c:pt idx="43">
                  <c:v>194312.9958313622</c:v>
                </c:pt>
                <c:pt idx="44">
                  <c:v>198642.45726437855</c:v>
                </c:pt>
                <c:pt idx="45">
                  <c:v>202967.67561378173</c:v>
                </c:pt>
                <c:pt idx="46">
                  <c:v>207288.62365311853</c:v>
                </c:pt>
                <c:pt idx="47">
                  <c:v>211605.27398123272</c:v>
                </c:pt>
                <c:pt idx="48">
                  <c:v>215917.59902114395</c:v>
                </c:pt>
                <c:pt idx="49">
                  <c:v>220225.57101891955</c:v>
                </c:pt>
                <c:pt idx="50">
                  <c:v>224529.16204253919</c:v>
                </c:pt>
                <c:pt idx="51">
                  <c:v>228828.34398075202</c:v>
                </c:pt>
                <c:pt idx="52">
                  <c:v>233123.08854192667</c:v>
                </c:pt>
                <c:pt idx="53">
                  <c:v>237413.36725289383</c:v>
                </c:pt>
                <c:pt idx="54">
                  <c:v>241699.15145778132</c:v>
                </c:pt>
                <c:pt idx="55">
                  <c:v>245980.4123168418</c:v>
                </c:pt>
                <c:pt idx="56">
                  <c:v>250257.12080527289</c:v>
                </c:pt>
                <c:pt idx="57">
                  <c:v>254529.24771202973</c:v>
                </c:pt>
                <c:pt idx="58">
                  <c:v>258796.76363862987</c:v>
                </c:pt>
                <c:pt idx="59">
                  <c:v>263059.63899795065</c:v>
                </c:pt>
                <c:pt idx="60">
                  <c:v>267317.84401301871</c:v>
                </c:pt>
                <c:pt idx="61">
                  <c:v>271571.34871579177</c:v>
                </c:pt>
                <c:pt idx="62">
                  <c:v>275820.12294593256</c:v>
                </c:pt>
                <c:pt idx="63">
                  <c:v>280064.13634957507</c:v>
                </c:pt>
                <c:pt idx="64">
                  <c:v>284303.35837808257</c:v>
                </c:pt>
                <c:pt idx="65">
                  <c:v>288537.75828679797</c:v>
                </c:pt>
                <c:pt idx="66">
                  <c:v>292767.30513378594</c:v>
                </c:pt>
                <c:pt idx="67">
                  <c:v>296991.96777856705</c:v>
                </c:pt>
                <c:pt idx="68">
                  <c:v>301211.71488084376</c:v>
                </c:pt>
                <c:pt idx="69">
                  <c:v>305426.5148992184</c:v>
                </c:pt>
                <c:pt idx="70">
                  <c:v>309636.33608990256</c:v>
                </c:pt>
                <c:pt idx="71">
                  <c:v>313841.14650541858</c:v>
                </c:pt>
                <c:pt idx="72">
                  <c:v>318040.91399329249</c:v>
                </c:pt>
                <c:pt idx="73">
                  <c:v>322235.60619473853</c:v>
                </c:pt>
                <c:pt idx="74">
                  <c:v>326425.19054333551</c:v>
                </c:pt>
                <c:pt idx="75">
                  <c:v>330609.63426369429</c:v>
                </c:pt>
                <c:pt idx="76">
                  <c:v>334788.904370117</c:v>
                </c:pt>
                <c:pt idx="77">
                  <c:v>338962.96766524756</c:v>
                </c:pt>
                <c:pt idx="78">
                  <c:v>343131.79073871346</c:v>
                </c:pt>
                <c:pt idx="79">
                  <c:v>347295.33996575908</c:v>
                </c:pt>
                <c:pt idx="80">
                  <c:v>351453.58150586986</c:v>
                </c:pt>
                <c:pt idx="81">
                  <c:v>355606.481301388</c:v>
                </c:pt>
                <c:pt idx="82">
                  <c:v>359754.00507611904</c:v>
                </c:pt>
                <c:pt idx="83">
                  <c:v>363896.11833392957</c:v>
                </c:pt>
                <c:pt idx="84">
                  <c:v>368032.78635733598</c:v>
                </c:pt>
                <c:pt idx="85">
                  <c:v>372163.97420608421</c:v>
                </c:pt>
                <c:pt idx="86">
                  <c:v>376289.64671572024</c:v>
                </c:pt>
                <c:pt idx="87">
                  <c:v>380409.76849615137</c:v>
                </c:pt>
                <c:pt idx="88">
                  <c:v>384524.3039301986</c:v>
                </c:pt>
                <c:pt idx="89">
                  <c:v>388633.21717213921</c:v>
                </c:pt>
                <c:pt idx="90">
                  <c:v>392736.47214624059</c:v>
                </c:pt>
                <c:pt idx="91">
                  <c:v>396834.03254528408</c:v>
                </c:pt>
                <c:pt idx="92">
                  <c:v>400925.86182907975</c:v>
                </c:pt>
                <c:pt idx="93">
                  <c:v>405011.92322297138</c:v>
                </c:pt>
                <c:pt idx="94">
                  <c:v>409092.17971633212</c:v>
                </c:pt>
                <c:pt idx="95">
                  <c:v>413166.59406105021</c:v>
                </c:pt>
                <c:pt idx="96">
                  <c:v>417235.12877000525</c:v>
                </c:pt>
                <c:pt idx="97">
                  <c:v>421297.74611553433</c:v>
                </c:pt>
                <c:pt idx="98">
                  <c:v>425354.40812788886</c:v>
                </c:pt>
                <c:pt idx="99">
                  <c:v>429405.07659368101</c:v>
                </c:pt>
                <c:pt idx="100">
                  <c:v>433449.71305432025</c:v>
                </c:pt>
                <c:pt idx="101">
                  <c:v>437488.27880444023</c:v>
                </c:pt>
                <c:pt idx="102">
                  <c:v>441520.7348903151</c:v>
                </c:pt>
                <c:pt idx="103">
                  <c:v>445547.04210826597</c:v>
                </c:pt>
                <c:pt idx="104">
                  <c:v>449567.16100305703</c:v>
                </c:pt>
                <c:pt idx="105">
                  <c:v>453581.05186628125</c:v>
                </c:pt>
                <c:pt idx="106">
                  <c:v>457588.67473473615</c:v>
                </c:pt>
                <c:pt idx="107">
                  <c:v>461589.98938878858</c:v>
                </c:pt>
                <c:pt idx="108">
                  <c:v>465584.95535072952</c:v>
                </c:pt>
                <c:pt idx="109">
                  <c:v>469573.53188311786</c:v>
                </c:pt>
                <c:pt idx="110">
                  <c:v>473555.677987114</c:v>
                </c:pt>
                <c:pt idx="111">
                  <c:v>477531.35240080243</c:v>
                </c:pt>
                <c:pt idx="112">
                  <c:v>481500.51359750365</c:v>
                </c:pt>
                <c:pt idx="113">
                  <c:v>485463.1197840753</c:v>
                </c:pt>
                <c:pt idx="114">
                  <c:v>489419.12889920245</c:v>
                </c:pt>
                <c:pt idx="115">
                  <c:v>493368.49861167662</c:v>
                </c:pt>
                <c:pt idx="116">
                  <c:v>497311.18631866411</c:v>
                </c:pt>
                <c:pt idx="117">
                  <c:v>501247.14914396306</c:v>
                </c:pt>
                <c:pt idx="118">
                  <c:v>505176.34393624932</c:v>
                </c:pt>
                <c:pt idx="119">
                  <c:v>509098.72726731107</c:v>
                </c:pt>
                <c:pt idx="120">
                  <c:v>513014.25543027208</c:v>
                </c:pt>
                <c:pt idx="121">
                  <c:v>516922.8844378037</c:v>
                </c:pt>
                <c:pt idx="122">
                  <c:v>520824.57002032531</c:v>
                </c:pt>
                <c:pt idx="123">
                  <c:v>524719.2676241931</c:v>
                </c:pt>
                <c:pt idx="124">
                  <c:v>528606.93240987731</c:v>
                </c:pt>
                <c:pt idx="125">
                  <c:v>532487.51925012795</c:v>
                </c:pt>
                <c:pt idx="126">
                  <c:v>536360.98272812855</c:v>
                </c:pt>
                <c:pt idx="127">
                  <c:v>540227.27713563794</c:v>
                </c:pt>
                <c:pt idx="128">
                  <c:v>544086.35647112038</c:v>
                </c:pt>
                <c:pt idx="129">
                  <c:v>547938.17443786387</c:v>
                </c:pt>
                <c:pt idx="130">
                  <c:v>551782.68444208556</c:v>
                </c:pt>
                <c:pt idx="131">
                  <c:v>555619.83959102596</c:v>
                </c:pt>
                <c:pt idx="132">
                  <c:v>559449.59269103035</c:v>
                </c:pt>
                <c:pt idx="133">
                  <c:v>563271.89624561812</c:v>
                </c:pt>
                <c:pt idx="134">
                  <c:v>567086.70245353947</c:v>
                </c:pt>
                <c:pt idx="135">
                  <c:v>570893.96320681996</c:v>
                </c:pt>
                <c:pt idx="136">
                  <c:v>574693.6300887923</c:v>
                </c:pt>
                <c:pt idx="137">
                  <c:v>578485.6543721155</c:v>
                </c:pt>
                <c:pt idx="138">
                  <c:v>582269.9870167817</c:v>
                </c:pt>
                <c:pt idx="139">
                  <c:v>586046.57866810949</c:v>
                </c:pt>
                <c:pt idx="140">
                  <c:v>589815.37965472497</c:v>
                </c:pt>
                <c:pt idx="141">
                  <c:v>593576.33998652943</c:v>
                </c:pt>
                <c:pt idx="142">
                  <c:v>597329.40935265471</c:v>
                </c:pt>
                <c:pt idx="143">
                  <c:v>601074.53711940418</c:v>
                </c:pt>
                <c:pt idx="144">
                  <c:v>604811.67232818191</c:v>
                </c:pt>
                <c:pt idx="145">
                  <c:v>608540.76369340764</c:v>
                </c:pt>
                <c:pt idx="146">
                  <c:v>612261.7596004185</c:v>
                </c:pt>
                <c:pt idx="147">
                  <c:v>615974.60810335772</c:v>
                </c:pt>
                <c:pt idx="148">
                  <c:v>619679.25692304899</c:v>
                </c:pt>
                <c:pt idx="149">
                  <c:v>623375.65344485827</c:v>
                </c:pt>
                <c:pt idx="150">
                  <c:v>627063.74471654079</c:v>
                </c:pt>
                <c:pt idx="151">
                  <c:v>630743.47744607495</c:v>
                </c:pt>
                <c:pt idx="152">
                  <c:v>634414.7979994819</c:v>
                </c:pt>
                <c:pt idx="153">
                  <c:v>638077.65239863156</c:v>
                </c:pt>
                <c:pt idx="154">
                  <c:v>641731.98631903401</c:v>
                </c:pt>
                <c:pt idx="155">
                  <c:v>645377.74508761731</c:v>
                </c:pt>
                <c:pt idx="156">
                  <c:v>649014.87368049065</c:v>
                </c:pt>
                <c:pt idx="157">
                  <c:v>652643.31672069326</c:v>
                </c:pt>
                <c:pt idx="158">
                  <c:v>656263.01847592881</c:v>
                </c:pt>
                <c:pt idx="159">
                  <c:v>659873.92285628547</c:v>
                </c:pt>
                <c:pt idx="160">
                  <c:v>663475.97341194097</c:v>
                </c:pt>
                <c:pt idx="161">
                  <c:v>667069.11333085352</c:v>
                </c:pt>
                <c:pt idx="162">
                  <c:v>670653.28543643747</c:v>
                </c:pt>
                <c:pt idx="163">
                  <c:v>674228.43218522391</c:v>
                </c:pt>
                <c:pt idx="164">
                  <c:v>677794.49566450668</c:v>
                </c:pt>
                <c:pt idx="165">
                  <c:v>681351.41758997308</c:v>
                </c:pt>
                <c:pt idx="166">
                  <c:v>684899.13930331951</c:v>
                </c:pt>
                <c:pt idx="167">
                  <c:v>688437.60176985164</c:v>
                </c:pt>
                <c:pt idx="168">
                  <c:v>691966.74557606888</c:v>
                </c:pt>
                <c:pt idx="169">
                  <c:v>695486.51092723431</c:v>
                </c:pt>
                <c:pt idx="170">
                  <c:v>698996.83764492802</c:v>
                </c:pt>
                <c:pt idx="171">
                  <c:v>702497.66516458523</c:v>
                </c:pt>
                <c:pt idx="172">
                  <c:v>705988.93253301864</c:v>
                </c:pt>
                <c:pt idx="173">
                  <c:v>709470.57840592437</c:v>
                </c:pt>
                <c:pt idx="174">
                  <c:v>712942.54104537296</c:v>
                </c:pt>
                <c:pt idx="175">
                  <c:v>716404.75831728289</c:v>
                </c:pt>
                <c:pt idx="176">
                  <c:v>719857.1676888793</c:v>
                </c:pt>
                <c:pt idx="177">
                  <c:v>723299.70622613502</c:v>
                </c:pt>
                <c:pt idx="178">
                  <c:v>726732.31059119641</c:v>
                </c:pt>
                <c:pt idx="179">
                  <c:v>730154.91703979194</c:v>
                </c:pt>
                <c:pt idx="180">
                  <c:v>733567.46141862427</c:v>
                </c:pt>
                <c:pt idx="181">
                  <c:v>736969.87916274578</c:v>
                </c:pt>
                <c:pt idx="182">
                  <c:v>740362.105292917</c:v>
                </c:pt>
                <c:pt idx="183">
                  <c:v>743744.07441294845</c:v>
                </c:pt>
                <c:pt idx="184">
                  <c:v>747115.72070702503</c:v>
                </c:pt>
                <c:pt idx="185">
                  <c:v>750476.97793701361</c:v>
                </c:pt>
                <c:pt idx="186">
                  <c:v>753827.77943975292</c:v>
                </c:pt>
                <c:pt idx="187">
                  <c:v>757168.0581243264</c:v>
                </c:pt>
                <c:pt idx="188">
                  <c:v>760497.74646931759</c:v>
                </c:pt>
                <c:pt idx="189">
                  <c:v>763816.77652004734</c:v>
                </c:pt>
                <c:pt idx="190">
                  <c:v>767125.07988579432</c:v>
                </c:pt>
                <c:pt idx="191">
                  <c:v>770422.58773699647</c:v>
                </c:pt>
                <c:pt idx="192">
                  <c:v>773709.23080243543</c:v>
                </c:pt>
                <c:pt idx="193">
                  <c:v>776984.93936640257</c:v>
                </c:pt>
                <c:pt idx="194">
                  <c:v>780249.64326584677</c:v>
                </c:pt>
                <c:pt idx="195">
                  <c:v>783503.27188750403</c:v>
                </c:pt>
                <c:pt idx="196">
                  <c:v>786745.75416500855</c:v>
                </c:pt>
                <c:pt idx="197">
                  <c:v>789977.01857598545</c:v>
                </c:pt>
                <c:pt idx="198">
                  <c:v>793196.99313912436</c:v>
                </c:pt>
                <c:pt idx="199">
                  <c:v>796405.60541123501</c:v>
                </c:pt>
                <c:pt idx="200">
                  <c:v>799602.78248428344</c:v>
                </c:pt>
                <c:pt idx="201">
                  <c:v>802788.45098240883</c:v>
                </c:pt>
                <c:pt idx="202">
                  <c:v>805962.53705892211</c:v>
                </c:pt>
                <c:pt idx="203">
                  <c:v>809124.96639328473</c:v>
                </c:pt>
                <c:pt idx="204">
                  <c:v>812275.66418806778</c:v>
                </c:pt>
                <c:pt idx="205">
                  <c:v>815414.55516589235</c:v>
                </c:pt>
                <c:pt idx="206">
                  <c:v>818541.56356634956</c:v>
                </c:pt>
                <c:pt idx="207">
                  <c:v>821656.61314290133</c:v>
                </c:pt>
                <c:pt idx="208">
                  <c:v>824759.62715976092</c:v>
                </c:pt>
                <c:pt idx="209">
                  <c:v>827850.52838875365</c:v>
                </c:pt>
                <c:pt idx="210">
                  <c:v>830929.23910615745</c:v>
                </c:pt>
                <c:pt idx="211">
                  <c:v>833995.6810895229</c:v>
                </c:pt>
                <c:pt idx="212">
                  <c:v>837049.77561447315</c:v>
                </c:pt>
                <c:pt idx="213">
                  <c:v>840091.4434514835</c:v>
                </c:pt>
                <c:pt idx="214">
                  <c:v>843120.60486263968</c:v>
                </c:pt>
                <c:pt idx="215">
                  <c:v>846137.17959837569</c:v>
                </c:pt>
                <c:pt idx="216">
                  <c:v>849141.08689419099</c:v>
                </c:pt>
                <c:pt idx="217">
                  <c:v>852132.24546734605</c:v>
                </c:pt>
                <c:pt idx="218">
                  <c:v>855110.57351353718</c:v>
                </c:pt>
                <c:pt idx="219">
                  <c:v>858075.98870354961</c:v>
                </c:pt>
                <c:pt idx="220">
                  <c:v>861028.40817988967</c:v>
                </c:pt>
                <c:pt idx="221">
                  <c:v>863967.74855339446</c:v>
                </c:pt>
                <c:pt idx="222">
                  <c:v>866893.92589982087</c:v>
                </c:pt>
                <c:pt idx="223">
                  <c:v>869806.85575641191</c:v>
                </c:pt>
                <c:pt idx="224">
                  <c:v>872706.45311844104</c:v>
                </c:pt>
                <c:pt idx="225">
                  <c:v>875592.63243573473</c:v>
                </c:pt>
                <c:pt idx="226">
                  <c:v>878465.30760917277</c:v>
                </c:pt>
                <c:pt idx="227">
                  <c:v>881324.39198716532</c:v>
                </c:pt>
                <c:pt idx="228">
                  <c:v>884169.7983621083</c:v>
                </c:pt>
                <c:pt idx="229">
                  <c:v>887001.43896681548</c:v>
                </c:pt>
                <c:pt idx="230">
                  <c:v>889819.22547092778</c:v>
                </c:pt>
                <c:pt idx="231">
                  <c:v>892623.06897729973</c:v>
                </c:pt>
                <c:pt idx="232">
                  <c:v>895412.88001836254</c:v>
                </c:pt>
                <c:pt idx="233">
                  <c:v>898188.56855246378</c:v>
                </c:pt>
                <c:pt idx="234">
                  <c:v>900950.04396018386</c:v>
                </c:pt>
                <c:pt idx="235">
                  <c:v>903697.21504062845</c:v>
                </c:pt>
                <c:pt idx="236">
                  <c:v>906429.99000769749</c:v>
                </c:pt>
                <c:pt idx="237">
                  <c:v>909148.2764863302</c:v>
                </c:pt>
                <c:pt idx="238">
                  <c:v>911851.98150872579</c:v>
                </c:pt>
                <c:pt idx="239">
                  <c:v>914541.01151054003</c:v>
                </c:pt>
                <c:pt idx="240">
                  <c:v>917215.27232705755</c:v>
                </c:pt>
                <c:pt idx="241">
                  <c:v>919874.66918933939</c:v>
                </c:pt>
                <c:pt idx="242">
                  <c:v>922519.10672034579</c:v>
                </c:pt>
                <c:pt idx="243">
                  <c:v>925148.48893103446</c:v>
                </c:pt>
                <c:pt idx="244">
                  <c:v>927762.71921643335</c:v>
                </c:pt>
                <c:pt idx="245">
                  <c:v>930361.70035168855</c:v>
                </c:pt>
                <c:pt idx="246">
                  <c:v>932945.33448808652</c:v>
                </c:pt>
                <c:pt idx="247">
                  <c:v>935513.52314905135</c:v>
                </c:pt>
                <c:pt idx="248">
                  <c:v>938066.16722611571</c:v>
                </c:pt>
                <c:pt idx="249">
                  <c:v>940603.16697486618</c:v>
                </c:pt>
                <c:pt idx="250">
                  <c:v>943124.42201086273</c:v>
                </c:pt>
                <c:pt idx="251">
                  <c:v>945629.8313055319</c:v>
                </c:pt>
                <c:pt idx="252">
                  <c:v>948119.29318203346</c:v>
                </c:pt>
                <c:pt idx="253">
                  <c:v>950592.70531110093</c:v>
                </c:pt>
                <c:pt idx="254">
                  <c:v>953049.96470685489</c:v>
                </c:pt>
                <c:pt idx="255">
                  <c:v>955490.96772258985</c:v>
                </c:pt>
                <c:pt idx="256">
                  <c:v>957915.6100465341</c:v>
                </c:pt>
                <c:pt idx="257">
                  <c:v>960323.78669758199</c:v>
                </c:pt>
                <c:pt idx="258">
                  <c:v>962715.3920209991</c:v>
                </c:pt>
                <c:pt idx="259">
                  <c:v>965090.31968409976</c:v>
                </c:pt>
                <c:pt idx="260">
                  <c:v>967448.46267189691</c:v>
                </c:pt>
                <c:pt idx="261">
                  <c:v>969789.71328272403</c:v>
                </c:pt>
                <c:pt idx="262">
                  <c:v>972113.96312382899</c:v>
                </c:pt>
                <c:pt idx="263">
                  <c:v>974421.10310693923</c:v>
                </c:pt>
                <c:pt idx="264">
                  <c:v>976711.02344379947</c:v>
                </c:pt>
                <c:pt idx="265">
                  <c:v>978983.61364167952</c:v>
                </c:pt>
                <c:pt idx="266">
                  <c:v>981238.76249885419</c:v>
                </c:pt>
                <c:pt idx="267">
                  <c:v>983476.35810005409</c:v>
                </c:pt>
                <c:pt idx="268">
                  <c:v>985696.28781188664</c:v>
                </c:pt>
                <c:pt idx="269">
                  <c:v>987898.43827822839</c:v>
                </c:pt>
                <c:pt idx="270">
                  <c:v>990082.69541558751</c:v>
                </c:pt>
                <c:pt idx="271">
                  <c:v>992248.94440843631</c:v>
                </c:pt>
                <c:pt idx="272">
                  <c:v>994397.06970451423</c:v>
                </c:pt>
                <c:pt idx="273">
                  <c:v>996526.95501010027</c:v>
                </c:pt>
                <c:pt idx="274">
                  <c:v>998638.48328525538</c:v>
                </c:pt>
                <c:pt idx="275">
                  <c:v>1000731.5367390345</c:v>
                </c:pt>
                <c:pt idx="276">
                  <c:v>1002805.9968246669</c:v>
                </c:pt>
                <c:pt idx="277">
                  <c:v>1004861.7442347071</c:v>
                </c:pt>
                <c:pt idx="278">
                  <c:v>1006898.6588961533</c:v>
                </c:pt>
                <c:pt idx="279">
                  <c:v>1008916.6199655355</c:v>
                </c:pt>
                <c:pt idx="280">
                  <c:v>1010915.5058239711</c:v>
                </c:pt>
                <c:pt idx="281">
                  <c:v>1012895.19407219</c:v>
                </c:pt>
                <c:pt idx="282">
                  <c:v>1014855.5615255266</c:v>
                </c:pt>
                <c:pt idx="283">
                  <c:v>1016796.4842088803</c:v>
                </c:pt>
                <c:pt idx="284">
                  <c:v>1018717.8373516439</c:v>
                </c:pt>
                <c:pt idx="285">
                  <c:v>1020619.4953825986</c:v>
                </c:pt>
                <c:pt idx="286">
                  <c:v>1022501.3319247769</c:v>
                </c:pt>
                <c:pt idx="287">
                  <c:v>1024363.2197902924</c:v>
                </c:pt>
                <c:pt idx="288">
                  <c:v>1026205.0309751367</c:v>
                </c:pt>
                <c:pt idx="289">
                  <c:v>1028026.6366539419</c:v>
                </c:pt>
                <c:pt idx="290">
                  <c:v>1029827.9071747112</c:v>
                </c:pt>
                <c:pt idx="291">
                  <c:v>1031608.7120535137</c:v>
                </c:pt>
                <c:pt idx="292">
                  <c:v>1033368.9199691468</c:v>
                </c:pt>
                <c:pt idx="293">
                  <c:v>1035108.3987577636</c:v>
                </c:pt>
                <c:pt idx="294">
                  <c:v>1036827.0154074655</c:v>
                </c:pt>
                <c:pt idx="295">
                  <c:v>1038524.6360528613</c:v>
                </c:pt>
                <c:pt idx="296">
                  <c:v>1040201.1259695902</c:v>
                </c:pt>
                <c:pt idx="297">
                  <c:v>1041856.3495688095</c:v>
                </c:pt>
                <c:pt idx="298">
                  <c:v>1043490.1703916489</c:v>
                </c:pt>
                <c:pt idx="299">
                  <c:v>1045102.4511036264</c:v>
                </c:pt>
                <c:pt idx="300">
                  <c:v>1046693.0534890308</c:v>
                </c:pt>
                <c:pt idx="301">
                  <c:v>1048261.8384452665</c:v>
                </c:pt>
                <c:pt idx="302">
                  <c:v>1049808.665977163</c:v>
                </c:pt>
                <c:pt idx="303">
                  <c:v>1051333.3951912473</c:v>
                </c:pt>
                <c:pt idx="304">
                  <c:v>1052835.8842899804</c:v>
                </c:pt>
                <c:pt idx="305">
                  <c:v>1054315.9905659554</c:v>
                </c:pt>
                <c:pt idx="306">
                  <c:v>1055773.5703960594</c:v>
                </c:pt>
                <c:pt idx="307">
                  <c:v>1057208.4792355984</c:v>
                </c:pt>
                <c:pt idx="308">
                  <c:v>1058620.5716123825</c:v>
                </c:pt>
                <c:pt idx="309">
                  <c:v>1060009.7011207761</c:v>
                </c:pt>
                <c:pt idx="310">
                  <c:v>1061375.7204157067</c:v>
                </c:pt>
                <c:pt idx="311">
                  <c:v>1062718.4812066383</c:v>
                </c:pt>
                <c:pt idx="312">
                  <c:v>1064037.8342515032</c:v>
                </c:pt>
                <c:pt idx="313">
                  <c:v>1065333.6293505977</c:v>
                </c:pt>
                <c:pt idx="314">
                  <c:v>1066605.7153404364</c:v>
                </c:pt>
                <c:pt idx="315">
                  <c:v>1067853.940087568</c:v>
                </c:pt>
                <c:pt idx="316">
                  <c:v>1069078.1504823521</c:v>
                </c:pt>
                <c:pt idx="317">
                  <c:v>1070278.1924326944</c:v>
                </c:pt>
                <c:pt idx="318">
                  <c:v>1071453.9108577429</c:v>
                </c:pt>
                <c:pt idx="319">
                  <c:v>1072605.1496815439</c:v>
                </c:pt>
                <c:pt idx="320">
                  <c:v>1073731.7518266558</c:v>
                </c:pt>
                <c:pt idx="321">
                  <c:v>1074833.5592077239</c:v>
                </c:pt>
                <c:pt idx="322">
                  <c:v>1075910.4127250121</c:v>
                </c:pt>
                <c:pt idx="323">
                  <c:v>1076962.1522578944</c:v>
                </c:pt>
                <c:pt idx="324">
                  <c:v>1077988.6166583044</c:v>
                </c:pt>
                <c:pt idx="325">
                  <c:v>1078989.643744142</c:v>
                </c:pt>
                <c:pt idx="326">
                  <c:v>1079965.0702926388</c:v>
                </c:pt>
                <c:pt idx="327">
                  <c:v>1080914.7320336802</c:v>
                </c:pt>
                <c:pt idx="328">
                  <c:v>1081838.4636430847</c:v>
                </c:pt>
                <c:pt idx="329">
                  <c:v>1082736.0987358412</c:v>
                </c:pt>
                <c:pt idx="330">
                  <c:v>1083607.4698593013</c:v>
                </c:pt>
                <c:pt idx="331">
                  <c:v>1084452.4084863286</c:v>
                </c:pt>
                <c:pt idx="332">
                  <c:v>1085270.7450084041</c:v>
                </c:pt>
                <c:pt idx="333">
                  <c:v>1086062.3087286879</c:v>
                </c:pt>
                <c:pt idx="334">
                  <c:v>1086826.9278550353</c:v>
                </c:pt>
                <c:pt idx="335">
                  <c:v>1087564.4294929684</c:v>
                </c:pt>
                <c:pt idx="336">
                  <c:v>1088274.639638603</c:v>
                </c:pt>
                <c:pt idx="337">
                  <c:v>1088957.3831715304</c:v>
                </c:pt>
                <c:pt idx="338">
                  <c:v>1089612.4838476526</c:v>
                </c:pt>
                <c:pt idx="339">
                  <c:v>1090239.7642919715</c:v>
                </c:pt>
                <c:pt idx="340">
                  <c:v>1090839.045991333</c:v>
                </c:pt>
                <c:pt idx="341">
                  <c:v>1091410.1492871237</c:v>
                </c:pt>
                <c:pt idx="342">
                  <c:v>1091952.8933679208</c:v>
                </c:pt>
                <c:pt idx="343">
                  <c:v>1092467.0962620946</c:v>
                </c:pt>
                <c:pt idx="344">
                  <c:v>1092952.5748303642</c:v>
                </c:pt>
                <c:pt idx="345">
                  <c:v>1093409.1447583053</c:v>
                </c:pt>
                <c:pt idx="346">
                  <c:v>1093836.6205488089</c:v>
                </c:pt>
                <c:pt idx="347">
                  <c:v>1094234.8155144933</c:v>
                </c:pt>
                <c:pt idx="348">
                  <c:v>1094603.5417700657</c:v>
                </c:pt>
                <c:pt idx="349">
                  <c:v>1094942.6102246363</c:v>
                </c:pt>
                <c:pt idx="350">
                  <c:v>1095251.8305739821</c:v>
                </c:pt>
                <c:pt idx="351">
                  <c:v>1095531.0112927612</c:v>
                </c:pt>
                <c:pt idx="352">
                  <c:v>1095779.9596266772</c:v>
                </c:pt>
                <c:pt idx="353">
                  <c:v>1095998.4815845944</c:v>
                </c:pt>
                <c:pt idx="354">
                  <c:v>1096186.3819305997</c:v>
                </c:pt>
                <c:pt idx="355">
                  <c:v>1096343.4641760169</c:v>
                </c:pt>
                <c:pt idx="356">
                  <c:v>1096469.5305713671</c:v>
                </c:pt>
                <c:pt idx="357">
                  <c:v>1096564.3820982792</c:v>
                </c:pt>
                <c:pt idx="358">
                  <c:v>1096627.8184613471</c:v>
                </c:pt>
                <c:pt idx="359">
                  <c:v>1096659.6380799364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7F-427E-83A8-519C72CCD637}"/>
            </c:ext>
          </c:extLst>
        </c:ser>
        <c:ser>
          <c:idx val="5"/>
          <c:order val="5"/>
          <c:tx>
            <c:strRef>
              <c:f>'1930 Independence Amortization'!$L$5</c:f>
              <c:strCache>
                <c:ptCount val="1"/>
                <c:pt idx="0">
                  <c:v>Total Paid End of Loan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'1930 Independence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Independence Amortization'!$L$6:$L$365</c:f>
              <c:numCache>
                <c:formatCode>"$"#,##0.00_);[Red]\("$"#,##0.00\)</c:formatCode>
                <c:ptCount val="360"/>
                <c:pt idx="0">
                  <c:v>4990.7212168886126</c:v>
                </c:pt>
                <c:pt idx="1">
                  <c:v>9981.4424337772252</c:v>
                </c:pt>
                <c:pt idx="2">
                  <c:v>14972.163650665838</c:v>
                </c:pt>
                <c:pt idx="3">
                  <c:v>19962.88486755445</c:v>
                </c:pt>
                <c:pt idx="4">
                  <c:v>24953.606084443065</c:v>
                </c:pt>
                <c:pt idx="5">
                  <c:v>29944.327301331676</c:v>
                </c:pt>
                <c:pt idx="6">
                  <c:v>34935.04851822029</c:v>
                </c:pt>
                <c:pt idx="7">
                  <c:v>39925.769735108901</c:v>
                </c:pt>
                <c:pt idx="8">
                  <c:v>44916.490951997512</c:v>
                </c:pt>
                <c:pt idx="9">
                  <c:v>49907.212168886123</c:v>
                </c:pt>
                <c:pt idx="10">
                  <c:v>54897.933385774741</c:v>
                </c:pt>
                <c:pt idx="11">
                  <c:v>59888.654602663351</c:v>
                </c:pt>
                <c:pt idx="12">
                  <c:v>64879.375819551969</c:v>
                </c:pt>
                <c:pt idx="13">
                  <c:v>69870.09703644058</c:v>
                </c:pt>
                <c:pt idx="14">
                  <c:v>74860.818253329198</c:v>
                </c:pt>
                <c:pt idx="15">
                  <c:v>79851.539470217802</c:v>
                </c:pt>
                <c:pt idx="16">
                  <c:v>84842.260687106434</c:v>
                </c:pt>
                <c:pt idx="17">
                  <c:v>89832.981903995038</c:v>
                </c:pt>
                <c:pt idx="18">
                  <c:v>94823.703120883642</c:v>
                </c:pt>
                <c:pt idx="19">
                  <c:v>99814.42433777226</c:v>
                </c:pt>
                <c:pt idx="20">
                  <c:v>104805.14555466088</c:v>
                </c:pt>
                <c:pt idx="21">
                  <c:v>109795.86677154948</c:v>
                </c:pt>
                <c:pt idx="22">
                  <c:v>114786.5879884381</c:v>
                </c:pt>
                <c:pt idx="23">
                  <c:v>119777.30920532672</c:v>
                </c:pt>
                <c:pt idx="24">
                  <c:v>124768.03042221532</c:v>
                </c:pt>
                <c:pt idx="25">
                  <c:v>129758.75163910392</c:v>
                </c:pt>
                <c:pt idx="26">
                  <c:v>134749.47285599256</c:v>
                </c:pt>
                <c:pt idx="27">
                  <c:v>139740.19407288116</c:v>
                </c:pt>
                <c:pt idx="28">
                  <c:v>144730.91528976976</c:v>
                </c:pt>
                <c:pt idx="29">
                  <c:v>149721.6365066584</c:v>
                </c:pt>
                <c:pt idx="30">
                  <c:v>154712.35772354703</c:v>
                </c:pt>
                <c:pt idx="31">
                  <c:v>159703.07894043563</c:v>
                </c:pt>
                <c:pt idx="32">
                  <c:v>164693.80015732424</c:v>
                </c:pt>
                <c:pt idx="33">
                  <c:v>169684.52137421284</c:v>
                </c:pt>
                <c:pt idx="34">
                  <c:v>174675.24259110144</c:v>
                </c:pt>
                <c:pt idx="35">
                  <c:v>179665.96380799005</c:v>
                </c:pt>
                <c:pt idx="36">
                  <c:v>184656.68502487868</c:v>
                </c:pt>
                <c:pt idx="37">
                  <c:v>189647.40624176728</c:v>
                </c:pt>
                <c:pt idx="38">
                  <c:v>194638.12745865589</c:v>
                </c:pt>
                <c:pt idx="39">
                  <c:v>199628.84867554449</c:v>
                </c:pt>
                <c:pt idx="40">
                  <c:v>204619.56989243309</c:v>
                </c:pt>
                <c:pt idx="41">
                  <c:v>209610.29110932173</c:v>
                </c:pt>
                <c:pt idx="42">
                  <c:v>214601.01232621033</c:v>
                </c:pt>
                <c:pt idx="43">
                  <c:v>219591.73354309896</c:v>
                </c:pt>
                <c:pt idx="44">
                  <c:v>224582.45475998757</c:v>
                </c:pt>
                <c:pt idx="45">
                  <c:v>229573.17597687617</c:v>
                </c:pt>
                <c:pt idx="46">
                  <c:v>234563.89719376477</c:v>
                </c:pt>
                <c:pt idx="47">
                  <c:v>239554.61841065338</c:v>
                </c:pt>
                <c:pt idx="48">
                  <c:v>244545.33962754201</c:v>
                </c:pt>
                <c:pt idx="49">
                  <c:v>249536.06084443061</c:v>
                </c:pt>
                <c:pt idx="50">
                  <c:v>254526.78206131922</c:v>
                </c:pt>
                <c:pt idx="51">
                  <c:v>259517.50327820785</c:v>
                </c:pt>
                <c:pt idx="52">
                  <c:v>264508.22449509648</c:v>
                </c:pt>
                <c:pt idx="53">
                  <c:v>269498.94571198506</c:v>
                </c:pt>
                <c:pt idx="54">
                  <c:v>274489.66692887369</c:v>
                </c:pt>
                <c:pt idx="55">
                  <c:v>279480.38814576226</c:v>
                </c:pt>
                <c:pt idx="56">
                  <c:v>284471.1093626509</c:v>
                </c:pt>
                <c:pt idx="57">
                  <c:v>289461.83057953953</c:v>
                </c:pt>
                <c:pt idx="58">
                  <c:v>294452.5517964281</c:v>
                </c:pt>
                <c:pt idx="59">
                  <c:v>299443.27301331674</c:v>
                </c:pt>
                <c:pt idx="60">
                  <c:v>304433.99423020531</c:v>
                </c:pt>
                <c:pt idx="61">
                  <c:v>309424.71544709394</c:v>
                </c:pt>
                <c:pt idx="62">
                  <c:v>314415.43666398252</c:v>
                </c:pt>
                <c:pt idx="63">
                  <c:v>319406.15788087115</c:v>
                </c:pt>
                <c:pt idx="64">
                  <c:v>324396.87909775972</c:v>
                </c:pt>
                <c:pt idx="65">
                  <c:v>329387.60031464836</c:v>
                </c:pt>
                <c:pt idx="66">
                  <c:v>334378.32153153699</c:v>
                </c:pt>
                <c:pt idx="67">
                  <c:v>339369.04274842562</c:v>
                </c:pt>
                <c:pt idx="68">
                  <c:v>344359.7639653142</c:v>
                </c:pt>
                <c:pt idx="69">
                  <c:v>349350.48518220277</c:v>
                </c:pt>
                <c:pt idx="70">
                  <c:v>354341.2063990914</c:v>
                </c:pt>
                <c:pt idx="71">
                  <c:v>359331.92761597998</c:v>
                </c:pt>
                <c:pt idx="72">
                  <c:v>364322.64883286861</c:v>
                </c:pt>
                <c:pt idx="73">
                  <c:v>369313.37004975718</c:v>
                </c:pt>
                <c:pt idx="74">
                  <c:v>374304.09126664582</c:v>
                </c:pt>
                <c:pt idx="75">
                  <c:v>379294.81248353445</c:v>
                </c:pt>
                <c:pt idx="76">
                  <c:v>384285.53370042308</c:v>
                </c:pt>
                <c:pt idx="77">
                  <c:v>389276.25491731171</c:v>
                </c:pt>
                <c:pt idx="78">
                  <c:v>394266.97613420029</c:v>
                </c:pt>
                <c:pt idx="79">
                  <c:v>399257.69735108892</c:v>
                </c:pt>
                <c:pt idx="80">
                  <c:v>404248.4185679775</c:v>
                </c:pt>
                <c:pt idx="81">
                  <c:v>409239.13978486613</c:v>
                </c:pt>
                <c:pt idx="82">
                  <c:v>414229.86100175476</c:v>
                </c:pt>
                <c:pt idx="83">
                  <c:v>419220.58221864339</c:v>
                </c:pt>
                <c:pt idx="84">
                  <c:v>424211.30343553197</c:v>
                </c:pt>
                <c:pt idx="85">
                  <c:v>429202.0246524206</c:v>
                </c:pt>
                <c:pt idx="86">
                  <c:v>434192.74586930923</c:v>
                </c:pt>
                <c:pt idx="87">
                  <c:v>439183.46708619781</c:v>
                </c:pt>
                <c:pt idx="88">
                  <c:v>444174.1883030865</c:v>
                </c:pt>
                <c:pt idx="89">
                  <c:v>449164.90951997507</c:v>
                </c:pt>
                <c:pt idx="90">
                  <c:v>454155.63073686365</c:v>
                </c:pt>
                <c:pt idx="91">
                  <c:v>459146.35195375228</c:v>
                </c:pt>
                <c:pt idx="92">
                  <c:v>464137.07317064091</c:v>
                </c:pt>
                <c:pt idx="93">
                  <c:v>469127.79438752949</c:v>
                </c:pt>
                <c:pt idx="94">
                  <c:v>474118.51560441806</c:v>
                </c:pt>
                <c:pt idx="95">
                  <c:v>479109.23682130669</c:v>
                </c:pt>
                <c:pt idx="96">
                  <c:v>484099.95803819533</c:v>
                </c:pt>
                <c:pt idx="97">
                  <c:v>489090.6792550839</c:v>
                </c:pt>
                <c:pt idx="98">
                  <c:v>494081.40047197248</c:v>
                </c:pt>
                <c:pt idx="99">
                  <c:v>499072.12168886111</c:v>
                </c:pt>
                <c:pt idx="100">
                  <c:v>504062.84290574974</c:v>
                </c:pt>
                <c:pt idx="101">
                  <c:v>509053.56412263832</c:v>
                </c:pt>
                <c:pt idx="102">
                  <c:v>514044.28533952689</c:v>
                </c:pt>
                <c:pt idx="103">
                  <c:v>519035.00655641546</c:v>
                </c:pt>
                <c:pt idx="104">
                  <c:v>524025.7277733041</c:v>
                </c:pt>
                <c:pt idx="105">
                  <c:v>529016.44899019273</c:v>
                </c:pt>
                <c:pt idx="106">
                  <c:v>534007.17020708136</c:v>
                </c:pt>
                <c:pt idx="107">
                  <c:v>538997.89142396988</c:v>
                </c:pt>
                <c:pt idx="108">
                  <c:v>543988.61264085851</c:v>
                </c:pt>
                <c:pt idx="109">
                  <c:v>548979.33385774714</c:v>
                </c:pt>
                <c:pt idx="110">
                  <c:v>553970.05507463578</c:v>
                </c:pt>
                <c:pt idx="111">
                  <c:v>558960.77629152441</c:v>
                </c:pt>
                <c:pt idx="112">
                  <c:v>563951.49750841304</c:v>
                </c:pt>
                <c:pt idx="113">
                  <c:v>568942.21872530167</c:v>
                </c:pt>
                <c:pt idx="114">
                  <c:v>573932.93994219031</c:v>
                </c:pt>
                <c:pt idx="115">
                  <c:v>578923.66115907894</c:v>
                </c:pt>
                <c:pt idx="116">
                  <c:v>583914.38237596746</c:v>
                </c:pt>
                <c:pt idx="117">
                  <c:v>588905.10359285609</c:v>
                </c:pt>
                <c:pt idx="118">
                  <c:v>593895.82480974472</c:v>
                </c:pt>
                <c:pt idx="119">
                  <c:v>598886.54602663335</c:v>
                </c:pt>
                <c:pt idx="120">
                  <c:v>603877.26724352199</c:v>
                </c:pt>
                <c:pt idx="121">
                  <c:v>608867.9884604105</c:v>
                </c:pt>
                <c:pt idx="122">
                  <c:v>613858.70967729914</c:v>
                </c:pt>
                <c:pt idx="123">
                  <c:v>618849.43089418777</c:v>
                </c:pt>
                <c:pt idx="124">
                  <c:v>623840.1521110764</c:v>
                </c:pt>
                <c:pt idx="125">
                  <c:v>628830.87332796503</c:v>
                </c:pt>
                <c:pt idx="126">
                  <c:v>633821.59454485367</c:v>
                </c:pt>
                <c:pt idx="127">
                  <c:v>638812.31576174241</c:v>
                </c:pt>
                <c:pt idx="128">
                  <c:v>643803.03697863093</c:v>
                </c:pt>
                <c:pt idx="129">
                  <c:v>648793.75819551956</c:v>
                </c:pt>
                <c:pt idx="130">
                  <c:v>653784.4794124082</c:v>
                </c:pt>
                <c:pt idx="131">
                  <c:v>658775.20062929671</c:v>
                </c:pt>
                <c:pt idx="132">
                  <c:v>663765.92184618535</c:v>
                </c:pt>
                <c:pt idx="133">
                  <c:v>668756.64306307398</c:v>
                </c:pt>
                <c:pt idx="134">
                  <c:v>673747.36427996261</c:v>
                </c:pt>
                <c:pt idx="135">
                  <c:v>678738.08549685124</c:v>
                </c:pt>
                <c:pt idx="136">
                  <c:v>683728.80671373988</c:v>
                </c:pt>
                <c:pt idx="137">
                  <c:v>688719.52793062839</c:v>
                </c:pt>
                <c:pt idx="138">
                  <c:v>693710.24914751702</c:v>
                </c:pt>
                <c:pt idx="139">
                  <c:v>698700.97036440566</c:v>
                </c:pt>
                <c:pt idx="140">
                  <c:v>703691.69158129429</c:v>
                </c:pt>
                <c:pt idx="141">
                  <c:v>708682.41279818292</c:v>
                </c:pt>
                <c:pt idx="142">
                  <c:v>713673.13401507156</c:v>
                </c:pt>
                <c:pt idx="143">
                  <c:v>718663.85523196019</c:v>
                </c:pt>
                <c:pt idx="144">
                  <c:v>723654.5764488487</c:v>
                </c:pt>
                <c:pt idx="145">
                  <c:v>728645.29766573734</c:v>
                </c:pt>
                <c:pt idx="146">
                  <c:v>733636.01888262597</c:v>
                </c:pt>
                <c:pt idx="147">
                  <c:v>738626.7400995146</c:v>
                </c:pt>
                <c:pt idx="148">
                  <c:v>743617.46131640312</c:v>
                </c:pt>
                <c:pt idx="149">
                  <c:v>748608.18253329175</c:v>
                </c:pt>
                <c:pt idx="150">
                  <c:v>753598.90375018027</c:v>
                </c:pt>
                <c:pt idx="151">
                  <c:v>758589.6249670689</c:v>
                </c:pt>
                <c:pt idx="152">
                  <c:v>763580.34618395753</c:v>
                </c:pt>
                <c:pt idx="153">
                  <c:v>768571.06740084616</c:v>
                </c:pt>
                <c:pt idx="154">
                  <c:v>773561.7886177348</c:v>
                </c:pt>
                <c:pt idx="155">
                  <c:v>778552.50983462343</c:v>
                </c:pt>
                <c:pt idx="156">
                  <c:v>783543.23105151195</c:v>
                </c:pt>
                <c:pt idx="157">
                  <c:v>788533.95226840058</c:v>
                </c:pt>
                <c:pt idx="158">
                  <c:v>793524.67348528921</c:v>
                </c:pt>
                <c:pt idx="159">
                  <c:v>798515.39470217784</c:v>
                </c:pt>
                <c:pt idx="160">
                  <c:v>803506.11591906648</c:v>
                </c:pt>
                <c:pt idx="161">
                  <c:v>808496.83713595499</c:v>
                </c:pt>
                <c:pt idx="162">
                  <c:v>813487.55835284363</c:v>
                </c:pt>
                <c:pt idx="163">
                  <c:v>818478.27956973226</c:v>
                </c:pt>
                <c:pt idx="164">
                  <c:v>823469.00078662089</c:v>
                </c:pt>
                <c:pt idx="165">
                  <c:v>828459.72200350952</c:v>
                </c:pt>
                <c:pt idx="166">
                  <c:v>833450.44322039816</c:v>
                </c:pt>
                <c:pt idx="167">
                  <c:v>838441.16443728679</c:v>
                </c:pt>
                <c:pt idx="168">
                  <c:v>843431.8856541753</c:v>
                </c:pt>
                <c:pt idx="169">
                  <c:v>848422.60687106394</c:v>
                </c:pt>
                <c:pt idx="170">
                  <c:v>853413.32808795245</c:v>
                </c:pt>
                <c:pt idx="171">
                  <c:v>858404.04930484109</c:v>
                </c:pt>
                <c:pt idx="172">
                  <c:v>863394.77052172972</c:v>
                </c:pt>
                <c:pt idx="173">
                  <c:v>868385.49173861824</c:v>
                </c:pt>
                <c:pt idx="174">
                  <c:v>873376.21295550698</c:v>
                </c:pt>
                <c:pt idx="175">
                  <c:v>878366.9341723955</c:v>
                </c:pt>
                <c:pt idx="176">
                  <c:v>883357.65538928413</c:v>
                </c:pt>
                <c:pt idx="177">
                  <c:v>888348.37660617277</c:v>
                </c:pt>
                <c:pt idx="178">
                  <c:v>893339.09782306128</c:v>
                </c:pt>
                <c:pt idx="179">
                  <c:v>898329.81903994991</c:v>
                </c:pt>
                <c:pt idx="180">
                  <c:v>903320.54025683855</c:v>
                </c:pt>
                <c:pt idx="181">
                  <c:v>908311.26147372718</c:v>
                </c:pt>
                <c:pt idx="182">
                  <c:v>913301.98269061581</c:v>
                </c:pt>
                <c:pt idx="183">
                  <c:v>918292.70390750444</c:v>
                </c:pt>
                <c:pt idx="184">
                  <c:v>923283.42512439308</c:v>
                </c:pt>
                <c:pt idx="185">
                  <c:v>928274.14634128171</c:v>
                </c:pt>
                <c:pt idx="186">
                  <c:v>933264.86755817034</c:v>
                </c:pt>
                <c:pt idx="187">
                  <c:v>938255.58877505898</c:v>
                </c:pt>
                <c:pt idx="188">
                  <c:v>943246.30999194761</c:v>
                </c:pt>
                <c:pt idx="189">
                  <c:v>948237.03120883624</c:v>
                </c:pt>
                <c:pt idx="190">
                  <c:v>953227.75242572487</c:v>
                </c:pt>
                <c:pt idx="191">
                  <c:v>958218.47364261351</c:v>
                </c:pt>
                <c:pt idx="192">
                  <c:v>963209.19485950214</c:v>
                </c:pt>
                <c:pt idx="193">
                  <c:v>968199.91607639077</c:v>
                </c:pt>
                <c:pt idx="194">
                  <c:v>973190.63729327929</c:v>
                </c:pt>
                <c:pt idx="195">
                  <c:v>978181.35851016792</c:v>
                </c:pt>
                <c:pt idx="196">
                  <c:v>983172.07972705644</c:v>
                </c:pt>
                <c:pt idx="197">
                  <c:v>988162.80094394507</c:v>
                </c:pt>
                <c:pt idx="198">
                  <c:v>993153.5221608337</c:v>
                </c:pt>
                <c:pt idx="199">
                  <c:v>998144.24337772233</c:v>
                </c:pt>
                <c:pt idx="200">
                  <c:v>1003134.964594611</c:v>
                </c:pt>
                <c:pt idx="201">
                  <c:v>1008125.6858114996</c:v>
                </c:pt>
                <c:pt idx="202">
                  <c:v>1013116.4070283881</c:v>
                </c:pt>
                <c:pt idx="203">
                  <c:v>1018107.1282452767</c:v>
                </c:pt>
                <c:pt idx="204">
                  <c:v>1023097.8494621653</c:v>
                </c:pt>
                <c:pt idx="205">
                  <c:v>1028088.5706790539</c:v>
                </c:pt>
                <c:pt idx="206">
                  <c:v>1033079.2918959425</c:v>
                </c:pt>
                <c:pt idx="207">
                  <c:v>1038070.0131128312</c:v>
                </c:pt>
                <c:pt idx="208">
                  <c:v>1043060.7343297198</c:v>
                </c:pt>
                <c:pt idx="209">
                  <c:v>1048051.4555466083</c:v>
                </c:pt>
                <c:pt idx="210">
                  <c:v>1053042.1767634968</c:v>
                </c:pt>
                <c:pt idx="211">
                  <c:v>1058032.8979803857</c:v>
                </c:pt>
                <c:pt idx="212">
                  <c:v>1063023.6191972741</c:v>
                </c:pt>
                <c:pt idx="213">
                  <c:v>1068014.3404141627</c:v>
                </c:pt>
                <c:pt idx="214">
                  <c:v>1073005.0616310514</c:v>
                </c:pt>
                <c:pt idx="215">
                  <c:v>1077995.78284794</c:v>
                </c:pt>
                <c:pt idx="216">
                  <c:v>1082986.5040648286</c:v>
                </c:pt>
                <c:pt idx="217">
                  <c:v>1087977.2252817173</c:v>
                </c:pt>
                <c:pt idx="218">
                  <c:v>1092967.9464986059</c:v>
                </c:pt>
                <c:pt idx="219">
                  <c:v>1097958.6677154945</c:v>
                </c:pt>
                <c:pt idx="220">
                  <c:v>1102949.3889323832</c:v>
                </c:pt>
                <c:pt idx="221">
                  <c:v>1107940.1101492718</c:v>
                </c:pt>
                <c:pt idx="222">
                  <c:v>1112930.8313661602</c:v>
                </c:pt>
                <c:pt idx="223">
                  <c:v>1117921.5525830491</c:v>
                </c:pt>
                <c:pt idx="224">
                  <c:v>1122912.2737999377</c:v>
                </c:pt>
                <c:pt idx="225">
                  <c:v>1127902.9950168261</c:v>
                </c:pt>
                <c:pt idx="226">
                  <c:v>1132893.7162337149</c:v>
                </c:pt>
                <c:pt idx="227">
                  <c:v>1137884.4374506036</c:v>
                </c:pt>
                <c:pt idx="228">
                  <c:v>1142875.1586674922</c:v>
                </c:pt>
                <c:pt idx="229">
                  <c:v>1147865.8798843808</c:v>
                </c:pt>
                <c:pt idx="230">
                  <c:v>1152856.6011012695</c:v>
                </c:pt>
                <c:pt idx="231">
                  <c:v>1157847.3223181581</c:v>
                </c:pt>
                <c:pt idx="232">
                  <c:v>1162838.0435350465</c:v>
                </c:pt>
                <c:pt idx="233">
                  <c:v>1167828.7647519351</c:v>
                </c:pt>
                <c:pt idx="234">
                  <c:v>1172819.4859688238</c:v>
                </c:pt>
                <c:pt idx="235">
                  <c:v>1177810.2071857124</c:v>
                </c:pt>
                <c:pt idx="236">
                  <c:v>1182800.928402601</c:v>
                </c:pt>
                <c:pt idx="237">
                  <c:v>1187791.6496194897</c:v>
                </c:pt>
                <c:pt idx="238">
                  <c:v>1192782.3708363783</c:v>
                </c:pt>
                <c:pt idx="239">
                  <c:v>1197773.0920532669</c:v>
                </c:pt>
                <c:pt idx="240">
                  <c:v>1202763.8132701556</c:v>
                </c:pt>
                <c:pt idx="241">
                  <c:v>1207754.5344870442</c:v>
                </c:pt>
                <c:pt idx="242">
                  <c:v>1212745.2557039328</c:v>
                </c:pt>
                <c:pt idx="243">
                  <c:v>1217735.9769208215</c:v>
                </c:pt>
                <c:pt idx="244">
                  <c:v>1222726.6981377101</c:v>
                </c:pt>
                <c:pt idx="245">
                  <c:v>1227717.4193545987</c:v>
                </c:pt>
                <c:pt idx="246">
                  <c:v>1232708.1405714874</c:v>
                </c:pt>
                <c:pt idx="247">
                  <c:v>1237698.8617883758</c:v>
                </c:pt>
                <c:pt idx="248">
                  <c:v>1242689.5830052644</c:v>
                </c:pt>
                <c:pt idx="249">
                  <c:v>1247680.304222153</c:v>
                </c:pt>
                <c:pt idx="250">
                  <c:v>1252671.0254390417</c:v>
                </c:pt>
                <c:pt idx="251">
                  <c:v>1257661.7466559303</c:v>
                </c:pt>
                <c:pt idx="252">
                  <c:v>1262652.4678728189</c:v>
                </c:pt>
                <c:pt idx="253">
                  <c:v>1267643.1890897076</c:v>
                </c:pt>
                <c:pt idx="254">
                  <c:v>1272633.9103065962</c:v>
                </c:pt>
                <c:pt idx="255">
                  <c:v>1277624.6315234848</c:v>
                </c:pt>
                <c:pt idx="256">
                  <c:v>1282615.3527403735</c:v>
                </c:pt>
                <c:pt idx="257">
                  <c:v>1287606.0739572621</c:v>
                </c:pt>
                <c:pt idx="258">
                  <c:v>1292596.7951741507</c:v>
                </c:pt>
                <c:pt idx="259">
                  <c:v>1297587.5163910394</c:v>
                </c:pt>
                <c:pt idx="260">
                  <c:v>1302578.237607928</c:v>
                </c:pt>
                <c:pt idx="261">
                  <c:v>1307568.9588248166</c:v>
                </c:pt>
                <c:pt idx="262">
                  <c:v>1312559.6800417053</c:v>
                </c:pt>
                <c:pt idx="263">
                  <c:v>1317550.4012585939</c:v>
                </c:pt>
                <c:pt idx="264">
                  <c:v>1322541.1224754825</c:v>
                </c:pt>
                <c:pt idx="265">
                  <c:v>1327531.8436923712</c:v>
                </c:pt>
                <c:pt idx="266">
                  <c:v>1332522.5649092596</c:v>
                </c:pt>
                <c:pt idx="267">
                  <c:v>1337513.2861261482</c:v>
                </c:pt>
                <c:pt idx="268">
                  <c:v>1342504.0073430368</c:v>
                </c:pt>
                <c:pt idx="269">
                  <c:v>1347494.7285599255</c:v>
                </c:pt>
                <c:pt idx="270">
                  <c:v>1352485.4497768141</c:v>
                </c:pt>
                <c:pt idx="271">
                  <c:v>1357476.1709937027</c:v>
                </c:pt>
                <c:pt idx="272">
                  <c:v>1362466.8922105914</c:v>
                </c:pt>
                <c:pt idx="273">
                  <c:v>1367457.61342748</c:v>
                </c:pt>
                <c:pt idx="274">
                  <c:v>1372448.3346443684</c:v>
                </c:pt>
                <c:pt idx="275">
                  <c:v>1377439.0558612572</c:v>
                </c:pt>
                <c:pt idx="276">
                  <c:v>1382429.7770781456</c:v>
                </c:pt>
                <c:pt idx="277">
                  <c:v>1387420.4982950345</c:v>
                </c:pt>
                <c:pt idx="278">
                  <c:v>1392411.2195119231</c:v>
                </c:pt>
                <c:pt idx="279">
                  <c:v>1397401.9407288118</c:v>
                </c:pt>
                <c:pt idx="280">
                  <c:v>1402392.6619457004</c:v>
                </c:pt>
                <c:pt idx="281">
                  <c:v>1407383.3831625888</c:v>
                </c:pt>
                <c:pt idx="282">
                  <c:v>1412374.1043794774</c:v>
                </c:pt>
                <c:pt idx="283">
                  <c:v>1417364.8255963661</c:v>
                </c:pt>
                <c:pt idx="284">
                  <c:v>1422355.5468132547</c:v>
                </c:pt>
                <c:pt idx="285">
                  <c:v>1427346.2680301433</c:v>
                </c:pt>
                <c:pt idx="286">
                  <c:v>1432336.989247032</c:v>
                </c:pt>
                <c:pt idx="287">
                  <c:v>1437327.7104639206</c:v>
                </c:pt>
                <c:pt idx="288">
                  <c:v>1442318.4316808092</c:v>
                </c:pt>
                <c:pt idx="289">
                  <c:v>1447309.1528976979</c:v>
                </c:pt>
                <c:pt idx="290">
                  <c:v>1452299.8741145865</c:v>
                </c:pt>
                <c:pt idx="291">
                  <c:v>1457290.5953314751</c:v>
                </c:pt>
                <c:pt idx="292">
                  <c:v>1462281.3165483638</c:v>
                </c:pt>
                <c:pt idx="293">
                  <c:v>1467272.0377652524</c:v>
                </c:pt>
                <c:pt idx="294">
                  <c:v>1472262.758982141</c:v>
                </c:pt>
                <c:pt idx="295">
                  <c:v>1477253.4801990297</c:v>
                </c:pt>
                <c:pt idx="296">
                  <c:v>1482244.2014159183</c:v>
                </c:pt>
                <c:pt idx="297">
                  <c:v>1487234.9226328069</c:v>
                </c:pt>
                <c:pt idx="298">
                  <c:v>1492225.6438496956</c:v>
                </c:pt>
                <c:pt idx="299">
                  <c:v>1497216.3650665842</c:v>
                </c:pt>
                <c:pt idx="300">
                  <c:v>1502207.0862834728</c:v>
                </c:pt>
                <c:pt idx="301">
                  <c:v>1507197.8075003615</c:v>
                </c:pt>
                <c:pt idx="302">
                  <c:v>1512188.5287172501</c:v>
                </c:pt>
                <c:pt idx="303">
                  <c:v>1517179.2499341387</c:v>
                </c:pt>
                <c:pt idx="304">
                  <c:v>1522169.9711510271</c:v>
                </c:pt>
                <c:pt idx="305">
                  <c:v>1527160.692367916</c:v>
                </c:pt>
                <c:pt idx="306">
                  <c:v>1532151.4135848044</c:v>
                </c:pt>
                <c:pt idx="307">
                  <c:v>1537142.134801693</c:v>
                </c:pt>
                <c:pt idx="308">
                  <c:v>1542132.8560185817</c:v>
                </c:pt>
                <c:pt idx="309">
                  <c:v>1547123.5772354703</c:v>
                </c:pt>
                <c:pt idx="310">
                  <c:v>1552114.2984523587</c:v>
                </c:pt>
                <c:pt idx="311">
                  <c:v>1557105.0196692473</c:v>
                </c:pt>
                <c:pt idx="312">
                  <c:v>1562095.740886136</c:v>
                </c:pt>
                <c:pt idx="313">
                  <c:v>1567086.4621030246</c:v>
                </c:pt>
                <c:pt idx="314">
                  <c:v>1572077.1833199135</c:v>
                </c:pt>
                <c:pt idx="315">
                  <c:v>1577067.9045368019</c:v>
                </c:pt>
                <c:pt idx="316">
                  <c:v>1582058.6257536905</c:v>
                </c:pt>
                <c:pt idx="317">
                  <c:v>1587049.3469705791</c:v>
                </c:pt>
                <c:pt idx="318">
                  <c:v>1592040.0681874678</c:v>
                </c:pt>
                <c:pt idx="319">
                  <c:v>1597030.7894043564</c:v>
                </c:pt>
                <c:pt idx="320">
                  <c:v>1602021.510621245</c:v>
                </c:pt>
                <c:pt idx="321">
                  <c:v>1607012.2318381337</c:v>
                </c:pt>
                <c:pt idx="322">
                  <c:v>1612002.9530550223</c:v>
                </c:pt>
                <c:pt idx="323">
                  <c:v>1616993.6742719107</c:v>
                </c:pt>
                <c:pt idx="324">
                  <c:v>1621984.3954887991</c:v>
                </c:pt>
                <c:pt idx="325">
                  <c:v>1626975.1167056877</c:v>
                </c:pt>
                <c:pt idx="326">
                  <c:v>1631965.8379225763</c:v>
                </c:pt>
                <c:pt idx="327">
                  <c:v>1636956.5591394652</c:v>
                </c:pt>
                <c:pt idx="328">
                  <c:v>1641947.2803563538</c:v>
                </c:pt>
                <c:pt idx="329">
                  <c:v>1646938.0015732422</c:v>
                </c:pt>
                <c:pt idx="330">
                  <c:v>1651928.7227901311</c:v>
                </c:pt>
                <c:pt idx="331">
                  <c:v>1656919.4440070197</c:v>
                </c:pt>
                <c:pt idx="332">
                  <c:v>1661910.1652239084</c:v>
                </c:pt>
                <c:pt idx="333">
                  <c:v>1666900.8864407968</c:v>
                </c:pt>
                <c:pt idx="334">
                  <c:v>1671891.6076576854</c:v>
                </c:pt>
                <c:pt idx="335">
                  <c:v>1676882.3288745743</c:v>
                </c:pt>
                <c:pt idx="336">
                  <c:v>1681873.0500914627</c:v>
                </c:pt>
                <c:pt idx="337">
                  <c:v>1686863.7713083513</c:v>
                </c:pt>
                <c:pt idx="338">
                  <c:v>1691854.4925252399</c:v>
                </c:pt>
                <c:pt idx="339">
                  <c:v>1696845.2137421288</c:v>
                </c:pt>
                <c:pt idx="340">
                  <c:v>1701835.9349590174</c:v>
                </c:pt>
                <c:pt idx="341">
                  <c:v>1706826.6561759061</c:v>
                </c:pt>
                <c:pt idx="342">
                  <c:v>1711817.3773927949</c:v>
                </c:pt>
                <c:pt idx="343">
                  <c:v>1716808.0986096836</c:v>
                </c:pt>
                <c:pt idx="344">
                  <c:v>1721798.8198265722</c:v>
                </c:pt>
                <c:pt idx="345">
                  <c:v>1726789.5410434608</c:v>
                </c:pt>
                <c:pt idx="346">
                  <c:v>1731780.2622603495</c:v>
                </c:pt>
                <c:pt idx="347">
                  <c:v>1736770.9834772381</c:v>
                </c:pt>
                <c:pt idx="348">
                  <c:v>1741761.7046941267</c:v>
                </c:pt>
                <c:pt idx="349">
                  <c:v>1746752.4259110154</c:v>
                </c:pt>
                <c:pt idx="350">
                  <c:v>1751743.147127904</c:v>
                </c:pt>
                <c:pt idx="351">
                  <c:v>1756733.8683447929</c:v>
                </c:pt>
                <c:pt idx="352">
                  <c:v>1761724.5895616813</c:v>
                </c:pt>
                <c:pt idx="353">
                  <c:v>1766715.3107785701</c:v>
                </c:pt>
                <c:pt idx="354">
                  <c:v>1771706.0319954588</c:v>
                </c:pt>
                <c:pt idx="355">
                  <c:v>1776696.7532123474</c:v>
                </c:pt>
                <c:pt idx="356">
                  <c:v>1781687.474429236</c:v>
                </c:pt>
                <c:pt idx="357">
                  <c:v>1786678.1956461247</c:v>
                </c:pt>
                <c:pt idx="358">
                  <c:v>1791668.9168630131</c:v>
                </c:pt>
                <c:pt idx="359">
                  <c:v>1796659.6380799017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7F-427E-83A8-519C72CCD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882367"/>
        <c:axId val="1065093855"/>
      </c:scatterChart>
      <c:scatterChart>
        <c:scatterStyle val="smoothMarker"/>
        <c:varyColors val="0"/>
        <c:ser>
          <c:idx val="3"/>
          <c:order val="3"/>
          <c:tx>
            <c:strRef>
              <c:f>'1930 Independence Amortization'!$E$5</c:f>
              <c:strCache>
                <c:ptCount val="1"/>
                <c:pt idx="0">
                  <c:v>principalPayment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'1930 Independence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Independence Amortization'!$E$6:$E$365</c:f>
              <c:numCache>
                <c:formatCode>"$"#,##0.00_);[Red]\("$"#,##0.00\)</c:formatCode>
                <c:ptCount val="360"/>
                <c:pt idx="0">
                  <c:v>499.05455022194565</c:v>
                </c:pt>
                <c:pt idx="1">
                  <c:v>502.25681691920272</c:v>
                </c:pt>
                <c:pt idx="2">
                  <c:v>505.47963149443422</c:v>
                </c:pt>
                <c:pt idx="3">
                  <c:v>508.72312579652316</c:v>
                </c:pt>
                <c:pt idx="4">
                  <c:v>511.98743252038457</c:v>
                </c:pt>
                <c:pt idx="5">
                  <c:v>515.27268521239057</c:v>
                </c:pt>
                <c:pt idx="6">
                  <c:v>518.57901827583646</c:v>
                </c:pt>
                <c:pt idx="7">
                  <c:v>521.90656697643954</c:v>
                </c:pt>
                <c:pt idx="8">
                  <c:v>525.25546744787243</c:v>
                </c:pt>
                <c:pt idx="9">
                  <c:v>528.62585669732925</c:v>
                </c:pt>
                <c:pt idx="10">
                  <c:v>532.01787261113714</c:v>
                </c:pt>
                <c:pt idx="11">
                  <c:v>535.4316539603924</c:v>
                </c:pt>
                <c:pt idx="12">
                  <c:v>538.8673404066385</c:v>
                </c:pt>
                <c:pt idx="13">
                  <c:v>542.32507250758044</c:v>
                </c:pt>
                <c:pt idx="14">
                  <c:v>545.80499172283817</c:v>
                </c:pt>
                <c:pt idx="15">
                  <c:v>549.30724041972553</c:v>
                </c:pt>
                <c:pt idx="16">
                  <c:v>552.83196187908561</c:v>
                </c:pt>
                <c:pt idx="17">
                  <c:v>556.37930030114239</c:v>
                </c:pt>
                <c:pt idx="18">
                  <c:v>559.94940081140885</c:v>
                </c:pt>
                <c:pt idx="19">
                  <c:v>563.54240946661594</c:v>
                </c:pt>
                <c:pt idx="20">
                  <c:v>567.15847326069252</c:v>
                </c:pt>
                <c:pt idx="21">
                  <c:v>570.79774013078259</c:v>
                </c:pt>
                <c:pt idx="22">
                  <c:v>574.46035896328794</c:v>
                </c:pt>
                <c:pt idx="23">
                  <c:v>578.1464795999691</c:v>
                </c:pt>
                <c:pt idx="24">
                  <c:v>581.85625284406888</c:v>
                </c:pt>
                <c:pt idx="25">
                  <c:v>585.58983046648518</c:v>
                </c:pt>
                <c:pt idx="26">
                  <c:v>589.34736521197829</c:v>
                </c:pt>
                <c:pt idx="27">
                  <c:v>593.12901080542179</c:v>
                </c:pt>
                <c:pt idx="28">
                  <c:v>596.93492195808903</c:v>
                </c:pt>
                <c:pt idx="29">
                  <c:v>600.76525437398777</c:v>
                </c:pt>
                <c:pt idx="30">
                  <c:v>604.62016475622022</c:v>
                </c:pt>
                <c:pt idx="31">
                  <c:v>608.49981081340593</c:v>
                </c:pt>
                <c:pt idx="32">
                  <c:v>612.40435126612556</c:v>
                </c:pt>
                <c:pt idx="33">
                  <c:v>616.33394585341648</c:v>
                </c:pt>
                <c:pt idx="34">
                  <c:v>620.28875533930932</c:v>
                </c:pt>
                <c:pt idx="35">
                  <c:v>624.2689415194036</c:v>
                </c:pt>
                <c:pt idx="36">
                  <c:v>628.27466722748613</c:v>
                </c:pt>
                <c:pt idx="37">
                  <c:v>632.30609634219672</c:v>
                </c:pt>
                <c:pt idx="38">
                  <c:v>636.36339379372566</c:v>
                </c:pt>
                <c:pt idx="39">
                  <c:v>640.44672557056856</c:v>
                </c:pt>
                <c:pt idx="40">
                  <c:v>644.55625872631299</c:v>
                </c:pt>
                <c:pt idx="41">
                  <c:v>648.69216138647334</c:v>
                </c:pt>
                <c:pt idx="42">
                  <c:v>652.85460275536934</c:v>
                </c:pt>
                <c:pt idx="43">
                  <c:v>657.04375312305001</c:v>
                </c:pt>
                <c:pt idx="44">
                  <c:v>661.25978387225587</c:v>
                </c:pt>
                <c:pt idx="45">
                  <c:v>665.50286748543658</c:v>
                </c:pt>
                <c:pt idx="46">
                  <c:v>669.77317755180138</c:v>
                </c:pt>
                <c:pt idx="47">
                  <c:v>674.07088877442584</c:v>
                </c:pt>
                <c:pt idx="48">
                  <c:v>678.39617697739504</c:v>
                </c:pt>
                <c:pt idx="49">
                  <c:v>682.74921911300044</c:v>
                </c:pt>
                <c:pt idx="50">
                  <c:v>687.13019326897575</c:v>
                </c:pt>
                <c:pt idx="51">
                  <c:v>691.53927867578477</c:v>
                </c:pt>
                <c:pt idx="52">
                  <c:v>695.97665571395464</c:v>
                </c:pt>
                <c:pt idx="53">
                  <c:v>700.44250592145272</c:v>
                </c:pt>
                <c:pt idx="54">
                  <c:v>704.93701200111536</c:v>
                </c:pt>
                <c:pt idx="55">
                  <c:v>709.46035782812214</c:v>
                </c:pt>
                <c:pt idx="56">
                  <c:v>714.01272845751919</c:v>
                </c:pt>
                <c:pt idx="57">
                  <c:v>718.59431013178801</c:v>
                </c:pt>
                <c:pt idx="58">
                  <c:v>723.20529028846704</c:v>
                </c:pt>
                <c:pt idx="59">
                  <c:v>727.8458575678178</c:v>
                </c:pt>
                <c:pt idx="60">
                  <c:v>732.51620182054467</c:v>
                </c:pt>
                <c:pt idx="61">
                  <c:v>737.21651411556013</c:v>
                </c:pt>
                <c:pt idx="62">
                  <c:v>741.94698674780193</c:v>
                </c:pt>
                <c:pt idx="63">
                  <c:v>746.70781324610016</c:v>
                </c:pt>
                <c:pt idx="64">
                  <c:v>751.49918838109534</c:v>
                </c:pt>
                <c:pt idx="65">
                  <c:v>756.32130817320831</c:v>
                </c:pt>
                <c:pt idx="66">
                  <c:v>761.17436990065289</c:v>
                </c:pt>
                <c:pt idx="67">
                  <c:v>766.05857210751492</c:v>
                </c:pt>
                <c:pt idx="68">
                  <c:v>770.9741146118713</c:v>
                </c:pt>
                <c:pt idx="69">
                  <c:v>775.92119851396365</c:v>
                </c:pt>
                <c:pt idx="70">
                  <c:v>780.90002620442829</c:v>
                </c:pt>
                <c:pt idx="71">
                  <c:v>785.91080137257359</c:v>
                </c:pt>
                <c:pt idx="72">
                  <c:v>790.95372901471455</c:v>
                </c:pt>
                <c:pt idx="73">
                  <c:v>796.02901544255928</c:v>
                </c:pt>
                <c:pt idx="74">
                  <c:v>801.13686829164908</c:v>
                </c:pt>
                <c:pt idx="75">
                  <c:v>806.27749652985403</c:v>
                </c:pt>
                <c:pt idx="76">
                  <c:v>811.45111046592046</c:v>
                </c:pt>
                <c:pt idx="77">
                  <c:v>816.65792175807655</c:v>
                </c:pt>
                <c:pt idx="78">
                  <c:v>821.89814342269074</c:v>
                </c:pt>
                <c:pt idx="79">
                  <c:v>827.17198984298648</c:v>
                </c:pt>
                <c:pt idx="80">
                  <c:v>832.47967677781253</c:v>
                </c:pt>
                <c:pt idx="81">
                  <c:v>837.82142137047049</c:v>
                </c:pt>
                <c:pt idx="82">
                  <c:v>843.19744215759783</c:v>
                </c:pt>
                <c:pt idx="83">
                  <c:v>848.60795907810916</c:v>
                </c:pt>
                <c:pt idx="84">
                  <c:v>854.05319348219382</c:v>
                </c:pt>
                <c:pt idx="85">
                  <c:v>859.53336814037084</c:v>
                </c:pt>
                <c:pt idx="86">
                  <c:v>865.0487072526048</c:v>
                </c:pt>
                <c:pt idx="87">
                  <c:v>870.59943645747626</c:v>
                </c:pt>
                <c:pt idx="88">
                  <c:v>876.18578284141131</c:v>
                </c:pt>
                <c:pt idx="89">
                  <c:v>881.80797494797753</c:v>
                </c:pt>
                <c:pt idx="90">
                  <c:v>887.46624278722629</c:v>
                </c:pt>
                <c:pt idx="91">
                  <c:v>893.16081784511152</c:v>
                </c:pt>
                <c:pt idx="92">
                  <c:v>898.89193309295069</c:v>
                </c:pt>
                <c:pt idx="93">
                  <c:v>904.65982299696407</c:v>
                </c:pt>
                <c:pt idx="94">
                  <c:v>910.46472352786122</c:v>
                </c:pt>
                <c:pt idx="95">
                  <c:v>916.30687217049854</c:v>
                </c:pt>
                <c:pt idx="96">
                  <c:v>922.18650793359257</c:v>
                </c:pt>
                <c:pt idx="97">
                  <c:v>928.10387135949941</c:v>
                </c:pt>
                <c:pt idx="98">
                  <c:v>934.05920453405633</c:v>
                </c:pt>
                <c:pt idx="99">
                  <c:v>940.05275109648301</c:v>
                </c:pt>
                <c:pt idx="100">
                  <c:v>946.08475624935181</c:v>
                </c:pt>
                <c:pt idx="101">
                  <c:v>952.15546676861823</c:v>
                </c:pt>
                <c:pt idx="102">
                  <c:v>958.26513101371711</c:v>
                </c:pt>
                <c:pt idx="103">
                  <c:v>964.41399893772177</c:v>
                </c:pt>
                <c:pt idx="104">
                  <c:v>970.60232209757214</c:v>
                </c:pt>
                <c:pt idx="105">
                  <c:v>976.83035366436434</c:v>
                </c:pt>
                <c:pt idx="106">
                  <c:v>983.09834843371073</c:v>
                </c:pt>
                <c:pt idx="107">
                  <c:v>989.40656283616045</c:v>
                </c:pt>
                <c:pt idx="108">
                  <c:v>995.75525494769226</c:v>
                </c:pt>
                <c:pt idx="109">
                  <c:v>1002.1446845002733</c:v>
                </c:pt>
                <c:pt idx="110">
                  <c:v>1008.575112892484</c:v>
                </c:pt>
                <c:pt idx="111">
                  <c:v>1015.04680320021</c:v>
                </c:pt>
                <c:pt idx="112">
                  <c:v>1021.5600201874117</c:v>
                </c:pt>
                <c:pt idx="113">
                  <c:v>1028.1150303169479</c:v>
                </c:pt>
                <c:pt idx="114">
                  <c:v>1034.7121017614818</c:v>
                </c:pt>
                <c:pt idx="115">
                  <c:v>1041.351504414451</c:v>
                </c:pt>
                <c:pt idx="116">
                  <c:v>1048.0335099011108</c:v>
                </c:pt>
                <c:pt idx="117">
                  <c:v>1054.758391589643</c:v>
                </c:pt>
                <c:pt idx="118">
                  <c:v>1061.526424602343</c:v>
                </c:pt>
                <c:pt idx="119">
                  <c:v>1068.3378858268752</c:v>
                </c:pt>
                <c:pt idx="120">
                  <c:v>1075.1930539275972</c:v>
                </c:pt>
                <c:pt idx="121">
                  <c:v>1082.0922093569661</c:v>
                </c:pt>
                <c:pt idx="122">
                  <c:v>1089.0356343670064</c:v>
                </c:pt>
                <c:pt idx="123">
                  <c:v>1096.0236130208614</c:v>
                </c:pt>
                <c:pt idx="124">
                  <c:v>1103.0564312044125</c:v>
                </c:pt>
                <c:pt idx="125">
                  <c:v>1110.1343766379741</c:v>
                </c:pt>
                <c:pt idx="126">
                  <c:v>1117.2577388880677</c:v>
                </c:pt>
                <c:pt idx="127">
                  <c:v>1124.4268093792662</c:v>
                </c:pt>
                <c:pt idx="128">
                  <c:v>1131.6418814061162</c:v>
                </c:pt>
                <c:pt idx="129">
                  <c:v>1138.9032501451384</c:v>
                </c:pt>
                <c:pt idx="130">
                  <c:v>1146.2112126669031</c:v>
                </c:pt>
                <c:pt idx="131">
                  <c:v>1153.5660679481825</c:v>
                </c:pt>
                <c:pt idx="132">
                  <c:v>1160.9681168841839</c:v>
                </c:pt>
                <c:pt idx="133">
                  <c:v>1168.417662300858</c:v>
                </c:pt>
                <c:pt idx="134">
                  <c:v>1175.9150089672885</c:v>
                </c:pt>
                <c:pt idx="135">
                  <c:v>1183.4604636081617</c:v>
                </c:pt>
                <c:pt idx="136">
                  <c:v>1191.054334916314</c:v>
                </c:pt>
                <c:pt idx="137">
                  <c:v>1198.6969335653603</c:v>
                </c:pt>
                <c:pt idx="138">
                  <c:v>1206.3885722224045</c:v>
                </c:pt>
                <c:pt idx="139">
                  <c:v>1214.1295655608315</c:v>
                </c:pt>
                <c:pt idx="140">
                  <c:v>1221.9202302731801</c:v>
                </c:pt>
                <c:pt idx="141">
                  <c:v>1229.7608850840998</c:v>
                </c:pt>
                <c:pt idx="142">
                  <c:v>1237.6518507633891</c:v>
                </c:pt>
                <c:pt idx="143">
                  <c:v>1245.5934501391207</c:v>
                </c:pt>
                <c:pt idx="144">
                  <c:v>1253.5860081108467</c:v>
                </c:pt>
                <c:pt idx="145">
                  <c:v>1261.6298516628917</c:v>
                </c:pt>
                <c:pt idx="146">
                  <c:v>1269.7253098777287</c:v>
                </c:pt>
                <c:pt idx="147">
                  <c:v>1277.8727139494445</c:v>
                </c:pt>
                <c:pt idx="148">
                  <c:v>1286.0723971972866</c:v>
                </c:pt>
                <c:pt idx="149">
                  <c:v>1294.3246950793023</c:v>
                </c:pt>
                <c:pt idx="150">
                  <c:v>1302.6299452060616</c:v>
                </c:pt>
                <c:pt idx="151">
                  <c:v>1310.9884873544675</c:v>
                </c:pt>
                <c:pt idx="152">
                  <c:v>1319.4006634816587</c:v>
                </c:pt>
                <c:pt idx="153">
                  <c:v>1327.8668177389991</c:v>
                </c:pt>
                <c:pt idx="154">
                  <c:v>1336.3872964861575</c:v>
                </c:pt>
                <c:pt idx="155">
                  <c:v>1344.9624483052776</c:v>
                </c:pt>
                <c:pt idx="156">
                  <c:v>1353.5926240152367</c:v>
                </c:pt>
                <c:pt idx="157">
                  <c:v>1362.2781766860012</c:v>
                </c:pt>
                <c:pt idx="158">
                  <c:v>1371.0194616530703</c:v>
                </c:pt>
                <c:pt idx="159">
                  <c:v>1379.8168365320107</c:v>
                </c:pt>
                <c:pt idx="160">
                  <c:v>1388.6706612330909</c:v>
                </c:pt>
                <c:pt idx="161">
                  <c:v>1397.5812979760035</c:v>
                </c:pt>
                <c:pt idx="162">
                  <c:v>1406.5491113046824</c:v>
                </c:pt>
                <c:pt idx="163">
                  <c:v>1415.5744681022211</c:v>
                </c:pt>
                <c:pt idx="164">
                  <c:v>1424.6577376058767</c:v>
                </c:pt>
                <c:pt idx="165">
                  <c:v>1433.7992914221809</c:v>
                </c:pt>
                <c:pt idx="166">
                  <c:v>1442.9995035421393</c:v>
                </c:pt>
                <c:pt idx="167">
                  <c:v>1452.2587503565346</c:v>
                </c:pt>
                <c:pt idx="168">
                  <c:v>1461.577410671322</c:v>
                </c:pt>
                <c:pt idx="169">
                  <c:v>1470.9558657231296</c:v>
                </c:pt>
                <c:pt idx="170">
                  <c:v>1480.3944991948524</c:v>
                </c:pt>
                <c:pt idx="171">
                  <c:v>1489.8936972313527</c:v>
                </c:pt>
                <c:pt idx="172">
                  <c:v>1499.4538484552536</c:v>
                </c:pt>
                <c:pt idx="173">
                  <c:v>1509.0753439828413</c:v>
                </c:pt>
                <c:pt idx="174">
                  <c:v>1518.758577440065</c:v>
                </c:pt>
                <c:pt idx="175">
                  <c:v>1528.5039449786386</c:v>
                </c:pt>
                <c:pt idx="176">
                  <c:v>1538.3118452922508</c:v>
                </c:pt>
                <c:pt idx="177">
                  <c:v>1548.182679632876</c:v>
                </c:pt>
                <c:pt idx="178">
                  <c:v>1558.1168518271875</c:v>
                </c:pt>
                <c:pt idx="179">
                  <c:v>1568.1147682930782</c:v>
                </c:pt>
                <c:pt idx="180">
                  <c:v>1578.1768380562921</c:v>
                </c:pt>
                <c:pt idx="181">
                  <c:v>1588.3034727671534</c:v>
                </c:pt>
                <c:pt idx="182">
                  <c:v>1598.4950867174089</c:v>
                </c:pt>
                <c:pt idx="183">
                  <c:v>1608.7520968571794</c:v>
                </c:pt>
                <c:pt idx="184">
                  <c:v>1619.0749228120126</c:v>
                </c:pt>
                <c:pt idx="185">
                  <c:v>1629.4639869000562</c:v>
                </c:pt>
                <c:pt idx="186">
                  <c:v>1639.9197141493319</c:v>
                </c:pt>
                <c:pt idx="187">
                  <c:v>1650.4425323151231</c:v>
                </c:pt>
                <c:pt idx="188">
                  <c:v>1661.0328718974788</c:v>
                </c:pt>
                <c:pt idx="189">
                  <c:v>1671.691166158821</c:v>
                </c:pt>
                <c:pt idx="190">
                  <c:v>1682.4178511416735</c:v>
                </c:pt>
                <c:pt idx="191">
                  <c:v>1693.2133656864989</c:v>
                </c:pt>
                <c:pt idx="192">
                  <c:v>1704.0781514496539</c:v>
                </c:pt>
                <c:pt idx="193">
                  <c:v>1715.0126529214563</c:v>
                </c:pt>
                <c:pt idx="194">
                  <c:v>1726.0173174443685</c:v>
                </c:pt>
                <c:pt idx="195">
                  <c:v>1737.0925952313032</c:v>
                </c:pt>
                <c:pt idx="196">
                  <c:v>1748.2389393840376</c:v>
                </c:pt>
                <c:pt idx="197">
                  <c:v>1759.4568059117519</c:v>
                </c:pt>
                <c:pt idx="198">
                  <c:v>1770.7466537496857</c:v>
                </c:pt>
                <c:pt idx="199">
                  <c:v>1782.1089447779127</c:v>
                </c:pt>
                <c:pt idx="200">
                  <c:v>1793.5441438402377</c:v>
                </c:pt>
                <c:pt idx="201">
                  <c:v>1805.0527187632129</c:v>
                </c:pt>
                <c:pt idx="202">
                  <c:v>1816.6351403752769</c:v>
                </c:pt>
                <c:pt idx="203">
                  <c:v>1828.2918825260181</c:v>
                </c:pt>
                <c:pt idx="204">
                  <c:v>1840.0234221055603</c:v>
                </c:pt>
                <c:pt idx="205">
                  <c:v>1851.8302390640711</c:v>
                </c:pt>
                <c:pt idx="206">
                  <c:v>1863.7128164313986</c:v>
                </c:pt>
                <c:pt idx="207">
                  <c:v>1875.6716403368337</c:v>
                </c:pt>
                <c:pt idx="208">
                  <c:v>1887.707200028995</c:v>
                </c:pt>
                <c:pt idx="209">
                  <c:v>1899.8199878958476</c:v>
                </c:pt>
                <c:pt idx="210">
                  <c:v>1912.0104994848457</c:v>
                </c:pt>
                <c:pt idx="211">
                  <c:v>1924.279233523207</c:v>
                </c:pt>
                <c:pt idx="212">
                  <c:v>1936.6266919383138</c:v>
                </c:pt>
                <c:pt idx="213">
                  <c:v>1949.0533798782517</c:v>
                </c:pt>
                <c:pt idx="214">
                  <c:v>1961.5598057324701</c:v>
                </c:pt>
                <c:pt idx="215">
                  <c:v>1974.1464811525866</c:v>
                </c:pt>
                <c:pt idx="216">
                  <c:v>1986.8139210733157</c:v>
                </c:pt>
                <c:pt idx="217">
                  <c:v>1999.5626437335363</c:v>
                </c:pt>
                <c:pt idx="218">
                  <c:v>2012.3931706974931</c:v>
                </c:pt>
                <c:pt idx="219">
                  <c:v>2025.3060268761351</c:v>
                </c:pt>
                <c:pt idx="220">
                  <c:v>2038.3017405485907</c:v>
                </c:pt>
                <c:pt idx="221">
                  <c:v>2051.3808433837771</c:v>
                </c:pt>
                <c:pt idx="222">
                  <c:v>2064.5438704621565</c:v>
                </c:pt>
                <c:pt idx="223">
                  <c:v>2077.7913602976218</c:v>
                </c:pt>
                <c:pt idx="224">
                  <c:v>2091.123854859532</c:v>
                </c:pt>
                <c:pt idx="225">
                  <c:v>2104.5418995948808</c:v>
                </c:pt>
                <c:pt idx="226">
                  <c:v>2118.0460434506144</c:v>
                </c:pt>
                <c:pt idx="227">
                  <c:v>2131.6368388960891</c:v>
                </c:pt>
                <c:pt idx="228">
                  <c:v>2145.3148419456725</c:v>
                </c:pt>
                <c:pt idx="229">
                  <c:v>2159.0806121814903</c:v>
                </c:pt>
                <c:pt idx="230">
                  <c:v>2172.9347127763217</c:v>
                </c:pt>
                <c:pt idx="231">
                  <c:v>2186.8777105166364</c:v>
                </c:pt>
                <c:pt idx="232">
                  <c:v>2200.9101758257848</c:v>
                </c:pt>
                <c:pt idx="233">
                  <c:v>2215.0326827873337</c:v>
                </c:pt>
                <c:pt idx="234">
                  <c:v>2229.2458091685521</c:v>
                </c:pt>
                <c:pt idx="235">
                  <c:v>2243.5501364440506</c:v>
                </c:pt>
                <c:pt idx="236">
                  <c:v>2257.9462498195667</c:v>
                </c:pt>
                <c:pt idx="237">
                  <c:v>2272.434738255909</c:v>
                </c:pt>
                <c:pt idx="238">
                  <c:v>2287.016194493051</c:v>
                </c:pt>
                <c:pt idx="239">
                  <c:v>2301.6912150743815</c:v>
                </c:pt>
                <c:pt idx="240">
                  <c:v>2316.4604003711088</c:v>
                </c:pt>
                <c:pt idx="241">
                  <c:v>2331.3243546068234</c:v>
                </c:pt>
                <c:pt idx="242">
                  <c:v>2346.283685882217</c:v>
                </c:pt>
                <c:pt idx="243">
                  <c:v>2361.3390061999612</c:v>
                </c:pt>
                <c:pt idx="244">
                  <c:v>2376.4909314897445</c:v>
                </c:pt>
                <c:pt idx="245">
                  <c:v>2391.7400816334703</c:v>
                </c:pt>
                <c:pt idx="246">
                  <c:v>2407.0870804906181</c:v>
                </c:pt>
                <c:pt idx="247">
                  <c:v>2422.5325559237663</c:v>
                </c:pt>
                <c:pt idx="248">
                  <c:v>2438.0771398242769</c:v>
                </c:pt>
                <c:pt idx="249">
                  <c:v>2453.7214681381492</c:v>
                </c:pt>
                <c:pt idx="250">
                  <c:v>2469.4661808920359</c:v>
                </c:pt>
                <c:pt idx="251">
                  <c:v>2485.3119222194264</c:v>
                </c:pt>
                <c:pt idx="252">
                  <c:v>2501.259340387001</c:v>
                </c:pt>
                <c:pt idx="253">
                  <c:v>2517.3090878211506</c:v>
                </c:pt>
                <c:pt idx="254">
                  <c:v>2533.4618211346701</c:v>
                </c:pt>
                <c:pt idx="255">
                  <c:v>2549.7182011536174</c:v>
                </c:pt>
                <c:pt idx="256">
                  <c:v>2566.0788929443529</c:v>
                </c:pt>
                <c:pt idx="257">
                  <c:v>2582.5445658407461</c:v>
                </c:pt>
                <c:pt idx="258">
                  <c:v>2599.1158934715577</c:v>
                </c:pt>
                <c:pt idx="259">
                  <c:v>2615.7935537880003</c:v>
                </c:pt>
                <c:pt idx="260">
                  <c:v>2632.5782290914731</c:v>
                </c:pt>
                <c:pt idx="261">
                  <c:v>2649.4706060614767</c:v>
                </c:pt>
                <c:pt idx="262">
                  <c:v>2666.4713757837044</c:v>
                </c:pt>
                <c:pt idx="263">
                  <c:v>2683.5812337783168</c:v>
                </c:pt>
                <c:pt idx="264">
                  <c:v>2700.8008800283942</c:v>
                </c:pt>
                <c:pt idx="265">
                  <c:v>2718.1310190085765</c:v>
                </c:pt>
                <c:pt idx="266">
                  <c:v>2735.5723597138817</c:v>
                </c:pt>
                <c:pt idx="267">
                  <c:v>2753.1256156887125</c:v>
                </c:pt>
                <c:pt idx="268">
                  <c:v>2770.7915050560487</c:v>
                </c:pt>
                <c:pt idx="269">
                  <c:v>2788.5707505468249</c:v>
                </c:pt>
                <c:pt idx="270">
                  <c:v>2806.4640795294999</c:v>
                </c:pt>
                <c:pt idx="271">
                  <c:v>2824.4722240398146</c:v>
                </c:pt>
                <c:pt idx="272">
                  <c:v>2842.595920810737</c:v>
                </c:pt>
                <c:pt idx="273">
                  <c:v>2860.8359113026054</c:v>
                </c:pt>
                <c:pt idx="274">
                  <c:v>2879.1929417334641</c:v>
                </c:pt>
                <c:pt idx="275">
                  <c:v>2897.6677631095868</c:v>
                </c:pt>
                <c:pt idx="276">
                  <c:v>2916.2611312562067</c:v>
                </c:pt>
                <c:pt idx="277">
                  <c:v>2934.9738068484339</c:v>
                </c:pt>
                <c:pt idx="278">
                  <c:v>2953.8065554423783</c:v>
                </c:pt>
                <c:pt idx="279">
                  <c:v>2972.7601475064671</c:v>
                </c:pt>
                <c:pt idx="280">
                  <c:v>2991.8353584529668</c:v>
                </c:pt>
                <c:pt idx="281">
                  <c:v>3011.0329686697069</c:v>
                </c:pt>
                <c:pt idx="282">
                  <c:v>3030.3537635520042</c:v>
                </c:pt>
                <c:pt idx="283">
                  <c:v>3049.7985335347967</c:v>
                </c:pt>
                <c:pt idx="284">
                  <c:v>3069.3680741249782</c:v>
                </c:pt>
                <c:pt idx="285">
                  <c:v>3089.0631859339469</c:v>
                </c:pt>
                <c:pt idx="286">
                  <c:v>3108.8846747103562</c:v>
                </c:pt>
                <c:pt idx="287">
                  <c:v>3128.8333513730809</c:v>
                </c:pt>
                <c:pt idx="288">
                  <c:v>3148.9100320443913</c:v>
                </c:pt>
                <c:pt idx="289">
                  <c:v>3169.1155380833429</c:v>
                </c:pt>
                <c:pt idx="290">
                  <c:v>3189.4506961193779</c:v>
                </c:pt>
                <c:pt idx="291">
                  <c:v>3209.9163380861442</c:v>
                </c:pt>
                <c:pt idx="292">
                  <c:v>3230.5133012555298</c:v>
                </c:pt>
                <c:pt idx="293">
                  <c:v>3251.2424282719194</c:v>
                </c:pt>
                <c:pt idx="294">
                  <c:v>3272.1045671866646</c:v>
                </c:pt>
                <c:pt idx="295">
                  <c:v>3293.1005714927787</c:v>
                </c:pt>
                <c:pt idx="296">
                  <c:v>3314.2313001598577</c:v>
                </c:pt>
                <c:pt idx="297">
                  <c:v>3335.4976176692167</c:v>
                </c:pt>
                <c:pt idx="298">
                  <c:v>3356.9003940492612</c:v>
                </c:pt>
                <c:pt idx="299">
                  <c:v>3378.4405049110774</c:v>
                </c:pt>
                <c:pt idx="300">
                  <c:v>3400.1188314842566</c:v>
                </c:pt>
                <c:pt idx="301">
                  <c:v>3421.9362606529471</c:v>
                </c:pt>
                <c:pt idx="302">
                  <c:v>3443.893684992137</c:v>
                </c:pt>
                <c:pt idx="303">
                  <c:v>3465.9920028041697</c:v>
                </c:pt>
                <c:pt idx="304">
                  <c:v>3488.2321181554962</c:v>
                </c:pt>
                <c:pt idx="305">
                  <c:v>3510.614940913661</c:v>
                </c:pt>
                <c:pt idx="306">
                  <c:v>3533.1413867845235</c:v>
                </c:pt>
                <c:pt idx="307">
                  <c:v>3555.8123773497246</c:v>
                </c:pt>
                <c:pt idx="308">
                  <c:v>3578.6288401043848</c:v>
                </c:pt>
                <c:pt idx="309">
                  <c:v>3601.5917084950552</c:v>
                </c:pt>
                <c:pt idx="310">
                  <c:v>3624.7019219578979</c:v>
                </c:pt>
                <c:pt idx="311">
                  <c:v>3647.9604259571279</c:v>
                </c:pt>
                <c:pt idx="312">
                  <c:v>3671.3681720236864</c:v>
                </c:pt>
                <c:pt idx="313">
                  <c:v>3694.9261177941717</c:v>
                </c:pt>
                <c:pt idx="314">
                  <c:v>3718.6352270500174</c:v>
                </c:pt>
                <c:pt idx="315">
                  <c:v>3742.4964697569217</c:v>
                </c:pt>
                <c:pt idx="316">
                  <c:v>3766.5108221045284</c:v>
                </c:pt>
                <c:pt idx="317">
                  <c:v>3790.6792665463659</c:v>
                </c:pt>
                <c:pt idx="318">
                  <c:v>3815.0027918400383</c:v>
                </c:pt>
                <c:pt idx="319">
                  <c:v>3839.4823930876787</c:v>
                </c:pt>
                <c:pt idx="320">
                  <c:v>3864.1190717766576</c:v>
                </c:pt>
                <c:pt idx="321">
                  <c:v>3888.9138358205582</c:v>
                </c:pt>
                <c:pt idx="322">
                  <c:v>3913.8676996004069</c:v>
                </c:pt>
                <c:pt idx="323">
                  <c:v>3938.9816840061758</c:v>
                </c:pt>
                <c:pt idx="324">
                  <c:v>3964.2568164785489</c:v>
                </c:pt>
                <c:pt idx="325">
                  <c:v>3989.6941310509528</c:v>
                </c:pt>
                <c:pt idx="326">
                  <c:v>4015.2946683918635</c:v>
                </c:pt>
                <c:pt idx="327">
                  <c:v>4041.0594758473781</c:v>
                </c:pt>
                <c:pt idx="328">
                  <c:v>4066.9896074840653</c:v>
                </c:pt>
                <c:pt idx="329">
                  <c:v>4093.0861241320877</c:v>
                </c:pt>
                <c:pt idx="330">
                  <c:v>4119.3500934286021</c:v>
                </c:pt>
                <c:pt idx="331">
                  <c:v>4145.7825898614356</c:v>
                </c:pt>
                <c:pt idx="332">
                  <c:v>4172.3846948130467</c:v>
                </c:pt>
                <c:pt idx="333">
                  <c:v>4199.1574966047638</c:v>
                </c:pt>
                <c:pt idx="334">
                  <c:v>4226.1020905413106</c:v>
                </c:pt>
                <c:pt idx="335">
                  <c:v>4253.2195789556172</c:v>
                </c:pt>
                <c:pt idx="336">
                  <c:v>4280.5110712539163</c:v>
                </c:pt>
                <c:pt idx="337">
                  <c:v>4307.9776839611286</c:v>
                </c:pt>
                <c:pt idx="338">
                  <c:v>4335.6205407665457</c:v>
                </c:pt>
                <c:pt idx="339">
                  <c:v>4363.4407725697984</c:v>
                </c:pt>
                <c:pt idx="340">
                  <c:v>4391.4395175271211</c:v>
                </c:pt>
                <c:pt idx="341">
                  <c:v>4419.6179210979199</c:v>
                </c:pt>
                <c:pt idx="342">
                  <c:v>4447.9771360916311</c:v>
                </c:pt>
                <c:pt idx="343">
                  <c:v>4476.5183227148864</c:v>
                </c:pt>
                <c:pt idx="344">
                  <c:v>4505.2426486189734</c:v>
                </c:pt>
                <c:pt idx="345">
                  <c:v>4534.1512889476116</c:v>
                </c:pt>
                <c:pt idx="346">
                  <c:v>4563.2454263850259</c:v>
                </c:pt>
                <c:pt idx="347">
                  <c:v>4592.5262512043291</c:v>
                </c:pt>
                <c:pt idx="348">
                  <c:v>4621.9949613162244</c:v>
                </c:pt>
                <c:pt idx="349">
                  <c:v>4651.6527623180027</c:v>
                </c:pt>
                <c:pt idx="350">
                  <c:v>4681.5008675428771</c:v>
                </c:pt>
                <c:pt idx="351">
                  <c:v>4711.5404981096108</c:v>
                </c:pt>
                <c:pt idx="352">
                  <c:v>4741.7728829724801</c:v>
                </c:pt>
                <c:pt idx="353">
                  <c:v>4772.1992589715537</c:v>
                </c:pt>
                <c:pt idx="354">
                  <c:v>4802.8208708832881</c:v>
                </c:pt>
                <c:pt idx="355">
                  <c:v>4833.638971471456</c:v>
                </c:pt>
                <c:pt idx="356">
                  <c:v>4864.6548215383973</c:v>
                </c:pt>
                <c:pt idx="357">
                  <c:v>4895.8696899766019</c:v>
                </c:pt>
                <c:pt idx="358">
                  <c:v>4927.284853820619</c:v>
                </c:pt>
                <c:pt idx="359">
                  <c:v>4958.9015982993014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7F-427E-83A8-519C72CCD637}"/>
            </c:ext>
          </c:extLst>
        </c:ser>
        <c:ser>
          <c:idx val="4"/>
          <c:order val="4"/>
          <c:tx>
            <c:strRef>
              <c:f>'1930 Independence Amortization'!$G$5</c:f>
              <c:strCache>
                <c:ptCount val="1"/>
                <c:pt idx="0">
                  <c:v>interestPayment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'1930 Independence Amortization'!$A$6:$A$365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'1930 Independence Amortization'!$G$6:$G$365</c:f>
              <c:numCache>
                <c:formatCode>"$"#,##0.00_);[Red]\("$"#,##0.00\)</c:formatCode>
                <c:ptCount val="360"/>
                <c:pt idx="0">
                  <c:v>4491.666666666667</c:v>
                </c:pt>
                <c:pt idx="1">
                  <c:v>4488.4643999694099</c:v>
                </c:pt>
                <c:pt idx="2">
                  <c:v>4485.2415853941784</c:v>
                </c:pt>
                <c:pt idx="3">
                  <c:v>4481.9980910920895</c:v>
                </c:pt>
                <c:pt idx="4">
                  <c:v>4478.733784368228</c:v>
                </c:pt>
                <c:pt idx="5">
                  <c:v>4475.448531676222</c:v>
                </c:pt>
                <c:pt idx="6">
                  <c:v>4472.1421986127762</c:v>
                </c:pt>
                <c:pt idx="7">
                  <c:v>4468.8146499121731</c:v>
                </c:pt>
                <c:pt idx="8">
                  <c:v>4465.4657494407402</c:v>
                </c:pt>
                <c:pt idx="9">
                  <c:v>4462.0953601912834</c:v>
                </c:pt>
                <c:pt idx="10">
                  <c:v>4458.7033442774755</c:v>
                </c:pt>
                <c:pt idx="11">
                  <c:v>4455.2895629282202</c:v>
                </c:pt>
                <c:pt idx="12">
                  <c:v>4451.8538764819741</c:v>
                </c:pt>
                <c:pt idx="13">
                  <c:v>4448.3961443810322</c:v>
                </c:pt>
                <c:pt idx="14">
                  <c:v>4444.9162251657744</c:v>
                </c:pt>
                <c:pt idx="15">
                  <c:v>4441.4139764688871</c:v>
                </c:pt>
                <c:pt idx="16">
                  <c:v>4437.889255009527</c:v>
                </c:pt>
                <c:pt idx="17">
                  <c:v>4434.3419165874702</c:v>
                </c:pt>
                <c:pt idx="18">
                  <c:v>4430.7718160772038</c:v>
                </c:pt>
                <c:pt idx="19">
                  <c:v>4427.1788074219967</c:v>
                </c:pt>
                <c:pt idx="20">
                  <c:v>4423.5627436279201</c:v>
                </c:pt>
                <c:pt idx="21">
                  <c:v>4419.92347675783</c:v>
                </c:pt>
                <c:pt idx="22">
                  <c:v>4416.2608579253247</c:v>
                </c:pt>
                <c:pt idx="23">
                  <c:v>4412.5747372886435</c:v>
                </c:pt>
                <c:pt idx="24">
                  <c:v>4408.8649640445437</c:v>
                </c:pt>
                <c:pt idx="25">
                  <c:v>4405.1313864221274</c:v>
                </c:pt>
                <c:pt idx="26">
                  <c:v>4401.3738516766343</c:v>
                </c:pt>
                <c:pt idx="27">
                  <c:v>4397.5922060831908</c:v>
                </c:pt>
                <c:pt idx="28">
                  <c:v>4393.7862949305236</c:v>
                </c:pt>
                <c:pt idx="29">
                  <c:v>4389.9559625146248</c:v>
                </c:pt>
                <c:pt idx="30">
                  <c:v>4386.1010521323924</c:v>
                </c:pt>
                <c:pt idx="31">
                  <c:v>4382.2214060752067</c:v>
                </c:pt>
                <c:pt idx="32">
                  <c:v>4378.3168656224871</c:v>
                </c:pt>
                <c:pt idx="33">
                  <c:v>4374.3872710351961</c:v>
                </c:pt>
                <c:pt idx="34">
                  <c:v>4370.4324615493033</c:v>
                </c:pt>
                <c:pt idx="35">
                  <c:v>4366.452275369209</c:v>
                </c:pt>
                <c:pt idx="36">
                  <c:v>4362.4465496611265</c:v>
                </c:pt>
                <c:pt idx="37">
                  <c:v>4358.4151205464159</c:v>
                </c:pt>
                <c:pt idx="38">
                  <c:v>4354.357823094887</c:v>
                </c:pt>
                <c:pt idx="39">
                  <c:v>4350.2744913180441</c:v>
                </c:pt>
                <c:pt idx="40">
                  <c:v>4346.1649581622996</c:v>
                </c:pt>
                <c:pt idx="41">
                  <c:v>4342.0290555021393</c:v>
                </c:pt>
                <c:pt idx="42">
                  <c:v>4337.8666141332433</c:v>
                </c:pt>
                <c:pt idx="43">
                  <c:v>4333.6774637655626</c:v>
                </c:pt>
                <c:pt idx="44">
                  <c:v>4329.4614330163568</c:v>
                </c:pt>
                <c:pt idx="45">
                  <c:v>4325.218349403176</c:v>
                </c:pt>
                <c:pt idx="46">
                  <c:v>4320.9480393368112</c:v>
                </c:pt>
                <c:pt idx="47">
                  <c:v>4316.6503281141868</c:v>
                </c:pt>
                <c:pt idx="48">
                  <c:v>4312.3250399112176</c:v>
                </c:pt>
                <c:pt idx="49">
                  <c:v>4307.9719977756122</c:v>
                </c:pt>
                <c:pt idx="50">
                  <c:v>4303.5910236196369</c:v>
                </c:pt>
                <c:pt idx="51">
                  <c:v>4299.1819382128278</c:v>
                </c:pt>
                <c:pt idx="52">
                  <c:v>4294.744561174658</c:v>
                </c:pt>
                <c:pt idx="53">
                  <c:v>4290.2787109671599</c:v>
                </c:pt>
                <c:pt idx="54">
                  <c:v>4285.7842048874973</c:v>
                </c:pt>
                <c:pt idx="55">
                  <c:v>4281.2608590604905</c:v>
                </c:pt>
                <c:pt idx="56">
                  <c:v>4276.7084884310934</c:v>
                </c:pt>
                <c:pt idx="57">
                  <c:v>4272.1269067568246</c:v>
                </c:pt>
                <c:pt idx="58">
                  <c:v>4267.5159266001456</c:v>
                </c:pt>
                <c:pt idx="59">
                  <c:v>4262.8753593207948</c:v>
                </c:pt>
                <c:pt idx="60">
                  <c:v>4258.205015068068</c:v>
                </c:pt>
                <c:pt idx="61">
                  <c:v>4253.5047027730525</c:v>
                </c:pt>
                <c:pt idx="62">
                  <c:v>4248.7742301408107</c:v>
                </c:pt>
                <c:pt idx="63">
                  <c:v>4244.0134036425125</c:v>
                </c:pt>
                <c:pt idx="64">
                  <c:v>4239.2220285075173</c:v>
                </c:pt>
                <c:pt idx="65">
                  <c:v>4234.3999087154043</c:v>
                </c:pt>
                <c:pt idx="66">
                  <c:v>4229.5468469879597</c:v>
                </c:pt>
                <c:pt idx="67">
                  <c:v>4224.6626447810977</c:v>
                </c:pt>
                <c:pt idx="68">
                  <c:v>4219.7471022767413</c:v>
                </c:pt>
                <c:pt idx="69">
                  <c:v>4214.800018374649</c:v>
                </c:pt>
                <c:pt idx="70">
                  <c:v>4209.8211906841843</c:v>
                </c:pt>
                <c:pt idx="71">
                  <c:v>4204.810415516039</c:v>
                </c:pt>
                <c:pt idx="72">
                  <c:v>4199.7674878738981</c:v>
                </c:pt>
                <c:pt idx="73">
                  <c:v>4194.6922014460533</c:v>
                </c:pt>
                <c:pt idx="74">
                  <c:v>4189.5843485969635</c:v>
                </c:pt>
                <c:pt idx="75">
                  <c:v>4184.4437203587586</c:v>
                </c:pt>
                <c:pt idx="76">
                  <c:v>4179.2701064226922</c:v>
                </c:pt>
                <c:pt idx="77">
                  <c:v>4174.0632951305361</c:v>
                </c:pt>
                <c:pt idx="78">
                  <c:v>4168.8230734659219</c:v>
                </c:pt>
                <c:pt idx="79">
                  <c:v>4163.5492270456261</c:v>
                </c:pt>
                <c:pt idx="80">
                  <c:v>4158.2415401108001</c:v>
                </c:pt>
                <c:pt idx="81">
                  <c:v>4152.8997955181421</c:v>
                </c:pt>
                <c:pt idx="82">
                  <c:v>4147.5237747310148</c:v>
                </c:pt>
                <c:pt idx="83">
                  <c:v>4142.1132578105035</c:v>
                </c:pt>
                <c:pt idx="84">
                  <c:v>4136.6680234064188</c:v>
                </c:pt>
                <c:pt idx="85">
                  <c:v>4131.1878487482418</c:v>
                </c:pt>
                <c:pt idx="86">
                  <c:v>4125.6725096360078</c:v>
                </c:pt>
                <c:pt idx="87">
                  <c:v>4120.1217804311364</c:v>
                </c:pt>
                <c:pt idx="88">
                  <c:v>4114.5354340472013</c:v>
                </c:pt>
                <c:pt idx="89">
                  <c:v>4108.9132419406351</c:v>
                </c:pt>
                <c:pt idx="90">
                  <c:v>4103.2549741013863</c:v>
                </c:pt>
                <c:pt idx="91">
                  <c:v>4097.5603990435011</c:v>
                </c:pt>
                <c:pt idx="92">
                  <c:v>4091.8292837956619</c:v>
                </c:pt>
                <c:pt idx="93">
                  <c:v>4086.0613938916485</c:v>
                </c:pt>
                <c:pt idx="94">
                  <c:v>4080.2564933607514</c:v>
                </c:pt>
                <c:pt idx="95">
                  <c:v>4074.4143447181141</c:v>
                </c:pt>
                <c:pt idx="96">
                  <c:v>4068.5347089550201</c:v>
                </c:pt>
                <c:pt idx="97">
                  <c:v>4062.6173455291132</c:v>
                </c:pt>
                <c:pt idx="98">
                  <c:v>4056.6620123545563</c:v>
                </c:pt>
                <c:pt idx="99">
                  <c:v>4050.6684657921296</c:v>
                </c:pt>
                <c:pt idx="100">
                  <c:v>4044.6364606392608</c:v>
                </c:pt>
                <c:pt idx="101">
                  <c:v>4038.5657501199944</c:v>
                </c:pt>
                <c:pt idx="102">
                  <c:v>4032.4560858748955</c:v>
                </c:pt>
                <c:pt idx="103">
                  <c:v>4026.3072179508908</c:v>
                </c:pt>
                <c:pt idx="104">
                  <c:v>4020.1188947910405</c:v>
                </c:pt>
                <c:pt idx="105">
                  <c:v>4013.8908632242483</c:v>
                </c:pt>
                <c:pt idx="106">
                  <c:v>4007.6228684549019</c:v>
                </c:pt>
                <c:pt idx="107">
                  <c:v>4001.3146540524522</c:v>
                </c:pt>
                <c:pt idx="108">
                  <c:v>3994.9659619409204</c:v>
                </c:pt>
                <c:pt idx="109">
                  <c:v>3988.5765323883393</c:v>
                </c:pt>
                <c:pt idx="110">
                  <c:v>3982.1461039961287</c:v>
                </c:pt>
                <c:pt idx="111">
                  <c:v>3975.6744136884026</c:v>
                </c:pt>
                <c:pt idx="112">
                  <c:v>3969.1611967012009</c:v>
                </c:pt>
                <c:pt idx="113">
                  <c:v>3962.6061865716647</c:v>
                </c:pt>
                <c:pt idx="114">
                  <c:v>3956.0091151271308</c:v>
                </c:pt>
                <c:pt idx="115">
                  <c:v>3949.3697124741616</c:v>
                </c:pt>
                <c:pt idx="116">
                  <c:v>3942.6877069875018</c:v>
                </c:pt>
                <c:pt idx="117">
                  <c:v>3935.9628252989696</c:v>
                </c:pt>
                <c:pt idx="118">
                  <c:v>3929.1947922862696</c:v>
                </c:pt>
                <c:pt idx="119">
                  <c:v>3922.3833310617374</c:v>
                </c:pt>
                <c:pt idx="120">
                  <c:v>3915.5281629610154</c:v>
                </c:pt>
                <c:pt idx="121">
                  <c:v>3908.6290075316465</c:v>
                </c:pt>
                <c:pt idx="122">
                  <c:v>3901.6855825216062</c:v>
                </c:pt>
                <c:pt idx="123">
                  <c:v>3894.6976038677512</c:v>
                </c:pt>
                <c:pt idx="124">
                  <c:v>3887.6647856842001</c:v>
                </c:pt>
                <c:pt idx="125">
                  <c:v>3880.5868402506385</c:v>
                </c:pt>
                <c:pt idx="126">
                  <c:v>3873.4634780005449</c:v>
                </c:pt>
                <c:pt idx="127">
                  <c:v>3866.2944075093465</c:v>
                </c:pt>
                <c:pt idx="128">
                  <c:v>3859.0793354824964</c:v>
                </c:pt>
                <c:pt idx="129">
                  <c:v>3851.8179667434742</c:v>
                </c:pt>
                <c:pt idx="130">
                  <c:v>3844.5100042217096</c:v>
                </c:pt>
                <c:pt idx="131">
                  <c:v>3837.1551489404301</c:v>
                </c:pt>
                <c:pt idx="132">
                  <c:v>3829.7531000044287</c:v>
                </c:pt>
                <c:pt idx="133">
                  <c:v>3822.3035545877547</c:v>
                </c:pt>
                <c:pt idx="134">
                  <c:v>3814.8062079213241</c:v>
                </c:pt>
                <c:pt idx="135">
                  <c:v>3807.2607532804509</c:v>
                </c:pt>
                <c:pt idx="136">
                  <c:v>3799.6668819722986</c:v>
                </c:pt>
                <c:pt idx="137">
                  <c:v>3792.0242833232523</c:v>
                </c:pt>
                <c:pt idx="138">
                  <c:v>3784.3326446662081</c:v>
                </c:pt>
                <c:pt idx="139">
                  <c:v>3776.5916513277812</c:v>
                </c:pt>
                <c:pt idx="140">
                  <c:v>3768.8009866154325</c:v>
                </c:pt>
                <c:pt idx="141">
                  <c:v>3760.9603318045129</c:v>
                </c:pt>
                <c:pt idx="142">
                  <c:v>3753.0693661252235</c:v>
                </c:pt>
                <c:pt idx="143">
                  <c:v>3745.1277667494919</c:v>
                </c:pt>
                <c:pt idx="144">
                  <c:v>3737.1352087777659</c:v>
                </c:pt>
                <c:pt idx="145">
                  <c:v>3729.0913652257209</c:v>
                </c:pt>
                <c:pt idx="146">
                  <c:v>3720.9959070108839</c:v>
                </c:pt>
                <c:pt idx="147">
                  <c:v>3712.8485029391682</c:v>
                </c:pt>
                <c:pt idx="148">
                  <c:v>3704.648819691326</c:v>
                </c:pt>
                <c:pt idx="149">
                  <c:v>3696.3965218093103</c:v>
                </c:pt>
                <c:pt idx="150">
                  <c:v>3688.091271682551</c:v>
                </c:pt>
                <c:pt idx="151">
                  <c:v>3679.7327295341452</c:v>
                </c:pt>
                <c:pt idx="152">
                  <c:v>3671.3205534069539</c:v>
                </c:pt>
                <c:pt idx="153">
                  <c:v>3662.8543991496135</c:v>
                </c:pt>
                <c:pt idx="154">
                  <c:v>3654.3339204024551</c:v>
                </c:pt>
                <c:pt idx="155">
                  <c:v>3645.758768583335</c:v>
                </c:pt>
                <c:pt idx="156">
                  <c:v>3637.128592873376</c:v>
                </c:pt>
                <c:pt idx="157">
                  <c:v>3628.4430402026114</c:v>
                </c:pt>
                <c:pt idx="158">
                  <c:v>3619.7017552355424</c:v>
                </c:pt>
                <c:pt idx="159">
                  <c:v>3610.9043803566019</c:v>
                </c:pt>
                <c:pt idx="160">
                  <c:v>3602.0505556555217</c:v>
                </c:pt>
                <c:pt idx="161">
                  <c:v>3593.1399189126091</c:v>
                </c:pt>
                <c:pt idx="162">
                  <c:v>3584.1721055839303</c:v>
                </c:pt>
                <c:pt idx="163">
                  <c:v>3575.1467487863915</c:v>
                </c:pt>
                <c:pt idx="164">
                  <c:v>3566.0634792827359</c:v>
                </c:pt>
                <c:pt idx="165">
                  <c:v>3556.9219254664317</c:v>
                </c:pt>
                <c:pt idx="166">
                  <c:v>3547.7217133464733</c:v>
                </c:pt>
                <c:pt idx="167">
                  <c:v>3538.462466532078</c:v>
                </c:pt>
                <c:pt idx="168">
                  <c:v>3529.1438062172906</c:v>
                </c:pt>
                <c:pt idx="169">
                  <c:v>3519.765351165483</c:v>
                </c:pt>
                <c:pt idx="170">
                  <c:v>3510.3267176937602</c:v>
                </c:pt>
                <c:pt idx="171">
                  <c:v>3500.8275196572599</c:v>
                </c:pt>
                <c:pt idx="172">
                  <c:v>3491.267368433359</c:v>
                </c:pt>
                <c:pt idx="173">
                  <c:v>3481.6458729057713</c:v>
                </c:pt>
                <c:pt idx="174">
                  <c:v>3471.9626394485476</c:v>
                </c:pt>
                <c:pt idx="175">
                  <c:v>3462.217271909974</c:v>
                </c:pt>
                <c:pt idx="176">
                  <c:v>3452.4093715963618</c:v>
                </c:pt>
                <c:pt idx="177">
                  <c:v>3442.5385372557366</c:v>
                </c:pt>
                <c:pt idx="178">
                  <c:v>3432.6043650614251</c:v>
                </c:pt>
                <c:pt idx="179">
                  <c:v>3422.6064485955344</c:v>
                </c:pt>
                <c:pt idx="180">
                  <c:v>3412.5443788323205</c:v>
                </c:pt>
                <c:pt idx="181">
                  <c:v>3402.4177441214592</c:v>
                </c:pt>
                <c:pt idx="182">
                  <c:v>3392.2261301712037</c:v>
                </c:pt>
                <c:pt idx="183">
                  <c:v>3381.9691200314332</c:v>
                </c:pt>
                <c:pt idx="184">
                  <c:v>3371.6462940766</c:v>
                </c:pt>
                <c:pt idx="185">
                  <c:v>3361.2572299885564</c:v>
                </c:pt>
                <c:pt idx="186">
                  <c:v>3350.8015027392807</c:v>
                </c:pt>
                <c:pt idx="187">
                  <c:v>3340.2786845734895</c:v>
                </c:pt>
                <c:pt idx="188">
                  <c:v>3329.6883449911338</c:v>
                </c:pt>
                <c:pt idx="189">
                  <c:v>3319.0300507297916</c:v>
                </c:pt>
                <c:pt idx="190">
                  <c:v>3308.3033657469391</c:v>
                </c:pt>
                <c:pt idx="191">
                  <c:v>3297.5078512021137</c:v>
                </c:pt>
                <c:pt idx="192">
                  <c:v>3286.6430654389587</c:v>
                </c:pt>
                <c:pt idx="193">
                  <c:v>3275.7085639671564</c:v>
                </c:pt>
                <c:pt idx="194">
                  <c:v>3264.7038994442441</c:v>
                </c:pt>
                <c:pt idx="195">
                  <c:v>3253.6286216573094</c:v>
                </c:pt>
                <c:pt idx="196">
                  <c:v>3242.482277504575</c:v>
                </c:pt>
                <c:pt idx="197">
                  <c:v>3231.2644109768607</c:v>
                </c:pt>
                <c:pt idx="198">
                  <c:v>3219.9745631389269</c:v>
                </c:pt>
                <c:pt idx="199">
                  <c:v>3208.6122721106999</c:v>
                </c:pt>
                <c:pt idx="200">
                  <c:v>3197.177073048375</c:v>
                </c:pt>
                <c:pt idx="201">
                  <c:v>3185.6684981253998</c:v>
                </c:pt>
                <c:pt idx="202">
                  <c:v>3174.0860765133357</c:v>
                </c:pt>
                <c:pt idx="203">
                  <c:v>3162.4293343625945</c:v>
                </c:pt>
                <c:pt idx="204">
                  <c:v>3150.6977947830524</c:v>
                </c:pt>
                <c:pt idx="205">
                  <c:v>3138.8909778245416</c:v>
                </c:pt>
                <c:pt idx="206">
                  <c:v>3127.0084004572141</c:v>
                </c:pt>
                <c:pt idx="207">
                  <c:v>3115.049576551779</c:v>
                </c:pt>
                <c:pt idx="208">
                  <c:v>3103.0140168596176</c:v>
                </c:pt>
                <c:pt idx="209">
                  <c:v>3090.901228992765</c:v>
                </c:pt>
                <c:pt idx="210">
                  <c:v>3078.7107174037669</c:v>
                </c:pt>
                <c:pt idx="211">
                  <c:v>3066.4419833654056</c:v>
                </c:pt>
                <c:pt idx="212">
                  <c:v>3054.0945249502988</c:v>
                </c:pt>
                <c:pt idx="213">
                  <c:v>3041.6678370103609</c:v>
                </c:pt>
                <c:pt idx="214">
                  <c:v>3029.1614111561425</c:v>
                </c:pt>
                <c:pt idx="215">
                  <c:v>3016.574735736026</c:v>
                </c:pt>
                <c:pt idx="216">
                  <c:v>3003.9072958152969</c:v>
                </c:pt>
                <c:pt idx="217">
                  <c:v>2991.1585731550763</c:v>
                </c:pt>
                <c:pt idx="218">
                  <c:v>2978.3280461911195</c:v>
                </c:pt>
                <c:pt idx="219">
                  <c:v>2965.4151900124775</c:v>
                </c:pt>
                <c:pt idx="220">
                  <c:v>2952.4194763400219</c:v>
                </c:pt>
                <c:pt idx="221">
                  <c:v>2939.3403735048355</c:v>
                </c:pt>
                <c:pt idx="222">
                  <c:v>2926.1773464264561</c:v>
                </c:pt>
                <c:pt idx="223">
                  <c:v>2912.9298565909908</c:v>
                </c:pt>
                <c:pt idx="224">
                  <c:v>2899.5973620290806</c:v>
                </c:pt>
                <c:pt idx="225">
                  <c:v>2886.1793172937319</c:v>
                </c:pt>
                <c:pt idx="226">
                  <c:v>2872.6751734379982</c:v>
                </c:pt>
                <c:pt idx="227">
                  <c:v>2859.0843779925235</c:v>
                </c:pt>
                <c:pt idx="228">
                  <c:v>2845.4063749429401</c:v>
                </c:pt>
                <c:pt idx="229">
                  <c:v>2831.6406047071223</c:v>
                </c:pt>
                <c:pt idx="230">
                  <c:v>2817.7865041122909</c:v>
                </c:pt>
                <c:pt idx="231">
                  <c:v>2803.8435063719762</c:v>
                </c:pt>
                <c:pt idx="232">
                  <c:v>2789.8110410628278</c:v>
                </c:pt>
                <c:pt idx="233">
                  <c:v>2775.6885341012789</c:v>
                </c:pt>
                <c:pt idx="234">
                  <c:v>2761.4754077200605</c:v>
                </c:pt>
                <c:pt idx="235">
                  <c:v>2747.171080444562</c:v>
                </c:pt>
                <c:pt idx="236">
                  <c:v>2732.7749670690459</c:v>
                </c:pt>
                <c:pt idx="237">
                  <c:v>2718.2864786327036</c:v>
                </c:pt>
                <c:pt idx="238">
                  <c:v>2703.7050223955616</c:v>
                </c:pt>
                <c:pt idx="239">
                  <c:v>2689.0300018142311</c:v>
                </c:pt>
                <c:pt idx="240">
                  <c:v>2674.2608165175038</c:v>
                </c:pt>
                <c:pt idx="241">
                  <c:v>2659.3968622817893</c:v>
                </c:pt>
                <c:pt idx="242">
                  <c:v>2644.4375310063956</c:v>
                </c:pt>
                <c:pt idx="243">
                  <c:v>2629.3822106886514</c:v>
                </c:pt>
                <c:pt idx="244">
                  <c:v>2614.2302853988681</c:v>
                </c:pt>
                <c:pt idx="245">
                  <c:v>2598.9811352551424</c:v>
                </c:pt>
                <c:pt idx="246">
                  <c:v>2583.6341363979946</c:v>
                </c:pt>
                <c:pt idx="247">
                  <c:v>2568.1886609648463</c:v>
                </c:pt>
                <c:pt idx="248">
                  <c:v>2552.6440770643358</c:v>
                </c:pt>
                <c:pt idx="249">
                  <c:v>2536.9997487504634</c:v>
                </c:pt>
                <c:pt idx="250">
                  <c:v>2521.2550359965767</c:v>
                </c:pt>
                <c:pt idx="251">
                  <c:v>2505.4092946691862</c:v>
                </c:pt>
                <c:pt idx="252">
                  <c:v>2489.4618765016116</c:v>
                </c:pt>
                <c:pt idx="253">
                  <c:v>2473.412129067462</c:v>
                </c:pt>
                <c:pt idx="254">
                  <c:v>2457.2593957539425</c:v>
                </c:pt>
                <c:pt idx="255">
                  <c:v>2441.0030157349952</c:v>
                </c:pt>
                <c:pt idx="256">
                  <c:v>2424.6423239442597</c:v>
                </c:pt>
                <c:pt idx="257">
                  <c:v>2408.1766510478665</c:v>
                </c:pt>
                <c:pt idx="258">
                  <c:v>2391.6053234170549</c:v>
                </c:pt>
                <c:pt idx="259">
                  <c:v>2374.9276631006123</c:v>
                </c:pt>
                <c:pt idx="260">
                  <c:v>2358.1429877971395</c:v>
                </c:pt>
                <c:pt idx="261">
                  <c:v>2341.2506108271359</c:v>
                </c:pt>
                <c:pt idx="262">
                  <c:v>2324.2498411049082</c:v>
                </c:pt>
                <c:pt idx="263">
                  <c:v>2307.1399831102958</c:v>
                </c:pt>
                <c:pt idx="264">
                  <c:v>2289.9203368602184</c:v>
                </c:pt>
                <c:pt idx="265">
                  <c:v>2272.5901978800362</c:v>
                </c:pt>
                <c:pt idx="266">
                  <c:v>2255.1488571747309</c:v>
                </c:pt>
                <c:pt idx="267">
                  <c:v>2237.5956011999001</c:v>
                </c:pt>
                <c:pt idx="268">
                  <c:v>2219.929711832564</c:v>
                </c:pt>
                <c:pt idx="269">
                  <c:v>2202.1504663417877</c:v>
                </c:pt>
                <c:pt idx="270">
                  <c:v>2184.2571373591127</c:v>
                </c:pt>
                <c:pt idx="271">
                  <c:v>2166.248992848798</c:v>
                </c:pt>
                <c:pt idx="272">
                  <c:v>2148.1252960778756</c:v>
                </c:pt>
                <c:pt idx="273">
                  <c:v>2129.8853055860072</c:v>
                </c:pt>
                <c:pt idx="274">
                  <c:v>2111.5282751551485</c:v>
                </c:pt>
                <c:pt idx="275">
                  <c:v>2093.0534537790259</c:v>
                </c:pt>
                <c:pt idx="276">
                  <c:v>2074.4600856324059</c:v>
                </c:pt>
                <c:pt idx="277">
                  <c:v>2055.7474100401787</c:v>
                </c:pt>
                <c:pt idx="278">
                  <c:v>2036.9146614462343</c:v>
                </c:pt>
                <c:pt idx="279">
                  <c:v>2017.9610693821455</c:v>
                </c:pt>
                <c:pt idx="280">
                  <c:v>1998.8858584356456</c:v>
                </c:pt>
                <c:pt idx="281">
                  <c:v>1979.6882482189058</c:v>
                </c:pt>
                <c:pt idx="282">
                  <c:v>1960.3674533366082</c:v>
                </c:pt>
                <c:pt idx="283">
                  <c:v>1940.922683353816</c:v>
                </c:pt>
                <c:pt idx="284">
                  <c:v>1921.3531427636344</c:v>
                </c:pt>
                <c:pt idx="285">
                  <c:v>1901.6580309546657</c:v>
                </c:pt>
                <c:pt idx="286">
                  <c:v>1881.8365421782564</c:v>
                </c:pt>
                <c:pt idx="287">
                  <c:v>1861.8878655155318</c:v>
                </c:pt>
                <c:pt idx="288">
                  <c:v>1841.8111848442211</c:v>
                </c:pt>
                <c:pt idx="289">
                  <c:v>1821.6056788052697</c:v>
                </c:pt>
                <c:pt idx="290">
                  <c:v>1801.2705207692347</c:v>
                </c:pt>
                <c:pt idx="291">
                  <c:v>1780.8048788024685</c:v>
                </c:pt>
                <c:pt idx="292">
                  <c:v>1760.2079156330826</c:v>
                </c:pt>
                <c:pt idx="293">
                  <c:v>1739.478788616693</c:v>
                </c:pt>
                <c:pt idx="294">
                  <c:v>1718.6166497019481</c:v>
                </c:pt>
                <c:pt idx="295">
                  <c:v>1697.6206453958337</c:v>
                </c:pt>
                <c:pt idx="296">
                  <c:v>1676.4899167287549</c:v>
                </c:pt>
                <c:pt idx="297">
                  <c:v>1655.223599219396</c:v>
                </c:pt>
                <c:pt idx="298">
                  <c:v>1633.8208228393516</c:v>
                </c:pt>
                <c:pt idx="299">
                  <c:v>1612.2807119775355</c:v>
                </c:pt>
                <c:pt idx="300">
                  <c:v>1590.6023854043563</c:v>
                </c:pt>
                <c:pt idx="301">
                  <c:v>1568.7849562356655</c:v>
                </c:pt>
                <c:pt idx="302">
                  <c:v>1546.8275318964756</c:v>
                </c:pt>
                <c:pt idx="303">
                  <c:v>1524.7292140844429</c:v>
                </c:pt>
                <c:pt idx="304">
                  <c:v>1502.4890987331162</c:v>
                </c:pt>
                <c:pt idx="305">
                  <c:v>1480.1062759749516</c:v>
                </c:pt>
                <c:pt idx="306">
                  <c:v>1457.5798301040891</c:v>
                </c:pt>
                <c:pt idx="307">
                  <c:v>1434.9088395388883</c:v>
                </c:pt>
                <c:pt idx="308">
                  <c:v>1412.0923767842276</c:v>
                </c:pt>
                <c:pt idx="309">
                  <c:v>1389.1295083935577</c:v>
                </c:pt>
                <c:pt idx="310">
                  <c:v>1366.0192949307145</c:v>
                </c:pt>
                <c:pt idx="311">
                  <c:v>1342.7607909314847</c:v>
                </c:pt>
                <c:pt idx="312">
                  <c:v>1319.3530448649265</c:v>
                </c:pt>
                <c:pt idx="313">
                  <c:v>1295.7950990944412</c:v>
                </c:pt>
                <c:pt idx="314">
                  <c:v>1272.0859898385952</c:v>
                </c:pt>
                <c:pt idx="315">
                  <c:v>1248.2247471316909</c:v>
                </c:pt>
                <c:pt idx="316">
                  <c:v>1224.210394784084</c:v>
                </c:pt>
                <c:pt idx="317">
                  <c:v>1200.0419503422468</c:v>
                </c:pt>
                <c:pt idx="318">
                  <c:v>1175.7184250485741</c:v>
                </c:pt>
                <c:pt idx="319">
                  <c:v>1151.2388238009339</c:v>
                </c:pt>
                <c:pt idx="320">
                  <c:v>1126.6021451119548</c:v>
                </c:pt>
                <c:pt idx="321">
                  <c:v>1101.8073810680546</c:v>
                </c:pt>
                <c:pt idx="322">
                  <c:v>1076.8535172882059</c:v>
                </c:pt>
                <c:pt idx="323">
                  <c:v>1051.7395328824366</c:v>
                </c:pt>
                <c:pt idx="324">
                  <c:v>1026.4644004100637</c:v>
                </c:pt>
                <c:pt idx="325">
                  <c:v>1001.0270858376596</c:v>
                </c:pt>
                <c:pt idx="326">
                  <c:v>975.42654849674932</c:v>
                </c:pt>
                <c:pt idx="327">
                  <c:v>949.66174104123479</c:v>
                </c:pt>
                <c:pt idx="328">
                  <c:v>923.7316094045475</c:v>
                </c:pt>
                <c:pt idx="329">
                  <c:v>897.63509275652484</c:v>
                </c:pt>
                <c:pt idx="330">
                  <c:v>871.37112346001049</c:v>
                </c:pt>
                <c:pt idx="331">
                  <c:v>844.93862702717695</c:v>
                </c:pt>
                <c:pt idx="332">
                  <c:v>818.33652207556611</c:v>
                </c:pt>
                <c:pt idx="333">
                  <c:v>791.56372028384897</c:v>
                </c:pt>
                <c:pt idx="334">
                  <c:v>764.61912634730174</c:v>
                </c:pt>
                <c:pt idx="335">
                  <c:v>737.50163793299498</c:v>
                </c:pt>
                <c:pt idx="336">
                  <c:v>710.21014563469646</c:v>
                </c:pt>
                <c:pt idx="337">
                  <c:v>682.74353292748378</c:v>
                </c:pt>
                <c:pt idx="338">
                  <c:v>655.1006761220666</c:v>
                </c:pt>
                <c:pt idx="339">
                  <c:v>627.2804443188146</c:v>
                </c:pt>
                <c:pt idx="340">
                  <c:v>599.28169936149175</c:v>
                </c:pt>
                <c:pt idx="341">
                  <c:v>571.10329579069275</c:v>
                </c:pt>
                <c:pt idx="342">
                  <c:v>542.74408079698105</c:v>
                </c:pt>
                <c:pt idx="343">
                  <c:v>514.20289417372646</c:v>
                </c:pt>
                <c:pt idx="344">
                  <c:v>485.47856826963931</c:v>
                </c:pt>
                <c:pt idx="345">
                  <c:v>456.56992794100086</c:v>
                </c:pt>
                <c:pt idx="346">
                  <c:v>427.47579050358695</c:v>
                </c:pt>
                <c:pt idx="347">
                  <c:v>398.19496568428309</c:v>
                </c:pt>
                <c:pt idx="348">
                  <c:v>368.72625557238865</c:v>
                </c:pt>
                <c:pt idx="349">
                  <c:v>339.06845457060956</c:v>
                </c:pt>
                <c:pt idx="350">
                  <c:v>309.22034934573571</c:v>
                </c:pt>
                <c:pt idx="351">
                  <c:v>279.18071877900223</c:v>
                </c:pt>
                <c:pt idx="352">
                  <c:v>248.94833391613227</c:v>
                </c:pt>
                <c:pt idx="353">
                  <c:v>218.52195791705884</c:v>
                </c:pt>
                <c:pt idx="354">
                  <c:v>187.90034600532474</c:v>
                </c:pt>
                <c:pt idx="355">
                  <c:v>157.08224541715694</c:v>
                </c:pt>
                <c:pt idx="356">
                  <c:v>126.06639535021509</c:v>
                </c:pt>
                <c:pt idx="357">
                  <c:v>94.851526912010371</c:v>
                </c:pt>
                <c:pt idx="358">
                  <c:v>63.436363067993845</c:v>
                </c:pt>
                <c:pt idx="359">
                  <c:v>31.819618589311542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7F-427E-83A8-519C72CCD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30575"/>
        <c:axId val="1890929327"/>
      </c:scatterChart>
      <c:valAx>
        <c:axId val="91288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93855"/>
        <c:crosses val="autoZero"/>
        <c:crossBetween val="midCat"/>
      </c:valAx>
      <c:valAx>
        <c:axId val="10650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82367"/>
        <c:crosses val="autoZero"/>
        <c:crossBetween val="midCat"/>
      </c:valAx>
      <c:valAx>
        <c:axId val="1890929327"/>
        <c:scaling>
          <c:orientation val="minMax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30575"/>
        <c:crosses val="max"/>
        <c:crossBetween val="midCat"/>
      </c:valAx>
      <c:valAx>
        <c:axId val="189093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092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2950 Admiralty Bay Amortization Schedule 11/13/2022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'Amortization Schedule'!$C$1</c:f>
              <c:strCache>
                <c:ptCount val="1"/>
                <c:pt idx="0">
                  <c:v>startingBalance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'Amortization Schedule'!$A$2:$A$336</c:f>
              <c:numCache>
                <c:formatCode>General</c:formatCode>
                <c:ptCount val="3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</c:numCache>
            </c:numRef>
          </c:xVal>
          <c:yVal>
            <c:numRef>
              <c:f>'Amortization Schedule'!$C$2:$C$336</c:f>
              <c:numCache>
                <c:formatCode>"$"#,##0.00_);[Red]\("$"#,##0.00\)</c:formatCode>
                <c:ptCount val="335"/>
                <c:pt idx="0">
                  <c:v>371403.71</c:v>
                </c:pt>
                <c:pt idx="1">
                  <c:v>370677.52</c:v>
                </c:pt>
                <c:pt idx="2">
                  <c:v>369949.59</c:v>
                </c:pt>
                <c:pt idx="3">
                  <c:v>369219.92</c:v>
                </c:pt>
                <c:pt idx="4">
                  <c:v>368488.5</c:v>
                </c:pt>
                <c:pt idx="5">
                  <c:v>367755.33</c:v>
                </c:pt>
                <c:pt idx="6">
                  <c:v>367020.4</c:v>
                </c:pt>
                <c:pt idx="7">
                  <c:v>366283.71</c:v>
                </c:pt>
                <c:pt idx="8">
                  <c:v>365545.25</c:v>
                </c:pt>
                <c:pt idx="9">
                  <c:v>364805.03</c:v>
                </c:pt>
                <c:pt idx="10">
                  <c:v>364063.03</c:v>
                </c:pt>
                <c:pt idx="11">
                  <c:v>363319.25</c:v>
                </c:pt>
                <c:pt idx="12">
                  <c:v>362573.7</c:v>
                </c:pt>
                <c:pt idx="13">
                  <c:v>361826.35</c:v>
                </c:pt>
                <c:pt idx="14">
                  <c:v>361077.22</c:v>
                </c:pt>
                <c:pt idx="15">
                  <c:v>360326.29</c:v>
                </c:pt>
                <c:pt idx="16">
                  <c:v>359573.56</c:v>
                </c:pt>
                <c:pt idx="17">
                  <c:v>358819.03</c:v>
                </c:pt>
                <c:pt idx="18">
                  <c:v>358062.69</c:v>
                </c:pt>
                <c:pt idx="19">
                  <c:v>357304.54</c:v>
                </c:pt>
                <c:pt idx="20">
                  <c:v>356544.57</c:v>
                </c:pt>
                <c:pt idx="21">
                  <c:v>355782.78</c:v>
                </c:pt>
                <c:pt idx="22">
                  <c:v>355019.17</c:v>
                </c:pt>
                <c:pt idx="23">
                  <c:v>354253.72</c:v>
                </c:pt>
                <c:pt idx="24">
                  <c:v>353486.45</c:v>
                </c:pt>
                <c:pt idx="25">
                  <c:v>352717.33</c:v>
                </c:pt>
                <c:pt idx="26">
                  <c:v>351946.37</c:v>
                </c:pt>
                <c:pt idx="27">
                  <c:v>351173.57</c:v>
                </c:pt>
                <c:pt idx="28">
                  <c:v>350398.91</c:v>
                </c:pt>
                <c:pt idx="29">
                  <c:v>349622.4</c:v>
                </c:pt>
                <c:pt idx="30">
                  <c:v>348844.03</c:v>
                </c:pt>
                <c:pt idx="31">
                  <c:v>348063.79</c:v>
                </c:pt>
                <c:pt idx="32">
                  <c:v>347281.68</c:v>
                </c:pt>
                <c:pt idx="33">
                  <c:v>346497.7</c:v>
                </c:pt>
                <c:pt idx="34">
                  <c:v>345711.84</c:v>
                </c:pt>
                <c:pt idx="35">
                  <c:v>344924.1</c:v>
                </c:pt>
                <c:pt idx="36">
                  <c:v>344134.47</c:v>
                </c:pt>
                <c:pt idx="37">
                  <c:v>343342.95</c:v>
                </c:pt>
                <c:pt idx="38">
                  <c:v>342549.53</c:v>
                </c:pt>
                <c:pt idx="39">
                  <c:v>341754.21</c:v>
                </c:pt>
                <c:pt idx="40">
                  <c:v>340956.99</c:v>
                </c:pt>
                <c:pt idx="41">
                  <c:v>340157.85</c:v>
                </c:pt>
                <c:pt idx="42">
                  <c:v>339356.81</c:v>
                </c:pt>
                <c:pt idx="43">
                  <c:v>338553.84</c:v>
                </c:pt>
                <c:pt idx="44">
                  <c:v>337748.95</c:v>
                </c:pt>
                <c:pt idx="45">
                  <c:v>336942.13</c:v>
                </c:pt>
                <c:pt idx="46">
                  <c:v>336133.37</c:v>
                </c:pt>
                <c:pt idx="47">
                  <c:v>335322.68</c:v>
                </c:pt>
                <c:pt idx="48">
                  <c:v>334510.05</c:v>
                </c:pt>
                <c:pt idx="49">
                  <c:v>333695.46999999997</c:v>
                </c:pt>
                <c:pt idx="50">
                  <c:v>332878.94</c:v>
                </c:pt>
                <c:pt idx="51">
                  <c:v>332060.45</c:v>
                </c:pt>
                <c:pt idx="52">
                  <c:v>331240</c:v>
                </c:pt>
                <c:pt idx="53">
                  <c:v>330417.59000000003</c:v>
                </c:pt>
                <c:pt idx="54">
                  <c:v>329593.21000000002</c:v>
                </c:pt>
                <c:pt idx="55">
                  <c:v>328766.84999999998</c:v>
                </c:pt>
                <c:pt idx="56">
                  <c:v>327938.51</c:v>
                </c:pt>
                <c:pt idx="57">
                  <c:v>327108.18</c:v>
                </c:pt>
                <c:pt idx="58">
                  <c:v>326275.87</c:v>
                </c:pt>
                <c:pt idx="59">
                  <c:v>325441.56</c:v>
                </c:pt>
                <c:pt idx="60">
                  <c:v>324605.26</c:v>
                </c:pt>
                <c:pt idx="61">
                  <c:v>323766.95</c:v>
                </c:pt>
                <c:pt idx="62">
                  <c:v>322926.63</c:v>
                </c:pt>
                <c:pt idx="63">
                  <c:v>322084.3</c:v>
                </c:pt>
                <c:pt idx="64">
                  <c:v>321239.95</c:v>
                </c:pt>
                <c:pt idx="65">
                  <c:v>320393.57</c:v>
                </c:pt>
                <c:pt idx="66">
                  <c:v>319545.17</c:v>
                </c:pt>
                <c:pt idx="67">
                  <c:v>318694.74</c:v>
                </c:pt>
                <c:pt idx="68">
                  <c:v>317842.27</c:v>
                </c:pt>
                <c:pt idx="69">
                  <c:v>316987.76</c:v>
                </c:pt>
                <c:pt idx="70">
                  <c:v>316131.20000000001</c:v>
                </c:pt>
                <c:pt idx="71">
                  <c:v>315272.58</c:v>
                </c:pt>
                <c:pt idx="72">
                  <c:v>314411.90999999997</c:v>
                </c:pt>
                <c:pt idx="73">
                  <c:v>313549.18</c:v>
                </c:pt>
                <c:pt idx="74">
                  <c:v>312684.39</c:v>
                </c:pt>
                <c:pt idx="75">
                  <c:v>311817.51</c:v>
                </c:pt>
                <c:pt idx="76">
                  <c:v>310948.57</c:v>
                </c:pt>
                <c:pt idx="77">
                  <c:v>310077.53999999998</c:v>
                </c:pt>
                <c:pt idx="78">
                  <c:v>309204.42</c:v>
                </c:pt>
                <c:pt idx="79">
                  <c:v>308329.21000000002</c:v>
                </c:pt>
                <c:pt idx="80">
                  <c:v>307451.90999999997</c:v>
                </c:pt>
                <c:pt idx="81">
                  <c:v>306572.5</c:v>
                </c:pt>
                <c:pt idx="82">
                  <c:v>305690.99</c:v>
                </c:pt>
                <c:pt idx="83">
                  <c:v>304807.37</c:v>
                </c:pt>
                <c:pt idx="84">
                  <c:v>303921.62</c:v>
                </c:pt>
                <c:pt idx="85">
                  <c:v>303033.76</c:v>
                </c:pt>
                <c:pt idx="86">
                  <c:v>302143.77</c:v>
                </c:pt>
                <c:pt idx="87">
                  <c:v>301251.64</c:v>
                </c:pt>
                <c:pt idx="88">
                  <c:v>300357.38</c:v>
                </c:pt>
                <c:pt idx="89">
                  <c:v>299460.98</c:v>
                </c:pt>
                <c:pt idx="90">
                  <c:v>298562.43</c:v>
                </c:pt>
                <c:pt idx="91">
                  <c:v>297661.71999999997</c:v>
                </c:pt>
                <c:pt idx="92">
                  <c:v>296758.86</c:v>
                </c:pt>
                <c:pt idx="93">
                  <c:v>295853.83</c:v>
                </c:pt>
                <c:pt idx="94">
                  <c:v>294946.64</c:v>
                </c:pt>
                <c:pt idx="95">
                  <c:v>294037.27</c:v>
                </c:pt>
                <c:pt idx="96">
                  <c:v>293125.73</c:v>
                </c:pt>
                <c:pt idx="97">
                  <c:v>292212</c:v>
                </c:pt>
                <c:pt idx="98">
                  <c:v>291296.08</c:v>
                </c:pt>
                <c:pt idx="99">
                  <c:v>290377.96999999997</c:v>
                </c:pt>
                <c:pt idx="100">
                  <c:v>289457.65000000002</c:v>
                </c:pt>
                <c:pt idx="101">
                  <c:v>288535.14</c:v>
                </c:pt>
                <c:pt idx="102">
                  <c:v>287610.40999999997</c:v>
                </c:pt>
                <c:pt idx="103">
                  <c:v>286683.46999999997</c:v>
                </c:pt>
                <c:pt idx="104">
                  <c:v>285754.3</c:v>
                </c:pt>
                <c:pt idx="105">
                  <c:v>284822.90999999997</c:v>
                </c:pt>
                <c:pt idx="106">
                  <c:v>283889.28999999998</c:v>
                </c:pt>
                <c:pt idx="107">
                  <c:v>282953.43</c:v>
                </c:pt>
                <c:pt idx="108">
                  <c:v>282015.33</c:v>
                </c:pt>
                <c:pt idx="109">
                  <c:v>281074.98</c:v>
                </c:pt>
                <c:pt idx="110">
                  <c:v>280132.38</c:v>
                </c:pt>
                <c:pt idx="111">
                  <c:v>279187.52</c:v>
                </c:pt>
                <c:pt idx="112">
                  <c:v>278240.40000000002</c:v>
                </c:pt>
                <c:pt idx="113">
                  <c:v>277291</c:v>
                </c:pt>
                <c:pt idx="114">
                  <c:v>276339.34000000003</c:v>
                </c:pt>
                <c:pt idx="115">
                  <c:v>275385.39</c:v>
                </c:pt>
                <c:pt idx="116">
                  <c:v>274429.15999999997</c:v>
                </c:pt>
                <c:pt idx="117">
                  <c:v>273470.64</c:v>
                </c:pt>
                <c:pt idx="118">
                  <c:v>272509.82</c:v>
                </c:pt>
                <c:pt idx="119">
                  <c:v>271546.69</c:v>
                </c:pt>
                <c:pt idx="120">
                  <c:v>270581.26</c:v>
                </c:pt>
                <c:pt idx="121">
                  <c:v>269613.52</c:v>
                </c:pt>
                <c:pt idx="122">
                  <c:v>268643.46000000002</c:v>
                </c:pt>
                <c:pt idx="123">
                  <c:v>267671.08</c:v>
                </c:pt>
                <c:pt idx="124">
                  <c:v>266696.36</c:v>
                </c:pt>
                <c:pt idx="125">
                  <c:v>265719.31</c:v>
                </c:pt>
                <c:pt idx="126">
                  <c:v>264739.92</c:v>
                </c:pt>
                <c:pt idx="127">
                  <c:v>263758.18</c:v>
                </c:pt>
                <c:pt idx="128">
                  <c:v>262774.09000000003</c:v>
                </c:pt>
                <c:pt idx="129">
                  <c:v>261787.65</c:v>
                </c:pt>
                <c:pt idx="130">
                  <c:v>260798.84</c:v>
                </c:pt>
                <c:pt idx="131">
                  <c:v>259807.66</c:v>
                </c:pt>
                <c:pt idx="132">
                  <c:v>258814.1</c:v>
                </c:pt>
                <c:pt idx="133">
                  <c:v>257818.17</c:v>
                </c:pt>
                <c:pt idx="134">
                  <c:v>256819.85</c:v>
                </c:pt>
                <c:pt idx="135">
                  <c:v>255819.13</c:v>
                </c:pt>
                <c:pt idx="136">
                  <c:v>254816.02</c:v>
                </c:pt>
                <c:pt idx="137">
                  <c:v>253810.51</c:v>
                </c:pt>
                <c:pt idx="138">
                  <c:v>252802.59</c:v>
                </c:pt>
                <c:pt idx="139">
                  <c:v>251792.25</c:v>
                </c:pt>
                <c:pt idx="140">
                  <c:v>250779.49</c:v>
                </c:pt>
                <c:pt idx="141">
                  <c:v>249764.31</c:v>
                </c:pt>
                <c:pt idx="142">
                  <c:v>248746.69</c:v>
                </c:pt>
                <c:pt idx="143">
                  <c:v>247726.64</c:v>
                </c:pt>
                <c:pt idx="144">
                  <c:v>246704.14</c:v>
                </c:pt>
                <c:pt idx="145">
                  <c:v>245679.19</c:v>
                </c:pt>
                <c:pt idx="146">
                  <c:v>244651.79</c:v>
                </c:pt>
                <c:pt idx="147">
                  <c:v>243621.92</c:v>
                </c:pt>
                <c:pt idx="148">
                  <c:v>242589.59</c:v>
                </c:pt>
                <c:pt idx="149">
                  <c:v>241554.79</c:v>
                </c:pt>
                <c:pt idx="150">
                  <c:v>240517.5</c:v>
                </c:pt>
                <c:pt idx="151">
                  <c:v>239477.73</c:v>
                </c:pt>
                <c:pt idx="152">
                  <c:v>238435.47</c:v>
                </c:pt>
                <c:pt idx="153">
                  <c:v>237390.71</c:v>
                </c:pt>
                <c:pt idx="154">
                  <c:v>236343.45</c:v>
                </c:pt>
                <c:pt idx="155">
                  <c:v>235293.68</c:v>
                </c:pt>
                <c:pt idx="156">
                  <c:v>234241.39</c:v>
                </c:pt>
                <c:pt idx="157">
                  <c:v>233186.59</c:v>
                </c:pt>
                <c:pt idx="158">
                  <c:v>232129.25</c:v>
                </c:pt>
                <c:pt idx="159">
                  <c:v>231069.39</c:v>
                </c:pt>
                <c:pt idx="160">
                  <c:v>230006.98</c:v>
                </c:pt>
                <c:pt idx="161">
                  <c:v>228942.03</c:v>
                </c:pt>
                <c:pt idx="162">
                  <c:v>227874.53</c:v>
                </c:pt>
                <c:pt idx="163">
                  <c:v>226804.46</c:v>
                </c:pt>
                <c:pt idx="164">
                  <c:v>225731.84</c:v>
                </c:pt>
                <c:pt idx="165">
                  <c:v>224656.65</c:v>
                </c:pt>
                <c:pt idx="166">
                  <c:v>223578.88</c:v>
                </c:pt>
                <c:pt idx="167">
                  <c:v>222498.52</c:v>
                </c:pt>
                <c:pt idx="168">
                  <c:v>221415.58</c:v>
                </c:pt>
                <c:pt idx="169">
                  <c:v>220330.05</c:v>
                </c:pt>
                <c:pt idx="170">
                  <c:v>219241.91</c:v>
                </c:pt>
                <c:pt idx="171">
                  <c:v>218151.17</c:v>
                </c:pt>
                <c:pt idx="172">
                  <c:v>217057.81</c:v>
                </c:pt>
                <c:pt idx="173">
                  <c:v>215961.84</c:v>
                </c:pt>
                <c:pt idx="174">
                  <c:v>214863.24</c:v>
                </c:pt>
                <c:pt idx="175">
                  <c:v>213762</c:v>
                </c:pt>
                <c:pt idx="176">
                  <c:v>212658.13</c:v>
                </c:pt>
                <c:pt idx="177">
                  <c:v>211551.61</c:v>
                </c:pt>
                <c:pt idx="178">
                  <c:v>210442.45</c:v>
                </c:pt>
                <c:pt idx="179">
                  <c:v>209330.62</c:v>
                </c:pt>
                <c:pt idx="180">
                  <c:v>208216.13</c:v>
                </c:pt>
                <c:pt idx="181">
                  <c:v>207098.97</c:v>
                </c:pt>
                <c:pt idx="182">
                  <c:v>205979.14</c:v>
                </c:pt>
                <c:pt idx="183">
                  <c:v>204856.62</c:v>
                </c:pt>
                <c:pt idx="184">
                  <c:v>203731.41</c:v>
                </c:pt>
                <c:pt idx="185">
                  <c:v>202603.51</c:v>
                </c:pt>
                <c:pt idx="186">
                  <c:v>201472.9</c:v>
                </c:pt>
                <c:pt idx="187">
                  <c:v>200339.59</c:v>
                </c:pt>
                <c:pt idx="188">
                  <c:v>199203.56</c:v>
                </c:pt>
                <c:pt idx="189">
                  <c:v>198064.81</c:v>
                </c:pt>
                <c:pt idx="190">
                  <c:v>196923.33</c:v>
                </c:pt>
                <c:pt idx="191">
                  <c:v>195779.11</c:v>
                </c:pt>
                <c:pt idx="192">
                  <c:v>194632.16</c:v>
                </c:pt>
                <c:pt idx="193">
                  <c:v>193482.45</c:v>
                </c:pt>
                <c:pt idx="194">
                  <c:v>192330</c:v>
                </c:pt>
                <c:pt idx="195">
                  <c:v>191174.78</c:v>
                </c:pt>
                <c:pt idx="196">
                  <c:v>190016.79</c:v>
                </c:pt>
                <c:pt idx="197">
                  <c:v>188856.03</c:v>
                </c:pt>
                <c:pt idx="198">
                  <c:v>187692.49</c:v>
                </c:pt>
                <c:pt idx="199">
                  <c:v>186526.16</c:v>
                </c:pt>
                <c:pt idx="200">
                  <c:v>185357.03</c:v>
                </c:pt>
                <c:pt idx="201">
                  <c:v>184185.11</c:v>
                </c:pt>
                <c:pt idx="202">
                  <c:v>183010.37</c:v>
                </c:pt>
                <c:pt idx="203">
                  <c:v>181832.82</c:v>
                </c:pt>
                <c:pt idx="204">
                  <c:v>180652.46</c:v>
                </c:pt>
                <c:pt idx="205">
                  <c:v>179469.26</c:v>
                </c:pt>
                <c:pt idx="206">
                  <c:v>178283.23</c:v>
                </c:pt>
                <c:pt idx="207">
                  <c:v>177094.35</c:v>
                </c:pt>
                <c:pt idx="208">
                  <c:v>175902.63</c:v>
                </c:pt>
                <c:pt idx="209">
                  <c:v>174708.06</c:v>
                </c:pt>
                <c:pt idx="210">
                  <c:v>173510.62</c:v>
                </c:pt>
                <c:pt idx="211">
                  <c:v>172310.31</c:v>
                </c:pt>
                <c:pt idx="212">
                  <c:v>171107.13</c:v>
                </c:pt>
                <c:pt idx="213">
                  <c:v>169901.06</c:v>
                </c:pt>
                <c:pt idx="214">
                  <c:v>168692.11</c:v>
                </c:pt>
                <c:pt idx="215">
                  <c:v>167480.25</c:v>
                </c:pt>
                <c:pt idx="216">
                  <c:v>166265.5</c:v>
                </c:pt>
                <c:pt idx="217">
                  <c:v>165047.82999999999</c:v>
                </c:pt>
                <c:pt idx="218">
                  <c:v>163827.25</c:v>
                </c:pt>
                <c:pt idx="219">
                  <c:v>162603.74</c:v>
                </c:pt>
                <c:pt idx="220">
                  <c:v>161377.29999999999</c:v>
                </c:pt>
                <c:pt idx="221">
                  <c:v>160147.93</c:v>
                </c:pt>
                <c:pt idx="222">
                  <c:v>158915.60999999999</c:v>
                </c:pt>
                <c:pt idx="223">
                  <c:v>157680.32999999999</c:v>
                </c:pt>
                <c:pt idx="224">
                  <c:v>156442.1</c:v>
                </c:pt>
                <c:pt idx="225">
                  <c:v>155200.9</c:v>
                </c:pt>
                <c:pt idx="226">
                  <c:v>153956.72</c:v>
                </c:pt>
                <c:pt idx="227">
                  <c:v>152709.57</c:v>
                </c:pt>
                <c:pt idx="228">
                  <c:v>151459.42000000001</c:v>
                </c:pt>
                <c:pt idx="229">
                  <c:v>150206.28</c:v>
                </c:pt>
                <c:pt idx="230">
                  <c:v>148950.14000000001</c:v>
                </c:pt>
                <c:pt idx="231">
                  <c:v>147690.99</c:v>
                </c:pt>
                <c:pt idx="232">
                  <c:v>146428.82999999999</c:v>
                </c:pt>
                <c:pt idx="233">
                  <c:v>145163.63</c:v>
                </c:pt>
                <c:pt idx="234">
                  <c:v>143895.41</c:v>
                </c:pt>
                <c:pt idx="235">
                  <c:v>142624.15</c:v>
                </c:pt>
                <c:pt idx="236">
                  <c:v>141349.85</c:v>
                </c:pt>
                <c:pt idx="237">
                  <c:v>140072.49</c:v>
                </c:pt>
                <c:pt idx="238">
                  <c:v>138792.07</c:v>
                </c:pt>
                <c:pt idx="239">
                  <c:v>137508.57999999999</c:v>
                </c:pt>
                <c:pt idx="240">
                  <c:v>136222.01999999999</c:v>
                </c:pt>
                <c:pt idx="241">
                  <c:v>134932.37</c:v>
                </c:pt>
                <c:pt idx="242">
                  <c:v>133639.64000000001</c:v>
                </c:pt>
                <c:pt idx="243">
                  <c:v>132343.81</c:v>
                </c:pt>
                <c:pt idx="244">
                  <c:v>131044.87</c:v>
                </c:pt>
                <c:pt idx="245">
                  <c:v>129742.82</c:v>
                </c:pt>
                <c:pt idx="246">
                  <c:v>128437.65</c:v>
                </c:pt>
                <c:pt idx="247">
                  <c:v>127129.36</c:v>
                </c:pt>
                <c:pt idx="248">
                  <c:v>125817.93</c:v>
                </c:pt>
                <c:pt idx="249">
                  <c:v>124503.36</c:v>
                </c:pt>
                <c:pt idx="250">
                  <c:v>123185.64</c:v>
                </c:pt>
                <c:pt idx="251">
                  <c:v>121864.76</c:v>
                </c:pt>
                <c:pt idx="252">
                  <c:v>120540.72</c:v>
                </c:pt>
                <c:pt idx="253">
                  <c:v>119213.5</c:v>
                </c:pt>
                <c:pt idx="254">
                  <c:v>117883.11</c:v>
                </c:pt>
                <c:pt idx="255">
                  <c:v>116549.53</c:v>
                </c:pt>
                <c:pt idx="256">
                  <c:v>115212.75</c:v>
                </c:pt>
                <c:pt idx="257">
                  <c:v>113872.77</c:v>
                </c:pt>
                <c:pt idx="258">
                  <c:v>112529.58</c:v>
                </c:pt>
                <c:pt idx="259">
                  <c:v>111183.17</c:v>
                </c:pt>
                <c:pt idx="260">
                  <c:v>109833.54</c:v>
                </c:pt>
                <c:pt idx="261">
                  <c:v>108480.67</c:v>
                </c:pt>
                <c:pt idx="262">
                  <c:v>107124.56</c:v>
                </c:pt>
                <c:pt idx="263">
                  <c:v>105765.21</c:v>
                </c:pt>
                <c:pt idx="264">
                  <c:v>104402.59</c:v>
                </c:pt>
                <c:pt idx="265">
                  <c:v>103036.71</c:v>
                </c:pt>
                <c:pt idx="266">
                  <c:v>101667.56</c:v>
                </c:pt>
                <c:pt idx="267">
                  <c:v>100295.13</c:v>
                </c:pt>
                <c:pt idx="268">
                  <c:v>98919.41</c:v>
                </c:pt>
                <c:pt idx="269">
                  <c:v>97540.4</c:v>
                </c:pt>
                <c:pt idx="270">
                  <c:v>96158.080000000002</c:v>
                </c:pt>
                <c:pt idx="271">
                  <c:v>94772.44</c:v>
                </c:pt>
                <c:pt idx="272">
                  <c:v>93383.49</c:v>
                </c:pt>
                <c:pt idx="273">
                  <c:v>91991.22</c:v>
                </c:pt>
                <c:pt idx="274">
                  <c:v>90595.6</c:v>
                </c:pt>
                <c:pt idx="275">
                  <c:v>89196.64</c:v>
                </c:pt>
                <c:pt idx="276">
                  <c:v>87794.33</c:v>
                </c:pt>
                <c:pt idx="277">
                  <c:v>86388.66</c:v>
                </c:pt>
                <c:pt idx="278">
                  <c:v>84979.63</c:v>
                </c:pt>
                <c:pt idx="279">
                  <c:v>83567.210000000006</c:v>
                </c:pt>
                <c:pt idx="280">
                  <c:v>82151.42</c:v>
                </c:pt>
                <c:pt idx="281">
                  <c:v>80732.23</c:v>
                </c:pt>
                <c:pt idx="282">
                  <c:v>79309.64</c:v>
                </c:pt>
                <c:pt idx="283">
                  <c:v>77883.64</c:v>
                </c:pt>
                <c:pt idx="284">
                  <c:v>76454.23</c:v>
                </c:pt>
                <c:pt idx="285">
                  <c:v>75021.39</c:v>
                </c:pt>
                <c:pt idx="286">
                  <c:v>73585.119999999995</c:v>
                </c:pt>
                <c:pt idx="287">
                  <c:v>72145.41</c:v>
                </c:pt>
                <c:pt idx="288">
                  <c:v>70702.240000000005</c:v>
                </c:pt>
                <c:pt idx="289">
                  <c:v>69255.62</c:v>
                </c:pt>
                <c:pt idx="290">
                  <c:v>67805.539999999994</c:v>
                </c:pt>
                <c:pt idx="291">
                  <c:v>66351.98</c:v>
                </c:pt>
                <c:pt idx="292">
                  <c:v>64894.94</c:v>
                </c:pt>
                <c:pt idx="293">
                  <c:v>63434.41</c:v>
                </c:pt>
                <c:pt idx="294">
                  <c:v>61970.37</c:v>
                </c:pt>
                <c:pt idx="295">
                  <c:v>60502.84</c:v>
                </c:pt>
                <c:pt idx="296">
                  <c:v>59031.78</c:v>
                </c:pt>
                <c:pt idx="297">
                  <c:v>57557.2</c:v>
                </c:pt>
                <c:pt idx="298">
                  <c:v>56079.09</c:v>
                </c:pt>
                <c:pt idx="299">
                  <c:v>54597.43</c:v>
                </c:pt>
                <c:pt idx="300">
                  <c:v>53112.23</c:v>
                </c:pt>
                <c:pt idx="301">
                  <c:v>51623.47</c:v>
                </c:pt>
                <c:pt idx="302">
                  <c:v>50131.14</c:v>
                </c:pt>
                <c:pt idx="303">
                  <c:v>48635.24</c:v>
                </c:pt>
                <c:pt idx="304">
                  <c:v>47135.75</c:v>
                </c:pt>
                <c:pt idx="305">
                  <c:v>45632.67</c:v>
                </c:pt>
                <c:pt idx="306">
                  <c:v>44125.98</c:v>
                </c:pt>
                <c:pt idx="307">
                  <c:v>42615.69</c:v>
                </c:pt>
                <c:pt idx="308">
                  <c:v>41101.78</c:v>
                </c:pt>
                <c:pt idx="309">
                  <c:v>39584.25</c:v>
                </c:pt>
                <c:pt idx="310">
                  <c:v>38063.07</c:v>
                </c:pt>
                <c:pt idx="311">
                  <c:v>36538.26</c:v>
                </c:pt>
                <c:pt idx="312">
                  <c:v>35009.79</c:v>
                </c:pt>
                <c:pt idx="313">
                  <c:v>33477.65</c:v>
                </c:pt>
                <c:pt idx="314">
                  <c:v>31941.85</c:v>
                </c:pt>
                <c:pt idx="315">
                  <c:v>30402.37</c:v>
                </c:pt>
                <c:pt idx="316">
                  <c:v>28859.200000000001</c:v>
                </c:pt>
                <c:pt idx="317">
                  <c:v>27312.33</c:v>
                </c:pt>
                <c:pt idx="318">
                  <c:v>25761.75</c:v>
                </c:pt>
                <c:pt idx="319">
                  <c:v>24207.47</c:v>
                </c:pt>
                <c:pt idx="320">
                  <c:v>22649.45</c:v>
                </c:pt>
                <c:pt idx="321">
                  <c:v>21087.71</c:v>
                </c:pt>
                <c:pt idx="322">
                  <c:v>19522.22</c:v>
                </c:pt>
                <c:pt idx="323">
                  <c:v>17952.98</c:v>
                </c:pt>
                <c:pt idx="324">
                  <c:v>16379.98</c:v>
                </c:pt>
                <c:pt idx="325">
                  <c:v>14803.22</c:v>
                </c:pt>
                <c:pt idx="326">
                  <c:v>13222.67</c:v>
                </c:pt>
                <c:pt idx="327">
                  <c:v>11638.34</c:v>
                </c:pt>
                <c:pt idx="328">
                  <c:v>10050.219999999999</c:v>
                </c:pt>
                <c:pt idx="329">
                  <c:v>8458.2800000000007</c:v>
                </c:pt>
                <c:pt idx="330">
                  <c:v>6862.54</c:v>
                </c:pt>
                <c:pt idx="331">
                  <c:v>5262.97</c:v>
                </c:pt>
                <c:pt idx="332">
                  <c:v>3659.57</c:v>
                </c:pt>
                <c:pt idx="333">
                  <c:v>2052.33</c:v>
                </c:pt>
                <c:pt idx="334">
                  <c:v>441.24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D1-4B45-98B1-FCC0085C530E}"/>
            </c:ext>
          </c:extLst>
        </c:ser>
        <c:ser>
          <c:idx val="1"/>
          <c:order val="1"/>
          <c:tx>
            <c:strRef>
              <c:f>'Amortization Schedule'!$H$1</c:f>
              <c:strCache>
                <c:ptCount val="1"/>
                <c:pt idx="0">
                  <c:v>cumulativePrincipal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'Amortization Schedule'!$A$2:$A$336</c:f>
              <c:numCache>
                <c:formatCode>General</c:formatCode>
                <c:ptCount val="3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</c:numCache>
            </c:numRef>
          </c:xVal>
          <c:yVal>
            <c:numRef>
              <c:f>'Amortization Schedule'!$H$2:$H$336</c:f>
              <c:numCache>
                <c:formatCode>"$"#,##0.00_);[Red]\("$"#,##0.00\)</c:formatCode>
                <c:ptCount val="335"/>
                <c:pt idx="0">
                  <c:v>726.19</c:v>
                </c:pt>
                <c:pt idx="1">
                  <c:v>1454.12</c:v>
                </c:pt>
                <c:pt idx="2">
                  <c:v>2183.79</c:v>
                </c:pt>
                <c:pt idx="3">
                  <c:v>2915.21</c:v>
                </c:pt>
                <c:pt idx="4">
                  <c:v>3648.38</c:v>
                </c:pt>
                <c:pt idx="5">
                  <c:v>4383.3100000000004</c:v>
                </c:pt>
                <c:pt idx="6">
                  <c:v>5120</c:v>
                </c:pt>
                <c:pt idx="7">
                  <c:v>5858.46</c:v>
                </c:pt>
                <c:pt idx="8">
                  <c:v>6598.68</c:v>
                </c:pt>
                <c:pt idx="9">
                  <c:v>7340.68</c:v>
                </c:pt>
                <c:pt idx="10">
                  <c:v>8084.46</c:v>
                </c:pt>
                <c:pt idx="11">
                  <c:v>8830.01</c:v>
                </c:pt>
                <c:pt idx="12">
                  <c:v>9577.36</c:v>
                </c:pt>
                <c:pt idx="13">
                  <c:v>10326.49</c:v>
                </c:pt>
                <c:pt idx="14">
                  <c:v>11077.42</c:v>
                </c:pt>
                <c:pt idx="15">
                  <c:v>11830.15</c:v>
                </c:pt>
                <c:pt idx="16">
                  <c:v>12584.68</c:v>
                </c:pt>
                <c:pt idx="17">
                  <c:v>13341.02</c:v>
                </c:pt>
                <c:pt idx="18">
                  <c:v>14099.17</c:v>
                </c:pt>
                <c:pt idx="19">
                  <c:v>14859.14</c:v>
                </c:pt>
                <c:pt idx="20">
                  <c:v>15620.93</c:v>
                </c:pt>
                <c:pt idx="21">
                  <c:v>16384.54</c:v>
                </c:pt>
                <c:pt idx="22">
                  <c:v>17149.990000000002</c:v>
                </c:pt>
                <c:pt idx="23">
                  <c:v>17917.259999999998</c:v>
                </c:pt>
                <c:pt idx="24">
                  <c:v>18686.38</c:v>
                </c:pt>
                <c:pt idx="25">
                  <c:v>19457.34</c:v>
                </c:pt>
                <c:pt idx="26">
                  <c:v>20230.14</c:v>
                </c:pt>
                <c:pt idx="27">
                  <c:v>21004.799999999999</c:v>
                </c:pt>
                <c:pt idx="28">
                  <c:v>21781.31</c:v>
                </c:pt>
                <c:pt idx="29">
                  <c:v>22559.68</c:v>
                </c:pt>
                <c:pt idx="30">
                  <c:v>23339.919999999998</c:v>
                </c:pt>
                <c:pt idx="31">
                  <c:v>24122.03</c:v>
                </c:pt>
                <c:pt idx="32">
                  <c:v>24906.01</c:v>
                </c:pt>
                <c:pt idx="33">
                  <c:v>25691.87</c:v>
                </c:pt>
                <c:pt idx="34">
                  <c:v>26479.61</c:v>
                </c:pt>
                <c:pt idx="35">
                  <c:v>27269.24</c:v>
                </c:pt>
                <c:pt idx="36">
                  <c:v>28060.76</c:v>
                </c:pt>
                <c:pt idx="37">
                  <c:v>28854.18</c:v>
                </c:pt>
                <c:pt idx="38">
                  <c:v>29649.5</c:v>
                </c:pt>
                <c:pt idx="39">
                  <c:v>30446.720000000001</c:v>
                </c:pt>
                <c:pt idx="40">
                  <c:v>31245.86</c:v>
                </c:pt>
                <c:pt idx="41">
                  <c:v>32046.9</c:v>
                </c:pt>
                <c:pt idx="42">
                  <c:v>32849.870000000003</c:v>
                </c:pt>
                <c:pt idx="43">
                  <c:v>33654.76</c:v>
                </c:pt>
                <c:pt idx="44">
                  <c:v>34461.58</c:v>
                </c:pt>
                <c:pt idx="45">
                  <c:v>35270.339999999997</c:v>
                </c:pt>
                <c:pt idx="46">
                  <c:v>36081.03</c:v>
                </c:pt>
                <c:pt idx="47">
                  <c:v>36893.660000000003</c:v>
                </c:pt>
                <c:pt idx="48">
                  <c:v>37708.239999999998</c:v>
                </c:pt>
                <c:pt idx="49">
                  <c:v>38524.769999999997</c:v>
                </c:pt>
                <c:pt idx="50">
                  <c:v>39343.26</c:v>
                </c:pt>
                <c:pt idx="51">
                  <c:v>40163.71</c:v>
                </c:pt>
                <c:pt idx="52">
                  <c:v>40986.120000000003</c:v>
                </c:pt>
                <c:pt idx="53">
                  <c:v>41810.5</c:v>
                </c:pt>
                <c:pt idx="54">
                  <c:v>42636.86</c:v>
                </c:pt>
                <c:pt idx="55">
                  <c:v>43465.2</c:v>
                </c:pt>
                <c:pt idx="56">
                  <c:v>44295.53</c:v>
                </c:pt>
                <c:pt idx="57">
                  <c:v>45127.839999999997</c:v>
                </c:pt>
                <c:pt idx="58">
                  <c:v>45962.15</c:v>
                </c:pt>
                <c:pt idx="59">
                  <c:v>46798.45</c:v>
                </c:pt>
                <c:pt idx="60">
                  <c:v>47636.76</c:v>
                </c:pt>
                <c:pt idx="61">
                  <c:v>48477.08</c:v>
                </c:pt>
                <c:pt idx="62">
                  <c:v>49319.41</c:v>
                </c:pt>
                <c:pt idx="63">
                  <c:v>50163.76</c:v>
                </c:pt>
                <c:pt idx="64">
                  <c:v>51010.14</c:v>
                </c:pt>
                <c:pt idx="65">
                  <c:v>51858.54</c:v>
                </c:pt>
                <c:pt idx="66">
                  <c:v>52708.97</c:v>
                </c:pt>
                <c:pt idx="67">
                  <c:v>53561.440000000002</c:v>
                </c:pt>
                <c:pt idx="68">
                  <c:v>54415.95</c:v>
                </c:pt>
                <c:pt idx="69">
                  <c:v>55272.51</c:v>
                </c:pt>
                <c:pt idx="70">
                  <c:v>56131.13</c:v>
                </c:pt>
                <c:pt idx="71">
                  <c:v>56991.8</c:v>
                </c:pt>
                <c:pt idx="72">
                  <c:v>57854.53</c:v>
                </c:pt>
                <c:pt idx="73">
                  <c:v>58719.32</c:v>
                </c:pt>
                <c:pt idx="74">
                  <c:v>59586.2</c:v>
                </c:pt>
                <c:pt idx="75">
                  <c:v>60455.14</c:v>
                </c:pt>
                <c:pt idx="76">
                  <c:v>61326.17</c:v>
                </c:pt>
                <c:pt idx="77">
                  <c:v>62199.29</c:v>
                </c:pt>
                <c:pt idx="78">
                  <c:v>63074.5</c:v>
                </c:pt>
                <c:pt idx="79">
                  <c:v>63951.8</c:v>
                </c:pt>
                <c:pt idx="80">
                  <c:v>64831.21</c:v>
                </c:pt>
                <c:pt idx="81">
                  <c:v>65712.72</c:v>
                </c:pt>
                <c:pt idx="82">
                  <c:v>66596.34</c:v>
                </c:pt>
                <c:pt idx="83">
                  <c:v>67482.09</c:v>
                </c:pt>
                <c:pt idx="84">
                  <c:v>68369.95</c:v>
                </c:pt>
                <c:pt idx="85">
                  <c:v>69259.94</c:v>
                </c:pt>
                <c:pt idx="86">
                  <c:v>70152.070000000007</c:v>
                </c:pt>
                <c:pt idx="87">
                  <c:v>71046.33</c:v>
                </c:pt>
                <c:pt idx="88">
                  <c:v>71942.73</c:v>
                </c:pt>
                <c:pt idx="89">
                  <c:v>72841.279999999999</c:v>
                </c:pt>
                <c:pt idx="90">
                  <c:v>73741.990000000005</c:v>
                </c:pt>
                <c:pt idx="91">
                  <c:v>74644.850000000006</c:v>
                </c:pt>
                <c:pt idx="92">
                  <c:v>75549.88</c:v>
                </c:pt>
                <c:pt idx="93">
                  <c:v>76457.070000000007</c:v>
                </c:pt>
                <c:pt idx="94">
                  <c:v>77366.44</c:v>
                </c:pt>
                <c:pt idx="95">
                  <c:v>78277.98</c:v>
                </c:pt>
                <c:pt idx="96">
                  <c:v>79191.710000000006</c:v>
                </c:pt>
                <c:pt idx="97">
                  <c:v>80107.63</c:v>
                </c:pt>
                <c:pt idx="98">
                  <c:v>81025.740000000005</c:v>
                </c:pt>
                <c:pt idx="99">
                  <c:v>81946.06</c:v>
                </c:pt>
                <c:pt idx="100">
                  <c:v>82868.570000000007</c:v>
                </c:pt>
                <c:pt idx="101">
                  <c:v>83793.3</c:v>
                </c:pt>
                <c:pt idx="102">
                  <c:v>84720.24</c:v>
                </c:pt>
                <c:pt idx="103">
                  <c:v>85649.41</c:v>
                </c:pt>
                <c:pt idx="104">
                  <c:v>86580.800000000003</c:v>
                </c:pt>
                <c:pt idx="105">
                  <c:v>87514.42</c:v>
                </c:pt>
                <c:pt idx="106">
                  <c:v>88450.28</c:v>
                </c:pt>
                <c:pt idx="107">
                  <c:v>89388.38</c:v>
                </c:pt>
                <c:pt idx="108">
                  <c:v>90328.73</c:v>
                </c:pt>
                <c:pt idx="109">
                  <c:v>91271.33</c:v>
                </c:pt>
                <c:pt idx="110">
                  <c:v>92216.19</c:v>
                </c:pt>
                <c:pt idx="111">
                  <c:v>93163.31</c:v>
                </c:pt>
                <c:pt idx="112">
                  <c:v>94112.71</c:v>
                </c:pt>
                <c:pt idx="113">
                  <c:v>95064.37</c:v>
                </c:pt>
                <c:pt idx="114">
                  <c:v>96018.32</c:v>
                </c:pt>
                <c:pt idx="115">
                  <c:v>96974.55</c:v>
                </c:pt>
                <c:pt idx="116">
                  <c:v>97933.07</c:v>
                </c:pt>
                <c:pt idx="117">
                  <c:v>98893.89</c:v>
                </c:pt>
                <c:pt idx="118">
                  <c:v>99857.02</c:v>
                </c:pt>
                <c:pt idx="119">
                  <c:v>100822.45</c:v>
                </c:pt>
                <c:pt idx="120">
                  <c:v>101790.19</c:v>
                </c:pt>
                <c:pt idx="121">
                  <c:v>102760.25</c:v>
                </c:pt>
                <c:pt idx="122">
                  <c:v>103732.63</c:v>
                </c:pt>
                <c:pt idx="123">
                  <c:v>104707.35</c:v>
                </c:pt>
                <c:pt idx="124">
                  <c:v>105684.4</c:v>
                </c:pt>
                <c:pt idx="125">
                  <c:v>106663.79</c:v>
                </c:pt>
                <c:pt idx="126">
                  <c:v>107645.53</c:v>
                </c:pt>
                <c:pt idx="127">
                  <c:v>108629.62</c:v>
                </c:pt>
                <c:pt idx="128">
                  <c:v>109616.06</c:v>
                </c:pt>
                <c:pt idx="129">
                  <c:v>110604.87</c:v>
                </c:pt>
                <c:pt idx="130">
                  <c:v>111596.05</c:v>
                </c:pt>
                <c:pt idx="131">
                  <c:v>112589.61</c:v>
                </c:pt>
                <c:pt idx="132">
                  <c:v>113585.54</c:v>
                </c:pt>
                <c:pt idx="133">
                  <c:v>114583.86</c:v>
                </c:pt>
                <c:pt idx="134">
                  <c:v>115584.58</c:v>
                </c:pt>
                <c:pt idx="135">
                  <c:v>116587.69</c:v>
                </c:pt>
                <c:pt idx="136">
                  <c:v>117593.2</c:v>
                </c:pt>
                <c:pt idx="137">
                  <c:v>118601.12</c:v>
                </c:pt>
                <c:pt idx="138">
                  <c:v>119611.46</c:v>
                </c:pt>
                <c:pt idx="139">
                  <c:v>120624.22</c:v>
                </c:pt>
                <c:pt idx="140">
                  <c:v>121639.4</c:v>
                </c:pt>
                <c:pt idx="141">
                  <c:v>122657.02</c:v>
                </c:pt>
                <c:pt idx="142">
                  <c:v>123677.07</c:v>
                </c:pt>
                <c:pt idx="143">
                  <c:v>124699.57</c:v>
                </c:pt>
                <c:pt idx="144">
                  <c:v>125724.52</c:v>
                </c:pt>
                <c:pt idx="145">
                  <c:v>126751.92</c:v>
                </c:pt>
                <c:pt idx="146">
                  <c:v>127781.79</c:v>
                </c:pt>
                <c:pt idx="147">
                  <c:v>128814.12</c:v>
                </c:pt>
                <c:pt idx="148">
                  <c:v>129848.92</c:v>
                </c:pt>
                <c:pt idx="149">
                  <c:v>130886.21</c:v>
                </c:pt>
                <c:pt idx="150">
                  <c:v>131925.98000000001</c:v>
                </c:pt>
                <c:pt idx="151">
                  <c:v>132968.24</c:v>
                </c:pt>
                <c:pt idx="152">
                  <c:v>134013</c:v>
                </c:pt>
                <c:pt idx="153">
                  <c:v>135060.26</c:v>
                </c:pt>
                <c:pt idx="154">
                  <c:v>136110.03</c:v>
                </c:pt>
                <c:pt idx="155">
                  <c:v>137162.32</c:v>
                </c:pt>
                <c:pt idx="156">
                  <c:v>138217.12</c:v>
                </c:pt>
                <c:pt idx="157">
                  <c:v>139274.46</c:v>
                </c:pt>
                <c:pt idx="158">
                  <c:v>140334.32</c:v>
                </c:pt>
                <c:pt idx="159">
                  <c:v>141396.73000000001</c:v>
                </c:pt>
                <c:pt idx="160">
                  <c:v>142461.68</c:v>
                </c:pt>
                <c:pt idx="161">
                  <c:v>143529.18</c:v>
                </c:pt>
                <c:pt idx="162">
                  <c:v>144599.25</c:v>
                </c:pt>
                <c:pt idx="163">
                  <c:v>145671.87</c:v>
                </c:pt>
                <c:pt idx="164">
                  <c:v>146747.06</c:v>
                </c:pt>
                <c:pt idx="165">
                  <c:v>147824.82999999999</c:v>
                </c:pt>
                <c:pt idx="166">
                  <c:v>148905.19</c:v>
                </c:pt>
                <c:pt idx="167">
                  <c:v>149988.13</c:v>
                </c:pt>
                <c:pt idx="168">
                  <c:v>151073.66</c:v>
                </c:pt>
                <c:pt idx="169">
                  <c:v>152161.79999999999</c:v>
                </c:pt>
                <c:pt idx="170">
                  <c:v>153252.54</c:v>
                </c:pt>
                <c:pt idx="171">
                  <c:v>154345.9</c:v>
                </c:pt>
                <c:pt idx="172">
                  <c:v>155441.87</c:v>
                </c:pt>
                <c:pt idx="173">
                  <c:v>156540.47</c:v>
                </c:pt>
                <c:pt idx="174">
                  <c:v>157641.71</c:v>
                </c:pt>
                <c:pt idx="175">
                  <c:v>158745.57999999999</c:v>
                </c:pt>
                <c:pt idx="176">
                  <c:v>159852.1</c:v>
                </c:pt>
                <c:pt idx="177">
                  <c:v>160961.26</c:v>
                </c:pt>
                <c:pt idx="178">
                  <c:v>162073.09</c:v>
                </c:pt>
                <c:pt idx="179">
                  <c:v>163187.57999999999</c:v>
                </c:pt>
                <c:pt idx="180">
                  <c:v>164304.74</c:v>
                </c:pt>
                <c:pt idx="181">
                  <c:v>165424.57</c:v>
                </c:pt>
                <c:pt idx="182">
                  <c:v>166547.09</c:v>
                </c:pt>
                <c:pt idx="183">
                  <c:v>167672.29999999999</c:v>
                </c:pt>
                <c:pt idx="184">
                  <c:v>168800.2</c:v>
                </c:pt>
                <c:pt idx="185">
                  <c:v>169930.81</c:v>
                </c:pt>
                <c:pt idx="186">
                  <c:v>171064.12</c:v>
                </c:pt>
                <c:pt idx="187">
                  <c:v>172200.15</c:v>
                </c:pt>
                <c:pt idx="188">
                  <c:v>173338.9</c:v>
                </c:pt>
                <c:pt idx="189">
                  <c:v>174480.38</c:v>
                </c:pt>
                <c:pt idx="190">
                  <c:v>175624.6</c:v>
                </c:pt>
                <c:pt idx="191">
                  <c:v>176771.55</c:v>
                </c:pt>
                <c:pt idx="192">
                  <c:v>177921.26</c:v>
                </c:pt>
                <c:pt idx="193">
                  <c:v>179073.71</c:v>
                </c:pt>
                <c:pt idx="194">
                  <c:v>180228.93</c:v>
                </c:pt>
                <c:pt idx="195">
                  <c:v>181386.92</c:v>
                </c:pt>
                <c:pt idx="196">
                  <c:v>182547.68</c:v>
                </c:pt>
                <c:pt idx="197">
                  <c:v>183711.22</c:v>
                </c:pt>
                <c:pt idx="198">
                  <c:v>184877.55</c:v>
                </c:pt>
                <c:pt idx="199">
                  <c:v>186046.68</c:v>
                </c:pt>
                <c:pt idx="200">
                  <c:v>187218.6</c:v>
                </c:pt>
                <c:pt idx="201">
                  <c:v>188393.34</c:v>
                </c:pt>
                <c:pt idx="202">
                  <c:v>189570.89</c:v>
                </c:pt>
                <c:pt idx="203">
                  <c:v>190751.25</c:v>
                </c:pt>
                <c:pt idx="204">
                  <c:v>191934.45</c:v>
                </c:pt>
                <c:pt idx="205">
                  <c:v>193120.48</c:v>
                </c:pt>
                <c:pt idx="206">
                  <c:v>194309.36</c:v>
                </c:pt>
                <c:pt idx="207">
                  <c:v>195501.08</c:v>
                </c:pt>
                <c:pt idx="208">
                  <c:v>196695.65</c:v>
                </c:pt>
                <c:pt idx="209">
                  <c:v>197893.09</c:v>
                </c:pt>
                <c:pt idx="210">
                  <c:v>199093.4</c:v>
                </c:pt>
                <c:pt idx="211">
                  <c:v>200296.58</c:v>
                </c:pt>
                <c:pt idx="212">
                  <c:v>201502.65</c:v>
                </c:pt>
                <c:pt idx="213">
                  <c:v>202711.6</c:v>
                </c:pt>
                <c:pt idx="214">
                  <c:v>203923.46</c:v>
                </c:pt>
                <c:pt idx="215">
                  <c:v>205138.21</c:v>
                </c:pt>
                <c:pt idx="216">
                  <c:v>206355.88</c:v>
                </c:pt>
                <c:pt idx="217">
                  <c:v>207576.46</c:v>
                </c:pt>
                <c:pt idx="218">
                  <c:v>208799.97</c:v>
                </c:pt>
                <c:pt idx="219">
                  <c:v>210026.41</c:v>
                </c:pt>
                <c:pt idx="220">
                  <c:v>211255.78</c:v>
                </c:pt>
                <c:pt idx="221">
                  <c:v>212488.1</c:v>
                </c:pt>
                <c:pt idx="222">
                  <c:v>213723.38</c:v>
                </c:pt>
                <c:pt idx="223">
                  <c:v>214961.61</c:v>
                </c:pt>
                <c:pt idx="224">
                  <c:v>216202.81</c:v>
                </c:pt>
                <c:pt idx="225">
                  <c:v>217446.99</c:v>
                </c:pt>
                <c:pt idx="226">
                  <c:v>218694.14</c:v>
                </c:pt>
                <c:pt idx="227">
                  <c:v>219944.29</c:v>
                </c:pt>
                <c:pt idx="228">
                  <c:v>221197.43</c:v>
                </c:pt>
                <c:pt idx="229">
                  <c:v>222453.57</c:v>
                </c:pt>
                <c:pt idx="230">
                  <c:v>223712.72</c:v>
                </c:pt>
                <c:pt idx="231">
                  <c:v>224974.88</c:v>
                </c:pt>
                <c:pt idx="232">
                  <c:v>226240.08</c:v>
                </c:pt>
                <c:pt idx="233">
                  <c:v>227508.3</c:v>
                </c:pt>
                <c:pt idx="234">
                  <c:v>228779.56</c:v>
                </c:pt>
                <c:pt idx="235">
                  <c:v>230053.86</c:v>
                </c:pt>
                <c:pt idx="236">
                  <c:v>231331.22</c:v>
                </c:pt>
                <c:pt idx="237">
                  <c:v>232611.64</c:v>
                </c:pt>
                <c:pt idx="238">
                  <c:v>233895.13</c:v>
                </c:pt>
                <c:pt idx="239">
                  <c:v>235181.69</c:v>
                </c:pt>
                <c:pt idx="240">
                  <c:v>236471.34</c:v>
                </c:pt>
                <c:pt idx="241">
                  <c:v>237764.07</c:v>
                </c:pt>
                <c:pt idx="242">
                  <c:v>239059.9</c:v>
                </c:pt>
                <c:pt idx="243">
                  <c:v>240358.84</c:v>
                </c:pt>
                <c:pt idx="244">
                  <c:v>241660.89</c:v>
                </c:pt>
                <c:pt idx="245">
                  <c:v>242966.06</c:v>
                </c:pt>
                <c:pt idx="246">
                  <c:v>244274.35</c:v>
                </c:pt>
                <c:pt idx="247">
                  <c:v>245585.78</c:v>
                </c:pt>
                <c:pt idx="248">
                  <c:v>246900.35</c:v>
                </c:pt>
                <c:pt idx="249">
                  <c:v>248218.07</c:v>
                </c:pt>
                <c:pt idx="250">
                  <c:v>249538.95</c:v>
                </c:pt>
                <c:pt idx="251">
                  <c:v>250862.99</c:v>
                </c:pt>
                <c:pt idx="252">
                  <c:v>252190.21</c:v>
                </c:pt>
                <c:pt idx="253">
                  <c:v>253520.6</c:v>
                </c:pt>
                <c:pt idx="254">
                  <c:v>254854.18</c:v>
                </c:pt>
                <c:pt idx="255">
                  <c:v>256190.96</c:v>
                </c:pt>
                <c:pt idx="256">
                  <c:v>257530.94</c:v>
                </c:pt>
                <c:pt idx="257">
                  <c:v>258874.13</c:v>
                </c:pt>
                <c:pt idx="258">
                  <c:v>260220.54</c:v>
                </c:pt>
                <c:pt idx="259">
                  <c:v>261570.17</c:v>
                </c:pt>
                <c:pt idx="260">
                  <c:v>262923.03999999998</c:v>
                </c:pt>
                <c:pt idx="261">
                  <c:v>264279.15000000002</c:v>
                </c:pt>
                <c:pt idx="262">
                  <c:v>265638.5</c:v>
                </c:pt>
                <c:pt idx="263">
                  <c:v>267001.12</c:v>
                </c:pt>
                <c:pt idx="264">
                  <c:v>268367</c:v>
                </c:pt>
                <c:pt idx="265">
                  <c:v>269736.15000000002</c:v>
                </c:pt>
                <c:pt idx="266">
                  <c:v>271108.58</c:v>
                </c:pt>
                <c:pt idx="267">
                  <c:v>272484.3</c:v>
                </c:pt>
                <c:pt idx="268">
                  <c:v>273863.31</c:v>
                </c:pt>
                <c:pt idx="269">
                  <c:v>275245.63</c:v>
                </c:pt>
                <c:pt idx="270">
                  <c:v>276631.27</c:v>
                </c:pt>
                <c:pt idx="271">
                  <c:v>278020.21999999997</c:v>
                </c:pt>
                <c:pt idx="272">
                  <c:v>279412.49</c:v>
                </c:pt>
                <c:pt idx="273">
                  <c:v>280808.11</c:v>
                </c:pt>
                <c:pt idx="274">
                  <c:v>282207.07</c:v>
                </c:pt>
                <c:pt idx="275">
                  <c:v>283609.38</c:v>
                </c:pt>
                <c:pt idx="276">
                  <c:v>285015.05</c:v>
                </c:pt>
                <c:pt idx="277">
                  <c:v>286424.08</c:v>
                </c:pt>
                <c:pt idx="278">
                  <c:v>287836.5</c:v>
                </c:pt>
                <c:pt idx="279">
                  <c:v>289252.28999999998</c:v>
                </c:pt>
                <c:pt idx="280">
                  <c:v>290671.48</c:v>
                </c:pt>
                <c:pt idx="281">
                  <c:v>292094.07</c:v>
                </c:pt>
                <c:pt idx="282">
                  <c:v>293520.07</c:v>
                </c:pt>
                <c:pt idx="283">
                  <c:v>294949.48</c:v>
                </c:pt>
                <c:pt idx="284">
                  <c:v>296382.32</c:v>
                </c:pt>
                <c:pt idx="285">
                  <c:v>297818.59000000003</c:v>
                </c:pt>
                <c:pt idx="286">
                  <c:v>299258.3</c:v>
                </c:pt>
                <c:pt idx="287">
                  <c:v>300701.46999999997</c:v>
                </c:pt>
                <c:pt idx="288">
                  <c:v>302148.09000000003</c:v>
                </c:pt>
                <c:pt idx="289">
                  <c:v>303598.17</c:v>
                </c:pt>
                <c:pt idx="290">
                  <c:v>305051.73</c:v>
                </c:pt>
                <c:pt idx="291">
                  <c:v>306508.77</c:v>
                </c:pt>
                <c:pt idx="292">
                  <c:v>307969.3</c:v>
                </c:pt>
                <c:pt idx="293">
                  <c:v>309433.34000000003</c:v>
                </c:pt>
                <c:pt idx="294">
                  <c:v>310900.87</c:v>
                </c:pt>
                <c:pt idx="295">
                  <c:v>312371.93</c:v>
                </c:pt>
                <c:pt idx="296">
                  <c:v>313846.51</c:v>
                </c:pt>
                <c:pt idx="297">
                  <c:v>315324.62</c:v>
                </c:pt>
                <c:pt idx="298">
                  <c:v>316806.28000000003</c:v>
                </c:pt>
                <c:pt idx="299">
                  <c:v>318291.48</c:v>
                </c:pt>
                <c:pt idx="300">
                  <c:v>319780.24</c:v>
                </c:pt>
                <c:pt idx="301">
                  <c:v>321272.57</c:v>
                </c:pt>
                <c:pt idx="302">
                  <c:v>322768.46999999997</c:v>
                </c:pt>
                <c:pt idx="303">
                  <c:v>324267.96000000002</c:v>
                </c:pt>
                <c:pt idx="304">
                  <c:v>325771.03999999998</c:v>
                </c:pt>
                <c:pt idx="305">
                  <c:v>327277.73</c:v>
                </c:pt>
                <c:pt idx="306">
                  <c:v>328788.02</c:v>
                </c:pt>
                <c:pt idx="307">
                  <c:v>330301.93</c:v>
                </c:pt>
                <c:pt idx="308">
                  <c:v>331819.46000000002</c:v>
                </c:pt>
                <c:pt idx="309">
                  <c:v>333340.64</c:v>
                </c:pt>
                <c:pt idx="310">
                  <c:v>334865.45</c:v>
                </c:pt>
                <c:pt idx="311">
                  <c:v>336393.92</c:v>
                </c:pt>
                <c:pt idx="312">
                  <c:v>337926.06</c:v>
                </c:pt>
                <c:pt idx="313">
                  <c:v>339461.86</c:v>
                </c:pt>
                <c:pt idx="314">
                  <c:v>341001.34</c:v>
                </c:pt>
                <c:pt idx="315">
                  <c:v>342544.51</c:v>
                </c:pt>
                <c:pt idx="316">
                  <c:v>344091.38</c:v>
                </c:pt>
                <c:pt idx="317">
                  <c:v>345641.96</c:v>
                </c:pt>
                <c:pt idx="318">
                  <c:v>347196.24</c:v>
                </c:pt>
                <c:pt idx="319">
                  <c:v>348754.26</c:v>
                </c:pt>
                <c:pt idx="320">
                  <c:v>350316</c:v>
                </c:pt>
                <c:pt idx="321">
                  <c:v>351881.49</c:v>
                </c:pt>
                <c:pt idx="322">
                  <c:v>353450.73</c:v>
                </c:pt>
                <c:pt idx="323">
                  <c:v>355023.73</c:v>
                </c:pt>
                <c:pt idx="324">
                  <c:v>356600.49</c:v>
                </c:pt>
                <c:pt idx="325">
                  <c:v>358181.04</c:v>
                </c:pt>
                <c:pt idx="326">
                  <c:v>359765.37</c:v>
                </c:pt>
                <c:pt idx="327">
                  <c:v>361353.49</c:v>
                </c:pt>
                <c:pt idx="328">
                  <c:v>362945.43</c:v>
                </c:pt>
                <c:pt idx="329">
                  <c:v>364541.17</c:v>
                </c:pt>
                <c:pt idx="330">
                  <c:v>366140.74</c:v>
                </c:pt>
                <c:pt idx="331">
                  <c:v>367744.14</c:v>
                </c:pt>
                <c:pt idx="332">
                  <c:v>369351.38</c:v>
                </c:pt>
                <c:pt idx="333">
                  <c:v>370962.47</c:v>
                </c:pt>
                <c:pt idx="334">
                  <c:v>372577.43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D1-4B45-98B1-FCC0085C530E}"/>
            </c:ext>
          </c:extLst>
        </c:ser>
        <c:ser>
          <c:idx val="2"/>
          <c:order val="2"/>
          <c:tx>
            <c:strRef>
              <c:f>'Amortization Schedule'!$I$1</c:f>
              <c:strCache>
                <c:ptCount val="1"/>
                <c:pt idx="0">
                  <c:v>cumulativeInterest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'Amortization Schedule'!$A$2:$A$336</c:f>
              <c:numCache>
                <c:formatCode>General</c:formatCode>
                <c:ptCount val="3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</c:numCache>
            </c:numRef>
          </c:xVal>
          <c:yVal>
            <c:numRef>
              <c:f>'Amortization Schedule'!$I$2:$I$336</c:f>
              <c:numCache>
                <c:formatCode>"$"#,##0.00_);[Red]\("$"#,##0.00\)</c:formatCode>
                <c:ptCount val="335"/>
                <c:pt idx="0">
                  <c:v>889.82</c:v>
                </c:pt>
                <c:pt idx="1">
                  <c:v>1777.9</c:v>
                </c:pt>
                <c:pt idx="2">
                  <c:v>2664.24</c:v>
                </c:pt>
                <c:pt idx="3">
                  <c:v>3548.83</c:v>
                </c:pt>
                <c:pt idx="4">
                  <c:v>4431.67</c:v>
                </c:pt>
                <c:pt idx="5">
                  <c:v>5312.75</c:v>
                </c:pt>
                <c:pt idx="6">
                  <c:v>6192.07</c:v>
                </c:pt>
                <c:pt idx="7">
                  <c:v>7069.62</c:v>
                </c:pt>
                <c:pt idx="8">
                  <c:v>7945.41</c:v>
                </c:pt>
                <c:pt idx="9">
                  <c:v>8819.42</c:v>
                </c:pt>
                <c:pt idx="10">
                  <c:v>9691.65</c:v>
                </c:pt>
                <c:pt idx="11">
                  <c:v>10562.11</c:v>
                </c:pt>
                <c:pt idx="12">
                  <c:v>11430.77</c:v>
                </c:pt>
                <c:pt idx="13">
                  <c:v>12297.65</c:v>
                </c:pt>
                <c:pt idx="14">
                  <c:v>13162.73</c:v>
                </c:pt>
                <c:pt idx="15">
                  <c:v>14026.01</c:v>
                </c:pt>
                <c:pt idx="16">
                  <c:v>14887.49</c:v>
                </c:pt>
                <c:pt idx="17">
                  <c:v>15747.16</c:v>
                </c:pt>
                <c:pt idx="18">
                  <c:v>16605.02</c:v>
                </c:pt>
                <c:pt idx="19">
                  <c:v>17461.060000000001</c:v>
                </c:pt>
                <c:pt idx="20">
                  <c:v>18315.28</c:v>
                </c:pt>
                <c:pt idx="21">
                  <c:v>19167.68</c:v>
                </c:pt>
                <c:pt idx="22">
                  <c:v>20018.240000000002</c:v>
                </c:pt>
                <c:pt idx="23">
                  <c:v>20866.98</c:v>
                </c:pt>
                <c:pt idx="24">
                  <c:v>21713.87</c:v>
                </c:pt>
                <c:pt idx="25">
                  <c:v>22558.92</c:v>
                </c:pt>
                <c:pt idx="26">
                  <c:v>23402.13</c:v>
                </c:pt>
                <c:pt idx="27">
                  <c:v>24243.48</c:v>
                </c:pt>
                <c:pt idx="28">
                  <c:v>25082.98</c:v>
                </c:pt>
                <c:pt idx="29">
                  <c:v>25920.62</c:v>
                </c:pt>
                <c:pt idx="30">
                  <c:v>26756.39</c:v>
                </c:pt>
                <c:pt idx="31">
                  <c:v>27590.29</c:v>
                </c:pt>
                <c:pt idx="32">
                  <c:v>28422.32</c:v>
                </c:pt>
                <c:pt idx="33">
                  <c:v>29252.47</c:v>
                </c:pt>
                <c:pt idx="34">
                  <c:v>30080.74</c:v>
                </c:pt>
                <c:pt idx="35">
                  <c:v>30907.119999999999</c:v>
                </c:pt>
                <c:pt idx="36">
                  <c:v>31731.61</c:v>
                </c:pt>
                <c:pt idx="37">
                  <c:v>32554.2</c:v>
                </c:pt>
                <c:pt idx="38">
                  <c:v>33374.89</c:v>
                </c:pt>
                <c:pt idx="39">
                  <c:v>34193.68</c:v>
                </c:pt>
                <c:pt idx="40">
                  <c:v>35010.550000000003</c:v>
                </c:pt>
                <c:pt idx="41">
                  <c:v>35825.519999999997</c:v>
                </c:pt>
                <c:pt idx="42">
                  <c:v>36638.559999999998</c:v>
                </c:pt>
                <c:pt idx="43">
                  <c:v>37449.68</c:v>
                </c:pt>
                <c:pt idx="44">
                  <c:v>38258.870000000003</c:v>
                </c:pt>
                <c:pt idx="45">
                  <c:v>39066.120000000003</c:v>
                </c:pt>
                <c:pt idx="46">
                  <c:v>39871.440000000002</c:v>
                </c:pt>
                <c:pt idx="47">
                  <c:v>40674.82</c:v>
                </c:pt>
                <c:pt idx="48">
                  <c:v>41476.25</c:v>
                </c:pt>
                <c:pt idx="49">
                  <c:v>42275.73</c:v>
                </c:pt>
                <c:pt idx="50">
                  <c:v>43073.25</c:v>
                </c:pt>
                <c:pt idx="51">
                  <c:v>43868.81</c:v>
                </c:pt>
                <c:pt idx="52">
                  <c:v>44662.41</c:v>
                </c:pt>
                <c:pt idx="53">
                  <c:v>45454.04</c:v>
                </c:pt>
                <c:pt idx="54">
                  <c:v>46243.69</c:v>
                </c:pt>
                <c:pt idx="55">
                  <c:v>47031.360000000001</c:v>
                </c:pt>
                <c:pt idx="56">
                  <c:v>47817.04</c:v>
                </c:pt>
                <c:pt idx="57">
                  <c:v>48600.74</c:v>
                </c:pt>
                <c:pt idx="58">
                  <c:v>49382.44</c:v>
                </c:pt>
                <c:pt idx="59">
                  <c:v>50162.15</c:v>
                </c:pt>
                <c:pt idx="60">
                  <c:v>50939.85</c:v>
                </c:pt>
                <c:pt idx="61">
                  <c:v>51715.54</c:v>
                </c:pt>
                <c:pt idx="62">
                  <c:v>52489.22</c:v>
                </c:pt>
                <c:pt idx="63">
                  <c:v>53260.88</c:v>
                </c:pt>
                <c:pt idx="64">
                  <c:v>54030.51</c:v>
                </c:pt>
                <c:pt idx="65">
                  <c:v>54798.12</c:v>
                </c:pt>
                <c:pt idx="66">
                  <c:v>55563.7</c:v>
                </c:pt>
                <c:pt idx="67">
                  <c:v>56327.24</c:v>
                </c:pt>
                <c:pt idx="68">
                  <c:v>57088.74</c:v>
                </c:pt>
                <c:pt idx="69">
                  <c:v>57848.19</c:v>
                </c:pt>
                <c:pt idx="70">
                  <c:v>58605.58</c:v>
                </c:pt>
                <c:pt idx="71">
                  <c:v>59360.92</c:v>
                </c:pt>
                <c:pt idx="72">
                  <c:v>60114.2</c:v>
                </c:pt>
                <c:pt idx="73">
                  <c:v>60865.42</c:v>
                </c:pt>
                <c:pt idx="74">
                  <c:v>61614.55</c:v>
                </c:pt>
                <c:pt idx="75">
                  <c:v>62361.62</c:v>
                </c:pt>
                <c:pt idx="76">
                  <c:v>63106.6</c:v>
                </c:pt>
                <c:pt idx="77">
                  <c:v>63849.49</c:v>
                </c:pt>
                <c:pt idx="78">
                  <c:v>64590.29</c:v>
                </c:pt>
                <c:pt idx="79">
                  <c:v>65329</c:v>
                </c:pt>
                <c:pt idx="80">
                  <c:v>66065.600000000006</c:v>
                </c:pt>
                <c:pt idx="81">
                  <c:v>66800.100000000006</c:v>
                </c:pt>
                <c:pt idx="82">
                  <c:v>67532.490000000005</c:v>
                </c:pt>
                <c:pt idx="83">
                  <c:v>68262.75</c:v>
                </c:pt>
                <c:pt idx="84">
                  <c:v>68990.899999999994</c:v>
                </c:pt>
                <c:pt idx="85">
                  <c:v>69716.92</c:v>
                </c:pt>
                <c:pt idx="86">
                  <c:v>70440.800000000003</c:v>
                </c:pt>
                <c:pt idx="87">
                  <c:v>71162.55</c:v>
                </c:pt>
                <c:pt idx="88">
                  <c:v>71882.16</c:v>
                </c:pt>
                <c:pt idx="89">
                  <c:v>72599.62</c:v>
                </c:pt>
                <c:pt idx="90">
                  <c:v>73314.92</c:v>
                </c:pt>
                <c:pt idx="91">
                  <c:v>74028.070000000007</c:v>
                </c:pt>
                <c:pt idx="92">
                  <c:v>74739.05</c:v>
                </c:pt>
                <c:pt idx="93">
                  <c:v>75447.87</c:v>
                </c:pt>
                <c:pt idx="94">
                  <c:v>76154.509999999995</c:v>
                </c:pt>
                <c:pt idx="95">
                  <c:v>76858.98</c:v>
                </c:pt>
                <c:pt idx="96">
                  <c:v>77561.259999999995</c:v>
                </c:pt>
                <c:pt idx="97">
                  <c:v>78261.350000000006</c:v>
                </c:pt>
                <c:pt idx="98">
                  <c:v>78959.25</c:v>
                </c:pt>
                <c:pt idx="99">
                  <c:v>79654.94</c:v>
                </c:pt>
                <c:pt idx="100">
                  <c:v>80348.44</c:v>
                </c:pt>
                <c:pt idx="101">
                  <c:v>81039.72</c:v>
                </c:pt>
                <c:pt idx="102">
                  <c:v>81728.789999999994</c:v>
                </c:pt>
                <c:pt idx="103">
                  <c:v>82415.63</c:v>
                </c:pt>
                <c:pt idx="104">
                  <c:v>83100.25</c:v>
                </c:pt>
                <c:pt idx="105">
                  <c:v>83782.64</c:v>
                </c:pt>
                <c:pt idx="106">
                  <c:v>84462.79</c:v>
                </c:pt>
                <c:pt idx="107">
                  <c:v>85140.7</c:v>
                </c:pt>
                <c:pt idx="108">
                  <c:v>85816.36</c:v>
                </c:pt>
                <c:pt idx="109">
                  <c:v>86489.77</c:v>
                </c:pt>
                <c:pt idx="110">
                  <c:v>87160.92</c:v>
                </c:pt>
                <c:pt idx="111">
                  <c:v>87829.81</c:v>
                </c:pt>
                <c:pt idx="112">
                  <c:v>88496.42</c:v>
                </c:pt>
                <c:pt idx="113">
                  <c:v>89160.77</c:v>
                </c:pt>
                <c:pt idx="114">
                  <c:v>89822.83</c:v>
                </c:pt>
                <c:pt idx="115">
                  <c:v>90482.61</c:v>
                </c:pt>
                <c:pt idx="116">
                  <c:v>91140.1</c:v>
                </c:pt>
                <c:pt idx="117">
                  <c:v>91795.29</c:v>
                </c:pt>
                <c:pt idx="118">
                  <c:v>92448.17</c:v>
                </c:pt>
                <c:pt idx="119">
                  <c:v>93098.75</c:v>
                </c:pt>
                <c:pt idx="120">
                  <c:v>93747.02</c:v>
                </c:pt>
                <c:pt idx="121">
                  <c:v>94392.97</c:v>
                </c:pt>
                <c:pt idx="122">
                  <c:v>95036.6</c:v>
                </c:pt>
                <c:pt idx="123">
                  <c:v>95677.89</c:v>
                </c:pt>
                <c:pt idx="124">
                  <c:v>96316.85</c:v>
                </c:pt>
                <c:pt idx="125">
                  <c:v>96953.47</c:v>
                </c:pt>
                <c:pt idx="126">
                  <c:v>97587.74</c:v>
                </c:pt>
                <c:pt idx="127">
                  <c:v>98219.66</c:v>
                </c:pt>
                <c:pt idx="128">
                  <c:v>98849.23</c:v>
                </c:pt>
                <c:pt idx="129">
                  <c:v>99476.43</c:v>
                </c:pt>
                <c:pt idx="130">
                  <c:v>100101.26</c:v>
                </c:pt>
                <c:pt idx="131">
                  <c:v>100723.71</c:v>
                </c:pt>
                <c:pt idx="132">
                  <c:v>101343.79</c:v>
                </c:pt>
                <c:pt idx="133">
                  <c:v>101961.48</c:v>
                </c:pt>
                <c:pt idx="134">
                  <c:v>102576.77</c:v>
                </c:pt>
                <c:pt idx="135">
                  <c:v>103189.67</c:v>
                </c:pt>
                <c:pt idx="136">
                  <c:v>103800.17</c:v>
                </c:pt>
                <c:pt idx="137">
                  <c:v>104408.26</c:v>
                </c:pt>
                <c:pt idx="138">
                  <c:v>105013.93</c:v>
                </c:pt>
                <c:pt idx="139">
                  <c:v>105617.18</c:v>
                </c:pt>
                <c:pt idx="140">
                  <c:v>106218.01</c:v>
                </c:pt>
                <c:pt idx="141">
                  <c:v>106816.4</c:v>
                </c:pt>
                <c:pt idx="142">
                  <c:v>107412.36</c:v>
                </c:pt>
                <c:pt idx="143">
                  <c:v>108005.87</c:v>
                </c:pt>
                <c:pt idx="144">
                  <c:v>108596.93</c:v>
                </c:pt>
                <c:pt idx="145">
                  <c:v>109185.54</c:v>
                </c:pt>
                <c:pt idx="146">
                  <c:v>109771.68</c:v>
                </c:pt>
                <c:pt idx="147">
                  <c:v>110355.36</c:v>
                </c:pt>
                <c:pt idx="148">
                  <c:v>110936.57</c:v>
                </c:pt>
                <c:pt idx="149">
                  <c:v>111515.29</c:v>
                </c:pt>
                <c:pt idx="150">
                  <c:v>112091.53</c:v>
                </c:pt>
                <c:pt idx="151">
                  <c:v>112665.28</c:v>
                </c:pt>
                <c:pt idx="152">
                  <c:v>113236.53</c:v>
                </c:pt>
                <c:pt idx="153">
                  <c:v>113805.28</c:v>
                </c:pt>
                <c:pt idx="154">
                  <c:v>114371.52</c:v>
                </c:pt>
                <c:pt idx="155">
                  <c:v>114935.24</c:v>
                </c:pt>
                <c:pt idx="156">
                  <c:v>115496.45</c:v>
                </c:pt>
                <c:pt idx="157">
                  <c:v>116055.12</c:v>
                </c:pt>
                <c:pt idx="158">
                  <c:v>116611.27</c:v>
                </c:pt>
                <c:pt idx="159">
                  <c:v>117164.87</c:v>
                </c:pt>
                <c:pt idx="160">
                  <c:v>117715.93</c:v>
                </c:pt>
                <c:pt idx="161">
                  <c:v>118264.44</c:v>
                </c:pt>
                <c:pt idx="162">
                  <c:v>118810.38</c:v>
                </c:pt>
                <c:pt idx="163">
                  <c:v>119353.77</c:v>
                </c:pt>
                <c:pt idx="164">
                  <c:v>119894.59</c:v>
                </c:pt>
                <c:pt idx="165">
                  <c:v>120432.83</c:v>
                </c:pt>
                <c:pt idx="166">
                  <c:v>120968.48</c:v>
                </c:pt>
                <c:pt idx="167">
                  <c:v>121501.55</c:v>
                </c:pt>
                <c:pt idx="168">
                  <c:v>122032.03</c:v>
                </c:pt>
                <c:pt idx="169">
                  <c:v>122559.9</c:v>
                </c:pt>
                <c:pt idx="170">
                  <c:v>123085.17</c:v>
                </c:pt>
                <c:pt idx="171">
                  <c:v>123607.82</c:v>
                </c:pt>
                <c:pt idx="172">
                  <c:v>124127.86</c:v>
                </c:pt>
                <c:pt idx="173">
                  <c:v>124645.27</c:v>
                </c:pt>
                <c:pt idx="174">
                  <c:v>125160.04</c:v>
                </c:pt>
                <c:pt idx="175">
                  <c:v>125672.18</c:v>
                </c:pt>
                <c:pt idx="176">
                  <c:v>126181.67</c:v>
                </c:pt>
                <c:pt idx="177">
                  <c:v>126688.52</c:v>
                </c:pt>
                <c:pt idx="178">
                  <c:v>127192.7</c:v>
                </c:pt>
                <c:pt idx="179">
                  <c:v>127694.22</c:v>
                </c:pt>
                <c:pt idx="180">
                  <c:v>128193.07</c:v>
                </c:pt>
                <c:pt idx="181">
                  <c:v>128689.25</c:v>
                </c:pt>
                <c:pt idx="182">
                  <c:v>129182.74</c:v>
                </c:pt>
                <c:pt idx="183">
                  <c:v>129673.54</c:v>
                </c:pt>
                <c:pt idx="184">
                  <c:v>130161.65</c:v>
                </c:pt>
                <c:pt idx="185">
                  <c:v>130647.05</c:v>
                </c:pt>
                <c:pt idx="186">
                  <c:v>131129.75</c:v>
                </c:pt>
                <c:pt idx="187">
                  <c:v>131609.73000000001</c:v>
                </c:pt>
                <c:pt idx="188">
                  <c:v>132086.99</c:v>
                </c:pt>
                <c:pt idx="189">
                  <c:v>132561.51999999999</c:v>
                </c:pt>
                <c:pt idx="190">
                  <c:v>133033.31</c:v>
                </c:pt>
                <c:pt idx="191">
                  <c:v>133502.37</c:v>
                </c:pt>
                <c:pt idx="192">
                  <c:v>133968.67000000001</c:v>
                </c:pt>
                <c:pt idx="193">
                  <c:v>134432.23000000001</c:v>
                </c:pt>
                <c:pt idx="194">
                  <c:v>134893.01999999999</c:v>
                </c:pt>
                <c:pt idx="195">
                  <c:v>135351.04000000001</c:v>
                </c:pt>
                <c:pt idx="196">
                  <c:v>135806.29</c:v>
                </c:pt>
                <c:pt idx="197">
                  <c:v>136258.76</c:v>
                </c:pt>
                <c:pt idx="198">
                  <c:v>136708.44</c:v>
                </c:pt>
                <c:pt idx="199">
                  <c:v>137155.32</c:v>
                </c:pt>
                <c:pt idx="200">
                  <c:v>137599.41</c:v>
                </c:pt>
                <c:pt idx="201">
                  <c:v>138040.68</c:v>
                </c:pt>
                <c:pt idx="202">
                  <c:v>138479.14000000001</c:v>
                </c:pt>
                <c:pt idx="203">
                  <c:v>138914.79</c:v>
                </c:pt>
                <c:pt idx="204">
                  <c:v>139347.6</c:v>
                </c:pt>
                <c:pt idx="205">
                  <c:v>139777.57999999999</c:v>
                </c:pt>
                <c:pt idx="206">
                  <c:v>140204.71</c:v>
                </c:pt>
                <c:pt idx="207">
                  <c:v>140629</c:v>
                </c:pt>
                <c:pt idx="208">
                  <c:v>141050.44</c:v>
                </c:pt>
                <c:pt idx="209">
                  <c:v>141469.01</c:v>
                </c:pt>
                <c:pt idx="210">
                  <c:v>141884.71</c:v>
                </c:pt>
                <c:pt idx="211">
                  <c:v>142297.54</c:v>
                </c:pt>
                <c:pt idx="212">
                  <c:v>142707.48000000001</c:v>
                </c:pt>
                <c:pt idx="213">
                  <c:v>143114.54</c:v>
                </c:pt>
                <c:pt idx="214">
                  <c:v>143518.69</c:v>
                </c:pt>
                <c:pt idx="215">
                  <c:v>143919.95000000001</c:v>
                </c:pt>
                <c:pt idx="216">
                  <c:v>144318.29</c:v>
                </c:pt>
                <c:pt idx="217">
                  <c:v>144713.72</c:v>
                </c:pt>
                <c:pt idx="218">
                  <c:v>145106.22</c:v>
                </c:pt>
                <c:pt idx="219">
                  <c:v>145495.79</c:v>
                </c:pt>
                <c:pt idx="220">
                  <c:v>145882.43</c:v>
                </c:pt>
                <c:pt idx="221">
                  <c:v>146266.12</c:v>
                </c:pt>
                <c:pt idx="222">
                  <c:v>146646.85</c:v>
                </c:pt>
                <c:pt idx="223">
                  <c:v>147024.63</c:v>
                </c:pt>
                <c:pt idx="224">
                  <c:v>147399.44</c:v>
                </c:pt>
                <c:pt idx="225">
                  <c:v>147771.26999999999</c:v>
                </c:pt>
                <c:pt idx="226">
                  <c:v>148140.13</c:v>
                </c:pt>
                <c:pt idx="227">
                  <c:v>148505.99</c:v>
                </c:pt>
                <c:pt idx="228">
                  <c:v>148868.85999999999</c:v>
                </c:pt>
                <c:pt idx="229">
                  <c:v>149228.73000000001</c:v>
                </c:pt>
                <c:pt idx="230">
                  <c:v>149585.59</c:v>
                </c:pt>
                <c:pt idx="231">
                  <c:v>149939.44</c:v>
                </c:pt>
                <c:pt idx="232">
                  <c:v>150290.25</c:v>
                </c:pt>
                <c:pt idx="233">
                  <c:v>150638.04</c:v>
                </c:pt>
                <c:pt idx="234">
                  <c:v>150982.79</c:v>
                </c:pt>
                <c:pt idx="235">
                  <c:v>151324.5</c:v>
                </c:pt>
                <c:pt idx="236">
                  <c:v>151663.15</c:v>
                </c:pt>
                <c:pt idx="237">
                  <c:v>151998.74</c:v>
                </c:pt>
                <c:pt idx="238">
                  <c:v>152331.26</c:v>
                </c:pt>
                <c:pt idx="239">
                  <c:v>152660.71</c:v>
                </c:pt>
                <c:pt idx="240">
                  <c:v>152987.07</c:v>
                </c:pt>
                <c:pt idx="241">
                  <c:v>153310.35</c:v>
                </c:pt>
                <c:pt idx="242">
                  <c:v>153630.53</c:v>
                </c:pt>
                <c:pt idx="243">
                  <c:v>153947.6</c:v>
                </c:pt>
                <c:pt idx="244">
                  <c:v>154261.56</c:v>
                </c:pt>
                <c:pt idx="245">
                  <c:v>154572.4</c:v>
                </c:pt>
                <c:pt idx="246">
                  <c:v>154880.12</c:v>
                </c:pt>
                <c:pt idx="247">
                  <c:v>155184.70000000001</c:v>
                </c:pt>
                <c:pt idx="248">
                  <c:v>155486.14000000001</c:v>
                </c:pt>
                <c:pt idx="249">
                  <c:v>155784.43</c:v>
                </c:pt>
                <c:pt idx="250">
                  <c:v>156079.56</c:v>
                </c:pt>
                <c:pt idx="251">
                  <c:v>156371.53</c:v>
                </c:pt>
                <c:pt idx="252">
                  <c:v>156660.32</c:v>
                </c:pt>
                <c:pt idx="253">
                  <c:v>156945.94</c:v>
                </c:pt>
                <c:pt idx="254">
                  <c:v>157228.37</c:v>
                </c:pt>
                <c:pt idx="255">
                  <c:v>157507.6</c:v>
                </c:pt>
                <c:pt idx="256">
                  <c:v>157783.63</c:v>
                </c:pt>
                <c:pt idx="257">
                  <c:v>158056.45000000001</c:v>
                </c:pt>
                <c:pt idx="258">
                  <c:v>158326.04999999999</c:v>
                </c:pt>
                <c:pt idx="259">
                  <c:v>158592.43</c:v>
                </c:pt>
                <c:pt idx="260">
                  <c:v>158855.57</c:v>
                </c:pt>
                <c:pt idx="261">
                  <c:v>159115.47</c:v>
                </c:pt>
                <c:pt idx="262">
                  <c:v>159372.13</c:v>
                </c:pt>
                <c:pt idx="263">
                  <c:v>159625.51999999999</c:v>
                </c:pt>
                <c:pt idx="264">
                  <c:v>159875.65</c:v>
                </c:pt>
                <c:pt idx="265">
                  <c:v>160122.51</c:v>
                </c:pt>
                <c:pt idx="266">
                  <c:v>160366.09</c:v>
                </c:pt>
                <c:pt idx="267">
                  <c:v>160606.38</c:v>
                </c:pt>
                <c:pt idx="268">
                  <c:v>160843.38</c:v>
                </c:pt>
                <c:pt idx="269">
                  <c:v>161077.07</c:v>
                </c:pt>
                <c:pt idx="270">
                  <c:v>161307.44</c:v>
                </c:pt>
                <c:pt idx="271">
                  <c:v>161534.5</c:v>
                </c:pt>
                <c:pt idx="272">
                  <c:v>161758.24</c:v>
                </c:pt>
                <c:pt idx="273">
                  <c:v>161978.63</c:v>
                </c:pt>
                <c:pt idx="274">
                  <c:v>162195.68</c:v>
                </c:pt>
                <c:pt idx="275">
                  <c:v>162409.38</c:v>
                </c:pt>
                <c:pt idx="276">
                  <c:v>162619.72</c:v>
                </c:pt>
                <c:pt idx="277">
                  <c:v>162826.70000000001</c:v>
                </c:pt>
                <c:pt idx="278">
                  <c:v>163030.29</c:v>
                </c:pt>
                <c:pt idx="279">
                  <c:v>163230.51</c:v>
                </c:pt>
                <c:pt idx="280">
                  <c:v>163427.32999999999</c:v>
                </c:pt>
                <c:pt idx="281">
                  <c:v>163620.75</c:v>
                </c:pt>
                <c:pt idx="282">
                  <c:v>163810.76</c:v>
                </c:pt>
                <c:pt idx="283">
                  <c:v>163997.35999999999</c:v>
                </c:pt>
                <c:pt idx="284">
                  <c:v>164180.53</c:v>
                </c:pt>
                <c:pt idx="285">
                  <c:v>164360.26999999999</c:v>
                </c:pt>
                <c:pt idx="286">
                  <c:v>164536.57</c:v>
                </c:pt>
                <c:pt idx="287">
                  <c:v>164709.41</c:v>
                </c:pt>
                <c:pt idx="288">
                  <c:v>164878.79999999999</c:v>
                </c:pt>
                <c:pt idx="289">
                  <c:v>165044.73000000001</c:v>
                </c:pt>
                <c:pt idx="290">
                  <c:v>165207.18</c:v>
                </c:pt>
                <c:pt idx="291">
                  <c:v>165366.15</c:v>
                </c:pt>
                <c:pt idx="292">
                  <c:v>165521.63</c:v>
                </c:pt>
                <c:pt idx="293">
                  <c:v>165673.60000000001</c:v>
                </c:pt>
                <c:pt idx="294">
                  <c:v>165822.07999999999</c:v>
                </c:pt>
                <c:pt idx="295">
                  <c:v>165967.03</c:v>
                </c:pt>
                <c:pt idx="296">
                  <c:v>166108.46</c:v>
                </c:pt>
                <c:pt idx="297">
                  <c:v>166246.35999999999</c:v>
                </c:pt>
                <c:pt idx="298">
                  <c:v>166380.71</c:v>
                </c:pt>
                <c:pt idx="299">
                  <c:v>166511.51999999999</c:v>
                </c:pt>
                <c:pt idx="300">
                  <c:v>166638.76999999999</c:v>
                </c:pt>
                <c:pt idx="301">
                  <c:v>166762.45000000001</c:v>
                </c:pt>
                <c:pt idx="302">
                  <c:v>166882.56</c:v>
                </c:pt>
                <c:pt idx="303">
                  <c:v>166999.07999999999</c:v>
                </c:pt>
                <c:pt idx="304">
                  <c:v>167112.01</c:v>
                </c:pt>
                <c:pt idx="305">
                  <c:v>167221.32999999999</c:v>
                </c:pt>
                <c:pt idx="306">
                  <c:v>167327.04999999999</c:v>
                </c:pt>
                <c:pt idx="307">
                  <c:v>167429.15</c:v>
                </c:pt>
                <c:pt idx="308">
                  <c:v>167527.63</c:v>
                </c:pt>
                <c:pt idx="309">
                  <c:v>167622.46</c:v>
                </c:pt>
                <c:pt idx="310">
                  <c:v>167713.66</c:v>
                </c:pt>
                <c:pt idx="311">
                  <c:v>167801.2</c:v>
                </c:pt>
                <c:pt idx="312">
                  <c:v>167885.07</c:v>
                </c:pt>
                <c:pt idx="313">
                  <c:v>167965.28</c:v>
                </c:pt>
                <c:pt idx="314">
                  <c:v>168041.81</c:v>
                </c:pt>
                <c:pt idx="315">
                  <c:v>168114.65</c:v>
                </c:pt>
                <c:pt idx="316">
                  <c:v>168183.79</c:v>
                </c:pt>
                <c:pt idx="317">
                  <c:v>168249.22</c:v>
                </c:pt>
                <c:pt idx="318">
                  <c:v>168310.95</c:v>
                </c:pt>
                <c:pt idx="319">
                  <c:v>168368.94</c:v>
                </c:pt>
                <c:pt idx="320">
                  <c:v>168423.21</c:v>
                </c:pt>
                <c:pt idx="321">
                  <c:v>168473.73</c:v>
                </c:pt>
                <c:pt idx="322">
                  <c:v>168520.5</c:v>
                </c:pt>
                <c:pt idx="323">
                  <c:v>168563.51</c:v>
                </c:pt>
                <c:pt idx="324">
                  <c:v>168602.76</c:v>
                </c:pt>
                <c:pt idx="325">
                  <c:v>168638.22</c:v>
                </c:pt>
                <c:pt idx="326">
                  <c:v>168669.9</c:v>
                </c:pt>
                <c:pt idx="327">
                  <c:v>168697.79</c:v>
                </c:pt>
                <c:pt idx="328">
                  <c:v>168721.86</c:v>
                </c:pt>
                <c:pt idx="329">
                  <c:v>168742.13</c:v>
                </c:pt>
                <c:pt idx="330">
                  <c:v>168758.57</c:v>
                </c:pt>
                <c:pt idx="331">
                  <c:v>168771.18</c:v>
                </c:pt>
                <c:pt idx="332">
                  <c:v>168779.95</c:v>
                </c:pt>
                <c:pt idx="333">
                  <c:v>168784.87</c:v>
                </c:pt>
                <c:pt idx="334">
                  <c:v>168785.92000000001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D1-4B45-98B1-FCC0085C5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882367"/>
        <c:axId val="1065093855"/>
      </c:scatterChart>
      <c:scatterChart>
        <c:scatterStyle val="smoothMarker"/>
        <c:varyColors val="0"/>
        <c:ser>
          <c:idx val="3"/>
          <c:order val="3"/>
          <c:tx>
            <c:strRef>
              <c:f>'Amortization Schedule'!$D$1</c:f>
              <c:strCache>
                <c:ptCount val="1"/>
                <c:pt idx="0">
                  <c:v>principalPayment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'Amortization Schedule'!$A$2:$A$336</c:f>
              <c:numCache>
                <c:formatCode>General</c:formatCode>
                <c:ptCount val="3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</c:numCache>
            </c:numRef>
          </c:xVal>
          <c:yVal>
            <c:numRef>
              <c:f>'Amortization Schedule'!$D$2:$D$336</c:f>
              <c:numCache>
                <c:formatCode>"$"#,##0.00_);[Red]\("$"#,##0.00\)</c:formatCode>
                <c:ptCount val="335"/>
                <c:pt idx="0">
                  <c:v>726.19</c:v>
                </c:pt>
                <c:pt idx="1">
                  <c:v>727.93</c:v>
                </c:pt>
                <c:pt idx="2">
                  <c:v>729.67</c:v>
                </c:pt>
                <c:pt idx="3">
                  <c:v>731.42</c:v>
                </c:pt>
                <c:pt idx="4">
                  <c:v>733.17</c:v>
                </c:pt>
                <c:pt idx="5">
                  <c:v>734.93</c:v>
                </c:pt>
                <c:pt idx="6">
                  <c:v>736.69</c:v>
                </c:pt>
                <c:pt idx="7">
                  <c:v>738.46</c:v>
                </c:pt>
                <c:pt idx="8">
                  <c:v>740.22</c:v>
                </c:pt>
                <c:pt idx="9">
                  <c:v>742</c:v>
                </c:pt>
                <c:pt idx="10">
                  <c:v>743.78</c:v>
                </c:pt>
                <c:pt idx="11">
                  <c:v>745.56</c:v>
                </c:pt>
                <c:pt idx="12">
                  <c:v>747.34</c:v>
                </c:pt>
                <c:pt idx="13">
                  <c:v>749.13</c:v>
                </c:pt>
                <c:pt idx="14">
                  <c:v>750.93</c:v>
                </c:pt>
                <c:pt idx="15">
                  <c:v>752.73</c:v>
                </c:pt>
                <c:pt idx="16">
                  <c:v>754.53</c:v>
                </c:pt>
                <c:pt idx="17">
                  <c:v>756.34</c:v>
                </c:pt>
                <c:pt idx="18">
                  <c:v>758.15</c:v>
                </c:pt>
                <c:pt idx="19">
                  <c:v>759.97</c:v>
                </c:pt>
                <c:pt idx="20">
                  <c:v>761.79</c:v>
                </c:pt>
                <c:pt idx="21">
                  <c:v>763.61</c:v>
                </c:pt>
                <c:pt idx="22">
                  <c:v>765.44</c:v>
                </c:pt>
                <c:pt idx="23">
                  <c:v>767.28</c:v>
                </c:pt>
                <c:pt idx="24">
                  <c:v>769.12</c:v>
                </c:pt>
                <c:pt idx="25">
                  <c:v>770.96</c:v>
                </c:pt>
                <c:pt idx="26">
                  <c:v>772.81</c:v>
                </c:pt>
                <c:pt idx="27">
                  <c:v>774.66</c:v>
                </c:pt>
                <c:pt idx="28">
                  <c:v>776.51</c:v>
                </c:pt>
                <c:pt idx="29">
                  <c:v>778.37</c:v>
                </c:pt>
                <c:pt idx="30">
                  <c:v>780.24</c:v>
                </c:pt>
                <c:pt idx="31">
                  <c:v>782.11</c:v>
                </c:pt>
                <c:pt idx="32">
                  <c:v>783.98</c:v>
                </c:pt>
                <c:pt idx="33">
                  <c:v>785.86</c:v>
                </c:pt>
                <c:pt idx="34">
                  <c:v>787.74</c:v>
                </c:pt>
                <c:pt idx="35">
                  <c:v>789.63</c:v>
                </c:pt>
                <c:pt idx="36">
                  <c:v>791.52</c:v>
                </c:pt>
                <c:pt idx="37">
                  <c:v>793.42</c:v>
                </c:pt>
                <c:pt idx="38">
                  <c:v>795.32</c:v>
                </c:pt>
                <c:pt idx="39">
                  <c:v>797.22</c:v>
                </c:pt>
                <c:pt idx="40">
                  <c:v>799.13</c:v>
                </c:pt>
                <c:pt idx="41">
                  <c:v>801.05</c:v>
                </c:pt>
                <c:pt idx="42">
                  <c:v>802.97</c:v>
                </c:pt>
                <c:pt idx="43">
                  <c:v>804.89</c:v>
                </c:pt>
                <c:pt idx="44">
                  <c:v>806.82</c:v>
                </c:pt>
                <c:pt idx="45">
                  <c:v>808.75</c:v>
                </c:pt>
                <c:pt idx="46">
                  <c:v>810.69</c:v>
                </c:pt>
                <c:pt idx="47">
                  <c:v>812.63</c:v>
                </c:pt>
                <c:pt idx="48">
                  <c:v>814.58</c:v>
                </c:pt>
                <c:pt idx="49">
                  <c:v>816.53</c:v>
                </c:pt>
                <c:pt idx="50">
                  <c:v>818.49</c:v>
                </c:pt>
                <c:pt idx="51">
                  <c:v>820.45</c:v>
                </c:pt>
                <c:pt idx="52">
                  <c:v>822.41</c:v>
                </c:pt>
                <c:pt idx="53">
                  <c:v>824.38</c:v>
                </c:pt>
                <c:pt idx="54">
                  <c:v>826.36</c:v>
                </c:pt>
                <c:pt idx="55">
                  <c:v>828.34</c:v>
                </c:pt>
                <c:pt idx="56">
                  <c:v>830.32</c:v>
                </c:pt>
                <c:pt idx="57">
                  <c:v>832.31</c:v>
                </c:pt>
                <c:pt idx="58">
                  <c:v>834.31</c:v>
                </c:pt>
                <c:pt idx="59">
                  <c:v>836.31</c:v>
                </c:pt>
                <c:pt idx="60">
                  <c:v>838.31</c:v>
                </c:pt>
                <c:pt idx="61">
                  <c:v>840.32</c:v>
                </c:pt>
                <c:pt idx="62">
                  <c:v>842.33</c:v>
                </c:pt>
                <c:pt idx="63">
                  <c:v>844.35</c:v>
                </c:pt>
                <c:pt idx="64">
                  <c:v>846.37</c:v>
                </c:pt>
                <c:pt idx="65">
                  <c:v>848.4</c:v>
                </c:pt>
                <c:pt idx="66">
                  <c:v>850.43</c:v>
                </c:pt>
                <c:pt idx="67">
                  <c:v>852.47</c:v>
                </c:pt>
                <c:pt idx="68">
                  <c:v>854.51</c:v>
                </c:pt>
                <c:pt idx="69">
                  <c:v>856.56</c:v>
                </c:pt>
                <c:pt idx="70">
                  <c:v>858.61</c:v>
                </c:pt>
                <c:pt idx="71">
                  <c:v>860.67</c:v>
                </c:pt>
                <c:pt idx="72">
                  <c:v>862.73</c:v>
                </c:pt>
                <c:pt idx="73">
                  <c:v>864.8</c:v>
                </c:pt>
                <c:pt idx="74">
                  <c:v>866.87</c:v>
                </c:pt>
                <c:pt idx="75">
                  <c:v>868.95</c:v>
                </c:pt>
                <c:pt idx="76">
                  <c:v>871.03</c:v>
                </c:pt>
                <c:pt idx="77">
                  <c:v>873.12</c:v>
                </c:pt>
                <c:pt idx="78">
                  <c:v>875.21</c:v>
                </c:pt>
                <c:pt idx="79">
                  <c:v>877.3</c:v>
                </c:pt>
                <c:pt idx="80">
                  <c:v>879.41</c:v>
                </c:pt>
                <c:pt idx="81">
                  <c:v>881.51</c:v>
                </c:pt>
                <c:pt idx="82">
                  <c:v>883.63</c:v>
                </c:pt>
                <c:pt idx="83">
                  <c:v>885.74</c:v>
                </c:pt>
                <c:pt idx="84">
                  <c:v>887.86</c:v>
                </c:pt>
                <c:pt idx="85">
                  <c:v>889.99</c:v>
                </c:pt>
                <c:pt idx="86">
                  <c:v>892.12</c:v>
                </c:pt>
                <c:pt idx="87">
                  <c:v>894.26</c:v>
                </c:pt>
                <c:pt idx="88">
                  <c:v>896.4</c:v>
                </c:pt>
                <c:pt idx="89">
                  <c:v>898.55</c:v>
                </c:pt>
                <c:pt idx="90">
                  <c:v>900.7</c:v>
                </c:pt>
                <c:pt idx="91">
                  <c:v>902.86</c:v>
                </c:pt>
                <c:pt idx="92">
                  <c:v>905.03</c:v>
                </c:pt>
                <c:pt idx="93">
                  <c:v>907.19</c:v>
                </c:pt>
                <c:pt idx="94">
                  <c:v>909.37</c:v>
                </c:pt>
                <c:pt idx="95">
                  <c:v>911.55</c:v>
                </c:pt>
                <c:pt idx="96">
                  <c:v>913.73</c:v>
                </c:pt>
                <c:pt idx="97">
                  <c:v>915.92</c:v>
                </c:pt>
                <c:pt idx="98">
                  <c:v>918.11</c:v>
                </c:pt>
                <c:pt idx="99">
                  <c:v>920.31</c:v>
                </c:pt>
                <c:pt idx="100">
                  <c:v>922.52</c:v>
                </c:pt>
                <c:pt idx="101">
                  <c:v>924.73</c:v>
                </c:pt>
                <c:pt idx="102">
                  <c:v>926.94</c:v>
                </c:pt>
                <c:pt idx="103">
                  <c:v>929.16</c:v>
                </c:pt>
                <c:pt idx="104">
                  <c:v>931.39</c:v>
                </c:pt>
                <c:pt idx="105">
                  <c:v>933.62</c:v>
                </c:pt>
                <c:pt idx="106">
                  <c:v>935.86</c:v>
                </c:pt>
                <c:pt idx="107">
                  <c:v>938.1</c:v>
                </c:pt>
                <c:pt idx="108">
                  <c:v>940.35</c:v>
                </c:pt>
                <c:pt idx="109">
                  <c:v>942.6</c:v>
                </c:pt>
                <c:pt idx="110">
                  <c:v>944.86</c:v>
                </c:pt>
                <c:pt idx="111">
                  <c:v>947.12</c:v>
                </c:pt>
                <c:pt idx="112">
                  <c:v>949.39</c:v>
                </c:pt>
                <c:pt idx="113">
                  <c:v>951.67</c:v>
                </c:pt>
                <c:pt idx="114">
                  <c:v>953.95</c:v>
                </c:pt>
                <c:pt idx="115">
                  <c:v>956.23</c:v>
                </c:pt>
                <c:pt idx="116">
                  <c:v>958.52</c:v>
                </c:pt>
                <c:pt idx="117">
                  <c:v>960.82</c:v>
                </c:pt>
                <c:pt idx="118">
                  <c:v>963.12</c:v>
                </c:pt>
                <c:pt idx="119">
                  <c:v>965.43</c:v>
                </c:pt>
                <c:pt idx="120">
                  <c:v>967.74</c:v>
                </c:pt>
                <c:pt idx="121">
                  <c:v>970.06</c:v>
                </c:pt>
                <c:pt idx="122">
                  <c:v>972.39</c:v>
                </c:pt>
                <c:pt idx="123">
                  <c:v>974.71</c:v>
                </c:pt>
                <c:pt idx="124">
                  <c:v>977.05</c:v>
                </c:pt>
                <c:pt idx="125">
                  <c:v>979.39</c:v>
                </c:pt>
                <c:pt idx="126">
                  <c:v>981.74</c:v>
                </c:pt>
                <c:pt idx="127">
                  <c:v>984.09</c:v>
                </c:pt>
                <c:pt idx="128">
                  <c:v>986.45</c:v>
                </c:pt>
                <c:pt idx="129">
                  <c:v>988.81</c:v>
                </c:pt>
                <c:pt idx="130">
                  <c:v>991.18</c:v>
                </c:pt>
                <c:pt idx="131">
                  <c:v>993.55</c:v>
                </c:pt>
                <c:pt idx="132">
                  <c:v>995.93</c:v>
                </c:pt>
                <c:pt idx="133">
                  <c:v>998.32</c:v>
                </c:pt>
                <c:pt idx="134">
                  <c:v>1000.71</c:v>
                </c:pt>
                <c:pt idx="135">
                  <c:v>1003.11</c:v>
                </c:pt>
                <c:pt idx="136">
                  <c:v>1005.51</c:v>
                </c:pt>
                <c:pt idx="137">
                  <c:v>1007.92</c:v>
                </c:pt>
                <c:pt idx="138">
                  <c:v>1010.34</c:v>
                </c:pt>
                <c:pt idx="139">
                  <c:v>1012.76</c:v>
                </c:pt>
                <c:pt idx="140">
                  <c:v>1015.18</c:v>
                </c:pt>
                <c:pt idx="141">
                  <c:v>1017.62</c:v>
                </c:pt>
                <c:pt idx="142">
                  <c:v>1020.05</c:v>
                </c:pt>
                <c:pt idx="143">
                  <c:v>1022.5</c:v>
                </c:pt>
                <c:pt idx="144">
                  <c:v>1024.95</c:v>
                </c:pt>
                <c:pt idx="145">
                  <c:v>1027.4000000000001</c:v>
                </c:pt>
                <c:pt idx="146">
                  <c:v>1029.8699999999999</c:v>
                </c:pt>
                <c:pt idx="147">
                  <c:v>1032.33</c:v>
                </c:pt>
                <c:pt idx="148">
                  <c:v>1034.81</c:v>
                </c:pt>
                <c:pt idx="149">
                  <c:v>1037.28</c:v>
                </c:pt>
                <c:pt idx="150">
                  <c:v>1039.77</c:v>
                </c:pt>
                <c:pt idx="151">
                  <c:v>1042.26</c:v>
                </c:pt>
                <c:pt idx="152">
                  <c:v>1044.76</c:v>
                </c:pt>
                <c:pt idx="153">
                  <c:v>1047.26</c:v>
                </c:pt>
                <c:pt idx="154">
                  <c:v>1049.77</c:v>
                </c:pt>
                <c:pt idx="155">
                  <c:v>1052.29</c:v>
                </c:pt>
                <c:pt idx="156">
                  <c:v>1054.81</c:v>
                </c:pt>
                <c:pt idx="157">
                  <c:v>1057.33</c:v>
                </c:pt>
                <c:pt idx="158">
                  <c:v>1059.8699999999999</c:v>
                </c:pt>
                <c:pt idx="159">
                  <c:v>1062.4100000000001</c:v>
                </c:pt>
                <c:pt idx="160">
                  <c:v>1064.95</c:v>
                </c:pt>
                <c:pt idx="161">
                  <c:v>1067.5</c:v>
                </c:pt>
                <c:pt idx="162">
                  <c:v>1070.06</c:v>
                </c:pt>
                <c:pt idx="163">
                  <c:v>1072.6199999999999</c:v>
                </c:pt>
                <c:pt idx="164">
                  <c:v>1075.19</c:v>
                </c:pt>
                <c:pt idx="165">
                  <c:v>1077.77</c:v>
                </c:pt>
                <c:pt idx="166">
                  <c:v>1080.3499999999999</c:v>
                </c:pt>
                <c:pt idx="167">
                  <c:v>1082.94</c:v>
                </c:pt>
                <c:pt idx="168">
                  <c:v>1085.54</c:v>
                </c:pt>
                <c:pt idx="169">
                  <c:v>1088.1400000000001</c:v>
                </c:pt>
                <c:pt idx="170">
                  <c:v>1090.74</c:v>
                </c:pt>
                <c:pt idx="171">
                  <c:v>1093.3599999999999</c:v>
                </c:pt>
                <c:pt idx="172">
                  <c:v>1095.98</c:v>
                </c:pt>
                <c:pt idx="173">
                  <c:v>1098.5999999999999</c:v>
                </c:pt>
                <c:pt idx="174">
                  <c:v>1101.23</c:v>
                </c:pt>
                <c:pt idx="175">
                  <c:v>1103.8699999999999</c:v>
                </c:pt>
                <c:pt idx="176">
                  <c:v>1106.52</c:v>
                </c:pt>
                <c:pt idx="177">
                  <c:v>1109.17</c:v>
                </c:pt>
                <c:pt idx="178">
                  <c:v>1111.82</c:v>
                </c:pt>
                <c:pt idx="179">
                  <c:v>1114.49</c:v>
                </c:pt>
                <c:pt idx="180">
                  <c:v>1117.1600000000001</c:v>
                </c:pt>
                <c:pt idx="181">
                  <c:v>1119.8399999999999</c:v>
                </c:pt>
                <c:pt idx="182">
                  <c:v>1122.52</c:v>
                </c:pt>
                <c:pt idx="183">
                  <c:v>1125.21</c:v>
                </c:pt>
                <c:pt idx="184">
                  <c:v>1127.9000000000001</c:v>
                </c:pt>
                <c:pt idx="185">
                  <c:v>1130.6099999999999</c:v>
                </c:pt>
                <c:pt idx="186">
                  <c:v>1133.31</c:v>
                </c:pt>
                <c:pt idx="187">
                  <c:v>1136.03</c:v>
                </c:pt>
                <c:pt idx="188">
                  <c:v>1138.75</c:v>
                </c:pt>
                <c:pt idx="189">
                  <c:v>1141.48</c:v>
                </c:pt>
                <c:pt idx="190">
                  <c:v>1144.21</c:v>
                </c:pt>
                <c:pt idx="191">
                  <c:v>1146.96</c:v>
                </c:pt>
                <c:pt idx="192">
                  <c:v>1149.7</c:v>
                </c:pt>
                <c:pt idx="193">
                  <c:v>1152.46</c:v>
                </c:pt>
                <c:pt idx="194">
                  <c:v>1155.22</c:v>
                </c:pt>
                <c:pt idx="195">
                  <c:v>1157.99</c:v>
                </c:pt>
                <c:pt idx="196">
                  <c:v>1160.76</c:v>
                </c:pt>
                <c:pt idx="197">
                  <c:v>1163.54</c:v>
                </c:pt>
                <c:pt idx="198">
                  <c:v>1166.33</c:v>
                </c:pt>
                <c:pt idx="199">
                  <c:v>1169.1199999999999</c:v>
                </c:pt>
                <c:pt idx="200">
                  <c:v>1171.93</c:v>
                </c:pt>
                <c:pt idx="201">
                  <c:v>1174.73</c:v>
                </c:pt>
                <c:pt idx="202">
                  <c:v>1177.55</c:v>
                </c:pt>
                <c:pt idx="203">
                  <c:v>1180.3699999999999</c:v>
                </c:pt>
                <c:pt idx="204">
                  <c:v>1183.2</c:v>
                </c:pt>
                <c:pt idx="205">
                  <c:v>1186.03</c:v>
                </c:pt>
                <c:pt idx="206">
                  <c:v>1188.8699999999999</c:v>
                </c:pt>
                <c:pt idx="207">
                  <c:v>1191.72</c:v>
                </c:pt>
                <c:pt idx="208">
                  <c:v>1194.58</c:v>
                </c:pt>
                <c:pt idx="209">
                  <c:v>1197.44</c:v>
                </c:pt>
                <c:pt idx="210">
                  <c:v>1200.31</c:v>
                </c:pt>
                <c:pt idx="211">
                  <c:v>1203.18</c:v>
                </c:pt>
                <c:pt idx="212">
                  <c:v>1206.07</c:v>
                </c:pt>
                <c:pt idx="213">
                  <c:v>1208.96</c:v>
                </c:pt>
                <c:pt idx="214">
                  <c:v>1211.8499999999999</c:v>
                </c:pt>
                <c:pt idx="215">
                  <c:v>1214.76</c:v>
                </c:pt>
                <c:pt idx="216">
                  <c:v>1217.67</c:v>
                </c:pt>
                <c:pt idx="217">
                  <c:v>1220.58</c:v>
                </c:pt>
                <c:pt idx="218">
                  <c:v>1223.51</c:v>
                </c:pt>
                <c:pt idx="219">
                  <c:v>1226.44</c:v>
                </c:pt>
                <c:pt idx="220">
                  <c:v>1229.3800000000001</c:v>
                </c:pt>
                <c:pt idx="221">
                  <c:v>1232.32</c:v>
                </c:pt>
                <c:pt idx="222">
                  <c:v>1235.27</c:v>
                </c:pt>
                <c:pt idx="223">
                  <c:v>1238.23</c:v>
                </c:pt>
                <c:pt idx="224">
                  <c:v>1241.2</c:v>
                </c:pt>
                <c:pt idx="225">
                  <c:v>1244.17</c:v>
                </c:pt>
                <c:pt idx="226">
                  <c:v>1247.1600000000001</c:v>
                </c:pt>
                <c:pt idx="227">
                  <c:v>1250.1400000000001</c:v>
                </c:pt>
                <c:pt idx="228">
                  <c:v>1253.1400000000001</c:v>
                </c:pt>
                <c:pt idx="229">
                  <c:v>1256.1400000000001</c:v>
                </c:pt>
                <c:pt idx="230">
                  <c:v>1259.1500000000001</c:v>
                </c:pt>
                <c:pt idx="231">
                  <c:v>1262.17</c:v>
                </c:pt>
                <c:pt idx="232">
                  <c:v>1265.19</c:v>
                </c:pt>
                <c:pt idx="233">
                  <c:v>1268.22</c:v>
                </c:pt>
                <c:pt idx="234">
                  <c:v>1271.26</c:v>
                </c:pt>
                <c:pt idx="235">
                  <c:v>1274.31</c:v>
                </c:pt>
                <c:pt idx="236">
                  <c:v>1277.3599999999999</c:v>
                </c:pt>
                <c:pt idx="237">
                  <c:v>1280.42</c:v>
                </c:pt>
                <c:pt idx="238">
                  <c:v>1283.49</c:v>
                </c:pt>
                <c:pt idx="239">
                  <c:v>1286.56</c:v>
                </c:pt>
                <c:pt idx="240">
                  <c:v>1289.6400000000001</c:v>
                </c:pt>
                <c:pt idx="241">
                  <c:v>1292.73</c:v>
                </c:pt>
                <c:pt idx="242">
                  <c:v>1295.83</c:v>
                </c:pt>
                <c:pt idx="243">
                  <c:v>1298.94</c:v>
                </c:pt>
                <c:pt idx="244">
                  <c:v>1302.05</c:v>
                </c:pt>
                <c:pt idx="245">
                  <c:v>1305.17</c:v>
                </c:pt>
                <c:pt idx="246">
                  <c:v>1308.29</c:v>
                </c:pt>
                <c:pt idx="247">
                  <c:v>1311.43</c:v>
                </c:pt>
                <c:pt idx="248">
                  <c:v>1314.57</c:v>
                </c:pt>
                <c:pt idx="249">
                  <c:v>1317.72</c:v>
                </c:pt>
                <c:pt idx="250">
                  <c:v>1320.88</c:v>
                </c:pt>
                <c:pt idx="251">
                  <c:v>1324.04</c:v>
                </c:pt>
                <c:pt idx="252">
                  <c:v>1327.21</c:v>
                </c:pt>
                <c:pt idx="253">
                  <c:v>1330.39</c:v>
                </c:pt>
                <c:pt idx="254">
                  <c:v>1333.58</c:v>
                </c:pt>
                <c:pt idx="255">
                  <c:v>1336.78</c:v>
                </c:pt>
                <c:pt idx="256">
                  <c:v>1339.98</c:v>
                </c:pt>
                <c:pt idx="257">
                  <c:v>1343.19</c:v>
                </c:pt>
                <c:pt idx="258">
                  <c:v>1346.41</c:v>
                </c:pt>
                <c:pt idx="259">
                  <c:v>1349.63</c:v>
                </c:pt>
                <c:pt idx="260">
                  <c:v>1352.87</c:v>
                </c:pt>
                <c:pt idx="261">
                  <c:v>1356.11</c:v>
                </c:pt>
                <c:pt idx="262">
                  <c:v>1359.36</c:v>
                </c:pt>
                <c:pt idx="263">
                  <c:v>1362.61</c:v>
                </c:pt>
                <c:pt idx="264">
                  <c:v>1365.88</c:v>
                </c:pt>
                <c:pt idx="265">
                  <c:v>1369.15</c:v>
                </c:pt>
                <c:pt idx="266">
                  <c:v>1372.43</c:v>
                </c:pt>
                <c:pt idx="267">
                  <c:v>1375.72</c:v>
                </c:pt>
                <c:pt idx="268">
                  <c:v>1379.02</c:v>
                </c:pt>
                <c:pt idx="269">
                  <c:v>1382.32</c:v>
                </c:pt>
                <c:pt idx="270">
                  <c:v>1385.63</c:v>
                </c:pt>
                <c:pt idx="271">
                  <c:v>1388.95</c:v>
                </c:pt>
                <c:pt idx="272">
                  <c:v>1392.28</c:v>
                </c:pt>
                <c:pt idx="273">
                  <c:v>1395.61</c:v>
                </c:pt>
                <c:pt idx="274">
                  <c:v>1398.96</c:v>
                </c:pt>
                <c:pt idx="275">
                  <c:v>1402.31</c:v>
                </c:pt>
                <c:pt idx="276">
                  <c:v>1405.67</c:v>
                </c:pt>
                <c:pt idx="277">
                  <c:v>1409.04</c:v>
                </c:pt>
                <c:pt idx="278">
                  <c:v>1412.41</c:v>
                </c:pt>
                <c:pt idx="279">
                  <c:v>1415.8</c:v>
                </c:pt>
                <c:pt idx="280">
                  <c:v>1419.19</c:v>
                </c:pt>
                <c:pt idx="281">
                  <c:v>1422.59</c:v>
                </c:pt>
                <c:pt idx="282">
                  <c:v>1426</c:v>
                </c:pt>
                <c:pt idx="283">
                  <c:v>1429.41</c:v>
                </c:pt>
                <c:pt idx="284">
                  <c:v>1432.84</c:v>
                </c:pt>
                <c:pt idx="285">
                  <c:v>1436.27</c:v>
                </c:pt>
                <c:pt idx="286">
                  <c:v>1439.71</c:v>
                </c:pt>
                <c:pt idx="287">
                  <c:v>1443.16</c:v>
                </c:pt>
                <c:pt idx="288">
                  <c:v>1446.62</c:v>
                </c:pt>
                <c:pt idx="289">
                  <c:v>1450.09</c:v>
                </c:pt>
                <c:pt idx="290">
                  <c:v>1453.56</c:v>
                </c:pt>
                <c:pt idx="291">
                  <c:v>1457.04</c:v>
                </c:pt>
                <c:pt idx="292">
                  <c:v>1460.53</c:v>
                </c:pt>
                <c:pt idx="293">
                  <c:v>1464.03</c:v>
                </c:pt>
                <c:pt idx="294">
                  <c:v>1467.54</c:v>
                </c:pt>
                <c:pt idx="295">
                  <c:v>1471.06</c:v>
                </c:pt>
                <c:pt idx="296">
                  <c:v>1474.58</c:v>
                </c:pt>
                <c:pt idx="297">
                  <c:v>1478.11</c:v>
                </c:pt>
                <c:pt idx="298">
                  <c:v>1481.65</c:v>
                </c:pt>
                <c:pt idx="299">
                  <c:v>1485.2</c:v>
                </c:pt>
                <c:pt idx="300">
                  <c:v>1488.76</c:v>
                </c:pt>
                <c:pt idx="301">
                  <c:v>1492.33</c:v>
                </c:pt>
                <c:pt idx="302">
                  <c:v>1495.9</c:v>
                </c:pt>
                <c:pt idx="303">
                  <c:v>1499.49</c:v>
                </c:pt>
                <c:pt idx="304">
                  <c:v>1503.08</c:v>
                </c:pt>
                <c:pt idx="305">
                  <c:v>1506.68</c:v>
                </c:pt>
                <c:pt idx="306">
                  <c:v>1510.29</c:v>
                </c:pt>
                <c:pt idx="307">
                  <c:v>1513.91</c:v>
                </c:pt>
                <c:pt idx="308">
                  <c:v>1517.54</c:v>
                </c:pt>
                <c:pt idx="309">
                  <c:v>1521.17</c:v>
                </c:pt>
                <c:pt idx="310">
                  <c:v>1524.82</c:v>
                </c:pt>
                <c:pt idx="311">
                  <c:v>1528.47</c:v>
                </c:pt>
                <c:pt idx="312">
                  <c:v>1532.13</c:v>
                </c:pt>
                <c:pt idx="313">
                  <c:v>1535.8</c:v>
                </c:pt>
                <c:pt idx="314">
                  <c:v>1539.48</c:v>
                </c:pt>
                <c:pt idx="315">
                  <c:v>1543.17</c:v>
                </c:pt>
                <c:pt idx="316">
                  <c:v>1546.87</c:v>
                </c:pt>
                <c:pt idx="317">
                  <c:v>1550.57</c:v>
                </c:pt>
                <c:pt idx="318">
                  <c:v>1554.29</c:v>
                </c:pt>
                <c:pt idx="319">
                  <c:v>1558.01</c:v>
                </c:pt>
                <c:pt idx="320">
                  <c:v>1561.75</c:v>
                </c:pt>
                <c:pt idx="321">
                  <c:v>1565.49</c:v>
                </c:pt>
                <c:pt idx="322">
                  <c:v>1569.24</c:v>
                </c:pt>
                <c:pt idx="323">
                  <c:v>1573</c:v>
                </c:pt>
                <c:pt idx="324">
                  <c:v>1576.77</c:v>
                </c:pt>
                <c:pt idx="325">
                  <c:v>1580.54</c:v>
                </c:pt>
                <c:pt idx="326">
                  <c:v>1584.33</c:v>
                </c:pt>
                <c:pt idx="327">
                  <c:v>1588.13</c:v>
                </c:pt>
                <c:pt idx="328">
                  <c:v>1591.93</c:v>
                </c:pt>
                <c:pt idx="329">
                  <c:v>1595.75</c:v>
                </c:pt>
                <c:pt idx="330">
                  <c:v>1599.57</c:v>
                </c:pt>
                <c:pt idx="331">
                  <c:v>1603.4</c:v>
                </c:pt>
                <c:pt idx="332">
                  <c:v>1607.24</c:v>
                </c:pt>
                <c:pt idx="333">
                  <c:v>1611.09</c:v>
                </c:pt>
                <c:pt idx="334">
                  <c:v>1614.95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D1-4B45-98B1-FCC0085C530E}"/>
            </c:ext>
          </c:extLst>
        </c:ser>
        <c:ser>
          <c:idx val="4"/>
          <c:order val="4"/>
          <c:tx>
            <c:strRef>
              <c:f>'Amortization Schedule'!$F$1</c:f>
              <c:strCache>
                <c:ptCount val="1"/>
                <c:pt idx="0">
                  <c:v>interestPayment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'Amortization Schedule'!$A$2:$A$336</c:f>
              <c:numCache>
                <c:formatCode>General</c:formatCode>
                <c:ptCount val="3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</c:numCache>
            </c:numRef>
          </c:xVal>
          <c:yVal>
            <c:numRef>
              <c:f>'Amortization Schedule'!$F$2:$F$336</c:f>
              <c:numCache>
                <c:formatCode>"$"#,##0.00_);[Red]\("$"#,##0.00\)</c:formatCode>
                <c:ptCount val="335"/>
                <c:pt idx="0">
                  <c:v>889.82</c:v>
                </c:pt>
                <c:pt idx="1">
                  <c:v>888.08</c:v>
                </c:pt>
                <c:pt idx="2">
                  <c:v>886.34</c:v>
                </c:pt>
                <c:pt idx="3">
                  <c:v>884.59</c:v>
                </c:pt>
                <c:pt idx="4">
                  <c:v>882.84</c:v>
                </c:pt>
                <c:pt idx="5">
                  <c:v>881.08</c:v>
                </c:pt>
                <c:pt idx="6">
                  <c:v>879.32</c:v>
                </c:pt>
                <c:pt idx="7">
                  <c:v>877.55</c:v>
                </c:pt>
                <c:pt idx="8">
                  <c:v>875.79</c:v>
                </c:pt>
                <c:pt idx="9">
                  <c:v>874.01</c:v>
                </c:pt>
                <c:pt idx="10">
                  <c:v>872.23</c:v>
                </c:pt>
                <c:pt idx="11">
                  <c:v>870.45</c:v>
                </c:pt>
                <c:pt idx="12">
                  <c:v>868.67</c:v>
                </c:pt>
                <c:pt idx="13">
                  <c:v>866.88</c:v>
                </c:pt>
                <c:pt idx="14">
                  <c:v>865.08</c:v>
                </c:pt>
                <c:pt idx="15">
                  <c:v>863.28</c:v>
                </c:pt>
                <c:pt idx="16">
                  <c:v>861.48</c:v>
                </c:pt>
                <c:pt idx="17">
                  <c:v>859.67</c:v>
                </c:pt>
                <c:pt idx="18">
                  <c:v>857.86</c:v>
                </c:pt>
                <c:pt idx="19">
                  <c:v>856.04</c:v>
                </c:pt>
                <c:pt idx="20">
                  <c:v>854.22</c:v>
                </c:pt>
                <c:pt idx="21">
                  <c:v>852.4</c:v>
                </c:pt>
                <c:pt idx="22">
                  <c:v>850.57</c:v>
                </c:pt>
                <c:pt idx="23">
                  <c:v>848.73</c:v>
                </c:pt>
                <c:pt idx="24">
                  <c:v>846.89</c:v>
                </c:pt>
                <c:pt idx="25">
                  <c:v>845.05</c:v>
                </c:pt>
                <c:pt idx="26">
                  <c:v>843.2</c:v>
                </c:pt>
                <c:pt idx="27">
                  <c:v>841.35</c:v>
                </c:pt>
                <c:pt idx="28">
                  <c:v>839.5</c:v>
                </c:pt>
                <c:pt idx="29">
                  <c:v>837.64</c:v>
                </c:pt>
                <c:pt idx="30">
                  <c:v>835.77</c:v>
                </c:pt>
                <c:pt idx="31">
                  <c:v>833.9</c:v>
                </c:pt>
                <c:pt idx="32">
                  <c:v>832.03</c:v>
                </c:pt>
                <c:pt idx="33">
                  <c:v>830.15</c:v>
                </c:pt>
                <c:pt idx="34">
                  <c:v>828.27</c:v>
                </c:pt>
                <c:pt idx="35">
                  <c:v>826.38</c:v>
                </c:pt>
                <c:pt idx="36">
                  <c:v>824.49</c:v>
                </c:pt>
                <c:pt idx="37">
                  <c:v>822.59</c:v>
                </c:pt>
                <c:pt idx="38">
                  <c:v>820.69</c:v>
                </c:pt>
                <c:pt idx="39">
                  <c:v>818.79</c:v>
                </c:pt>
                <c:pt idx="40">
                  <c:v>816.88</c:v>
                </c:pt>
                <c:pt idx="41">
                  <c:v>814.96</c:v>
                </c:pt>
                <c:pt idx="42">
                  <c:v>813.04</c:v>
                </c:pt>
                <c:pt idx="43">
                  <c:v>811.12</c:v>
                </c:pt>
                <c:pt idx="44">
                  <c:v>809.19</c:v>
                </c:pt>
                <c:pt idx="45">
                  <c:v>807.26</c:v>
                </c:pt>
                <c:pt idx="46">
                  <c:v>805.32</c:v>
                </c:pt>
                <c:pt idx="47">
                  <c:v>803.38</c:v>
                </c:pt>
                <c:pt idx="48">
                  <c:v>801.43</c:v>
                </c:pt>
                <c:pt idx="49">
                  <c:v>799.48</c:v>
                </c:pt>
                <c:pt idx="50">
                  <c:v>797.52</c:v>
                </c:pt>
                <c:pt idx="51">
                  <c:v>795.56</c:v>
                </c:pt>
                <c:pt idx="52">
                  <c:v>793.6</c:v>
                </c:pt>
                <c:pt idx="53">
                  <c:v>791.63</c:v>
                </c:pt>
                <c:pt idx="54">
                  <c:v>789.65</c:v>
                </c:pt>
                <c:pt idx="55">
                  <c:v>787.67</c:v>
                </c:pt>
                <c:pt idx="56">
                  <c:v>785.69</c:v>
                </c:pt>
                <c:pt idx="57">
                  <c:v>783.7</c:v>
                </c:pt>
                <c:pt idx="58">
                  <c:v>781.7</c:v>
                </c:pt>
                <c:pt idx="59">
                  <c:v>779.7</c:v>
                </c:pt>
                <c:pt idx="60">
                  <c:v>777.7</c:v>
                </c:pt>
                <c:pt idx="61">
                  <c:v>775.69</c:v>
                </c:pt>
                <c:pt idx="62">
                  <c:v>773.68</c:v>
                </c:pt>
                <c:pt idx="63">
                  <c:v>771.66</c:v>
                </c:pt>
                <c:pt idx="64">
                  <c:v>769.64</c:v>
                </c:pt>
                <c:pt idx="65">
                  <c:v>767.61</c:v>
                </c:pt>
                <c:pt idx="66">
                  <c:v>765.58</c:v>
                </c:pt>
                <c:pt idx="67">
                  <c:v>763.54</c:v>
                </c:pt>
                <c:pt idx="68">
                  <c:v>761.5</c:v>
                </c:pt>
                <c:pt idx="69">
                  <c:v>759.45</c:v>
                </c:pt>
                <c:pt idx="70">
                  <c:v>757.4</c:v>
                </c:pt>
                <c:pt idx="71">
                  <c:v>755.34</c:v>
                </c:pt>
                <c:pt idx="72">
                  <c:v>753.28</c:v>
                </c:pt>
                <c:pt idx="73">
                  <c:v>751.21</c:v>
                </c:pt>
                <c:pt idx="74">
                  <c:v>749.14</c:v>
                </c:pt>
                <c:pt idx="75">
                  <c:v>747.06</c:v>
                </c:pt>
                <c:pt idx="76">
                  <c:v>744.98</c:v>
                </c:pt>
                <c:pt idx="77">
                  <c:v>742.89</c:v>
                </c:pt>
                <c:pt idx="78">
                  <c:v>740.8</c:v>
                </c:pt>
                <c:pt idx="79">
                  <c:v>738.71</c:v>
                </c:pt>
                <c:pt idx="80">
                  <c:v>736.6</c:v>
                </c:pt>
                <c:pt idx="81">
                  <c:v>734.5</c:v>
                </c:pt>
                <c:pt idx="82">
                  <c:v>732.38</c:v>
                </c:pt>
                <c:pt idx="83">
                  <c:v>730.27</c:v>
                </c:pt>
                <c:pt idx="84">
                  <c:v>728.15</c:v>
                </c:pt>
                <c:pt idx="85">
                  <c:v>726.02</c:v>
                </c:pt>
                <c:pt idx="86">
                  <c:v>723.89</c:v>
                </c:pt>
                <c:pt idx="87">
                  <c:v>721.75</c:v>
                </c:pt>
                <c:pt idx="88">
                  <c:v>719.61</c:v>
                </c:pt>
                <c:pt idx="89">
                  <c:v>717.46</c:v>
                </c:pt>
                <c:pt idx="90">
                  <c:v>715.31</c:v>
                </c:pt>
                <c:pt idx="91">
                  <c:v>713.15</c:v>
                </c:pt>
                <c:pt idx="92">
                  <c:v>710.98</c:v>
                </c:pt>
                <c:pt idx="93">
                  <c:v>708.82</c:v>
                </c:pt>
                <c:pt idx="94">
                  <c:v>706.64</c:v>
                </c:pt>
                <c:pt idx="95">
                  <c:v>704.46</c:v>
                </c:pt>
                <c:pt idx="96">
                  <c:v>702.28</c:v>
                </c:pt>
                <c:pt idx="97">
                  <c:v>700.09</c:v>
                </c:pt>
                <c:pt idx="98">
                  <c:v>697.9</c:v>
                </c:pt>
                <c:pt idx="99">
                  <c:v>695.7</c:v>
                </c:pt>
                <c:pt idx="100">
                  <c:v>693.49</c:v>
                </c:pt>
                <c:pt idx="101">
                  <c:v>691.28</c:v>
                </c:pt>
                <c:pt idx="102">
                  <c:v>689.07</c:v>
                </c:pt>
                <c:pt idx="103">
                  <c:v>686.85</c:v>
                </c:pt>
                <c:pt idx="104">
                  <c:v>684.62</c:v>
                </c:pt>
                <c:pt idx="105">
                  <c:v>682.39</c:v>
                </c:pt>
                <c:pt idx="106">
                  <c:v>680.15</c:v>
                </c:pt>
                <c:pt idx="107">
                  <c:v>677.91</c:v>
                </c:pt>
                <c:pt idx="108">
                  <c:v>675.66</c:v>
                </c:pt>
                <c:pt idx="109">
                  <c:v>673.41</c:v>
                </c:pt>
                <c:pt idx="110">
                  <c:v>671.15</c:v>
                </c:pt>
                <c:pt idx="111">
                  <c:v>668.89</c:v>
                </c:pt>
                <c:pt idx="112">
                  <c:v>666.62</c:v>
                </c:pt>
                <c:pt idx="113">
                  <c:v>664.34</c:v>
                </c:pt>
                <c:pt idx="114">
                  <c:v>662.06</c:v>
                </c:pt>
                <c:pt idx="115">
                  <c:v>659.78</c:v>
                </c:pt>
                <c:pt idx="116">
                  <c:v>657.49</c:v>
                </c:pt>
                <c:pt idx="117">
                  <c:v>655.19000000000005</c:v>
                </c:pt>
                <c:pt idx="118">
                  <c:v>652.89</c:v>
                </c:pt>
                <c:pt idx="119">
                  <c:v>650.58000000000004</c:v>
                </c:pt>
                <c:pt idx="120">
                  <c:v>648.27</c:v>
                </c:pt>
                <c:pt idx="121">
                  <c:v>645.95000000000005</c:v>
                </c:pt>
                <c:pt idx="122">
                  <c:v>643.62</c:v>
                </c:pt>
                <c:pt idx="123">
                  <c:v>641.29999999999995</c:v>
                </c:pt>
                <c:pt idx="124">
                  <c:v>638.96</c:v>
                </c:pt>
                <c:pt idx="125">
                  <c:v>636.62</c:v>
                </c:pt>
                <c:pt idx="126">
                  <c:v>634.27</c:v>
                </c:pt>
                <c:pt idx="127">
                  <c:v>631.91999999999996</c:v>
                </c:pt>
                <c:pt idx="128">
                  <c:v>629.55999999999995</c:v>
                </c:pt>
                <c:pt idx="129">
                  <c:v>627.20000000000005</c:v>
                </c:pt>
                <c:pt idx="130">
                  <c:v>624.83000000000004</c:v>
                </c:pt>
                <c:pt idx="131">
                  <c:v>622.46</c:v>
                </c:pt>
                <c:pt idx="132">
                  <c:v>620.08000000000004</c:v>
                </c:pt>
                <c:pt idx="133">
                  <c:v>617.69000000000005</c:v>
                </c:pt>
                <c:pt idx="134">
                  <c:v>615.29999999999995</c:v>
                </c:pt>
                <c:pt idx="135">
                  <c:v>612.9</c:v>
                </c:pt>
                <c:pt idx="136">
                  <c:v>610.5</c:v>
                </c:pt>
                <c:pt idx="137">
                  <c:v>608.09</c:v>
                </c:pt>
                <c:pt idx="138">
                  <c:v>605.66999999999996</c:v>
                </c:pt>
                <c:pt idx="139">
                  <c:v>603.25</c:v>
                </c:pt>
                <c:pt idx="140">
                  <c:v>600.83000000000004</c:v>
                </c:pt>
                <c:pt idx="141">
                  <c:v>598.39</c:v>
                </c:pt>
                <c:pt idx="142">
                  <c:v>595.96</c:v>
                </c:pt>
                <c:pt idx="143">
                  <c:v>593.51</c:v>
                </c:pt>
                <c:pt idx="144">
                  <c:v>591.05999999999995</c:v>
                </c:pt>
                <c:pt idx="145">
                  <c:v>588.61</c:v>
                </c:pt>
                <c:pt idx="146">
                  <c:v>586.14</c:v>
                </c:pt>
                <c:pt idx="147">
                  <c:v>583.67999999999995</c:v>
                </c:pt>
                <c:pt idx="148">
                  <c:v>581.20000000000005</c:v>
                </c:pt>
                <c:pt idx="149">
                  <c:v>578.73</c:v>
                </c:pt>
                <c:pt idx="150">
                  <c:v>576.24</c:v>
                </c:pt>
                <c:pt idx="151">
                  <c:v>573.75</c:v>
                </c:pt>
                <c:pt idx="152">
                  <c:v>571.25</c:v>
                </c:pt>
                <c:pt idx="153">
                  <c:v>568.75</c:v>
                </c:pt>
                <c:pt idx="154">
                  <c:v>566.24</c:v>
                </c:pt>
                <c:pt idx="155">
                  <c:v>563.72</c:v>
                </c:pt>
                <c:pt idx="156">
                  <c:v>561.20000000000005</c:v>
                </c:pt>
                <c:pt idx="157">
                  <c:v>558.67999999999995</c:v>
                </c:pt>
                <c:pt idx="158">
                  <c:v>556.14</c:v>
                </c:pt>
                <c:pt idx="159">
                  <c:v>553.6</c:v>
                </c:pt>
                <c:pt idx="160">
                  <c:v>551.05999999999995</c:v>
                </c:pt>
                <c:pt idx="161">
                  <c:v>548.51</c:v>
                </c:pt>
                <c:pt idx="162">
                  <c:v>545.95000000000005</c:v>
                </c:pt>
                <c:pt idx="163">
                  <c:v>543.39</c:v>
                </c:pt>
                <c:pt idx="164">
                  <c:v>540.82000000000005</c:v>
                </c:pt>
                <c:pt idx="165">
                  <c:v>538.24</c:v>
                </c:pt>
                <c:pt idx="166">
                  <c:v>535.66</c:v>
                </c:pt>
                <c:pt idx="167">
                  <c:v>533.07000000000005</c:v>
                </c:pt>
                <c:pt idx="168">
                  <c:v>530.47</c:v>
                </c:pt>
                <c:pt idx="169">
                  <c:v>527.87</c:v>
                </c:pt>
                <c:pt idx="170">
                  <c:v>525.27</c:v>
                </c:pt>
                <c:pt idx="171">
                  <c:v>522.65</c:v>
                </c:pt>
                <c:pt idx="172">
                  <c:v>520.03</c:v>
                </c:pt>
                <c:pt idx="173">
                  <c:v>517.41</c:v>
                </c:pt>
                <c:pt idx="174">
                  <c:v>514.78</c:v>
                </c:pt>
                <c:pt idx="175">
                  <c:v>512.14</c:v>
                </c:pt>
                <c:pt idx="176">
                  <c:v>509.49</c:v>
                </c:pt>
                <c:pt idx="177">
                  <c:v>506.84</c:v>
                </c:pt>
                <c:pt idx="178">
                  <c:v>504.19</c:v>
                </c:pt>
                <c:pt idx="179">
                  <c:v>501.52</c:v>
                </c:pt>
                <c:pt idx="180">
                  <c:v>498.85</c:v>
                </c:pt>
                <c:pt idx="181">
                  <c:v>496.17</c:v>
                </c:pt>
                <c:pt idx="182">
                  <c:v>493.49</c:v>
                </c:pt>
                <c:pt idx="183">
                  <c:v>490.8</c:v>
                </c:pt>
                <c:pt idx="184">
                  <c:v>488.11</c:v>
                </c:pt>
                <c:pt idx="185">
                  <c:v>485.4</c:v>
                </c:pt>
                <c:pt idx="186">
                  <c:v>482.7</c:v>
                </c:pt>
                <c:pt idx="187">
                  <c:v>479.98</c:v>
                </c:pt>
                <c:pt idx="188">
                  <c:v>477.26</c:v>
                </c:pt>
                <c:pt idx="189">
                  <c:v>474.53</c:v>
                </c:pt>
                <c:pt idx="190">
                  <c:v>471.8</c:v>
                </c:pt>
                <c:pt idx="191">
                  <c:v>469.05</c:v>
                </c:pt>
                <c:pt idx="192">
                  <c:v>466.31</c:v>
                </c:pt>
                <c:pt idx="193">
                  <c:v>463.55</c:v>
                </c:pt>
                <c:pt idx="194">
                  <c:v>460.79</c:v>
                </c:pt>
                <c:pt idx="195">
                  <c:v>458.02</c:v>
                </c:pt>
                <c:pt idx="196">
                  <c:v>455.25</c:v>
                </c:pt>
                <c:pt idx="197">
                  <c:v>452.47</c:v>
                </c:pt>
                <c:pt idx="198">
                  <c:v>449.68</c:v>
                </c:pt>
                <c:pt idx="199">
                  <c:v>446.89</c:v>
                </c:pt>
                <c:pt idx="200">
                  <c:v>444.08</c:v>
                </c:pt>
                <c:pt idx="201">
                  <c:v>441.28</c:v>
                </c:pt>
                <c:pt idx="202">
                  <c:v>438.46</c:v>
                </c:pt>
                <c:pt idx="203">
                  <c:v>435.64</c:v>
                </c:pt>
                <c:pt idx="204">
                  <c:v>432.81</c:v>
                </c:pt>
                <c:pt idx="205">
                  <c:v>429.98</c:v>
                </c:pt>
                <c:pt idx="206">
                  <c:v>427.14</c:v>
                </c:pt>
                <c:pt idx="207">
                  <c:v>424.29</c:v>
                </c:pt>
                <c:pt idx="208">
                  <c:v>421.43</c:v>
                </c:pt>
                <c:pt idx="209">
                  <c:v>418.57</c:v>
                </c:pt>
                <c:pt idx="210">
                  <c:v>415.7</c:v>
                </c:pt>
                <c:pt idx="211">
                  <c:v>412.83</c:v>
                </c:pt>
                <c:pt idx="212">
                  <c:v>409.94</c:v>
                </c:pt>
                <c:pt idx="213">
                  <c:v>407.05</c:v>
                </c:pt>
                <c:pt idx="214">
                  <c:v>404.16</c:v>
                </c:pt>
                <c:pt idx="215">
                  <c:v>401.25</c:v>
                </c:pt>
                <c:pt idx="216">
                  <c:v>398.34</c:v>
                </c:pt>
                <c:pt idx="217">
                  <c:v>395.43</c:v>
                </c:pt>
                <c:pt idx="218">
                  <c:v>392.5</c:v>
                </c:pt>
                <c:pt idx="219">
                  <c:v>389.57</c:v>
                </c:pt>
                <c:pt idx="220">
                  <c:v>386.63</c:v>
                </c:pt>
                <c:pt idx="221">
                  <c:v>383.69</c:v>
                </c:pt>
                <c:pt idx="222">
                  <c:v>380.74</c:v>
                </c:pt>
                <c:pt idx="223">
                  <c:v>377.78</c:v>
                </c:pt>
                <c:pt idx="224">
                  <c:v>374.81</c:v>
                </c:pt>
                <c:pt idx="225">
                  <c:v>371.84</c:v>
                </c:pt>
                <c:pt idx="226">
                  <c:v>368.85</c:v>
                </c:pt>
                <c:pt idx="227">
                  <c:v>365.87</c:v>
                </c:pt>
                <c:pt idx="228">
                  <c:v>362.87</c:v>
                </c:pt>
                <c:pt idx="229">
                  <c:v>359.87</c:v>
                </c:pt>
                <c:pt idx="230">
                  <c:v>356.86</c:v>
                </c:pt>
                <c:pt idx="231">
                  <c:v>353.84</c:v>
                </c:pt>
                <c:pt idx="232">
                  <c:v>350.82</c:v>
                </c:pt>
                <c:pt idx="233">
                  <c:v>347.79</c:v>
                </c:pt>
                <c:pt idx="234">
                  <c:v>344.75</c:v>
                </c:pt>
                <c:pt idx="235">
                  <c:v>341.7</c:v>
                </c:pt>
                <c:pt idx="236">
                  <c:v>338.65</c:v>
                </c:pt>
                <c:pt idx="237">
                  <c:v>335.59</c:v>
                </c:pt>
                <c:pt idx="238">
                  <c:v>332.52</c:v>
                </c:pt>
                <c:pt idx="239">
                  <c:v>329.45</c:v>
                </c:pt>
                <c:pt idx="240">
                  <c:v>326.37</c:v>
                </c:pt>
                <c:pt idx="241">
                  <c:v>323.27999999999997</c:v>
                </c:pt>
                <c:pt idx="242">
                  <c:v>320.18</c:v>
                </c:pt>
                <c:pt idx="243">
                  <c:v>317.07</c:v>
                </c:pt>
                <c:pt idx="244">
                  <c:v>313.95999999999998</c:v>
                </c:pt>
                <c:pt idx="245">
                  <c:v>310.83999999999997</c:v>
                </c:pt>
                <c:pt idx="246">
                  <c:v>307.72000000000003</c:v>
                </c:pt>
                <c:pt idx="247">
                  <c:v>304.58</c:v>
                </c:pt>
                <c:pt idx="248">
                  <c:v>301.44</c:v>
                </c:pt>
                <c:pt idx="249">
                  <c:v>298.29000000000002</c:v>
                </c:pt>
                <c:pt idx="250">
                  <c:v>295.13</c:v>
                </c:pt>
                <c:pt idx="251">
                  <c:v>291.97000000000003</c:v>
                </c:pt>
                <c:pt idx="252">
                  <c:v>288.8</c:v>
                </c:pt>
                <c:pt idx="253">
                  <c:v>285.62</c:v>
                </c:pt>
                <c:pt idx="254">
                  <c:v>282.43</c:v>
                </c:pt>
                <c:pt idx="255">
                  <c:v>279.23</c:v>
                </c:pt>
                <c:pt idx="256">
                  <c:v>276.02999999999997</c:v>
                </c:pt>
                <c:pt idx="257">
                  <c:v>272.82</c:v>
                </c:pt>
                <c:pt idx="258">
                  <c:v>269.60000000000002</c:v>
                </c:pt>
                <c:pt idx="259">
                  <c:v>266.38</c:v>
                </c:pt>
                <c:pt idx="260">
                  <c:v>263.14</c:v>
                </c:pt>
                <c:pt idx="261">
                  <c:v>259.89999999999998</c:v>
                </c:pt>
                <c:pt idx="262">
                  <c:v>256.64999999999998</c:v>
                </c:pt>
                <c:pt idx="263">
                  <c:v>253.4</c:v>
                </c:pt>
                <c:pt idx="264">
                  <c:v>250.13</c:v>
                </c:pt>
                <c:pt idx="265">
                  <c:v>246.86</c:v>
                </c:pt>
                <c:pt idx="266">
                  <c:v>243.58</c:v>
                </c:pt>
                <c:pt idx="267">
                  <c:v>240.29</c:v>
                </c:pt>
                <c:pt idx="268">
                  <c:v>236.99</c:v>
                </c:pt>
                <c:pt idx="269">
                  <c:v>233.69</c:v>
                </c:pt>
                <c:pt idx="270">
                  <c:v>230.38</c:v>
                </c:pt>
                <c:pt idx="271">
                  <c:v>227.06</c:v>
                </c:pt>
                <c:pt idx="272">
                  <c:v>223.73</c:v>
                </c:pt>
                <c:pt idx="273">
                  <c:v>220.4</c:v>
                </c:pt>
                <c:pt idx="274">
                  <c:v>217.05</c:v>
                </c:pt>
                <c:pt idx="275">
                  <c:v>213.7</c:v>
                </c:pt>
                <c:pt idx="276">
                  <c:v>210.34</c:v>
                </c:pt>
                <c:pt idx="277">
                  <c:v>206.97</c:v>
                </c:pt>
                <c:pt idx="278">
                  <c:v>203.6</c:v>
                </c:pt>
                <c:pt idx="279">
                  <c:v>200.21</c:v>
                </c:pt>
                <c:pt idx="280">
                  <c:v>196.82</c:v>
                </c:pt>
                <c:pt idx="281">
                  <c:v>193.42</c:v>
                </c:pt>
                <c:pt idx="282">
                  <c:v>190.01</c:v>
                </c:pt>
                <c:pt idx="283">
                  <c:v>186.6</c:v>
                </c:pt>
                <c:pt idx="284">
                  <c:v>183.17</c:v>
                </c:pt>
                <c:pt idx="285">
                  <c:v>179.74</c:v>
                </c:pt>
                <c:pt idx="286">
                  <c:v>176.3</c:v>
                </c:pt>
                <c:pt idx="287">
                  <c:v>172.85</c:v>
                </c:pt>
                <c:pt idx="288">
                  <c:v>169.39</c:v>
                </c:pt>
                <c:pt idx="289">
                  <c:v>165.92</c:v>
                </c:pt>
                <c:pt idx="290">
                  <c:v>162.44999999999999</c:v>
                </c:pt>
                <c:pt idx="291">
                  <c:v>158.97</c:v>
                </c:pt>
                <c:pt idx="292">
                  <c:v>155.47999999999999</c:v>
                </c:pt>
                <c:pt idx="293">
                  <c:v>151.97999999999999</c:v>
                </c:pt>
                <c:pt idx="294">
                  <c:v>148.47</c:v>
                </c:pt>
                <c:pt idx="295">
                  <c:v>144.94999999999999</c:v>
                </c:pt>
                <c:pt idx="296">
                  <c:v>141.43</c:v>
                </c:pt>
                <c:pt idx="297">
                  <c:v>137.9</c:v>
                </c:pt>
                <c:pt idx="298">
                  <c:v>134.36000000000001</c:v>
                </c:pt>
                <c:pt idx="299">
                  <c:v>130.81</c:v>
                </c:pt>
                <c:pt idx="300">
                  <c:v>127.25</c:v>
                </c:pt>
                <c:pt idx="301">
                  <c:v>123.68</c:v>
                </c:pt>
                <c:pt idx="302">
                  <c:v>120.11</c:v>
                </c:pt>
                <c:pt idx="303">
                  <c:v>116.52</c:v>
                </c:pt>
                <c:pt idx="304">
                  <c:v>112.93</c:v>
                </c:pt>
                <c:pt idx="305">
                  <c:v>109.33</c:v>
                </c:pt>
                <c:pt idx="306">
                  <c:v>105.72</c:v>
                </c:pt>
                <c:pt idx="307">
                  <c:v>102.1</c:v>
                </c:pt>
                <c:pt idx="308">
                  <c:v>98.47</c:v>
                </c:pt>
                <c:pt idx="309">
                  <c:v>94.84</c:v>
                </c:pt>
                <c:pt idx="310">
                  <c:v>91.19</c:v>
                </c:pt>
                <c:pt idx="311">
                  <c:v>87.54</c:v>
                </c:pt>
                <c:pt idx="312">
                  <c:v>83.88</c:v>
                </c:pt>
                <c:pt idx="313">
                  <c:v>80.209999999999994</c:v>
                </c:pt>
                <c:pt idx="314">
                  <c:v>76.53</c:v>
                </c:pt>
                <c:pt idx="315">
                  <c:v>72.84</c:v>
                </c:pt>
                <c:pt idx="316">
                  <c:v>69.14</c:v>
                </c:pt>
                <c:pt idx="317">
                  <c:v>65.44</c:v>
                </c:pt>
                <c:pt idx="318">
                  <c:v>61.72</c:v>
                </c:pt>
                <c:pt idx="319">
                  <c:v>58</c:v>
                </c:pt>
                <c:pt idx="320">
                  <c:v>54.26</c:v>
                </c:pt>
                <c:pt idx="321">
                  <c:v>50.52</c:v>
                </c:pt>
                <c:pt idx="322">
                  <c:v>46.77</c:v>
                </c:pt>
                <c:pt idx="323">
                  <c:v>43.01</c:v>
                </c:pt>
                <c:pt idx="324">
                  <c:v>39.24</c:v>
                </c:pt>
                <c:pt idx="325">
                  <c:v>35.47</c:v>
                </c:pt>
                <c:pt idx="326">
                  <c:v>31.68</c:v>
                </c:pt>
                <c:pt idx="327">
                  <c:v>27.88</c:v>
                </c:pt>
                <c:pt idx="328">
                  <c:v>24.08</c:v>
                </c:pt>
                <c:pt idx="329">
                  <c:v>20.260000000000002</c:v>
                </c:pt>
                <c:pt idx="330">
                  <c:v>16.440000000000001</c:v>
                </c:pt>
                <c:pt idx="331">
                  <c:v>12.61</c:v>
                </c:pt>
                <c:pt idx="332">
                  <c:v>8.77</c:v>
                </c:pt>
                <c:pt idx="333">
                  <c:v>4.92</c:v>
                </c:pt>
                <c:pt idx="334">
                  <c:v>1.06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D1-4B45-98B1-FCC0085C5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30575"/>
        <c:axId val="1890929327"/>
      </c:scatterChart>
      <c:valAx>
        <c:axId val="91288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93855"/>
        <c:crosses val="autoZero"/>
        <c:crossBetween val="midCat"/>
      </c:valAx>
      <c:valAx>
        <c:axId val="10650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82367"/>
        <c:crosses val="autoZero"/>
        <c:crossBetween val="midCat"/>
      </c:valAx>
      <c:valAx>
        <c:axId val="1890929327"/>
        <c:scaling>
          <c:orientation val="minMax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30575"/>
        <c:crosses val="max"/>
        <c:crossBetween val="midCat"/>
      </c:valAx>
      <c:valAx>
        <c:axId val="189093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092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HELOC Amortization Schedule 11/13/2022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'McRae Road Amorization'!$C$5</c:f>
              <c:strCache>
                <c:ptCount val="1"/>
                <c:pt idx="0">
                  <c:v>startingBalance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'McRae Road Amorization'!$A$6:$A$365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'McRae Road Amorization'!$C$6:$C$365</c:f>
              <c:numCache>
                <c:formatCode>"$"#,##0.00_);[Red]\("$"#,##0.00\)</c:formatCode>
                <c:ptCount val="360"/>
                <c:pt idx="0" formatCode="_(&quot;$&quot;* #,##0.00_);_(&quot;$&quot;* \(#,##0.00\);_(&quot;$&quot;* &quot;-&quot;??_);_(@_)">
                  <c:v>1200000</c:v>
                </c:pt>
                <c:pt idx="1">
                  <c:v>1199016.3700578499</c:v>
                </c:pt>
                <c:pt idx="2">
                  <c:v>1198027.0022743705</c:v>
                </c:pt>
                <c:pt idx="3">
                  <c:v>1197031.8631788208</c:v>
                </c:pt>
                <c:pt idx="4">
                  <c:v>1196030.9191052138</c:v>
                </c:pt>
                <c:pt idx="5">
                  <c:v>1195024.1361911774</c:v>
                </c:pt>
                <c:pt idx="6">
                  <c:v>1194011.4803768091</c:v>
                </c:pt>
                <c:pt idx="7">
                  <c:v>1192992.9174035236</c:v>
                </c:pt>
                <c:pt idx="8">
                  <c:v>1191968.412812894</c:v>
                </c:pt>
                <c:pt idx="9">
                  <c:v>1190937.9319454858</c:v>
                </c:pt>
                <c:pt idx="10">
                  <c:v>1189901.4399396842</c:v>
                </c:pt>
                <c:pt idx="11">
                  <c:v>1188858.9017305155</c:v>
                </c:pt>
                <c:pt idx="12">
                  <c:v>1187810.2820484601</c:v>
                </c:pt>
                <c:pt idx="13">
                  <c:v>1186755.5454182592</c:v>
                </c:pt>
                <c:pt idx="14">
                  <c:v>1185694.6561577155</c:v>
                </c:pt>
                <c:pt idx="15">
                  <c:v>1184627.5783764853</c:v>
                </c:pt>
                <c:pt idx="16">
                  <c:v>1183554.2759748646</c:v>
                </c:pt>
                <c:pt idx="17">
                  <c:v>1182474.7126425677</c:v>
                </c:pt>
                <c:pt idx="18">
                  <c:v>1181388.8518574992</c:v>
                </c:pt>
                <c:pt idx="19">
                  <c:v>1180296.6568845178</c:v>
                </c:pt>
                <c:pt idx="20">
                  <c:v>1179198.0907741939</c:v>
                </c:pt>
                <c:pt idx="21">
                  <c:v>1178093.1163615598</c:v>
                </c:pt>
                <c:pt idx="22">
                  <c:v>1176981.6962648521</c:v>
                </c:pt>
                <c:pt idx="23">
                  <c:v>1175863.7928842469</c:v>
                </c:pt>
                <c:pt idx="24">
                  <c:v>1174739.3684005882</c:v>
                </c:pt>
                <c:pt idx="25">
                  <c:v>1173608.3847741082</c:v>
                </c:pt>
                <c:pt idx="26">
                  <c:v>1172470.8037431403</c:v>
                </c:pt>
                <c:pt idx="27">
                  <c:v>1171326.586822825</c:v>
                </c:pt>
                <c:pt idx="28">
                  <c:v>1170175.695303808</c:v>
                </c:pt>
                <c:pt idx="29">
                  <c:v>1169018.0902509301</c:v>
                </c:pt>
                <c:pt idx="30">
                  <c:v>1167853.7325019103</c:v>
                </c:pt>
                <c:pt idx="31">
                  <c:v>1166682.5826660213</c:v>
                </c:pt>
                <c:pt idx="32">
                  <c:v>1165504.6011227563</c:v>
                </c:pt>
                <c:pt idx="33">
                  <c:v>1164319.7480204888</c:v>
                </c:pt>
                <c:pt idx="34">
                  <c:v>1163127.9832751248</c:v>
                </c:pt>
                <c:pt idx="35">
                  <c:v>1161929.2665687462</c:v>
                </c:pt>
                <c:pt idx="36">
                  <c:v>1160723.5573482469</c:v>
                </c:pt>
                <c:pt idx="37">
                  <c:v>1159510.8148239616</c:v>
                </c:pt>
                <c:pt idx="38">
                  <c:v>1158290.9979682844</c:v>
                </c:pt>
                <c:pt idx="39">
                  <c:v>1157064.0655142826</c:v>
                </c:pt>
                <c:pt idx="40">
                  <c:v>1155829.9759542991</c:v>
                </c:pt>
                <c:pt idx="41">
                  <c:v>1154588.6875385491</c:v>
                </c:pt>
                <c:pt idx="42">
                  <c:v>1153340.1582737071</c:v>
                </c:pt>
                <c:pt idx="43">
                  <c:v>1152084.3459214868</c:v>
                </c:pt>
                <c:pt idx="44">
                  <c:v>1150821.207997212</c:v>
                </c:pt>
                <c:pt idx="45">
                  <c:v>1149550.7017683787</c:v>
                </c:pt>
                <c:pt idx="46">
                  <c:v>1148272.7842532108</c:v>
                </c:pt>
                <c:pt idx="47">
                  <c:v>1146987.4122192042</c:v>
                </c:pt>
                <c:pt idx="48">
                  <c:v>1145694.542181666</c:v>
                </c:pt>
                <c:pt idx="49">
                  <c:v>1144394.1304022423</c:v>
                </c:pt>
                <c:pt idx="50">
                  <c:v>1143086.1328874384</c:v>
                </c:pt>
                <c:pt idx="51">
                  <c:v>1141770.5053871316</c:v>
                </c:pt>
                <c:pt idx="52">
                  <c:v>1140447.2033930731</c:v>
                </c:pt>
                <c:pt idx="53">
                  <c:v>1139116.1821373824</c:v>
                </c:pt>
                <c:pt idx="54">
                  <c:v>1137777.3965910336</c:v>
                </c:pt>
                <c:pt idx="55">
                  <c:v>1136430.8014623311</c:v>
                </c:pt>
                <c:pt idx="56">
                  <c:v>1135076.3511953778</c:v>
                </c:pt>
                <c:pt idx="57">
                  <c:v>1133713.9999685339</c:v>
                </c:pt>
                <c:pt idx="58">
                  <c:v>1132343.7016928669</c:v>
                </c:pt>
                <c:pt idx="59">
                  <c:v>1130965.4100105916</c:v>
                </c:pt>
                <c:pt idx="60">
                  <c:v>1129579.0782935033</c:v>
                </c:pt>
                <c:pt idx="61">
                  <c:v>1128184.6596413986</c:v>
                </c:pt>
                <c:pt idx="62">
                  <c:v>1126782.10688049</c:v>
                </c:pt>
                <c:pt idx="63">
                  <c:v>1125371.3725618094</c:v>
                </c:pt>
                <c:pt idx="64">
                  <c:v>1123952.4089596032</c:v>
                </c:pt>
                <c:pt idx="65">
                  <c:v>1122525.1680697172</c:v>
                </c:pt>
                <c:pt idx="66">
                  <c:v>1121089.6016079737</c:v>
                </c:pt>
                <c:pt idx="67">
                  <c:v>1119645.6610085366</c:v>
                </c:pt>
                <c:pt idx="68">
                  <c:v>1118193.2974222696</c:v>
                </c:pt>
                <c:pt idx="69">
                  <c:v>1116732.4617150826</c:v>
                </c:pt>
                <c:pt idx="70">
                  <c:v>1115263.1044662704</c:v>
                </c:pt>
                <c:pt idx="71">
                  <c:v>1113785.1759668402</c:v>
                </c:pt>
                <c:pt idx="72">
                  <c:v>1112298.62621783</c:v>
                </c:pt>
                <c:pt idx="73">
                  <c:v>1110803.4049286172</c:v>
                </c:pt>
                <c:pt idx="74">
                  <c:v>1109299.4615152173</c:v>
                </c:pt>
                <c:pt idx="75">
                  <c:v>1107786.7450985725</c:v>
                </c:pt>
                <c:pt idx="76">
                  <c:v>1106265.2045028305</c:v>
                </c:pt>
                <c:pt idx="77">
                  <c:v>1104734.7882536135</c:v>
                </c:pt>
                <c:pt idx="78">
                  <c:v>1103195.444576276</c:v>
                </c:pt>
                <c:pt idx="79">
                  <c:v>1101647.1213941542</c:v>
                </c:pt>
                <c:pt idx="80">
                  <c:v>1100089.7663268032</c:v>
                </c:pt>
                <c:pt idx="81">
                  <c:v>1098523.3266882261</c:v>
                </c:pt>
                <c:pt idx="82">
                  <c:v>1096947.7494850906</c:v>
                </c:pt>
                <c:pt idx="83">
                  <c:v>1095362.9814149367</c:v>
                </c:pt>
                <c:pt idx="84">
                  <c:v>1093768.9688643736</c:v>
                </c:pt>
                <c:pt idx="85">
                  <c:v>1092165.6579072657</c:v>
                </c:pt>
                <c:pt idx="86">
                  <c:v>1090552.994302908</c:v>
                </c:pt>
                <c:pt idx="87">
                  <c:v>1088930.9234941914</c:v>
                </c:pt>
                <c:pt idx="88">
                  <c:v>1087299.3906057572</c:v>
                </c:pt>
                <c:pt idx="89">
                  <c:v>1085658.3404421406</c:v>
                </c:pt>
                <c:pt idx="90">
                  <c:v>1084007.7174859028</c:v>
                </c:pt>
                <c:pt idx="91">
                  <c:v>1082347.4658957538</c:v>
                </c:pt>
                <c:pt idx="92">
                  <c:v>1080677.5295046621</c:v>
                </c:pt>
                <c:pt idx="93">
                  <c:v>1078997.8518179557</c:v>
                </c:pt>
                <c:pt idx="94">
                  <c:v>1077308.3760114103</c:v>
                </c:pt>
                <c:pt idx="95">
                  <c:v>1075609.0449293267</c:v>
                </c:pt>
                <c:pt idx="96">
                  <c:v>1073899.8010825976</c:v>
                </c:pt>
                <c:pt idx="97">
                  <c:v>1072180.5866467624</c:v>
                </c:pt>
                <c:pt idx="98">
                  <c:v>1070451.3434600518</c:v>
                </c:pt>
                <c:pt idx="99">
                  <c:v>1068712.0130214186</c:v>
                </c:pt>
                <c:pt idx="100">
                  <c:v>1066962.53648856</c:v>
                </c:pt>
                <c:pt idx="101">
                  <c:v>1065202.8546759265</c:v>
                </c:pt>
                <c:pt idx="102">
                  <c:v>1063432.9080527192</c:v>
                </c:pt>
                <c:pt idx="103">
                  <c:v>1061652.6367408766</c:v>
                </c:pt>
                <c:pt idx="104">
                  <c:v>1059861.9805130481</c:v>
                </c:pt>
                <c:pt idx="105">
                  <c:v>1058060.8787905574</c:v>
                </c:pt>
                <c:pt idx="106">
                  <c:v>1056249.2706413521</c:v>
                </c:pt>
                <c:pt idx="107">
                  <c:v>1054427.0947779431</c:v>
                </c:pt>
                <c:pt idx="108">
                  <c:v>1052594.289555331</c:v>
                </c:pt>
                <c:pt idx="109">
                  <c:v>1050750.7929689202</c:v>
                </c:pt>
                <c:pt idx="110">
                  <c:v>1048896.5426524221</c:v>
                </c:pt>
                <c:pt idx="111">
                  <c:v>1047031.4758757444</c:v>
                </c:pt>
                <c:pt idx="112">
                  <c:v>1045155.5295428693</c:v>
                </c:pt>
                <c:pt idx="113">
                  <c:v>1043268.6401897192</c:v>
                </c:pt>
                <c:pt idx="114">
                  <c:v>1041370.743982009</c:v>
                </c:pt>
                <c:pt idx="115">
                  <c:v>1039461.7767130872</c:v>
                </c:pt>
                <c:pt idx="116">
                  <c:v>1037541.6738017633</c:v>
                </c:pt>
                <c:pt idx="117">
                  <c:v>1035610.3702901234</c:v>
                </c:pt>
                <c:pt idx="118">
                  <c:v>1033667.8008413323</c:v>
                </c:pt>
                <c:pt idx="119">
                  <c:v>1031713.8997374232</c:v>
                </c:pt>
                <c:pt idx="120">
                  <c:v>1029748.6008770746</c:v>
                </c:pt>
                <c:pt idx="121">
                  <c:v>1027771.837773374</c:v>
                </c:pt>
                <c:pt idx="122">
                  <c:v>1025783.5435515685</c:v>
                </c:pt>
                <c:pt idx="123">
                  <c:v>1023783.6509468025</c:v>
                </c:pt>
                <c:pt idx="124">
                  <c:v>1021772.0923018419</c:v>
                </c:pt>
                <c:pt idx="125">
                  <c:v>1019748.7995647858</c:v>
                </c:pt>
                <c:pt idx="126">
                  <c:v>1017713.7042867636</c:v>
                </c:pt>
                <c:pt idx="127">
                  <c:v>1015666.7376196195</c:v>
                </c:pt>
                <c:pt idx="128">
                  <c:v>1013607.8303135837</c:v>
                </c:pt>
                <c:pt idx="129">
                  <c:v>1011536.9127149294</c:v>
                </c:pt>
                <c:pt idx="130">
                  <c:v>1009453.9147636163</c:v>
                </c:pt>
                <c:pt idx="131">
                  <c:v>1007358.7659909205</c:v>
                </c:pt>
                <c:pt idx="132">
                  <c:v>1005251.3955170506</c:v>
                </c:pt>
                <c:pt idx="133">
                  <c:v>1003131.7320487499</c:v>
                </c:pt>
                <c:pt idx="134">
                  <c:v>1000999.7038768841</c:v>
                </c:pt>
                <c:pt idx="135">
                  <c:v>998855.23887401575</c:v>
                </c:pt>
                <c:pt idx="136">
                  <c:v>996698.26449196402</c:v>
                </c:pt>
                <c:pt idx="137">
                  <c:v>994528.70775935031</c:v>
                </c:pt>
                <c:pt idx="138">
                  <c:v>992346.49527912971</c:v>
                </c:pt>
                <c:pt idx="139">
                  <c:v>990151.55322610773</c:v>
                </c:pt>
                <c:pt idx="140">
                  <c:v>987943.80734444316</c:v>
                </c:pt>
                <c:pt idx="141">
                  <c:v>985723.18294513552</c:v>
                </c:pt>
                <c:pt idx="142">
                  <c:v>983489.60490349866</c:v>
                </c:pt>
                <c:pt idx="143">
                  <c:v>981242.99765661883</c:v>
                </c:pt>
                <c:pt idx="144">
                  <c:v>978983.28520079888</c:v>
                </c:pt>
                <c:pt idx="145">
                  <c:v>976710.39108898665</c:v>
                </c:pt>
                <c:pt idx="146">
                  <c:v>974424.23842818884</c:v>
                </c:pt>
                <c:pt idx="147">
                  <c:v>972124.74987686973</c:v>
                </c:pt>
                <c:pt idx="148">
                  <c:v>969811.84764233464</c:v>
                </c:pt>
                <c:pt idx="149">
                  <c:v>967485.45347809803</c:v>
                </c:pt>
                <c:pt idx="150">
                  <c:v>965145.48868123675</c:v>
                </c:pt>
                <c:pt idx="151">
                  <c:v>962791.87408972706</c:v>
                </c:pt>
                <c:pt idx="152">
                  <c:v>960424.53007976699</c:v>
                </c:pt>
                <c:pt idx="153">
                  <c:v>958043.3765630821</c:v>
                </c:pt>
                <c:pt idx="154">
                  <c:v>955648.33298421651</c:v>
                </c:pt>
                <c:pt idx="155">
                  <c:v>953239.31831780763</c:v>
                </c:pt>
                <c:pt idx="156">
                  <c:v>950816.25106584467</c:v>
                </c:pt>
                <c:pt idx="157">
                  <c:v>948379.04925491195</c:v>
                </c:pt>
                <c:pt idx="158">
                  <c:v>945927.63043341541</c:v>
                </c:pt>
                <c:pt idx="159">
                  <c:v>943461.91166879353</c:v>
                </c:pt>
                <c:pt idx="160">
                  <c:v>940981.80954471126</c:v>
                </c:pt>
                <c:pt idx="161">
                  <c:v>938487.24015823856</c:v>
                </c:pt>
                <c:pt idx="162">
                  <c:v>935978.11911701143</c:v>
                </c:pt>
                <c:pt idx="163">
                  <c:v>933454.36153637711</c:v>
                </c:pt>
                <c:pt idx="164">
                  <c:v>930915.8820365225</c:v>
                </c:pt>
                <c:pt idx="165">
                  <c:v>928362.5947395853</c:v>
                </c:pt>
                <c:pt idx="166">
                  <c:v>925794.41326674935</c:v>
                </c:pt>
                <c:pt idx="167">
                  <c:v>923211.2507353219</c:v>
                </c:pt>
                <c:pt idx="168">
                  <c:v>920613.01975579443</c:v>
                </c:pt>
                <c:pt idx="169">
                  <c:v>917999.63242888637</c:v>
                </c:pt>
                <c:pt idx="170">
                  <c:v>915371.00034257129</c:v>
                </c:pt>
                <c:pt idx="171">
                  <c:v>912727.03456908616</c:v>
                </c:pt>
                <c:pt idx="172">
                  <c:v>910067.64566192229</c:v>
                </c:pt>
                <c:pt idx="173">
                  <c:v>907392.74365279998</c:v>
                </c:pt>
                <c:pt idx="174">
                  <c:v>904702.23804862448</c:v>
                </c:pt>
                <c:pt idx="175">
                  <c:v>901996.0378284246</c:v>
                </c:pt>
                <c:pt idx="176">
                  <c:v>899274.05144027353</c:v>
                </c:pt>
                <c:pt idx="177">
                  <c:v>896536.18679819163</c:v>
                </c:pt>
                <c:pt idx="178">
                  <c:v>893782.3512790309</c:v>
                </c:pt>
                <c:pt idx="179">
                  <c:v>891012.45171934168</c:v>
                </c:pt>
                <c:pt idx="180">
                  <c:v>888226.39441222104</c:v>
                </c:pt>
                <c:pt idx="181">
                  <c:v>885424.08510414208</c:v>
                </c:pt>
                <c:pt idx="182">
                  <c:v>882605.42899176606</c:v>
                </c:pt>
                <c:pt idx="183">
                  <c:v>879770.33071873453</c:v>
                </c:pt>
                <c:pt idx="184">
                  <c:v>876918.6943724436</c:v>
                </c:pt>
                <c:pt idx="185">
                  <c:v>874050.42348079931</c:v>
                </c:pt>
                <c:pt idx="186">
                  <c:v>871165.42100895382</c:v>
                </c:pt>
                <c:pt idx="187">
                  <c:v>868263.58935602254</c:v>
                </c:pt>
                <c:pt idx="188">
                  <c:v>865344.8303517825</c:v>
                </c:pt>
                <c:pt idx="189">
                  <c:v>862409.04525335098</c:v>
                </c:pt>
                <c:pt idx="190">
                  <c:v>859456.13474184531</c:v>
                </c:pt>
                <c:pt idx="191">
                  <c:v>856485.9989190225</c:v>
                </c:pt>
                <c:pt idx="192">
                  <c:v>853498.5373039</c:v>
                </c:pt>
                <c:pt idx="193">
                  <c:v>850493.64882935584</c:v>
                </c:pt>
                <c:pt idx="194">
                  <c:v>847471.23183871026</c:v>
                </c:pt>
                <c:pt idx="195">
                  <c:v>844431.18408228585</c:v>
                </c:pt>
                <c:pt idx="196">
                  <c:v>841373.40271394898</c:v>
                </c:pt>
                <c:pt idx="197">
                  <c:v>838297.78428763011</c:v>
                </c:pt>
                <c:pt idx="198">
                  <c:v>835204.22475382441</c:v>
                </c:pt>
                <c:pt idx="199">
                  <c:v>832092.61945607152</c:v>
                </c:pt>
                <c:pt idx="200">
                  <c:v>828962.86312741507</c:v>
                </c:pt>
                <c:pt idx="201">
                  <c:v>825814.84988684149</c:v>
                </c:pt>
                <c:pt idx="202">
                  <c:v>822648.47323569783</c:v>
                </c:pt>
                <c:pt idx="203">
                  <c:v>819463.62605408917</c:v>
                </c:pt>
                <c:pt idx="204">
                  <c:v>816260.20059725444</c:v>
                </c:pt>
                <c:pt idx="205">
                  <c:v>813038.08849192155</c:v>
                </c:pt>
                <c:pt idx="206">
                  <c:v>809797.1807326409</c:v>
                </c:pt>
                <c:pt idx="207">
                  <c:v>806537.3676780978</c:v>
                </c:pt>
                <c:pt idx="208">
                  <c:v>803258.53904740314</c:v>
                </c:pt>
                <c:pt idx="209">
                  <c:v>799960.58391636284</c:v>
                </c:pt>
                <c:pt idx="210">
                  <c:v>796643.39071372477</c:v>
                </c:pt>
                <c:pt idx="211">
                  <c:v>793306.84721740463</c:v>
                </c:pt>
                <c:pt idx="212">
                  <c:v>789950.84055068926</c:v>
                </c:pt>
                <c:pt idx="213">
                  <c:v>786575.25717841811</c:v>
                </c:pt>
                <c:pt idx="214">
                  <c:v>783179.98290314199</c:v>
                </c:pt>
                <c:pt idx="215">
                  <c:v>779764.90286126011</c:v>
                </c:pt>
                <c:pt idx="216">
                  <c:v>776329.90151913394</c:v>
                </c:pt>
                <c:pt idx="217">
                  <c:v>772874.86266917875</c:v>
                </c:pt>
                <c:pt idx="218">
                  <c:v>769399.66942593211</c:v>
                </c:pt>
                <c:pt idx="219">
                  <c:v>765904.20422209986</c:v>
                </c:pt>
                <c:pt idx="220">
                  <c:v>762388.34880457853</c:v>
                </c:pt>
                <c:pt idx="221">
                  <c:v>758851.98423045501</c:v>
                </c:pt>
                <c:pt idx="222">
                  <c:v>755294.99086298246</c:v>
                </c:pt>
                <c:pt idx="223">
                  <c:v>751717.24836753297</c:v>
                </c:pt>
                <c:pt idx="224">
                  <c:v>748118.6357075267</c:v>
                </c:pt>
                <c:pt idx="225">
                  <c:v>744499.03114033712</c:v>
                </c:pt>
                <c:pt idx="226">
                  <c:v>740858.3122131722</c:v>
                </c:pt>
                <c:pt idx="227">
                  <c:v>737196.35575893219</c:v>
                </c:pt>
                <c:pt idx="228">
                  <c:v>733513.03789204243</c:v>
                </c:pt>
                <c:pt idx="229">
                  <c:v>729808.23400426249</c:v>
                </c:pt>
                <c:pt idx="230">
                  <c:v>726081.81876047049</c:v>
                </c:pt>
                <c:pt idx="231">
                  <c:v>722333.66609442304</c:v>
                </c:pt>
                <c:pt idx="232">
                  <c:v>718563.64920449036</c:v>
                </c:pt>
                <c:pt idx="233">
                  <c:v>714771.64054936636</c:v>
                </c:pt>
                <c:pt idx="234">
                  <c:v>710957.5118437541</c:v>
                </c:pt>
                <c:pt idx="235">
                  <c:v>707121.13405402575</c:v>
                </c:pt>
                <c:pt idx="236">
                  <c:v>703262.37739385734</c:v>
                </c:pt>
                <c:pt idx="237">
                  <c:v>699381.11131983798</c:v>
                </c:pt>
                <c:pt idx="238">
                  <c:v>695477.20452705352</c:v>
                </c:pt>
                <c:pt idx="239">
                  <c:v>691550.52494464442</c:v>
                </c:pt>
                <c:pt idx="240">
                  <c:v>687600.93973133794</c:v>
                </c:pt>
                <c:pt idx="241">
                  <c:v>683628.31527095393</c:v>
                </c:pt>
                <c:pt idx="242">
                  <c:v>679632.51716788427</c:v>
                </c:pt>
                <c:pt idx="243">
                  <c:v>675613.4102425467</c:v>
                </c:pt>
                <c:pt idx="244">
                  <c:v>671570.85852681135</c:v>
                </c:pt>
                <c:pt idx="245">
                  <c:v>667504.7252594009</c:v>
                </c:pt>
                <c:pt idx="246">
                  <c:v>663414.87288126384</c:v>
                </c:pt>
                <c:pt idx="247">
                  <c:v>659301.16303092102</c:v>
                </c:pt>
                <c:pt idx="248">
                  <c:v>655163.45653978456</c:v>
                </c:pt>
                <c:pt idx="249">
                  <c:v>651001.61342744983</c:v>
                </c:pt>
                <c:pt idx="250">
                  <c:v>646815.49289695977</c:v>
                </c:pt>
                <c:pt idx="251">
                  <c:v>642604.95333004184</c:v>
                </c:pt>
                <c:pt idx="252">
                  <c:v>638369.85228231689</c:v>
                </c:pt>
                <c:pt idx="253">
                  <c:v>634110.04647848022</c:v>
                </c:pt>
                <c:pt idx="254">
                  <c:v>629825.39180745452</c:v>
                </c:pt>
                <c:pt idx="255">
                  <c:v>625515.74331751443</c:v>
                </c:pt>
                <c:pt idx="256">
                  <c:v>621180.95521138306</c:v>
                </c:pt>
                <c:pt idx="257">
                  <c:v>616820.88084129931</c:v>
                </c:pt>
                <c:pt idx="258">
                  <c:v>612435.37270405667</c:v>
                </c:pt>
                <c:pt idx="259">
                  <c:v>608024.28243601345</c:v>
                </c:pt>
                <c:pt idx="260">
                  <c:v>603587.46080807329</c:v>
                </c:pt>
                <c:pt idx="261">
                  <c:v>599124.7577206369</c:v>
                </c:pt>
                <c:pt idx="262">
                  <c:v>594636.02219852374</c:v>
                </c:pt>
                <c:pt idx="263">
                  <c:v>590121.10238586494</c:v>
                </c:pt>
                <c:pt idx="264">
                  <c:v>585579.84554096567</c:v>
                </c:pt>
                <c:pt idx="265">
                  <c:v>581012.09803113784</c:v>
                </c:pt>
                <c:pt idx="266">
                  <c:v>576417.70532750257</c:v>
                </c:pt>
                <c:pt idx="267">
                  <c:v>571796.51199976285</c:v>
                </c:pt>
                <c:pt idx="268">
                  <c:v>567148.36171094456</c:v>
                </c:pt>
                <c:pt idx="269">
                  <c:v>562473.0972121082</c:v>
                </c:pt>
                <c:pt idx="270">
                  <c:v>557770.5603370287</c:v>
                </c:pt>
                <c:pt idx="271">
                  <c:v>553040.59199684451</c:v>
                </c:pt>
                <c:pt idx="272">
                  <c:v>548283.03217467596</c:v>
                </c:pt>
                <c:pt idx="273">
                  <c:v>543497.71992021136</c:v>
                </c:pt>
                <c:pt idx="274">
                  <c:v>538684.49334426236</c:v>
                </c:pt>
                <c:pt idx="275">
                  <c:v>533843.18961328699</c:v>
                </c:pt>
                <c:pt idx="276">
                  <c:v>528973.64494388097</c:v>
                </c:pt>
                <c:pt idx="277">
                  <c:v>524075.69459723675</c:v>
                </c:pt>
                <c:pt idx="278">
                  <c:v>519149.17287357047</c:v>
                </c:pt>
                <c:pt idx="279">
                  <c:v>514193.91310651612</c:v>
                </c:pt>
                <c:pt idx="280">
                  <c:v>509209.74765748729</c:v>
                </c:pt>
                <c:pt idx="281">
                  <c:v>504196.50791000575</c:v>
                </c:pt>
                <c:pt idx="282">
                  <c:v>499154.02426399727</c:v>
                </c:pt>
                <c:pt idx="283">
                  <c:v>494082.12613005372</c:v>
                </c:pt>
                <c:pt idx="284">
                  <c:v>488980.64192366216</c:v>
                </c:pt>
                <c:pt idx="285">
                  <c:v>483849.39905940002</c:v>
                </c:pt>
                <c:pt idx="286">
                  <c:v>478688.22394509631</c:v>
                </c:pt>
                <c:pt idx="287">
                  <c:v>473496.94197595917</c:v>
                </c:pt>
                <c:pt idx="288">
                  <c:v>468275.37752866873</c:v>
                </c:pt>
                <c:pt idx="289">
                  <c:v>463023.3539554358</c:v>
                </c:pt>
                <c:pt idx="290">
                  <c:v>457740.69357802568</c:v>
                </c:pt>
                <c:pt idx="291">
                  <c:v>452427.21768174728</c:v>
                </c:pt>
                <c:pt idx="292">
                  <c:v>447082.7465094073</c:v>
                </c:pt>
                <c:pt idx="293">
                  <c:v>441707.09925522865</c:v>
                </c:pt>
                <c:pt idx="294">
                  <c:v>436300.09405873396</c:v>
                </c:pt>
                <c:pt idx="295">
                  <c:v>430861.54799859307</c:v>
                </c:pt>
                <c:pt idx="296">
                  <c:v>425391.27708643465</c:v>
                </c:pt>
                <c:pt idx="297">
                  <c:v>419889.09626062203</c:v>
                </c:pt>
                <c:pt idx="298">
                  <c:v>414354.81937999214</c:v>
                </c:pt>
                <c:pt idx="299">
                  <c:v>408788.25921755855</c:v>
                </c:pt>
                <c:pt idx="300">
                  <c:v>403189.22745417745</c:v>
                </c:pt>
                <c:pt idx="301">
                  <c:v>397557.53467217664</c:v>
                </c:pt>
                <c:pt idx="302">
                  <c:v>391892.99034894747</c:v>
                </c:pt>
                <c:pt idx="303">
                  <c:v>386195.40285049949</c:v>
                </c:pt>
                <c:pt idx="304">
                  <c:v>380464.57942497724</c:v>
                </c:pt>
                <c:pt idx="305">
                  <c:v>374700.32619613945</c:v>
                </c:pt>
                <c:pt idx="306">
                  <c:v>368902.44815680006</c:v>
                </c:pt>
                <c:pt idx="307">
                  <c:v>363070.74916223122</c:v>
                </c:pt>
                <c:pt idx="308">
                  <c:v>357205.03192352736</c:v>
                </c:pt>
                <c:pt idx="309">
                  <c:v>351305.09800093109</c:v>
                </c:pt>
                <c:pt idx="310">
                  <c:v>345370.74779711966</c:v>
                </c:pt>
                <c:pt idx="311">
                  <c:v>339401.78055045265</c:v>
                </c:pt>
                <c:pt idx="312">
                  <c:v>333397.9943281801</c:v>
                </c:pt>
                <c:pt idx="313">
                  <c:v>327359.18601961096</c:v>
                </c:pt>
                <c:pt idx="314">
                  <c:v>321285.15132924181</c:v>
                </c:pt>
                <c:pt idx="315">
                  <c:v>315175.68476984551</c:v>
                </c:pt>
                <c:pt idx="316">
                  <c:v>309030.5796555194</c:v>
                </c:pt>
                <c:pt idx="317">
                  <c:v>302849.62809469306</c:v>
                </c:pt>
                <c:pt idx="318">
                  <c:v>296632.62098309526</c:v>
                </c:pt>
                <c:pt idx="319">
                  <c:v>290379.34799667977</c:v>
                </c:pt>
                <c:pt idx="320">
                  <c:v>284089.59758451022</c:v>
                </c:pt>
                <c:pt idx="321">
                  <c:v>277763.15696160303</c:v>
                </c:pt>
                <c:pt idx="322">
                  <c:v>271399.81210172886</c:v>
                </c:pt>
                <c:pt idx="323">
                  <c:v>264999.3477301721</c:v>
                </c:pt>
                <c:pt idx="324">
                  <c:v>258561.54731644792</c:v>
                </c:pt>
                <c:pt idx="325">
                  <c:v>252086.19306697702</c:v>
                </c:pt>
                <c:pt idx="326">
                  <c:v>245573.06591771753</c:v>
                </c:pt>
                <c:pt idx="327">
                  <c:v>239021.94552675402</c:v>
                </c:pt>
                <c:pt idx="328">
                  <c:v>232432.61026684323</c:v>
                </c:pt>
                <c:pt idx="329">
                  <c:v>225804.8372179163</c:v>
                </c:pt>
                <c:pt idx="330">
                  <c:v>219138.40215953728</c:v>
                </c:pt>
                <c:pt idx="331">
                  <c:v>212433.07956331773</c:v>
                </c:pt>
                <c:pt idx="332">
                  <c:v>205688.6425852869</c:v>
                </c:pt>
                <c:pt idx="333">
                  <c:v>198904.86305821754</c:v>
                </c:pt>
                <c:pt idx="334">
                  <c:v>192081.51148390694</c:v>
                </c:pt>
                <c:pt idx="335">
                  <c:v>185218.35702541287</c:v>
                </c:pt>
                <c:pt idx="336">
                  <c:v>178315.16749924424</c:v>
                </c:pt>
                <c:pt idx="337">
                  <c:v>171371.70936750632</c:v>
                </c:pt>
                <c:pt idx="338">
                  <c:v>164387.74772999992</c:v>
                </c:pt>
                <c:pt idx="339">
                  <c:v>157363.04631627473</c:v>
                </c:pt>
                <c:pt idx="340">
                  <c:v>150297.36747763614</c:v>
                </c:pt>
                <c:pt idx="341">
                  <c:v>143190.47217910551</c:v>
                </c:pt>
                <c:pt idx="342">
                  <c:v>136042.11999133343</c:v>
                </c:pt>
                <c:pt idx="343">
                  <c:v>128852.06908246601</c:v>
                </c:pt>
                <c:pt idx="344">
                  <c:v>121620.07620996355</c:v>
                </c:pt>
                <c:pt idx="345">
                  <c:v>114345.89671237148</c:v>
                </c:pt>
                <c:pt idx="346">
                  <c:v>107029.28450104345</c:v>
                </c:pt>
                <c:pt idx="347">
                  <c:v>99669.992051816022</c:v>
                </c:pt>
                <c:pt idx="348">
                  <c:v>92267.770396634762</c:v>
                </c:pt>
                <c:pt idx="349">
                  <c:v>84822.369115131602</c:v>
                </c:pt>
                <c:pt idx="350">
                  <c:v>77333.536326153015</c:v>
                </c:pt>
                <c:pt idx="351">
                  <c:v>69801.01867923871</c:v>
                </c:pt>
                <c:pt idx="352">
                  <c:v>62224.561346050745</c:v>
                </c:pt>
                <c:pt idx="353">
                  <c:v>54603.908011752515</c:v>
                </c:pt>
                <c:pt idx="354">
                  <c:v>46938.800866337551</c:v>
                </c:pt>
                <c:pt idx="355">
                  <c:v>39228.980595907662</c:v>
                </c:pt>
                <c:pt idx="356">
                  <c:v>31474.186373900266</c:v>
                </c:pt>
                <c:pt idx="357">
                  <c:v>23674.155852264492</c:v>
                </c:pt>
                <c:pt idx="358">
                  <c:v>15828.625152585844</c:v>
                </c:pt>
                <c:pt idx="359">
                  <c:v>7937.328857159071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D8-47A1-86B2-7FAF9464C61D}"/>
            </c:ext>
          </c:extLst>
        </c:ser>
        <c:ser>
          <c:idx val="1"/>
          <c:order val="1"/>
          <c:tx>
            <c:strRef>
              <c:f>'McRae Road Amorization'!$I$5</c:f>
              <c:strCache>
                <c:ptCount val="1"/>
                <c:pt idx="0">
                  <c:v>cumulativePrincipal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'McRae Road Amorization'!$A$6:$A$365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'McRae Road Amorization'!$I$6:$I$365</c:f>
              <c:numCache>
                <c:formatCode>"$"#,##0.00_);[Red]\("$"#,##0.00\)</c:formatCode>
                <c:ptCount val="360"/>
                <c:pt idx="0">
                  <c:v>983.6299421501908</c:v>
                </c:pt>
                <c:pt idx="1">
                  <c:v>1972.9977256295897</c:v>
                </c:pt>
                <c:pt idx="2">
                  <c:v>2968.1368211792851</c:v>
                </c:pt>
                <c:pt idx="3">
                  <c:v>3969.0808947863543</c:v>
                </c:pt>
                <c:pt idx="4">
                  <c:v>4975.8638088227972</c:v>
                </c:pt>
                <c:pt idx="5">
                  <c:v>5988.5196231911195</c:v>
                </c:pt>
                <c:pt idx="6">
                  <c:v>7007.08259647659</c:v>
                </c:pt>
                <c:pt idx="7">
                  <c:v>8031.5871871062263</c:v>
                </c:pt>
                <c:pt idx="8">
                  <c:v>9062.0680545145351</c:v>
                </c:pt>
                <c:pt idx="9">
                  <c:v>10098.560060316058</c:v>
                </c:pt>
                <c:pt idx="10">
                  <c:v>11141.098269484757</c:v>
                </c:pt>
                <c:pt idx="11">
                  <c:v>12189.717951540275</c:v>
                </c:pt>
                <c:pt idx="12">
                  <c:v>13244.454581741114</c:v>
                </c:pt>
                <c:pt idx="13">
                  <c:v>14305.343842284794</c:v>
                </c:pt>
                <c:pt idx="14">
                  <c:v>15372.421623514978</c:v>
                </c:pt>
                <c:pt idx="15">
                  <c:v>16445.724025135671</c:v>
                </c:pt>
                <c:pt idx="16">
                  <c:v>17525.287357432484</c:v>
                </c:pt>
                <c:pt idx="17">
                  <c:v>18611.148142501028</c:v>
                </c:pt>
                <c:pt idx="18">
                  <c:v>19703.343115482472</c:v>
                </c:pt>
                <c:pt idx="19">
                  <c:v>20801.90922580631</c:v>
                </c:pt>
                <c:pt idx="20">
                  <c:v>21906.883638440369</c:v>
                </c:pt>
                <c:pt idx="21">
                  <c:v>23018.303735148125</c:v>
                </c:pt>
                <c:pt idx="22">
                  <c:v>24136.207115753346</c:v>
                </c:pt>
                <c:pt idx="23">
                  <c:v>25260.631599412096</c:v>
                </c:pt>
                <c:pt idx="24">
                  <c:v>26391.615225892187</c:v>
                </c:pt>
                <c:pt idx="25">
                  <c:v>27529.196256860079</c:v>
                </c:pt>
                <c:pt idx="26">
                  <c:v>28673.413177175284</c:v>
                </c:pt>
                <c:pt idx="27">
                  <c:v>29824.304696192328</c:v>
                </c:pt>
                <c:pt idx="28">
                  <c:v>30981.909749070306</c:v>
                </c:pt>
                <c:pt idx="29">
                  <c:v>32146.26749809007</c:v>
                </c:pt>
                <c:pt idx="30">
                  <c:v>33317.417333979116</c:v>
                </c:pt>
                <c:pt idx="31">
                  <c:v>34495.398877244181</c:v>
                </c:pt>
                <c:pt idx="32">
                  <c:v>35680.251979511624</c:v>
                </c:pt>
                <c:pt idx="33">
                  <c:v>36872.016724875633</c:v>
                </c:pt>
                <c:pt idx="34">
                  <c:v>38070.733431254266</c:v>
                </c:pt>
                <c:pt idx="35">
                  <c:v>39276.442651753438</c:v>
                </c:pt>
                <c:pt idx="36">
                  <c:v>40489.185176038853</c:v>
                </c:pt>
                <c:pt idx="37">
                  <c:v>41709.002031715936</c:v>
                </c:pt>
                <c:pt idx="38">
                  <c:v>42935.9344857178</c:v>
                </c:pt>
                <c:pt idx="39">
                  <c:v>44170.024045701342</c:v>
                </c:pt>
                <c:pt idx="40">
                  <c:v>45411.312461451453</c:v>
                </c:pt>
                <c:pt idx="41">
                  <c:v>46659.841726293438</c:v>
                </c:pt>
                <c:pt idx="42">
                  <c:v>47915.654078513668</c:v>
                </c:pt>
                <c:pt idx="43">
                  <c:v>49178.792002788519</c:v>
                </c:pt>
                <c:pt idx="44">
                  <c:v>50449.298231621637</c:v>
                </c:pt>
                <c:pt idx="45">
                  <c:v>51727.215746789618</c:v>
                </c:pt>
                <c:pt idx="46">
                  <c:v>53012.587780796079</c:v>
                </c:pt>
                <c:pt idx="47">
                  <c:v>54305.457818334246</c:v>
                </c:pt>
                <c:pt idx="48">
                  <c:v>55605.86959775805</c:v>
                </c:pt>
                <c:pt idx="49">
                  <c:v>56913.867112561828</c:v>
                </c:pt>
                <c:pt idx="50">
                  <c:v>58229.494612868628</c:v>
                </c:pt>
                <c:pt idx="51">
                  <c:v>59552.796606927215</c:v>
                </c:pt>
                <c:pt idx="52">
                  <c:v>60883.817862617812</c:v>
                </c:pt>
                <c:pt idx="53">
                  <c:v>62222.603408966606</c:v>
                </c:pt>
                <c:pt idx="54">
                  <c:v>63569.198537669101</c:v>
                </c:pt>
                <c:pt idx="55">
                  <c:v>64923.64880462236</c:v>
                </c:pt>
                <c:pt idx="56">
                  <c:v>66286.000031466174</c:v>
                </c:pt>
                <c:pt idx="57">
                  <c:v>67656.298307133256</c:v>
                </c:pt>
                <c:pt idx="58">
                  <c:v>69034.589989408385</c:v>
                </c:pt>
                <c:pt idx="59">
                  <c:v>70420.921706496796</c:v>
                </c:pt>
                <c:pt idx="60">
                  <c:v>71815.340358601548</c:v>
                </c:pt>
                <c:pt idx="61">
                  <c:v>73217.893119510249</c:v>
                </c:pt>
                <c:pt idx="62">
                  <c:v>74628.627438190917</c:v>
                </c:pt>
                <c:pt idx="63">
                  <c:v>76047.591040397223</c:v>
                </c:pt>
                <c:pt idx="64">
                  <c:v>77474.831930283064</c:v>
                </c:pt>
                <c:pt idx="65">
                  <c:v>78910.398392026575</c:v>
                </c:pt>
                <c:pt idx="66">
                  <c:v>80354.338991463592</c:v>
                </c:pt>
                <c:pt idx="67">
                  <c:v>81806.702577730655</c:v>
                </c:pt>
                <c:pt idx="68">
                  <c:v>83267.538284917609</c:v>
                </c:pt>
                <c:pt idx="69">
                  <c:v>84736.89553372981</c:v>
                </c:pt>
                <c:pt idx="70">
                  <c:v>86214.824033160083</c:v>
                </c:pt>
                <c:pt idx="71">
                  <c:v>87701.373782170369</c:v>
                </c:pt>
                <c:pt idx="72">
                  <c:v>89196.595071383214</c:v>
                </c:pt>
                <c:pt idx="73">
                  <c:v>90700.538484783145</c:v>
                </c:pt>
                <c:pt idx="74">
                  <c:v>92213.254901427907</c:v>
                </c:pt>
                <c:pt idx="75">
                  <c:v>93734.795497169762</c:v>
                </c:pt>
                <c:pt idx="76">
                  <c:v>95265.211746386776</c:v>
                </c:pt>
                <c:pt idx="77">
                  <c:v>96804.555423724218</c:v>
                </c:pt>
                <c:pt idx="78">
                  <c:v>98352.878605846126</c:v>
                </c:pt>
                <c:pt idx="79">
                  <c:v>99910.233673197086</c:v>
                </c:pt>
                <c:pt idx="80">
                  <c:v>101476.67331177426</c:v>
                </c:pt>
                <c:pt idx="81">
                  <c:v>103052.2505149098</c:v>
                </c:pt>
                <c:pt idx="82">
                  <c:v>104637.01858506363</c:v>
                </c:pt>
                <c:pt idx="83">
                  <c:v>106231.03113562669</c:v>
                </c:pt>
                <c:pt idx="84">
                  <c:v>107834.3420927347</c:v>
                </c:pt>
                <c:pt idx="85">
                  <c:v>109447.00569709251</c:v>
                </c:pt>
                <c:pt idx="86">
                  <c:v>111069.07650580906</c:v>
                </c:pt>
                <c:pt idx="87">
                  <c:v>112700.60939424313</c:v>
                </c:pt>
                <c:pt idx="88">
                  <c:v>114341.65955785973</c:v>
                </c:pt>
                <c:pt idx="89">
                  <c:v>115992.28251409743</c:v>
                </c:pt>
                <c:pt idx="90">
                  <c:v>117652.53410424652</c:v>
                </c:pt>
                <c:pt idx="91">
                  <c:v>119322.47049533814</c:v>
                </c:pt>
                <c:pt idx="92">
                  <c:v>121002.14818204448</c:v>
                </c:pt>
                <c:pt idx="93">
                  <c:v>122691.62398858993</c:v>
                </c:pt>
                <c:pt idx="94">
                  <c:v>124390.95507067356</c:v>
                </c:pt>
                <c:pt idx="95">
                  <c:v>126100.19891740268</c:v>
                </c:pt>
                <c:pt idx="96">
                  <c:v>127819.41335323772</c:v>
                </c:pt>
                <c:pt idx="97">
                  <c:v>129548.65653994845</c:v>
                </c:pt>
                <c:pt idx="98">
                  <c:v>131287.98697858167</c:v>
                </c:pt>
                <c:pt idx="99">
                  <c:v>133037.46351144026</c:v>
                </c:pt>
                <c:pt idx="100">
                  <c:v>134797.14532407385</c:v>
                </c:pt>
                <c:pt idx="101">
                  <c:v>136567.09194728112</c:v>
                </c:pt>
                <c:pt idx="102">
                  <c:v>138347.36325912378</c:v>
                </c:pt>
                <c:pt idx="103">
                  <c:v>140138.01948695219</c:v>
                </c:pt>
                <c:pt idx="104">
                  <c:v>141939.12120944294</c:v>
                </c:pt>
                <c:pt idx="105">
                  <c:v>143750.72935864821</c:v>
                </c:pt>
                <c:pt idx="106">
                  <c:v>145572.90522205719</c:v>
                </c:pt>
                <c:pt idx="107">
                  <c:v>147405.71044466938</c:v>
                </c:pt>
                <c:pt idx="108">
                  <c:v>149249.20703108015</c:v>
                </c:pt>
                <c:pt idx="109">
                  <c:v>151103.45734757831</c:v>
                </c:pt>
                <c:pt idx="110">
                  <c:v>152968.52412425604</c:v>
                </c:pt>
                <c:pt idx="111">
                  <c:v>154844.47045713107</c:v>
                </c:pt>
                <c:pt idx="112">
                  <c:v>156731.3598102812</c:v>
                </c:pt>
                <c:pt idx="113">
                  <c:v>158629.25601799137</c:v>
                </c:pt>
                <c:pt idx="114">
                  <c:v>160538.22328691318</c:v>
                </c:pt>
                <c:pt idx="115">
                  <c:v>162458.32619823705</c:v>
                </c:pt>
                <c:pt idx="116">
                  <c:v>164389.62970987696</c:v>
                </c:pt>
                <c:pt idx="117">
                  <c:v>166332.19915866808</c:v>
                </c:pt>
                <c:pt idx="118">
                  <c:v>168286.10026257718</c:v>
                </c:pt>
                <c:pt idx="119">
                  <c:v>170251.39912292574</c:v>
                </c:pt>
                <c:pt idx="120">
                  <c:v>172228.16222662633</c:v>
                </c:pt>
                <c:pt idx="121">
                  <c:v>174216.45644843183</c:v>
                </c:pt>
                <c:pt idx="122">
                  <c:v>176216.34905319786</c:v>
                </c:pt>
                <c:pt idx="123">
                  <c:v>178227.90769815838</c:v>
                </c:pt>
                <c:pt idx="124">
                  <c:v>180251.2004352145</c:v>
                </c:pt>
                <c:pt idx="125">
                  <c:v>182286.29571323679</c:v>
                </c:pt>
                <c:pt idx="126">
                  <c:v>184333.26238038085</c:v>
                </c:pt>
                <c:pt idx="127">
                  <c:v>186392.1696864166</c:v>
                </c:pt>
                <c:pt idx="128">
                  <c:v>188463.08728507088</c:v>
                </c:pt>
                <c:pt idx="129">
                  <c:v>190546.08523638398</c:v>
                </c:pt>
                <c:pt idx="130">
                  <c:v>192641.23400907975</c:v>
                </c:pt>
                <c:pt idx="131">
                  <c:v>194748.60448294957</c:v>
                </c:pt>
                <c:pt idx="132">
                  <c:v>196868.26795125031</c:v>
                </c:pt>
                <c:pt idx="133">
                  <c:v>199000.29612311613</c:v>
                </c:pt>
                <c:pt idx="134">
                  <c:v>201144.76112598449</c:v>
                </c:pt>
                <c:pt idx="135">
                  <c:v>203301.73550803625</c:v>
                </c:pt>
                <c:pt idx="136">
                  <c:v>205471.29224064999</c:v>
                </c:pt>
                <c:pt idx="137">
                  <c:v>207653.50472087064</c:v>
                </c:pt>
                <c:pt idx="138">
                  <c:v>209848.44677389256</c:v>
                </c:pt>
                <c:pt idx="139">
                  <c:v>212056.19265555713</c:v>
                </c:pt>
                <c:pt idx="140">
                  <c:v>214276.81705486472</c:v>
                </c:pt>
                <c:pt idx="141">
                  <c:v>216510.39509650163</c:v>
                </c:pt>
                <c:pt idx="142">
                  <c:v>218757.00234338141</c:v>
                </c:pt>
                <c:pt idx="143">
                  <c:v>221016.71479920132</c:v>
                </c:pt>
                <c:pt idx="144">
                  <c:v>223289.60891101352</c:v>
                </c:pt>
                <c:pt idx="145">
                  <c:v>225575.76157181128</c:v>
                </c:pt>
                <c:pt idx="146">
                  <c:v>227875.25012313036</c:v>
                </c:pt>
                <c:pt idx="147">
                  <c:v>230188.15235766547</c:v>
                </c:pt>
                <c:pt idx="148">
                  <c:v>232514.54652190206</c:v>
                </c:pt>
                <c:pt idx="149">
                  <c:v>234854.51131876334</c:v>
                </c:pt>
                <c:pt idx="150">
                  <c:v>237208.125910273</c:v>
                </c:pt>
                <c:pt idx="151">
                  <c:v>239575.46992023312</c:v>
                </c:pt>
                <c:pt idx="152">
                  <c:v>241956.62343691802</c:v>
                </c:pt>
                <c:pt idx="153">
                  <c:v>244351.66701578355</c:v>
                </c:pt>
                <c:pt idx="154">
                  <c:v>246760.68168219249</c:v>
                </c:pt>
                <c:pt idx="155">
                  <c:v>249183.74893415548</c:v>
                </c:pt>
                <c:pt idx="156">
                  <c:v>251620.95074508825</c:v>
                </c:pt>
                <c:pt idx="157">
                  <c:v>254072.36956658479</c:v>
                </c:pt>
                <c:pt idx="158">
                  <c:v>256538.08833120673</c:v>
                </c:pt>
                <c:pt idx="159">
                  <c:v>259018.19045528895</c:v>
                </c:pt>
                <c:pt idx="160">
                  <c:v>261512.75984176167</c:v>
                </c:pt>
                <c:pt idx="161">
                  <c:v>264021.8808829888</c:v>
                </c:pt>
                <c:pt idx="162">
                  <c:v>266545.63846362307</c:v>
                </c:pt>
                <c:pt idx="163">
                  <c:v>269084.11796347774</c:v>
                </c:pt>
                <c:pt idx="164">
                  <c:v>271637.40526041487</c:v>
                </c:pt>
                <c:pt idx="165">
                  <c:v>274205.58673325082</c:v>
                </c:pt>
                <c:pt idx="166">
                  <c:v>276788.74926467834</c:v>
                </c:pt>
                <c:pt idx="167">
                  <c:v>279386.9802442058</c:v>
                </c:pt>
                <c:pt idx="168">
                  <c:v>282000.36757111386</c:v>
                </c:pt>
                <c:pt idx="169">
                  <c:v>284628.99965742888</c:v>
                </c:pt>
                <c:pt idx="170">
                  <c:v>287272.96543091408</c:v>
                </c:pt>
                <c:pt idx="171">
                  <c:v>289932.35433807794</c:v>
                </c:pt>
                <c:pt idx="172">
                  <c:v>292607.25634720025</c:v>
                </c:pt>
                <c:pt idx="173">
                  <c:v>295297.76195137575</c:v>
                </c:pt>
                <c:pt idx="174">
                  <c:v>298003.96217157564</c:v>
                </c:pt>
                <c:pt idx="175">
                  <c:v>300725.9485597267</c:v>
                </c:pt>
                <c:pt idx="176">
                  <c:v>303463.81320180866</c:v>
                </c:pt>
                <c:pt idx="177">
                  <c:v>306217.64872096939</c:v>
                </c:pt>
                <c:pt idx="178">
                  <c:v>308987.54828065855</c:v>
                </c:pt>
                <c:pt idx="179">
                  <c:v>311773.60558777925</c:v>
                </c:pt>
                <c:pt idx="180">
                  <c:v>314575.91489585815</c:v>
                </c:pt>
                <c:pt idx="181">
                  <c:v>317394.57100823417</c:v>
                </c:pt>
                <c:pt idx="182">
                  <c:v>320229.6692812657</c:v>
                </c:pt>
                <c:pt idx="183">
                  <c:v>323081.30562755658</c:v>
                </c:pt>
                <c:pt idx="184">
                  <c:v>325949.57651920087</c:v>
                </c:pt>
                <c:pt idx="185">
                  <c:v>328834.57899104641</c:v>
                </c:pt>
                <c:pt idx="186">
                  <c:v>331736.4106439777</c:v>
                </c:pt>
                <c:pt idx="187">
                  <c:v>334655.16964821774</c:v>
                </c:pt>
                <c:pt idx="188">
                  <c:v>337590.95474664919</c:v>
                </c:pt>
                <c:pt idx="189">
                  <c:v>340543.86525815481</c:v>
                </c:pt>
                <c:pt idx="190">
                  <c:v>343514.00108097756</c:v>
                </c:pt>
                <c:pt idx="191">
                  <c:v>346501.46269610012</c:v>
                </c:pt>
                <c:pt idx="192">
                  <c:v>349506.35117064422</c:v>
                </c:pt>
                <c:pt idx="193">
                  <c:v>352528.76816128986</c:v>
                </c:pt>
                <c:pt idx="194">
                  <c:v>355568.81591771427</c:v>
                </c:pt>
                <c:pt idx="195">
                  <c:v>358626.59728605114</c:v>
                </c:pt>
                <c:pt idx="196">
                  <c:v>361702.21571236994</c:v>
                </c:pt>
                <c:pt idx="197">
                  <c:v>364795.77524617565</c:v>
                </c:pt>
                <c:pt idx="198">
                  <c:v>367907.38054392854</c:v>
                </c:pt>
                <c:pt idx="199">
                  <c:v>371037.13687258499</c:v>
                </c:pt>
                <c:pt idx="200">
                  <c:v>374185.15011315857</c:v>
                </c:pt>
                <c:pt idx="201">
                  <c:v>377351.52676430217</c:v>
                </c:pt>
                <c:pt idx="202">
                  <c:v>380536.37394591077</c:v>
                </c:pt>
                <c:pt idx="203">
                  <c:v>383739.79940274544</c:v>
                </c:pt>
                <c:pt idx="204">
                  <c:v>386961.91150807834</c:v>
                </c:pt>
                <c:pt idx="205">
                  <c:v>390202.81926735898</c:v>
                </c:pt>
                <c:pt idx="206">
                  <c:v>393462.63232190209</c:v>
                </c:pt>
                <c:pt idx="207">
                  <c:v>396741.46095259668</c:v>
                </c:pt>
                <c:pt idx="208">
                  <c:v>400039.41608363704</c:v>
                </c:pt>
                <c:pt idx="209">
                  <c:v>403356.60928627511</c:v>
                </c:pt>
                <c:pt idx="210">
                  <c:v>406693.15278259525</c:v>
                </c:pt>
                <c:pt idx="211">
                  <c:v>410049.15944931057</c:v>
                </c:pt>
                <c:pt idx="212">
                  <c:v>413424.74282158172</c:v>
                </c:pt>
                <c:pt idx="213">
                  <c:v>416820.01709685783</c:v>
                </c:pt>
                <c:pt idx="214">
                  <c:v>420235.09713873971</c:v>
                </c:pt>
                <c:pt idx="215">
                  <c:v>423670.09848086588</c:v>
                </c:pt>
                <c:pt idx="216">
                  <c:v>427125.13733082113</c:v>
                </c:pt>
                <c:pt idx="217">
                  <c:v>430600.33057406778</c:v>
                </c:pt>
                <c:pt idx="218">
                  <c:v>434095.79577790003</c:v>
                </c:pt>
                <c:pt idx="219">
                  <c:v>437611.65119542129</c:v>
                </c:pt>
                <c:pt idx="220">
                  <c:v>441148.01576954476</c:v>
                </c:pt>
                <c:pt idx="221">
                  <c:v>444705.0091370173</c:v>
                </c:pt>
                <c:pt idx="222">
                  <c:v>448282.75163246674</c:v>
                </c:pt>
                <c:pt idx="223">
                  <c:v>451881.36429247301</c:v>
                </c:pt>
                <c:pt idx="224">
                  <c:v>455500.96885966265</c:v>
                </c:pt>
                <c:pt idx="225">
                  <c:v>459141.68778682756</c:v>
                </c:pt>
                <c:pt idx="226">
                  <c:v>462803.64424106758</c:v>
                </c:pt>
                <c:pt idx="227">
                  <c:v>466486.96210795734</c:v>
                </c:pt>
                <c:pt idx="228">
                  <c:v>470191.76599573728</c:v>
                </c:pt>
                <c:pt idx="229">
                  <c:v>473918.18123952928</c:v>
                </c:pt>
                <c:pt idx="230">
                  <c:v>477666.33390557673</c:v>
                </c:pt>
                <c:pt idx="231">
                  <c:v>481436.35079550947</c:v>
                </c:pt>
                <c:pt idx="232">
                  <c:v>485228.35945063346</c:v>
                </c:pt>
                <c:pt idx="233">
                  <c:v>489042.48815624567</c:v>
                </c:pt>
                <c:pt idx="234">
                  <c:v>492878.86594597396</c:v>
                </c:pt>
                <c:pt idx="235">
                  <c:v>496737.62260614231</c:v>
                </c:pt>
                <c:pt idx="236">
                  <c:v>500618.88868016168</c:v>
                </c:pt>
                <c:pt idx="237">
                  <c:v>504522.79547294613</c:v>
                </c:pt>
                <c:pt idx="238">
                  <c:v>508449.47505535517</c:v>
                </c:pt>
                <c:pt idx="239">
                  <c:v>512399.06026866159</c:v>
                </c:pt>
                <c:pt idx="240">
                  <c:v>516371.68472904566</c:v>
                </c:pt>
                <c:pt idx="241">
                  <c:v>520367.48283211532</c:v>
                </c:pt>
                <c:pt idx="242">
                  <c:v>524386.58975745284</c:v>
                </c:pt>
                <c:pt idx="243">
                  <c:v>528429.14147318818</c:v>
                </c:pt>
                <c:pt idx="244">
                  <c:v>532495.27474059863</c:v>
                </c:pt>
                <c:pt idx="245">
                  <c:v>536585.12711873569</c:v>
                </c:pt>
                <c:pt idx="246">
                  <c:v>540698.83696907852</c:v>
                </c:pt>
                <c:pt idx="247">
                  <c:v>544836.54346021498</c:v>
                </c:pt>
                <c:pt idx="248">
                  <c:v>548998.3865725497</c:v>
                </c:pt>
                <c:pt idx="249">
                  <c:v>553184.50710303977</c:v>
                </c:pt>
                <c:pt idx="250">
                  <c:v>557395.04666995769</c:v>
                </c:pt>
                <c:pt idx="251">
                  <c:v>561630.14771768264</c:v>
                </c:pt>
                <c:pt idx="252">
                  <c:v>565889.95352151932</c:v>
                </c:pt>
                <c:pt idx="253">
                  <c:v>570174.60819254501</c:v>
                </c:pt>
                <c:pt idx="254">
                  <c:v>574484.25668248511</c:v>
                </c:pt>
                <c:pt idx="255">
                  <c:v>578819.04478861648</c:v>
                </c:pt>
                <c:pt idx="256">
                  <c:v>583179.11915870022</c:v>
                </c:pt>
                <c:pt idx="257">
                  <c:v>587564.62729594286</c:v>
                </c:pt>
                <c:pt idx="258">
                  <c:v>591975.71756398608</c:v>
                </c:pt>
                <c:pt idx="259">
                  <c:v>596412.53919192625</c:v>
                </c:pt>
                <c:pt idx="260">
                  <c:v>600875.24227936263</c:v>
                </c:pt>
                <c:pt idx="261">
                  <c:v>605363.97780147579</c:v>
                </c:pt>
                <c:pt idx="262">
                  <c:v>609878.89761413459</c:v>
                </c:pt>
                <c:pt idx="263">
                  <c:v>614420.15445903386</c:v>
                </c:pt>
                <c:pt idx="264">
                  <c:v>618987.9019688617</c:v>
                </c:pt>
                <c:pt idx="265">
                  <c:v>623582.29467249697</c:v>
                </c:pt>
                <c:pt idx="266">
                  <c:v>628203.48800023668</c:v>
                </c:pt>
                <c:pt idx="267">
                  <c:v>632851.63828905497</c:v>
                </c:pt>
                <c:pt idx="268">
                  <c:v>637526.90278789133</c:v>
                </c:pt>
                <c:pt idx="269">
                  <c:v>642229.43966297084</c:v>
                </c:pt>
                <c:pt idx="270">
                  <c:v>646959.40800315503</c:v>
                </c:pt>
                <c:pt idx="271">
                  <c:v>651716.96782532358</c:v>
                </c:pt>
                <c:pt idx="272">
                  <c:v>656502.28007978818</c:v>
                </c:pt>
                <c:pt idx="273">
                  <c:v>661315.50665573718</c:v>
                </c:pt>
                <c:pt idx="274">
                  <c:v>666156.81038671255</c:v>
                </c:pt>
                <c:pt idx="275">
                  <c:v>671026.35505611857</c:v>
                </c:pt>
                <c:pt idx="276">
                  <c:v>675924.30540276284</c:v>
                </c:pt>
                <c:pt idx="277">
                  <c:v>680850.82712642918</c:v>
                </c:pt>
                <c:pt idx="278">
                  <c:v>685806.08689348353</c:v>
                </c:pt>
                <c:pt idx="279">
                  <c:v>690790.25234251237</c:v>
                </c:pt>
                <c:pt idx="280">
                  <c:v>695803.4920899939</c:v>
                </c:pt>
                <c:pt idx="281">
                  <c:v>700845.97573600244</c:v>
                </c:pt>
                <c:pt idx="282">
                  <c:v>705917.87386994599</c:v>
                </c:pt>
                <c:pt idx="283">
                  <c:v>711019.35807633749</c:v>
                </c:pt>
                <c:pt idx="284">
                  <c:v>716150.60094059969</c:v>
                </c:pt>
                <c:pt idx="285">
                  <c:v>721311.7760549034</c:v>
                </c:pt>
                <c:pt idx="286">
                  <c:v>726503.05802404054</c:v>
                </c:pt>
                <c:pt idx="287">
                  <c:v>731724.62247133092</c:v>
                </c:pt>
                <c:pt idx="288">
                  <c:v>736976.64604456385</c:v>
                </c:pt>
                <c:pt idx="289">
                  <c:v>742259.30642197398</c:v>
                </c:pt>
                <c:pt idx="290">
                  <c:v>747572.78231825237</c:v>
                </c:pt>
                <c:pt idx="291">
                  <c:v>752917.25349059235</c:v>
                </c:pt>
                <c:pt idx="292">
                  <c:v>758292.900744771</c:v>
                </c:pt>
                <c:pt idx="293">
                  <c:v>763699.90594126564</c:v>
                </c:pt>
                <c:pt idx="294">
                  <c:v>769138.45200140658</c:v>
                </c:pt>
                <c:pt idx="295">
                  <c:v>774608.722913565</c:v>
                </c:pt>
                <c:pt idx="296">
                  <c:v>780110.90373937762</c:v>
                </c:pt>
                <c:pt idx="297">
                  <c:v>785645.18062000757</c:v>
                </c:pt>
                <c:pt idx="298">
                  <c:v>791211.74078244111</c:v>
                </c:pt>
                <c:pt idx="299">
                  <c:v>796810.7725458222</c:v>
                </c:pt>
                <c:pt idx="300">
                  <c:v>802442.46532782307</c:v>
                </c:pt>
                <c:pt idx="301">
                  <c:v>808107.00965105218</c:v>
                </c:pt>
                <c:pt idx="302">
                  <c:v>813804.59714950016</c:v>
                </c:pt>
                <c:pt idx="303">
                  <c:v>819535.42057502246</c:v>
                </c:pt>
                <c:pt idx="304">
                  <c:v>825299.67380386032</c:v>
                </c:pt>
                <c:pt idx="305">
                  <c:v>831097.55184319965</c:v>
                </c:pt>
                <c:pt idx="306">
                  <c:v>836929.25083776854</c:v>
                </c:pt>
                <c:pt idx="307">
                  <c:v>842794.9680764724</c:v>
                </c:pt>
                <c:pt idx="308">
                  <c:v>848694.90199906868</c:v>
                </c:pt>
                <c:pt idx="309">
                  <c:v>854629.2522028801</c:v>
                </c:pt>
                <c:pt idx="310">
                  <c:v>860598.21944954712</c:v>
                </c:pt>
                <c:pt idx="311">
                  <c:v>866602.00567181967</c:v>
                </c:pt>
                <c:pt idx="312">
                  <c:v>872640.8139803888</c:v>
                </c:pt>
                <c:pt idx="313">
                  <c:v>878714.84867075796</c:v>
                </c:pt>
                <c:pt idx="314">
                  <c:v>884824.3152301542</c:v>
                </c:pt>
                <c:pt idx="315">
                  <c:v>890969.42034448031</c:v>
                </c:pt>
                <c:pt idx="316">
                  <c:v>897150.37190530659</c:v>
                </c:pt>
                <c:pt idx="317">
                  <c:v>903367.37901690439</c:v>
                </c:pt>
                <c:pt idx="318">
                  <c:v>909620.65200331982</c:v>
                </c:pt>
                <c:pt idx="319">
                  <c:v>915910.40241548943</c:v>
                </c:pt>
                <c:pt idx="320">
                  <c:v>922236.84303839668</c:v>
                </c:pt>
                <c:pt idx="321">
                  <c:v>928600.1878982709</c:v>
                </c:pt>
                <c:pt idx="322">
                  <c:v>935000.65226982767</c:v>
                </c:pt>
                <c:pt idx="323">
                  <c:v>941438.45268355182</c:v>
                </c:pt>
                <c:pt idx="324">
                  <c:v>947913.80693302269</c:v>
                </c:pt>
                <c:pt idx="325">
                  <c:v>954426.93408228213</c:v>
                </c:pt>
                <c:pt idx="326">
                  <c:v>960978.05447324563</c:v>
                </c:pt>
                <c:pt idx="327">
                  <c:v>967567.38973315642</c:v>
                </c:pt>
                <c:pt idx="328">
                  <c:v>974195.16278208338</c:v>
                </c:pt>
                <c:pt idx="329">
                  <c:v>980861.59784046235</c:v>
                </c:pt>
                <c:pt idx="330">
                  <c:v>987566.92043668195</c:v>
                </c:pt>
                <c:pt idx="331">
                  <c:v>994311.35741471278</c:v>
                </c:pt>
                <c:pt idx="332">
                  <c:v>1001095.1369417821</c:v>
                </c:pt>
                <c:pt idx="333">
                  <c:v>1007918.4885160926</c:v>
                </c:pt>
                <c:pt idx="334">
                  <c:v>1014781.6429745867</c:v>
                </c:pt>
                <c:pt idx="335">
                  <c:v>1021684.8325007553</c:v>
                </c:pt>
                <c:pt idx="336">
                  <c:v>1028628.2906324932</c:v>
                </c:pt>
                <c:pt idx="337">
                  <c:v>1035612.2522699996</c:v>
                </c:pt>
                <c:pt idx="338">
                  <c:v>1042636.9536837247</c:v>
                </c:pt>
                <c:pt idx="339">
                  <c:v>1049702.6325223632</c:v>
                </c:pt>
                <c:pt idx="340">
                  <c:v>1056809.5278208938</c:v>
                </c:pt>
                <c:pt idx="341">
                  <c:v>1063957.8800086658</c:v>
                </c:pt>
                <c:pt idx="342">
                  <c:v>1071147.9309175333</c:v>
                </c:pt>
                <c:pt idx="343">
                  <c:v>1078379.9237900358</c:v>
                </c:pt>
                <c:pt idx="344">
                  <c:v>1085654.1032876279</c:v>
                </c:pt>
                <c:pt idx="345">
                  <c:v>1092970.7154989559</c:v>
                </c:pt>
                <c:pt idx="346">
                  <c:v>1100330.0079481835</c:v>
                </c:pt>
                <c:pt idx="347">
                  <c:v>1107732.2296033648</c:v>
                </c:pt>
                <c:pt idx="348">
                  <c:v>1115177.6308848681</c:v>
                </c:pt>
                <c:pt idx="349">
                  <c:v>1122666.4636738468</c:v>
                </c:pt>
                <c:pt idx="350">
                  <c:v>1130198.9813207611</c:v>
                </c:pt>
                <c:pt idx="351">
                  <c:v>1137775.4386539492</c:v>
                </c:pt>
                <c:pt idx="352">
                  <c:v>1145396.0919882474</c:v>
                </c:pt>
                <c:pt idx="353">
                  <c:v>1153061.1991336623</c:v>
                </c:pt>
                <c:pt idx="354">
                  <c:v>1160771.0194040921</c:v>
                </c:pt>
                <c:pt idx="355">
                  <c:v>1168525.8136260996</c:v>
                </c:pt>
                <c:pt idx="356">
                  <c:v>1176325.8441477353</c:v>
                </c:pt>
                <c:pt idx="357">
                  <c:v>1184171.374847414</c:v>
                </c:pt>
                <c:pt idx="358">
                  <c:v>1192062.6711428408</c:v>
                </c:pt>
                <c:pt idx="359">
                  <c:v>1199999.9999999909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D8-47A1-86B2-7FAF9464C61D}"/>
            </c:ext>
          </c:extLst>
        </c:ser>
        <c:ser>
          <c:idx val="2"/>
          <c:order val="2"/>
          <c:tx>
            <c:strRef>
              <c:f>'McRae Road Amorization'!$J$5</c:f>
              <c:strCache>
                <c:ptCount val="1"/>
                <c:pt idx="0">
                  <c:v>cumulativeInterest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'McRae Road Amorization'!$A$6:$A$365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'McRae Road Amorization'!$J$6:$J$365</c:f>
              <c:numCache>
                <c:formatCode>"$"#,##0.00_);[Red]\("$"#,##0.00\)</c:formatCode>
                <c:ptCount val="360"/>
                <c:pt idx="0">
                  <c:v>7000</c:v>
                </c:pt>
                <c:pt idx="1">
                  <c:v>13994.262158670792</c:v>
                </c:pt>
                <c:pt idx="2">
                  <c:v>20982.753005271286</c:v>
                </c:pt>
                <c:pt idx="3">
                  <c:v>27965.438873814408</c:v>
                </c:pt>
                <c:pt idx="4">
                  <c:v>34942.285901928153</c:v>
                </c:pt>
                <c:pt idx="5">
                  <c:v>41913.260029710022</c:v>
                </c:pt>
                <c:pt idx="6">
                  <c:v>48878.326998574739</c:v>
                </c:pt>
                <c:pt idx="7">
                  <c:v>55837.452350095293</c:v>
                </c:pt>
                <c:pt idx="8">
                  <c:v>62790.601424837172</c:v>
                </c:pt>
                <c:pt idx="9">
                  <c:v>69737.739361185842</c:v>
                </c:pt>
                <c:pt idx="10">
                  <c:v>76678.831094167341</c:v>
                </c:pt>
                <c:pt idx="11">
                  <c:v>83613.841354262011</c:v>
                </c:pt>
                <c:pt idx="12">
                  <c:v>90542.734666211356</c:v>
                </c:pt>
                <c:pt idx="13">
                  <c:v>97465.475347817875</c:v>
                </c:pt>
                <c:pt idx="14">
                  <c:v>104382.02750873788</c:v>
                </c:pt>
                <c:pt idx="15">
                  <c:v>111292.35504926738</c:v>
                </c:pt>
                <c:pt idx="16">
                  <c:v>118196.42165912077</c:v>
                </c:pt>
                <c:pt idx="17">
                  <c:v>125094.1908162024</c:v>
                </c:pt>
                <c:pt idx="18">
                  <c:v>131985.62578537114</c:v>
                </c:pt>
                <c:pt idx="19">
                  <c:v>138870.68961719749</c:v>
                </c:pt>
                <c:pt idx="20">
                  <c:v>145749.34514671363</c:v>
                </c:pt>
                <c:pt idx="21">
                  <c:v>152621.55499215607</c:v>
                </c:pt>
                <c:pt idx="22">
                  <c:v>159487.28155370103</c:v>
                </c:pt>
                <c:pt idx="23">
                  <c:v>166346.48701219246</c:v>
                </c:pt>
                <c:pt idx="24">
                  <c:v>173199.13332786257</c:v>
                </c:pt>
                <c:pt idx="25">
                  <c:v>180045.18223904487</c:v>
                </c:pt>
                <c:pt idx="26">
                  <c:v>186884.59526087984</c:v>
                </c:pt>
                <c:pt idx="27">
                  <c:v>193717.33368401299</c:v>
                </c:pt>
                <c:pt idx="28">
                  <c:v>200543.35857328519</c:v>
                </c:pt>
                <c:pt idx="29">
                  <c:v>207362.63076641562</c:v>
                </c:pt>
                <c:pt idx="30">
                  <c:v>214175.11087267677</c:v>
                </c:pt>
                <c:pt idx="31">
                  <c:v>220980.7592715619</c:v>
                </c:pt>
                <c:pt idx="32">
                  <c:v>227779.53611144464</c:v>
                </c:pt>
                <c:pt idx="33">
                  <c:v>234571.40130823082</c:v>
                </c:pt>
                <c:pt idx="34">
                  <c:v>241356.31454400238</c:v>
                </c:pt>
                <c:pt idx="35">
                  <c:v>248134.23526565341</c:v>
                </c:pt>
                <c:pt idx="36">
                  <c:v>254905.12268351819</c:v>
                </c:pt>
                <c:pt idx="37">
                  <c:v>261668.93576999131</c:v>
                </c:pt>
                <c:pt idx="38">
                  <c:v>268425.63325813966</c:v>
                </c:pt>
                <c:pt idx="39">
                  <c:v>275175.17364030628</c:v>
                </c:pt>
                <c:pt idx="40">
                  <c:v>281917.51516670635</c:v>
                </c:pt>
                <c:pt idx="41">
                  <c:v>288652.61584401457</c:v>
                </c:pt>
                <c:pt idx="42">
                  <c:v>295380.43343394453</c:v>
                </c:pt>
                <c:pt idx="43">
                  <c:v>302100.9254518199</c:v>
                </c:pt>
                <c:pt idx="44">
                  <c:v>308814.049165137</c:v>
                </c:pt>
                <c:pt idx="45">
                  <c:v>315519.76159211923</c:v>
                </c:pt>
                <c:pt idx="46">
                  <c:v>322218.01950026298</c:v>
                </c:pt>
                <c:pt idx="47">
                  <c:v>328908.77940487501</c:v>
                </c:pt>
                <c:pt idx="48">
                  <c:v>335591.99756760139</c:v>
                </c:pt>
                <c:pt idx="49">
                  <c:v>342267.62999494781</c:v>
                </c:pt>
                <c:pt idx="50">
                  <c:v>348935.6324367912</c:v>
                </c:pt>
                <c:pt idx="51">
                  <c:v>355595.96038488281</c:v>
                </c:pt>
                <c:pt idx="52">
                  <c:v>362248.56907134241</c:v>
                </c:pt>
                <c:pt idx="53">
                  <c:v>368893.41346714384</c:v>
                </c:pt>
                <c:pt idx="54">
                  <c:v>375530.44828059152</c:v>
                </c:pt>
                <c:pt idx="55">
                  <c:v>382159.62795578846</c:v>
                </c:pt>
                <c:pt idx="56">
                  <c:v>388780.90667109482</c:v>
                </c:pt>
                <c:pt idx="57">
                  <c:v>395394.23833757796</c:v>
                </c:pt>
                <c:pt idx="58">
                  <c:v>401999.57659745304</c:v>
                </c:pt>
                <c:pt idx="59">
                  <c:v>408596.87482251483</c:v>
                </c:pt>
                <c:pt idx="60">
                  <c:v>415186.08611256024</c:v>
                </c:pt>
                <c:pt idx="61">
                  <c:v>421767.16329380171</c:v>
                </c:pt>
                <c:pt idx="62">
                  <c:v>428340.05891727126</c:v>
                </c:pt>
                <c:pt idx="63">
                  <c:v>434904.72525721515</c:v>
                </c:pt>
                <c:pt idx="64">
                  <c:v>441461.11430947948</c:v>
                </c:pt>
                <c:pt idx="65">
                  <c:v>448009.17778988619</c:v>
                </c:pt>
                <c:pt idx="66">
                  <c:v>454548.86713259935</c:v>
                </c:pt>
                <c:pt idx="67">
                  <c:v>461080.1334884825</c:v>
                </c:pt>
                <c:pt idx="68">
                  <c:v>467602.92772344575</c:v>
                </c:pt>
                <c:pt idx="69">
                  <c:v>474117.20041678374</c:v>
                </c:pt>
                <c:pt idx="70">
                  <c:v>480622.90185950365</c:v>
                </c:pt>
                <c:pt idx="71">
                  <c:v>487119.98205264355</c:v>
                </c:pt>
                <c:pt idx="72">
                  <c:v>493608.39070558088</c:v>
                </c:pt>
                <c:pt idx="73">
                  <c:v>500088.07723433117</c:v>
                </c:pt>
                <c:pt idx="74">
                  <c:v>506558.99075983663</c:v>
                </c:pt>
                <c:pt idx="75">
                  <c:v>513021.08010624495</c:v>
                </c:pt>
                <c:pt idx="76">
                  <c:v>519474.29379917815</c:v>
                </c:pt>
                <c:pt idx="77">
                  <c:v>525918.5800639909</c:v>
                </c:pt>
                <c:pt idx="78">
                  <c:v>532353.88682401914</c:v>
                </c:pt>
                <c:pt idx="79">
                  <c:v>538780.16169881832</c:v>
                </c:pt>
                <c:pt idx="80">
                  <c:v>545197.35200239136</c:v>
                </c:pt>
                <c:pt idx="81">
                  <c:v>551605.40474140598</c:v>
                </c:pt>
                <c:pt idx="82">
                  <c:v>558004.26661340229</c:v>
                </c:pt>
                <c:pt idx="83">
                  <c:v>564393.88400498941</c:v>
                </c:pt>
                <c:pt idx="84">
                  <c:v>570774.20299003157</c:v>
                </c:pt>
                <c:pt idx="85">
                  <c:v>577145.16932782391</c:v>
                </c:pt>
                <c:pt idx="86">
                  <c:v>583506.72846125753</c:v>
                </c:pt>
                <c:pt idx="87">
                  <c:v>589858.82551497361</c:v>
                </c:pt>
                <c:pt idx="88">
                  <c:v>596201.40529350715</c:v>
                </c:pt>
                <c:pt idx="89">
                  <c:v>602534.4122794196</c:v>
                </c:pt>
                <c:pt idx="90">
                  <c:v>608857.79063142068</c:v>
                </c:pt>
                <c:pt idx="91">
                  <c:v>615171.48418247921</c:v>
                </c:pt>
                <c:pt idx="92">
                  <c:v>621475.43643792311</c:v>
                </c:pt>
                <c:pt idx="93">
                  <c:v>627769.59057352785</c:v>
                </c:pt>
                <c:pt idx="94">
                  <c:v>634053.88943359442</c:v>
                </c:pt>
                <c:pt idx="95">
                  <c:v>640328.27552901546</c:v>
                </c:pt>
                <c:pt idx="96">
                  <c:v>646592.69103533064</c:v>
                </c:pt>
                <c:pt idx="97">
                  <c:v>652847.0777907701</c:v>
                </c:pt>
                <c:pt idx="98">
                  <c:v>659091.37729428709</c:v>
                </c:pt>
                <c:pt idx="99">
                  <c:v>665325.53070357873</c:v>
                </c:pt>
                <c:pt idx="100">
                  <c:v>671549.47883309529</c:v>
                </c:pt>
                <c:pt idx="101">
                  <c:v>677763.16215203819</c:v>
                </c:pt>
                <c:pt idx="102">
                  <c:v>683966.52078234567</c:v>
                </c:pt>
                <c:pt idx="103">
                  <c:v>690159.49449666741</c:v>
                </c:pt>
                <c:pt idx="104">
                  <c:v>696342.02271632687</c:v>
                </c:pt>
                <c:pt idx="105">
                  <c:v>702514.04450927174</c:v>
                </c:pt>
                <c:pt idx="106">
                  <c:v>708675.498588013</c:v>
                </c:pt>
                <c:pt idx="107">
                  <c:v>714826.32330755098</c:v>
                </c:pt>
                <c:pt idx="108">
                  <c:v>720966.45666329039</c:v>
                </c:pt>
                <c:pt idx="109">
                  <c:v>727095.83628894237</c:v>
                </c:pt>
                <c:pt idx="110">
                  <c:v>733214.39945441484</c:v>
                </c:pt>
                <c:pt idx="111">
                  <c:v>739322.08306368999</c:v>
                </c:pt>
                <c:pt idx="112">
                  <c:v>745418.82365269004</c:v>
                </c:pt>
                <c:pt idx="113">
                  <c:v>751504.5573871301</c:v>
                </c:pt>
                <c:pt idx="114">
                  <c:v>757579.22006035852</c:v>
                </c:pt>
                <c:pt idx="115">
                  <c:v>763642.74709118484</c:v>
                </c:pt>
                <c:pt idx="116">
                  <c:v>769695.0735216951</c:v>
                </c:pt>
                <c:pt idx="117">
                  <c:v>775736.13401505421</c:v>
                </c:pt>
                <c:pt idx="118">
                  <c:v>781765.86285329529</c:v>
                </c:pt>
                <c:pt idx="119">
                  <c:v>787784.19393509696</c:v>
                </c:pt>
                <c:pt idx="120">
                  <c:v>793791.06077354657</c:v>
                </c:pt>
                <c:pt idx="121">
                  <c:v>799786.39649389125</c:v>
                </c:pt>
                <c:pt idx="122">
                  <c:v>805770.13383127539</c:v>
                </c:pt>
                <c:pt idx="123">
                  <c:v>811742.20512846508</c:v>
                </c:pt>
                <c:pt idx="124">
                  <c:v>817702.54233355913</c:v>
                </c:pt>
                <c:pt idx="125">
                  <c:v>823651.07699768711</c:v>
                </c:pt>
                <c:pt idx="126">
                  <c:v>829587.74027269322</c:v>
                </c:pt>
                <c:pt idx="127">
                  <c:v>835512.46290880768</c:v>
                </c:pt>
                <c:pt idx="128">
                  <c:v>841425.1752523036</c:v>
                </c:pt>
                <c:pt idx="129">
                  <c:v>847325.80724314065</c:v>
                </c:pt>
                <c:pt idx="130">
                  <c:v>853214.28841259505</c:v>
                </c:pt>
                <c:pt idx="131">
                  <c:v>859090.54788087541</c:v>
                </c:pt>
                <c:pt idx="132">
                  <c:v>864954.5143547249</c:v>
                </c:pt>
                <c:pt idx="133">
                  <c:v>870806.11612500926</c:v>
                </c:pt>
                <c:pt idx="134">
                  <c:v>876645.28106429114</c:v>
                </c:pt>
                <c:pt idx="135">
                  <c:v>882471.93662438961</c:v>
                </c:pt>
                <c:pt idx="136">
                  <c:v>888286.0098339261</c:v>
                </c:pt>
                <c:pt idx="137">
                  <c:v>894087.4272958556</c:v>
                </c:pt>
                <c:pt idx="138">
                  <c:v>899876.11518498382</c:v>
                </c:pt>
                <c:pt idx="139">
                  <c:v>905651.99924546946</c:v>
                </c:pt>
                <c:pt idx="140">
                  <c:v>911415.00478831201</c:v>
                </c:pt>
                <c:pt idx="141">
                  <c:v>917165.05668882525</c:v>
                </c:pt>
                <c:pt idx="142">
                  <c:v>922902.07938409562</c:v>
                </c:pt>
                <c:pt idx="143">
                  <c:v>928625.99687042588</c:v>
                </c:pt>
                <c:pt idx="144">
                  <c:v>934336.73270076385</c:v>
                </c:pt>
                <c:pt idx="145">
                  <c:v>940034.20998211624</c:v>
                </c:pt>
                <c:pt idx="146">
                  <c:v>945718.35137294733</c:v>
                </c:pt>
                <c:pt idx="147">
                  <c:v>951389.07908056246</c:v>
                </c:pt>
                <c:pt idx="148">
                  <c:v>957046.31485847605</c:v>
                </c:pt>
                <c:pt idx="149">
                  <c:v>962689.98000376497</c:v>
                </c:pt>
                <c:pt idx="150">
                  <c:v>968319.99535440549</c:v>
                </c:pt>
                <c:pt idx="151">
                  <c:v>973936.28128659551</c:v>
                </c:pt>
                <c:pt idx="152">
                  <c:v>979538.75771206082</c:v>
                </c:pt>
                <c:pt idx="153">
                  <c:v>985127.34407534543</c:v>
                </c:pt>
                <c:pt idx="154">
                  <c:v>990701.95935108664</c:v>
                </c:pt>
                <c:pt idx="155">
                  <c:v>996262.52204127389</c:v>
                </c:pt>
                <c:pt idx="156">
                  <c:v>1001808.9501724913</c:v>
                </c:pt>
                <c:pt idx="157">
                  <c:v>1007341.1612931449</c:v>
                </c:pt>
                <c:pt idx="158">
                  <c:v>1012859.0724706731</c:v>
                </c:pt>
                <c:pt idx="159">
                  <c:v>1018362.6002887411</c:v>
                </c:pt>
                <c:pt idx="160">
                  <c:v>1023851.6608444186</c:v>
                </c:pt>
                <c:pt idx="161">
                  <c:v>1029326.1697453416</c:v>
                </c:pt>
                <c:pt idx="162">
                  <c:v>1034786.0421068575</c:v>
                </c:pt>
                <c:pt idx="163">
                  <c:v>1040231.192549153</c:v>
                </c:pt>
                <c:pt idx="164">
                  <c:v>1045661.535194366</c:v>
                </c:pt>
                <c:pt idx="165">
                  <c:v>1051076.9836636803</c:v>
                </c:pt>
                <c:pt idx="166">
                  <c:v>1056477.451074403</c:v>
                </c:pt>
                <c:pt idx="167">
                  <c:v>1061862.8500370258</c:v>
                </c:pt>
                <c:pt idx="168">
                  <c:v>1067233.0926522678</c:v>
                </c:pt>
                <c:pt idx="169">
                  <c:v>1072588.0905081029</c:v>
                </c:pt>
                <c:pt idx="170">
                  <c:v>1077927.7546767679</c:v>
                </c:pt>
                <c:pt idx="171">
                  <c:v>1083251.9957117543</c:v>
                </c:pt>
                <c:pt idx="172">
                  <c:v>1088560.7236447821</c:v>
                </c:pt>
                <c:pt idx="173">
                  <c:v>1093853.8479827568</c:v>
                </c:pt>
                <c:pt idx="174">
                  <c:v>1099131.2777047071</c:v>
                </c:pt>
                <c:pt idx="175">
                  <c:v>1104392.9212587064</c:v>
                </c:pt>
                <c:pt idx="176">
                  <c:v>1109638.6865587747</c:v>
                </c:pt>
                <c:pt idx="177">
                  <c:v>1114868.4809817642</c:v>
                </c:pt>
                <c:pt idx="178">
                  <c:v>1120082.2113642253</c:v>
                </c:pt>
                <c:pt idx="179">
                  <c:v>1125279.7839992547</c:v>
                </c:pt>
                <c:pt idx="180">
                  <c:v>1130461.1046333259</c:v>
                </c:pt>
                <c:pt idx="181">
                  <c:v>1135626.0784631001</c:v>
                </c:pt>
                <c:pt idx="182">
                  <c:v>1140774.6101322188</c:v>
                </c:pt>
                <c:pt idx="183">
                  <c:v>1145906.6037280781</c:v>
                </c:pt>
                <c:pt idx="184">
                  <c:v>1151021.9627785841</c:v>
                </c:pt>
                <c:pt idx="185">
                  <c:v>1156120.5902488888</c:v>
                </c:pt>
                <c:pt idx="186">
                  <c:v>1161202.3885381077</c:v>
                </c:pt>
                <c:pt idx="187">
                  <c:v>1166267.2594760179</c:v>
                </c:pt>
                <c:pt idx="188">
                  <c:v>1171315.1043197366</c:v>
                </c:pt>
                <c:pt idx="189">
                  <c:v>1176345.8237503811</c:v>
                </c:pt>
                <c:pt idx="190">
                  <c:v>1181359.3178697086</c:v>
                </c:pt>
                <c:pt idx="191">
                  <c:v>1186355.4861967363</c:v>
                </c:pt>
                <c:pt idx="192">
                  <c:v>1191334.2276643424</c:v>
                </c:pt>
                <c:pt idx="193">
                  <c:v>1196295.440615847</c:v>
                </c:pt>
                <c:pt idx="194">
                  <c:v>1201239.0228015729</c:v>
                </c:pt>
                <c:pt idx="195">
                  <c:v>1206164.8713753864</c:v>
                </c:pt>
                <c:pt idx="196">
                  <c:v>1211072.8828912177</c:v>
                </c:pt>
                <c:pt idx="197">
                  <c:v>1215962.9532995622</c:v>
                </c:pt>
                <c:pt idx="198">
                  <c:v>1220834.9779439594</c:v>
                </c:pt>
                <c:pt idx="199">
                  <c:v>1225688.8515574532</c:v>
                </c:pt>
                <c:pt idx="200">
                  <c:v>1230524.4682590298</c:v>
                </c:pt>
                <c:pt idx="201">
                  <c:v>1235341.7215500365</c:v>
                </c:pt>
                <c:pt idx="202">
                  <c:v>1240140.5043105781</c:v>
                </c:pt>
                <c:pt idx="203">
                  <c:v>1244920.7087958937</c:v>
                </c:pt>
                <c:pt idx="204">
                  <c:v>1249682.226632711</c:v>
                </c:pt>
                <c:pt idx="205">
                  <c:v>1254424.9488155805</c:v>
                </c:pt>
                <c:pt idx="206">
                  <c:v>1259148.7657031876</c:v>
                </c:pt>
                <c:pt idx="207">
                  <c:v>1263853.5670146432</c:v>
                </c:pt>
                <c:pt idx="208">
                  <c:v>1268539.2418257531</c:v>
                </c:pt>
                <c:pt idx="209">
                  <c:v>1273205.6785652651</c:v>
                </c:pt>
                <c:pt idx="210">
                  <c:v>1277852.7650110952</c:v>
                </c:pt>
                <c:pt idx="211">
                  <c:v>1282480.38828653</c:v>
                </c:pt>
                <c:pt idx="212">
                  <c:v>1287088.434856409</c:v>
                </c:pt>
                <c:pt idx="213">
                  <c:v>1291676.7905232832</c:v>
                </c:pt>
                <c:pt idx="214">
                  <c:v>1296245.3404235516</c:v>
                </c:pt>
                <c:pt idx="215">
                  <c:v>1300793.9690235755</c:v>
                </c:pt>
                <c:pt idx="216">
                  <c:v>1305322.5601157704</c:v>
                </c:pt>
                <c:pt idx="217">
                  <c:v>1309830.996814674</c:v>
                </c:pt>
                <c:pt idx="218">
                  <c:v>1314319.161552992</c:v>
                </c:pt>
                <c:pt idx="219">
                  <c:v>1318786.9360776208</c:v>
                </c:pt>
                <c:pt idx="220">
                  <c:v>1323234.2014456475</c:v>
                </c:pt>
                <c:pt idx="221">
                  <c:v>1327660.8380203252</c:v>
                </c:pt>
                <c:pt idx="222">
                  <c:v>1332066.725467026</c:v>
                </c:pt>
                <c:pt idx="223">
                  <c:v>1336451.7427491699</c:v>
                </c:pt>
                <c:pt idx="224">
                  <c:v>1340815.7681241306</c:v>
                </c:pt>
                <c:pt idx="225">
                  <c:v>1345158.6791391158</c:v>
                </c:pt>
                <c:pt idx="226">
                  <c:v>1349480.3526270259</c:v>
                </c:pt>
                <c:pt idx="227">
                  <c:v>1353780.6647022862</c:v>
                </c:pt>
                <c:pt idx="228">
                  <c:v>1358059.4907566565</c:v>
                </c:pt>
                <c:pt idx="229">
                  <c:v>1362316.7054550147</c:v>
                </c:pt>
                <c:pt idx="230">
                  <c:v>1366552.1827311174</c:v>
                </c:pt>
                <c:pt idx="231">
                  <c:v>1370765.7957833349</c:v>
                </c:pt>
                <c:pt idx="232">
                  <c:v>1374957.4170703611</c:v>
                </c:pt>
                <c:pt idx="233">
                  <c:v>1379126.918306899</c:v>
                </c:pt>
                <c:pt idx="234">
                  <c:v>1383274.170459321</c:v>
                </c:pt>
                <c:pt idx="235">
                  <c:v>1387399.0437413028</c:v>
                </c:pt>
                <c:pt idx="236">
                  <c:v>1391501.4076094336</c:v>
                </c:pt>
                <c:pt idx="237">
                  <c:v>1395581.1307587994</c:v>
                </c:pt>
                <c:pt idx="238">
                  <c:v>1399638.0811185406</c:v>
                </c:pt>
                <c:pt idx="239">
                  <c:v>1403672.1258473843</c:v>
                </c:pt>
                <c:pt idx="240">
                  <c:v>1407683.1313291504</c:v>
                </c:pt>
                <c:pt idx="241">
                  <c:v>1411670.9631682311</c:v>
                </c:pt>
                <c:pt idx="242">
                  <c:v>1415635.4861850438</c:v>
                </c:pt>
                <c:pt idx="243">
                  <c:v>1419576.5644114586</c:v>
                </c:pt>
                <c:pt idx="244">
                  <c:v>1423494.0610861983</c:v>
                </c:pt>
                <c:pt idx="245">
                  <c:v>1427387.8386502115</c:v>
                </c:pt>
                <c:pt idx="246">
                  <c:v>1431257.7587420188</c:v>
                </c:pt>
                <c:pt idx="247">
                  <c:v>1435103.6821930325</c:v>
                </c:pt>
                <c:pt idx="248">
                  <c:v>1438925.4690228479</c:v>
                </c:pt>
                <c:pt idx="249">
                  <c:v>1442722.978434508</c:v>
                </c:pt>
                <c:pt idx="250">
                  <c:v>1446496.0688097402</c:v>
                </c:pt>
                <c:pt idx="251">
                  <c:v>1450244.5977041654</c:v>
                </c:pt>
                <c:pt idx="252">
                  <c:v>1453968.4218424789</c:v>
                </c:pt>
                <c:pt idx="253">
                  <c:v>1457667.3971136033</c:v>
                </c:pt>
                <c:pt idx="254">
                  <c:v>1461341.3785658134</c:v>
                </c:pt>
                <c:pt idx="255">
                  <c:v>1464990.2204018321</c:v>
                </c:pt>
                <c:pt idx="256">
                  <c:v>1468613.7759738986</c:v>
                </c:pt>
                <c:pt idx="257">
                  <c:v>1472211.8977788063</c:v>
                </c:pt>
                <c:pt idx="258">
                  <c:v>1475784.4374529133</c:v>
                </c:pt>
                <c:pt idx="259">
                  <c:v>1479331.2457671233</c:v>
                </c:pt>
                <c:pt idx="260">
                  <c:v>1482852.1726218371</c:v>
                </c:pt>
                <c:pt idx="261">
                  <c:v>1486347.0670418742</c:v>
                </c:pt>
                <c:pt idx="262">
                  <c:v>1489815.7771713655</c:v>
                </c:pt>
                <c:pt idx="263">
                  <c:v>1493258.1502686164</c:v>
                </c:pt>
                <c:pt idx="264">
                  <c:v>1496674.0327009386</c:v>
                </c:pt>
                <c:pt idx="265">
                  <c:v>1500063.2699394536</c:v>
                </c:pt>
                <c:pt idx="266">
                  <c:v>1503425.7065538641</c:v>
                </c:pt>
                <c:pt idx="267">
                  <c:v>1506761.186207196</c:v>
                </c:pt>
                <c:pt idx="268">
                  <c:v>1510069.5516505097</c:v>
                </c:pt>
                <c:pt idx="269">
                  <c:v>1513350.6447175804</c:v>
                </c:pt>
                <c:pt idx="270">
                  <c:v>1516604.3063195464</c:v>
                </c:pt>
                <c:pt idx="271">
                  <c:v>1519830.3764395281</c:v>
                </c:pt>
                <c:pt idx="272">
                  <c:v>1523028.6941272137</c:v>
                </c:pt>
                <c:pt idx="273">
                  <c:v>1526199.097493415</c:v>
                </c:pt>
                <c:pt idx="274">
                  <c:v>1529341.4237045899</c:v>
                </c:pt>
                <c:pt idx="275">
                  <c:v>1532455.508977334</c:v>
                </c:pt>
                <c:pt idx="276">
                  <c:v>1535541.1885728401</c:v>
                </c:pt>
                <c:pt idx="277">
                  <c:v>1538598.2967913239</c:v>
                </c:pt>
                <c:pt idx="278">
                  <c:v>1541626.6669664197</c:v>
                </c:pt>
                <c:pt idx="279">
                  <c:v>1544626.1314595409</c:v>
                </c:pt>
                <c:pt idx="280">
                  <c:v>1547596.5216542096</c:v>
                </c:pt>
                <c:pt idx="281">
                  <c:v>1550537.6679503513</c:v>
                </c:pt>
                <c:pt idx="282">
                  <c:v>1553449.399758558</c:v>
                </c:pt>
                <c:pt idx="283">
                  <c:v>1556331.5454943166</c:v>
                </c:pt>
                <c:pt idx="284">
                  <c:v>1559183.9325722046</c:v>
                </c:pt>
                <c:pt idx="285">
                  <c:v>1562006.3874000511</c:v>
                </c:pt>
                <c:pt idx="286">
                  <c:v>1564798.7353730642</c:v>
                </c:pt>
                <c:pt idx="287">
                  <c:v>1567560.800867924</c:v>
                </c:pt>
                <c:pt idx="288">
                  <c:v>1570292.4072368413</c:v>
                </c:pt>
                <c:pt idx="289">
                  <c:v>1572993.3768015814</c:v>
                </c:pt>
                <c:pt idx="290">
                  <c:v>1575663.5308474533</c:v>
                </c:pt>
                <c:pt idx="291">
                  <c:v>1578302.6896172634</c:v>
                </c:pt>
                <c:pt idx="292">
                  <c:v>1580910.6723052349</c:v>
                </c:pt>
                <c:pt idx="293">
                  <c:v>1583487.2970508905</c:v>
                </c:pt>
                <c:pt idx="294">
                  <c:v>1586032.3809328999</c:v>
                </c:pt>
                <c:pt idx="295">
                  <c:v>1588545.7399628917</c:v>
                </c:pt>
                <c:pt idx="296">
                  <c:v>1591027.1890792293</c:v>
                </c:pt>
                <c:pt idx="297">
                  <c:v>1593476.5421407495</c:v>
                </c:pt>
                <c:pt idx="298">
                  <c:v>1595893.6119204662</c:v>
                </c:pt>
                <c:pt idx="299">
                  <c:v>1598278.2100992352</c:v>
                </c:pt>
                <c:pt idx="300">
                  <c:v>1600630.1472593846</c:v>
                </c:pt>
                <c:pt idx="301">
                  <c:v>1602949.2328783057</c:v>
                </c:pt>
                <c:pt idx="302">
                  <c:v>1605235.2753220079</c:v>
                </c:pt>
                <c:pt idx="303">
                  <c:v>1607488.081838636</c:v>
                </c:pt>
                <c:pt idx="304">
                  <c:v>1609707.4585519484</c:v>
                </c:pt>
                <c:pt idx="305">
                  <c:v>1611893.2104547592</c:v>
                </c:pt>
                <c:pt idx="306">
                  <c:v>1614045.1414023405</c:v>
                </c:pt>
                <c:pt idx="307">
                  <c:v>1616163.0541057868</c:v>
                </c:pt>
                <c:pt idx="308">
                  <c:v>1618246.7501253407</c:v>
                </c:pt>
                <c:pt idx="309">
                  <c:v>1620296.0298636793</c:v>
                </c:pt>
                <c:pt idx="310">
                  <c:v>1622310.6925591626</c:v>
                </c:pt>
                <c:pt idx="311">
                  <c:v>1624290.5362790402</c:v>
                </c:pt>
                <c:pt idx="312">
                  <c:v>1626235.3579126212</c:v>
                </c:pt>
                <c:pt idx="313">
                  <c:v>1628144.9531644024</c:v>
                </c:pt>
                <c:pt idx="314">
                  <c:v>1630019.1165471564</c:v>
                </c:pt>
                <c:pt idx="315">
                  <c:v>1631857.6413749806</c:v>
                </c:pt>
                <c:pt idx="316">
                  <c:v>1633660.3197563044</c:v>
                </c:pt>
                <c:pt idx="317">
                  <c:v>1635426.9425868567</c:v>
                </c:pt>
                <c:pt idx="318">
                  <c:v>1637157.2995425914</c:v>
                </c:pt>
                <c:pt idx="319">
                  <c:v>1638851.1790725722</c:v>
                </c:pt>
                <c:pt idx="320">
                  <c:v>1640508.3683918151</c:v>
                </c:pt>
                <c:pt idx="321">
                  <c:v>1642128.6534740911</c:v>
                </c:pt>
                <c:pt idx="322">
                  <c:v>1643711.8190446845</c:v>
                </c:pt>
                <c:pt idx="323">
                  <c:v>1645257.6485731106</c:v>
                </c:pt>
                <c:pt idx="324">
                  <c:v>1646765.9242657898</c:v>
                </c:pt>
                <c:pt idx="325">
                  <c:v>1648236.4270586804</c:v>
                </c:pt>
                <c:pt idx="326">
                  <c:v>1649668.936609867</c:v>
                </c:pt>
                <c:pt idx="327">
                  <c:v>1651063.2312921064</c:v>
                </c:pt>
                <c:pt idx="328">
                  <c:v>1652419.0881853297</c:v>
                </c:pt>
                <c:pt idx="329">
                  <c:v>1653736.2830691009</c:v>
                </c:pt>
                <c:pt idx="330">
                  <c:v>1655014.5904150316</c:v>
                </c:pt>
                <c:pt idx="331">
                  <c:v>1656253.783379151</c:v>
                </c:pt>
                <c:pt idx="332">
                  <c:v>1657453.6337942318</c:v>
                </c:pt>
                <c:pt idx="333">
                  <c:v>1658613.9121620713</c:v>
                </c:pt>
                <c:pt idx="334">
                  <c:v>1659734.3876457275</c:v>
                </c:pt>
                <c:pt idx="335">
                  <c:v>1660814.8280617092</c:v>
                </c:pt>
                <c:pt idx="336">
                  <c:v>1661854.9998721215</c:v>
                </c:pt>
                <c:pt idx="337">
                  <c:v>1662854.6681767653</c:v>
                </c:pt>
                <c:pt idx="338">
                  <c:v>1663813.5967051904</c:v>
                </c:pt>
                <c:pt idx="339">
                  <c:v>1664731.5478087019</c:v>
                </c:pt>
                <c:pt idx="340">
                  <c:v>1665608.2824523214</c:v>
                </c:pt>
                <c:pt idx="341">
                  <c:v>1666443.5602066994</c:v>
                </c:pt>
                <c:pt idx="342">
                  <c:v>1667237.1392399822</c:v>
                </c:pt>
                <c:pt idx="343">
                  <c:v>1667988.7763096299</c:v>
                </c:pt>
                <c:pt idx="344">
                  <c:v>1668698.2267541881</c:v>
                </c:pt>
                <c:pt idx="345">
                  <c:v>1669365.2444850102</c:v>
                </c:pt>
                <c:pt idx="346">
                  <c:v>1669989.5819779329</c:v>
                </c:pt>
                <c:pt idx="347">
                  <c:v>1670570.9902649019</c:v>
                </c:pt>
                <c:pt idx="348">
                  <c:v>1671109.218925549</c:v>
                </c:pt>
                <c:pt idx="349">
                  <c:v>1671604.0160787206</c:v>
                </c:pt>
                <c:pt idx="350">
                  <c:v>1672055.1283739565</c:v>
                </c:pt>
                <c:pt idx="351">
                  <c:v>1672462.3009829188</c:v>
                </c:pt>
                <c:pt idx="352">
                  <c:v>1672825.2775907707</c:v>
                </c:pt>
                <c:pt idx="353">
                  <c:v>1673143.8003875059</c:v>
                </c:pt>
                <c:pt idx="354">
                  <c:v>1673417.6100592262</c:v>
                </c:pt>
                <c:pt idx="355">
                  <c:v>1673646.445779369</c:v>
                </c:pt>
                <c:pt idx="356">
                  <c:v>1673830.0451998834</c:v>
                </c:pt>
                <c:pt idx="357">
                  <c:v>1673968.144442355</c:v>
                </c:pt>
                <c:pt idx="358">
                  <c:v>1674060.4780890783</c:v>
                </c:pt>
                <c:pt idx="359">
                  <c:v>1674106.7791740785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D8-47A1-86B2-7FAF9464C61D}"/>
            </c:ext>
          </c:extLst>
        </c:ser>
        <c:ser>
          <c:idx val="5"/>
          <c:order val="5"/>
          <c:tx>
            <c:strRef>
              <c:f>'McRae Road Amorization'!$L$5</c:f>
              <c:strCache>
                <c:ptCount val="1"/>
                <c:pt idx="0">
                  <c:v>Total Paid End of Loan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'McRae Road Amorization'!$A$6:$A$365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'McRae Road Amorization'!$L$6:$L$365</c:f>
              <c:numCache>
                <c:formatCode>"$"#,##0.00_);[Red]\("$"#,##0.00\)</c:formatCode>
                <c:ptCount val="360"/>
                <c:pt idx="0">
                  <c:v>7983.6299421501908</c:v>
                </c:pt>
                <c:pt idx="1">
                  <c:v>15967.259884300382</c:v>
                </c:pt>
                <c:pt idx="2">
                  <c:v>23950.88982645057</c:v>
                </c:pt>
                <c:pt idx="3">
                  <c:v>31934.519768600763</c:v>
                </c:pt>
                <c:pt idx="4">
                  <c:v>39918.149710750949</c:v>
                </c:pt>
                <c:pt idx="5">
                  <c:v>47901.779652901139</c:v>
                </c:pt>
                <c:pt idx="6">
                  <c:v>55885.409595051329</c:v>
                </c:pt>
                <c:pt idx="7">
                  <c:v>63869.039537201519</c:v>
                </c:pt>
                <c:pt idx="8">
                  <c:v>71852.669479351709</c:v>
                </c:pt>
                <c:pt idx="9">
                  <c:v>79836.299421501899</c:v>
                </c:pt>
                <c:pt idx="10">
                  <c:v>87819.929363652103</c:v>
                </c:pt>
                <c:pt idx="11">
                  <c:v>95803.559305802279</c:v>
                </c:pt>
                <c:pt idx="12">
                  <c:v>103787.18924795247</c:v>
                </c:pt>
                <c:pt idx="13">
                  <c:v>111770.81919010267</c:v>
                </c:pt>
                <c:pt idx="14">
                  <c:v>119754.44913225286</c:v>
                </c:pt>
                <c:pt idx="15">
                  <c:v>127738.07907440305</c:v>
                </c:pt>
                <c:pt idx="16">
                  <c:v>135721.70901655324</c:v>
                </c:pt>
                <c:pt idx="17">
                  <c:v>143705.33895870345</c:v>
                </c:pt>
                <c:pt idx="18">
                  <c:v>151688.96890085362</c:v>
                </c:pt>
                <c:pt idx="19">
                  <c:v>159672.5988430038</c:v>
                </c:pt>
                <c:pt idx="20">
                  <c:v>167656.228785154</c:v>
                </c:pt>
                <c:pt idx="21">
                  <c:v>175639.85872730421</c:v>
                </c:pt>
                <c:pt idx="22">
                  <c:v>183623.48866945438</c:v>
                </c:pt>
                <c:pt idx="23">
                  <c:v>191607.11861160456</c:v>
                </c:pt>
                <c:pt idx="24">
                  <c:v>199590.74855375476</c:v>
                </c:pt>
                <c:pt idx="25">
                  <c:v>207574.37849590494</c:v>
                </c:pt>
                <c:pt idx="26">
                  <c:v>215558.00843805511</c:v>
                </c:pt>
                <c:pt idx="27">
                  <c:v>223541.63838020532</c:v>
                </c:pt>
                <c:pt idx="28">
                  <c:v>231525.26832235549</c:v>
                </c:pt>
                <c:pt idx="29">
                  <c:v>239508.8982645057</c:v>
                </c:pt>
                <c:pt idx="30">
                  <c:v>247492.52820665587</c:v>
                </c:pt>
                <c:pt idx="31">
                  <c:v>255476.15814880608</c:v>
                </c:pt>
                <c:pt idx="32">
                  <c:v>263459.78809095628</c:v>
                </c:pt>
                <c:pt idx="33">
                  <c:v>271443.41803310649</c:v>
                </c:pt>
                <c:pt idx="34">
                  <c:v>279427.04797525663</c:v>
                </c:pt>
                <c:pt idx="35">
                  <c:v>287410.67791740684</c:v>
                </c:pt>
                <c:pt idx="36">
                  <c:v>295394.30785955704</c:v>
                </c:pt>
                <c:pt idx="37">
                  <c:v>303377.93780170724</c:v>
                </c:pt>
                <c:pt idx="38">
                  <c:v>311361.56774385745</c:v>
                </c:pt>
                <c:pt idx="39">
                  <c:v>319345.1976860076</c:v>
                </c:pt>
                <c:pt idx="40">
                  <c:v>327328.8276281578</c:v>
                </c:pt>
                <c:pt idx="41">
                  <c:v>335312.457570308</c:v>
                </c:pt>
                <c:pt idx="42">
                  <c:v>343296.08751245821</c:v>
                </c:pt>
                <c:pt idx="43">
                  <c:v>351279.71745460841</c:v>
                </c:pt>
                <c:pt idx="44">
                  <c:v>359263.34739675862</c:v>
                </c:pt>
                <c:pt idx="45">
                  <c:v>367246.97733890882</c:v>
                </c:pt>
                <c:pt idx="46">
                  <c:v>375230.60728105903</c:v>
                </c:pt>
                <c:pt idx="47">
                  <c:v>383214.23722320923</c:v>
                </c:pt>
                <c:pt idx="48">
                  <c:v>391197.86716535944</c:v>
                </c:pt>
                <c:pt idx="49">
                  <c:v>399181.49710750964</c:v>
                </c:pt>
                <c:pt idx="50">
                  <c:v>407165.12704965984</c:v>
                </c:pt>
                <c:pt idx="51">
                  <c:v>415148.75699181005</c:v>
                </c:pt>
                <c:pt idx="52">
                  <c:v>423132.38693396025</c:v>
                </c:pt>
                <c:pt idx="53">
                  <c:v>431116.01687611046</c:v>
                </c:pt>
                <c:pt idx="54">
                  <c:v>439099.6468182606</c:v>
                </c:pt>
                <c:pt idx="55">
                  <c:v>447083.27676041081</c:v>
                </c:pt>
                <c:pt idx="56">
                  <c:v>455066.90670256101</c:v>
                </c:pt>
                <c:pt idx="57">
                  <c:v>463050.53664471122</c:v>
                </c:pt>
                <c:pt idx="58">
                  <c:v>471034.16658686142</c:v>
                </c:pt>
                <c:pt idx="59">
                  <c:v>479017.79652901163</c:v>
                </c:pt>
                <c:pt idx="60">
                  <c:v>487001.42647116177</c:v>
                </c:pt>
                <c:pt idx="61">
                  <c:v>494985.05641331198</c:v>
                </c:pt>
                <c:pt idx="62">
                  <c:v>502968.68635546218</c:v>
                </c:pt>
                <c:pt idx="63">
                  <c:v>510952.31629761239</c:v>
                </c:pt>
                <c:pt idx="64">
                  <c:v>518935.94623976253</c:v>
                </c:pt>
                <c:pt idx="65">
                  <c:v>526919.57618191279</c:v>
                </c:pt>
                <c:pt idx="66">
                  <c:v>534903.20612406288</c:v>
                </c:pt>
                <c:pt idx="67">
                  <c:v>542886.8360662132</c:v>
                </c:pt>
                <c:pt idx="68">
                  <c:v>550870.46600836341</c:v>
                </c:pt>
                <c:pt idx="69">
                  <c:v>558854.09595051361</c:v>
                </c:pt>
                <c:pt idx="70">
                  <c:v>566837.7258926637</c:v>
                </c:pt>
                <c:pt idx="71">
                  <c:v>574821.3558348139</c:v>
                </c:pt>
                <c:pt idx="72">
                  <c:v>582804.98577696411</c:v>
                </c:pt>
                <c:pt idx="73">
                  <c:v>590788.61571911431</c:v>
                </c:pt>
                <c:pt idx="74">
                  <c:v>598772.24566126452</c:v>
                </c:pt>
                <c:pt idx="75">
                  <c:v>606755.87560341472</c:v>
                </c:pt>
                <c:pt idx="76">
                  <c:v>614739.50554556493</c:v>
                </c:pt>
                <c:pt idx="77">
                  <c:v>622723.13548771513</c:v>
                </c:pt>
                <c:pt idx="78">
                  <c:v>630706.76542986522</c:v>
                </c:pt>
                <c:pt idx="79">
                  <c:v>638690.39537201542</c:v>
                </c:pt>
                <c:pt idx="80">
                  <c:v>646674.02531416563</c:v>
                </c:pt>
                <c:pt idx="81">
                  <c:v>654657.65525631583</c:v>
                </c:pt>
                <c:pt idx="82">
                  <c:v>662641.28519846592</c:v>
                </c:pt>
                <c:pt idx="83">
                  <c:v>670624.91514061613</c:v>
                </c:pt>
                <c:pt idx="84">
                  <c:v>678608.54508276633</c:v>
                </c:pt>
                <c:pt idx="85">
                  <c:v>686592.17502491642</c:v>
                </c:pt>
                <c:pt idx="86">
                  <c:v>694575.80496706662</c:v>
                </c:pt>
                <c:pt idx="87">
                  <c:v>702559.43490921671</c:v>
                </c:pt>
                <c:pt idx="88">
                  <c:v>710543.06485136691</c:v>
                </c:pt>
                <c:pt idx="89">
                  <c:v>718526.694793517</c:v>
                </c:pt>
                <c:pt idx="90">
                  <c:v>726510.32473566721</c:v>
                </c:pt>
                <c:pt idx="91">
                  <c:v>734493.95467781741</c:v>
                </c:pt>
                <c:pt idx="92">
                  <c:v>742477.58461996762</c:v>
                </c:pt>
                <c:pt idx="93">
                  <c:v>750461.21456211782</c:v>
                </c:pt>
                <c:pt idx="94">
                  <c:v>758444.84450426803</c:v>
                </c:pt>
                <c:pt idx="95">
                  <c:v>766428.47444641811</c:v>
                </c:pt>
                <c:pt idx="96">
                  <c:v>774412.10438856832</c:v>
                </c:pt>
                <c:pt idx="97">
                  <c:v>782395.73433071852</c:v>
                </c:pt>
                <c:pt idx="98">
                  <c:v>790379.36427286873</c:v>
                </c:pt>
                <c:pt idx="99">
                  <c:v>798362.99421501905</c:v>
                </c:pt>
                <c:pt idx="100">
                  <c:v>806346.62415716914</c:v>
                </c:pt>
                <c:pt idx="101">
                  <c:v>814330.25409931934</c:v>
                </c:pt>
                <c:pt idx="102">
                  <c:v>822313.88404146943</c:v>
                </c:pt>
                <c:pt idx="103">
                  <c:v>830297.51398361963</c:v>
                </c:pt>
                <c:pt idx="104">
                  <c:v>838281.14392576984</c:v>
                </c:pt>
                <c:pt idx="105">
                  <c:v>846264.77386791992</c:v>
                </c:pt>
                <c:pt idx="106">
                  <c:v>854248.40381007013</c:v>
                </c:pt>
                <c:pt idx="107">
                  <c:v>862232.03375222033</c:v>
                </c:pt>
                <c:pt idx="108">
                  <c:v>870215.66369437054</c:v>
                </c:pt>
                <c:pt idx="109">
                  <c:v>878199.29363652063</c:v>
                </c:pt>
                <c:pt idx="110">
                  <c:v>886182.92357867095</c:v>
                </c:pt>
                <c:pt idx="111">
                  <c:v>894166.55352082103</c:v>
                </c:pt>
                <c:pt idx="112">
                  <c:v>902150.18346297124</c:v>
                </c:pt>
                <c:pt idx="113">
                  <c:v>910133.81340512144</c:v>
                </c:pt>
                <c:pt idx="114">
                  <c:v>918117.44334727176</c:v>
                </c:pt>
                <c:pt idx="115">
                  <c:v>926101.07328942185</c:v>
                </c:pt>
                <c:pt idx="116">
                  <c:v>934084.70323157206</c:v>
                </c:pt>
                <c:pt idx="117">
                  <c:v>942068.33317372226</c:v>
                </c:pt>
                <c:pt idx="118">
                  <c:v>950051.96311587247</c:v>
                </c:pt>
                <c:pt idx="119">
                  <c:v>958035.59305802267</c:v>
                </c:pt>
                <c:pt idx="120">
                  <c:v>966019.22300017287</c:v>
                </c:pt>
                <c:pt idx="121">
                  <c:v>974002.85294232308</c:v>
                </c:pt>
                <c:pt idx="122">
                  <c:v>981986.48288447328</c:v>
                </c:pt>
                <c:pt idx="123">
                  <c:v>989970.11282662349</c:v>
                </c:pt>
                <c:pt idx="124">
                  <c:v>997953.74276877358</c:v>
                </c:pt>
                <c:pt idx="125">
                  <c:v>1005937.3727109239</c:v>
                </c:pt>
                <c:pt idx="126">
                  <c:v>1013921.0026530741</c:v>
                </c:pt>
                <c:pt idx="127">
                  <c:v>1021904.6325952243</c:v>
                </c:pt>
                <c:pt idx="128">
                  <c:v>1029888.2625373745</c:v>
                </c:pt>
                <c:pt idx="129">
                  <c:v>1037871.8924795246</c:v>
                </c:pt>
                <c:pt idx="130">
                  <c:v>1045855.5224216748</c:v>
                </c:pt>
                <c:pt idx="131">
                  <c:v>1053839.1523638249</c:v>
                </c:pt>
                <c:pt idx="132">
                  <c:v>1061822.7823059752</c:v>
                </c:pt>
                <c:pt idx="133">
                  <c:v>1069806.4122481253</c:v>
                </c:pt>
                <c:pt idx="134">
                  <c:v>1077790.0421902756</c:v>
                </c:pt>
                <c:pt idx="135">
                  <c:v>1085773.6721324259</c:v>
                </c:pt>
                <c:pt idx="136">
                  <c:v>1093757.302074576</c:v>
                </c:pt>
                <c:pt idx="137">
                  <c:v>1101740.9320167261</c:v>
                </c:pt>
                <c:pt idx="138">
                  <c:v>1109724.5619588764</c:v>
                </c:pt>
                <c:pt idx="139">
                  <c:v>1117708.1919010265</c:v>
                </c:pt>
                <c:pt idx="140">
                  <c:v>1125691.8218431766</c:v>
                </c:pt>
                <c:pt idx="141">
                  <c:v>1133675.4517853269</c:v>
                </c:pt>
                <c:pt idx="142">
                  <c:v>1141659.081727477</c:v>
                </c:pt>
                <c:pt idx="143">
                  <c:v>1149642.7116696271</c:v>
                </c:pt>
                <c:pt idx="144">
                  <c:v>1157626.3416117774</c:v>
                </c:pt>
                <c:pt idx="145">
                  <c:v>1165609.9715539275</c:v>
                </c:pt>
                <c:pt idx="146">
                  <c:v>1173593.6014960776</c:v>
                </c:pt>
                <c:pt idx="147">
                  <c:v>1181577.2314382279</c:v>
                </c:pt>
                <c:pt idx="148">
                  <c:v>1189560.861380378</c:v>
                </c:pt>
                <c:pt idx="149">
                  <c:v>1197544.4913225283</c:v>
                </c:pt>
                <c:pt idx="150">
                  <c:v>1205528.1212646784</c:v>
                </c:pt>
                <c:pt idx="151">
                  <c:v>1213511.7512068287</c:v>
                </c:pt>
                <c:pt idx="152">
                  <c:v>1221495.3811489788</c:v>
                </c:pt>
                <c:pt idx="153">
                  <c:v>1229479.0110911289</c:v>
                </c:pt>
                <c:pt idx="154">
                  <c:v>1237462.6410332792</c:v>
                </c:pt>
                <c:pt idx="155">
                  <c:v>1245446.2709754293</c:v>
                </c:pt>
                <c:pt idx="156">
                  <c:v>1253429.9009175794</c:v>
                </c:pt>
                <c:pt idx="157">
                  <c:v>1261413.5308597297</c:v>
                </c:pt>
                <c:pt idx="158">
                  <c:v>1269397.1608018798</c:v>
                </c:pt>
                <c:pt idx="159">
                  <c:v>1277380.7907440299</c:v>
                </c:pt>
                <c:pt idx="160">
                  <c:v>1285364.4206861802</c:v>
                </c:pt>
                <c:pt idx="161">
                  <c:v>1293348.0506283306</c:v>
                </c:pt>
                <c:pt idx="162">
                  <c:v>1301331.6805704806</c:v>
                </c:pt>
                <c:pt idx="163">
                  <c:v>1309315.3105126307</c:v>
                </c:pt>
                <c:pt idx="164">
                  <c:v>1317298.9404547808</c:v>
                </c:pt>
                <c:pt idx="165">
                  <c:v>1325282.5703969311</c:v>
                </c:pt>
                <c:pt idx="166">
                  <c:v>1333266.2003390812</c:v>
                </c:pt>
                <c:pt idx="167">
                  <c:v>1341249.8302812316</c:v>
                </c:pt>
                <c:pt idx="168">
                  <c:v>1349233.4602233816</c:v>
                </c:pt>
                <c:pt idx="169">
                  <c:v>1357217.0901655317</c:v>
                </c:pt>
                <c:pt idx="170">
                  <c:v>1365200.720107682</c:v>
                </c:pt>
                <c:pt idx="171">
                  <c:v>1373184.3500498324</c:v>
                </c:pt>
                <c:pt idx="172">
                  <c:v>1381167.9799919822</c:v>
                </c:pt>
                <c:pt idx="173">
                  <c:v>1389151.6099341325</c:v>
                </c:pt>
                <c:pt idx="174">
                  <c:v>1397135.2398762829</c:v>
                </c:pt>
                <c:pt idx="175">
                  <c:v>1405118.8698184332</c:v>
                </c:pt>
                <c:pt idx="176">
                  <c:v>1413102.4997605833</c:v>
                </c:pt>
                <c:pt idx="177">
                  <c:v>1421086.1297027336</c:v>
                </c:pt>
                <c:pt idx="178">
                  <c:v>1429069.7596448837</c:v>
                </c:pt>
                <c:pt idx="179">
                  <c:v>1437053.389587034</c:v>
                </c:pt>
                <c:pt idx="180">
                  <c:v>1445037.0195291841</c:v>
                </c:pt>
                <c:pt idx="181">
                  <c:v>1453020.6494713342</c:v>
                </c:pt>
                <c:pt idx="182">
                  <c:v>1461004.2794134845</c:v>
                </c:pt>
                <c:pt idx="183">
                  <c:v>1468987.9093556346</c:v>
                </c:pt>
                <c:pt idx="184">
                  <c:v>1476971.5392977849</c:v>
                </c:pt>
                <c:pt idx="185">
                  <c:v>1484955.1692399352</c:v>
                </c:pt>
                <c:pt idx="186">
                  <c:v>1492938.7991820853</c:v>
                </c:pt>
                <c:pt idx="187">
                  <c:v>1500922.4291242356</c:v>
                </c:pt>
                <c:pt idx="188">
                  <c:v>1508906.0590663857</c:v>
                </c:pt>
                <c:pt idx="189">
                  <c:v>1516889.6890085358</c:v>
                </c:pt>
                <c:pt idx="190">
                  <c:v>1524873.3189506861</c:v>
                </c:pt>
                <c:pt idx="191">
                  <c:v>1532856.9488928365</c:v>
                </c:pt>
                <c:pt idx="192">
                  <c:v>1540840.5788349865</c:v>
                </c:pt>
                <c:pt idx="193">
                  <c:v>1548824.2087771369</c:v>
                </c:pt>
                <c:pt idx="194">
                  <c:v>1556807.8387192872</c:v>
                </c:pt>
                <c:pt idx="195">
                  <c:v>1564791.4686614375</c:v>
                </c:pt>
                <c:pt idx="196">
                  <c:v>1572775.0986035876</c:v>
                </c:pt>
                <c:pt idx="197">
                  <c:v>1580758.7285457379</c:v>
                </c:pt>
                <c:pt idx="198">
                  <c:v>1588742.358487888</c:v>
                </c:pt>
                <c:pt idx="199">
                  <c:v>1596725.9884300381</c:v>
                </c:pt>
                <c:pt idx="200">
                  <c:v>1604709.6183721884</c:v>
                </c:pt>
                <c:pt idx="201">
                  <c:v>1612693.2483143387</c:v>
                </c:pt>
                <c:pt idx="202">
                  <c:v>1620676.8782564888</c:v>
                </c:pt>
                <c:pt idx="203">
                  <c:v>1628660.5081986391</c:v>
                </c:pt>
                <c:pt idx="204">
                  <c:v>1636644.1381407892</c:v>
                </c:pt>
                <c:pt idx="205">
                  <c:v>1644627.7680829396</c:v>
                </c:pt>
                <c:pt idx="206">
                  <c:v>1652611.3980250896</c:v>
                </c:pt>
                <c:pt idx="207">
                  <c:v>1660595.02796724</c:v>
                </c:pt>
                <c:pt idx="208">
                  <c:v>1668578.6579093901</c:v>
                </c:pt>
                <c:pt idx="209">
                  <c:v>1676562.2878515404</c:v>
                </c:pt>
                <c:pt idx="210">
                  <c:v>1684545.9177936905</c:v>
                </c:pt>
                <c:pt idx="211">
                  <c:v>1692529.5477358405</c:v>
                </c:pt>
                <c:pt idx="212">
                  <c:v>1700513.1776779906</c:v>
                </c:pt>
                <c:pt idx="213">
                  <c:v>1708496.807620141</c:v>
                </c:pt>
                <c:pt idx="214">
                  <c:v>1716480.4375622913</c:v>
                </c:pt>
                <c:pt idx="215">
                  <c:v>1724464.0675044414</c:v>
                </c:pt>
                <c:pt idx="216">
                  <c:v>1732447.6974465917</c:v>
                </c:pt>
                <c:pt idx="217">
                  <c:v>1740431.3273887418</c:v>
                </c:pt>
                <c:pt idx="218">
                  <c:v>1748414.9573308919</c:v>
                </c:pt>
                <c:pt idx="219">
                  <c:v>1756398.5872730422</c:v>
                </c:pt>
                <c:pt idx="220">
                  <c:v>1764382.2172151923</c:v>
                </c:pt>
                <c:pt idx="221">
                  <c:v>1772365.8471573424</c:v>
                </c:pt>
                <c:pt idx="222">
                  <c:v>1780349.4770994927</c:v>
                </c:pt>
                <c:pt idx="223">
                  <c:v>1788333.107041643</c:v>
                </c:pt>
                <c:pt idx="224">
                  <c:v>1796316.7369837933</c:v>
                </c:pt>
                <c:pt idx="225">
                  <c:v>1804300.3669259434</c:v>
                </c:pt>
                <c:pt idx="226">
                  <c:v>1812283.9968680935</c:v>
                </c:pt>
                <c:pt idx="227">
                  <c:v>1820267.6268102436</c:v>
                </c:pt>
                <c:pt idx="228">
                  <c:v>1828251.2567523937</c:v>
                </c:pt>
                <c:pt idx="229">
                  <c:v>1836234.886694544</c:v>
                </c:pt>
                <c:pt idx="230">
                  <c:v>1844218.5166366941</c:v>
                </c:pt>
                <c:pt idx="231">
                  <c:v>1852202.1465788444</c:v>
                </c:pt>
                <c:pt idx="232">
                  <c:v>1860185.7765209945</c:v>
                </c:pt>
                <c:pt idx="233">
                  <c:v>1868169.4064631448</c:v>
                </c:pt>
                <c:pt idx="234">
                  <c:v>1876153.0364052949</c:v>
                </c:pt>
                <c:pt idx="235">
                  <c:v>1884136.666347445</c:v>
                </c:pt>
                <c:pt idx="236">
                  <c:v>1892120.2962895953</c:v>
                </c:pt>
                <c:pt idx="237">
                  <c:v>1900103.9262317456</c:v>
                </c:pt>
                <c:pt idx="238">
                  <c:v>1908087.5561738957</c:v>
                </c:pt>
                <c:pt idx="239">
                  <c:v>1916071.1861160458</c:v>
                </c:pt>
                <c:pt idx="240">
                  <c:v>1924054.8160581961</c:v>
                </c:pt>
                <c:pt idx="241">
                  <c:v>1932038.4460003464</c:v>
                </c:pt>
                <c:pt idx="242">
                  <c:v>1940022.0759424968</c:v>
                </c:pt>
                <c:pt idx="243">
                  <c:v>1948005.7058846466</c:v>
                </c:pt>
                <c:pt idx="244">
                  <c:v>1955989.3358267969</c:v>
                </c:pt>
                <c:pt idx="245">
                  <c:v>1963972.9657689473</c:v>
                </c:pt>
                <c:pt idx="246">
                  <c:v>1971956.5957110974</c:v>
                </c:pt>
                <c:pt idx="247">
                  <c:v>1979940.2256532474</c:v>
                </c:pt>
                <c:pt idx="248">
                  <c:v>1987923.8555953978</c:v>
                </c:pt>
                <c:pt idx="249">
                  <c:v>1995907.4855375476</c:v>
                </c:pt>
                <c:pt idx="250">
                  <c:v>2003891.1154796979</c:v>
                </c:pt>
                <c:pt idx="251">
                  <c:v>2011874.745421848</c:v>
                </c:pt>
                <c:pt idx="252">
                  <c:v>2019858.3753639981</c:v>
                </c:pt>
                <c:pt idx="253">
                  <c:v>2027842.0053061484</c:v>
                </c:pt>
                <c:pt idx="254">
                  <c:v>2035825.6352482985</c:v>
                </c:pt>
                <c:pt idx="255">
                  <c:v>2043809.2651904486</c:v>
                </c:pt>
                <c:pt idx="256">
                  <c:v>2051792.8951325989</c:v>
                </c:pt>
                <c:pt idx="257">
                  <c:v>2059776.5250747493</c:v>
                </c:pt>
                <c:pt idx="258">
                  <c:v>2067760.1550168993</c:v>
                </c:pt>
                <c:pt idx="259">
                  <c:v>2075743.7849590494</c:v>
                </c:pt>
                <c:pt idx="260">
                  <c:v>2083727.4149011998</c:v>
                </c:pt>
                <c:pt idx="261">
                  <c:v>2091711.0448433501</c:v>
                </c:pt>
                <c:pt idx="262">
                  <c:v>2099694.6747854999</c:v>
                </c:pt>
                <c:pt idx="263">
                  <c:v>2107678.3047276502</c:v>
                </c:pt>
                <c:pt idx="264">
                  <c:v>2115661.9346698001</c:v>
                </c:pt>
                <c:pt idx="265">
                  <c:v>2123645.5646119504</c:v>
                </c:pt>
                <c:pt idx="266">
                  <c:v>2131629.1945541007</c:v>
                </c:pt>
                <c:pt idx="267">
                  <c:v>2139612.8244962511</c:v>
                </c:pt>
                <c:pt idx="268">
                  <c:v>2147596.4544384009</c:v>
                </c:pt>
                <c:pt idx="269">
                  <c:v>2155580.0843805512</c:v>
                </c:pt>
                <c:pt idx="270">
                  <c:v>2163563.7143227016</c:v>
                </c:pt>
                <c:pt idx="271">
                  <c:v>2171547.3442648519</c:v>
                </c:pt>
                <c:pt idx="272">
                  <c:v>2179530.9742070017</c:v>
                </c:pt>
                <c:pt idx="273">
                  <c:v>2187514.6041491521</c:v>
                </c:pt>
                <c:pt idx="274">
                  <c:v>2195498.2340913024</c:v>
                </c:pt>
                <c:pt idx="275">
                  <c:v>2203481.8640334527</c:v>
                </c:pt>
                <c:pt idx="276">
                  <c:v>2211465.493975603</c:v>
                </c:pt>
                <c:pt idx="277">
                  <c:v>2219449.1239177529</c:v>
                </c:pt>
                <c:pt idx="278">
                  <c:v>2227432.7538599032</c:v>
                </c:pt>
                <c:pt idx="279">
                  <c:v>2235416.3838020535</c:v>
                </c:pt>
                <c:pt idx="280">
                  <c:v>2243400.0137442034</c:v>
                </c:pt>
                <c:pt idx="281">
                  <c:v>2251383.6436863537</c:v>
                </c:pt>
                <c:pt idx="282">
                  <c:v>2259367.273628504</c:v>
                </c:pt>
                <c:pt idx="283">
                  <c:v>2267350.9035706539</c:v>
                </c:pt>
                <c:pt idx="284">
                  <c:v>2275334.5335128042</c:v>
                </c:pt>
                <c:pt idx="285">
                  <c:v>2283318.1634549545</c:v>
                </c:pt>
                <c:pt idx="286">
                  <c:v>2291301.7933971048</c:v>
                </c:pt>
                <c:pt idx="287">
                  <c:v>2299285.4233392552</c:v>
                </c:pt>
                <c:pt idx="288">
                  <c:v>2307269.053281405</c:v>
                </c:pt>
                <c:pt idx="289">
                  <c:v>2315252.6832235553</c:v>
                </c:pt>
                <c:pt idx="290">
                  <c:v>2323236.3131657057</c:v>
                </c:pt>
                <c:pt idx="291">
                  <c:v>2331219.9431078555</c:v>
                </c:pt>
                <c:pt idx="292">
                  <c:v>2339203.5730500058</c:v>
                </c:pt>
                <c:pt idx="293">
                  <c:v>2347187.2029921561</c:v>
                </c:pt>
                <c:pt idx="294">
                  <c:v>2355170.8329343065</c:v>
                </c:pt>
                <c:pt idx="295">
                  <c:v>2363154.4628764568</c:v>
                </c:pt>
                <c:pt idx="296">
                  <c:v>2371138.0928186066</c:v>
                </c:pt>
                <c:pt idx="297">
                  <c:v>2379121.722760757</c:v>
                </c:pt>
                <c:pt idx="298">
                  <c:v>2387105.3527029073</c:v>
                </c:pt>
                <c:pt idx="299">
                  <c:v>2395088.9826450571</c:v>
                </c:pt>
                <c:pt idx="300">
                  <c:v>2403072.6125872079</c:v>
                </c:pt>
                <c:pt idx="301">
                  <c:v>2411056.2425293578</c:v>
                </c:pt>
                <c:pt idx="302">
                  <c:v>2419039.8724715081</c:v>
                </c:pt>
                <c:pt idx="303">
                  <c:v>2427023.5024136584</c:v>
                </c:pt>
                <c:pt idx="304">
                  <c:v>2435007.1323558087</c:v>
                </c:pt>
                <c:pt idx="305">
                  <c:v>2442990.7622979591</c:v>
                </c:pt>
                <c:pt idx="306">
                  <c:v>2450974.3922401089</c:v>
                </c:pt>
                <c:pt idx="307">
                  <c:v>2458958.0221822592</c:v>
                </c:pt>
                <c:pt idx="308">
                  <c:v>2466941.6521244096</c:v>
                </c:pt>
                <c:pt idx="309">
                  <c:v>2474925.2820665594</c:v>
                </c:pt>
                <c:pt idx="310">
                  <c:v>2482908.9120087097</c:v>
                </c:pt>
                <c:pt idx="311">
                  <c:v>2490892.5419508601</c:v>
                </c:pt>
                <c:pt idx="312">
                  <c:v>2498876.1718930099</c:v>
                </c:pt>
                <c:pt idx="313">
                  <c:v>2506859.8018351602</c:v>
                </c:pt>
                <c:pt idx="314">
                  <c:v>2514843.4317773106</c:v>
                </c:pt>
                <c:pt idx="315">
                  <c:v>2522827.0617194609</c:v>
                </c:pt>
                <c:pt idx="316">
                  <c:v>2530810.6916616112</c:v>
                </c:pt>
                <c:pt idx="317">
                  <c:v>2538794.3216037611</c:v>
                </c:pt>
                <c:pt idx="318">
                  <c:v>2546777.9515459114</c:v>
                </c:pt>
                <c:pt idx="319">
                  <c:v>2554761.5814880617</c:v>
                </c:pt>
                <c:pt idx="320">
                  <c:v>2562745.2114302116</c:v>
                </c:pt>
                <c:pt idx="321">
                  <c:v>2570728.8413723619</c:v>
                </c:pt>
                <c:pt idx="322">
                  <c:v>2578712.4713145122</c:v>
                </c:pt>
                <c:pt idx="323">
                  <c:v>2586696.1012566625</c:v>
                </c:pt>
                <c:pt idx="324">
                  <c:v>2594679.7311988124</c:v>
                </c:pt>
                <c:pt idx="325">
                  <c:v>2602663.3611409627</c:v>
                </c:pt>
                <c:pt idx="326">
                  <c:v>2610646.9910831125</c:v>
                </c:pt>
                <c:pt idx="327">
                  <c:v>2618630.6210252629</c:v>
                </c:pt>
                <c:pt idx="328">
                  <c:v>2626614.2509674132</c:v>
                </c:pt>
                <c:pt idx="329">
                  <c:v>2634597.880909563</c:v>
                </c:pt>
                <c:pt idx="330">
                  <c:v>2642581.5108517138</c:v>
                </c:pt>
                <c:pt idx="331">
                  <c:v>2650565.1407938637</c:v>
                </c:pt>
                <c:pt idx="332">
                  <c:v>2658548.770736014</c:v>
                </c:pt>
                <c:pt idx="333">
                  <c:v>2666532.4006781639</c:v>
                </c:pt>
                <c:pt idx="334">
                  <c:v>2674516.0306203142</c:v>
                </c:pt>
                <c:pt idx="335">
                  <c:v>2682499.6605624645</c:v>
                </c:pt>
                <c:pt idx="336">
                  <c:v>2690483.2905046148</c:v>
                </c:pt>
                <c:pt idx="337">
                  <c:v>2698466.9204467647</c:v>
                </c:pt>
                <c:pt idx="338">
                  <c:v>2706450.550388915</c:v>
                </c:pt>
                <c:pt idx="339">
                  <c:v>2714434.1803310653</c:v>
                </c:pt>
                <c:pt idx="340">
                  <c:v>2722417.8102732152</c:v>
                </c:pt>
                <c:pt idx="341">
                  <c:v>2730401.440215365</c:v>
                </c:pt>
                <c:pt idx="342">
                  <c:v>2738385.0701575158</c:v>
                </c:pt>
                <c:pt idx="343">
                  <c:v>2746368.7000996657</c:v>
                </c:pt>
                <c:pt idx="344">
                  <c:v>2754352.330041816</c:v>
                </c:pt>
                <c:pt idx="345">
                  <c:v>2762335.9599839663</c:v>
                </c:pt>
                <c:pt idx="346">
                  <c:v>2770319.5899261162</c:v>
                </c:pt>
                <c:pt idx="347">
                  <c:v>2778303.219868267</c:v>
                </c:pt>
                <c:pt idx="348">
                  <c:v>2786286.8498104168</c:v>
                </c:pt>
                <c:pt idx="349">
                  <c:v>2794270.4797525676</c:v>
                </c:pt>
                <c:pt idx="350">
                  <c:v>2802254.1096947175</c:v>
                </c:pt>
                <c:pt idx="351">
                  <c:v>2810237.7396368682</c:v>
                </c:pt>
                <c:pt idx="352">
                  <c:v>2818221.3695790181</c:v>
                </c:pt>
                <c:pt idx="353">
                  <c:v>2826204.9995211679</c:v>
                </c:pt>
                <c:pt idx="354">
                  <c:v>2834188.6294633183</c:v>
                </c:pt>
                <c:pt idx="355">
                  <c:v>2842172.2594054686</c:v>
                </c:pt>
                <c:pt idx="356">
                  <c:v>2850155.8893476184</c:v>
                </c:pt>
                <c:pt idx="357">
                  <c:v>2858139.5192897692</c:v>
                </c:pt>
                <c:pt idx="358">
                  <c:v>2866123.1492319191</c:v>
                </c:pt>
                <c:pt idx="359">
                  <c:v>2874106.7791740694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D8-47A1-86B2-7FAF9464C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882367"/>
        <c:axId val="1065093855"/>
      </c:scatterChart>
      <c:scatterChart>
        <c:scatterStyle val="smoothMarker"/>
        <c:varyColors val="0"/>
        <c:ser>
          <c:idx val="3"/>
          <c:order val="3"/>
          <c:tx>
            <c:strRef>
              <c:f>'McRae Road Amorization'!$E$5</c:f>
              <c:strCache>
                <c:ptCount val="1"/>
                <c:pt idx="0">
                  <c:v>principalPayment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'McRae Road Amorization'!$A$6:$A$365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'McRae Road Amorization'!$E$6:$E$365</c:f>
              <c:numCache>
                <c:formatCode>"$"#,##0.00_);[Red]\("$"#,##0.00\)</c:formatCode>
                <c:ptCount val="360"/>
                <c:pt idx="0">
                  <c:v>983.6299421501908</c:v>
                </c:pt>
                <c:pt idx="1">
                  <c:v>989.36778347939889</c:v>
                </c:pt>
                <c:pt idx="2">
                  <c:v>995.13909554969541</c:v>
                </c:pt>
                <c:pt idx="3">
                  <c:v>1000.9440736070692</c:v>
                </c:pt>
                <c:pt idx="4">
                  <c:v>1006.7829140364429</c:v>
                </c:pt>
                <c:pt idx="5">
                  <c:v>1012.6558143683224</c:v>
                </c:pt>
                <c:pt idx="6">
                  <c:v>1018.5629732854704</c:v>
                </c:pt>
                <c:pt idx="7">
                  <c:v>1024.5045906296364</c:v>
                </c:pt>
                <c:pt idx="8">
                  <c:v>1030.4808674083088</c:v>
                </c:pt>
                <c:pt idx="9">
                  <c:v>1036.4920058015232</c:v>
                </c:pt>
                <c:pt idx="10">
                  <c:v>1042.5382091686988</c:v>
                </c:pt>
                <c:pt idx="11">
                  <c:v>1048.6196820555169</c:v>
                </c:pt>
                <c:pt idx="12">
                  <c:v>1054.7366302008395</c:v>
                </c:pt>
                <c:pt idx="13">
                  <c:v>1060.8892605436786</c:v>
                </c:pt>
                <c:pt idx="14">
                  <c:v>1067.077781230184</c:v>
                </c:pt>
                <c:pt idx="15">
                  <c:v>1073.3024016206928</c:v>
                </c:pt>
                <c:pt idx="16">
                  <c:v>1079.5633322968133</c:v>
                </c:pt>
                <c:pt idx="17">
                  <c:v>1085.8607850685457</c:v>
                </c:pt>
                <c:pt idx="18">
                  <c:v>1092.1949729814451</c:v>
                </c:pt>
                <c:pt idx="19">
                  <c:v>1098.5661103238372</c:v>
                </c:pt>
                <c:pt idx="20">
                  <c:v>1104.9744126340593</c:v>
                </c:pt>
                <c:pt idx="21">
                  <c:v>1111.4200967077577</c:v>
                </c:pt>
                <c:pt idx="22">
                  <c:v>1117.9033806052203</c:v>
                </c:pt>
                <c:pt idx="23">
                  <c:v>1124.4244836587504</c:v>
                </c:pt>
                <c:pt idx="24">
                  <c:v>1130.9836264800924</c:v>
                </c:pt>
                <c:pt idx="25">
                  <c:v>1137.5810309678927</c:v>
                </c:pt>
                <c:pt idx="26">
                  <c:v>1144.2169203152052</c:v>
                </c:pt>
                <c:pt idx="27">
                  <c:v>1150.8915190170446</c:v>
                </c:pt>
                <c:pt idx="28">
                  <c:v>1157.605052877977</c:v>
                </c:pt>
                <c:pt idx="29">
                  <c:v>1164.3577490197649</c:v>
                </c:pt>
                <c:pt idx="30">
                  <c:v>1171.1498358890467</c:v>
                </c:pt>
                <c:pt idx="31">
                  <c:v>1177.9815432650666</c:v>
                </c:pt>
                <c:pt idx="32">
                  <c:v>1184.853102267446</c:v>
                </c:pt>
                <c:pt idx="33">
                  <c:v>1191.7647453640056</c:v>
                </c:pt>
                <c:pt idx="34">
                  <c:v>1198.7167063786292</c:v>
                </c:pt>
                <c:pt idx="35">
                  <c:v>1205.7092204991714</c:v>
                </c:pt>
                <c:pt idx="36">
                  <c:v>1212.7425242854169</c:v>
                </c:pt>
                <c:pt idx="37">
                  <c:v>1219.8168556770815</c:v>
                </c:pt>
                <c:pt idx="38">
                  <c:v>1226.9324540018652</c:v>
                </c:pt>
                <c:pt idx="39">
                  <c:v>1234.0895599835421</c:v>
                </c:pt>
                <c:pt idx="40">
                  <c:v>1241.2884157501121</c:v>
                </c:pt>
                <c:pt idx="41">
                  <c:v>1248.5292648419872</c:v>
                </c:pt>
                <c:pt idx="42">
                  <c:v>1255.8123522202322</c:v>
                </c:pt>
                <c:pt idx="43">
                  <c:v>1263.1379242748508</c:v>
                </c:pt>
                <c:pt idx="44">
                  <c:v>1270.506228833121</c:v>
                </c:pt>
                <c:pt idx="45">
                  <c:v>1277.917515167981</c:v>
                </c:pt>
                <c:pt idx="46">
                  <c:v>1285.372034006461</c:v>
                </c:pt>
                <c:pt idx="47">
                  <c:v>1292.8700375381659</c:v>
                </c:pt>
                <c:pt idx="48">
                  <c:v>1300.4117794238055</c:v>
                </c:pt>
                <c:pt idx="49">
                  <c:v>1307.9975148037774</c:v>
                </c:pt>
                <c:pt idx="50">
                  <c:v>1315.6275003067994</c:v>
                </c:pt>
                <c:pt idx="51">
                  <c:v>1323.3019940585891</c:v>
                </c:pt>
                <c:pt idx="52">
                  <c:v>1331.0212556905981</c:v>
                </c:pt>
                <c:pt idx="53">
                  <c:v>1338.7855463487931</c:v>
                </c:pt>
                <c:pt idx="54">
                  <c:v>1346.5951287024945</c:v>
                </c:pt>
                <c:pt idx="55">
                  <c:v>1354.4502669532594</c:v>
                </c:pt>
                <c:pt idx="56">
                  <c:v>1362.3512268438199</c:v>
                </c:pt>
                <c:pt idx="57">
                  <c:v>1370.2982756670763</c:v>
                </c:pt>
                <c:pt idx="58">
                  <c:v>1378.291682275134</c:v>
                </c:pt>
                <c:pt idx="59">
                  <c:v>1386.3317170884056</c:v>
                </c:pt>
                <c:pt idx="60">
                  <c:v>1394.418652104755</c:v>
                </c:pt>
                <c:pt idx="61">
                  <c:v>1402.5527609086985</c:v>
                </c:pt>
                <c:pt idx="62">
                  <c:v>1410.7343186806656</c:v>
                </c:pt>
                <c:pt idx="63">
                  <c:v>1418.9636022063023</c:v>
                </c:pt>
                <c:pt idx="64">
                  <c:v>1427.2408898858384</c:v>
                </c:pt>
                <c:pt idx="65">
                  <c:v>1435.5664617435068</c:v>
                </c:pt>
                <c:pt idx="66">
                  <c:v>1443.9405994370109</c:v>
                </c:pt>
                <c:pt idx="67">
                  <c:v>1452.3635862670608</c:v>
                </c:pt>
                <c:pt idx="68">
                  <c:v>1460.8357071869514</c:v>
                </c:pt>
                <c:pt idx="69">
                  <c:v>1469.3572488122081</c:v>
                </c:pt>
                <c:pt idx="70">
                  <c:v>1477.9284994302798</c:v>
                </c:pt>
                <c:pt idx="71">
                  <c:v>1486.5497490102889</c:v>
                </c:pt>
                <c:pt idx="72">
                  <c:v>1495.2212892128491</c:v>
                </c:pt>
                <c:pt idx="73">
                  <c:v>1503.9434133999239</c:v>
                </c:pt>
                <c:pt idx="74">
                  <c:v>1512.7164166447565</c:v>
                </c:pt>
                <c:pt idx="75">
                  <c:v>1521.5405957418516</c:v>
                </c:pt>
                <c:pt idx="76">
                  <c:v>1530.4162492170126</c:v>
                </c:pt>
                <c:pt idx="77">
                  <c:v>1539.3436773374451</c:v>
                </c:pt>
                <c:pt idx="78">
                  <c:v>1548.3231821219142</c:v>
                </c:pt>
                <c:pt idx="79">
                  <c:v>1557.3550673509581</c:v>
                </c:pt>
                <c:pt idx="80">
                  <c:v>1566.4396385771715</c:v>
                </c:pt>
                <c:pt idx="81">
                  <c:v>1575.5772031355382</c:v>
                </c:pt>
                <c:pt idx="82">
                  <c:v>1584.7680701538284</c:v>
                </c:pt>
                <c:pt idx="83">
                  <c:v>1594.0125505630594</c:v>
                </c:pt>
                <c:pt idx="84">
                  <c:v>1603.3109571080113</c:v>
                </c:pt>
                <c:pt idx="85">
                  <c:v>1612.6636043578073</c:v>
                </c:pt>
                <c:pt idx="86">
                  <c:v>1622.0708087165604</c:v>
                </c:pt>
                <c:pt idx="87">
                  <c:v>1631.5328884340743</c:v>
                </c:pt>
                <c:pt idx="88">
                  <c:v>1641.0501636166064</c:v>
                </c:pt>
                <c:pt idx="89">
                  <c:v>1650.6229562377039</c:v>
                </c:pt>
                <c:pt idx="90">
                  <c:v>1660.2515901490906</c:v>
                </c:pt>
                <c:pt idx="91">
                  <c:v>1669.9363910916263</c:v>
                </c:pt>
                <c:pt idx="92">
                  <c:v>1679.6776867063281</c:v>
                </c:pt>
                <c:pt idx="93">
                  <c:v>1689.4758065454489</c:v>
                </c:pt>
                <c:pt idx="94">
                  <c:v>1699.3310820836305</c:v>
                </c:pt>
                <c:pt idx="95">
                  <c:v>1709.2438467291176</c:v>
                </c:pt>
                <c:pt idx="96">
                  <c:v>1719.2144358350379</c:v>
                </c:pt>
                <c:pt idx="97">
                  <c:v>1729.2431867107425</c:v>
                </c:pt>
                <c:pt idx="98">
                  <c:v>1739.330438633222</c:v>
                </c:pt>
                <c:pt idx="99">
                  <c:v>1749.4765328585818</c:v>
                </c:pt>
                <c:pt idx="100">
                  <c:v>1759.6818126335902</c:v>
                </c:pt>
                <c:pt idx="101">
                  <c:v>1769.9466232072855</c:v>
                </c:pt>
                <c:pt idx="102">
                  <c:v>1780.2713118426618</c:v>
                </c:pt>
                <c:pt idx="103">
                  <c:v>1790.65622782841</c:v>
                </c:pt>
                <c:pt idx="104">
                  <c:v>1801.1017224907428</c:v>
                </c:pt>
                <c:pt idx="105">
                  <c:v>1811.6081492052726</c:v>
                </c:pt>
                <c:pt idx="106">
                  <c:v>1822.1758634089701</c:v>
                </c:pt>
                <c:pt idx="107">
                  <c:v>1832.805222612189</c:v>
                </c:pt>
                <c:pt idx="108">
                  <c:v>1843.4965864107598</c:v>
                </c:pt>
                <c:pt idx="109">
                  <c:v>1854.2503164981563</c:v>
                </c:pt>
                <c:pt idx="110">
                  <c:v>1865.0667766777287</c:v>
                </c:pt>
                <c:pt idx="111">
                  <c:v>1875.9463328750153</c:v>
                </c:pt>
                <c:pt idx="112">
                  <c:v>1886.8893531501199</c:v>
                </c:pt>
                <c:pt idx="113">
                  <c:v>1897.8962077101623</c:v>
                </c:pt>
                <c:pt idx="114">
                  <c:v>1908.967268921805</c:v>
                </c:pt>
                <c:pt idx="115">
                  <c:v>1920.1029113238483</c:v>
                </c:pt>
                <c:pt idx="116">
                  <c:v>1931.3035116399042</c:v>
                </c:pt>
                <c:pt idx="117">
                  <c:v>1942.5694487911378</c:v>
                </c:pt>
                <c:pt idx="118">
                  <c:v>1953.9011039090856</c:v>
                </c:pt>
                <c:pt idx="119">
                  <c:v>1965.2988603485555</c:v>
                </c:pt>
                <c:pt idx="120">
                  <c:v>1976.7631037005885</c:v>
                </c:pt>
                <c:pt idx="121">
                  <c:v>1988.2942218055086</c:v>
                </c:pt>
                <c:pt idx="122">
                  <c:v>1999.8926047660407</c:v>
                </c:pt>
                <c:pt idx="123">
                  <c:v>2011.5586449605098</c:v>
                </c:pt>
                <c:pt idx="124">
                  <c:v>2023.2927370561129</c:v>
                </c:pt>
                <c:pt idx="125">
                  <c:v>2035.0952780222733</c:v>
                </c:pt>
                <c:pt idx="126">
                  <c:v>2046.96666714407</c:v>
                </c:pt>
                <c:pt idx="127">
                  <c:v>2058.9073060357432</c:v>
                </c:pt>
                <c:pt idx="128">
                  <c:v>2070.9175986542859</c:v>
                </c:pt>
                <c:pt idx="129">
                  <c:v>2082.997951313102</c:v>
                </c:pt>
                <c:pt idx="130">
                  <c:v>2095.1487726957621</c:v>
                </c:pt>
                <c:pt idx="131">
                  <c:v>2107.3704738698207</c:v>
                </c:pt>
                <c:pt idx="132">
                  <c:v>2119.6634683007287</c:v>
                </c:pt>
                <c:pt idx="133">
                  <c:v>2132.0281718658161</c:v>
                </c:pt>
                <c:pt idx="134">
                  <c:v>2144.4650028683664</c:v>
                </c:pt>
                <c:pt idx="135">
                  <c:v>2156.9743820517651</c:v>
                </c:pt>
                <c:pt idx="136">
                  <c:v>2169.5567326137334</c:v>
                </c:pt>
                <c:pt idx="137">
                  <c:v>2182.2124802206472</c:v>
                </c:pt>
                <c:pt idx="138">
                  <c:v>2194.942053021934</c:v>
                </c:pt>
                <c:pt idx="139">
                  <c:v>2207.7458816645621</c:v>
                </c:pt>
                <c:pt idx="140">
                  <c:v>2220.624399307605</c:v>
                </c:pt>
                <c:pt idx="141">
                  <c:v>2233.5780416368998</c:v>
                </c:pt>
                <c:pt idx="142">
                  <c:v>2246.607246879782</c:v>
                </c:pt>
                <c:pt idx="143">
                  <c:v>2259.7124558199139</c:v>
                </c:pt>
                <c:pt idx="144">
                  <c:v>2272.8941118121975</c:v>
                </c:pt>
                <c:pt idx="145">
                  <c:v>2286.1526607977685</c:v>
                </c:pt>
                <c:pt idx="146">
                  <c:v>2299.4885513190893</c:v>
                </c:pt>
                <c:pt idx="147">
                  <c:v>2312.9022345351168</c:v>
                </c:pt>
                <c:pt idx="148">
                  <c:v>2326.3941642365717</c:v>
                </c:pt>
                <c:pt idx="149">
                  <c:v>2339.9647968612853</c:v>
                </c:pt>
                <c:pt idx="150">
                  <c:v>2353.6145915096431</c:v>
                </c:pt>
                <c:pt idx="151">
                  <c:v>2367.3440099601157</c:v>
                </c:pt>
                <c:pt idx="152">
                  <c:v>2381.1535166848835</c:v>
                </c:pt>
                <c:pt idx="153">
                  <c:v>2395.043578865545</c:v>
                </c:pt>
                <c:pt idx="154">
                  <c:v>2409.014666408928</c:v>
                </c:pt>
                <c:pt idx="155">
                  <c:v>2423.0672519629798</c:v>
                </c:pt>
                <c:pt idx="156">
                  <c:v>2437.2018109327637</c:v>
                </c:pt>
                <c:pt idx="157">
                  <c:v>2451.4188214965379</c:v>
                </c:pt>
                <c:pt idx="158">
                  <c:v>2465.7187646219336</c:v>
                </c:pt>
                <c:pt idx="159">
                  <c:v>2480.1021240822283</c:v>
                </c:pt>
                <c:pt idx="160">
                  <c:v>2494.5693864727082</c:v>
                </c:pt>
                <c:pt idx="161">
                  <c:v>2509.1210412271321</c:v>
                </c:pt>
                <c:pt idx="162">
                  <c:v>2523.7575806342902</c:v>
                </c:pt>
                <c:pt idx="163">
                  <c:v>2538.4794998546577</c:v>
                </c:pt>
                <c:pt idx="164">
                  <c:v>2553.2872969371429</c:v>
                </c:pt>
                <c:pt idx="165">
                  <c:v>2568.1814728359432</c:v>
                </c:pt>
                <c:pt idx="166">
                  <c:v>2583.1625314274861</c:v>
                </c:pt>
                <c:pt idx="167">
                  <c:v>2598.2309795274796</c:v>
                </c:pt>
                <c:pt idx="168">
                  <c:v>2613.3873269080559</c:v>
                </c:pt>
                <c:pt idx="169">
                  <c:v>2628.6320863150204</c:v>
                </c:pt>
                <c:pt idx="170">
                  <c:v>2643.9657734851917</c:v>
                </c:pt>
                <c:pt idx="171">
                  <c:v>2659.388907163855</c:v>
                </c:pt>
                <c:pt idx="172">
                  <c:v>2674.9020091223101</c:v>
                </c:pt>
                <c:pt idx="173">
                  <c:v>2690.5056041755242</c:v>
                </c:pt>
                <c:pt idx="174">
                  <c:v>2706.2002201998812</c:v>
                </c:pt>
                <c:pt idx="175">
                  <c:v>2721.9863881510473</c:v>
                </c:pt>
                <c:pt idx="176">
                  <c:v>2737.8646420819287</c:v>
                </c:pt>
                <c:pt idx="177">
                  <c:v>2753.8355191607398</c:v>
                </c:pt>
                <c:pt idx="178">
                  <c:v>2769.8995596891773</c:v>
                </c:pt>
                <c:pt idx="179">
                  <c:v>2786.0573071206973</c:v>
                </c:pt>
                <c:pt idx="180">
                  <c:v>2802.3093080789013</c:v>
                </c:pt>
                <c:pt idx="181">
                  <c:v>2818.6561123760284</c:v>
                </c:pt>
                <c:pt idx="182">
                  <c:v>2835.0982730315554</c:v>
                </c:pt>
                <c:pt idx="183">
                  <c:v>2851.6363462909057</c:v>
                </c:pt>
                <c:pt idx="184">
                  <c:v>2868.2708916442698</c:v>
                </c:pt>
                <c:pt idx="185">
                  <c:v>2885.0024718455279</c:v>
                </c:pt>
                <c:pt idx="186">
                  <c:v>2901.8316529312933</c:v>
                </c:pt>
                <c:pt idx="187">
                  <c:v>2918.7590042400589</c:v>
                </c:pt>
                <c:pt idx="188">
                  <c:v>2935.7850984314591</c:v>
                </c:pt>
                <c:pt idx="189">
                  <c:v>2952.9105115056436</c:v>
                </c:pt>
                <c:pt idx="190">
                  <c:v>2970.13582282276</c:v>
                </c:pt>
                <c:pt idx="191">
                  <c:v>2987.4616151225591</c:v>
                </c:pt>
                <c:pt idx="192">
                  <c:v>3004.8884745441073</c:v>
                </c:pt>
                <c:pt idx="193">
                  <c:v>3022.4169906456145</c:v>
                </c:pt>
                <c:pt idx="194">
                  <c:v>3040.0477564243811</c:v>
                </c:pt>
                <c:pt idx="195">
                  <c:v>3057.7813683368568</c:v>
                </c:pt>
                <c:pt idx="196">
                  <c:v>3075.6184263188215</c:v>
                </c:pt>
                <c:pt idx="197">
                  <c:v>3093.5595338056819</c:v>
                </c:pt>
                <c:pt idx="198">
                  <c:v>3111.6052977528816</c:v>
                </c:pt>
                <c:pt idx="199">
                  <c:v>3129.75632865644</c:v>
                </c:pt>
                <c:pt idx="200">
                  <c:v>3148.0132405736031</c:v>
                </c:pt>
                <c:pt idx="201">
                  <c:v>3166.3766511436152</c:v>
                </c:pt>
                <c:pt idx="202">
                  <c:v>3184.8471816086203</c:v>
                </c:pt>
                <c:pt idx="203">
                  <c:v>3203.4254568346705</c:v>
                </c:pt>
                <c:pt idx="204">
                  <c:v>3222.1121053328734</c:v>
                </c:pt>
                <c:pt idx="205">
                  <c:v>3240.907759280648</c:v>
                </c:pt>
                <c:pt idx="206">
                  <c:v>3259.8130545431186</c:v>
                </c:pt>
                <c:pt idx="207">
                  <c:v>3278.8286306946202</c:v>
                </c:pt>
                <c:pt idx="208">
                  <c:v>3297.9551310403385</c:v>
                </c:pt>
                <c:pt idx="209">
                  <c:v>3317.1932026380737</c:v>
                </c:pt>
                <c:pt idx="210">
                  <c:v>3336.5434963201296</c:v>
                </c:pt>
                <c:pt idx="211">
                  <c:v>3356.0066667153305</c:v>
                </c:pt>
                <c:pt idx="212">
                  <c:v>3375.5833722711695</c:v>
                </c:pt>
                <c:pt idx="213">
                  <c:v>3395.2742752760851</c:v>
                </c:pt>
                <c:pt idx="214">
                  <c:v>3415.0800418818626</c:v>
                </c:pt>
                <c:pt idx="215">
                  <c:v>3435.0013421261729</c:v>
                </c:pt>
                <c:pt idx="216">
                  <c:v>3455.0388499552428</c:v>
                </c:pt>
                <c:pt idx="217">
                  <c:v>3475.1932432466483</c:v>
                </c:pt>
                <c:pt idx="218">
                  <c:v>3495.4652038322529</c:v>
                </c:pt>
                <c:pt idx="219">
                  <c:v>3515.8554175212748</c:v>
                </c:pt>
                <c:pt idx="220">
                  <c:v>3536.3645741234823</c:v>
                </c:pt>
                <c:pt idx="221">
                  <c:v>3556.9933674725362</c:v>
                </c:pt>
                <c:pt idx="222">
                  <c:v>3577.74249544946</c:v>
                </c:pt>
                <c:pt idx="223">
                  <c:v>3598.612660006248</c:v>
                </c:pt>
                <c:pt idx="224">
                  <c:v>3619.6045671896181</c:v>
                </c:pt>
                <c:pt idx="225">
                  <c:v>3640.7189271648904</c:v>
                </c:pt>
                <c:pt idx="226">
                  <c:v>3661.9564542400194</c:v>
                </c:pt>
                <c:pt idx="227">
                  <c:v>3683.3178668897526</c:v>
                </c:pt>
                <c:pt idx="228">
                  <c:v>3704.8038877799427</c:v>
                </c:pt>
                <c:pt idx="229">
                  <c:v>3726.4152437919929</c:v>
                </c:pt>
                <c:pt idx="230">
                  <c:v>3748.1526660474465</c:v>
                </c:pt>
                <c:pt idx="231">
                  <c:v>3770.0168899327227</c:v>
                </c:pt>
                <c:pt idx="232">
                  <c:v>3792.0086551239965</c:v>
                </c:pt>
                <c:pt idx="233">
                  <c:v>3814.1287056122201</c:v>
                </c:pt>
                <c:pt idx="234">
                  <c:v>3836.3777897282916</c:v>
                </c:pt>
                <c:pt idx="235">
                  <c:v>3858.7566601683739</c:v>
                </c:pt>
                <c:pt idx="236">
                  <c:v>3881.266074019356</c:v>
                </c:pt>
                <c:pt idx="237">
                  <c:v>3903.906792784469</c:v>
                </c:pt>
                <c:pt idx="238">
                  <c:v>3926.679582409045</c:v>
                </c:pt>
                <c:pt idx="239">
                  <c:v>3949.5852133064313</c:v>
                </c:pt>
                <c:pt idx="240">
                  <c:v>3972.6244603840528</c:v>
                </c:pt>
                <c:pt idx="241">
                  <c:v>3995.798103069626</c:v>
                </c:pt>
                <c:pt idx="242">
                  <c:v>4019.1069253375322</c:v>
                </c:pt>
                <c:pt idx="243">
                  <c:v>4042.5517157353347</c:v>
                </c:pt>
                <c:pt idx="244">
                  <c:v>4066.1332674104578</c:v>
                </c:pt>
                <c:pt idx="245">
                  <c:v>4089.8523781370186</c:v>
                </c:pt>
                <c:pt idx="246">
                  <c:v>4113.7098503428188</c:v>
                </c:pt>
                <c:pt idx="247">
                  <c:v>4137.7064911364851</c:v>
                </c:pt>
                <c:pt idx="248">
                  <c:v>4161.8431123347809</c:v>
                </c:pt>
                <c:pt idx="249">
                  <c:v>4186.1205304900668</c:v>
                </c:pt>
                <c:pt idx="250">
                  <c:v>4210.5395669179252</c:v>
                </c:pt>
                <c:pt idx="251">
                  <c:v>4235.1010477249465</c:v>
                </c:pt>
                <c:pt idx="252">
                  <c:v>4259.8058038366753</c:v>
                </c:pt>
                <c:pt idx="253">
                  <c:v>4284.6546710257226</c:v>
                </c:pt>
                <c:pt idx="254">
                  <c:v>4309.6484899400393</c:v>
                </c:pt>
                <c:pt idx="255">
                  <c:v>4334.7881061313565</c:v>
                </c:pt>
                <c:pt idx="256">
                  <c:v>4360.0743700837893</c:v>
                </c:pt>
                <c:pt idx="257">
                  <c:v>4385.5081372426112</c:v>
                </c:pt>
                <c:pt idx="258">
                  <c:v>4411.0902680431936</c:v>
                </c:pt>
                <c:pt idx="259">
                  <c:v>4436.8216279401122</c:v>
                </c:pt>
                <c:pt idx="260">
                  <c:v>4462.70308743643</c:v>
                </c:pt>
                <c:pt idx="261">
                  <c:v>4488.735522113142</c:v>
                </c:pt>
                <c:pt idx="262">
                  <c:v>4514.9198126588017</c:v>
                </c:pt>
                <c:pt idx="263">
                  <c:v>4541.2568448993115</c:v>
                </c:pt>
                <c:pt idx="264">
                  <c:v>4567.747509827891</c:v>
                </c:pt>
                <c:pt idx="265">
                  <c:v>4594.3927036352197</c:v>
                </c:pt>
                <c:pt idx="266">
                  <c:v>4621.1933277397584</c:v>
                </c:pt>
                <c:pt idx="267">
                  <c:v>4648.1502888182404</c:v>
                </c:pt>
                <c:pt idx="268">
                  <c:v>4675.2644988363472</c:v>
                </c:pt>
                <c:pt idx="269">
                  <c:v>4702.5368750795596</c:v>
                </c:pt>
                <c:pt idx="270">
                  <c:v>4729.9683401841903</c:v>
                </c:pt>
                <c:pt idx="271">
                  <c:v>4757.5598221685977</c:v>
                </c:pt>
                <c:pt idx="272">
                  <c:v>4785.3122544645812</c:v>
                </c:pt>
                <c:pt idx="273">
                  <c:v>4813.2265759489583</c:v>
                </c:pt>
                <c:pt idx="274">
                  <c:v>4841.3037309753272</c:v>
                </c:pt>
                <c:pt idx="275">
                  <c:v>4869.5446694060165</c:v>
                </c:pt>
                <c:pt idx="276">
                  <c:v>4897.9503466442184</c:v>
                </c:pt>
                <c:pt idx="277">
                  <c:v>4926.5217236663102</c:v>
                </c:pt>
                <c:pt idx="278">
                  <c:v>4955.2597670543628</c:v>
                </c:pt>
                <c:pt idx="279">
                  <c:v>4984.1654490288465</c:v>
                </c:pt>
                <c:pt idx="280">
                  <c:v>5013.2397474815152</c:v>
                </c:pt>
                <c:pt idx="281">
                  <c:v>5042.4836460084898</c:v>
                </c:pt>
                <c:pt idx="282">
                  <c:v>5071.8981339435395</c:v>
                </c:pt>
                <c:pt idx="283">
                  <c:v>5101.4842063915439</c:v>
                </c:pt>
                <c:pt idx="284">
                  <c:v>5131.2428642621617</c:v>
                </c:pt>
                <c:pt idx="285">
                  <c:v>5161.1751143036909</c:v>
                </c:pt>
                <c:pt idx="286">
                  <c:v>5191.2819691371287</c:v>
                </c:pt>
                <c:pt idx="287">
                  <c:v>5221.5644472904287</c:v>
                </c:pt>
                <c:pt idx="288">
                  <c:v>5252.0235732329566</c:v>
                </c:pt>
                <c:pt idx="289">
                  <c:v>5282.6603774101486</c:v>
                </c:pt>
                <c:pt idx="290">
                  <c:v>5313.4758962783744</c:v>
                </c:pt>
                <c:pt idx="291">
                  <c:v>5344.4711723399978</c:v>
                </c:pt>
                <c:pt idx="292">
                  <c:v>5375.6472541786479</c:v>
                </c:pt>
                <c:pt idx="293">
                  <c:v>5407.0051964946906</c:v>
                </c:pt>
                <c:pt idx="294">
                  <c:v>5438.5460601409086</c:v>
                </c:pt>
                <c:pt idx="295">
                  <c:v>5470.2709121583976</c:v>
                </c:pt>
                <c:pt idx="296">
                  <c:v>5502.1808258126548</c:v>
                </c:pt>
                <c:pt idx="297">
                  <c:v>5534.2768806298955</c:v>
                </c:pt>
                <c:pt idx="298">
                  <c:v>5566.5601624335704</c:v>
                </c:pt>
                <c:pt idx="299">
                  <c:v>5599.0317633810992</c:v>
                </c:pt>
                <c:pt idx="300">
                  <c:v>5631.6927820008223</c:v>
                </c:pt>
                <c:pt idx="301">
                  <c:v>5664.54432322916</c:v>
                </c:pt>
                <c:pt idx="302">
                  <c:v>5697.5874984479969</c:v>
                </c:pt>
                <c:pt idx="303">
                  <c:v>5730.8234255222769</c:v>
                </c:pt>
                <c:pt idx="304">
                  <c:v>5764.2532288378234</c:v>
                </c:pt>
                <c:pt idx="305">
                  <c:v>5797.8780393393772</c:v>
                </c:pt>
                <c:pt idx="306">
                  <c:v>5831.6989945688565</c:v>
                </c:pt>
                <c:pt idx="307">
                  <c:v>5865.7172387038418</c:v>
                </c:pt>
                <c:pt idx="308">
                  <c:v>5899.9339225962813</c:v>
                </c:pt>
                <c:pt idx="309">
                  <c:v>5934.3502038114257</c:v>
                </c:pt>
                <c:pt idx="310">
                  <c:v>5968.9672466669927</c:v>
                </c:pt>
                <c:pt idx="311">
                  <c:v>6003.7862222725507</c:v>
                </c:pt>
                <c:pt idx="312">
                  <c:v>6038.8083085691396</c:v>
                </c:pt>
                <c:pt idx="313">
                  <c:v>6074.034690369127</c:v>
                </c:pt>
                <c:pt idx="314">
                  <c:v>6109.46655939628</c:v>
                </c:pt>
                <c:pt idx="315">
                  <c:v>6145.105114326092</c:v>
                </c:pt>
                <c:pt idx="316">
                  <c:v>6180.9515608263273</c:v>
                </c:pt>
                <c:pt idx="317">
                  <c:v>6217.0071115978144</c:v>
                </c:pt>
                <c:pt idx="318">
                  <c:v>6253.272986415468</c:v>
                </c:pt>
                <c:pt idx="319">
                  <c:v>6289.7504121695583</c:v>
                </c:pt>
                <c:pt idx="320">
                  <c:v>6326.4406229072147</c:v>
                </c:pt>
                <c:pt idx="321">
                  <c:v>6363.3448598741734</c:v>
                </c:pt>
                <c:pt idx="322">
                  <c:v>6400.4643715567727</c:v>
                </c:pt>
                <c:pt idx="323">
                  <c:v>6437.8004137241869</c:v>
                </c:pt>
                <c:pt idx="324">
                  <c:v>6475.3542494709109</c:v>
                </c:pt>
                <c:pt idx="325">
                  <c:v>6513.1271492594915</c:v>
                </c:pt>
                <c:pt idx="326">
                  <c:v>6551.1203909635051</c:v>
                </c:pt>
                <c:pt idx="327">
                  <c:v>6589.335259910792</c:v>
                </c:pt>
                <c:pt idx="328">
                  <c:v>6627.7730489269388</c:v>
                </c:pt>
                <c:pt idx="329">
                  <c:v>6666.4350583790128</c:v>
                </c:pt>
                <c:pt idx="330">
                  <c:v>6705.3225962195565</c:v>
                </c:pt>
                <c:pt idx="331">
                  <c:v>6744.4369780308371</c:v>
                </c:pt>
                <c:pt idx="332">
                  <c:v>6783.7795270693505</c:v>
                </c:pt>
                <c:pt idx="333">
                  <c:v>6823.3515743105881</c:v>
                </c:pt>
                <c:pt idx="334">
                  <c:v>6863.1544584940666</c:v>
                </c:pt>
                <c:pt idx="335">
                  <c:v>6903.1895261686159</c:v>
                </c:pt>
                <c:pt idx="336">
                  <c:v>6943.4581317379325</c:v>
                </c:pt>
                <c:pt idx="337">
                  <c:v>6983.9616375064043</c:v>
                </c:pt>
                <c:pt idx="338">
                  <c:v>7024.7014137251917</c:v>
                </c:pt>
                <c:pt idx="339">
                  <c:v>7065.6788386385879</c:v>
                </c:pt>
                <c:pt idx="340">
                  <c:v>7106.8952985306469</c:v>
                </c:pt>
                <c:pt idx="341">
                  <c:v>7148.352187772075</c:v>
                </c:pt>
                <c:pt idx="342">
                  <c:v>7190.0509088674125</c:v>
                </c:pt>
                <c:pt idx="343">
                  <c:v>7231.992872502472</c:v>
                </c:pt>
                <c:pt idx="344">
                  <c:v>7274.1794975920702</c:v>
                </c:pt>
                <c:pt idx="345">
                  <c:v>7316.6122113280235</c:v>
                </c:pt>
                <c:pt idx="346">
                  <c:v>7359.2924492274369</c:v>
                </c:pt>
                <c:pt idx="347">
                  <c:v>7402.2216551812635</c:v>
                </c:pt>
                <c:pt idx="348">
                  <c:v>7445.4012815031547</c:v>
                </c:pt>
                <c:pt idx="349">
                  <c:v>7488.8327889785896</c:v>
                </c:pt>
                <c:pt idx="350">
                  <c:v>7532.517646914298</c:v>
                </c:pt>
                <c:pt idx="351">
                  <c:v>7576.4573331879647</c:v>
                </c:pt>
                <c:pt idx="352">
                  <c:v>7620.6533342982284</c:v>
                </c:pt>
                <c:pt idx="353">
                  <c:v>7665.1071454149678</c:v>
                </c:pt>
                <c:pt idx="354">
                  <c:v>7709.8202704298883</c:v>
                </c:pt>
                <c:pt idx="355">
                  <c:v>7754.7942220073965</c:v>
                </c:pt>
                <c:pt idx="356">
                  <c:v>7800.0305216357729</c:v>
                </c:pt>
                <c:pt idx="357">
                  <c:v>7845.5306996786476</c:v>
                </c:pt>
                <c:pt idx="358">
                  <c:v>7891.2962954267732</c:v>
                </c:pt>
                <c:pt idx="359">
                  <c:v>7937.3288571500962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D8-47A1-86B2-7FAF9464C61D}"/>
            </c:ext>
          </c:extLst>
        </c:ser>
        <c:ser>
          <c:idx val="4"/>
          <c:order val="4"/>
          <c:tx>
            <c:strRef>
              <c:f>'McRae Road Amorization'!$G$5</c:f>
              <c:strCache>
                <c:ptCount val="1"/>
                <c:pt idx="0">
                  <c:v>interestPayment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'McRae Road Amorization'!$A$6:$A$365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'McRae Road Amorization'!$G$6:$G$365</c:f>
              <c:numCache>
                <c:formatCode>"$"#,##0.00_);[Red]\("$"#,##0.00\)</c:formatCode>
                <c:ptCount val="360"/>
                <c:pt idx="0">
                  <c:v>7000</c:v>
                </c:pt>
                <c:pt idx="1">
                  <c:v>6994.2621586707919</c:v>
                </c:pt>
                <c:pt idx="2">
                  <c:v>6988.4908466004954</c:v>
                </c:pt>
                <c:pt idx="3">
                  <c:v>6982.6858685431216</c:v>
                </c:pt>
                <c:pt idx="4">
                  <c:v>6976.8470281137479</c:v>
                </c:pt>
                <c:pt idx="5">
                  <c:v>6970.9741277818684</c:v>
                </c:pt>
                <c:pt idx="6">
                  <c:v>6965.0669688647204</c:v>
                </c:pt>
                <c:pt idx="7">
                  <c:v>6959.1253515205544</c:v>
                </c:pt>
                <c:pt idx="8">
                  <c:v>6953.149074741882</c:v>
                </c:pt>
                <c:pt idx="9">
                  <c:v>6947.1379363486676</c:v>
                </c:pt>
                <c:pt idx="10">
                  <c:v>6941.091732981492</c:v>
                </c:pt>
                <c:pt idx="11">
                  <c:v>6935.0102600946739</c:v>
                </c:pt>
                <c:pt idx="12">
                  <c:v>6928.8933119493513</c:v>
                </c:pt>
                <c:pt idx="13">
                  <c:v>6922.7406816065122</c:v>
                </c:pt>
                <c:pt idx="14">
                  <c:v>6916.5521609200068</c:v>
                </c:pt>
                <c:pt idx="15">
                  <c:v>6910.327540529498</c:v>
                </c:pt>
                <c:pt idx="16">
                  <c:v>6904.0666098533775</c:v>
                </c:pt>
                <c:pt idx="17">
                  <c:v>6897.7691570816451</c:v>
                </c:pt>
                <c:pt idx="18">
                  <c:v>6891.4349691687457</c:v>
                </c:pt>
                <c:pt idx="19">
                  <c:v>6885.0638318263536</c:v>
                </c:pt>
                <c:pt idx="20">
                  <c:v>6878.6555295161315</c:v>
                </c:pt>
                <c:pt idx="21">
                  <c:v>6872.2098454424331</c:v>
                </c:pt>
                <c:pt idx="22">
                  <c:v>6865.7265615449705</c:v>
                </c:pt>
                <c:pt idx="23">
                  <c:v>6859.2054584914404</c:v>
                </c:pt>
                <c:pt idx="24">
                  <c:v>6852.6463156700984</c:v>
                </c:pt>
                <c:pt idx="25">
                  <c:v>6846.0489111822981</c:v>
                </c:pt>
                <c:pt idx="26">
                  <c:v>6839.4130218349856</c:v>
                </c:pt>
                <c:pt idx="27">
                  <c:v>6832.7384231331462</c:v>
                </c:pt>
                <c:pt idx="28">
                  <c:v>6826.0248892722138</c:v>
                </c:pt>
                <c:pt idx="29">
                  <c:v>6819.2721931304259</c:v>
                </c:pt>
                <c:pt idx="30">
                  <c:v>6812.4801062611441</c:v>
                </c:pt>
                <c:pt idx="31">
                  <c:v>6805.6483988851242</c:v>
                </c:pt>
                <c:pt idx="32">
                  <c:v>6798.7768398827448</c:v>
                </c:pt>
                <c:pt idx="33">
                  <c:v>6791.8651967861852</c:v>
                </c:pt>
                <c:pt idx="34">
                  <c:v>6784.9132357715616</c:v>
                </c:pt>
                <c:pt idx="35">
                  <c:v>6777.9207216510194</c:v>
                </c:pt>
                <c:pt idx="36">
                  <c:v>6770.8874178647739</c:v>
                </c:pt>
                <c:pt idx="37">
                  <c:v>6763.8130864731093</c:v>
                </c:pt>
                <c:pt idx="38">
                  <c:v>6756.6974881483256</c:v>
                </c:pt>
                <c:pt idx="39">
                  <c:v>6749.5403821666487</c:v>
                </c:pt>
                <c:pt idx="40">
                  <c:v>6742.3415264000787</c:v>
                </c:pt>
                <c:pt idx="41">
                  <c:v>6735.1006773082036</c:v>
                </c:pt>
                <c:pt idx="42">
                  <c:v>6727.8175899299586</c:v>
                </c:pt>
                <c:pt idx="43">
                  <c:v>6720.49201787534</c:v>
                </c:pt>
                <c:pt idx="44">
                  <c:v>6713.1237133170698</c:v>
                </c:pt>
                <c:pt idx="45">
                  <c:v>6705.7124269822098</c:v>
                </c:pt>
                <c:pt idx="46">
                  <c:v>6698.2579081437298</c:v>
                </c:pt>
                <c:pt idx="47">
                  <c:v>6690.7599046120249</c:v>
                </c:pt>
                <c:pt idx="48">
                  <c:v>6683.2181627263853</c:v>
                </c:pt>
                <c:pt idx="49">
                  <c:v>6675.6324273464134</c:v>
                </c:pt>
                <c:pt idx="50">
                  <c:v>6668.0024418433914</c:v>
                </c:pt>
                <c:pt idx="51">
                  <c:v>6660.3279480916017</c:v>
                </c:pt>
                <c:pt idx="52">
                  <c:v>6652.6086864595927</c:v>
                </c:pt>
                <c:pt idx="53">
                  <c:v>6644.8443958013977</c:v>
                </c:pt>
                <c:pt idx="54">
                  <c:v>6637.0348134476963</c:v>
                </c:pt>
                <c:pt idx="55">
                  <c:v>6629.1796751969314</c:v>
                </c:pt>
                <c:pt idx="56">
                  <c:v>6621.2787153063709</c:v>
                </c:pt>
                <c:pt idx="57">
                  <c:v>6613.3316664831145</c:v>
                </c:pt>
                <c:pt idx="58">
                  <c:v>6605.3382598750568</c:v>
                </c:pt>
                <c:pt idx="59">
                  <c:v>6597.2982250617852</c:v>
                </c:pt>
                <c:pt idx="60">
                  <c:v>6589.2112900454358</c:v>
                </c:pt>
                <c:pt idx="61">
                  <c:v>6581.0771812414923</c:v>
                </c:pt>
                <c:pt idx="62">
                  <c:v>6572.8956234695252</c:v>
                </c:pt>
                <c:pt idx="63">
                  <c:v>6564.6663399438885</c:v>
                </c:pt>
                <c:pt idx="64">
                  <c:v>6556.3890522643524</c:v>
                </c:pt>
                <c:pt idx="65">
                  <c:v>6548.063480406684</c:v>
                </c:pt>
                <c:pt idx="66">
                  <c:v>6539.6893427131799</c:v>
                </c:pt>
                <c:pt idx="67">
                  <c:v>6531.26635588313</c:v>
                </c:pt>
                <c:pt idx="68">
                  <c:v>6522.7942349632394</c:v>
                </c:pt>
                <c:pt idx="69">
                  <c:v>6514.2726933379827</c:v>
                </c:pt>
                <c:pt idx="70">
                  <c:v>6505.701442719911</c:v>
                </c:pt>
                <c:pt idx="71">
                  <c:v>6497.0801931399019</c:v>
                </c:pt>
                <c:pt idx="72">
                  <c:v>6488.4086529373417</c:v>
                </c:pt>
                <c:pt idx="73">
                  <c:v>6479.6865287502669</c:v>
                </c:pt>
                <c:pt idx="74">
                  <c:v>6470.9135255054343</c:v>
                </c:pt>
                <c:pt idx="75">
                  <c:v>6462.0893464083392</c:v>
                </c:pt>
                <c:pt idx="76">
                  <c:v>6453.2136929331782</c:v>
                </c:pt>
                <c:pt idx="77">
                  <c:v>6444.2862648127457</c:v>
                </c:pt>
                <c:pt idx="78">
                  <c:v>6435.3067600282766</c:v>
                </c:pt>
                <c:pt idx="79">
                  <c:v>6426.2748747992327</c:v>
                </c:pt>
                <c:pt idx="80">
                  <c:v>6417.1903035730193</c:v>
                </c:pt>
                <c:pt idx="81">
                  <c:v>6408.0527390146526</c:v>
                </c:pt>
                <c:pt idx="82">
                  <c:v>6398.8618719963624</c:v>
                </c:pt>
                <c:pt idx="83">
                  <c:v>6389.6173915871314</c:v>
                </c:pt>
                <c:pt idx="84">
                  <c:v>6380.3189850421795</c:v>
                </c:pt>
                <c:pt idx="85">
                  <c:v>6370.9663377923835</c:v>
                </c:pt>
                <c:pt idx="86">
                  <c:v>6361.5591334336304</c:v>
                </c:pt>
                <c:pt idx="87">
                  <c:v>6352.0970537161165</c:v>
                </c:pt>
                <c:pt idx="88">
                  <c:v>6342.5797785335844</c:v>
                </c:pt>
                <c:pt idx="89">
                  <c:v>6333.0069859124869</c:v>
                </c:pt>
                <c:pt idx="90">
                  <c:v>6323.3783520011002</c:v>
                </c:pt>
                <c:pt idx="91">
                  <c:v>6313.6935510585645</c:v>
                </c:pt>
                <c:pt idx="92">
                  <c:v>6303.9522554438627</c:v>
                </c:pt>
                <c:pt idx="93">
                  <c:v>6294.1541356047419</c:v>
                </c:pt>
                <c:pt idx="94">
                  <c:v>6284.2988600665603</c:v>
                </c:pt>
                <c:pt idx="95">
                  <c:v>6274.3860954210732</c:v>
                </c:pt>
                <c:pt idx="96">
                  <c:v>6264.4155063151529</c:v>
                </c:pt>
                <c:pt idx="97">
                  <c:v>6254.3867554394483</c:v>
                </c:pt>
                <c:pt idx="98">
                  <c:v>6244.2995035169688</c:v>
                </c:pt>
                <c:pt idx="99">
                  <c:v>6234.153409291609</c:v>
                </c:pt>
                <c:pt idx="100">
                  <c:v>6223.9481295166006</c:v>
                </c:pt>
                <c:pt idx="101">
                  <c:v>6213.6833189429053</c:v>
                </c:pt>
                <c:pt idx="102">
                  <c:v>6203.358630307529</c:v>
                </c:pt>
                <c:pt idx="103">
                  <c:v>6192.9737143217808</c:v>
                </c:pt>
                <c:pt idx="104">
                  <c:v>6182.528219659448</c:v>
                </c:pt>
                <c:pt idx="105">
                  <c:v>6172.0217929449182</c:v>
                </c:pt>
                <c:pt idx="106">
                  <c:v>6161.4540787412207</c:v>
                </c:pt>
                <c:pt idx="107">
                  <c:v>6150.8247195380018</c:v>
                </c:pt>
                <c:pt idx="108">
                  <c:v>6140.133355739431</c:v>
                </c:pt>
                <c:pt idx="109">
                  <c:v>6129.3796256520345</c:v>
                </c:pt>
                <c:pt idx="110">
                  <c:v>6118.5631654724621</c:v>
                </c:pt>
                <c:pt idx="111">
                  <c:v>6107.6836092751755</c:v>
                </c:pt>
                <c:pt idx="112">
                  <c:v>6096.7405890000709</c:v>
                </c:pt>
                <c:pt idx="113">
                  <c:v>6085.7337344400285</c:v>
                </c:pt>
                <c:pt idx="114">
                  <c:v>6074.6626732283858</c:v>
                </c:pt>
                <c:pt idx="115">
                  <c:v>6063.5270308263425</c:v>
                </c:pt>
                <c:pt idx="116">
                  <c:v>6052.3264305102866</c:v>
                </c:pt>
                <c:pt idx="117">
                  <c:v>6041.060493359053</c:v>
                </c:pt>
                <c:pt idx="118">
                  <c:v>6029.7288382411052</c:v>
                </c:pt>
                <c:pt idx="119">
                  <c:v>6018.3310818016353</c:v>
                </c:pt>
                <c:pt idx="120">
                  <c:v>6006.8668384496023</c:v>
                </c:pt>
                <c:pt idx="121">
                  <c:v>5995.3357203446822</c:v>
                </c:pt>
                <c:pt idx="122">
                  <c:v>5983.7373373841501</c:v>
                </c:pt>
                <c:pt idx="123">
                  <c:v>5972.071297189681</c:v>
                </c:pt>
                <c:pt idx="124">
                  <c:v>5960.3372050940779</c:v>
                </c:pt>
                <c:pt idx="125">
                  <c:v>5948.5346641279175</c:v>
                </c:pt>
                <c:pt idx="126">
                  <c:v>5936.6632750061208</c:v>
                </c:pt>
                <c:pt idx="127">
                  <c:v>5924.7226361144476</c:v>
                </c:pt>
                <c:pt idx="128">
                  <c:v>5912.7123434959049</c:v>
                </c:pt>
                <c:pt idx="129">
                  <c:v>5900.6319908370888</c:v>
                </c:pt>
                <c:pt idx="130">
                  <c:v>5888.4811694544287</c:v>
                </c:pt>
                <c:pt idx="131">
                  <c:v>5876.2594682803701</c:v>
                </c:pt>
                <c:pt idx="132">
                  <c:v>5863.9664738494621</c:v>
                </c:pt>
                <c:pt idx="133">
                  <c:v>5851.6017702843747</c:v>
                </c:pt>
                <c:pt idx="134">
                  <c:v>5839.1649392818244</c:v>
                </c:pt>
                <c:pt idx="135">
                  <c:v>5826.6555600984257</c:v>
                </c:pt>
                <c:pt idx="136">
                  <c:v>5814.0732095364574</c:v>
                </c:pt>
                <c:pt idx="137">
                  <c:v>5801.4174619295436</c:v>
                </c:pt>
                <c:pt idx="138">
                  <c:v>5788.6878891282568</c:v>
                </c:pt>
                <c:pt idx="139">
                  <c:v>5775.8840604856287</c:v>
                </c:pt>
                <c:pt idx="140">
                  <c:v>5763.0055428425858</c:v>
                </c:pt>
                <c:pt idx="141">
                  <c:v>5750.051900513291</c:v>
                </c:pt>
                <c:pt idx="142">
                  <c:v>5737.0226952704088</c:v>
                </c:pt>
                <c:pt idx="143">
                  <c:v>5723.9174863302769</c:v>
                </c:pt>
                <c:pt idx="144">
                  <c:v>5710.7358303379933</c:v>
                </c:pt>
                <c:pt idx="145">
                  <c:v>5697.4772813524223</c:v>
                </c:pt>
                <c:pt idx="146">
                  <c:v>5684.1413908311015</c:v>
                </c:pt>
                <c:pt idx="147">
                  <c:v>5670.727707615074</c:v>
                </c:pt>
                <c:pt idx="148">
                  <c:v>5657.2357779136191</c:v>
                </c:pt>
                <c:pt idx="149">
                  <c:v>5643.6651452889055</c:v>
                </c:pt>
                <c:pt idx="150">
                  <c:v>5630.0153506405477</c:v>
                </c:pt>
                <c:pt idx="151">
                  <c:v>5616.2859321900751</c:v>
                </c:pt>
                <c:pt idx="152">
                  <c:v>5602.4764254653073</c:v>
                </c:pt>
                <c:pt idx="153">
                  <c:v>5588.5863632846458</c:v>
                </c:pt>
                <c:pt idx="154">
                  <c:v>5574.6152757412628</c:v>
                </c:pt>
                <c:pt idx="155">
                  <c:v>5560.562690187211</c:v>
                </c:pt>
                <c:pt idx="156">
                  <c:v>5546.4281312174271</c:v>
                </c:pt>
                <c:pt idx="157">
                  <c:v>5532.2111206536529</c:v>
                </c:pt>
                <c:pt idx="158">
                  <c:v>5517.9111775282572</c:v>
                </c:pt>
                <c:pt idx="159">
                  <c:v>5503.5278180679625</c:v>
                </c:pt>
                <c:pt idx="160">
                  <c:v>5489.0605556774826</c:v>
                </c:pt>
                <c:pt idx="161">
                  <c:v>5474.5089009230587</c:v>
                </c:pt>
                <c:pt idx="162">
                  <c:v>5459.8723615159006</c:v>
                </c:pt>
                <c:pt idx="163">
                  <c:v>5445.1504422955331</c:v>
                </c:pt>
                <c:pt idx="164">
                  <c:v>5430.3426452130479</c:v>
                </c:pt>
                <c:pt idx="165">
                  <c:v>5415.4484693142476</c:v>
                </c:pt>
                <c:pt idx="166">
                  <c:v>5400.4674107227047</c:v>
                </c:pt>
                <c:pt idx="167">
                  <c:v>5385.3989626227112</c:v>
                </c:pt>
                <c:pt idx="168">
                  <c:v>5370.2426152421349</c:v>
                </c:pt>
                <c:pt idx="169">
                  <c:v>5354.9978558351704</c:v>
                </c:pt>
                <c:pt idx="170">
                  <c:v>5339.6641686649991</c:v>
                </c:pt>
                <c:pt idx="171">
                  <c:v>5324.2410349863358</c:v>
                </c:pt>
                <c:pt idx="172">
                  <c:v>5308.7279330278807</c:v>
                </c:pt>
                <c:pt idx="173">
                  <c:v>5293.1243379746666</c:v>
                </c:pt>
                <c:pt idx="174">
                  <c:v>5277.4297219503096</c:v>
                </c:pt>
                <c:pt idx="175">
                  <c:v>5261.6435539991435</c:v>
                </c:pt>
                <c:pt idx="176">
                  <c:v>5245.7653000682621</c:v>
                </c:pt>
                <c:pt idx="177">
                  <c:v>5229.794422989451</c:v>
                </c:pt>
                <c:pt idx="178">
                  <c:v>5213.7303824610135</c:v>
                </c:pt>
                <c:pt idx="179">
                  <c:v>5197.5726350294935</c:v>
                </c:pt>
                <c:pt idx="180">
                  <c:v>5181.3206340712895</c:v>
                </c:pt>
                <c:pt idx="181">
                  <c:v>5164.9738297741624</c:v>
                </c:pt>
                <c:pt idx="182">
                  <c:v>5148.5316691186354</c:v>
                </c:pt>
                <c:pt idx="183">
                  <c:v>5131.9935958592851</c:v>
                </c:pt>
                <c:pt idx="184">
                  <c:v>5115.359050505921</c:v>
                </c:pt>
                <c:pt idx="185">
                  <c:v>5098.6274703046629</c:v>
                </c:pt>
                <c:pt idx="186">
                  <c:v>5081.7982892188975</c:v>
                </c:pt>
                <c:pt idx="187">
                  <c:v>5064.8709379101319</c:v>
                </c:pt>
                <c:pt idx="188">
                  <c:v>5047.8448437187317</c:v>
                </c:pt>
                <c:pt idx="189">
                  <c:v>5030.7194306445472</c:v>
                </c:pt>
                <c:pt idx="190">
                  <c:v>5013.4941193274308</c:v>
                </c:pt>
                <c:pt idx="191">
                  <c:v>4996.1683270276317</c:v>
                </c:pt>
                <c:pt idx="192">
                  <c:v>4978.7414676060835</c:v>
                </c:pt>
                <c:pt idx="193">
                  <c:v>4961.2129515045763</c:v>
                </c:pt>
                <c:pt idx="194">
                  <c:v>4943.5821857258097</c:v>
                </c:pt>
                <c:pt idx="195">
                  <c:v>4925.848573813334</c:v>
                </c:pt>
                <c:pt idx="196">
                  <c:v>4908.0115158313693</c:v>
                </c:pt>
                <c:pt idx="197">
                  <c:v>4890.0704083445089</c:v>
                </c:pt>
                <c:pt idx="198">
                  <c:v>4872.0246443973092</c:v>
                </c:pt>
                <c:pt idx="199">
                  <c:v>4853.8736134937508</c:v>
                </c:pt>
                <c:pt idx="200">
                  <c:v>4835.6167015765877</c:v>
                </c:pt>
                <c:pt idx="201">
                  <c:v>4817.2532910065756</c:v>
                </c:pt>
                <c:pt idx="202">
                  <c:v>4798.7827605415705</c:v>
                </c:pt>
                <c:pt idx="203">
                  <c:v>4780.2044853155203</c:v>
                </c:pt>
                <c:pt idx="204">
                  <c:v>4761.5178368173174</c:v>
                </c:pt>
                <c:pt idx="205">
                  <c:v>4742.7221828695428</c:v>
                </c:pt>
                <c:pt idx="206">
                  <c:v>4723.8168876070722</c:v>
                </c:pt>
                <c:pt idx="207">
                  <c:v>4704.8013114555706</c:v>
                </c:pt>
                <c:pt idx="208">
                  <c:v>4685.6748111098523</c:v>
                </c:pt>
                <c:pt idx="209">
                  <c:v>4666.4367395121171</c:v>
                </c:pt>
                <c:pt idx="210">
                  <c:v>4647.0864458300612</c:v>
                </c:pt>
                <c:pt idx="211">
                  <c:v>4627.6232754348603</c:v>
                </c:pt>
                <c:pt idx="212">
                  <c:v>4608.0465698790213</c:v>
                </c:pt>
                <c:pt idx="213">
                  <c:v>4588.3556668741057</c:v>
                </c:pt>
                <c:pt idx="214">
                  <c:v>4568.5499002683282</c:v>
                </c:pt>
                <c:pt idx="215">
                  <c:v>4548.6286000240179</c:v>
                </c:pt>
                <c:pt idx="216">
                  <c:v>4528.591092194948</c:v>
                </c:pt>
                <c:pt idx="217">
                  <c:v>4508.4366989035425</c:v>
                </c:pt>
                <c:pt idx="218">
                  <c:v>4488.1647383179379</c:v>
                </c:pt>
                <c:pt idx="219">
                  <c:v>4467.774524628916</c:v>
                </c:pt>
                <c:pt idx="220">
                  <c:v>4447.2653680267085</c:v>
                </c:pt>
                <c:pt idx="221">
                  <c:v>4426.6365746776546</c:v>
                </c:pt>
                <c:pt idx="222">
                  <c:v>4405.8874467007308</c:v>
                </c:pt>
                <c:pt idx="223">
                  <c:v>4385.0172821439428</c:v>
                </c:pt>
                <c:pt idx="224">
                  <c:v>4364.0253749605727</c:v>
                </c:pt>
                <c:pt idx="225">
                  <c:v>4342.9110149853004</c:v>
                </c:pt>
                <c:pt idx="226">
                  <c:v>4321.6734879101714</c:v>
                </c:pt>
                <c:pt idx="227">
                  <c:v>4300.3120752604382</c:v>
                </c:pt>
                <c:pt idx="228">
                  <c:v>4278.8260543702481</c:v>
                </c:pt>
                <c:pt idx="229">
                  <c:v>4257.2146983581979</c:v>
                </c:pt>
                <c:pt idx="230">
                  <c:v>4235.4772761027443</c:v>
                </c:pt>
                <c:pt idx="231">
                  <c:v>4213.6130522174681</c:v>
                </c:pt>
                <c:pt idx="232">
                  <c:v>4191.6212870261943</c:v>
                </c:pt>
                <c:pt idx="233">
                  <c:v>4169.5012365379707</c:v>
                </c:pt>
                <c:pt idx="234">
                  <c:v>4147.2521524218992</c:v>
                </c:pt>
                <c:pt idx="235">
                  <c:v>4124.8732819818169</c:v>
                </c:pt>
                <c:pt idx="236">
                  <c:v>4102.3638681308348</c:v>
                </c:pt>
                <c:pt idx="237">
                  <c:v>4079.7231493657218</c:v>
                </c:pt>
                <c:pt idx="238">
                  <c:v>4056.9503597411458</c:v>
                </c:pt>
                <c:pt idx="239">
                  <c:v>4034.0447288437595</c:v>
                </c:pt>
                <c:pt idx="240">
                  <c:v>4011.005481766138</c:v>
                </c:pt>
                <c:pt idx="241">
                  <c:v>3987.8318390805648</c:v>
                </c:pt>
                <c:pt idx="242">
                  <c:v>3964.5230168126586</c:v>
                </c:pt>
                <c:pt idx="243">
                  <c:v>3941.0782264148561</c:v>
                </c:pt>
                <c:pt idx="244">
                  <c:v>3917.496674739733</c:v>
                </c:pt>
                <c:pt idx="245">
                  <c:v>3893.7775640131722</c:v>
                </c:pt>
                <c:pt idx="246">
                  <c:v>3869.9200918073725</c:v>
                </c:pt>
                <c:pt idx="247">
                  <c:v>3845.9234510137062</c:v>
                </c:pt>
                <c:pt idx="248">
                  <c:v>3821.7868298154099</c:v>
                </c:pt>
                <c:pt idx="249">
                  <c:v>3797.509411660124</c:v>
                </c:pt>
                <c:pt idx="250">
                  <c:v>3773.0903752322656</c:v>
                </c:pt>
                <c:pt idx="251">
                  <c:v>3748.5288944252443</c:v>
                </c:pt>
                <c:pt idx="252">
                  <c:v>3723.8241383135155</c:v>
                </c:pt>
                <c:pt idx="253">
                  <c:v>3698.9752711244682</c:v>
                </c:pt>
                <c:pt idx="254">
                  <c:v>3673.9814522101515</c:v>
                </c:pt>
                <c:pt idx="255">
                  <c:v>3648.8418360188343</c:v>
                </c:pt>
                <c:pt idx="256">
                  <c:v>3623.5555720664015</c:v>
                </c:pt>
                <c:pt idx="257">
                  <c:v>3598.1218049075796</c:v>
                </c:pt>
                <c:pt idx="258">
                  <c:v>3572.5396741069976</c:v>
                </c:pt>
                <c:pt idx="259">
                  <c:v>3546.8083142100786</c:v>
                </c:pt>
                <c:pt idx="260">
                  <c:v>3520.9268547137608</c:v>
                </c:pt>
                <c:pt idx="261">
                  <c:v>3494.8944200370488</c:v>
                </c:pt>
                <c:pt idx="262">
                  <c:v>3468.7101294913887</c:v>
                </c:pt>
                <c:pt idx="263">
                  <c:v>3442.3730972508788</c:v>
                </c:pt>
                <c:pt idx="264">
                  <c:v>3415.8824323222998</c:v>
                </c:pt>
                <c:pt idx="265">
                  <c:v>3389.2372385149711</c:v>
                </c:pt>
                <c:pt idx="266">
                  <c:v>3362.436614410432</c:v>
                </c:pt>
                <c:pt idx="267">
                  <c:v>3335.47965333195</c:v>
                </c:pt>
                <c:pt idx="268">
                  <c:v>3308.3654433138436</c:v>
                </c:pt>
                <c:pt idx="269">
                  <c:v>3281.0930670706312</c:v>
                </c:pt>
                <c:pt idx="270">
                  <c:v>3253.6616019660009</c:v>
                </c:pt>
                <c:pt idx="271">
                  <c:v>3226.0701199815931</c:v>
                </c:pt>
                <c:pt idx="272">
                  <c:v>3198.3176876856101</c:v>
                </c:pt>
                <c:pt idx="273">
                  <c:v>3170.403366201233</c:v>
                </c:pt>
                <c:pt idx="274">
                  <c:v>3142.3262111748641</c:v>
                </c:pt>
                <c:pt idx="275">
                  <c:v>3114.0852727441743</c:v>
                </c:pt>
                <c:pt idx="276">
                  <c:v>3085.6795955059724</c:v>
                </c:pt>
                <c:pt idx="277">
                  <c:v>3057.108218483881</c:v>
                </c:pt>
                <c:pt idx="278">
                  <c:v>3028.370175095828</c:v>
                </c:pt>
                <c:pt idx="279">
                  <c:v>2999.4644931213443</c:v>
                </c:pt>
                <c:pt idx="280">
                  <c:v>2970.390194668676</c:v>
                </c:pt>
                <c:pt idx="281">
                  <c:v>2941.1462961417005</c:v>
                </c:pt>
                <c:pt idx="282">
                  <c:v>2911.7318082066508</c:v>
                </c:pt>
                <c:pt idx="283">
                  <c:v>2882.1457357586469</c:v>
                </c:pt>
                <c:pt idx="284">
                  <c:v>2852.3870778880296</c:v>
                </c:pt>
                <c:pt idx="285">
                  <c:v>2822.4548278465004</c:v>
                </c:pt>
                <c:pt idx="286">
                  <c:v>2792.3479730130621</c:v>
                </c:pt>
                <c:pt idx="287">
                  <c:v>2762.0654948597621</c:v>
                </c:pt>
                <c:pt idx="288">
                  <c:v>2731.6063689172342</c:v>
                </c:pt>
                <c:pt idx="289">
                  <c:v>2700.9695647400422</c:v>
                </c:pt>
                <c:pt idx="290">
                  <c:v>2670.1540458718164</c:v>
                </c:pt>
                <c:pt idx="291">
                  <c:v>2639.1587698101926</c:v>
                </c:pt>
                <c:pt idx="292">
                  <c:v>2607.9826879715429</c:v>
                </c:pt>
                <c:pt idx="293">
                  <c:v>2576.6247456555006</c:v>
                </c:pt>
                <c:pt idx="294">
                  <c:v>2545.0838820092818</c:v>
                </c:pt>
                <c:pt idx="295">
                  <c:v>2513.3590299917932</c:v>
                </c:pt>
                <c:pt idx="296">
                  <c:v>2481.4491163375355</c:v>
                </c:pt>
                <c:pt idx="297">
                  <c:v>2449.3530615202953</c:v>
                </c:pt>
                <c:pt idx="298">
                  <c:v>2417.0697797166208</c:v>
                </c:pt>
                <c:pt idx="299">
                  <c:v>2384.5981787690916</c:v>
                </c:pt>
                <c:pt idx="300">
                  <c:v>2351.9371601493685</c:v>
                </c:pt>
                <c:pt idx="301">
                  <c:v>2319.0856189210303</c:v>
                </c:pt>
                <c:pt idx="302">
                  <c:v>2286.0424437021939</c:v>
                </c:pt>
                <c:pt idx="303">
                  <c:v>2252.8065166279139</c:v>
                </c:pt>
                <c:pt idx="304">
                  <c:v>2219.3767133123674</c:v>
                </c:pt>
                <c:pt idx="305">
                  <c:v>2185.7519028108136</c:v>
                </c:pt>
                <c:pt idx="306">
                  <c:v>2151.9309475813338</c:v>
                </c:pt>
                <c:pt idx="307">
                  <c:v>2117.912703446349</c:v>
                </c:pt>
                <c:pt idx="308">
                  <c:v>2083.6960195539095</c:v>
                </c:pt>
                <c:pt idx="309">
                  <c:v>2049.2797383387647</c:v>
                </c:pt>
                <c:pt idx="310">
                  <c:v>2014.6626954831981</c:v>
                </c:pt>
                <c:pt idx="311">
                  <c:v>1979.8437198776405</c:v>
                </c:pt>
                <c:pt idx="312">
                  <c:v>1944.8216335810507</c:v>
                </c:pt>
                <c:pt idx="313">
                  <c:v>1909.595251781064</c:v>
                </c:pt>
                <c:pt idx="314">
                  <c:v>1874.1633827539106</c:v>
                </c:pt>
                <c:pt idx="315">
                  <c:v>1838.5248278240988</c:v>
                </c:pt>
                <c:pt idx="316">
                  <c:v>1802.6783813238633</c:v>
                </c:pt>
                <c:pt idx="317">
                  <c:v>1766.6228305523764</c:v>
                </c:pt>
                <c:pt idx="318">
                  <c:v>1730.3569557347223</c:v>
                </c:pt>
                <c:pt idx="319">
                  <c:v>1693.879529980632</c:v>
                </c:pt>
                <c:pt idx="320">
                  <c:v>1657.1893192429764</c:v>
                </c:pt>
                <c:pt idx="321">
                  <c:v>1620.2850822760176</c:v>
                </c:pt>
                <c:pt idx="322">
                  <c:v>1583.1655705934184</c:v>
                </c:pt>
                <c:pt idx="323">
                  <c:v>1545.8295284260039</c:v>
                </c:pt>
                <c:pt idx="324">
                  <c:v>1508.2756926792797</c:v>
                </c:pt>
                <c:pt idx="325">
                  <c:v>1470.5027928906993</c:v>
                </c:pt>
                <c:pt idx="326">
                  <c:v>1432.5095511866857</c:v>
                </c:pt>
                <c:pt idx="327">
                  <c:v>1394.2946822393985</c:v>
                </c:pt>
                <c:pt idx="328">
                  <c:v>1355.8568932232522</c:v>
                </c:pt>
                <c:pt idx="329">
                  <c:v>1317.1948837711784</c:v>
                </c:pt>
                <c:pt idx="330">
                  <c:v>1278.3073459306343</c:v>
                </c:pt>
                <c:pt idx="331">
                  <c:v>1239.1929641193535</c:v>
                </c:pt>
                <c:pt idx="332">
                  <c:v>1199.8504150808403</c:v>
                </c:pt>
                <c:pt idx="333">
                  <c:v>1160.2783678396024</c:v>
                </c:pt>
                <c:pt idx="334">
                  <c:v>1120.475483656124</c:v>
                </c:pt>
                <c:pt idx="335">
                  <c:v>1080.4404159815751</c:v>
                </c:pt>
                <c:pt idx="336">
                  <c:v>1040.1718104122581</c:v>
                </c:pt>
                <c:pt idx="337">
                  <c:v>999.66830464378688</c:v>
                </c:pt>
                <c:pt idx="338">
                  <c:v>958.92852842499951</c:v>
                </c:pt>
                <c:pt idx="339">
                  <c:v>917.9511035116027</c:v>
                </c:pt>
                <c:pt idx="340">
                  <c:v>876.73464361954416</c:v>
                </c:pt>
                <c:pt idx="341">
                  <c:v>835.27775437811545</c:v>
                </c:pt>
                <c:pt idx="342">
                  <c:v>793.57903328277837</c:v>
                </c:pt>
                <c:pt idx="343">
                  <c:v>751.63706964771848</c:v>
                </c:pt>
                <c:pt idx="344">
                  <c:v>709.45044455812069</c:v>
                </c:pt>
                <c:pt idx="345">
                  <c:v>667.01773082216698</c:v>
                </c:pt>
                <c:pt idx="346">
                  <c:v>624.33749292275354</c:v>
                </c:pt>
                <c:pt idx="347">
                  <c:v>581.40828696892686</c:v>
                </c:pt>
                <c:pt idx="348">
                  <c:v>538.22866064703612</c:v>
                </c:pt>
                <c:pt idx="349">
                  <c:v>494.79715317160105</c:v>
                </c:pt>
                <c:pt idx="350">
                  <c:v>451.11229523589259</c:v>
                </c:pt>
                <c:pt idx="351">
                  <c:v>407.17260896222581</c:v>
                </c:pt>
                <c:pt idx="352">
                  <c:v>362.97660785196268</c:v>
                </c:pt>
                <c:pt idx="353">
                  <c:v>318.52279673522304</c:v>
                </c:pt>
                <c:pt idx="354">
                  <c:v>273.80967172030239</c:v>
                </c:pt>
                <c:pt idx="355">
                  <c:v>228.83572014279471</c:v>
                </c:pt>
                <c:pt idx="356">
                  <c:v>183.59942051441823</c:v>
                </c:pt>
                <c:pt idx="357">
                  <c:v>138.09924247154288</c:v>
                </c:pt>
                <c:pt idx="358">
                  <c:v>92.333646723417431</c:v>
                </c:pt>
                <c:pt idx="359">
                  <c:v>46.301085000094581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D8-47A1-86B2-7FAF9464C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30575"/>
        <c:axId val="1890929327"/>
      </c:scatterChart>
      <c:valAx>
        <c:axId val="91288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93855"/>
        <c:crosses val="autoZero"/>
        <c:crossBetween val="midCat"/>
      </c:valAx>
      <c:valAx>
        <c:axId val="10650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82367"/>
        <c:crosses val="autoZero"/>
        <c:crossBetween val="midCat"/>
      </c:valAx>
      <c:valAx>
        <c:axId val="1890929327"/>
        <c:scaling>
          <c:orientation val="minMax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30575"/>
        <c:crosses val="max"/>
        <c:crossBetween val="midCat"/>
      </c:valAx>
      <c:valAx>
        <c:axId val="189093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092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HELOC Amortization Schedule 11/13/2022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4441271265961"/>
          <c:y val="9.5373973194984876E-2"/>
          <c:w val="0.7702861300368542"/>
          <c:h val="0.7159864420319703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'HELOC Calculator'!$I$5</c:f>
              <c:strCache>
                <c:ptCount val="1"/>
                <c:pt idx="0">
                  <c:v>startingBalance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'HELOC Calculator'!$G$6:$G$365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Calculator'!$I$6:$I$365</c:f>
              <c:numCache>
                <c:formatCode>"$"#,##0.00_);[Red]\("$"#,##0.00\)</c:formatCode>
                <c:ptCount val="360"/>
                <c:pt idx="0" formatCode="_(&quot;$&quot;* #,##0_);_(&quot;$&quot;* \(#,##0\);_(&quot;$&quot;* &quot;-&quot;??_);_(@_)">
                  <c:v>165732.80000000005</c:v>
                </c:pt>
                <c:pt idx="1">
                  <c:v>165621.59675963502</c:v>
                </c:pt>
                <c:pt idx="2">
                  <c:v>165509.65216433423</c:v>
                </c:pt>
                <c:pt idx="3">
                  <c:v>165396.96127173142</c:v>
                </c:pt>
                <c:pt idx="4">
                  <c:v>165283.51910651126</c:v>
                </c:pt>
                <c:pt idx="5">
                  <c:v>165169.32066018964</c:v>
                </c:pt>
                <c:pt idx="6">
                  <c:v>165054.36089089254</c:v>
                </c:pt>
                <c:pt idx="7">
                  <c:v>164938.63472313347</c:v>
                </c:pt>
                <c:pt idx="8">
                  <c:v>164822.13704758932</c:v>
                </c:pt>
                <c:pt idx="9">
                  <c:v>164704.86272087489</c:v>
                </c:pt>
                <c:pt idx="10">
                  <c:v>164586.8065653157</c:v>
                </c:pt>
                <c:pt idx="11">
                  <c:v>164467.96336871944</c:v>
                </c:pt>
                <c:pt idx="12">
                  <c:v>164348.32788414587</c:v>
                </c:pt>
                <c:pt idx="13">
                  <c:v>164227.89482967515</c:v>
                </c:pt>
                <c:pt idx="14">
                  <c:v>164106.65888817463</c:v>
                </c:pt>
                <c:pt idx="15">
                  <c:v>163984.61470706409</c:v>
                </c:pt>
                <c:pt idx="16">
                  <c:v>163861.75689807947</c:v>
                </c:pt>
                <c:pt idx="17">
                  <c:v>163738.08003703499</c:v>
                </c:pt>
                <c:pt idx="18">
                  <c:v>163613.57866358352</c:v>
                </c:pt>
                <c:pt idx="19">
                  <c:v>163488.24728097572</c:v>
                </c:pt>
                <c:pt idx="20">
                  <c:v>163362.08035581719</c:v>
                </c:pt>
                <c:pt idx="21">
                  <c:v>163235.07231782426</c:v>
                </c:pt>
                <c:pt idx="22">
                  <c:v>163107.21755957807</c:v>
                </c:pt>
                <c:pt idx="23">
                  <c:v>162978.51043627691</c:v>
                </c:pt>
                <c:pt idx="24">
                  <c:v>162848.94526548707</c:v>
                </c:pt>
                <c:pt idx="25">
                  <c:v>162718.51632689196</c:v>
                </c:pt>
                <c:pt idx="26">
                  <c:v>162587.21786203954</c:v>
                </c:pt>
                <c:pt idx="27">
                  <c:v>162455.0440740881</c:v>
                </c:pt>
                <c:pt idx="28">
                  <c:v>162321.98912755033</c:v>
                </c:pt>
                <c:pt idx="29">
                  <c:v>162188.04714803564</c:v>
                </c:pt>
                <c:pt idx="30">
                  <c:v>162053.21222199083</c:v>
                </c:pt>
                <c:pt idx="31">
                  <c:v>161917.47839643908</c:v>
                </c:pt>
                <c:pt idx="32">
                  <c:v>161780.83967871699</c:v>
                </c:pt>
                <c:pt idx="33">
                  <c:v>161643.29003621006</c:v>
                </c:pt>
                <c:pt idx="34">
                  <c:v>161504.82339608643</c:v>
                </c:pt>
                <c:pt idx="35">
                  <c:v>161365.43364502865</c:v>
                </c:pt>
                <c:pt idx="36">
                  <c:v>161225.11462896381</c:v>
                </c:pt>
                <c:pt idx="37">
                  <c:v>161083.86015279187</c:v>
                </c:pt>
                <c:pt idx="38">
                  <c:v>160941.66398011212</c:v>
                </c:pt>
                <c:pt idx="39">
                  <c:v>160798.51983294784</c:v>
                </c:pt>
                <c:pt idx="40">
                  <c:v>160654.42139146914</c:v>
                </c:pt>
                <c:pt idx="41">
                  <c:v>160509.3622937139</c:v>
                </c:pt>
                <c:pt idx="42">
                  <c:v>160363.33613530698</c:v>
                </c:pt>
                <c:pt idx="43">
                  <c:v>160216.33646917733</c:v>
                </c:pt>
                <c:pt idx="44">
                  <c:v>160068.35680527348</c:v>
                </c:pt>
                <c:pt idx="45">
                  <c:v>159919.39061027693</c:v>
                </c:pt>
                <c:pt idx="46">
                  <c:v>159769.43130731373</c:v>
                </c:pt>
                <c:pt idx="47">
                  <c:v>159618.47227566413</c:v>
                </c:pt>
                <c:pt idx="48">
                  <c:v>159466.50685047021</c:v>
                </c:pt>
                <c:pt idx="49">
                  <c:v>159313.52832244165</c:v>
                </c:pt>
                <c:pt idx="50">
                  <c:v>159159.52993755956</c:v>
                </c:pt>
                <c:pt idx="51">
                  <c:v>159004.50489677826</c:v>
                </c:pt>
                <c:pt idx="52">
                  <c:v>158848.44635572509</c:v>
                </c:pt>
                <c:pt idx="53">
                  <c:v>158691.34742439823</c:v>
                </c:pt>
                <c:pt idx="54">
                  <c:v>158533.20116686253</c:v>
                </c:pt>
                <c:pt idx="55">
                  <c:v>158374.00060094325</c:v>
                </c:pt>
                <c:pt idx="56">
                  <c:v>158213.73869791784</c:v>
                </c:pt>
                <c:pt idx="57">
                  <c:v>158052.40838220561</c:v>
                </c:pt>
                <c:pt idx="58">
                  <c:v>157890.0025310553</c:v>
                </c:pt>
                <c:pt idx="59">
                  <c:v>157726.51397423065</c:v>
                </c:pt>
                <c:pt idx="60">
                  <c:v>157561.93549369383</c:v>
                </c:pt>
                <c:pt idx="61">
                  <c:v>157396.25982328676</c:v>
                </c:pt>
                <c:pt idx="62">
                  <c:v>157229.47964841031</c:v>
                </c:pt>
                <c:pt idx="63">
                  <c:v>157061.58760570135</c:v>
                </c:pt>
                <c:pt idx="64">
                  <c:v>156892.57628270765</c:v>
                </c:pt>
                <c:pt idx="65">
                  <c:v>156722.43821756067</c:v>
                </c:pt>
                <c:pt idx="66">
                  <c:v>156551.16589864605</c:v>
                </c:pt>
                <c:pt idx="67">
                  <c:v>156378.75176427199</c:v>
                </c:pt>
                <c:pt idx="68">
                  <c:v>156205.18820233544</c:v>
                </c:pt>
                <c:pt idx="69">
                  <c:v>156030.46754998597</c:v>
                </c:pt>
                <c:pt idx="70">
                  <c:v>155854.58209328752</c:v>
                </c:pt>
                <c:pt idx="71">
                  <c:v>155677.52406687776</c:v>
                </c:pt>
                <c:pt idx="72">
                  <c:v>155499.28565362524</c:v>
                </c:pt>
                <c:pt idx="73">
                  <c:v>155319.85898428436</c:v>
                </c:pt>
                <c:pt idx="74">
                  <c:v>155139.23613714791</c:v>
                </c:pt>
                <c:pt idx="75">
                  <c:v>154957.40913769719</c:v>
                </c:pt>
                <c:pt idx="76">
                  <c:v>154774.36995825014</c:v>
                </c:pt>
                <c:pt idx="77">
                  <c:v>154590.11051760678</c:v>
                </c:pt>
                <c:pt idx="78">
                  <c:v>154404.62268069247</c:v>
                </c:pt>
                <c:pt idx="79">
                  <c:v>154217.89825819872</c:v>
                </c:pt>
                <c:pt idx="80">
                  <c:v>154029.92900622168</c:v>
                </c:pt>
                <c:pt idx="81">
                  <c:v>153840.70662589814</c:v>
                </c:pt>
                <c:pt idx="82">
                  <c:v>153650.22276303908</c:v>
                </c:pt>
                <c:pt idx="83">
                  <c:v>153458.46900776098</c:v>
                </c:pt>
                <c:pt idx="84">
                  <c:v>153265.43689411436</c:v>
                </c:pt>
                <c:pt idx="85">
                  <c:v>153071.11789971011</c:v>
                </c:pt>
                <c:pt idx="86">
                  <c:v>152875.50344534314</c:v>
                </c:pt>
                <c:pt idx="87">
                  <c:v>152678.58489461374</c:v>
                </c:pt>
                <c:pt idx="88">
                  <c:v>152480.35355354613</c:v>
                </c:pt>
                <c:pt idx="89">
                  <c:v>152280.80067020474</c:v>
                </c:pt>
                <c:pt idx="90">
                  <c:v>152079.91743430775</c:v>
                </c:pt>
                <c:pt idx="91">
                  <c:v>151877.6949768381</c:v>
                </c:pt>
                <c:pt idx="92">
                  <c:v>151674.12436965198</c:v>
                </c:pt>
                <c:pt idx="93">
                  <c:v>151469.19662508465</c:v>
                </c:pt>
                <c:pt idx="94">
                  <c:v>151262.90269555352</c:v>
                </c:pt>
                <c:pt idx="95">
                  <c:v>151055.23347315885</c:v>
                </c:pt>
                <c:pt idx="96">
                  <c:v>150846.17978928154</c:v>
                </c:pt>
                <c:pt idx="97">
                  <c:v>150635.73241417838</c:v>
                </c:pt>
                <c:pt idx="98">
                  <c:v>150423.88205657454</c:v>
                </c:pt>
                <c:pt idx="99">
                  <c:v>150210.61936325335</c:v>
                </c:pt>
                <c:pt idx="100">
                  <c:v>149995.93491864335</c:v>
                </c:pt>
                <c:pt idx="101">
                  <c:v>149779.81924440261</c:v>
                </c:pt>
                <c:pt idx="102">
                  <c:v>149562.26279900025</c:v>
                </c:pt>
                <c:pt idx="103">
                  <c:v>149343.25597729522</c:v>
                </c:pt>
                <c:pt idx="104">
                  <c:v>149122.78911011215</c:v>
                </c:pt>
                <c:pt idx="105">
                  <c:v>148900.85246381455</c:v>
                </c:pt>
                <c:pt idx="106">
                  <c:v>148677.43623987495</c:v>
                </c:pt>
                <c:pt idx="107">
                  <c:v>148452.53057444241</c:v>
                </c:pt>
                <c:pt idx="108">
                  <c:v>148226.12553790701</c:v>
                </c:pt>
                <c:pt idx="109">
                  <c:v>147998.21113446137</c:v>
                </c:pt>
                <c:pt idx="110">
                  <c:v>147768.7773016594</c:v>
                </c:pt>
                <c:pt idx="111">
                  <c:v>147537.81390997212</c:v>
                </c:pt>
                <c:pt idx="112">
                  <c:v>147305.31076234023</c:v>
                </c:pt>
                <c:pt idx="113">
                  <c:v>147071.25759372415</c:v>
                </c:pt>
                <c:pt idx="114">
                  <c:v>146835.64407065063</c:v>
                </c:pt>
                <c:pt idx="115">
                  <c:v>146598.45979075661</c:v>
                </c:pt>
                <c:pt idx="116">
                  <c:v>146359.69428232996</c:v>
                </c:pt>
                <c:pt idx="117">
                  <c:v>146119.33700384715</c:v>
                </c:pt>
                <c:pt idx="118">
                  <c:v>145877.37734350777</c:v>
                </c:pt>
                <c:pt idx="119">
                  <c:v>145633.80461876612</c:v>
                </c:pt>
                <c:pt idx="120">
                  <c:v>145388.60807585955</c:v>
                </c:pt>
                <c:pt idx="121">
                  <c:v>145141.77688933359</c:v>
                </c:pt>
                <c:pt idx="122">
                  <c:v>144893.30016156411</c:v>
                </c:pt>
                <c:pt idx="123">
                  <c:v>144643.16692227617</c:v>
                </c:pt>
                <c:pt idx="124">
                  <c:v>144391.36612805966</c:v>
                </c:pt>
                <c:pt idx="125">
                  <c:v>144137.8866618817</c:v>
                </c:pt>
                <c:pt idx="126">
                  <c:v>143882.71733259587</c:v>
                </c:pt>
                <c:pt idx="127">
                  <c:v>143625.84687444815</c:v>
                </c:pt>
                <c:pt idx="128">
                  <c:v>143367.26394657945</c:v>
                </c:pt>
                <c:pt idx="129">
                  <c:v>143106.95713252496</c:v>
                </c:pt>
                <c:pt idx="130">
                  <c:v>142844.91493971008</c:v>
                </c:pt>
                <c:pt idx="131">
                  <c:v>142581.12579894313</c:v>
                </c:pt>
                <c:pt idx="132">
                  <c:v>142315.5780639044</c:v>
                </c:pt>
                <c:pt idx="133">
                  <c:v>142048.26001063208</c:v>
                </c:pt>
                <c:pt idx="134">
                  <c:v>141779.15983700458</c:v>
                </c:pt>
                <c:pt idx="135">
                  <c:v>141508.26566221958</c:v>
                </c:pt>
                <c:pt idx="136">
                  <c:v>141235.56552626935</c:v>
                </c:pt>
                <c:pt idx="137">
                  <c:v>140961.04738941279</c:v>
                </c:pt>
                <c:pt idx="138">
                  <c:v>140684.69913164387</c:v>
                </c:pt>
                <c:pt idx="139">
                  <c:v>140406.50855215648</c:v>
                </c:pt>
                <c:pt idx="140">
                  <c:v>140126.46336880582</c:v>
                </c:pt>
                <c:pt idx="141">
                  <c:v>139844.55121756616</c:v>
                </c:pt>
                <c:pt idx="142">
                  <c:v>139560.7596519849</c:v>
                </c:pt>
                <c:pt idx="143">
                  <c:v>139275.0761426331</c:v>
                </c:pt>
                <c:pt idx="144">
                  <c:v>138987.48807655228</c:v>
                </c:pt>
                <c:pt idx="145">
                  <c:v>138697.9827566976</c:v>
                </c:pt>
                <c:pt idx="146">
                  <c:v>138406.54740137723</c:v>
                </c:pt>
                <c:pt idx="147">
                  <c:v>138113.16914368805</c:v>
                </c:pt>
                <c:pt idx="148">
                  <c:v>137817.83503094761</c:v>
                </c:pt>
                <c:pt idx="149">
                  <c:v>137520.53202412222</c:v>
                </c:pt>
                <c:pt idx="150">
                  <c:v>137221.24699725135</c:v>
                </c:pt>
                <c:pt idx="151">
                  <c:v>136919.96673686799</c:v>
                </c:pt>
                <c:pt idx="152">
                  <c:v>136616.67794141543</c:v>
                </c:pt>
                <c:pt idx="153">
                  <c:v>136311.36722065983</c:v>
                </c:pt>
                <c:pt idx="154">
                  <c:v>136004.02109509919</c:v>
                </c:pt>
                <c:pt idx="155">
                  <c:v>135694.62599536814</c:v>
                </c:pt>
                <c:pt idx="156">
                  <c:v>135383.1682616389</c:v>
                </c:pt>
                <c:pt idx="157">
                  <c:v>135069.63414301813</c:v>
                </c:pt>
                <c:pt idx="158">
                  <c:v>134754.00979693991</c:v>
                </c:pt>
                <c:pt idx="159">
                  <c:v>134436.28128855448</c:v>
                </c:pt>
                <c:pt idx="160">
                  <c:v>134116.43459011315</c:v>
                </c:pt>
                <c:pt idx="161">
                  <c:v>133794.45558034888</c:v>
                </c:pt>
                <c:pt idx="162">
                  <c:v>133470.33004385285</c:v>
                </c:pt>
                <c:pt idx="163">
                  <c:v>133144.04367044684</c:v>
                </c:pt>
                <c:pt idx="164">
                  <c:v>132815.58205455146</c:v>
                </c:pt>
                <c:pt idx="165">
                  <c:v>132484.9306945501</c:v>
                </c:pt>
                <c:pt idx="166">
                  <c:v>132152.07499214873</c:v>
                </c:pt>
                <c:pt idx="167">
                  <c:v>131817.00025173137</c:v>
                </c:pt>
                <c:pt idx="168">
                  <c:v>131479.69167971122</c:v>
                </c:pt>
                <c:pt idx="169">
                  <c:v>131140.13438387759</c:v>
                </c:pt>
                <c:pt idx="170">
                  <c:v>130798.31337273841</c:v>
                </c:pt>
                <c:pt idx="171">
                  <c:v>130454.2135548583</c:v>
                </c:pt>
                <c:pt idx="172">
                  <c:v>130107.81973819232</c:v>
                </c:pt>
                <c:pt idx="173">
                  <c:v>129759.11662941525</c:v>
                </c:pt>
                <c:pt idx="174">
                  <c:v>129408.08883324632</c:v>
                </c:pt>
                <c:pt idx="175">
                  <c:v>129054.7208517696</c:v>
                </c:pt>
                <c:pt idx="176">
                  <c:v>128698.99708374969</c:v>
                </c:pt>
                <c:pt idx="177">
                  <c:v>128340.901823943</c:v>
                </c:pt>
                <c:pt idx="178">
                  <c:v>127980.41926240426</c:v>
                </c:pt>
                <c:pt idx="179">
                  <c:v>127617.53348378859</c:v>
                </c:pt>
                <c:pt idx="180">
                  <c:v>127252.22846664881</c:v>
                </c:pt>
                <c:pt idx="181">
                  <c:v>126884.48808272812</c:v>
                </c:pt>
                <c:pt idx="182">
                  <c:v>126514.29609624794</c:v>
                </c:pt>
                <c:pt idx="183">
                  <c:v>126141.63616319123</c:v>
                </c:pt>
                <c:pt idx="184">
                  <c:v>125766.49183058081</c:v>
                </c:pt>
                <c:pt idx="185">
                  <c:v>125388.84653575299</c:v>
                </c:pt>
                <c:pt idx="186">
                  <c:v>125008.68360562631</c:v>
                </c:pt>
                <c:pt idx="187">
                  <c:v>124625.98625596546</c:v>
                </c:pt>
                <c:pt idx="188">
                  <c:v>124240.7375906402</c:v>
                </c:pt>
                <c:pt idx="189">
                  <c:v>123852.92060087944</c:v>
                </c:pt>
                <c:pt idx="190">
                  <c:v>123462.51816452028</c:v>
                </c:pt>
                <c:pt idx="191">
                  <c:v>123069.51304525205</c:v>
                </c:pt>
                <c:pt idx="192">
                  <c:v>122673.88789185537</c:v>
                </c:pt>
                <c:pt idx="193">
                  <c:v>122275.62523743605</c:v>
                </c:pt>
                <c:pt idx="194">
                  <c:v>121874.70749865392</c:v>
                </c:pt>
                <c:pt idx="195">
                  <c:v>121471.11697494659</c:v>
                </c:pt>
                <c:pt idx="196">
                  <c:v>121064.83584774788</c:v>
                </c:pt>
                <c:pt idx="197">
                  <c:v>120655.84617970117</c:v>
                </c:pt>
                <c:pt idx="198">
                  <c:v>120244.12991386748</c:v>
                </c:pt>
                <c:pt idx="199">
                  <c:v>119829.66887292823</c:v>
                </c:pt>
                <c:pt idx="200">
                  <c:v>119412.44475838273</c:v>
                </c:pt>
                <c:pt idx="201">
                  <c:v>118992.43914974025</c:v>
                </c:pt>
                <c:pt idx="202">
                  <c:v>118569.63350370683</c:v>
                </c:pt>
                <c:pt idx="203">
                  <c:v>118144.00915336653</c:v>
                </c:pt>
                <c:pt idx="204">
                  <c:v>117715.54730735728</c:v>
                </c:pt>
                <c:pt idx="205">
                  <c:v>117284.2290490413</c:v>
                </c:pt>
                <c:pt idx="206">
                  <c:v>116850.03533566988</c:v>
                </c:pt>
                <c:pt idx="207">
                  <c:v>116412.94699754265</c:v>
                </c:pt>
                <c:pt idx="208">
                  <c:v>115972.94473716123</c:v>
                </c:pt>
                <c:pt idx="209">
                  <c:v>115530.00912837728</c:v>
                </c:pt>
                <c:pt idx="210">
                  <c:v>115084.12061553476</c:v>
                </c:pt>
                <c:pt idx="211">
                  <c:v>114635.25951260663</c:v>
                </c:pt>
                <c:pt idx="212">
                  <c:v>114183.40600232565</c:v>
                </c:pt>
                <c:pt idx="213">
                  <c:v>113728.54013530945</c:v>
                </c:pt>
                <c:pt idx="214">
                  <c:v>113270.64182917982</c:v>
                </c:pt>
                <c:pt idx="215">
                  <c:v>112809.69086767599</c:v>
                </c:pt>
                <c:pt idx="216">
                  <c:v>112345.66689976213</c:v>
                </c:pt>
                <c:pt idx="217">
                  <c:v>111878.54943872885</c:v>
                </c:pt>
                <c:pt idx="218">
                  <c:v>111408.31786128868</c:v>
                </c:pt>
                <c:pt idx="219">
                  <c:v>110934.95140666558</c:v>
                </c:pt>
                <c:pt idx="220">
                  <c:v>110458.42917567832</c:v>
                </c:pt>
                <c:pt idx="221">
                  <c:v>109978.73012981782</c:v>
                </c:pt>
                <c:pt idx="222">
                  <c:v>109495.83309031825</c:v>
                </c:pt>
                <c:pt idx="223">
                  <c:v>109009.71673722201</c:v>
                </c:pt>
                <c:pt idx="224">
                  <c:v>108520.35960843846</c:v>
                </c:pt>
                <c:pt idx="225">
                  <c:v>108027.74009879636</c:v>
                </c:pt>
                <c:pt idx="226">
                  <c:v>107531.83645908997</c:v>
                </c:pt>
                <c:pt idx="227">
                  <c:v>107032.62679511888</c:v>
                </c:pt>
                <c:pt idx="228">
                  <c:v>106530.08906672131</c:v>
                </c:pt>
                <c:pt idx="229">
                  <c:v>106024.20108680108</c:v>
                </c:pt>
                <c:pt idx="230">
                  <c:v>105514.94052034806</c:v>
                </c:pt>
                <c:pt idx="231">
                  <c:v>105002.28488345201</c:v>
                </c:pt>
                <c:pt idx="232">
                  <c:v>104486.21154231</c:v>
                </c:pt>
                <c:pt idx="233">
                  <c:v>103966.69771222705</c:v>
                </c:pt>
                <c:pt idx="234">
                  <c:v>103443.7204566102</c:v>
                </c:pt>
                <c:pt idx="235">
                  <c:v>102917.2566859559</c:v>
                </c:pt>
                <c:pt idx="236">
                  <c:v>102387.28315683058</c:v>
                </c:pt>
                <c:pt idx="237">
                  <c:v>101853.77647084443</c:v>
                </c:pt>
                <c:pt idx="238">
                  <c:v>101316.71307361836</c:v>
                </c:pt>
                <c:pt idx="239">
                  <c:v>100776.06925374412</c:v>
                </c:pt>
                <c:pt idx="240">
                  <c:v>100231.82114173738</c:v>
                </c:pt>
                <c:pt idx="241">
                  <c:v>99683.944708983938</c:v>
                </c:pt>
                <c:pt idx="242">
                  <c:v>99132.415766678809</c:v>
                </c:pt>
                <c:pt idx="243">
                  <c:v>98577.209964758309</c:v>
                </c:pt>
                <c:pt idx="244">
                  <c:v>98018.302790825008</c:v>
                </c:pt>
                <c:pt idx="245">
                  <c:v>97455.669569065474</c:v>
                </c:pt>
                <c:pt idx="246">
                  <c:v>96889.285459160878</c:v>
                </c:pt>
                <c:pt idx="247">
                  <c:v>96319.125455190253</c:v>
                </c:pt>
                <c:pt idx="248">
                  <c:v>95745.164384526492</c:v>
                </c:pt>
                <c:pt idx="249">
                  <c:v>95167.376906724967</c:v>
                </c:pt>
                <c:pt idx="250">
                  <c:v>94585.737512404768</c:v>
                </c:pt>
                <c:pt idx="251">
                  <c:v>94000.220522122443</c:v>
                </c:pt>
                <c:pt idx="252">
                  <c:v>93410.800085238225</c:v>
                </c:pt>
                <c:pt idx="253">
                  <c:v>92817.450178774787</c:v>
                </c:pt>
                <c:pt idx="254">
                  <c:v>92220.144606268252</c:v>
                </c:pt>
                <c:pt idx="255">
                  <c:v>91618.856996611677</c:v>
                </c:pt>
                <c:pt idx="256">
                  <c:v>91013.56080289073</c:v>
                </c:pt>
                <c:pt idx="257">
                  <c:v>90404.229301211642</c:v>
                </c:pt>
                <c:pt idx="258">
                  <c:v>89790.835589521361</c:v>
                </c:pt>
                <c:pt idx="259">
                  <c:v>89173.352586419802</c:v>
                </c:pt>
                <c:pt idx="260">
                  <c:v>88551.753029964239</c:v>
                </c:pt>
                <c:pt idx="261">
                  <c:v>87926.009476465639</c:v>
                </c:pt>
                <c:pt idx="262">
                  <c:v>87296.094299277043</c:v>
                </c:pt>
                <c:pt idx="263">
                  <c:v>86661.979687573868</c:v>
                </c:pt>
                <c:pt idx="264">
                  <c:v>86023.637645126</c:v>
                </c:pt>
                <c:pt idx="265">
                  <c:v>85381.039989061814</c:v>
                </c:pt>
                <c:pt idx="266">
                  <c:v>84734.158348623867</c:v>
                </c:pt>
                <c:pt idx="267">
                  <c:v>84082.964163916331</c:v>
                </c:pt>
                <c:pt idx="268">
                  <c:v>83427.428684644081</c:v>
                </c:pt>
                <c:pt idx="269">
                  <c:v>82767.522968843346</c:v>
                </c:pt>
                <c:pt idx="270">
                  <c:v>82103.217881603938</c:v>
                </c:pt>
                <c:pt idx="271">
                  <c:v>81434.484093782943</c:v>
                </c:pt>
                <c:pt idx="272">
                  <c:v>80761.292080709798</c:v>
                </c:pt>
                <c:pt idx="273">
                  <c:v>80083.612120882841</c:v>
                </c:pt>
                <c:pt idx="274">
                  <c:v>79401.414294657035</c:v>
                </c:pt>
                <c:pt idx="275">
                  <c:v>78714.668482923051</c:v>
                </c:pt>
                <c:pt idx="276">
                  <c:v>78023.344365777506</c:v>
                </c:pt>
                <c:pt idx="277">
                  <c:v>77327.411421184326</c:v>
                </c:pt>
                <c:pt idx="278">
                  <c:v>76626.838923627191</c:v>
                </c:pt>
                <c:pt idx="279">
                  <c:v>75921.595942753003</c:v>
                </c:pt>
                <c:pt idx="280">
                  <c:v>75211.651342006327</c:v>
                </c:pt>
                <c:pt idx="281">
                  <c:v>74496.97377725468</c:v>
                </c:pt>
                <c:pt idx="282">
                  <c:v>73777.531695404687</c:v>
                </c:pt>
                <c:pt idx="283">
                  <c:v>73053.293333009016</c:v>
                </c:pt>
                <c:pt idx="284">
                  <c:v>72324.226714864053</c:v>
                </c:pt>
                <c:pt idx="285">
                  <c:v>71590.299652598114</c:v>
                </c:pt>
                <c:pt idx="286">
                  <c:v>70851.479743250413</c:v>
                </c:pt>
                <c:pt idx="287">
                  <c:v>70107.734367840385</c:v>
                </c:pt>
                <c:pt idx="288">
                  <c:v>69359.030689927633</c:v>
                </c:pt>
                <c:pt idx="289">
                  <c:v>68605.335654162118</c:v>
                </c:pt>
                <c:pt idx="290">
                  <c:v>67846.615984824835</c:v>
                </c:pt>
                <c:pt idx="291">
                  <c:v>67082.838184358639</c:v>
                </c:pt>
                <c:pt idx="292">
                  <c:v>66313.968531889332</c:v>
                </c:pt>
                <c:pt idx="293">
                  <c:v>65539.973081736898</c:v>
                </c:pt>
                <c:pt idx="294">
                  <c:v>64760.817661916786</c:v>
                </c:pt>
                <c:pt idx="295">
                  <c:v>63976.467872631205</c:v>
                </c:pt>
                <c:pt idx="296">
                  <c:v>63186.889084750386</c:v>
                </c:pt>
                <c:pt idx="297">
                  <c:v>62392.046438283694</c:v>
                </c:pt>
                <c:pt idx="298">
                  <c:v>61591.904840840558</c:v>
                </c:pt>
                <c:pt idx="299">
                  <c:v>60786.428966081134</c:v>
                </c:pt>
                <c:pt idx="300">
                  <c:v>59975.583252156648</c:v>
                </c:pt>
                <c:pt idx="301">
                  <c:v>59159.331900139332</c:v>
                </c:pt>
                <c:pt idx="302">
                  <c:v>58337.638872441901</c:v>
                </c:pt>
                <c:pt idx="303">
                  <c:v>57510.467891226486</c:v>
                </c:pt>
                <c:pt idx="304">
                  <c:v>56677.782436802969</c:v>
                </c:pt>
                <c:pt idx="305">
                  <c:v>55839.545746016629</c:v>
                </c:pt>
                <c:pt idx="306">
                  <c:v>54995.720810625047</c:v>
                </c:pt>
                <c:pt idx="307">
                  <c:v>54146.270375664186</c:v>
                </c:pt>
                <c:pt idx="308">
                  <c:v>53291.156937803586</c:v>
                </c:pt>
                <c:pt idx="309">
                  <c:v>52430.342743690584</c:v>
                </c:pt>
                <c:pt idx="310">
                  <c:v>51563.789788283495</c:v>
                </c:pt>
                <c:pt idx="311">
                  <c:v>50691.459813173693</c:v>
                </c:pt>
                <c:pt idx="312">
                  <c:v>49813.314304896492</c:v>
                </c:pt>
                <c:pt idx="313">
                  <c:v>48929.314493230777</c:v>
                </c:pt>
                <c:pt idx="314">
                  <c:v>48039.421349487289</c:v>
                </c:pt>
                <c:pt idx="315">
                  <c:v>47143.595584785508</c:v>
                </c:pt>
                <c:pt idx="316">
                  <c:v>46241.79764831905</c:v>
                </c:pt>
                <c:pt idx="317">
                  <c:v>45333.987725609484</c:v>
                </c:pt>
                <c:pt idx="318">
                  <c:v>44420.125736748516</c:v>
                </c:pt>
                <c:pt idx="319">
                  <c:v>43500.171334628481</c:v>
                </c:pt>
                <c:pt idx="320">
                  <c:v>42574.083903160979</c:v>
                </c:pt>
                <c:pt idx="321">
                  <c:v>41641.82255548369</c:v>
                </c:pt>
                <c:pt idx="322">
                  <c:v>40703.346132155217</c:v>
                </c:pt>
                <c:pt idx="323">
                  <c:v>39758.613199337888</c:v>
                </c:pt>
                <c:pt idx="324">
                  <c:v>38807.582046968448</c:v>
                </c:pt>
                <c:pt idx="325">
                  <c:v>37850.210686916544</c:v>
                </c:pt>
                <c:pt idx="326">
                  <c:v>36886.456851130963</c:v>
                </c:pt>
                <c:pt idx="327">
                  <c:v>35916.277989773473</c:v>
                </c:pt>
                <c:pt idx="328">
                  <c:v>34939.631269340265</c:v>
                </c:pt>
                <c:pt idx="329">
                  <c:v>33956.473570770839</c:v>
                </c:pt>
                <c:pt idx="330">
                  <c:v>32966.761487544281</c:v>
                </c:pt>
                <c:pt idx="331">
                  <c:v>31970.451323762882</c:v>
                </c:pt>
                <c:pt idx="332">
                  <c:v>30967.499092222941</c:v>
                </c:pt>
                <c:pt idx="333">
                  <c:v>29957.860512472733</c:v>
                </c:pt>
                <c:pt idx="334">
                  <c:v>28941.491008857523</c:v>
                </c:pt>
                <c:pt idx="335">
                  <c:v>27918.345708551544</c:v>
                </c:pt>
                <c:pt idx="336">
                  <c:v>26888.37943957686</c:v>
                </c:pt>
                <c:pt idx="337">
                  <c:v>25851.546728809011</c:v>
                </c:pt>
                <c:pt idx="338">
                  <c:v>24807.801799969377</c:v>
                </c:pt>
                <c:pt idx="339">
                  <c:v>23757.098571604143</c:v>
                </c:pt>
                <c:pt idx="340">
                  <c:v>22699.39065504981</c:v>
                </c:pt>
                <c:pt idx="341">
                  <c:v>21634.631352385113</c:v>
                </c:pt>
                <c:pt idx="342">
                  <c:v>20562.773654369317</c:v>
                </c:pt>
                <c:pt idx="343">
                  <c:v>19483.770238366753</c:v>
                </c:pt>
                <c:pt idx="344">
                  <c:v>18397.573466257505</c:v>
                </c:pt>
                <c:pt idx="345">
                  <c:v>17304.135382334192</c:v>
                </c:pt>
                <c:pt idx="346">
                  <c:v>16203.407711184725</c:v>
                </c:pt>
                <c:pt idx="347">
                  <c:v>15095.34185556093</c:v>
                </c:pt>
                <c:pt idx="348">
                  <c:v>13979.888894232974</c:v>
                </c:pt>
                <c:pt idx="349">
                  <c:v>12856.999579829499</c:v>
                </c:pt>
                <c:pt idx="350">
                  <c:v>11726.624336663333</c:v>
                </c:pt>
                <c:pt idx="351">
                  <c:v>10588.713258542728</c:v>
                </c:pt>
                <c:pt idx="352">
                  <c:v>9443.2161065679848</c:v>
                </c:pt>
                <c:pt idx="353">
                  <c:v>8290.0823069134094</c:v>
                </c:pt>
                <c:pt idx="354">
                  <c:v>7129.2609485944704</c:v>
                </c:pt>
                <c:pt idx="355">
                  <c:v>5960.7007812200718</c:v>
                </c:pt>
                <c:pt idx="356">
                  <c:v>4784.3502127298443</c:v>
                </c:pt>
                <c:pt idx="357">
                  <c:v>3600.1573071163484</c:v>
                </c:pt>
                <c:pt idx="358">
                  <c:v>2408.069782132096</c:v>
                </c:pt>
                <c:pt idx="359">
                  <c:v>1208.0350069812819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EA-4926-9FAE-0F9B62A1FD13}"/>
            </c:ext>
          </c:extLst>
        </c:ser>
        <c:ser>
          <c:idx val="1"/>
          <c:order val="1"/>
          <c:tx>
            <c:strRef>
              <c:f>'HELOC Calculator'!$O$5</c:f>
              <c:strCache>
                <c:ptCount val="1"/>
                <c:pt idx="0">
                  <c:v>cumulativePrincipal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'HELOC Calculator'!$G$6:$G$365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Calculator'!$O$6:$O$365</c:f>
              <c:numCache>
                <c:formatCode>"$"#,##0.00_);[Red]\("$"#,##0.00\)</c:formatCode>
                <c:ptCount val="360"/>
                <c:pt idx="0">
                  <c:v>111.2032403650278</c:v>
                </c:pt>
                <c:pt idx="1">
                  <c:v>223.14783566582241</c:v>
                </c:pt>
                <c:pt idx="2">
                  <c:v>335.83872826862216</c:v>
                </c:pt>
                <c:pt idx="3">
                  <c:v>449.28089348877415</c:v>
                </c:pt>
                <c:pt idx="4">
                  <c:v>563.47933981039387</c:v>
                </c:pt>
                <c:pt idx="5">
                  <c:v>678.43910910749105</c:v>
                </c:pt>
                <c:pt idx="6">
                  <c:v>794.16527686656877</c:v>
                </c:pt>
                <c:pt idx="7">
                  <c:v>910.66295241070702</c:v>
                </c:pt>
                <c:pt idx="8">
                  <c:v>1027.9372791251396</c:v>
                </c:pt>
                <c:pt idx="9">
                  <c:v>1145.9934346843349</c:v>
                </c:pt>
                <c:pt idx="10">
                  <c:v>1264.8366312805917</c:v>
                </c:pt>
                <c:pt idx="11">
                  <c:v>1384.4721158541568</c:v>
                </c:pt>
                <c:pt idx="12">
                  <c:v>1504.905170324879</c:v>
                </c:pt>
                <c:pt idx="13">
                  <c:v>1626.1411118254061</c:v>
                </c:pt>
                <c:pt idx="14">
                  <c:v>1748.1852929359366</c:v>
                </c:pt>
                <c:pt idx="15">
                  <c:v>1871.0431019205373</c:v>
                </c:pt>
                <c:pt idx="16">
                  <c:v>1994.7199629650354</c:v>
                </c:pt>
                <c:pt idx="17">
                  <c:v>2119.2213364164968</c:v>
                </c:pt>
                <c:pt idx="18">
                  <c:v>2244.552719024301</c:v>
                </c:pt>
                <c:pt idx="19">
                  <c:v>2370.7196441828246</c:v>
                </c:pt>
                <c:pt idx="20">
                  <c:v>2497.7276821757378</c:v>
                </c:pt>
                <c:pt idx="21">
                  <c:v>2625.5824404219375</c:v>
                </c:pt>
                <c:pt idx="22">
                  <c:v>2754.2895637231118</c:v>
                </c:pt>
                <c:pt idx="23">
                  <c:v>2883.8547345129605</c:v>
                </c:pt>
                <c:pt idx="24">
                  <c:v>3014.2836731080747</c:v>
                </c:pt>
                <c:pt idx="25">
                  <c:v>3145.5821379604895</c:v>
                </c:pt>
                <c:pt idx="26">
                  <c:v>3277.7559259119207</c:v>
                </c:pt>
                <c:pt idx="27">
                  <c:v>3410.8108724496947</c:v>
                </c:pt>
                <c:pt idx="28">
                  <c:v>3544.7528519643874</c:v>
                </c:pt>
                <c:pt idx="29">
                  <c:v>3679.5877780091778</c:v>
                </c:pt>
                <c:pt idx="30">
                  <c:v>3815.3216035609335</c:v>
                </c:pt>
                <c:pt idx="31">
                  <c:v>3951.9603212830343</c:v>
                </c:pt>
                <c:pt idx="32">
                  <c:v>4089.5099637899493</c:v>
                </c:pt>
                <c:pt idx="33">
                  <c:v>4227.9766039135766</c:v>
                </c:pt>
                <c:pt idx="34">
                  <c:v>4367.3663549713619</c:v>
                </c:pt>
                <c:pt idx="35">
                  <c:v>4507.6853710361993</c:v>
                </c:pt>
                <c:pt idx="36">
                  <c:v>4648.9398472081357</c:v>
                </c:pt>
                <c:pt idx="37">
                  <c:v>4791.1360198878847</c:v>
                </c:pt>
                <c:pt idx="38">
                  <c:v>4934.2801670521658</c:v>
                </c:pt>
                <c:pt idx="39">
                  <c:v>5078.3786085308748</c:v>
                </c:pt>
                <c:pt idx="40">
                  <c:v>5223.4377062861086</c:v>
                </c:pt>
                <c:pt idx="41">
                  <c:v>5369.4638646930434</c:v>
                </c:pt>
                <c:pt idx="42">
                  <c:v>5516.4635308226916</c:v>
                </c:pt>
                <c:pt idx="43">
                  <c:v>5664.4431947265375</c:v>
                </c:pt>
                <c:pt idx="44">
                  <c:v>5813.4093897230759</c:v>
                </c:pt>
                <c:pt idx="45">
                  <c:v>5963.3686926862574</c:v>
                </c:pt>
                <c:pt idx="46">
                  <c:v>6114.3277243358607</c:v>
                </c:pt>
                <c:pt idx="47">
                  <c:v>6266.2931495297944</c:v>
                </c:pt>
                <c:pt idx="48">
                  <c:v>6419.271677558354</c:v>
                </c:pt>
                <c:pt idx="49">
                  <c:v>6573.2700624404379</c:v>
                </c:pt>
                <c:pt idx="50">
                  <c:v>6728.2951032217352</c:v>
                </c:pt>
                <c:pt idx="51">
                  <c:v>6884.3536442749082</c:v>
                </c:pt>
                <c:pt idx="52">
                  <c:v>7041.4525756017692</c:v>
                </c:pt>
                <c:pt idx="53">
                  <c:v>7199.5988331374756</c:v>
                </c:pt>
                <c:pt idx="54">
                  <c:v>7358.7993990567538</c:v>
                </c:pt>
                <c:pt idx="55">
                  <c:v>7519.0613020821602</c:v>
                </c:pt>
                <c:pt idx="56">
                  <c:v>7680.3916177944029</c:v>
                </c:pt>
                <c:pt idx="57">
                  <c:v>7842.7974689447274</c:v>
                </c:pt>
                <c:pt idx="58">
                  <c:v>8006.2860257693865</c:v>
                </c:pt>
                <c:pt idx="59">
                  <c:v>8170.8645063062104</c:v>
                </c:pt>
                <c:pt idx="60">
                  <c:v>8336.5401767132789</c:v>
                </c:pt>
                <c:pt idx="61">
                  <c:v>8503.3203515897294</c:v>
                </c:pt>
                <c:pt idx="62">
                  <c:v>8671.2123942986891</c:v>
                </c:pt>
                <c:pt idx="63">
                  <c:v>8840.2237172923742</c:v>
                </c:pt>
                <c:pt idx="64">
                  <c:v>9010.3617824393514</c:v>
                </c:pt>
                <c:pt idx="65">
                  <c:v>9181.634101353975</c:v>
                </c:pt>
                <c:pt idx="66">
                  <c:v>9354.0482357280289</c:v>
                </c:pt>
                <c:pt idx="67">
                  <c:v>9527.6117976645764</c:v>
                </c:pt>
                <c:pt idx="68">
                  <c:v>9702.3324500140352</c:v>
                </c:pt>
                <c:pt idx="69">
                  <c:v>9878.2179067124907</c:v>
                </c:pt>
                <c:pt idx="70">
                  <c:v>10055.275933122268</c:v>
                </c:pt>
                <c:pt idx="71">
                  <c:v>10233.514346374777</c:v>
                </c:pt>
                <c:pt idx="72">
                  <c:v>10412.941015715636</c:v>
                </c:pt>
                <c:pt idx="73">
                  <c:v>10593.563862852101</c:v>
                </c:pt>
                <c:pt idx="74">
                  <c:v>10775.390862302809</c:v>
                </c:pt>
                <c:pt idx="75">
                  <c:v>10958.430041749856</c:v>
                </c:pt>
                <c:pt idx="76">
                  <c:v>11142.689482393216</c:v>
                </c:pt>
                <c:pt idx="77">
                  <c:v>11328.177319307531</c:v>
                </c:pt>
                <c:pt idx="78">
                  <c:v>11514.901741801277</c:v>
                </c:pt>
                <c:pt idx="79">
                  <c:v>11702.870993778313</c:v>
                </c:pt>
                <c:pt idx="80">
                  <c:v>11892.093374101863</c:v>
                </c:pt>
                <c:pt idx="81">
                  <c:v>12082.577236960904</c:v>
                </c:pt>
                <c:pt idx="82">
                  <c:v>12274.330992239005</c:v>
                </c:pt>
                <c:pt idx="83">
                  <c:v>12467.363105885626</c:v>
                </c:pt>
                <c:pt idx="84">
                  <c:v>12661.682100289892</c:v>
                </c:pt>
                <c:pt idx="85">
                  <c:v>12857.296554656852</c:v>
                </c:pt>
                <c:pt idx="86">
                  <c:v>13054.21510538626</c:v>
                </c:pt>
                <c:pt idx="87">
                  <c:v>13252.446446453863</c:v>
                </c:pt>
                <c:pt idx="88">
                  <c:v>13451.99932979525</c:v>
                </c:pt>
                <c:pt idx="89">
                  <c:v>13652.882565692245</c:v>
                </c:pt>
                <c:pt idx="90">
                  <c:v>13855.105023161888</c:v>
                </c:pt>
                <c:pt idx="91">
                  <c:v>14058.675630347996</c:v>
                </c:pt>
                <c:pt idx="92">
                  <c:v>14263.603374915345</c:v>
                </c:pt>
                <c:pt idx="93">
                  <c:v>14469.897304446475</c:v>
                </c:pt>
                <c:pt idx="94">
                  <c:v>14677.566526841147</c:v>
                </c:pt>
                <c:pt idx="95">
                  <c:v>14886.620210718449</c:v>
                </c:pt>
                <c:pt idx="96">
                  <c:v>15097.0675858216</c:v>
                </c:pt>
                <c:pt idx="97">
                  <c:v>15308.917943425438</c:v>
                </c:pt>
                <c:pt idx="98">
                  <c:v>15522.180636746636</c:v>
                </c:pt>
                <c:pt idx="99">
                  <c:v>15736.865081356642</c:v>
                </c:pt>
                <c:pt idx="100">
                  <c:v>15952.98075559738</c:v>
                </c:pt>
                <c:pt idx="101">
                  <c:v>16170.537200999725</c:v>
                </c:pt>
                <c:pt idx="102">
                  <c:v>16389.544022704751</c:v>
                </c:pt>
                <c:pt idx="103">
                  <c:v>16610.01088988781</c:v>
                </c:pt>
                <c:pt idx="104">
                  <c:v>16831.947536185424</c:v>
                </c:pt>
                <c:pt idx="105">
                  <c:v>17055.363760125023</c:v>
                </c:pt>
                <c:pt idx="106">
                  <c:v>17280.269425557552</c:v>
                </c:pt>
                <c:pt idx="107">
                  <c:v>17506.674462092964</c:v>
                </c:pt>
                <c:pt idx="108">
                  <c:v>17734.588865538612</c:v>
                </c:pt>
                <c:pt idx="109">
                  <c:v>17964.022698340563</c:v>
                </c:pt>
                <c:pt idx="110">
                  <c:v>18194.986090027862</c:v>
                </c:pt>
                <c:pt idx="111">
                  <c:v>18427.489237659742</c:v>
                </c:pt>
                <c:pt idx="112">
                  <c:v>18661.542406275836</c:v>
                </c:pt>
                <c:pt idx="113">
                  <c:v>18897.15592934937</c:v>
                </c:pt>
                <c:pt idx="114">
                  <c:v>19134.340209243393</c:v>
                </c:pt>
                <c:pt idx="115">
                  <c:v>19373.105717670045</c:v>
                </c:pt>
                <c:pt idx="116">
                  <c:v>19613.462996152874</c:v>
                </c:pt>
                <c:pt idx="117">
                  <c:v>19855.422656492254</c:v>
                </c:pt>
                <c:pt idx="118">
                  <c:v>20098.995381233897</c:v>
                </c:pt>
                <c:pt idx="119">
                  <c:v>20344.191924140483</c:v>
                </c:pt>
                <c:pt idx="120">
                  <c:v>20591.023110666447</c:v>
                </c:pt>
                <c:pt idx="121">
                  <c:v>20839.499838435917</c:v>
                </c:pt>
                <c:pt idx="122">
                  <c:v>21089.633077723851</c:v>
                </c:pt>
                <c:pt idx="123">
                  <c:v>21341.433871940371</c:v>
                </c:pt>
                <c:pt idx="124">
                  <c:v>21594.913338118335</c:v>
                </c:pt>
                <c:pt idx="125">
                  <c:v>21850.082667404153</c:v>
                </c:pt>
                <c:pt idx="126">
                  <c:v>22106.953125551874</c:v>
                </c:pt>
                <c:pt idx="127">
                  <c:v>22365.536053420583</c:v>
                </c:pt>
                <c:pt idx="128">
                  <c:v>22625.842867475083</c:v>
                </c:pt>
                <c:pt idx="129">
                  <c:v>22887.885060289944</c:v>
                </c:pt>
                <c:pt idx="130">
                  <c:v>23151.674201056903</c:v>
                </c:pt>
                <c:pt idx="131">
                  <c:v>23417.221936095644</c:v>
                </c:pt>
                <c:pt idx="132">
                  <c:v>23684.539989367975</c:v>
                </c:pt>
                <c:pt idx="133">
                  <c:v>23953.640162995456</c:v>
                </c:pt>
                <c:pt idx="134">
                  <c:v>24224.534337780453</c:v>
                </c:pt>
                <c:pt idx="135">
                  <c:v>24497.234473730685</c:v>
                </c:pt>
                <c:pt idx="136">
                  <c:v>24771.752610587249</c:v>
                </c:pt>
                <c:pt idx="137">
                  <c:v>25048.100868356192</c:v>
                </c:pt>
                <c:pt idx="138">
                  <c:v>25326.291447843596</c:v>
                </c:pt>
                <c:pt idx="139">
                  <c:v>25606.336631194248</c:v>
                </c:pt>
                <c:pt idx="140">
                  <c:v>25888.248782433904</c:v>
                </c:pt>
                <c:pt idx="141">
                  <c:v>26172.040348015158</c:v>
                </c:pt>
                <c:pt idx="142">
                  <c:v>26457.723857366953</c:v>
                </c:pt>
                <c:pt idx="143">
                  <c:v>26745.31192344776</c:v>
                </c:pt>
                <c:pt idx="144">
                  <c:v>27034.817243302441</c:v>
                </c:pt>
                <c:pt idx="145">
                  <c:v>27326.252598622817</c:v>
                </c:pt>
                <c:pt idx="146">
                  <c:v>27619.630856311996</c:v>
                </c:pt>
                <c:pt idx="147">
                  <c:v>27914.964969052438</c:v>
                </c:pt>
                <c:pt idx="148">
                  <c:v>28212.267975877814</c:v>
                </c:pt>
                <c:pt idx="149">
                  <c:v>28511.553002748693</c:v>
                </c:pt>
                <c:pt idx="150">
                  <c:v>28812.833263132045</c:v>
                </c:pt>
                <c:pt idx="151">
                  <c:v>29116.12205858462</c:v>
                </c:pt>
                <c:pt idx="152">
                  <c:v>29421.432779340212</c:v>
                </c:pt>
                <c:pt idx="153">
                  <c:v>29728.778904900842</c:v>
                </c:pt>
                <c:pt idx="154">
                  <c:v>30038.174004631877</c:v>
                </c:pt>
                <c:pt idx="155">
                  <c:v>30349.631738361117</c:v>
                </c:pt>
                <c:pt idx="156">
                  <c:v>30663.165856981886</c:v>
                </c:pt>
                <c:pt idx="157">
                  <c:v>30978.790203060125</c:v>
                </c:pt>
                <c:pt idx="158">
                  <c:v>31296.518711445555</c:v>
                </c:pt>
                <c:pt idx="159">
                  <c:v>31616.365409886886</c:v>
                </c:pt>
                <c:pt idx="160">
                  <c:v>31938.344419651159</c:v>
                </c:pt>
                <c:pt idx="161">
                  <c:v>32262.469956147193</c:v>
                </c:pt>
                <c:pt idx="162">
                  <c:v>32588.756329553202</c:v>
                </c:pt>
                <c:pt idx="163">
                  <c:v>32917.217945448581</c:v>
                </c:pt>
                <c:pt idx="164">
                  <c:v>33247.869305449931</c:v>
                </c:pt>
                <c:pt idx="165">
                  <c:v>33580.725007851288</c:v>
                </c:pt>
                <c:pt idx="166">
                  <c:v>33915.799748268655</c:v>
                </c:pt>
                <c:pt idx="167">
                  <c:v>34253.108320288804</c:v>
                </c:pt>
                <c:pt idx="168">
                  <c:v>34592.665616122424</c:v>
                </c:pt>
                <c:pt idx="169">
                  <c:v>34934.486627261598</c:v>
                </c:pt>
                <c:pt idx="170">
                  <c:v>35278.5864451417</c:v>
                </c:pt>
                <c:pt idx="171">
                  <c:v>35624.980261807672</c:v>
                </c:pt>
                <c:pt idx="172">
                  <c:v>35973.683370584753</c:v>
                </c:pt>
                <c:pt idx="173">
                  <c:v>36324.711166753681</c:v>
                </c:pt>
                <c:pt idx="174">
                  <c:v>36678.079148230398</c:v>
                </c:pt>
                <c:pt idx="175">
                  <c:v>37033.802916250293</c:v>
                </c:pt>
                <c:pt idx="176">
                  <c:v>37391.898176056988</c:v>
                </c:pt>
                <c:pt idx="177">
                  <c:v>37752.380737595726</c:v>
                </c:pt>
                <c:pt idx="178">
                  <c:v>38115.266516211392</c:v>
                </c:pt>
                <c:pt idx="179">
                  <c:v>38480.571533351162</c:v>
                </c:pt>
                <c:pt idx="180">
                  <c:v>38848.311917271865</c:v>
                </c:pt>
                <c:pt idx="181">
                  <c:v>39218.50390375204</c:v>
                </c:pt>
                <c:pt idx="182">
                  <c:v>39591.163836808752</c:v>
                </c:pt>
                <c:pt idx="183">
                  <c:v>39966.308169419171</c:v>
                </c:pt>
                <c:pt idx="184">
                  <c:v>40343.953464246995</c:v>
                </c:pt>
                <c:pt idx="185">
                  <c:v>40724.116394373668</c:v>
                </c:pt>
                <c:pt idx="186">
                  <c:v>41106.813744034524</c:v>
                </c:pt>
                <c:pt idx="187">
                  <c:v>41492.06240935978</c:v>
                </c:pt>
                <c:pt idx="188">
                  <c:v>41879.879399120538</c:v>
                </c:pt>
                <c:pt idx="189">
                  <c:v>42270.281835479705</c:v>
                </c:pt>
                <c:pt idx="190">
                  <c:v>42663.286954747935</c:v>
                </c:pt>
                <c:pt idx="191">
                  <c:v>43058.912108144614</c:v>
                </c:pt>
                <c:pt idx="192">
                  <c:v>43457.17476256394</c:v>
                </c:pt>
                <c:pt idx="193">
                  <c:v>43858.092501346058</c:v>
                </c:pt>
                <c:pt idx="194">
                  <c:v>44261.683025053397</c:v>
                </c:pt>
                <c:pt idx="195">
                  <c:v>44667.964152252112</c:v>
                </c:pt>
                <c:pt idx="196">
                  <c:v>45076.953820298819</c:v>
                </c:pt>
                <c:pt idx="197">
                  <c:v>45488.670086132508</c:v>
                </c:pt>
                <c:pt idx="198">
                  <c:v>45903.131127071756</c:v>
                </c:pt>
                <c:pt idx="199">
                  <c:v>46320.355241617261</c:v>
                </c:pt>
                <c:pt idx="200">
                  <c:v>46740.360850259734</c:v>
                </c:pt>
                <c:pt idx="201">
                  <c:v>47163.166496293161</c:v>
                </c:pt>
                <c:pt idx="202">
                  <c:v>47588.790846633477</c:v>
                </c:pt>
                <c:pt idx="203">
                  <c:v>48017.252692642731</c:v>
                </c:pt>
                <c:pt idx="204">
                  <c:v>48448.57095095871</c:v>
                </c:pt>
                <c:pt idx="205">
                  <c:v>48882.764664330127</c:v>
                </c:pt>
                <c:pt idx="206">
                  <c:v>49319.853002457356</c:v>
                </c:pt>
                <c:pt idx="207">
                  <c:v>49759.855262838762</c:v>
                </c:pt>
                <c:pt idx="208">
                  <c:v>50202.790871622718</c:v>
                </c:pt>
                <c:pt idx="209">
                  <c:v>50648.679384465227</c:v>
                </c:pt>
                <c:pt idx="210">
                  <c:v>51097.540487393358</c:v>
                </c:pt>
                <c:pt idx="211">
                  <c:v>51549.393997674342</c:v>
                </c:pt>
                <c:pt idx="212">
                  <c:v>52004.259864690532</c:v>
                </c:pt>
                <c:pt idx="213">
                  <c:v>52462.158170820163</c:v>
                </c:pt>
                <c:pt idx="214">
                  <c:v>52923.109132323989</c:v>
                </c:pt>
                <c:pt idx="215">
                  <c:v>53387.133100237843</c:v>
                </c:pt>
                <c:pt idx="216">
                  <c:v>53854.250561271125</c:v>
                </c:pt>
                <c:pt idx="217">
                  <c:v>54324.482138711297</c:v>
                </c:pt>
                <c:pt idx="218">
                  <c:v>54797.848593334398</c:v>
                </c:pt>
                <c:pt idx="219">
                  <c:v>55274.370824321653</c:v>
                </c:pt>
                <c:pt idx="220">
                  <c:v>55754.06987018216</c:v>
                </c:pt>
                <c:pt idx="221">
                  <c:v>56236.966909681738</c:v>
                </c:pt>
                <c:pt idx="222">
                  <c:v>56723.083262777975</c:v>
                </c:pt>
                <c:pt idx="223">
                  <c:v>57212.440391561526</c:v>
                </c:pt>
                <c:pt idx="224">
                  <c:v>57705.059901203633</c:v>
                </c:pt>
                <c:pt idx="225">
                  <c:v>58200.963540910016</c:v>
                </c:pt>
                <c:pt idx="226">
                  <c:v>58700.17320488111</c:v>
                </c:pt>
                <c:pt idx="227">
                  <c:v>59202.710933278679</c:v>
                </c:pt>
                <c:pt idx="228">
                  <c:v>59708.598913198897</c:v>
                </c:pt>
                <c:pt idx="229">
                  <c:v>60217.859479651917</c:v>
                </c:pt>
                <c:pt idx="230">
                  <c:v>60730.515116547962</c:v>
                </c:pt>
                <c:pt idx="231">
                  <c:v>61246.588457689977</c:v>
                </c:pt>
                <c:pt idx="232">
                  <c:v>61766.102287772941</c:v>
                </c:pt>
                <c:pt idx="233">
                  <c:v>62289.079543389787</c:v>
                </c:pt>
                <c:pt idx="234">
                  <c:v>62815.54331404408</c:v>
                </c:pt>
                <c:pt idx="235">
                  <c:v>63345.516843169404</c:v>
                </c:pt>
                <c:pt idx="236">
                  <c:v>63879.023529155558</c:v>
                </c:pt>
                <c:pt idx="237">
                  <c:v>64416.08692638162</c:v>
                </c:pt>
                <c:pt idx="238">
                  <c:v>64956.73074625586</c:v>
                </c:pt>
                <c:pt idx="239">
                  <c:v>65500.978858262592</c:v>
                </c:pt>
                <c:pt idx="240">
                  <c:v>66048.855291016036</c:v>
                </c:pt>
                <c:pt idx="241">
                  <c:v>66600.384233321165</c:v>
                </c:pt>
                <c:pt idx="242">
                  <c:v>67155.590035241665</c:v>
                </c:pt>
                <c:pt idx="243">
                  <c:v>67714.497209174966</c:v>
                </c:pt>
                <c:pt idx="244">
                  <c:v>68277.1304309345</c:v>
                </c:pt>
                <c:pt idx="245">
                  <c:v>68843.514540839096</c:v>
                </c:pt>
                <c:pt idx="246">
                  <c:v>69413.674544809721</c:v>
                </c:pt>
                <c:pt idx="247">
                  <c:v>69987.635615473482</c:v>
                </c:pt>
                <c:pt idx="248">
                  <c:v>70565.423093275007</c:v>
                </c:pt>
                <c:pt idx="249">
                  <c:v>71147.062487595205</c:v>
                </c:pt>
                <c:pt idx="250">
                  <c:v>71732.579477877531</c:v>
                </c:pt>
                <c:pt idx="251">
                  <c:v>72321.999914761749</c:v>
                </c:pt>
                <c:pt idx="252">
                  <c:v>72915.349821225187</c:v>
                </c:pt>
                <c:pt idx="253">
                  <c:v>73512.655393731722</c:v>
                </c:pt>
                <c:pt idx="254">
                  <c:v>74113.943003388296</c:v>
                </c:pt>
                <c:pt idx="255">
                  <c:v>74719.239197109244</c:v>
                </c:pt>
                <c:pt idx="256">
                  <c:v>75328.570698788331</c:v>
                </c:pt>
                <c:pt idx="257">
                  <c:v>75941.964410478613</c:v>
                </c:pt>
                <c:pt idx="258">
                  <c:v>76559.447413580172</c:v>
                </c:pt>
                <c:pt idx="259">
                  <c:v>77181.046970035735</c:v>
                </c:pt>
                <c:pt idx="260">
                  <c:v>77806.790523534335</c:v>
                </c:pt>
                <c:pt idx="261">
                  <c:v>78436.70570072293</c:v>
                </c:pt>
                <c:pt idx="262">
                  <c:v>79070.820312426105</c:v>
                </c:pt>
                <c:pt idx="263">
                  <c:v>79709.162354873974</c:v>
                </c:pt>
                <c:pt idx="264">
                  <c:v>80351.76001093816</c:v>
                </c:pt>
                <c:pt idx="265">
                  <c:v>80998.641651376107</c:v>
                </c:pt>
                <c:pt idx="266">
                  <c:v>81649.835836083643</c:v>
                </c:pt>
                <c:pt idx="267">
                  <c:v>82305.371315355893</c:v>
                </c:pt>
                <c:pt idx="268">
                  <c:v>82965.277031156627</c:v>
                </c:pt>
                <c:pt idx="269">
                  <c:v>83629.582118396036</c:v>
                </c:pt>
                <c:pt idx="270">
                  <c:v>84298.315906217031</c:v>
                </c:pt>
                <c:pt idx="271">
                  <c:v>84971.507919290176</c:v>
                </c:pt>
                <c:pt idx="272">
                  <c:v>85649.187879117133</c:v>
                </c:pt>
                <c:pt idx="273">
                  <c:v>86331.385705342938</c:v>
                </c:pt>
                <c:pt idx="274">
                  <c:v>87018.131517076923</c:v>
                </c:pt>
                <c:pt idx="275">
                  <c:v>87709.455634222468</c:v>
                </c:pt>
                <c:pt idx="276">
                  <c:v>88405.388578815648</c:v>
                </c:pt>
                <c:pt idx="277">
                  <c:v>89105.961076372783</c:v>
                </c:pt>
                <c:pt idx="278">
                  <c:v>89811.20405724697</c:v>
                </c:pt>
                <c:pt idx="279">
                  <c:v>90521.148657993646</c:v>
                </c:pt>
                <c:pt idx="280">
                  <c:v>91235.826222745294</c:v>
                </c:pt>
                <c:pt idx="281">
                  <c:v>91955.268304595287</c:v>
                </c:pt>
                <c:pt idx="282">
                  <c:v>92679.506666990957</c:v>
                </c:pt>
                <c:pt idx="283">
                  <c:v>93408.573285135921</c:v>
                </c:pt>
                <c:pt idx="284">
                  <c:v>94142.500347401859</c:v>
                </c:pt>
                <c:pt idx="285">
                  <c:v>94881.320256749561</c:v>
                </c:pt>
                <c:pt idx="286">
                  <c:v>95625.065632159589</c:v>
                </c:pt>
                <c:pt idx="287">
                  <c:v>96373.769310072341</c:v>
                </c:pt>
                <c:pt idx="288">
                  <c:v>97127.464345837856</c:v>
                </c:pt>
                <c:pt idx="289">
                  <c:v>97886.184015175138</c:v>
                </c:pt>
                <c:pt idx="290">
                  <c:v>98649.961815641334</c:v>
                </c:pt>
                <c:pt idx="291">
                  <c:v>99418.831468110642</c:v>
                </c:pt>
                <c:pt idx="292">
                  <c:v>100192.82691826308</c:v>
                </c:pt>
                <c:pt idx="293">
                  <c:v>100971.98233808319</c:v>
                </c:pt>
                <c:pt idx="294">
                  <c:v>101756.33212736878</c:v>
                </c:pt>
                <c:pt idx="295">
                  <c:v>102545.91091524959</c:v>
                </c:pt>
                <c:pt idx="296">
                  <c:v>103340.75356171629</c:v>
                </c:pt>
                <c:pt idx="297">
                  <c:v>104140.89515915944</c:v>
                </c:pt>
                <c:pt idx="298">
                  <c:v>104946.37103391887</c:v>
                </c:pt>
                <c:pt idx="299">
                  <c:v>105757.21674784335</c:v>
                </c:pt>
                <c:pt idx="300">
                  <c:v>106573.46809986068</c:v>
                </c:pt>
                <c:pt idx="301">
                  <c:v>107395.16112755811</c:v>
                </c:pt>
                <c:pt idx="302">
                  <c:v>108222.33210877352</c:v>
                </c:pt>
                <c:pt idx="303">
                  <c:v>109055.01756319705</c:v>
                </c:pt>
                <c:pt idx="304">
                  <c:v>109893.2542539834</c:v>
                </c:pt>
                <c:pt idx="305">
                  <c:v>110737.07918937498</c:v>
                </c:pt>
                <c:pt idx="306">
                  <c:v>111586.52962433585</c:v>
                </c:pt>
                <c:pt idx="307">
                  <c:v>112441.64306219644</c:v>
                </c:pt>
                <c:pt idx="308">
                  <c:v>113302.45725630944</c:v>
                </c:pt>
                <c:pt idx="309">
                  <c:v>114169.01021171654</c:v>
                </c:pt>
                <c:pt idx="310">
                  <c:v>115041.34018682635</c:v>
                </c:pt>
                <c:pt idx="311">
                  <c:v>115919.48569510355</c:v>
                </c:pt>
                <c:pt idx="312">
                  <c:v>116803.48550676927</c:v>
                </c:pt>
                <c:pt idx="313">
                  <c:v>117693.37865051276</c:v>
                </c:pt>
                <c:pt idx="314">
                  <c:v>118589.20441521454</c:v>
                </c:pt>
                <c:pt idx="315">
                  <c:v>119491.002351681</c:v>
                </c:pt>
                <c:pt idx="316">
                  <c:v>120398.81227439057</c:v>
                </c:pt>
                <c:pt idx="317">
                  <c:v>121312.67426325154</c:v>
                </c:pt>
                <c:pt idx="318">
                  <c:v>122232.62866537158</c:v>
                </c:pt>
                <c:pt idx="319">
                  <c:v>123158.71609683908</c:v>
                </c:pt>
                <c:pt idx="320">
                  <c:v>124090.97744451636</c:v>
                </c:pt>
                <c:pt idx="321">
                  <c:v>125029.45386784483</c:v>
                </c:pt>
                <c:pt idx="322">
                  <c:v>125974.18680066215</c:v>
                </c:pt>
                <c:pt idx="323">
                  <c:v>126925.21795303159</c:v>
                </c:pt>
                <c:pt idx="324">
                  <c:v>127882.5893130835</c:v>
                </c:pt>
                <c:pt idx="325">
                  <c:v>128846.34314886908</c:v>
                </c:pt>
                <c:pt idx="326">
                  <c:v>129816.52201022657</c:v>
                </c:pt>
                <c:pt idx="327">
                  <c:v>130793.16873065977</c:v>
                </c:pt>
                <c:pt idx="328">
                  <c:v>131776.3264292292</c:v>
                </c:pt>
                <c:pt idx="329">
                  <c:v>132766.03851245577</c:v>
                </c:pt>
                <c:pt idx="330">
                  <c:v>133762.34867623716</c:v>
                </c:pt>
                <c:pt idx="331">
                  <c:v>134765.3009077771</c:v>
                </c:pt>
                <c:pt idx="332">
                  <c:v>135774.9394875273</c:v>
                </c:pt>
                <c:pt idx="333">
                  <c:v>136791.30899114252</c:v>
                </c:pt>
                <c:pt idx="334">
                  <c:v>137814.45429144849</c:v>
                </c:pt>
                <c:pt idx="335">
                  <c:v>138844.42056042317</c:v>
                </c:pt>
                <c:pt idx="336">
                  <c:v>139881.25327119103</c:v>
                </c:pt>
                <c:pt idx="337">
                  <c:v>140924.99820003068</c:v>
                </c:pt>
                <c:pt idx="338">
                  <c:v>141975.7014283959</c:v>
                </c:pt>
                <c:pt idx="339">
                  <c:v>143033.40934495023</c:v>
                </c:pt>
                <c:pt idx="340">
                  <c:v>144098.16864761492</c:v>
                </c:pt>
                <c:pt idx="341">
                  <c:v>145170.0263456307</c:v>
                </c:pt>
                <c:pt idx="342">
                  <c:v>146249.02976163325</c:v>
                </c:pt>
                <c:pt idx="343">
                  <c:v>147335.22653374251</c:v>
                </c:pt>
                <c:pt idx="344">
                  <c:v>148428.66461766581</c:v>
                </c:pt>
                <c:pt idx="345">
                  <c:v>149529.39228881529</c:v>
                </c:pt>
                <c:pt idx="346">
                  <c:v>150637.45814443909</c:v>
                </c:pt>
                <c:pt idx="347">
                  <c:v>151752.91110576704</c:v>
                </c:pt>
                <c:pt idx="348">
                  <c:v>152875.8004201705</c:v>
                </c:pt>
                <c:pt idx="349">
                  <c:v>154006.17566333667</c:v>
                </c:pt>
                <c:pt idx="350">
                  <c:v>155144.08674145729</c:v>
                </c:pt>
                <c:pt idx="351">
                  <c:v>156289.58389343202</c:v>
                </c:pt>
                <c:pt idx="352">
                  <c:v>157442.7176930866</c:v>
                </c:pt>
                <c:pt idx="353">
                  <c:v>158603.53905140553</c:v>
                </c:pt>
                <c:pt idx="354">
                  <c:v>159772.09921877994</c:v>
                </c:pt>
                <c:pt idx="355">
                  <c:v>160948.44978727016</c:v>
                </c:pt>
                <c:pt idx="356">
                  <c:v>162132.64269288364</c:v>
                </c:pt>
                <c:pt idx="357">
                  <c:v>163324.73021786791</c:v>
                </c:pt>
                <c:pt idx="358">
                  <c:v>164524.76499301873</c:v>
                </c:pt>
                <c:pt idx="359">
                  <c:v>165732.80000000389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EA-4926-9FAE-0F9B62A1FD13}"/>
            </c:ext>
          </c:extLst>
        </c:ser>
        <c:ser>
          <c:idx val="2"/>
          <c:order val="2"/>
          <c:tx>
            <c:strRef>
              <c:f>'HELOC Calculator'!$P$5</c:f>
              <c:strCache>
                <c:ptCount val="1"/>
                <c:pt idx="0">
                  <c:v>cumulativeInterest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'HELOC Calculator'!$G$6:$G$365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Calculator'!$P$6:$P$365</c:f>
              <c:numCache>
                <c:formatCode>"$"#,##0.00_);[Red]\("$"#,##0.00\)</c:formatCode>
                <c:ptCount val="360"/>
                <c:pt idx="0">
                  <c:v>1104.8853333333336</c:v>
                </c:pt>
                <c:pt idx="1">
                  <c:v>2209.0293117309002</c:v>
                </c:pt>
                <c:pt idx="2">
                  <c:v>3312.4269928264621</c:v>
                </c:pt>
                <c:pt idx="3">
                  <c:v>4415.0734013046713</c:v>
                </c:pt>
                <c:pt idx="4">
                  <c:v>5516.9635286814128</c:v>
                </c:pt>
                <c:pt idx="5">
                  <c:v>6618.0923330826772</c:v>
                </c:pt>
                <c:pt idx="6">
                  <c:v>7718.4547390219614</c:v>
                </c:pt>
                <c:pt idx="7">
                  <c:v>8818.0456371761848</c:v>
                </c:pt>
                <c:pt idx="8">
                  <c:v>9916.8598841601142</c:v>
                </c:pt>
                <c:pt idx="9">
                  <c:v>11014.89230229928</c:v>
                </c:pt>
                <c:pt idx="10">
                  <c:v>12112.137679401385</c:v>
                </c:pt>
                <c:pt idx="11">
                  <c:v>13208.590768526181</c:v>
                </c:pt>
                <c:pt idx="12">
                  <c:v>14304.24628775382</c:v>
                </c:pt>
                <c:pt idx="13">
                  <c:v>15399.098919951655</c:v>
                </c:pt>
                <c:pt idx="14">
                  <c:v>16493.143312539487</c:v>
                </c:pt>
                <c:pt idx="15">
                  <c:v>17586.374077253247</c:v>
                </c:pt>
                <c:pt idx="16">
                  <c:v>18678.78578990711</c:v>
                </c:pt>
                <c:pt idx="17">
                  <c:v>19770.37299015401</c:v>
                </c:pt>
                <c:pt idx="18">
                  <c:v>20861.130181244567</c:v>
                </c:pt>
                <c:pt idx="19">
                  <c:v>21951.051829784406</c:v>
                </c:pt>
                <c:pt idx="20">
                  <c:v>23040.132365489855</c:v>
                </c:pt>
                <c:pt idx="21">
                  <c:v>24128.366180942015</c:v>
                </c:pt>
                <c:pt idx="22">
                  <c:v>25215.747631339204</c:v>
                </c:pt>
                <c:pt idx="23">
                  <c:v>26302.271034247715</c:v>
                </c:pt>
                <c:pt idx="24">
                  <c:v>27387.930669350961</c:v>
                </c:pt>
                <c:pt idx="25">
                  <c:v>28472.720778196908</c:v>
                </c:pt>
                <c:pt idx="26">
                  <c:v>29556.635563943837</c:v>
                </c:pt>
                <c:pt idx="27">
                  <c:v>30639.669191104425</c:v>
                </c:pt>
                <c:pt idx="28">
                  <c:v>31721.815785288094</c:v>
                </c:pt>
                <c:pt idx="29">
                  <c:v>32803.069432941666</c:v>
                </c:pt>
                <c:pt idx="30">
                  <c:v>33883.424181088274</c:v>
                </c:pt>
                <c:pt idx="31">
                  <c:v>34962.874037064532</c:v>
                </c:pt>
                <c:pt idx="32">
                  <c:v>36041.41296825598</c:v>
                </c:pt>
                <c:pt idx="33">
                  <c:v>37119.034901830717</c:v>
                </c:pt>
                <c:pt idx="34">
                  <c:v>38195.733724471291</c:v>
                </c:pt>
                <c:pt idx="35">
                  <c:v>39271.503282104815</c:v>
                </c:pt>
                <c:pt idx="36">
                  <c:v>40346.337379631237</c:v>
                </c:pt>
                <c:pt idx="37">
                  <c:v>41420.229780649846</c:v>
                </c:pt>
                <c:pt idx="38">
                  <c:v>42493.174207183925</c:v>
                </c:pt>
                <c:pt idx="39">
                  <c:v>43565.164339403578</c:v>
                </c:pt>
                <c:pt idx="40">
                  <c:v>44636.193815346705</c:v>
                </c:pt>
                <c:pt idx="41">
                  <c:v>45706.25623063813</c:v>
                </c:pt>
                <c:pt idx="42">
                  <c:v>46775.345138206845</c:v>
                </c:pt>
                <c:pt idx="43">
                  <c:v>47843.45404800136</c:v>
                </c:pt>
                <c:pt idx="44">
                  <c:v>48910.576426703185</c:v>
                </c:pt>
                <c:pt idx="45">
                  <c:v>49976.705697438367</c:v>
                </c:pt>
                <c:pt idx="46">
                  <c:v>51041.835239487125</c:v>
                </c:pt>
                <c:pt idx="47">
                  <c:v>52105.958387991552</c:v>
                </c:pt>
                <c:pt idx="48">
                  <c:v>53169.068433661356</c:v>
                </c:pt>
                <c:pt idx="49">
                  <c:v>54231.158622477633</c:v>
                </c:pt>
                <c:pt idx="50">
                  <c:v>55292.222155394695</c:v>
                </c:pt>
                <c:pt idx="51">
                  <c:v>56352.252188039885</c:v>
                </c:pt>
                <c:pt idx="52">
                  <c:v>57411.241830411389</c:v>
                </c:pt>
                <c:pt idx="53">
                  <c:v>58469.184146574044</c:v>
                </c:pt>
                <c:pt idx="54">
                  <c:v>59526.072154353125</c:v>
                </c:pt>
                <c:pt idx="55">
                  <c:v>60581.898825026081</c:v>
                </c:pt>
                <c:pt idx="56">
                  <c:v>61636.6570830122</c:v>
                </c:pt>
                <c:pt idx="57">
                  <c:v>62690.339805560237</c:v>
                </c:pt>
                <c:pt idx="58">
                  <c:v>63742.939822433938</c:v>
                </c:pt>
                <c:pt idx="59">
                  <c:v>64794.449915595476</c:v>
                </c:pt>
                <c:pt idx="60">
                  <c:v>65844.862818886773</c:v>
                </c:pt>
                <c:pt idx="61">
                  <c:v>66894.171217708688</c:v>
                </c:pt>
                <c:pt idx="62">
                  <c:v>67942.367748698089</c:v>
                </c:pt>
                <c:pt idx="63">
                  <c:v>68989.444999402767</c:v>
                </c:pt>
                <c:pt idx="64">
                  <c:v>70035.395507954148</c:v>
                </c:pt>
                <c:pt idx="65">
                  <c:v>71080.21176273789</c:v>
                </c:pt>
                <c:pt idx="66">
                  <c:v>72123.886202062204</c:v>
                </c:pt>
                <c:pt idx="67">
                  <c:v>73166.411213824016</c:v>
                </c:pt>
                <c:pt idx="68">
                  <c:v>74207.779135172925</c:v>
                </c:pt>
                <c:pt idx="69">
                  <c:v>75247.982252172835</c:v>
                </c:pt>
                <c:pt idx="70">
                  <c:v>76287.012799461416</c:v>
                </c:pt>
                <c:pt idx="71">
                  <c:v>77324.862959907274</c:v>
                </c:pt>
                <c:pt idx="72">
                  <c:v>78361.524864264778</c:v>
                </c:pt>
                <c:pt idx="73">
                  <c:v>79396.990590826681</c:v>
                </c:pt>
                <c:pt idx="74">
                  <c:v>80431.252165074329</c:v>
                </c:pt>
                <c:pt idx="75">
                  <c:v>81464.301559325642</c:v>
                </c:pt>
                <c:pt idx="76">
                  <c:v>82496.130692380641</c:v>
                </c:pt>
                <c:pt idx="77">
                  <c:v>83526.731429164691</c:v>
                </c:pt>
                <c:pt idx="78">
                  <c:v>84556.095580369307</c:v>
                </c:pt>
                <c:pt idx="79">
                  <c:v>85584.214902090636</c:v>
                </c:pt>
                <c:pt idx="80">
                  <c:v>86611.081095465444</c:v>
                </c:pt>
                <c:pt idx="81">
                  <c:v>87636.685806304769</c:v>
                </c:pt>
                <c:pt idx="82">
                  <c:v>88661.020624725032</c:v>
                </c:pt>
                <c:pt idx="83">
                  <c:v>89684.077084776771</c:v>
                </c:pt>
                <c:pt idx="84">
                  <c:v>90705.846664070865</c:v>
                </c:pt>
                <c:pt idx="85">
                  <c:v>91726.320783402261</c:v>
                </c:pt>
                <c:pt idx="86">
                  <c:v>92745.490806371221</c:v>
                </c:pt>
                <c:pt idx="87">
                  <c:v>93763.348039001983</c:v>
                </c:pt>
                <c:pt idx="88">
                  <c:v>94779.88372935896</c:v>
                </c:pt>
                <c:pt idx="89">
                  <c:v>95795.089067160327</c:v>
                </c:pt>
                <c:pt idx="90">
                  <c:v>96808.955183389044</c:v>
                </c:pt>
                <c:pt idx="91">
                  <c:v>97821.4731499013</c:v>
                </c:pt>
                <c:pt idx="92">
                  <c:v>98832.633979032311</c:v>
                </c:pt>
                <c:pt idx="93">
                  <c:v>99842.428623199536</c:v>
                </c:pt>
                <c:pt idx="94">
                  <c:v>100850.84797450322</c:v>
                </c:pt>
                <c:pt idx="95">
                  <c:v>101857.88286432429</c:v>
                </c:pt>
                <c:pt idx="96">
                  <c:v>102863.5240629195</c:v>
                </c:pt>
                <c:pt idx="97">
                  <c:v>103867.76227901403</c:v>
                </c:pt>
                <c:pt idx="98">
                  <c:v>104870.58815939119</c:v>
                </c:pt>
                <c:pt idx="99">
                  <c:v>105871.99228847955</c:v>
                </c:pt>
                <c:pt idx="100">
                  <c:v>106871.96518793718</c:v>
                </c:pt>
                <c:pt idx="101">
                  <c:v>107870.4973162332</c:v>
                </c:pt>
                <c:pt idx="102">
                  <c:v>108867.57906822654</c:v>
                </c:pt>
                <c:pt idx="103">
                  <c:v>109863.20077474184</c:v>
                </c:pt>
                <c:pt idx="104">
                  <c:v>110857.35270214258</c:v>
                </c:pt>
                <c:pt idx="105">
                  <c:v>111850.02505190135</c:v>
                </c:pt>
                <c:pt idx="106">
                  <c:v>112841.20796016719</c:v>
                </c:pt>
                <c:pt idx="107">
                  <c:v>113830.89149733013</c:v>
                </c:pt>
                <c:pt idx="108">
                  <c:v>114819.06566758284</c:v>
                </c:pt>
                <c:pt idx="109">
                  <c:v>115805.72040847925</c:v>
                </c:pt>
                <c:pt idx="110">
                  <c:v>116790.84559049031</c:v>
                </c:pt>
                <c:pt idx="111">
                  <c:v>117774.43101655679</c:v>
                </c:pt>
                <c:pt idx="112">
                  <c:v>118756.46642163905</c:v>
                </c:pt>
                <c:pt idx="113">
                  <c:v>119736.94147226388</c:v>
                </c:pt>
                <c:pt idx="114">
                  <c:v>120715.84576606822</c:v>
                </c:pt>
                <c:pt idx="115">
                  <c:v>121693.16883133994</c:v>
                </c:pt>
                <c:pt idx="116">
                  <c:v>122668.90012655547</c:v>
                </c:pt>
                <c:pt idx="117">
                  <c:v>123643.02903991444</c:v>
                </c:pt>
                <c:pt idx="118">
                  <c:v>124615.54488887117</c:v>
                </c:pt>
                <c:pt idx="119">
                  <c:v>125586.43691966294</c:v>
                </c:pt>
                <c:pt idx="120">
                  <c:v>126555.69430683534</c:v>
                </c:pt>
                <c:pt idx="121">
                  <c:v>127523.30615276423</c:v>
                </c:pt>
                <c:pt idx="122">
                  <c:v>128489.26148717465</c:v>
                </c:pt>
                <c:pt idx="123">
                  <c:v>129453.54926665648</c:v>
                </c:pt>
                <c:pt idx="124">
                  <c:v>130416.15837417688</c:v>
                </c:pt>
                <c:pt idx="125">
                  <c:v>131377.07761858942</c:v>
                </c:pt>
                <c:pt idx="126">
                  <c:v>132336.29573414006</c:v>
                </c:pt>
                <c:pt idx="127">
                  <c:v>133293.80137996972</c:v>
                </c:pt>
                <c:pt idx="128">
                  <c:v>134249.58313961359</c:v>
                </c:pt>
                <c:pt idx="129">
                  <c:v>135203.62952049708</c:v>
                </c:pt>
                <c:pt idx="130">
                  <c:v>136155.92895342849</c:v>
                </c:pt>
                <c:pt idx="131">
                  <c:v>137106.46979208812</c:v>
                </c:pt>
                <c:pt idx="132">
                  <c:v>138055.24031251416</c:v>
                </c:pt>
                <c:pt idx="133">
                  <c:v>139002.22871258503</c:v>
                </c:pt>
                <c:pt idx="134">
                  <c:v>139947.42311149838</c:v>
                </c:pt>
                <c:pt idx="135">
                  <c:v>140890.81154924651</c:v>
                </c:pt>
                <c:pt idx="136">
                  <c:v>141832.38198608832</c:v>
                </c:pt>
                <c:pt idx="137">
                  <c:v>142772.12230201773</c:v>
                </c:pt>
                <c:pt idx="138">
                  <c:v>143710.0202962287</c:v>
                </c:pt>
                <c:pt idx="139">
                  <c:v>144646.06368657641</c:v>
                </c:pt>
                <c:pt idx="140">
                  <c:v>145580.2401090351</c:v>
                </c:pt>
                <c:pt idx="141">
                  <c:v>146512.53711715221</c:v>
                </c:pt>
                <c:pt idx="142">
                  <c:v>147442.94218149877</c:v>
                </c:pt>
                <c:pt idx="143">
                  <c:v>148371.44268911632</c:v>
                </c:pt>
                <c:pt idx="144">
                  <c:v>149298.02594296</c:v>
                </c:pt>
                <c:pt idx="145">
                  <c:v>150222.67916133799</c:v>
                </c:pt>
                <c:pt idx="146">
                  <c:v>151145.38947734717</c:v>
                </c:pt>
                <c:pt idx="147">
                  <c:v>152066.14393830509</c:v>
                </c:pt>
                <c:pt idx="148">
                  <c:v>152984.92950517806</c:v>
                </c:pt>
                <c:pt idx="149">
                  <c:v>153901.73305200555</c:v>
                </c:pt>
                <c:pt idx="150">
                  <c:v>154816.54136532056</c:v>
                </c:pt>
                <c:pt idx="151">
                  <c:v>155729.34114356636</c:v>
                </c:pt>
                <c:pt idx="152">
                  <c:v>156640.11899650912</c:v>
                </c:pt>
                <c:pt idx="153">
                  <c:v>157548.86144464684</c:v>
                </c:pt>
                <c:pt idx="154">
                  <c:v>158455.55491861416</c:v>
                </c:pt>
                <c:pt idx="155">
                  <c:v>159360.18575858328</c:v>
                </c:pt>
                <c:pt idx="156">
                  <c:v>160262.74021366087</c:v>
                </c:pt>
                <c:pt idx="157">
                  <c:v>161163.20444128101</c:v>
                </c:pt>
                <c:pt idx="158">
                  <c:v>162061.56450659395</c:v>
                </c:pt>
                <c:pt idx="159">
                  <c:v>162957.80638185097</c:v>
                </c:pt>
                <c:pt idx="160">
                  <c:v>163851.91594578506</c:v>
                </c:pt>
                <c:pt idx="161">
                  <c:v>164743.8789829874</c:v>
                </c:pt>
                <c:pt idx="162">
                  <c:v>165633.68118327975</c:v>
                </c:pt>
                <c:pt idx="163">
                  <c:v>166521.30814108273</c:v>
                </c:pt>
                <c:pt idx="164">
                  <c:v>167406.74535477973</c:v>
                </c:pt>
                <c:pt idx="165">
                  <c:v>168289.97822607672</c:v>
                </c:pt>
                <c:pt idx="166">
                  <c:v>169170.99205935773</c:v>
                </c:pt>
                <c:pt idx="167">
                  <c:v>170049.77206103594</c:v>
                </c:pt>
                <c:pt idx="168">
                  <c:v>170926.30333890067</c:v>
                </c:pt>
                <c:pt idx="169">
                  <c:v>171800.57090145987</c:v>
                </c:pt>
                <c:pt idx="170">
                  <c:v>172672.55965727812</c:v>
                </c:pt>
                <c:pt idx="171">
                  <c:v>173542.2544143105</c:v>
                </c:pt>
                <c:pt idx="172">
                  <c:v>174409.63987923178</c:v>
                </c:pt>
                <c:pt idx="173">
                  <c:v>175274.70065676121</c:v>
                </c:pt>
                <c:pt idx="174">
                  <c:v>176137.42124898286</c:v>
                </c:pt>
                <c:pt idx="175">
                  <c:v>176997.78605466132</c:v>
                </c:pt>
                <c:pt idx="176">
                  <c:v>177855.77936855299</c:v>
                </c:pt>
                <c:pt idx="177">
                  <c:v>178711.3853807126</c:v>
                </c:pt>
                <c:pt idx="178">
                  <c:v>179564.5881757953</c:v>
                </c:pt>
                <c:pt idx="179">
                  <c:v>180415.3717323539</c:v>
                </c:pt>
                <c:pt idx="180">
                  <c:v>181263.71992213157</c:v>
                </c:pt>
                <c:pt idx="181">
                  <c:v>182109.61650934975</c:v>
                </c:pt>
                <c:pt idx="182">
                  <c:v>182953.04514999141</c:v>
                </c:pt>
                <c:pt idx="183">
                  <c:v>183793.98939107935</c:v>
                </c:pt>
                <c:pt idx="184">
                  <c:v>184632.43266994989</c:v>
                </c:pt>
                <c:pt idx="185">
                  <c:v>185468.35831352157</c:v>
                </c:pt>
                <c:pt idx="186">
                  <c:v>186301.74953755908</c:v>
                </c:pt>
                <c:pt idx="187">
                  <c:v>187132.58944593219</c:v>
                </c:pt>
                <c:pt idx="188">
                  <c:v>187960.86102986979</c:v>
                </c:pt>
                <c:pt idx="189">
                  <c:v>188786.54716720898</c:v>
                </c:pt>
                <c:pt idx="190">
                  <c:v>189609.63062163911</c:v>
                </c:pt>
                <c:pt idx="191">
                  <c:v>190430.09404194079</c:v>
                </c:pt>
                <c:pt idx="192">
                  <c:v>191247.91996121983</c:v>
                </c:pt>
                <c:pt idx="193">
                  <c:v>192063.09079613606</c:v>
                </c:pt>
                <c:pt idx="194">
                  <c:v>192875.5888461271</c:v>
                </c:pt>
                <c:pt idx="195">
                  <c:v>193685.39629262674</c:v>
                </c:pt>
                <c:pt idx="196">
                  <c:v>194492.4951982784</c:v>
                </c:pt>
                <c:pt idx="197">
                  <c:v>195296.86750614308</c:v>
                </c:pt>
                <c:pt idx="198">
                  <c:v>196098.49503890221</c:v>
                </c:pt>
                <c:pt idx="199">
                  <c:v>196897.35949805507</c:v>
                </c:pt>
                <c:pt idx="200">
                  <c:v>197693.44246311096</c:v>
                </c:pt>
                <c:pt idx="201">
                  <c:v>198486.72539077589</c:v>
                </c:pt>
                <c:pt idx="202">
                  <c:v>199277.18961413394</c:v>
                </c:pt>
                <c:pt idx="203">
                  <c:v>200064.81634182305</c:v>
                </c:pt>
                <c:pt idx="204">
                  <c:v>200849.58665720542</c:v>
                </c:pt>
                <c:pt idx="205">
                  <c:v>201631.48151753237</c:v>
                </c:pt>
                <c:pt idx="206">
                  <c:v>202410.48175310349</c:v>
                </c:pt>
                <c:pt idx="207">
                  <c:v>203186.56806642044</c:v>
                </c:pt>
                <c:pt idx="208">
                  <c:v>203959.72103133486</c:v>
                </c:pt>
                <c:pt idx="209">
                  <c:v>204729.92109219072</c:v>
                </c:pt>
                <c:pt idx="210">
                  <c:v>205497.14856296097</c:v>
                </c:pt>
                <c:pt idx="211">
                  <c:v>206261.38362637835</c:v>
                </c:pt>
                <c:pt idx="212">
                  <c:v>207022.60633306051</c:v>
                </c:pt>
                <c:pt idx="213">
                  <c:v>207780.79660062923</c:v>
                </c:pt>
                <c:pt idx="214">
                  <c:v>208535.93421282375</c:v>
                </c:pt>
                <c:pt idx="215">
                  <c:v>209287.99881860826</c:v>
                </c:pt>
                <c:pt idx="216">
                  <c:v>210036.96993127334</c:v>
                </c:pt>
                <c:pt idx="217">
                  <c:v>210782.82692753154</c:v>
                </c:pt>
                <c:pt idx="218">
                  <c:v>211525.54904660679</c:v>
                </c:pt>
                <c:pt idx="219">
                  <c:v>212265.11538931789</c:v>
                </c:pt>
                <c:pt idx="220">
                  <c:v>213001.50491715575</c:v>
                </c:pt>
                <c:pt idx="221">
                  <c:v>213734.69645135454</c:v>
                </c:pt>
                <c:pt idx="222">
                  <c:v>214464.66867195666</c:v>
                </c:pt>
                <c:pt idx="223">
                  <c:v>215191.40011687149</c:v>
                </c:pt>
                <c:pt idx="224">
                  <c:v>215914.86918092775</c:v>
                </c:pt>
                <c:pt idx="225">
                  <c:v>216635.05411491974</c:v>
                </c:pt>
                <c:pt idx="226">
                  <c:v>217351.93302464701</c:v>
                </c:pt>
                <c:pt idx="227">
                  <c:v>218065.48386994778</c:v>
                </c:pt>
                <c:pt idx="228">
                  <c:v>218775.68446372592</c:v>
                </c:pt>
                <c:pt idx="229">
                  <c:v>219482.51247097127</c:v>
                </c:pt>
                <c:pt idx="230">
                  <c:v>220185.9454077736</c:v>
                </c:pt>
                <c:pt idx="231">
                  <c:v>220885.96064032995</c:v>
                </c:pt>
                <c:pt idx="232">
                  <c:v>221582.53538394536</c:v>
                </c:pt>
                <c:pt idx="233">
                  <c:v>222275.64670202686</c:v>
                </c:pt>
                <c:pt idx="234">
                  <c:v>222965.27150507094</c:v>
                </c:pt>
                <c:pt idx="235">
                  <c:v>223651.38654964397</c:v>
                </c:pt>
                <c:pt idx="236">
                  <c:v>224333.96843735618</c:v>
                </c:pt>
                <c:pt idx="237">
                  <c:v>225012.99361382847</c:v>
                </c:pt>
                <c:pt idx="238">
                  <c:v>225688.43836765259</c:v>
                </c:pt>
                <c:pt idx="239">
                  <c:v>226360.27882934423</c:v>
                </c:pt>
                <c:pt idx="240">
                  <c:v>227028.49097028913</c:v>
                </c:pt>
                <c:pt idx="241">
                  <c:v>227693.05060168236</c:v>
                </c:pt>
                <c:pt idx="242">
                  <c:v>228353.93337346023</c:v>
                </c:pt>
                <c:pt idx="243">
                  <c:v>229011.11477322527</c:v>
                </c:pt>
                <c:pt idx="244">
                  <c:v>229664.57012516411</c:v>
                </c:pt>
                <c:pt idx="245">
                  <c:v>230314.27458895789</c:v>
                </c:pt>
                <c:pt idx="246">
                  <c:v>230960.20315868565</c:v>
                </c:pt>
                <c:pt idx="247">
                  <c:v>231602.33066172025</c:v>
                </c:pt>
                <c:pt idx="248">
                  <c:v>232240.63175761708</c:v>
                </c:pt>
                <c:pt idx="249">
                  <c:v>232875.08093699525</c:v>
                </c:pt>
                <c:pt idx="250">
                  <c:v>233505.65252041127</c:v>
                </c:pt>
                <c:pt idx="251">
                  <c:v>234132.32065722541</c:v>
                </c:pt>
                <c:pt idx="252">
                  <c:v>234755.05932446034</c:v>
                </c:pt>
                <c:pt idx="253">
                  <c:v>235373.84232565216</c:v>
                </c:pt>
                <c:pt idx="254">
                  <c:v>235988.64328969395</c:v>
                </c:pt>
                <c:pt idx="255">
                  <c:v>236599.43566967137</c:v>
                </c:pt>
                <c:pt idx="256">
                  <c:v>237206.19274169064</c:v>
                </c:pt>
                <c:pt idx="257">
                  <c:v>237808.88760369871</c:v>
                </c:pt>
                <c:pt idx="258">
                  <c:v>238407.49317429552</c:v>
                </c:pt>
                <c:pt idx="259">
                  <c:v>239001.98219153832</c:v>
                </c:pt>
                <c:pt idx="260">
                  <c:v>239592.32721173807</c:v>
                </c:pt>
                <c:pt idx="261">
                  <c:v>240178.50060824785</c:v>
                </c:pt>
                <c:pt idx="262">
                  <c:v>240760.47457024304</c:v>
                </c:pt>
                <c:pt idx="263">
                  <c:v>241338.22110149352</c:v>
                </c:pt>
                <c:pt idx="264">
                  <c:v>241911.71201912768</c:v>
                </c:pt>
                <c:pt idx="265">
                  <c:v>242480.91895238808</c:v>
                </c:pt>
                <c:pt idx="266">
                  <c:v>243045.8133413789</c:v>
                </c:pt>
                <c:pt idx="267">
                  <c:v>243606.36643580502</c:v>
                </c:pt>
                <c:pt idx="268">
                  <c:v>244162.54929370264</c:v>
                </c:pt>
                <c:pt idx="269">
                  <c:v>244714.33278016161</c:v>
                </c:pt>
                <c:pt idx="270">
                  <c:v>245261.68756603898</c:v>
                </c:pt>
                <c:pt idx="271">
                  <c:v>245804.58412666421</c:v>
                </c:pt>
                <c:pt idx="272">
                  <c:v>246342.99274053561</c:v>
                </c:pt>
                <c:pt idx="273">
                  <c:v>246876.88348800817</c:v>
                </c:pt>
                <c:pt idx="274">
                  <c:v>247406.22624997256</c:v>
                </c:pt>
                <c:pt idx="275">
                  <c:v>247930.99070652539</c:v>
                </c:pt>
                <c:pt idx="276">
                  <c:v>248451.14633563059</c:v>
                </c:pt>
                <c:pt idx="277">
                  <c:v>248966.66241177183</c:v>
                </c:pt>
                <c:pt idx="278">
                  <c:v>249477.50800459602</c:v>
                </c:pt>
                <c:pt idx="279">
                  <c:v>249983.65197754771</c:v>
                </c:pt>
                <c:pt idx="280">
                  <c:v>250485.06298649442</c:v>
                </c:pt>
                <c:pt idx="281">
                  <c:v>250981.70947834279</c:v>
                </c:pt>
                <c:pt idx="282">
                  <c:v>251473.55968964548</c:v>
                </c:pt>
                <c:pt idx="283">
                  <c:v>251960.58164519886</c:v>
                </c:pt>
                <c:pt idx="284">
                  <c:v>252442.7431566313</c:v>
                </c:pt>
                <c:pt idx="285">
                  <c:v>252920.01182098195</c:v>
                </c:pt>
                <c:pt idx="286">
                  <c:v>253392.3550192703</c:v>
                </c:pt>
                <c:pt idx="287">
                  <c:v>253859.73991505589</c:v>
                </c:pt>
                <c:pt idx="288">
                  <c:v>254322.13345298875</c:v>
                </c:pt>
                <c:pt idx="289">
                  <c:v>254779.50235734985</c:v>
                </c:pt>
                <c:pt idx="290">
                  <c:v>255231.81313058201</c:v>
                </c:pt>
                <c:pt idx="291">
                  <c:v>255679.03205181108</c:v>
                </c:pt>
                <c:pt idx="292">
                  <c:v>256121.12517535701</c:v>
                </c:pt>
                <c:pt idx="293">
                  <c:v>256558.05832923527</c:v>
                </c:pt>
                <c:pt idx="294">
                  <c:v>256989.79711364803</c:v>
                </c:pt>
                <c:pt idx="295">
                  <c:v>257416.30689946556</c:v>
                </c:pt>
                <c:pt idx="296">
                  <c:v>257837.55282669724</c:v>
                </c:pt>
                <c:pt idx="297">
                  <c:v>258253.49980295246</c:v>
                </c:pt>
                <c:pt idx="298">
                  <c:v>258664.11250189139</c:v>
                </c:pt>
                <c:pt idx="299">
                  <c:v>259069.35536166525</c:v>
                </c:pt>
                <c:pt idx="300">
                  <c:v>259469.1925833463</c:v>
                </c:pt>
                <c:pt idx="301">
                  <c:v>259863.58812934722</c:v>
                </c:pt>
                <c:pt idx="302">
                  <c:v>260252.50572183015</c:v>
                </c:pt>
                <c:pt idx="303">
                  <c:v>260635.908841105</c:v>
                </c:pt>
                <c:pt idx="304">
                  <c:v>261013.76072401702</c:v>
                </c:pt>
                <c:pt idx="305">
                  <c:v>261386.02436232381</c:v>
                </c:pt>
                <c:pt idx="306">
                  <c:v>261752.66250106131</c:v>
                </c:pt>
                <c:pt idx="307">
                  <c:v>262113.63763689908</c:v>
                </c:pt>
                <c:pt idx="308">
                  <c:v>262468.91201648442</c:v>
                </c:pt>
                <c:pt idx="309">
                  <c:v>262818.44763477572</c:v>
                </c:pt>
                <c:pt idx="310">
                  <c:v>263162.2062333643</c:v>
                </c:pt>
                <c:pt idx="311">
                  <c:v>263500.14929878543</c:v>
                </c:pt>
                <c:pt idx="312">
                  <c:v>263832.23806081805</c:v>
                </c:pt>
                <c:pt idx="313">
                  <c:v>264158.43349077291</c:v>
                </c:pt>
                <c:pt idx="314">
                  <c:v>264478.69629976951</c:v>
                </c:pt>
                <c:pt idx="315">
                  <c:v>264792.98693700141</c:v>
                </c:pt>
                <c:pt idx="316">
                  <c:v>265101.26558799017</c:v>
                </c:pt>
                <c:pt idx="317">
                  <c:v>265403.49217282759</c:v>
                </c:pt>
                <c:pt idx="318">
                  <c:v>265699.62634440593</c:v>
                </c:pt>
                <c:pt idx="319">
                  <c:v>265989.6274866368</c:v>
                </c:pt>
                <c:pt idx="320">
                  <c:v>266273.4547126579</c:v>
                </c:pt>
                <c:pt idx="321">
                  <c:v>266551.06686302781</c:v>
                </c:pt>
                <c:pt idx="322">
                  <c:v>266822.42250390886</c:v>
                </c:pt>
                <c:pt idx="323">
                  <c:v>267087.47992523777</c:v>
                </c:pt>
                <c:pt idx="324">
                  <c:v>267346.19713888422</c:v>
                </c:pt>
                <c:pt idx="325">
                  <c:v>267598.53187679697</c:v>
                </c:pt>
                <c:pt idx="326">
                  <c:v>267844.44158913783</c:v>
                </c:pt>
                <c:pt idx="327">
                  <c:v>268083.88344240299</c:v>
                </c:pt>
                <c:pt idx="328">
                  <c:v>268316.81431753194</c:v>
                </c:pt>
                <c:pt idx="329">
                  <c:v>268543.19080800377</c:v>
                </c:pt>
                <c:pt idx="330">
                  <c:v>268762.96921792073</c:v>
                </c:pt>
                <c:pt idx="331">
                  <c:v>268976.10556007916</c:v>
                </c:pt>
                <c:pt idx="332">
                  <c:v>269182.55555402732</c:v>
                </c:pt>
                <c:pt idx="333">
                  <c:v>269382.27462411049</c:v>
                </c:pt>
                <c:pt idx="334">
                  <c:v>269575.21789750288</c:v>
                </c:pt>
                <c:pt idx="335">
                  <c:v>269761.34020222654</c:v>
                </c:pt>
                <c:pt idx="336">
                  <c:v>269940.59606515703</c:v>
                </c:pt>
                <c:pt idx="337">
                  <c:v>270112.93971001578</c:v>
                </c:pt>
                <c:pt idx="338">
                  <c:v>270278.32505534892</c:v>
                </c:pt>
                <c:pt idx="339">
                  <c:v>270436.70571249293</c:v>
                </c:pt>
                <c:pt idx="340">
                  <c:v>270588.03498352657</c:v>
                </c:pt>
                <c:pt idx="341">
                  <c:v>270732.26585920912</c:v>
                </c:pt>
                <c:pt idx="342">
                  <c:v>270869.35101690493</c:v>
                </c:pt>
                <c:pt idx="343">
                  <c:v>270999.24281849404</c:v>
                </c:pt>
                <c:pt idx="344">
                  <c:v>271121.89330826909</c:v>
                </c:pt>
                <c:pt idx="345">
                  <c:v>271237.25421081798</c:v>
                </c:pt>
                <c:pt idx="346">
                  <c:v>271345.27692889253</c:v>
                </c:pt>
                <c:pt idx="347">
                  <c:v>271445.91254126292</c:v>
                </c:pt>
                <c:pt idx="348">
                  <c:v>271539.11180055782</c:v>
                </c:pt>
                <c:pt idx="349">
                  <c:v>271624.82513109001</c:v>
                </c:pt>
                <c:pt idx="350">
                  <c:v>271703.00262666779</c:v>
                </c:pt>
                <c:pt idx="351">
                  <c:v>271773.59404839139</c:v>
                </c:pt>
                <c:pt idx="352">
                  <c:v>271836.5488224352</c:v>
                </c:pt>
                <c:pt idx="353">
                  <c:v>271891.8160378146</c:v>
                </c:pt>
                <c:pt idx="354">
                  <c:v>271939.34444413858</c:v>
                </c:pt>
                <c:pt idx="355">
                  <c:v>271979.08244934672</c:v>
                </c:pt>
                <c:pt idx="356">
                  <c:v>272010.97811743157</c:v>
                </c:pt>
                <c:pt idx="357">
                  <c:v>272034.97916614567</c:v>
                </c:pt>
                <c:pt idx="358">
                  <c:v>272051.03296469321</c:v>
                </c:pt>
                <c:pt idx="359">
                  <c:v>272059.08653140644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EA-4926-9FAE-0F9B62A1FD13}"/>
            </c:ext>
          </c:extLst>
        </c:ser>
        <c:ser>
          <c:idx val="5"/>
          <c:order val="5"/>
          <c:tx>
            <c:strRef>
              <c:f>'HELOC Calculator'!$R$5</c:f>
              <c:strCache>
                <c:ptCount val="1"/>
                <c:pt idx="0">
                  <c:v>Total Paid End of Loan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'HELOC Calculator'!$G$6:$G$365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Calculator'!$R$6:$R$365</c:f>
              <c:numCache>
                <c:formatCode>"$"#,##0.00_);[Red]\("$"#,##0.00\)</c:formatCode>
                <c:ptCount val="360"/>
                <c:pt idx="0">
                  <c:v>1216.0885736983614</c:v>
                </c:pt>
                <c:pt idx="1">
                  <c:v>2432.1771473967228</c:v>
                </c:pt>
                <c:pt idx="2">
                  <c:v>3648.2657210950842</c:v>
                </c:pt>
                <c:pt idx="3">
                  <c:v>4864.3542947934457</c:v>
                </c:pt>
                <c:pt idx="4">
                  <c:v>6080.4428684918066</c:v>
                </c:pt>
                <c:pt idx="5">
                  <c:v>7296.5314421901685</c:v>
                </c:pt>
                <c:pt idx="6">
                  <c:v>8512.6200158885295</c:v>
                </c:pt>
                <c:pt idx="7">
                  <c:v>9728.7085895868913</c:v>
                </c:pt>
                <c:pt idx="8">
                  <c:v>10944.797163285253</c:v>
                </c:pt>
                <c:pt idx="9">
                  <c:v>12160.885736983615</c:v>
                </c:pt>
                <c:pt idx="10">
                  <c:v>13376.974310681977</c:v>
                </c:pt>
                <c:pt idx="11">
                  <c:v>14593.062884380337</c:v>
                </c:pt>
                <c:pt idx="12">
                  <c:v>15809.151458078699</c:v>
                </c:pt>
                <c:pt idx="13">
                  <c:v>17025.240031777063</c:v>
                </c:pt>
                <c:pt idx="14">
                  <c:v>18241.328605475424</c:v>
                </c:pt>
                <c:pt idx="15">
                  <c:v>19457.417179173786</c:v>
                </c:pt>
                <c:pt idx="16">
                  <c:v>20673.505752872145</c:v>
                </c:pt>
                <c:pt idx="17">
                  <c:v>21889.594326570506</c:v>
                </c:pt>
                <c:pt idx="18">
                  <c:v>23105.682900268868</c:v>
                </c:pt>
                <c:pt idx="19">
                  <c:v>24321.77147396723</c:v>
                </c:pt>
                <c:pt idx="20">
                  <c:v>25537.860047665592</c:v>
                </c:pt>
                <c:pt idx="21">
                  <c:v>26753.948621363954</c:v>
                </c:pt>
                <c:pt idx="22">
                  <c:v>27970.037195062316</c:v>
                </c:pt>
                <c:pt idx="23">
                  <c:v>29186.125768760674</c:v>
                </c:pt>
                <c:pt idx="24">
                  <c:v>30402.214342459036</c:v>
                </c:pt>
                <c:pt idx="25">
                  <c:v>31618.302916157398</c:v>
                </c:pt>
                <c:pt idx="26">
                  <c:v>32834.391489855756</c:v>
                </c:pt>
                <c:pt idx="27">
                  <c:v>34050.480063554118</c:v>
                </c:pt>
                <c:pt idx="28">
                  <c:v>35266.56863725248</c:v>
                </c:pt>
                <c:pt idx="29">
                  <c:v>36482.657210950842</c:v>
                </c:pt>
                <c:pt idx="30">
                  <c:v>37698.745784649211</c:v>
                </c:pt>
                <c:pt idx="31">
                  <c:v>38914.834358347565</c:v>
                </c:pt>
                <c:pt idx="32">
                  <c:v>40130.922932045927</c:v>
                </c:pt>
                <c:pt idx="33">
                  <c:v>41347.011505744296</c:v>
                </c:pt>
                <c:pt idx="34">
                  <c:v>42563.100079442651</c:v>
                </c:pt>
                <c:pt idx="35">
                  <c:v>43779.188653141013</c:v>
                </c:pt>
                <c:pt idx="36">
                  <c:v>44995.277226839375</c:v>
                </c:pt>
                <c:pt idx="37">
                  <c:v>46211.365800537729</c:v>
                </c:pt>
                <c:pt idx="38">
                  <c:v>47427.454374236091</c:v>
                </c:pt>
                <c:pt idx="39">
                  <c:v>48643.542947934453</c:v>
                </c:pt>
                <c:pt idx="40">
                  <c:v>49859.631521632815</c:v>
                </c:pt>
                <c:pt idx="41">
                  <c:v>51075.720095331169</c:v>
                </c:pt>
                <c:pt idx="42">
                  <c:v>52291.808669029539</c:v>
                </c:pt>
                <c:pt idx="43">
                  <c:v>53507.8972427279</c:v>
                </c:pt>
                <c:pt idx="44">
                  <c:v>54723.985816426262</c:v>
                </c:pt>
                <c:pt idx="45">
                  <c:v>55940.074390124624</c:v>
                </c:pt>
                <c:pt idx="46">
                  <c:v>57156.162963822986</c:v>
                </c:pt>
                <c:pt idx="47">
                  <c:v>58372.251537521348</c:v>
                </c:pt>
                <c:pt idx="48">
                  <c:v>59588.34011121971</c:v>
                </c:pt>
                <c:pt idx="49">
                  <c:v>60804.428684918072</c:v>
                </c:pt>
                <c:pt idx="50">
                  <c:v>62020.517258616426</c:v>
                </c:pt>
                <c:pt idx="51">
                  <c:v>63236.605832314795</c:v>
                </c:pt>
                <c:pt idx="52">
                  <c:v>64452.694406013157</c:v>
                </c:pt>
                <c:pt idx="53">
                  <c:v>65668.782979711512</c:v>
                </c:pt>
                <c:pt idx="54">
                  <c:v>66884.871553409874</c:v>
                </c:pt>
                <c:pt idx="55">
                  <c:v>68100.960127108236</c:v>
                </c:pt>
                <c:pt idx="56">
                  <c:v>69317.048700806597</c:v>
                </c:pt>
                <c:pt idx="57">
                  <c:v>70533.137274504959</c:v>
                </c:pt>
                <c:pt idx="58">
                  <c:v>71749.225848203321</c:v>
                </c:pt>
                <c:pt idx="59">
                  <c:v>72965.314421901683</c:v>
                </c:pt>
                <c:pt idx="60">
                  <c:v>74181.402995600045</c:v>
                </c:pt>
                <c:pt idx="61">
                  <c:v>75397.491569298421</c:v>
                </c:pt>
                <c:pt idx="62">
                  <c:v>76613.580142996783</c:v>
                </c:pt>
                <c:pt idx="63">
                  <c:v>77829.668716695145</c:v>
                </c:pt>
                <c:pt idx="64">
                  <c:v>79045.757290393492</c:v>
                </c:pt>
                <c:pt idx="65">
                  <c:v>80261.845864091869</c:v>
                </c:pt>
                <c:pt idx="66">
                  <c:v>81477.934437790231</c:v>
                </c:pt>
                <c:pt idx="67">
                  <c:v>82694.023011488593</c:v>
                </c:pt>
                <c:pt idx="68">
                  <c:v>83910.111585186954</c:v>
                </c:pt>
                <c:pt idx="69">
                  <c:v>85126.200158885331</c:v>
                </c:pt>
                <c:pt idx="70">
                  <c:v>86342.288732583678</c:v>
                </c:pt>
                <c:pt idx="71">
                  <c:v>87558.377306282055</c:v>
                </c:pt>
                <c:pt idx="72">
                  <c:v>88774.465879980417</c:v>
                </c:pt>
                <c:pt idx="73">
                  <c:v>89990.554453678778</c:v>
                </c:pt>
                <c:pt idx="74">
                  <c:v>91206.64302737714</c:v>
                </c:pt>
                <c:pt idx="75">
                  <c:v>92422.731601075502</c:v>
                </c:pt>
                <c:pt idx="76">
                  <c:v>93638.820174773864</c:v>
                </c:pt>
                <c:pt idx="77">
                  <c:v>94854.908748472226</c:v>
                </c:pt>
                <c:pt idx="78">
                  <c:v>96070.997322170588</c:v>
                </c:pt>
                <c:pt idx="79">
                  <c:v>97287.08589586895</c:v>
                </c:pt>
                <c:pt idx="80">
                  <c:v>98503.174469567311</c:v>
                </c:pt>
                <c:pt idx="81">
                  <c:v>99719.263043265673</c:v>
                </c:pt>
                <c:pt idx="82">
                  <c:v>100935.35161696404</c:v>
                </c:pt>
                <c:pt idx="83">
                  <c:v>102151.4401906624</c:v>
                </c:pt>
                <c:pt idx="84">
                  <c:v>103367.52876436076</c:v>
                </c:pt>
                <c:pt idx="85">
                  <c:v>104583.61733805912</c:v>
                </c:pt>
                <c:pt idx="86">
                  <c:v>105799.70591175748</c:v>
                </c:pt>
                <c:pt idx="87">
                  <c:v>107015.79448545584</c:v>
                </c:pt>
                <c:pt idx="88">
                  <c:v>108231.88305915421</c:v>
                </c:pt>
                <c:pt idx="89">
                  <c:v>109447.97163285257</c:v>
                </c:pt>
                <c:pt idx="90">
                  <c:v>110664.06020655093</c:v>
                </c:pt>
                <c:pt idx="91">
                  <c:v>111880.14878024929</c:v>
                </c:pt>
                <c:pt idx="92">
                  <c:v>113096.23735394765</c:v>
                </c:pt>
                <c:pt idx="93">
                  <c:v>114312.32592764602</c:v>
                </c:pt>
                <c:pt idx="94">
                  <c:v>115528.41450134438</c:v>
                </c:pt>
                <c:pt idx="95">
                  <c:v>116744.50307504274</c:v>
                </c:pt>
                <c:pt idx="96">
                  <c:v>117960.5916487411</c:v>
                </c:pt>
                <c:pt idx="97">
                  <c:v>119176.68022243946</c:v>
                </c:pt>
                <c:pt idx="98">
                  <c:v>120392.76879613783</c:v>
                </c:pt>
                <c:pt idx="99">
                  <c:v>121608.85736983619</c:v>
                </c:pt>
                <c:pt idx="100">
                  <c:v>122824.94594353456</c:v>
                </c:pt>
                <c:pt idx="101">
                  <c:v>124041.03451723293</c:v>
                </c:pt>
                <c:pt idx="102">
                  <c:v>125257.12309093129</c:v>
                </c:pt>
                <c:pt idx="103">
                  <c:v>126473.21166462965</c:v>
                </c:pt>
                <c:pt idx="104">
                  <c:v>127689.30023832801</c:v>
                </c:pt>
                <c:pt idx="105">
                  <c:v>128905.38881202637</c:v>
                </c:pt>
                <c:pt idx="106">
                  <c:v>130121.47738572473</c:v>
                </c:pt>
                <c:pt idx="107">
                  <c:v>131337.56595942308</c:v>
                </c:pt>
                <c:pt idx="108">
                  <c:v>132553.65453312144</c:v>
                </c:pt>
                <c:pt idx="109">
                  <c:v>133769.74310681981</c:v>
                </c:pt>
                <c:pt idx="110">
                  <c:v>134985.83168051817</c:v>
                </c:pt>
                <c:pt idx="111">
                  <c:v>136201.92025421653</c:v>
                </c:pt>
                <c:pt idx="112">
                  <c:v>137418.00882791489</c:v>
                </c:pt>
                <c:pt idx="113">
                  <c:v>138634.09740161325</c:v>
                </c:pt>
                <c:pt idx="114">
                  <c:v>139850.18597531162</c:v>
                </c:pt>
                <c:pt idx="115">
                  <c:v>141066.27454900998</c:v>
                </c:pt>
                <c:pt idx="116">
                  <c:v>142282.36312270834</c:v>
                </c:pt>
                <c:pt idx="117">
                  <c:v>143498.4516964067</c:v>
                </c:pt>
                <c:pt idx="118">
                  <c:v>144714.54027010506</c:v>
                </c:pt>
                <c:pt idx="119">
                  <c:v>145930.62884380342</c:v>
                </c:pt>
                <c:pt idx="120">
                  <c:v>147146.71741750179</c:v>
                </c:pt>
                <c:pt idx="121">
                  <c:v>148362.80599120015</c:v>
                </c:pt>
                <c:pt idx="122">
                  <c:v>149578.89456489851</c:v>
                </c:pt>
                <c:pt idx="123">
                  <c:v>150794.98313859684</c:v>
                </c:pt>
                <c:pt idx="124">
                  <c:v>152011.07171229523</c:v>
                </c:pt>
                <c:pt idx="125">
                  <c:v>153227.16028599357</c:v>
                </c:pt>
                <c:pt idx="126">
                  <c:v>154443.24885969193</c:v>
                </c:pt>
                <c:pt idx="127">
                  <c:v>155659.33743339032</c:v>
                </c:pt>
                <c:pt idx="128">
                  <c:v>156875.42600708868</c:v>
                </c:pt>
                <c:pt idx="129">
                  <c:v>158091.51458078701</c:v>
                </c:pt>
                <c:pt idx="130">
                  <c:v>159307.6031544854</c:v>
                </c:pt>
                <c:pt idx="131">
                  <c:v>160523.69172818377</c:v>
                </c:pt>
                <c:pt idx="132">
                  <c:v>161739.78030188213</c:v>
                </c:pt>
                <c:pt idx="133">
                  <c:v>162955.86887558049</c:v>
                </c:pt>
                <c:pt idx="134">
                  <c:v>164171.95744927885</c:v>
                </c:pt>
                <c:pt idx="135">
                  <c:v>165388.04602297721</c:v>
                </c:pt>
                <c:pt idx="136">
                  <c:v>166604.13459667558</c:v>
                </c:pt>
                <c:pt idx="137">
                  <c:v>167820.22317037391</c:v>
                </c:pt>
                <c:pt idx="138">
                  <c:v>169036.3117440723</c:v>
                </c:pt>
                <c:pt idx="139">
                  <c:v>170252.40031777066</c:v>
                </c:pt>
                <c:pt idx="140">
                  <c:v>171468.48889146902</c:v>
                </c:pt>
                <c:pt idx="141">
                  <c:v>172684.57746516739</c:v>
                </c:pt>
                <c:pt idx="142">
                  <c:v>173900.66603886572</c:v>
                </c:pt>
                <c:pt idx="143">
                  <c:v>175116.75461256408</c:v>
                </c:pt>
                <c:pt idx="144">
                  <c:v>176332.84318626244</c:v>
                </c:pt>
                <c:pt idx="145">
                  <c:v>177548.9317599608</c:v>
                </c:pt>
                <c:pt idx="146">
                  <c:v>178765.02033365917</c:v>
                </c:pt>
                <c:pt idx="147">
                  <c:v>179981.10890735753</c:v>
                </c:pt>
                <c:pt idx="148">
                  <c:v>181197.19748105589</c:v>
                </c:pt>
                <c:pt idx="149">
                  <c:v>182413.28605475425</c:v>
                </c:pt>
                <c:pt idx="150">
                  <c:v>183629.37462845261</c:v>
                </c:pt>
                <c:pt idx="151">
                  <c:v>184845.46320215098</c:v>
                </c:pt>
                <c:pt idx="152">
                  <c:v>186061.55177584934</c:v>
                </c:pt>
                <c:pt idx="153">
                  <c:v>187277.64034954767</c:v>
                </c:pt>
                <c:pt idx="154">
                  <c:v>188493.72892324603</c:v>
                </c:pt>
                <c:pt idx="155">
                  <c:v>189709.81749694439</c:v>
                </c:pt>
                <c:pt idx="156">
                  <c:v>190925.90607064276</c:v>
                </c:pt>
                <c:pt idx="157">
                  <c:v>192141.99464434112</c:v>
                </c:pt>
                <c:pt idx="158">
                  <c:v>193358.08321803951</c:v>
                </c:pt>
                <c:pt idx="159">
                  <c:v>194574.17179173784</c:v>
                </c:pt>
                <c:pt idx="160">
                  <c:v>195790.26036543623</c:v>
                </c:pt>
                <c:pt idx="161">
                  <c:v>197006.34893913459</c:v>
                </c:pt>
                <c:pt idx="162">
                  <c:v>198222.43751283296</c:v>
                </c:pt>
                <c:pt idx="163">
                  <c:v>199438.52608653132</c:v>
                </c:pt>
                <c:pt idx="164">
                  <c:v>200654.61466022965</c:v>
                </c:pt>
                <c:pt idx="165">
                  <c:v>201870.70323392801</c:v>
                </c:pt>
                <c:pt idx="166">
                  <c:v>203086.79180762637</c:v>
                </c:pt>
                <c:pt idx="167">
                  <c:v>204302.88038132474</c:v>
                </c:pt>
                <c:pt idx="168">
                  <c:v>205518.9689550231</c:v>
                </c:pt>
                <c:pt idx="169">
                  <c:v>206735.05752872146</c:v>
                </c:pt>
                <c:pt idx="170">
                  <c:v>207951.14610241982</c:v>
                </c:pt>
                <c:pt idx="171">
                  <c:v>209167.23467611818</c:v>
                </c:pt>
                <c:pt idx="172">
                  <c:v>210383.32324981655</c:v>
                </c:pt>
                <c:pt idx="173">
                  <c:v>211599.41182351491</c:v>
                </c:pt>
                <c:pt idx="174">
                  <c:v>212815.50039721327</c:v>
                </c:pt>
                <c:pt idx="175">
                  <c:v>214031.58897091163</c:v>
                </c:pt>
                <c:pt idx="176">
                  <c:v>215247.67754460999</c:v>
                </c:pt>
                <c:pt idx="177">
                  <c:v>216463.76611830833</c:v>
                </c:pt>
                <c:pt idx="178">
                  <c:v>217679.85469200669</c:v>
                </c:pt>
                <c:pt idx="179">
                  <c:v>218895.94326570508</c:v>
                </c:pt>
                <c:pt idx="180">
                  <c:v>220112.03183940344</c:v>
                </c:pt>
                <c:pt idx="181">
                  <c:v>221328.1204131018</c:v>
                </c:pt>
                <c:pt idx="182">
                  <c:v>222544.20898680016</c:v>
                </c:pt>
                <c:pt idx="183">
                  <c:v>223760.29756049853</c:v>
                </c:pt>
                <c:pt idx="184">
                  <c:v>224976.38613419689</c:v>
                </c:pt>
                <c:pt idx="185">
                  <c:v>226192.47470789525</c:v>
                </c:pt>
                <c:pt idx="186">
                  <c:v>227408.56328159361</c:v>
                </c:pt>
                <c:pt idx="187">
                  <c:v>228624.65185529197</c:v>
                </c:pt>
                <c:pt idx="188">
                  <c:v>229840.74042899034</c:v>
                </c:pt>
                <c:pt idx="189">
                  <c:v>231056.8290026887</c:v>
                </c:pt>
                <c:pt idx="190">
                  <c:v>232272.91757638706</c:v>
                </c:pt>
                <c:pt idx="191">
                  <c:v>233489.00615008539</c:v>
                </c:pt>
                <c:pt idx="192">
                  <c:v>234705.09472378378</c:v>
                </c:pt>
                <c:pt idx="193">
                  <c:v>235921.18329748212</c:v>
                </c:pt>
                <c:pt idx="194">
                  <c:v>237137.27187118051</c:v>
                </c:pt>
                <c:pt idx="195">
                  <c:v>238353.36044487887</c:v>
                </c:pt>
                <c:pt idx="196">
                  <c:v>239569.44901857723</c:v>
                </c:pt>
                <c:pt idx="197">
                  <c:v>240785.53759227559</c:v>
                </c:pt>
                <c:pt idx="198">
                  <c:v>242001.62616597395</c:v>
                </c:pt>
                <c:pt idx="199">
                  <c:v>243217.71473967232</c:v>
                </c:pt>
                <c:pt idx="200">
                  <c:v>244433.80331337068</c:v>
                </c:pt>
                <c:pt idx="201">
                  <c:v>245649.89188706904</c:v>
                </c:pt>
                <c:pt idx="202">
                  <c:v>246865.9804607674</c:v>
                </c:pt>
                <c:pt idx="203">
                  <c:v>248082.06903446579</c:v>
                </c:pt>
                <c:pt idx="204">
                  <c:v>249298.15760816413</c:v>
                </c:pt>
                <c:pt idx="205">
                  <c:v>250514.24618186249</c:v>
                </c:pt>
                <c:pt idx="206">
                  <c:v>251730.33475556085</c:v>
                </c:pt>
                <c:pt idx="207">
                  <c:v>252946.42332925921</c:v>
                </c:pt>
                <c:pt idx="208">
                  <c:v>254162.51190295757</c:v>
                </c:pt>
                <c:pt idx="209">
                  <c:v>255378.60047665593</c:v>
                </c:pt>
                <c:pt idx="210">
                  <c:v>256594.68905035433</c:v>
                </c:pt>
                <c:pt idx="211">
                  <c:v>257810.77762405269</c:v>
                </c:pt>
                <c:pt idx="212">
                  <c:v>259026.86619775105</c:v>
                </c:pt>
                <c:pt idx="213">
                  <c:v>260242.95477144938</c:v>
                </c:pt>
                <c:pt idx="214">
                  <c:v>261459.04334514774</c:v>
                </c:pt>
                <c:pt idx="215">
                  <c:v>262675.13191884611</c:v>
                </c:pt>
                <c:pt idx="216">
                  <c:v>263891.22049254447</c:v>
                </c:pt>
                <c:pt idx="217">
                  <c:v>265107.30906624283</c:v>
                </c:pt>
                <c:pt idx="218">
                  <c:v>266323.39763994119</c:v>
                </c:pt>
                <c:pt idx="219">
                  <c:v>267539.48621363955</c:v>
                </c:pt>
                <c:pt idx="220">
                  <c:v>268755.57478733792</c:v>
                </c:pt>
                <c:pt idx="221">
                  <c:v>269971.66336103628</c:v>
                </c:pt>
                <c:pt idx="222">
                  <c:v>271187.75193473464</c:v>
                </c:pt>
                <c:pt idx="223">
                  <c:v>272403.840508433</c:v>
                </c:pt>
                <c:pt idx="224">
                  <c:v>273619.92908213136</c:v>
                </c:pt>
                <c:pt idx="225">
                  <c:v>274836.01765582978</c:v>
                </c:pt>
                <c:pt idx="226">
                  <c:v>276052.10622952809</c:v>
                </c:pt>
                <c:pt idx="227">
                  <c:v>277268.19480322645</c:v>
                </c:pt>
                <c:pt idx="228">
                  <c:v>278484.28337692481</c:v>
                </c:pt>
                <c:pt idx="229">
                  <c:v>279700.37195062317</c:v>
                </c:pt>
                <c:pt idx="230">
                  <c:v>280916.46052432153</c:v>
                </c:pt>
                <c:pt idx="231">
                  <c:v>282132.54909801995</c:v>
                </c:pt>
                <c:pt idx="232">
                  <c:v>283348.63767171832</c:v>
                </c:pt>
                <c:pt idx="233">
                  <c:v>284564.72624541668</c:v>
                </c:pt>
                <c:pt idx="234">
                  <c:v>285780.81481911504</c:v>
                </c:pt>
                <c:pt idx="235">
                  <c:v>286996.9033928134</c:v>
                </c:pt>
                <c:pt idx="236">
                  <c:v>288212.9919665117</c:v>
                </c:pt>
                <c:pt idx="237">
                  <c:v>289429.08054021007</c:v>
                </c:pt>
                <c:pt idx="238">
                  <c:v>290645.16911390843</c:v>
                </c:pt>
                <c:pt idx="239">
                  <c:v>291861.25768760685</c:v>
                </c:pt>
                <c:pt idx="240">
                  <c:v>293077.34626130515</c:v>
                </c:pt>
                <c:pt idx="241">
                  <c:v>294293.43483500351</c:v>
                </c:pt>
                <c:pt idx="242">
                  <c:v>295509.52340870188</c:v>
                </c:pt>
                <c:pt idx="243">
                  <c:v>296725.61198240024</c:v>
                </c:pt>
                <c:pt idx="244">
                  <c:v>297941.7005560986</c:v>
                </c:pt>
                <c:pt idx="245">
                  <c:v>299157.78912979702</c:v>
                </c:pt>
                <c:pt idx="246">
                  <c:v>300373.87770349538</c:v>
                </c:pt>
                <c:pt idx="247">
                  <c:v>301589.96627719374</c:v>
                </c:pt>
                <c:pt idx="248">
                  <c:v>302806.05485089211</c:v>
                </c:pt>
                <c:pt idx="249">
                  <c:v>304022.14342459047</c:v>
                </c:pt>
                <c:pt idx="250">
                  <c:v>305238.23199828877</c:v>
                </c:pt>
                <c:pt idx="251">
                  <c:v>306454.32057198719</c:v>
                </c:pt>
                <c:pt idx="252">
                  <c:v>307670.40914568549</c:v>
                </c:pt>
                <c:pt idx="253">
                  <c:v>308886.49771938391</c:v>
                </c:pt>
                <c:pt idx="254">
                  <c:v>310102.58629308222</c:v>
                </c:pt>
                <c:pt idx="255">
                  <c:v>311318.67486678064</c:v>
                </c:pt>
                <c:pt idx="256">
                  <c:v>312534.76344047894</c:v>
                </c:pt>
                <c:pt idx="257">
                  <c:v>313750.8520141773</c:v>
                </c:pt>
                <c:pt idx="258">
                  <c:v>314966.94058787567</c:v>
                </c:pt>
                <c:pt idx="259">
                  <c:v>316183.02916157409</c:v>
                </c:pt>
                <c:pt idx="260">
                  <c:v>317399.11773527239</c:v>
                </c:pt>
                <c:pt idx="261">
                  <c:v>318615.20630897081</c:v>
                </c:pt>
                <c:pt idx="262">
                  <c:v>319831.29488266911</c:v>
                </c:pt>
                <c:pt idx="263">
                  <c:v>321047.38345636748</c:v>
                </c:pt>
                <c:pt idx="264">
                  <c:v>322263.47203006584</c:v>
                </c:pt>
                <c:pt idx="265">
                  <c:v>323479.5606037642</c:v>
                </c:pt>
                <c:pt idx="266">
                  <c:v>324695.64917746256</c:v>
                </c:pt>
                <c:pt idx="267">
                  <c:v>325911.73775116092</c:v>
                </c:pt>
                <c:pt idx="268">
                  <c:v>327127.82632485928</c:v>
                </c:pt>
                <c:pt idx="269">
                  <c:v>328343.91489855765</c:v>
                </c:pt>
                <c:pt idx="270">
                  <c:v>329560.00347225601</c:v>
                </c:pt>
                <c:pt idx="271">
                  <c:v>330776.09204595437</c:v>
                </c:pt>
                <c:pt idx="272">
                  <c:v>331992.18061965273</c:v>
                </c:pt>
                <c:pt idx="273">
                  <c:v>333208.26919335109</c:v>
                </c:pt>
                <c:pt idx="274">
                  <c:v>334424.35776704946</c:v>
                </c:pt>
                <c:pt idx="275">
                  <c:v>335640.44634074788</c:v>
                </c:pt>
                <c:pt idx="276">
                  <c:v>336856.53491444624</c:v>
                </c:pt>
                <c:pt idx="277">
                  <c:v>338072.6234881446</c:v>
                </c:pt>
                <c:pt idx="278">
                  <c:v>339288.71206184302</c:v>
                </c:pt>
                <c:pt idx="279">
                  <c:v>340504.80063554132</c:v>
                </c:pt>
                <c:pt idx="280">
                  <c:v>341720.88920923974</c:v>
                </c:pt>
                <c:pt idx="281">
                  <c:v>342936.97778293805</c:v>
                </c:pt>
                <c:pt idx="282">
                  <c:v>344153.06635663647</c:v>
                </c:pt>
                <c:pt idx="283">
                  <c:v>345369.15493033477</c:v>
                </c:pt>
                <c:pt idx="284">
                  <c:v>346585.24350403319</c:v>
                </c:pt>
                <c:pt idx="285">
                  <c:v>347801.33207773149</c:v>
                </c:pt>
                <c:pt idx="286">
                  <c:v>349017.42065142991</c:v>
                </c:pt>
                <c:pt idx="287">
                  <c:v>350233.50922512822</c:v>
                </c:pt>
                <c:pt idx="288">
                  <c:v>351449.59779882664</c:v>
                </c:pt>
                <c:pt idx="289">
                  <c:v>352665.686372525</c:v>
                </c:pt>
                <c:pt idx="290">
                  <c:v>353881.77494622336</c:v>
                </c:pt>
                <c:pt idx="291">
                  <c:v>355097.86351992172</c:v>
                </c:pt>
                <c:pt idx="292">
                  <c:v>356313.95209362009</c:v>
                </c:pt>
                <c:pt idx="293">
                  <c:v>357530.04066731845</c:v>
                </c:pt>
                <c:pt idx="294">
                  <c:v>358746.12924101681</c:v>
                </c:pt>
                <c:pt idx="295">
                  <c:v>359962.21781471517</c:v>
                </c:pt>
                <c:pt idx="296">
                  <c:v>361178.30638841353</c:v>
                </c:pt>
                <c:pt idx="297">
                  <c:v>362394.3949621119</c:v>
                </c:pt>
                <c:pt idx="298">
                  <c:v>363610.48353581026</c:v>
                </c:pt>
                <c:pt idx="299">
                  <c:v>364826.57210950862</c:v>
                </c:pt>
                <c:pt idx="300">
                  <c:v>366042.66068320698</c:v>
                </c:pt>
                <c:pt idx="301">
                  <c:v>367258.74925690534</c:v>
                </c:pt>
                <c:pt idx="302">
                  <c:v>368474.8378306037</c:v>
                </c:pt>
                <c:pt idx="303">
                  <c:v>369690.92640430207</c:v>
                </c:pt>
                <c:pt idx="304">
                  <c:v>370907.01497800043</c:v>
                </c:pt>
                <c:pt idx="305">
                  <c:v>372123.10355169879</c:v>
                </c:pt>
                <c:pt idx="306">
                  <c:v>373339.19212539715</c:v>
                </c:pt>
                <c:pt idx="307">
                  <c:v>374555.28069909551</c:v>
                </c:pt>
                <c:pt idx="308">
                  <c:v>375771.36927279388</c:v>
                </c:pt>
                <c:pt idx="309">
                  <c:v>376987.45784649224</c:v>
                </c:pt>
                <c:pt idx="310">
                  <c:v>378203.54642019066</c:v>
                </c:pt>
                <c:pt idx="311">
                  <c:v>379419.63499388896</c:v>
                </c:pt>
                <c:pt idx="312">
                  <c:v>380635.72356758732</c:v>
                </c:pt>
                <c:pt idx="313">
                  <c:v>381851.81214128569</c:v>
                </c:pt>
                <c:pt idx="314">
                  <c:v>383067.90071498405</c:v>
                </c:pt>
                <c:pt idx="315">
                  <c:v>384283.98928868241</c:v>
                </c:pt>
                <c:pt idx="316">
                  <c:v>385500.07786238077</c:v>
                </c:pt>
                <c:pt idx="317">
                  <c:v>386716.16643607913</c:v>
                </c:pt>
                <c:pt idx="318">
                  <c:v>387932.25500977749</c:v>
                </c:pt>
                <c:pt idx="319">
                  <c:v>389148.34358347591</c:v>
                </c:pt>
                <c:pt idx="320">
                  <c:v>390364.43215717428</c:v>
                </c:pt>
                <c:pt idx="321">
                  <c:v>391580.52073087264</c:v>
                </c:pt>
                <c:pt idx="322">
                  <c:v>392796.609304571</c:v>
                </c:pt>
                <c:pt idx="323">
                  <c:v>394012.69787826936</c:v>
                </c:pt>
                <c:pt idx="324">
                  <c:v>395228.78645196772</c:v>
                </c:pt>
                <c:pt idx="325">
                  <c:v>396444.87502566609</c:v>
                </c:pt>
                <c:pt idx="326">
                  <c:v>397660.96359936439</c:v>
                </c:pt>
                <c:pt idx="327">
                  <c:v>398877.05217306275</c:v>
                </c:pt>
                <c:pt idx="328">
                  <c:v>400093.14074676111</c:v>
                </c:pt>
                <c:pt idx="329">
                  <c:v>401309.22932045953</c:v>
                </c:pt>
                <c:pt idx="330">
                  <c:v>402525.3178941579</c:v>
                </c:pt>
                <c:pt idx="331">
                  <c:v>403741.40646785626</c:v>
                </c:pt>
                <c:pt idx="332">
                  <c:v>404957.49504155462</c:v>
                </c:pt>
                <c:pt idx="333">
                  <c:v>406173.58361525298</c:v>
                </c:pt>
                <c:pt idx="334">
                  <c:v>407389.6721889514</c:v>
                </c:pt>
                <c:pt idx="335">
                  <c:v>408605.7607626497</c:v>
                </c:pt>
                <c:pt idx="336">
                  <c:v>409821.84933634807</c:v>
                </c:pt>
                <c:pt idx="337">
                  <c:v>411037.93791004643</c:v>
                </c:pt>
                <c:pt idx="338">
                  <c:v>412254.02648374485</c:v>
                </c:pt>
                <c:pt idx="339">
                  <c:v>413470.11505744315</c:v>
                </c:pt>
                <c:pt idx="340">
                  <c:v>414686.20363114146</c:v>
                </c:pt>
                <c:pt idx="341">
                  <c:v>415902.29220483982</c:v>
                </c:pt>
                <c:pt idx="342">
                  <c:v>417118.38077853818</c:v>
                </c:pt>
                <c:pt idx="343">
                  <c:v>418334.46935223654</c:v>
                </c:pt>
                <c:pt idx="344">
                  <c:v>419550.5579259349</c:v>
                </c:pt>
                <c:pt idx="345">
                  <c:v>420766.64649963327</c:v>
                </c:pt>
                <c:pt idx="346">
                  <c:v>421982.73507333163</c:v>
                </c:pt>
                <c:pt idx="347">
                  <c:v>423198.82364702993</c:v>
                </c:pt>
                <c:pt idx="348">
                  <c:v>424414.91222072835</c:v>
                </c:pt>
                <c:pt idx="349">
                  <c:v>425631.00079442665</c:v>
                </c:pt>
                <c:pt idx="350">
                  <c:v>426847.08936812507</c:v>
                </c:pt>
                <c:pt idx="351">
                  <c:v>428063.17794182338</c:v>
                </c:pt>
                <c:pt idx="352">
                  <c:v>429279.2665155218</c:v>
                </c:pt>
                <c:pt idx="353">
                  <c:v>430495.3550892201</c:v>
                </c:pt>
                <c:pt idx="354">
                  <c:v>431711.44366291852</c:v>
                </c:pt>
                <c:pt idx="355">
                  <c:v>432927.53223661688</c:v>
                </c:pt>
                <c:pt idx="356">
                  <c:v>434143.62081031525</c:v>
                </c:pt>
                <c:pt idx="357">
                  <c:v>435359.70938401355</c:v>
                </c:pt>
                <c:pt idx="358">
                  <c:v>436575.79795771197</c:v>
                </c:pt>
                <c:pt idx="359">
                  <c:v>437791.88653141033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EA-4926-9FAE-0F9B62A1F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882367"/>
        <c:axId val="1065093855"/>
      </c:scatterChart>
      <c:scatterChart>
        <c:scatterStyle val="smoothMarker"/>
        <c:varyColors val="0"/>
        <c:ser>
          <c:idx val="3"/>
          <c:order val="3"/>
          <c:tx>
            <c:strRef>
              <c:f>'HELOC Calculator'!$K$5</c:f>
              <c:strCache>
                <c:ptCount val="1"/>
                <c:pt idx="0">
                  <c:v>principalPayment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'HELOC Calculator'!$G$6:$G$365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Calculator'!$K$6:$K$365</c:f>
              <c:numCache>
                <c:formatCode>"$"#,##0.00_);[Red]\("$"#,##0.00\)</c:formatCode>
                <c:ptCount val="360"/>
                <c:pt idx="0">
                  <c:v>111.2032403650278</c:v>
                </c:pt>
                <c:pt idx="1">
                  <c:v>111.94459530079462</c:v>
                </c:pt>
                <c:pt idx="2">
                  <c:v>112.69089260279975</c:v>
                </c:pt>
                <c:pt idx="3">
                  <c:v>113.44216522015199</c:v>
                </c:pt>
                <c:pt idx="4">
                  <c:v>114.19844632161971</c:v>
                </c:pt>
                <c:pt idx="5">
                  <c:v>114.95976929709718</c:v>
                </c:pt>
                <c:pt idx="6">
                  <c:v>115.72616775907773</c:v>
                </c:pt>
                <c:pt idx="7">
                  <c:v>116.49767554413825</c:v>
                </c:pt>
                <c:pt idx="8">
                  <c:v>117.27432671443262</c:v>
                </c:pt>
                <c:pt idx="9">
                  <c:v>118.0561555591953</c:v>
                </c:pt>
                <c:pt idx="10">
                  <c:v>118.8431965962568</c:v>
                </c:pt>
                <c:pt idx="11">
                  <c:v>119.63548457356501</c:v>
                </c:pt>
                <c:pt idx="12">
                  <c:v>120.43305447072225</c:v>
                </c:pt>
                <c:pt idx="13">
                  <c:v>121.23594150052713</c:v>
                </c:pt>
                <c:pt idx="14">
                  <c:v>122.04418111053042</c:v>
                </c:pt>
                <c:pt idx="15">
                  <c:v>122.85780898460075</c:v>
                </c:pt>
                <c:pt idx="16">
                  <c:v>123.67686104449808</c:v>
                </c:pt>
                <c:pt idx="17">
                  <c:v>124.5013734514614</c:v>
                </c:pt>
                <c:pt idx="18">
                  <c:v>125.33138260780447</c:v>
                </c:pt>
                <c:pt idx="19">
                  <c:v>126.16692515852333</c:v>
                </c:pt>
                <c:pt idx="20">
                  <c:v>127.00803799291339</c:v>
                </c:pt>
                <c:pt idx="21">
                  <c:v>127.85475824619971</c:v>
                </c:pt>
                <c:pt idx="22">
                  <c:v>128.70712330117431</c:v>
                </c:pt>
                <c:pt idx="23">
                  <c:v>129.56517078984871</c:v>
                </c:pt>
                <c:pt idx="24">
                  <c:v>130.42893859511423</c:v>
                </c:pt>
                <c:pt idx="25">
                  <c:v>131.29846485241501</c:v>
                </c:pt>
                <c:pt idx="26">
                  <c:v>132.173787951431</c:v>
                </c:pt>
                <c:pt idx="27">
                  <c:v>133.05494653777396</c:v>
                </c:pt>
                <c:pt idx="28">
                  <c:v>133.94197951469255</c:v>
                </c:pt>
                <c:pt idx="29">
                  <c:v>134.83492604479034</c:v>
                </c:pt>
                <c:pt idx="30">
                  <c:v>135.73382555175567</c:v>
                </c:pt>
                <c:pt idx="31">
                  <c:v>136.63871772210086</c:v>
                </c:pt>
                <c:pt idx="32">
                  <c:v>137.54964250691478</c:v>
                </c:pt>
                <c:pt idx="33">
                  <c:v>138.46664012362749</c:v>
                </c:pt>
                <c:pt idx="34">
                  <c:v>139.38975105778513</c:v>
                </c:pt>
                <c:pt idx="35">
                  <c:v>140.31901606483711</c:v>
                </c:pt>
                <c:pt idx="36">
                  <c:v>141.25447617193595</c:v>
                </c:pt>
                <c:pt idx="37">
                  <c:v>142.196172679749</c:v>
                </c:pt>
                <c:pt idx="38">
                  <c:v>143.14414716428064</c:v>
                </c:pt>
                <c:pt idx="39">
                  <c:v>144.09844147870899</c:v>
                </c:pt>
                <c:pt idx="40">
                  <c:v>145.05909775523378</c:v>
                </c:pt>
                <c:pt idx="41">
                  <c:v>146.02615840693534</c:v>
                </c:pt>
                <c:pt idx="42">
                  <c:v>146.99966612964818</c:v>
                </c:pt>
                <c:pt idx="43">
                  <c:v>147.9796639038459</c:v>
                </c:pt>
                <c:pt idx="44">
                  <c:v>148.96619499653821</c:v>
                </c:pt>
                <c:pt idx="45">
                  <c:v>149.95930296318193</c:v>
                </c:pt>
                <c:pt idx="46">
                  <c:v>150.95903164960305</c:v>
                </c:pt>
                <c:pt idx="47">
                  <c:v>151.96542519393392</c:v>
                </c:pt>
                <c:pt idx="48">
                  <c:v>152.97852802856005</c:v>
                </c:pt>
                <c:pt idx="49">
                  <c:v>153.99838488208366</c:v>
                </c:pt>
                <c:pt idx="50">
                  <c:v>155.02504078129755</c:v>
                </c:pt>
                <c:pt idx="51">
                  <c:v>156.05854105317303</c:v>
                </c:pt>
                <c:pt idx="52">
                  <c:v>157.09893132686079</c:v>
                </c:pt>
                <c:pt idx="53">
                  <c:v>158.14625753570635</c:v>
                </c:pt>
                <c:pt idx="54">
                  <c:v>159.20056591927778</c:v>
                </c:pt>
                <c:pt idx="55">
                  <c:v>160.26190302540635</c:v>
                </c:pt>
                <c:pt idx="56">
                  <c:v>161.33031571224251</c:v>
                </c:pt>
                <c:pt idx="57">
                  <c:v>162.405851150324</c:v>
                </c:pt>
                <c:pt idx="58">
                  <c:v>163.48855682465933</c:v>
                </c:pt>
                <c:pt idx="59">
                  <c:v>164.57848053682369</c:v>
                </c:pt>
                <c:pt idx="60">
                  <c:v>165.67567040706922</c:v>
                </c:pt>
                <c:pt idx="61">
                  <c:v>166.78017487644956</c:v>
                </c:pt>
                <c:pt idx="62">
                  <c:v>167.89204270895925</c:v>
                </c:pt>
                <c:pt idx="63">
                  <c:v>169.01132299368578</c:v>
                </c:pt>
                <c:pt idx="64">
                  <c:v>170.13806514697694</c:v>
                </c:pt>
                <c:pt idx="65">
                  <c:v>171.27231891462361</c:v>
                </c:pt>
                <c:pt idx="66">
                  <c:v>172.41413437405436</c:v>
                </c:pt>
                <c:pt idx="67">
                  <c:v>173.56356193654801</c:v>
                </c:pt>
                <c:pt idx="68">
                  <c:v>174.72065234945831</c:v>
                </c:pt>
                <c:pt idx="69">
                  <c:v>175.88545669845485</c:v>
                </c:pt>
                <c:pt idx="70">
                  <c:v>177.05802640977777</c:v>
                </c:pt>
                <c:pt idx="71">
                  <c:v>178.23841325250964</c:v>
                </c:pt>
                <c:pt idx="72">
                  <c:v>179.42666934085969</c:v>
                </c:pt>
                <c:pt idx="73">
                  <c:v>180.62284713646568</c:v>
                </c:pt>
                <c:pt idx="74">
                  <c:v>181.82699945070863</c:v>
                </c:pt>
                <c:pt idx="75">
                  <c:v>183.03917944704676</c:v>
                </c:pt>
                <c:pt idx="76">
                  <c:v>184.25944064336045</c:v>
                </c:pt>
                <c:pt idx="77">
                  <c:v>185.48783691431618</c:v>
                </c:pt>
                <c:pt idx="78">
                  <c:v>186.7244224937449</c:v>
                </c:pt>
                <c:pt idx="79">
                  <c:v>187.96925197703649</c:v>
                </c:pt>
                <c:pt idx="80">
                  <c:v>189.22238032355017</c:v>
                </c:pt>
                <c:pt idx="81">
                  <c:v>190.48386285904053</c:v>
                </c:pt>
                <c:pt idx="82">
                  <c:v>191.7537552781007</c:v>
                </c:pt>
                <c:pt idx="83">
                  <c:v>193.0321136466215</c:v>
                </c:pt>
                <c:pt idx="84">
                  <c:v>194.3189944042656</c:v>
                </c:pt>
                <c:pt idx="85">
                  <c:v>195.61445436696067</c:v>
                </c:pt>
                <c:pt idx="86">
                  <c:v>196.91855072940712</c:v>
                </c:pt>
                <c:pt idx="87">
                  <c:v>198.23134106760313</c:v>
                </c:pt>
                <c:pt idx="88">
                  <c:v>199.5528833413872</c:v>
                </c:pt>
                <c:pt idx="89">
                  <c:v>200.88323589699644</c:v>
                </c:pt>
                <c:pt idx="90">
                  <c:v>202.22245746964302</c:v>
                </c:pt>
                <c:pt idx="91">
                  <c:v>203.57060718610728</c:v>
                </c:pt>
                <c:pt idx="92">
                  <c:v>204.9277445673481</c:v>
                </c:pt>
                <c:pt idx="93">
                  <c:v>206.2939295311304</c:v>
                </c:pt>
                <c:pt idx="94">
                  <c:v>207.66922239467124</c:v>
                </c:pt>
                <c:pt idx="95">
                  <c:v>209.05368387730232</c:v>
                </c:pt>
                <c:pt idx="96">
                  <c:v>210.4473751031511</c:v>
                </c:pt>
                <c:pt idx="97">
                  <c:v>211.8503576038388</c:v>
                </c:pt>
                <c:pt idx="98">
                  <c:v>213.26269332119773</c:v>
                </c:pt>
                <c:pt idx="99">
                  <c:v>214.6844446100057</c:v>
                </c:pt>
                <c:pt idx="100">
                  <c:v>216.11567424073894</c:v>
                </c:pt>
                <c:pt idx="101">
                  <c:v>217.55644540234402</c:v>
                </c:pt>
                <c:pt idx="102">
                  <c:v>219.00682170502637</c:v>
                </c:pt>
                <c:pt idx="103">
                  <c:v>220.46686718305989</c:v>
                </c:pt>
                <c:pt idx="104">
                  <c:v>221.93664629761372</c:v>
                </c:pt>
                <c:pt idx="105">
                  <c:v>223.41622393959767</c:v>
                </c:pt>
                <c:pt idx="106">
                  <c:v>224.90566543252839</c:v>
                </c:pt>
                <c:pt idx="107">
                  <c:v>226.40503653541191</c:v>
                </c:pt>
                <c:pt idx="108">
                  <c:v>227.91440344564796</c:v>
                </c:pt>
                <c:pt idx="109">
                  <c:v>229.43383280195224</c:v>
                </c:pt>
                <c:pt idx="110">
                  <c:v>230.96339168729867</c:v>
                </c:pt>
                <c:pt idx="111">
                  <c:v>232.50314763188055</c:v>
                </c:pt>
                <c:pt idx="112">
                  <c:v>234.0531686160931</c:v>
                </c:pt>
                <c:pt idx="113">
                  <c:v>235.61352307353366</c:v>
                </c:pt>
                <c:pt idx="114">
                  <c:v>237.1842798940238</c:v>
                </c:pt>
                <c:pt idx="115">
                  <c:v>238.76550842665063</c:v>
                </c:pt>
                <c:pt idx="116">
                  <c:v>240.35727848282829</c:v>
                </c:pt>
                <c:pt idx="117">
                  <c:v>241.95966033938032</c:v>
                </c:pt>
                <c:pt idx="118">
                  <c:v>243.5727247416429</c:v>
                </c:pt>
                <c:pt idx="119">
                  <c:v>245.19654290658718</c:v>
                </c:pt>
                <c:pt idx="120">
                  <c:v>246.83118652596431</c:v>
                </c:pt>
                <c:pt idx="121">
                  <c:v>248.47672776947081</c:v>
                </c:pt>
                <c:pt idx="122">
                  <c:v>250.13323928793397</c:v>
                </c:pt>
                <c:pt idx="123">
                  <c:v>251.80079421652022</c:v>
                </c:pt>
                <c:pt idx="124">
                  <c:v>253.47946617796367</c:v>
                </c:pt>
                <c:pt idx="125">
                  <c:v>255.16932928581673</c:v>
                </c:pt>
                <c:pt idx="126">
                  <c:v>256.87045814772216</c:v>
                </c:pt>
                <c:pt idx="127">
                  <c:v>258.58292786870697</c:v>
                </c:pt>
                <c:pt idx="128">
                  <c:v>260.30681405449832</c:v>
                </c:pt>
                <c:pt idx="129">
                  <c:v>262.04219281486166</c:v>
                </c:pt>
                <c:pt idx="130">
                  <c:v>263.78914076696083</c:v>
                </c:pt>
                <c:pt idx="131">
                  <c:v>265.54773503874048</c:v>
                </c:pt>
                <c:pt idx="132">
                  <c:v>267.31805327233201</c:v>
                </c:pt>
                <c:pt idx="133">
                  <c:v>269.1001736274809</c:v>
                </c:pt>
                <c:pt idx="134">
                  <c:v>270.89417478499752</c:v>
                </c:pt>
                <c:pt idx="135">
                  <c:v>272.70013595023079</c:v>
                </c:pt>
                <c:pt idx="136">
                  <c:v>274.51813685656566</c:v>
                </c:pt>
                <c:pt idx="137">
                  <c:v>276.34825776894274</c:v>
                </c:pt>
                <c:pt idx="138">
                  <c:v>278.19057948740226</c:v>
                </c:pt>
                <c:pt idx="139">
                  <c:v>280.04518335065154</c:v>
                </c:pt>
                <c:pt idx="140">
                  <c:v>281.91215123965583</c:v>
                </c:pt>
                <c:pt idx="141">
                  <c:v>283.79156558125362</c:v>
                </c:pt>
                <c:pt idx="142">
                  <c:v>285.68350935179535</c:v>
                </c:pt>
                <c:pt idx="143">
                  <c:v>287.58806608080738</c:v>
                </c:pt>
                <c:pt idx="144">
                  <c:v>289.50531985467944</c:v>
                </c:pt>
                <c:pt idx="145">
                  <c:v>291.43535532037731</c:v>
                </c:pt>
                <c:pt idx="146">
                  <c:v>293.3782576891798</c:v>
                </c:pt>
                <c:pt idx="147">
                  <c:v>295.33411274044101</c:v>
                </c:pt>
                <c:pt idx="148">
                  <c:v>297.30300682537734</c:v>
                </c:pt>
                <c:pt idx="149">
                  <c:v>299.28502687087985</c:v>
                </c:pt>
                <c:pt idx="150">
                  <c:v>301.28026038335236</c:v>
                </c:pt>
                <c:pt idx="151">
                  <c:v>303.28879545257473</c:v>
                </c:pt>
                <c:pt idx="152">
                  <c:v>305.31072075559177</c:v>
                </c:pt>
                <c:pt idx="153">
                  <c:v>307.34612556062916</c:v>
                </c:pt>
                <c:pt idx="154">
                  <c:v>309.39509973103338</c:v>
                </c:pt>
                <c:pt idx="155">
                  <c:v>311.45773372924043</c:v>
                </c:pt>
                <c:pt idx="156">
                  <c:v>313.53411862076871</c:v>
                </c:pt>
                <c:pt idx="157">
                  <c:v>315.62434607824048</c:v>
                </c:pt>
                <c:pt idx="158">
                  <c:v>317.72850838542865</c:v>
                </c:pt>
                <c:pt idx="159">
                  <c:v>319.84669844133145</c:v>
                </c:pt>
                <c:pt idx="160">
                  <c:v>321.97900976427377</c:v>
                </c:pt>
                <c:pt idx="161">
                  <c:v>324.12553649603547</c:v>
                </c:pt>
                <c:pt idx="162">
                  <c:v>326.28637340600903</c:v>
                </c:pt>
                <c:pt idx="163">
                  <c:v>328.46161589538235</c:v>
                </c:pt>
                <c:pt idx="164">
                  <c:v>330.65136000135169</c:v>
                </c:pt>
                <c:pt idx="165">
                  <c:v>332.85570240136065</c:v>
                </c:pt>
                <c:pt idx="166">
                  <c:v>335.07474041736987</c:v>
                </c:pt>
                <c:pt idx="167">
                  <c:v>337.30857202015227</c:v>
                </c:pt>
                <c:pt idx="168">
                  <c:v>339.55729583361983</c:v>
                </c:pt>
                <c:pt idx="169">
                  <c:v>341.82101113917736</c:v>
                </c:pt>
                <c:pt idx="170">
                  <c:v>344.09981788010532</c:v>
                </c:pt>
                <c:pt idx="171">
                  <c:v>346.39381666597262</c:v>
                </c:pt>
                <c:pt idx="172">
                  <c:v>348.70310877707925</c:v>
                </c:pt>
                <c:pt idx="173">
                  <c:v>351.02779616892633</c:v>
                </c:pt>
                <c:pt idx="174">
                  <c:v>353.36798147671925</c:v>
                </c:pt>
                <c:pt idx="175">
                  <c:v>355.72376801989742</c:v>
                </c:pt>
                <c:pt idx="176">
                  <c:v>358.09525980669673</c:v>
                </c:pt>
                <c:pt idx="177">
                  <c:v>360.48256153874138</c:v>
                </c:pt>
                <c:pt idx="178">
                  <c:v>362.88577861566625</c:v>
                </c:pt>
                <c:pt idx="179">
                  <c:v>365.30501713977071</c:v>
                </c:pt>
                <c:pt idx="180">
                  <c:v>367.74038392070258</c:v>
                </c:pt>
                <c:pt idx="181">
                  <c:v>370.19198648017391</c:v>
                </c:pt>
                <c:pt idx="182">
                  <c:v>372.65993305670838</c:v>
                </c:pt>
                <c:pt idx="183">
                  <c:v>375.14433261041984</c:v>
                </c:pt>
                <c:pt idx="184">
                  <c:v>377.64529482782268</c:v>
                </c:pt>
                <c:pt idx="185">
                  <c:v>380.16293012667472</c:v>
                </c:pt>
                <c:pt idx="186">
                  <c:v>382.69734966085264</c:v>
                </c:pt>
                <c:pt idx="187">
                  <c:v>385.24866532525834</c:v>
                </c:pt>
                <c:pt idx="188">
                  <c:v>387.81698976076007</c:v>
                </c:pt>
                <c:pt idx="189">
                  <c:v>390.40243635916511</c:v>
                </c:pt>
                <c:pt idx="190">
                  <c:v>393.00511926822617</c:v>
                </c:pt>
                <c:pt idx="191">
                  <c:v>395.62515339668096</c:v>
                </c:pt>
                <c:pt idx="192">
                  <c:v>398.2626544193256</c:v>
                </c:pt>
                <c:pt idx="193">
                  <c:v>400.91773878212109</c:v>
                </c:pt>
                <c:pt idx="194">
                  <c:v>403.59052370733525</c:v>
                </c:pt>
                <c:pt idx="195">
                  <c:v>406.2811271987174</c:v>
                </c:pt>
                <c:pt idx="196">
                  <c:v>408.98966804670886</c:v>
                </c:pt>
                <c:pt idx="197">
                  <c:v>411.71626583368686</c:v>
                </c:pt>
                <c:pt idx="198">
                  <c:v>414.46104093924487</c:v>
                </c:pt>
                <c:pt idx="199">
                  <c:v>417.2241145455065</c:v>
                </c:pt>
                <c:pt idx="200">
                  <c:v>420.00560864247655</c:v>
                </c:pt>
                <c:pt idx="201">
                  <c:v>422.80564603342634</c:v>
                </c:pt>
                <c:pt idx="202">
                  <c:v>425.6243503403158</c:v>
                </c:pt>
                <c:pt idx="203">
                  <c:v>428.46184600925119</c:v>
                </c:pt>
                <c:pt idx="204">
                  <c:v>431.31825831597951</c:v>
                </c:pt>
                <c:pt idx="205">
                  <c:v>434.19371337141934</c:v>
                </c:pt>
                <c:pt idx="206">
                  <c:v>437.08833812722889</c:v>
                </c:pt>
                <c:pt idx="207">
                  <c:v>440.00226038141034</c:v>
                </c:pt>
                <c:pt idx="208">
                  <c:v>442.93560878395317</c:v>
                </c:pt>
                <c:pt idx="209">
                  <c:v>445.8885128425128</c:v>
                </c:pt>
                <c:pt idx="210">
                  <c:v>448.86110292812964</c:v>
                </c:pt>
                <c:pt idx="211">
                  <c:v>451.85351028098387</c:v>
                </c:pt>
                <c:pt idx="212">
                  <c:v>454.86586701619035</c:v>
                </c:pt>
                <c:pt idx="213">
                  <c:v>457.89830612963169</c:v>
                </c:pt>
                <c:pt idx="214">
                  <c:v>460.95096150382926</c:v>
                </c:pt>
                <c:pt idx="215">
                  <c:v>464.02396791385479</c:v>
                </c:pt>
                <c:pt idx="216">
                  <c:v>467.11746103328051</c:v>
                </c:pt>
                <c:pt idx="217">
                  <c:v>470.23157744016908</c:v>
                </c:pt>
                <c:pt idx="218">
                  <c:v>473.36645462310344</c:v>
                </c:pt>
                <c:pt idx="219">
                  <c:v>476.52223098725744</c:v>
                </c:pt>
                <c:pt idx="220">
                  <c:v>479.69904586050586</c:v>
                </c:pt>
                <c:pt idx="221">
                  <c:v>482.89703949957584</c:v>
                </c:pt>
                <c:pt idx="222">
                  <c:v>486.11635309623966</c:v>
                </c:pt>
                <c:pt idx="223">
                  <c:v>489.35712878354798</c:v>
                </c:pt>
                <c:pt idx="224">
                  <c:v>492.61950964210496</c:v>
                </c:pt>
                <c:pt idx="225">
                  <c:v>495.90363970638566</c:v>
                </c:pt>
                <c:pt idx="226">
                  <c:v>499.20966397109487</c:v>
                </c:pt>
                <c:pt idx="227">
                  <c:v>502.5377283975688</c:v>
                </c:pt>
                <c:pt idx="228">
                  <c:v>505.88797992021932</c:v>
                </c:pt>
                <c:pt idx="229">
                  <c:v>509.26056645302083</c:v>
                </c:pt>
                <c:pt idx="230">
                  <c:v>512.65563689604096</c:v>
                </c:pt>
                <c:pt idx="231">
                  <c:v>516.07334114201467</c:v>
                </c:pt>
                <c:pt idx="232">
                  <c:v>519.51383008296136</c:v>
                </c:pt>
                <c:pt idx="233">
                  <c:v>522.97725561684774</c:v>
                </c:pt>
                <c:pt idx="234">
                  <c:v>526.4637706542934</c:v>
                </c:pt>
                <c:pt idx="235">
                  <c:v>529.97352912532199</c:v>
                </c:pt>
                <c:pt idx="236">
                  <c:v>533.50668598615744</c:v>
                </c:pt>
                <c:pt idx="237">
                  <c:v>537.06339722606515</c:v>
                </c:pt>
                <c:pt idx="238">
                  <c:v>540.64381987423894</c:v>
                </c:pt>
                <c:pt idx="239">
                  <c:v>544.24811200673389</c:v>
                </c:pt>
                <c:pt idx="240">
                  <c:v>547.87643275344544</c:v>
                </c:pt>
                <c:pt idx="241">
                  <c:v>551.52894230513516</c:v>
                </c:pt>
                <c:pt idx="242">
                  <c:v>555.20580192050261</c:v>
                </c:pt>
                <c:pt idx="243">
                  <c:v>558.90717393330601</c:v>
                </c:pt>
                <c:pt idx="244">
                  <c:v>562.63322175952794</c:v>
                </c:pt>
                <c:pt idx="245">
                  <c:v>566.38410990459158</c:v>
                </c:pt>
                <c:pt idx="246">
                  <c:v>570.16000397062214</c:v>
                </c:pt>
                <c:pt idx="247">
                  <c:v>573.96107066375964</c:v>
                </c:pt>
                <c:pt idx="248">
                  <c:v>577.78747780151809</c:v>
                </c:pt>
                <c:pt idx="249">
                  <c:v>581.63939432019492</c:v>
                </c:pt>
                <c:pt idx="250">
                  <c:v>585.51699028232963</c:v>
                </c:pt>
                <c:pt idx="251">
                  <c:v>589.42043688421177</c:v>
                </c:pt>
                <c:pt idx="252">
                  <c:v>593.34990646343988</c:v>
                </c:pt>
                <c:pt idx="253">
                  <c:v>597.30557250652942</c:v>
                </c:pt>
                <c:pt idx="254">
                  <c:v>601.28760965657307</c:v>
                </c:pt>
                <c:pt idx="255">
                  <c:v>605.29619372095021</c:v>
                </c:pt>
                <c:pt idx="256">
                  <c:v>609.3315016790898</c:v>
                </c:pt>
                <c:pt idx="257">
                  <c:v>613.39371169028379</c:v>
                </c:pt>
                <c:pt idx="258">
                  <c:v>617.4830031015523</c:v>
                </c:pt>
                <c:pt idx="259">
                  <c:v>621.59955645556272</c:v>
                </c:pt>
                <c:pt idx="260">
                  <c:v>625.74355349859979</c:v>
                </c:pt>
                <c:pt idx="261">
                  <c:v>629.91517718859041</c:v>
                </c:pt>
                <c:pt idx="262">
                  <c:v>634.11461170318114</c:v>
                </c:pt>
                <c:pt idx="263">
                  <c:v>638.34204244786895</c:v>
                </c:pt>
                <c:pt idx="264">
                  <c:v>642.59765606418807</c:v>
                </c:pt>
                <c:pt idx="265">
                  <c:v>646.88164043794927</c:v>
                </c:pt>
                <c:pt idx="266">
                  <c:v>651.19418470753556</c:v>
                </c:pt>
                <c:pt idx="267">
                  <c:v>655.53547927225247</c:v>
                </c:pt>
                <c:pt idx="268">
                  <c:v>659.90571580073413</c:v>
                </c:pt>
                <c:pt idx="269">
                  <c:v>664.30508723940579</c:v>
                </c:pt>
                <c:pt idx="270">
                  <c:v>668.73378782100178</c:v>
                </c:pt>
                <c:pt idx="271">
                  <c:v>673.19201307314177</c:v>
                </c:pt>
                <c:pt idx="272">
                  <c:v>677.67995982696277</c:v>
                </c:pt>
                <c:pt idx="273">
                  <c:v>682.19782622580908</c:v>
                </c:pt>
                <c:pt idx="274">
                  <c:v>686.7458117339811</c:v>
                </c:pt>
                <c:pt idx="275">
                  <c:v>691.32411714554109</c:v>
                </c:pt>
                <c:pt idx="276">
                  <c:v>695.93294459317804</c:v>
                </c:pt>
                <c:pt idx="277">
                  <c:v>700.57249755713258</c:v>
                </c:pt>
                <c:pt idx="278">
                  <c:v>705.24298087418015</c:v>
                </c:pt>
                <c:pt idx="279">
                  <c:v>709.94460074667472</c:v>
                </c:pt>
                <c:pt idx="280">
                  <c:v>714.67756475165254</c:v>
                </c:pt>
                <c:pt idx="281">
                  <c:v>719.44208184999684</c:v>
                </c:pt>
                <c:pt idx="282">
                  <c:v>724.23836239566344</c:v>
                </c:pt>
                <c:pt idx="283">
                  <c:v>729.06661814496795</c:v>
                </c:pt>
                <c:pt idx="284">
                  <c:v>733.92706226593441</c:v>
                </c:pt>
                <c:pt idx="285">
                  <c:v>738.81990934770727</c:v>
                </c:pt>
                <c:pt idx="286">
                  <c:v>743.7453754100253</c:v>
                </c:pt>
                <c:pt idx="287">
                  <c:v>748.70367791275885</c:v>
                </c:pt>
                <c:pt idx="288">
                  <c:v>753.69503576551051</c:v>
                </c:pt>
                <c:pt idx="289">
                  <c:v>758.71966933728061</c:v>
                </c:pt>
                <c:pt idx="290">
                  <c:v>763.7778004661958</c:v>
                </c:pt>
                <c:pt idx="291">
                  <c:v>768.86965246930379</c:v>
                </c:pt>
                <c:pt idx="292">
                  <c:v>773.99545015243257</c:v>
                </c:pt>
                <c:pt idx="293">
                  <c:v>779.15541982011541</c:v>
                </c:pt>
                <c:pt idx="294">
                  <c:v>784.3497892855828</c:v>
                </c:pt>
                <c:pt idx="295">
                  <c:v>789.57878788082007</c:v>
                </c:pt>
                <c:pt idx="296">
                  <c:v>794.84264646669214</c:v>
                </c:pt>
                <c:pt idx="297">
                  <c:v>800.14159744313679</c:v>
                </c:pt>
                <c:pt idx="298">
                  <c:v>805.47587475942441</c:v>
                </c:pt>
                <c:pt idx="299">
                  <c:v>810.8457139244872</c:v>
                </c:pt>
                <c:pt idx="300">
                  <c:v>816.251352017317</c:v>
                </c:pt>
                <c:pt idx="301">
                  <c:v>821.69302769743251</c:v>
                </c:pt>
                <c:pt idx="302">
                  <c:v>827.1709812154154</c:v>
                </c:pt>
                <c:pt idx="303">
                  <c:v>832.68545442351819</c:v>
                </c:pt>
                <c:pt idx="304">
                  <c:v>838.23669078634157</c:v>
                </c:pt>
                <c:pt idx="305">
                  <c:v>843.82493539158395</c:v>
                </c:pt>
                <c:pt idx="306">
                  <c:v>849.450434960861</c:v>
                </c:pt>
                <c:pt idx="307">
                  <c:v>855.11343786060013</c:v>
                </c:pt>
                <c:pt idx="308">
                  <c:v>860.81419411300408</c:v>
                </c:pt>
                <c:pt idx="309">
                  <c:v>866.55295540709085</c:v>
                </c:pt>
                <c:pt idx="310">
                  <c:v>872.32997510980476</c:v>
                </c:pt>
                <c:pt idx="311">
                  <c:v>878.14550827720336</c:v>
                </c:pt>
                <c:pt idx="312">
                  <c:v>883.9998116657182</c:v>
                </c:pt>
                <c:pt idx="313">
                  <c:v>889.89314374348953</c:v>
                </c:pt>
                <c:pt idx="314">
                  <c:v>895.82576470177946</c:v>
                </c:pt>
                <c:pt idx="315">
                  <c:v>901.79793646645794</c:v>
                </c:pt>
                <c:pt idx="316">
                  <c:v>907.80992270956767</c:v>
                </c:pt>
                <c:pt idx="317">
                  <c:v>913.86198886096486</c:v>
                </c:pt>
                <c:pt idx="318">
                  <c:v>919.95440212003791</c:v>
                </c:pt>
                <c:pt idx="319">
                  <c:v>926.08743146750487</c:v>
                </c:pt>
                <c:pt idx="320">
                  <c:v>932.2613476772882</c:v>
                </c:pt>
                <c:pt idx="321">
                  <c:v>938.4764233284701</c:v>
                </c:pt>
                <c:pt idx="322">
                  <c:v>944.73293281732663</c:v>
                </c:pt>
                <c:pt idx="323">
                  <c:v>951.03115236944222</c:v>
                </c:pt>
                <c:pt idx="324">
                  <c:v>957.37136005190507</c:v>
                </c:pt>
                <c:pt idx="325">
                  <c:v>963.75383578558444</c:v>
                </c:pt>
                <c:pt idx="326">
                  <c:v>970.17886135748836</c:v>
                </c:pt>
                <c:pt idx="327">
                  <c:v>976.64672043320491</c:v>
                </c:pt>
                <c:pt idx="328">
                  <c:v>983.15769856942632</c:v>
                </c:pt>
                <c:pt idx="329">
                  <c:v>989.71208322655582</c:v>
                </c:pt>
                <c:pt idx="330">
                  <c:v>996.31016378139952</c:v>
                </c:pt>
                <c:pt idx="331">
                  <c:v>1002.9522315399422</c:v>
                </c:pt>
                <c:pt idx="332">
                  <c:v>1009.6385797502085</c:v>
                </c:pt>
                <c:pt idx="333">
                  <c:v>1016.3695036152099</c:v>
                </c:pt>
                <c:pt idx="334">
                  <c:v>1023.1453003059779</c:v>
                </c:pt>
                <c:pt idx="335">
                  <c:v>1029.9662689746845</c:v>
                </c:pt>
                <c:pt idx="336">
                  <c:v>1036.832710767849</c:v>
                </c:pt>
                <c:pt idx="337">
                  <c:v>1043.7449288396347</c:v>
                </c:pt>
                <c:pt idx="338">
                  <c:v>1050.7032283652322</c:v>
                </c:pt>
                <c:pt idx="339">
                  <c:v>1057.7079165543337</c:v>
                </c:pt>
                <c:pt idx="340">
                  <c:v>1064.759302664696</c:v>
                </c:pt>
                <c:pt idx="341">
                  <c:v>1071.8576980157941</c:v>
                </c:pt>
                <c:pt idx="342">
                  <c:v>1079.0034160025659</c:v>
                </c:pt>
                <c:pt idx="343">
                  <c:v>1086.1967721092497</c:v>
                </c:pt>
                <c:pt idx="344">
                  <c:v>1093.4380839233113</c:v>
                </c:pt>
                <c:pt idx="345">
                  <c:v>1100.7276711494667</c:v>
                </c:pt>
                <c:pt idx="346">
                  <c:v>1108.0658556237966</c:v>
                </c:pt>
                <c:pt idx="347">
                  <c:v>1115.4529613279551</c:v>
                </c:pt>
                <c:pt idx="348">
                  <c:v>1122.8893144034748</c:v>
                </c:pt>
                <c:pt idx="349">
                  <c:v>1130.3752431661646</c:v>
                </c:pt>
                <c:pt idx="350">
                  <c:v>1137.9110781206059</c:v>
                </c:pt>
                <c:pt idx="351">
                  <c:v>1145.4971519747432</c:v>
                </c:pt>
                <c:pt idx="352">
                  <c:v>1153.1337996545749</c:v>
                </c:pt>
                <c:pt idx="353">
                  <c:v>1160.8213583189388</c:v>
                </c:pt>
                <c:pt idx="354">
                  <c:v>1168.5601673743984</c:v>
                </c:pt>
                <c:pt idx="355">
                  <c:v>1176.3505684902275</c:v>
                </c:pt>
                <c:pt idx="356">
                  <c:v>1184.1929056134959</c:v>
                </c:pt>
                <c:pt idx="357">
                  <c:v>1192.0875249842525</c:v>
                </c:pt>
                <c:pt idx="358">
                  <c:v>1200.0347751508141</c:v>
                </c:pt>
                <c:pt idx="359">
                  <c:v>1208.0350069851529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EA-4926-9FAE-0F9B62A1FD13}"/>
            </c:ext>
          </c:extLst>
        </c:ser>
        <c:ser>
          <c:idx val="4"/>
          <c:order val="4"/>
          <c:tx>
            <c:strRef>
              <c:f>'HELOC Calculator'!$M$5</c:f>
              <c:strCache>
                <c:ptCount val="1"/>
                <c:pt idx="0">
                  <c:v>interestPayment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'HELOC Calculator'!$G$6:$G$365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'HELOC Calculator'!$M$6:$M$365</c:f>
              <c:numCache>
                <c:formatCode>"$"#,##0.00_);[Red]\("$"#,##0.00\)</c:formatCode>
                <c:ptCount val="360"/>
                <c:pt idx="0">
                  <c:v>1104.8853333333336</c:v>
                </c:pt>
                <c:pt idx="1">
                  <c:v>1104.1439783975668</c:v>
                </c:pt>
                <c:pt idx="2">
                  <c:v>1103.3976810955617</c:v>
                </c:pt>
                <c:pt idx="3">
                  <c:v>1102.6464084782094</c:v>
                </c:pt>
                <c:pt idx="4">
                  <c:v>1101.8901273767417</c:v>
                </c:pt>
                <c:pt idx="5">
                  <c:v>1101.1288044012642</c:v>
                </c:pt>
                <c:pt idx="6">
                  <c:v>1100.3624059392837</c:v>
                </c:pt>
                <c:pt idx="7">
                  <c:v>1099.5908981542232</c:v>
                </c:pt>
                <c:pt idx="8">
                  <c:v>1098.8142469839288</c:v>
                </c:pt>
                <c:pt idx="9">
                  <c:v>1098.0324181391661</c:v>
                </c:pt>
                <c:pt idx="10">
                  <c:v>1097.2453771021046</c:v>
                </c:pt>
                <c:pt idx="11">
                  <c:v>1096.4530891247964</c:v>
                </c:pt>
                <c:pt idx="12">
                  <c:v>1095.6555192276392</c:v>
                </c:pt>
                <c:pt idx="13">
                  <c:v>1094.8526321978343</c:v>
                </c:pt>
                <c:pt idx="14">
                  <c:v>1094.044392587831</c:v>
                </c:pt>
                <c:pt idx="15">
                  <c:v>1093.2307647137607</c:v>
                </c:pt>
                <c:pt idx="16">
                  <c:v>1092.4117126538633</c:v>
                </c:pt>
                <c:pt idx="17">
                  <c:v>1091.5872002469</c:v>
                </c:pt>
                <c:pt idx="18">
                  <c:v>1090.7571910905569</c:v>
                </c:pt>
                <c:pt idx="19">
                  <c:v>1089.9216485398381</c:v>
                </c:pt>
                <c:pt idx="20">
                  <c:v>1089.080535705448</c:v>
                </c:pt>
                <c:pt idx="21">
                  <c:v>1088.2338154521617</c:v>
                </c:pt>
                <c:pt idx="22">
                  <c:v>1087.3814503971871</c:v>
                </c:pt>
                <c:pt idx="23">
                  <c:v>1086.5234029085127</c:v>
                </c:pt>
                <c:pt idx="24">
                  <c:v>1085.6596351032472</c:v>
                </c:pt>
                <c:pt idx="25">
                  <c:v>1084.7901088459464</c:v>
                </c:pt>
                <c:pt idx="26">
                  <c:v>1083.9147857469304</c:v>
                </c:pt>
                <c:pt idx="27">
                  <c:v>1083.0336271605875</c:v>
                </c:pt>
                <c:pt idx="28">
                  <c:v>1082.1465941836689</c:v>
                </c:pt>
                <c:pt idx="29">
                  <c:v>1081.2536476535711</c:v>
                </c:pt>
                <c:pt idx="30">
                  <c:v>1080.3547481466057</c:v>
                </c:pt>
                <c:pt idx="31">
                  <c:v>1079.4498559762606</c:v>
                </c:pt>
                <c:pt idx="32">
                  <c:v>1078.5389311914466</c:v>
                </c:pt>
                <c:pt idx="33">
                  <c:v>1077.6219335747339</c:v>
                </c:pt>
                <c:pt idx="34">
                  <c:v>1076.6988226405763</c:v>
                </c:pt>
                <c:pt idx="35">
                  <c:v>1075.7695576335243</c:v>
                </c:pt>
                <c:pt idx="36">
                  <c:v>1074.8340975264255</c:v>
                </c:pt>
                <c:pt idx="37">
                  <c:v>1073.8924010186124</c:v>
                </c:pt>
                <c:pt idx="38">
                  <c:v>1072.9444265340808</c:v>
                </c:pt>
                <c:pt idx="39">
                  <c:v>1071.9901322196524</c:v>
                </c:pt>
                <c:pt idx="40">
                  <c:v>1071.0294759431276</c:v>
                </c:pt>
                <c:pt idx="41">
                  <c:v>1070.0624152914261</c:v>
                </c:pt>
                <c:pt idx="42">
                  <c:v>1069.0889075687132</c:v>
                </c:pt>
                <c:pt idx="43">
                  <c:v>1068.1089097945155</c:v>
                </c:pt>
                <c:pt idx="44">
                  <c:v>1067.1223787018232</c:v>
                </c:pt>
                <c:pt idx="45">
                  <c:v>1066.1292707351795</c:v>
                </c:pt>
                <c:pt idx="46">
                  <c:v>1065.1295420487584</c:v>
                </c:pt>
                <c:pt idx="47">
                  <c:v>1064.1231485044275</c:v>
                </c:pt>
                <c:pt idx="48">
                  <c:v>1063.1100456698014</c:v>
                </c:pt>
                <c:pt idx="49">
                  <c:v>1062.0901888162778</c:v>
                </c:pt>
                <c:pt idx="50">
                  <c:v>1061.0635329170639</c:v>
                </c:pt>
                <c:pt idx="51">
                  <c:v>1060.0300326451884</c:v>
                </c:pt>
                <c:pt idx="52">
                  <c:v>1058.9896423715006</c:v>
                </c:pt>
                <c:pt idx="53">
                  <c:v>1057.9423161626551</c:v>
                </c:pt>
                <c:pt idx="54">
                  <c:v>1056.8880077790836</c:v>
                </c:pt>
                <c:pt idx="55">
                  <c:v>1055.8266706729551</c:v>
                </c:pt>
                <c:pt idx="56">
                  <c:v>1054.7582579861189</c:v>
                </c:pt>
                <c:pt idx="57">
                  <c:v>1053.6827225480374</c:v>
                </c:pt>
                <c:pt idx="58">
                  <c:v>1052.6000168737021</c:v>
                </c:pt>
                <c:pt idx="59">
                  <c:v>1051.5100931615377</c:v>
                </c:pt>
                <c:pt idx="60">
                  <c:v>1050.4129032912922</c:v>
                </c:pt>
                <c:pt idx="61">
                  <c:v>1049.3083988219119</c:v>
                </c:pt>
                <c:pt idx="62">
                  <c:v>1048.1965309894022</c:v>
                </c:pt>
                <c:pt idx="63">
                  <c:v>1047.0772507046756</c:v>
                </c:pt>
                <c:pt idx="64">
                  <c:v>1045.9505085513845</c:v>
                </c:pt>
                <c:pt idx="65">
                  <c:v>1044.8162547837378</c:v>
                </c:pt>
                <c:pt idx="66">
                  <c:v>1043.6744393243071</c:v>
                </c:pt>
                <c:pt idx="67">
                  <c:v>1042.5250117618134</c:v>
                </c:pt>
                <c:pt idx="68">
                  <c:v>1041.3679213489031</c:v>
                </c:pt>
                <c:pt idx="69">
                  <c:v>1040.2031169999066</c:v>
                </c:pt>
                <c:pt idx="70">
                  <c:v>1039.0305472885836</c:v>
                </c:pt>
                <c:pt idx="71">
                  <c:v>1037.8501604458518</c:v>
                </c:pt>
                <c:pt idx="72">
                  <c:v>1036.6619043575017</c:v>
                </c:pt>
                <c:pt idx="73">
                  <c:v>1035.4657265618957</c:v>
                </c:pt>
                <c:pt idx="74">
                  <c:v>1034.2615742476528</c:v>
                </c:pt>
                <c:pt idx="75">
                  <c:v>1033.0493942513147</c:v>
                </c:pt>
                <c:pt idx="76">
                  <c:v>1031.829133055001</c:v>
                </c:pt>
                <c:pt idx="77">
                  <c:v>1030.6007367840452</c:v>
                </c:pt>
                <c:pt idx="78">
                  <c:v>1029.3641512046165</c:v>
                </c:pt>
                <c:pt idx="79">
                  <c:v>1028.1193217213249</c:v>
                </c:pt>
                <c:pt idx="80">
                  <c:v>1026.8661933748112</c:v>
                </c:pt>
                <c:pt idx="81">
                  <c:v>1025.6047108393209</c:v>
                </c:pt>
                <c:pt idx="82">
                  <c:v>1024.3348184202607</c:v>
                </c:pt>
                <c:pt idx="83">
                  <c:v>1023.0564600517399</c:v>
                </c:pt>
                <c:pt idx="84">
                  <c:v>1021.7695792940958</c:v>
                </c:pt>
                <c:pt idx="85">
                  <c:v>1020.4741193314007</c:v>
                </c:pt>
                <c:pt idx="86">
                  <c:v>1019.1700229689543</c:v>
                </c:pt>
                <c:pt idx="87">
                  <c:v>1017.8572326307583</c:v>
                </c:pt>
                <c:pt idx="88">
                  <c:v>1016.5356903569742</c:v>
                </c:pt>
                <c:pt idx="89">
                  <c:v>1015.205337801365</c:v>
                </c:pt>
                <c:pt idx="90">
                  <c:v>1013.8661162287184</c:v>
                </c:pt>
                <c:pt idx="91">
                  <c:v>1012.5179665122541</c:v>
                </c:pt>
                <c:pt idx="92">
                  <c:v>1011.1608291310133</c:v>
                </c:pt>
                <c:pt idx="93">
                  <c:v>1009.794644167231</c:v>
                </c:pt>
                <c:pt idx="94">
                  <c:v>1008.4193513036902</c:v>
                </c:pt>
                <c:pt idx="95">
                  <c:v>1007.0348898210591</c:v>
                </c:pt>
                <c:pt idx="96">
                  <c:v>1005.6411985952103</c:v>
                </c:pt>
                <c:pt idx="97">
                  <c:v>1004.2382160945226</c:v>
                </c:pt>
                <c:pt idx="98">
                  <c:v>1002.8258803771637</c:v>
                </c:pt>
                <c:pt idx="99">
                  <c:v>1001.4041290883557</c:v>
                </c:pt>
                <c:pt idx="100">
                  <c:v>999.97289945762247</c:v>
                </c:pt>
                <c:pt idx="101">
                  <c:v>998.53212829601739</c:v>
                </c:pt>
                <c:pt idx="102">
                  <c:v>997.08175199333505</c:v>
                </c:pt>
                <c:pt idx="103">
                  <c:v>995.62170651530153</c:v>
                </c:pt>
                <c:pt idx="104">
                  <c:v>994.1519274007477</c:v>
                </c:pt>
                <c:pt idx="105">
                  <c:v>992.67234975876374</c:v>
                </c:pt>
                <c:pt idx="106">
                  <c:v>991.18290826583302</c:v>
                </c:pt>
                <c:pt idx="107">
                  <c:v>989.68353716294951</c:v>
                </c:pt>
                <c:pt idx="108">
                  <c:v>988.17417025271345</c:v>
                </c:pt>
                <c:pt idx="109">
                  <c:v>986.65474089640918</c:v>
                </c:pt>
                <c:pt idx="110">
                  <c:v>985.12518201106275</c:v>
                </c:pt>
                <c:pt idx="111">
                  <c:v>983.58542606648086</c:v>
                </c:pt>
                <c:pt idx="112">
                  <c:v>982.03540508226831</c:v>
                </c:pt>
                <c:pt idx="113">
                  <c:v>980.47505062482776</c:v>
                </c:pt>
                <c:pt idx="114">
                  <c:v>978.90429380433761</c:v>
                </c:pt>
                <c:pt idx="115">
                  <c:v>977.32306527171079</c:v>
                </c:pt>
                <c:pt idx="116">
                  <c:v>975.73129521553312</c:v>
                </c:pt>
                <c:pt idx="117">
                  <c:v>974.12891335898109</c:v>
                </c:pt>
                <c:pt idx="118">
                  <c:v>972.51584895671851</c:v>
                </c:pt>
                <c:pt idx="119">
                  <c:v>970.89203079177423</c:v>
                </c:pt>
                <c:pt idx="120">
                  <c:v>969.2573871723971</c:v>
                </c:pt>
                <c:pt idx="121">
                  <c:v>967.6118459288906</c:v>
                </c:pt>
                <c:pt idx="122">
                  <c:v>965.95533441042744</c:v>
                </c:pt>
                <c:pt idx="123">
                  <c:v>964.2877794818412</c:v>
                </c:pt>
                <c:pt idx="124">
                  <c:v>962.60910752039774</c:v>
                </c:pt>
                <c:pt idx="125">
                  <c:v>960.91924441254469</c:v>
                </c:pt>
                <c:pt idx="126">
                  <c:v>959.21811555063925</c:v>
                </c:pt>
                <c:pt idx="127">
                  <c:v>957.50564582965444</c:v>
                </c:pt>
                <c:pt idx="128">
                  <c:v>955.7817596438631</c:v>
                </c:pt>
                <c:pt idx="129">
                  <c:v>954.04638088349975</c:v>
                </c:pt>
                <c:pt idx="130">
                  <c:v>952.29943293140059</c:v>
                </c:pt>
                <c:pt idx="131">
                  <c:v>950.54083865962093</c:v>
                </c:pt>
                <c:pt idx="132">
                  <c:v>948.77052042602941</c:v>
                </c:pt>
                <c:pt idx="133">
                  <c:v>946.98840007088052</c:v>
                </c:pt>
                <c:pt idx="134">
                  <c:v>945.1943989133639</c:v>
                </c:pt>
                <c:pt idx="135">
                  <c:v>943.38843774813063</c:v>
                </c:pt>
                <c:pt idx="136">
                  <c:v>941.57043684179575</c:v>
                </c:pt>
                <c:pt idx="137">
                  <c:v>939.74031592941867</c:v>
                </c:pt>
                <c:pt idx="138">
                  <c:v>937.89799421095915</c:v>
                </c:pt>
                <c:pt idx="139">
                  <c:v>936.04339034770987</c:v>
                </c:pt>
                <c:pt idx="140">
                  <c:v>934.17642245870559</c:v>
                </c:pt>
                <c:pt idx="141">
                  <c:v>932.29700811710779</c:v>
                </c:pt>
                <c:pt idx="142">
                  <c:v>930.40506434656606</c:v>
                </c:pt>
                <c:pt idx="143">
                  <c:v>928.50050761755404</c:v>
                </c:pt>
                <c:pt idx="144">
                  <c:v>926.58325384368197</c:v>
                </c:pt>
                <c:pt idx="145">
                  <c:v>924.6532183779841</c:v>
                </c:pt>
                <c:pt idx="146">
                  <c:v>922.71031600918161</c:v>
                </c:pt>
                <c:pt idx="147">
                  <c:v>920.7544609579204</c:v>
                </c:pt>
                <c:pt idx="148">
                  <c:v>918.78556687298408</c:v>
                </c:pt>
                <c:pt idx="149">
                  <c:v>916.80354682748157</c:v>
                </c:pt>
                <c:pt idx="150">
                  <c:v>914.80831331500906</c:v>
                </c:pt>
                <c:pt idx="151">
                  <c:v>912.79977824578668</c:v>
                </c:pt>
                <c:pt idx="152">
                  <c:v>910.77785294276964</c:v>
                </c:pt>
                <c:pt idx="153">
                  <c:v>908.74244813773225</c:v>
                </c:pt>
                <c:pt idx="154">
                  <c:v>906.69347396732803</c:v>
                </c:pt>
                <c:pt idx="155">
                  <c:v>904.63083996912098</c:v>
                </c:pt>
                <c:pt idx="156">
                  <c:v>902.55445507759271</c:v>
                </c:pt>
                <c:pt idx="157">
                  <c:v>900.46422762012094</c:v>
                </c:pt>
                <c:pt idx="158">
                  <c:v>898.36006531293276</c:v>
                </c:pt>
                <c:pt idx="159">
                  <c:v>896.24187525702996</c:v>
                </c:pt>
                <c:pt idx="160">
                  <c:v>894.10956393408765</c:v>
                </c:pt>
                <c:pt idx="161">
                  <c:v>891.96303720232595</c:v>
                </c:pt>
                <c:pt idx="162">
                  <c:v>889.80220029235238</c:v>
                </c:pt>
                <c:pt idx="163">
                  <c:v>887.62695780297906</c:v>
                </c:pt>
                <c:pt idx="164">
                  <c:v>885.43721369700972</c:v>
                </c:pt>
                <c:pt idx="165">
                  <c:v>883.23287129700077</c:v>
                </c:pt>
                <c:pt idx="166">
                  <c:v>881.01383328099155</c:v>
                </c:pt>
                <c:pt idx="167">
                  <c:v>878.78000167820915</c:v>
                </c:pt>
                <c:pt idx="168">
                  <c:v>876.53127786474158</c:v>
                </c:pt>
                <c:pt idx="169">
                  <c:v>874.26756255918406</c:v>
                </c:pt>
                <c:pt idx="170">
                  <c:v>871.9887558182561</c:v>
                </c:pt>
                <c:pt idx="171">
                  <c:v>869.69475703238879</c:v>
                </c:pt>
                <c:pt idx="172">
                  <c:v>867.38546492128216</c:v>
                </c:pt>
                <c:pt idx="173">
                  <c:v>865.06077752943509</c:v>
                </c:pt>
                <c:pt idx="174">
                  <c:v>862.72059222164216</c:v>
                </c:pt>
                <c:pt idx="175">
                  <c:v>860.36480567846399</c:v>
                </c:pt>
                <c:pt idx="176">
                  <c:v>857.99331389166468</c:v>
                </c:pt>
                <c:pt idx="177">
                  <c:v>855.60601215962004</c:v>
                </c:pt>
                <c:pt idx="178">
                  <c:v>853.20279508269516</c:v>
                </c:pt>
                <c:pt idx="179">
                  <c:v>850.7835565585907</c:v>
                </c:pt>
                <c:pt idx="180">
                  <c:v>848.34818977765883</c:v>
                </c:pt>
                <c:pt idx="181">
                  <c:v>845.89658721818751</c:v>
                </c:pt>
                <c:pt idx="182">
                  <c:v>843.42864064165303</c:v>
                </c:pt>
                <c:pt idx="183">
                  <c:v>840.94424108794158</c:v>
                </c:pt>
                <c:pt idx="184">
                  <c:v>838.44327887053873</c:v>
                </c:pt>
                <c:pt idx="185">
                  <c:v>835.92564357168669</c:v>
                </c:pt>
                <c:pt idx="186">
                  <c:v>833.39122403750878</c:v>
                </c:pt>
                <c:pt idx="187">
                  <c:v>830.83990837310307</c:v>
                </c:pt>
                <c:pt idx="188">
                  <c:v>828.27158393760135</c:v>
                </c:pt>
                <c:pt idx="189">
                  <c:v>825.68613733919631</c:v>
                </c:pt>
                <c:pt idx="190">
                  <c:v>823.08345443013525</c:v>
                </c:pt>
                <c:pt idx="191">
                  <c:v>820.46342030168046</c:v>
                </c:pt>
                <c:pt idx="192">
                  <c:v>817.82591927903582</c:v>
                </c:pt>
                <c:pt idx="193">
                  <c:v>815.17083491624032</c:v>
                </c:pt>
                <c:pt idx="194">
                  <c:v>812.49804999102616</c:v>
                </c:pt>
                <c:pt idx="195">
                  <c:v>809.80744649964402</c:v>
                </c:pt>
                <c:pt idx="196">
                  <c:v>807.09890565165256</c:v>
                </c:pt>
                <c:pt idx="197">
                  <c:v>804.37230786467455</c:v>
                </c:pt>
                <c:pt idx="198">
                  <c:v>801.62753275911655</c:v>
                </c:pt>
                <c:pt idx="199">
                  <c:v>798.86445915285492</c:v>
                </c:pt>
                <c:pt idx="200">
                  <c:v>796.08296505588487</c:v>
                </c:pt>
                <c:pt idx="201">
                  <c:v>793.28292766493507</c:v>
                </c:pt>
                <c:pt idx="202">
                  <c:v>790.46422335804561</c:v>
                </c:pt>
                <c:pt idx="203">
                  <c:v>787.62672768911023</c:v>
                </c:pt>
                <c:pt idx="204">
                  <c:v>784.77031538238191</c:v>
                </c:pt>
                <c:pt idx="205">
                  <c:v>781.89486032694208</c:v>
                </c:pt>
                <c:pt idx="206">
                  <c:v>779.00023557113252</c:v>
                </c:pt>
                <c:pt idx="207">
                  <c:v>776.08631331695108</c:v>
                </c:pt>
                <c:pt idx="208">
                  <c:v>773.15296491440824</c:v>
                </c:pt>
                <c:pt idx="209">
                  <c:v>770.20006085584862</c:v>
                </c:pt>
                <c:pt idx="210">
                  <c:v>767.22747077023178</c:v>
                </c:pt>
                <c:pt idx="211">
                  <c:v>764.23506341737755</c:v>
                </c:pt>
                <c:pt idx="212">
                  <c:v>761.22270668217107</c:v>
                </c:pt>
                <c:pt idx="213">
                  <c:v>758.19026756872972</c:v>
                </c:pt>
                <c:pt idx="214">
                  <c:v>755.13761219453215</c:v>
                </c:pt>
                <c:pt idx="215">
                  <c:v>752.06460578450663</c:v>
                </c:pt>
                <c:pt idx="216">
                  <c:v>748.97111266508091</c:v>
                </c:pt>
                <c:pt idx="217">
                  <c:v>745.85699625819234</c:v>
                </c:pt>
                <c:pt idx="218">
                  <c:v>742.72211907525798</c:v>
                </c:pt>
                <c:pt idx="219">
                  <c:v>739.56634271110397</c:v>
                </c:pt>
                <c:pt idx="220">
                  <c:v>736.38952783785555</c:v>
                </c:pt>
                <c:pt idx="221">
                  <c:v>733.19153419878558</c:v>
                </c:pt>
                <c:pt idx="222">
                  <c:v>729.97222060212175</c:v>
                </c:pt>
                <c:pt idx="223">
                  <c:v>726.73144491481344</c:v>
                </c:pt>
                <c:pt idx="224">
                  <c:v>723.46906405625646</c:v>
                </c:pt>
                <c:pt idx="225">
                  <c:v>720.18493399197575</c:v>
                </c:pt>
                <c:pt idx="226">
                  <c:v>716.87890972726655</c:v>
                </c:pt>
                <c:pt idx="227">
                  <c:v>713.55084530079262</c:v>
                </c:pt>
                <c:pt idx="228">
                  <c:v>710.20059377814209</c:v>
                </c:pt>
                <c:pt idx="229">
                  <c:v>706.82800724534059</c:v>
                </c:pt>
                <c:pt idx="230">
                  <c:v>703.43293680232046</c:v>
                </c:pt>
                <c:pt idx="231">
                  <c:v>700.01523255634675</c:v>
                </c:pt>
                <c:pt idx="232">
                  <c:v>696.57474361540005</c:v>
                </c:pt>
                <c:pt idx="233">
                  <c:v>693.11131808151367</c:v>
                </c:pt>
                <c:pt idx="234">
                  <c:v>689.62480304406802</c:v>
                </c:pt>
                <c:pt idx="235">
                  <c:v>686.11504457303943</c:v>
                </c:pt>
                <c:pt idx="236">
                  <c:v>682.58188771220398</c:v>
                </c:pt>
                <c:pt idx="237">
                  <c:v>679.02517647229627</c:v>
                </c:pt>
                <c:pt idx="238">
                  <c:v>675.44475382412247</c:v>
                </c:pt>
                <c:pt idx="239">
                  <c:v>671.84046169162752</c:v>
                </c:pt>
                <c:pt idx="240">
                  <c:v>668.21214094491597</c:v>
                </c:pt>
                <c:pt idx="241">
                  <c:v>664.55963139322625</c:v>
                </c:pt>
                <c:pt idx="242">
                  <c:v>660.88277177785881</c:v>
                </c:pt>
                <c:pt idx="243">
                  <c:v>657.1813997650554</c:v>
                </c:pt>
                <c:pt idx="244">
                  <c:v>653.45535193883347</c:v>
                </c:pt>
                <c:pt idx="245">
                  <c:v>649.70446379376983</c:v>
                </c:pt>
                <c:pt idx="246">
                  <c:v>645.92856972773927</c:v>
                </c:pt>
                <c:pt idx="247">
                  <c:v>642.12750303460177</c:v>
                </c:pt>
                <c:pt idx="248">
                  <c:v>638.30109589684332</c:v>
                </c:pt>
                <c:pt idx="249">
                  <c:v>634.44917937816649</c:v>
                </c:pt>
                <c:pt idx="250">
                  <c:v>630.57158341603179</c:v>
                </c:pt>
                <c:pt idx="251">
                  <c:v>626.66813681414965</c:v>
                </c:pt>
                <c:pt idx="252">
                  <c:v>622.73866723492154</c:v>
                </c:pt>
                <c:pt idx="253">
                  <c:v>618.783001191832</c:v>
                </c:pt>
                <c:pt idx="254">
                  <c:v>614.80096404178835</c:v>
                </c:pt>
                <c:pt idx="255">
                  <c:v>610.7923799774112</c:v>
                </c:pt>
                <c:pt idx="256">
                  <c:v>606.75707201927162</c:v>
                </c:pt>
                <c:pt idx="257">
                  <c:v>602.69486200807762</c:v>
                </c:pt>
                <c:pt idx="258">
                  <c:v>598.60557059680912</c:v>
                </c:pt>
                <c:pt idx="259">
                  <c:v>594.4890172427987</c:v>
                </c:pt>
                <c:pt idx="260">
                  <c:v>590.34502019976162</c:v>
                </c:pt>
                <c:pt idx="261">
                  <c:v>586.17339650977101</c:v>
                </c:pt>
                <c:pt idx="262">
                  <c:v>581.97396199518028</c:v>
                </c:pt>
                <c:pt idx="263">
                  <c:v>577.74653125049247</c:v>
                </c:pt>
                <c:pt idx="264">
                  <c:v>573.49091763417334</c:v>
                </c:pt>
                <c:pt idx="265">
                  <c:v>569.20693326041214</c:v>
                </c:pt>
                <c:pt idx="266">
                  <c:v>564.89438899082586</c:v>
                </c:pt>
                <c:pt idx="267">
                  <c:v>560.55309442610894</c:v>
                </c:pt>
                <c:pt idx="268">
                  <c:v>556.18285789762729</c:v>
                </c:pt>
                <c:pt idx="269">
                  <c:v>551.78348645895562</c:v>
                </c:pt>
                <c:pt idx="270">
                  <c:v>547.35478587735963</c:v>
                </c:pt>
                <c:pt idx="271">
                  <c:v>542.89656062521965</c:v>
                </c:pt>
                <c:pt idx="272">
                  <c:v>538.40861387139864</c:v>
                </c:pt>
                <c:pt idx="273">
                  <c:v>533.89074747255233</c:v>
                </c:pt>
                <c:pt idx="274">
                  <c:v>529.34276196438032</c:v>
                </c:pt>
                <c:pt idx="275">
                  <c:v>524.76445655282032</c:v>
                </c:pt>
                <c:pt idx="276">
                  <c:v>520.15562910518338</c:v>
                </c:pt>
                <c:pt idx="277">
                  <c:v>515.51607614122884</c:v>
                </c:pt>
                <c:pt idx="278">
                  <c:v>510.84559282418132</c:v>
                </c:pt>
                <c:pt idx="279">
                  <c:v>506.14397295168675</c:v>
                </c:pt>
                <c:pt idx="280">
                  <c:v>501.41100894670888</c:v>
                </c:pt>
                <c:pt idx="281">
                  <c:v>496.64649184836458</c:v>
                </c:pt>
                <c:pt idx="282">
                  <c:v>491.85021130269791</c:v>
                </c:pt>
                <c:pt idx="283">
                  <c:v>487.02195555339347</c:v>
                </c:pt>
                <c:pt idx="284">
                  <c:v>482.16151143242706</c:v>
                </c:pt>
                <c:pt idx="285">
                  <c:v>477.26866435065415</c:v>
                </c:pt>
                <c:pt idx="286">
                  <c:v>472.34319828833611</c:v>
                </c:pt>
                <c:pt idx="287">
                  <c:v>467.38489578560262</c:v>
                </c:pt>
                <c:pt idx="288">
                  <c:v>462.3935379328509</c:v>
                </c:pt>
                <c:pt idx="289">
                  <c:v>457.36890436108081</c:v>
                </c:pt>
                <c:pt idx="290">
                  <c:v>452.31077323216562</c:v>
                </c:pt>
                <c:pt idx="291">
                  <c:v>447.21892122905763</c:v>
                </c:pt>
                <c:pt idx="292">
                  <c:v>442.0931235459289</c:v>
                </c:pt>
                <c:pt idx="293">
                  <c:v>436.933153878246</c:v>
                </c:pt>
                <c:pt idx="294">
                  <c:v>431.73878441277861</c:v>
                </c:pt>
                <c:pt idx="295">
                  <c:v>426.5097858175414</c:v>
                </c:pt>
                <c:pt idx="296">
                  <c:v>421.24592723166927</c:v>
                </c:pt>
                <c:pt idx="297">
                  <c:v>415.94697625522468</c:v>
                </c:pt>
                <c:pt idx="298">
                  <c:v>410.61269893893706</c:v>
                </c:pt>
                <c:pt idx="299">
                  <c:v>405.24285977387427</c:v>
                </c:pt>
                <c:pt idx="300">
                  <c:v>399.83722168104435</c:v>
                </c:pt>
                <c:pt idx="301">
                  <c:v>394.3955460009289</c:v>
                </c:pt>
                <c:pt idx="302">
                  <c:v>388.91759248294602</c:v>
                </c:pt>
                <c:pt idx="303">
                  <c:v>383.40311927484328</c:v>
                </c:pt>
                <c:pt idx="304">
                  <c:v>377.85188291201979</c:v>
                </c:pt>
                <c:pt idx="305">
                  <c:v>372.26363830677752</c:v>
                </c:pt>
                <c:pt idx="306">
                  <c:v>366.63813873750036</c:v>
                </c:pt>
                <c:pt idx="307">
                  <c:v>360.97513583776129</c:v>
                </c:pt>
                <c:pt idx="308">
                  <c:v>355.27437958535728</c:v>
                </c:pt>
                <c:pt idx="309">
                  <c:v>349.53561829127057</c:v>
                </c:pt>
                <c:pt idx="310">
                  <c:v>343.75859858855665</c:v>
                </c:pt>
                <c:pt idx="311">
                  <c:v>337.943065421158</c:v>
                </c:pt>
                <c:pt idx="312">
                  <c:v>332.08876203264327</c:v>
                </c:pt>
                <c:pt idx="313">
                  <c:v>326.19542995487188</c:v>
                </c:pt>
                <c:pt idx="314">
                  <c:v>320.26280899658195</c:v>
                </c:pt>
                <c:pt idx="315">
                  <c:v>314.29063723190342</c:v>
                </c:pt>
                <c:pt idx="316">
                  <c:v>308.27865098879369</c:v>
                </c:pt>
                <c:pt idx="317">
                  <c:v>302.22658483739656</c:v>
                </c:pt>
                <c:pt idx="318">
                  <c:v>296.13417157832345</c:v>
                </c:pt>
                <c:pt idx="319">
                  <c:v>290.00114223085654</c:v>
                </c:pt>
                <c:pt idx="320">
                  <c:v>283.82722602107322</c:v>
                </c:pt>
                <c:pt idx="321">
                  <c:v>277.61215036989131</c:v>
                </c:pt>
                <c:pt idx="322">
                  <c:v>271.35564088103479</c:v>
                </c:pt>
                <c:pt idx="323">
                  <c:v>265.05742132891925</c:v>
                </c:pt>
                <c:pt idx="324">
                  <c:v>258.71721364645634</c:v>
                </c:pt>
                <c:pt idx="325">
                  <c:v>252.33473791277697</c:v>
                </c:pt>
                <c:pt idx="326">
                  <c:v>245.90971234087311</c:v>
                </c:pt>
                <c:pt idx="327">
                  <c:v>239.44185326515651</c:v>
                </c:pt>
                <c:pt idx="328">
                  <c:v>232.93087512893513</c:v>
                </c:pt>
                <c:pt idx="329">
                  <c:v>226.3764904718056</c:v>
                </c:pt>
                <c:pt idx="330">
                  <c:v>219.77840991696189</c:v>
                </c:pt>
                <c:pt idx="331">
                  <c:v>213.13634215841921</c:v>
                </c:pt>
                <c:pt idx="332">
                  <c:v>206.44999394815295</c:v>
                </c:pt>
                <c:pt idx="333">
                  <c:v>199.71907008315156</c:v>
                </c:pt>
                <c:pt idx="334">
                  <c:v>192.9432733923835</c:v>
                </c:pt>
                <c:pt idx="335">
                  <c:v>186.12230472367696</c:v>
                </c:pt>
                <c:pt idx="336">
                  <c:v>179.25586293051242</c:v>
                </c:pt>
                <c:pt idx="337">
                  <c:v>172.34364485872675</c:v>
                </c:pt>
                <c:pt idx="338">
                  <c:v>165.38534533312918</c:v>
                </c:pt>
                <c:pt idx="339">
                  <c:v>158.38065714402762</c:v>
                </c:pt>
                <c:pt idx="340">
                  <c:v>151.32927103366541</c:v>
                </c:pt>
                <c:pt idx="341">
                  <c:v>144.23087568256744</c:v>
                </c:pt>
                <c:pt idx="342">
                  <c:v>137.08515769579546</c:v>
                </c:pt>
                <c:pt idx="343">
                  <c:v>129.89180158911171</c:v>
                </c:pt>
                <c:pt idx="344">
                  <c:v>122.65048977505005</c:v>
                </c:pt>
                <c:pt idx="345">
                  <c:v>115.36090254889463</c:v>
                </c:pt>
                <c:pt idx="346">
                  <c:v>108.02271807456485</c:v>
                </c:pt>
                <c:pt idx="347">
                  <c:v>100.63561237040621</c:v>
                </c:pt>
                <c:pt idx="348">
                  <c:v>93.199259294886502</c:v>
                </c:pt>
                <c:pt idx="349">
                  <c:v>85.713330532196665</c:v>
                </c:pt>
                <c:pt idx="350">
                  <c:v>78.177495577755565</c:v>
                </c:pt>
                <c:pt idx="351">
                  <c:v>70.591421723618197</c:v>
                </c:pt>
                <c:pt idx="352">
                  <c:v>62.954774043786571</c:v>
                </c:pt>
                <c:pt idx="353">
                  <c:v>55.26721537942273</c:v>
                </c:pt>
                <c:pt idx="354">
                  <c:v>47.528406323963139</c:v>
                </c:pt>
                <c:pt idx="355">
                  <c:v>39.738005208133814</c:v>
                </c:pt>
                <c:pt idx="356">
                  <c:v>31.89566808486563</c:v>
                </c:pt>
                <c:pt idx="357">
                  <c:v>24.00104871410899</c:v>
                </c:pt>
                <c:pt idx="358">
                  <c:v>16.053798547547306</c:v>
                </c:pt>
                <c:pt idx="359">
                  <c:v>8.0535667132085464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EA-4926-9FAE-0F9B62A1F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30575"/>
        <c:axId val="1890929327"/>
      </c:scatterChart>
      <c:valAx>
        <c:axId val="91288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93855"/>
        <c:crosses val="autoZero"/>
        <c:crossBetween val="midCat"/>
      </c:valAx>
      <c:valAx>
        <c:axId val="10650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82367"/>
        <c:crosses val="autoZero"/>
        <c:crossBetween val="midCat"/>
      </c:valAx>
      <c:valAx>
        <c:axId val="1890929327"/>
        <c:scaling>
          <c:orientation val="minMax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30575"/>
        <c:crosses val="max"/>
        <c:crossBetween val="midCat"/>
      </c:valAx>
      <c:valAx>
        <c:axId val="189093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092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501014</xdr:colOff>
      <xdr:row>7</xdr:row>
      <xdr:rowOff>17145</xdr:rowOff>
    </xdr:from>
    <xdr:to>
      <xdr:col>13</xdr:col>
      <xdr:colOff>283844</xdr:colOff>
      <xdr:row>35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69894-6643-47DC-B40F-839404036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276224</xdr:colOff>
      <xdr:row>1</xdr:row>
      <xdr:rowOff>110815</xdr:rowOff>
    </xdr:from>
    <xdr:to>
      <xdr:col>17</xdr:col>
      <xdr:colOff>549153</xdr:colOff>
      <xdr:row>7</xdr:row>
      <xdr:rowOff>57401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34C1E8-D639-4734-9C35-3D1B3538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89479" y="291790"/>
          <a:ext cx="2103634" cy="1028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154304</xdr:colOff>
      <xdr:row>4</xdr:row>
      <xdr:rowOff>36195</xdr:rowOff>
    </xdr:from>
    <xdr:to>
      <xdr:col>23</xdr:col>
      <xdr:colOff>118109</xdr:colOff>
      <xdr:row>32</xdr:row>
      <xdr:rowOff>74295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49329-16B1-4412-8D92-4F0E30505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501014</xdr:colOff>
      <xdr:row>7</xdr:row>
      <xdr:rowOff>17145</xdr:rowOff>
    </xdr:from>
    <xdr:to>
      <xdr:col>13</xdr:col>
      <xdr:colOff>283844</xdr:colOff>
      <xdr:row>35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A4358-13A1-4CC9-B060-A6DD53590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276224</xdr:colOff>
      <xdr:row>1</xdr:row>
      <xdr:rowOff>110815</xdr:rowOff>
    </xdr:from>
    <xdr:to>
      <xdr:col>17</xdr:col>
      <xdr:colOff>549153</xdr:colOff>
      <xdr:row>7</xdr:row>
      <xdr:rowOff>49781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9C2F5-44D7-40B1-8D8D-8A1A20B0A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50364" y="293695"/>
          <a:ext cx="2101729" cy="10362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8</xdr:row>
      <xdr:rowOff>180974</xdr:rowOff>
    </xdr:from>
    <xdr:to>
      <xdr:col>12</xdr:col>
      <xdr:colOff>704850</xdr:colOff>
      <xdr:row>31</xdr:row>
      <xdr:rowOff>11429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35122C-DA48-41A4-B73A-B5859AEDF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1013460</xdr:colOff>
      <xdr:row>1</xdr:row>
      <xdr:rowOff>0</xdr:rowOff>
    </xdr:from>
    <xdr:to>
      <xdr:col>13</xdr:col>
      <xdr:colOff>718699</xdr:colOff>
      <xdr:row>6</xdr:row>
      <xdr:rowOff>125656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61DCC3-2F85-4DFD-87E2-DA65ED8D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78640" y="182880"/>
          <a:ext cx="2105539" cy="104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AF4A-6A4C-4FB8-B12E-29055D0249AD}">
  <dimension ref="A1:M57"/>
  <sheetViews>
    <sheetView zoomScale="105" workbookViewId="0">
      <selection activeCell="D17" sqref="D17"/>
    </sheetView>
  </sheetViews>
  <sheetFormatPr defaultRowHeight="14.4" x14ac:dyDescent="0.3"/>
  <cols>
    <col min="1" max="1" width="39.33203125" customWidth="1"/>
    <col min="2" max="2" width="16.33203125" customWidth="1"/>
    <col min="3" max="3" width="14.33203125" customWidth="1"/>
    <col min="4" max="5" width="9.6640625" customWidth="1"/>
    <col min="6" max="6" width="3.33203125" customWidth="1"/>
    <col min="7" max="7" width="49.33203125" customWidth="1"/>
    <col min="8" max="8" width="11.6640625" bestFit="1" customWidth="1"/>
    <col min="9" max="9" width="3.6640625" customWidth="1"/>
    <col min="10" max="10" width="2.88671875" customWidth="1"/>
    <col min="11" max="11" width="39.33203125" bestFit="1" customWidth="1"/>
    <col min="12" max="12" width="12.6640625" bestFit="1" customWidth="1"/>
    <col min="13" max="13" width="11.6640625" bestFit="1" customWidth="1"/>
  </cols>
  <sheetData>
    <row r="1" spans="1:13" x14ac:dyDescent="0.3">
      <c r="A1" s="26" t="s">
        <v>129</v>
      </c>
    </row>
    <row r="2" spans="1:13" x14ac:dyDescent="0.3">
      <c r="A2">
        <v>5271</v>
      </c>
      <c r="B2" t="s">
        <v>22</v>
      </c>
    </row>
    <row r="3" spans="1:13" x14ac:dyDescent="0.3">
      <c r="A3" s="25">
        <v>875000</v>
      </c>
      <c r="B3" t="s">
        <v>59</v>
      </c>
      <c r="C3" s="9">
        <f>A3/A2</f>
        <v>166.00265604249668</v>
      </c>
    </row>
    <row r="5" spans="1:13" x14ac:dyDescent="0.3">
      <c r="A5" t="s">
        <v>0</v>
      </c>
      <c r="B5" s="9">
        <v>875000</v>
      </c>
      <c r="C5" s="10">
        <f>B5/A2</f>
        <v>166.00265604249668</v>
      </c>
      <c r="G5" s="74" t="s">
        <v>12</v>
      </c>
      <c r="H5" s="86">
        <v>0.09</v>
      </c>
      <c r="K5" t="s">
        <v>14</v>
      </c>
      <c r="L5">
        <v>4</v>
      </c>
      <c r="M5" s="10">
        <f>B5*(L5/100)</f>
        <v>35000</v>
      </c>
    </row>
    <row r="6" spans="1:13" ht="15" thickBot="1" x14ac:dyDescent="0.35">
      <c r="A6" t="s">
        <v>55</v>
      </c>
      <c r="B6" s="9">
        <f>B5*0.03</f>
        <v>26250</v>
      </c>
      <c r="G6" s="74" t="s">
        <v>38</v>
      </c>
      <c r="H6" s="90">
        <f>((B5-B7)*H5)/12</f>
        <v>5250</v>
      </c>
      <c r="K6" t="s">
        <v>15</v>
      </c>
      <c r="L6">
        <v>24</v>
      </c>
    </row>
    <row r="7" spans="1:13" x14ac:dyDescent="0.3">
      <c r="A7" s="91" t="s">
        <v>31</v>
      </c>
      <c r="B7" s="92">
        <f>B5*0.2</f>
        <v>175000</v>
      </c>
      <c r="H7" s="9"/>
      <c r="K7" t="s">
        <v>16</v>
      </c>
      <c r="L7" s="8">
        <v>0.12</v>
      </c>
    </row>
    <row r="8" spans="1:13" x14ac:dyDescent="0.3">
      <c r="A8" s="74" t="s">
        <v>114</v>
      </c>
      <c r="B8" s="90">
        <f>B5-B7</f>
        <v>700000</v>
      </c>
      <c r="G8" s="74" t="s">
        <v>51</v>
      </c>
      <c r="H8" s="88">
        <f>SUM(C44:C48,C53:C55)</f>
        <v>8889.0293994219046</v>
      </c>
      <c r="K8" t="s">
        <v>17</v>
      </c>
      <c r="L8" s="10">
        <f>(B5*L7)/12</f>
        <v>8750</v>
      </c>
    </row>
    <row r="9" spans="1:13" x14ac:dyDescent="0.3">
      <c r="B9" s="82"/>
      <c r="G9" s="74" t="s">
        <v>50</v>
      </c>
      <c r="H9" s="34">
        <f>SUM(C49:C52)</f>
        <v>649</v>
      </c>
    </row>
    <row r="10" spans="1:13" x14ac:dyDescent="0.3">
      <c r="B10" s="9"/>
      <c r="G10" s="84" t="s">
        <v>52</v>
      </c>
      <c r="H10" s="89">
        <f>H9+H8</f>
        <v>9538.0293994219046</v>
      </c>
    </row>
    <row r="11" spans="1:13" x14ac:dyDescent="0.3">
      <c r="A11" t="s">
        <v>10</v>
      </c>
      <c r="B11" s="12">
        <f>SUM(B5,E41)</f>
        <v>878022.77777777775</v>
      </c>
      <c r="G11" t="s">
        <v>127</v>
      </c>
      <c r="H11" s="10">
        <f>H10+E41</f>
        <v>12560.807177199682</v>
      </c>
    </row>
    <row r="12" spans="1:13" x14ac:dyDescent="0.3">
      <c r="A12" t="s">
        <v>13</v>
      </c>
      <c r="B12" s="12">
        <v>875000</v>
      </c>
      <c r="C12" s="10">
        <f>B12/A2</f>
        <v>166.00265604249668</v>
      </c>
    </row>
    <row r="13" spans="1:13" x14ac:dyDescent="0.3">
      <c r="B13" s="12"/>
      <c r="G13" s="10"/>
    </row>
    <row r="14" spans="1:13" ht="15" thickBot="1" x14ac:dyDescent="0.35">
      <c r="A14" s="74" t="s">
        <v>130</v>
      </c>
      <c r="B14" s="34">
        <v>1811</v>
      </c>
      <c r="C14" s="74" t="s">
        <v>112</v>
      </c>
      <c r="K14" t="s">
        <v>56</v>
      </c>
      <c r="L14" s="10">
        <f>SUM(M5+B6+B7)</f>
        <v>236250</v>
      </c>
    </row>
    <row r="15" spans="1:13" ht="15" thickBot="1" x14ac:dyDescent="0.35">
      <c r="A15" s="74"/>
      <c r="B15" s="34">
        <f>B14*4</f>
        <v>7244</v>
      </c>
      <c r="C15" s="74" t="s">
        <v>120</v>
      </c>
      <c r="G15" s="105" t="s">
        <v>63</v>
      </c>
      <c r="H15" s="106"/>
      <c r="K15" t="s">
        <v>57</v>
      </c>
      <c r="L15" s="24">
        <f>E41</f>
        <v>3022.7777777777778</v>
      </c>
    </row>
    <row r="16" spans="1:13" x14ac:dyDescent="0.3">
      <c r="A16" s="74" t="s">
        <v>122</v>
      </c>
      <c r="B16" s="34">
        <f>B15*$C$43</f>
        <v>86928</v>
      </c>
      <c r="C16" s="74" t="s">
        <v>121</v>
      </c>
      <c r="G16" s="71" t="s">
        <v>103</v>
      </c>
      <c r="H16" s="83">
        <f>B15-H10</f>
        <v>-2294.0293994219046</v>
      </c>
    </row>
    <row r="17" spans="1:9" x14ac:dyDescent="0.3">
      <c r="G17" s="29" t="s">
        <v>64</v>
      </c>
      <c r="H17" s="93">
        <f>(H16*C43)/(B7)</f>
        <v>-0.15730487310321631</v>
      </c>
    </row>
    <row r="18" spans="1:9" x14ac:dyDescent="0.3">
      <c r="A18" t="s">
        <v>123</v>
      </c>
      <c r="B18" s="12">
        <v>86970</v>
      </c>
      <c r="G18" s="29" t="s">
        <v>124</v>
      </c>
      <c r="H18" s="93">
        <f>(B15-C55-C47-C46-C45-C53-C54)*C43/(B5)</f>
        <v>4.8969487782400574E-2</v>
      </c>
    </row>
    <row r="19" spans="1:9" x14ac:dyDescent="0.3">
      <c r="A19" t="s">
        <v>90</v>
      </c>
      <c r="B19" s="12">
        <f>SUM(B45,B53:B54)</f>
        <v>22483.298190399502</v>
      </c>
      <c r="C19" s="12">
        <v>45353</v>
      </c>
      <c r="G19" s="29" t="s">
        <v>66</v>
      </c>
      <c r="H19" s="93">
        <f>((B20+(B24-B5))/B22)/B25*12</f>
        <v>7.0765487643225045E-2</v>
      </c>
    </row>
    <row r="20" spans="1:9" x14ac:dyDescent="0.3">
      <c r="A20" s="26" t="s">
        <v>91</v>
      </c>
      <c r="B20" s="12">
        <f>B18-B19</f>
        <v>64486.701809600498</v>
      </c>
      <c r="C20" s="10">
        <f>B20/12</f>
        <v>5373.8918174667078</v>
      </c>
      <c r="D20" t="s">
        <v>117</v>
      </c>
      <c r="G20" s="29" t="s">
        <v>65</v>
      </c>
      <c r="H20" s="93">
        <f>((H16*12)/(B7+H22))</f>
        <v>-0.14706124403793056</v>
      </c>
      <c r="I20" t="s">
        <v>128</v>
      </c>
    </row>
    <row r="21" spans="1:9" ht="15" thickBot="1" x14ac:dyDescent="0.35">
      <c r="A21" t="s">
        <v>92</v>
      </c>
      <c r="B21" s="12">
        <f>E41*12</f>
        <v>36273.333333333336</v>
      </c>
      <c r="C21" s="10"/>
      <c r="G21" s="31" t="s">
        <v>125</v>
      </c>
      <c r="H21" s="94">
        <f>H16*C43</f>
        <v>-27528.352793062855</v>
      </c>
    </row>
    <row r="22" spans="1:9" ht="28.8" x14ac:dyDescent="0.3">
      <c r="A22" s="26" t="s">
        <v>93</v>
      </c>
      <c r="B22" s="12">
        <f>B5+B21</f>
        <v>911273.33333333337</v>
      </c>
      <c r="G22" s="75" t="s">
        <v>111</v>
      </c>
      <c r="H22" s="34">
        <f>SUM('McRae Road Amorization'!E6:E17)</f>
        <v>12189.717951540275</v>
      </c>
    </row>
    <row r="23" spans="1:9" x14ac:dyDescent="0.3">
      <c r="A23" s="26"/>
      <c r="B23" s="12"/>
    </row>
    <row r="24" spans="1:9" x14ac:dyDescent="0.3">
      <c r="A24" s="26" t="s">
        <v>94</v>
      </c>
      <c r="B24" s="12">
        <v>875000</v>
      </c>
      <c r="G24" s="84" t="s">
        <v>115</v>
      </c>
      <c r="H24" s="74"/>
    </row>
    <row r="25" spans="1:9" x14ac:dyDescent="0.3">
      <c r="A25" t="s">
        <v>95</v>
      </c>
      <c r="B25" s="63">
        <v>12</v>
      </c>
      <c r="G25" s="74" t="s">
        <v>116</v>
      </c>
      <c r="H25" s="76">
        <f>(B15/2)-C44</f>
        <v>-1368.7212168886126</v>
      </c>
    </row>
    <row r="26" spans="1:9" x14ac:dyDescent="0.3">
      <c r="B26" s="12"/>
      <c r="G26" s="74" t="s">
        <v>126</v>
      </c>
      <c r="H26" s="77">
        <f>B15/B5</f>
        <v>8.2788571428571434E-3</v>
      </c>
    </row>
    <row r="27" spans="1:9" x14ac:dyDescent="0.3">
      <c r="A27" s="26"/>
      <c r="B27" s="8"/>
    </row>
    <row r="28" spans="1:9" ht="15" thickBot="1" x14ac:dyDescent="0.35"/>
    <row r="29" spans="1:9" ht="43.8" thickBot="1" x14ac:dyDescent="0.35">
      <c r="A29" s="79" t="s">
        <v>102</v>
      </c>
      <c r="B29" s="68" t="s">
        <v>96</v>
      </c>
      <c r="C29" s="68" t="s">
        <v>101</v>
      </c>
      <c r="D29" s="68" t="s">
        <v>100</v>
      </c>
      <c r="E29" s="5" t="s">
        <v>98</v>
      </c>
    </row>
    <row r="30" spans="1:9" x14ac:dyDescent="0.3">
      <c r="A30" s="27" t="s">
        <v>97</v>
      </c>
      <c r="B30">
        <v>25</v>
      </c>
      <c r="C30">
        <v>7000</v>
      </c>
      <c r="D30">
        <f>C30*8</f>
        <v>56000</v>
      </c>
      <c r="E30" s="69">
        <f t="shared" ref="E30:E40" si="0">D30/B30/12</f>
        <v>186.66666666666666</v>
      </c>
      <c r="F30" s="11"/>
    </row>
    <row r="31" spans="1:9" x14ac:dyDescent="0.3">
      <c r="A31" s="3" t="s">
        <v>2</v>
      </c>
      <c r="B31" s="64">
        <v>20</v>
      </c>
      <c r="C31" s="64">
        <v>10000</v>
      </c>
      <c r="D31">
        <f t="shared" ref="D31:D40" si="1">C31*8</f>
        <v>80000</v>
      </c>
      <c r="E31" s="69">
        <f t="shared" si="0"/>
        <v>333.33333333333331</v>
      </c>
      <c r="F31" s="11"/>
    </row>
    <row r="32" spans="1:9" x14ac:dyDescent="0.3">
      <c r="A32" s="1" t="s">
        <v>3</v>
      </c>
      <c r="B32" s="65">
        <v>20</v>
      </c>
      <c r="C32" s="65">
        <v>5000</v>
      </c>
      <c r="D32">
        <f t="shared" si="1"/>
        <v>40000</v>
      </c>
      <c r="E32" s="69">
        <f t="shared" si="0"/>
        <v>166.66666666666666</v>
      </c>
      <c r="F32" s="11"/>
    </row>
    <row r="33" spans="1:10" x14ac:dyDescent="0.3">
      <c r="A33" s="1" t="s">
        <v>8</v>
      </c>
      <c r="B33" s="65">
        <v>10</v>
      </c>
      <c r="C33" s="65">
        <v>8000</v>
      </c>
      <c r="D33">
        <f t="shared" si="1"/>
        <v>64000</v>
      </c>
      <c r="E33" s="69">
        <f t="shared" si="0"/>
        <v>533.33333333333337</v>
      </c>
      <c r="F33" s="11"/>
    </row>
    <row r="34" spans="1:10" x14ac:dyDescent="0.3">
      <c r="A34" s="1" t="s">
        <v>99</v>
      </c>
      <c r="B34" s="65">
        <v>20</v>
      </c>
      <c r="C34" s="65">
        <v>3000</v>
      </c>
      <c r="D34">
        <f t="shared" si="1"/>
        <v>24000</v>
      </c>
      <c r="E34" s="69">
        <f t="shared" si="0"/>
        <v>100</v>
      </c>
      <c r="F34" s="11"/>
    </row>
    <row r="35" spans="1:10" x14ac:dyDescent="0.3">
      <c r="A35" s="1" t="s">
        <v>6</v>
      </c>
      <c r="B35" s="65">
        <v>6</v>
      </c>
      <c r="C35" s="65">
        <v>5000</v>
      </c>
      <c r="D35">
        <f t="shared" si="1"/>
        <v>40000</v>
      </c>
      <c r="E35" s="69">
        <f t="shared" si="0"/>
        <v>555.55555555555554</v>
      </c>
      <c r="F35" s="11"/>
    </row>
    <row r="36" spans="1:10" x14ac:dyDescent="0.3">
      <c r="A36" s="1" t="s">
        <v>7</v>
      </c>
      <c r="B36" s="65">
        <v>6</v>
      </c>
      <c r="C36" s="65">
        <v>5000</v>
      </c>
      <c r="D36">
        <f t="shared" si="1"/>
        <v>40000</v>
      </c>
      <c r="E36" s="69">
        <f t="shared" si="0"/>
        <v>555.55555555555554</v>
      </c>
      <c r="F36" s="11"/>
    </row>
    <row r="37" spans="1:10" x14ac:dyDescent="0.3">
      <c r="A37" s="1" t="s">
        <v>9</v>
      </c>
      <c r="B37" s="65">
        <v>20</v>
      </c>
      <c r="C37" s="65">
        <v>5000</v>
      </c>
      <c r="D37">
        <f t="shared" si="1"/>
        <v>40000</v>
      </c>
      <c r="E37" s="69">
        <f t="shared" si="0"/>
        <v>166.66666666666666</v>
      </c>
      <c r="F37" s="11"/>
    </row>
    <row r="38" spans="1:10" x14ac:dyDescent="0.3">
      <c r="A38" s="1" t="s">
        <v>53</v>
      </c>
      <c r="B38" s="65">
        <v>10</v>
      </c>
      <c r="C38" s="65">
        <v>4000</v>
      </c>
      <c r="D38">
        <f t="shared" si="1"/>
        <v>32000</v>
      </c>
      <c r="E38" s="69">
        <f t="shared" si="0"/>
        <v>266.66666666666669</v>
      </c>
      <c r="F38" s="11"/>
    </row>
    <row r="39" spans="1:10" x14ac:dyDescent="0.3">
      <c r="A39" s="7" t="s">
        <v>61</v>
      </c>
      <c r="B39" s="66">
        <v>10</v>
      </c>
      <c r="C39" s="66">
        <v>15000</v>
      </c>
      <c r="D39">
        <f>C39</f>
        <v>15000</v>
      </c>
      <c r="E39" s="69">
        <f t="shared" si="0"/>
        <v>125</v>
      </c>
      <c r="F39" s="11"/>
    </row>
    <row r="40" spans="1:10" ht="15" thickBot="1" x14ac:dyDescent="0.35">
      <c r="A40" s="7" t="s">
        <v>54</v>
      </c>
      <c r="B40" s="66">
        <v>10</v>
      </c>
      <c r="C40" s="66">
        <v>500</v>
      </c>
      <c r="D40">
        <f t="shared" si="1"/>
        <v>4000</v>
      </c>
      <c r="E40" s="69">
        <f t="shared" si="0"/>
        <v>33.333333333333336</v>
      </c>
      <c r="F40" s="11"/>
    </row>
    <row r="41" spans="1:10" ht="15" thickBot="1" x14ac:dyDescent="0.35">
      <c r="A41" s="19" t="s">
        <v>5</v>
      </c>
      <c r="B41" s="67"/>
      <c r="C41" s="67"/>
      <c r="D41" s="67"/>
      <c r="E41" s="70">
        <f>SUM(E30:E40)</f>
        <v>3022.7777777777778</v>
      </c>
      <c r="F41" s="78"/>
    </row>
    <row r="42" spans="1:10" x14ac:dyDescent="0.3">
      <c r="A42" s="26"/>
      <c r="B42" s="26"/>
      <c r="C42" s="26"/>
      <c r="D42" s="26"/>
      <c r="E42" s="78"/>
      <c r="F42" s="78"/>
    </row>
    <row r="43" spans="1:10" x14ac:dyDescent="0.3">
      <c r="A43" s="84" t="s">
        <v>104</v>
      </c>
      <c r="B43" s="74"/>
      <c r="C43" s="84">
        <v>12</v>
      </c>
      <c r="D43" s="84" t="s">
        <v>75</v>
      </c>
    </row>
    <row r="44" spans="1:10" x14ac:dyDescent="0.3">
      <c r="A44" s="74" t="s">
        <v>105</v>
      </c>
      <c r="B44" s="80">
        <f>C44*$C$43</f>
        <v>59888.654602663351</v>
      </c>
      <c r="C44" s="80">
        <f>'1930 Independence Amortization'!D6</f>
        <v>4990.7212168886126</v>
      </c>
      <c r="D44" s="74"/>
    </row>
    <row r="45" spans="1:10" x14ac:dyDescent="0.3">
      <c r="A45" s="74" t="s">
        <v>108</v>
      </c>
      <c r="B45" s="80">
        <f>C45*C43</f>
        <v>8983.2981903995023</v>
      </c>
      <c r="C45" s="80">
        <f>C44*D45</f>
        <v>748.60818253329182</v>
      </c>
      <c r="D45" s="81">
        <v>0.15</v>
      </c>
    </row>
    <row r="46" spans="1:10" x14ac:dyDescent="0.3">
      <c r="A46" s="74" t="s">
        <v>30</v>
      </c>
      <c r="B46" s="34">
        <f>B5*D46</f>
        <v>12250</v>
      </c>
      <c r="C46" s="34">
        <f>B46/$C$43</f>
        <v>1020.8333333333334</v>
      </c>
      <c r="D46" s="86">
        <v>1.4E-2</v>
      </c>
      <c r="H46" s="10"/>
      <c r="J46" s="16"/>
    </row>
    <row r="47" spans="1:10" x14ac:dyDescent="0.3">
      <c r="A47" s="74" t="s">
        <v>29</v>
      </c>
      <c r="B47" s="87">
        <v>5000</v>
      </c>
      <c r="C47" s="87">
        <f>B47/$C$43</f>
        <v>416.66666666666669</v>
      </c>
      <c r="D47" s="34"/>
      <c r="H47" s="73"/>
    </row>
    <row r="48" spans="1:10" x14ac:dyDescent="0.3">
      <c r="A48" s="74" t="s">
        <v>32</v>
      </c>
      <c r="B48" s="95">
        <v>2700</v>
      </c>
      <c r="C48" s="95">
        <f>B48/$C$43</f>
        <v>225</v>
      </c>
      <c r="D48" s="34"/>
      <c r="E48" s="72"/>
      <c r="F48" s="72"/>
    </row>
    <row r="49" spans="1:6" x14ac:dyDescent="0.3">
      <c r="A49" s="74" t="s">
        <v>33</v>
      </c>
      <c r="B49" s="35">
        <f>C49*$C$43</f>
        <v>408</v>
      </c>
      <c r="C49" s="34">
        <v>34</v>
      </c>
      <c r="D49" s="34"/>
      <c r="E49" s="72"/>
      <c r="F49" s="72"/>
    </row>
    <row r="50" spans="1:6" x14ac:dyDescent="0.3">
      <c r="A50" s="74" t="s">
        <v>34</v>
      </c>
      <c r="B50" s="35">
        <f t="shared" ref="B50:B52" si="2">C50*$C$43</f>
        <v>5220</v>
      </c>
      <c r="C50" s="34">
        <v>435</v>
      </c>
      <c r="D50" s="34"/>
      <c r="E50" s="72"/>
      <c r="F50" s="72"/>
    </row>
    <row r="51" spans="1:6" x14ac:dyDescent="0.3">
      <c r="A51" s="74" t="s">
        <v>35</v>
      </c>
      <c r="B51" s="35">
        <f t="shared" si="2"/>
        <v>1560</v>
      </c>
      <c r="C51" s="34">
        <v>130</v>
      </c>
      <c r="D51" s="34"/>
      <c r="E51" s="72"/>
      <c r="F51" s="72"/>
    </row>
    <row r="52" spans="1:6" x14ac:dyDescent="0.3">
      <c r="A52" s="74" t="s">
        <v>131</v>
      </c>
      <c r="B52" s="35">
        <f t="shared" si="2"/>
        <v>600</v>
      </c>
      <c r="C52" s="34">
        <v>50</v>
      </c>
      <c r="D52" s="34"/>
      <c r="E52" s="72"/>
      <c r="F52" s="72"/>
    </row>
    <row r="53" spans="1:6" x14ac:dyDescent="0.3">
      <c r="A53" s="74" t="s">
        <v>109</v>
      </c>
      <c r="B53" s="34">
        <v>5500</v>
      </c>
      <c r="C53" s="34">
        <f>B53/C43</f>
        <v>458.33333333333331</v>
      </c>
      <c r="D53" s="34" t="s">
        <v>112</v>
      </c>
      <c r="E53" s="72"/>
      <c r="F53" s="72"/>
    </row>
    <row r="54" spans="1:6" x14ac:dyDescent="0.3">
      <c r="A54" s="74" t="s">
        <v>110</v>
      </c>
      <c r="B54" s="34">
        <v>8000</v>
      </c>
      <c r="C54" s="34">
        <f>B54/C43</f>
        <v>666.66666666666663</v>
      </c>
      <c r="D54" s="34" t="s">
        <v>112</v>
      </c>
      <c r="E54" s="72"/>
      <c r="F54" s="72"/>
    </row>
    <row r="55" spans="1:6" x14ac:dyDescent="0.3">
      <c r="A55" s="74" t="s">
        <v>118</v>
      </c>
      <c r="B55" s="74"/>
      <c r="C55" s="34">
        <f>B15*0.05</f>
        <v>362.20000000000005</v>
      </c>
      <c r="D55" s="85"/>
      <c r="E55" s="72"/>
      <c r="F55" s="72"/>
    </row>
    <row r="56" spans="1:6" x14ac:dyDescent="0.3">
      <c r="C56" s="72"/>
      <c r="D56" s="72"/>
      <c r="E56" s="72"/>
      <c r="F56" s="72"/>
    </row>
    <row r="57" spans="1:6" x14ac:dyDescent="0.3">
      <c r="B57" s="18">
        <f>SUM(B44:B54)</f>
        <v>110109.95279306285</v>
      </c>
      <c r="C57" s="18">
        <f>SUM(C44:C55)</f>
        <v>9538.0293994219046</v>
      </c>
    </row>
  </sheetData>
  <mergeCells count="1">
    <mergeCell ref="G15:H15"/>
  </mergeCells>
  <conditionalFormatting sqref="B27">
    <cfRule type="cellIs" dxfId="2" priority="1" operator="greaterThan">
      <formula>10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BB6A-B9A6-4835-AAC8-869719463301}">
  <dimension ref="A1:L365"/>
  <sheetViews>
    <sheetView workbookViewId="0">
      <selection activeCell="D6" sqref="D6"/>
    </sheetView>
  </sheetViews>
  <sheetFormatPr defaultRowHeight="14.4" x14ac:dyDescent="0.3"/>
  <cols>
    <col min="1" max="1" width="15.6640625" bestFit="1" customWidth="1"/>
    <col min="2" max="2" width="12.6640625" bestFit="1" customWidth="1"/>
    <col min="3" max="3" width="14.33203125" bestFit="1" customWidth="1"/>
    <col min="4" max="4" width="16.44140625" customWidth="1"/>
    <col min="5" max="5" width="16.33203125" bestFit="1" customWidth="1"/>
    <col min="6" max="6" width="19.44140625" customWidth="1"/>
    <col min="7" max="7" width="15.5546875" bestFit="1" customWidth="1"/>
    <col min="8" max="8" width="15.5546875" customWidth="1"/>
    <col min="9" max="9" width="18.33203125" bestFit="1" customWidth="1"/>
    <col min="10" max="10" width="17.6640625" bestFit="1" customWidth="1"/>
    <col min="11" max="11" width="13.6640625" bestFit="1" customWidth="1"/>
    <col min="12" max="12" width="19.44140625" bestFit="1" customWidth="1"/>
  </cols>
  <sheetData>
    <row r="1" spans="1:12" x14ac:dyDescent="0.3">
      <c r="A1" t="s">
        <v>106</v>
      </c>
      <c r="B1" s="96">
        <v>7.6999999999999999E-2</v>
      </c>
      <c r="E1">
        <f>B1/12</f>
        <v>6.4166666666666669E-3</v>
      </c>
      <c r="F1" t="s">
        <v>87</v>
      </c>
    </row>
    <row r="2" spans="1:12" x14ac:dyDescent="0.3">
      <c r="A2" t="s">
        <v>84</v>
      </c>
      <c r="B2">
        <f>30*12</f>
        <v>360</v>
      </c>
      <c r="C2" t="s">
        <v>85</v>
      </c>
      <c r="E2">
        <f>(1+E1)^B2</f>
        <v>10.000352095114817</v>
      </c>
      <c r="F2" t="s">
        <v>88</v>
      </c>
    </row>
    <row r="5" spans="1:12" x14ac:dyDescent="0.3">
      <c r="A5" t="s">
        <v>39</v>
      </c>
      <c r="B5" t="s">
        <v>40</v>
      </c>
      <c r="C5" t="s">
        <v>41</v>
      </c>
      <c r="D5" t="s">
        <v>86</v>
      </c>
      <c r="E5" t="s">
        <v>42</v>
      </c>
      <c r="F5" t="s">
        <v>47</v>
      </c>
      <c r="G5" t="s">
        <v>43</v>
      </c>
      <c r="H5" t="s">
        <v>48</v>
      </c>
      <c r="I5" t="s">
        <v>44</v>
      </c>
      <c r="J5" t="s">
        <v>45</v>
      </c>
      <c r="K5" t="s">
        <v>46</v>
      </c>
      <c r="L5" s="8" t="s">
        <v>89</v>
      </c>
    </row>
    <row r="6" spans="1:12" x14ac:dyDescent="0.3">
      <c r="A6">
        <v>1</v>
      </c>
      <c r="B6" s="17">
        <v>44866</v>
      </c>
      <c r="C6" s="10">
        <f>'Independence 1930 Condos'!B5-'Independence 1930 Condos'!B7</f>
        <v>700000</v>
      </c>
      <c r="D6" s="61">
        <f>$C$6/((($E$2)-1)/($E$1*$E$2))</f>
        <v>4990.7212168886126</v>
      </c>
      <c r="E6" s="18">
        <f>D6-G6</f>
        <v>499.05455022194565</v>
      </c>
      <c r="F6" s="16">
        <f>(E6/C6)*12</f>
        <v>8.5552208609476384E-3</v>
      </c>
      <c r="G6" s="18">
        <f>C6*($B$1/12)</f>
        <v>4491.666666666667</v>
      </c>
      <c r="H6" s="16">
        <f>(G6/C6)*12</f>
        <v>7.6999999999999999E-2</v>
      </c>
      <c r="I6" s="18">
        <f>E6</f>
        <v>499.05455022194565</v>
      </c>
      <c r="J6" s="18">
        <f>G6</f>
        <v>4491.666666666667</v>
      </c>
      <c r="K6" s="18">
        <f>C6-E6</f>
        <v>699500.94544977811</v>
      </c>
      <c r="L6" s="18">
        <f>I6+J6</f>
        <v>4990.7212168886126</v>
      </c>
    </row>
    <row r="7" spans="1:12" x14ac:dyDescent="0.3">
      <c r="A7">
        <v>2</v>
      </c>
      <c r="B7" s="17">
        <v>44896</v>
      </c>
      <c r="C7" s="18">
        <f>K6</f>
        <v>699500.94544977811</v>
      </c>
      <c r="D7" s="18">
        <f t="shared" ref="D7:D70" si="0">$C$6/((($E$2)-1)/($E$1*$E$2))</f>
        <v>4990.7212168886126</v>
      </c>
      <c r="E7" s="18">
        <f t="shared" ref="E7:E70" si="1">D7-G7</f>
        <v>502.25681691920272</v>
      </c>
      <c r="F7" s="16">
        <f t="shared" ref="F7:F70" si="2">(E7/C7)*12</f>
        <v>8.6162596951960199E-3</v>
      </c>
      <c r="G7" s="18">
        <f t="shared" ref="G7:G70" si="3">C7*($B$1/12)</f>
        <v>4488.4643999694099</v>
      </c>
      <c r="H7" s="16">
        <f t="shared" ref="H7:H70" si="4">(G7/C7)*12</f>
        <v>7.6999999999999999E-2</v>
      </c>
      <c r="I7" s="18">
        <f>I6+E7</f>
        <v>1001.3113671411484</v>
      </c>
      <c r="J7" s="18">
        <f>J6+G7</f>
        <v>8980.1310666360769</v>
      </c>
      <c r="K7" s="18">
        <f t="shared" ref="K7:K70" si="5">C7-E7</f>
        <v>698998.68863285892</v>
      </c>
      <c r="L7" s="18">
        <f t="shared" ref="L7:L70" si="6">I7+J7</f>
        <v>9981.4424337772252</v>
      </c>
    </row>
    <row r="8" spans="1:12" x14ac:dyDescent="0.3">
      <c r="A8">
        <v>3</v>
      </c>
      <c r="B8" s="17">
        <v>44927</v>
      </c>
      <c r="C8" s="18">
        <f t="shared" ref="C8:C71" si="7">K7</f>
        <v>698998.68863285892</v>
      </c>
      <c r="D8" s="18">
        <f t="shared" si="0"/>
        <v>4990.7212168886126</v>
      </c>
      <c r="E8" s="18">
        <f t="shared" si="1"/>
        <v>505.47963149443422</v>
      </c>
      <c r="F8" s="16">
        <f t="shared" si="2"/>
        <v>8.6777781941150094E-3</v>
      </c>
      <c r="G8" s="18">
        <f t="shared" si="3"/>
        <v>4485.2415853941784</v>
      </c>
      <c r="H8" s="16">
        <f t="shared" si="4"/>
        <v>7.6999999999999999E-2</v>
      </c>
      <c r="I8" s="18">
        <f t="shared" ref="I8:I71" si="8">I7+E8</f>
        <v>1506.7909986355826</v>
      </c>
      <c r="J8" s="18">
        <f t="shared" ref="J8:J71" si="9">J7+G8</f>
        <v>13465.372652030255</v>
      </c>
      <c r="K8" s="18">
        <f t="shared" si="5"/>
        <v>698493.20900136454</v>
      </c>
      <c r="L8" s="18">
        <f t="shared" si="6"/>
        <v>14972.163650665838</v>
      </c>
    </row>
    <row r="9" spans="1:12" x14ac:dyDescent="0.3">
      <c r="A9">
        <v>4</v>
      </c>
      <c r="B9" s="17">
        <v>44958</v>
      </c>
      <c r="C9" s="18">
        <f t="shared" si="7"/>
        <v>698493.20900136454</v>
      </c>
      <c r="D9" s="18">
        <f t="shared" si="0"/>
        <v>4990.7212168886126</v>
      </c>
      <c r="E9" s="18">
        <f t="shared" si="1"/>
        <v>508.72312579652316</v>
      </c>
      <c r="F9" s="16">
        <f t="shared" si="2"/>
        <v>8.7397807607695055E-3</v>
      </c>
      <c r="G9" s="18">
        <f t="shared" si="3"/>
        <v>4481.9980910920895</v>
      </c>
      <c r="H9" s="16">
        <f t="shared" si="4"/>
        <v>7.6999999999999999E-2</v>
      </c>
      <c r="I9" s="18">
        <f t="shared" si="8"/>
        <v>2015.5141244321057</v>
      </c>
      <c r="J9" s="18">
        <f t="shared" si="9"/>
        <v>17947.370743122345</v>
      </c>
      <c r="K9" s="18">
        <f t="shared" si="5"/>
        <v>697984.485875568</v>
      </c>
      <c r="L9" s="18">
        <f t="shared" si="6"/>
        <v>19962.88486755445</v>
      </c>
    </row>
    <row r="10" spans="1:12" x14ac:dyDescent="0.3">
      <c r="A10">
        <v>5</v>
      </c>
      <c r="B10" s="17">
        <v>44986</v>
      </c>
      <c r="C10" s="18">
        <f t="shared" si="7"/>
        <v>697984.485875568</v>
      </c>
      <c r="D10" s="18">
        <f t="shared" si="0"/>
        <v>4990.7212168886126</v>
      </c>
      <c r="E10" s="18">
        <f t="shared" si="1"/>
        <v>511.98743252038457</v>
      </c>
      <c r="F10" s="16">
        <f t="shared" si="2"/>
        <v>8.8022718478300097E-3</v>
      </c>
      <c r="G10" s="18">
        <f t="shared" si="3"/>
        <v>4478.733784368228</v>
      </c>
      <c r="H10" s="16">
        <f t="shared" si="4"/>
        <v>7.6999999999999999E-2</v>
      </c>
      <c r="I10" s="18">
        <f t="shared" si="8"/>
        <v>2527.5015569524903</v>
      </c>
      <c r="J10" s="18">
        <f t="shared" si="9"/>
        <v>22426.104527490574</v>
      </c>
      <c r="K10" s="18">
        <f t="shared" si="5"/>
        <v>697472.49844304763</v>
      </c>
      <c r="L10" s="18">
        <f t="shared" si="6"/>
        <v>24953.606084443065</v>
      </c>
    </row>
    <row r="11" spans="1:12" x14ac:dyDescent="0.3">
      <c r="A11">
        <v>6</v>
      </c>
      <c r="B11" s="17">
        <v>45017</v>
      </c>
      <c r="C11" s="18">
        <f t="shared" si="7"/>
        <v>697472.49844304763</v>
      </c>
      <c r="D11" s="18">
        <f t="shared" si="0"/>
        <v>4990.7212168886126</v>
      </c>
      <c r="E11" s="18">
        <f t="shared" si="1"/>
        <v>515.27268521239057</v>
      </c>
      <c r="F11" s="16">
        <f t="shared" si="2"/>
        <v>8.8652559582656915E-3</v>
      </c>
      <c r="G11" s="18">
        <f t="shared" si="3"/>
        <v>4475.448531676222</v>
      </c>
      <c r="H11" s="16">
        <f t="shared" si="4"/>
        <v>7.6999999999999985E-2</v>
      </c>
      <c r="I11" s="18">
        <f t="shared" si="8"/>
        <v>3042.7742421648809</v>
      </c>
      <c r="J11" s="18">
        <f t="shared" si="9"/>
        <v>26901.553059166796</v>
      </c>
      <c r="K11" s="18">
        <f t="shared" si="5"/>
        <v>696957.2257578352</v>
      </c>
      <c r="L11" s="18">
        <f t="shared" si="6"/>
        <v>29944.327301331676</v>
      </c>
    </row>
    <row r="12" spans="1:12" x14ac:dyDescent="0.3">
      <c r="A12">
        <v>7</v>
      </c>
      <c r="B12" s="17">
        <v>45047</v>
      </c>
      <c r="C12" s="18">
        <f t="shared" si="7"/>
        <v>696957.2257578352</v>
      </c>
      <c r="D12" s="18">
        <f t="shared" si="0"/>
        <v>4990.7212168886126</v>
      </c>
      <c r="E12" s="18">
        <f t="shared" si="1"/>
        <v>518.57901827583646</v>
      </c>
      <c r="F12" s="16">
        <f t="shared" si="2"/>
        <v>8.9287376460492618E-3</v>
      </c>
      <c r="G12" s="18">
        <f t="shared" si="3"/>
        <v>4472.1421986127762</v>
      </c>
      <c r="H12" s="16">
        <f t="shared" si="4"/>
        <v>7.6999999999999999E-2</v>
      </c>
      <c r="I12" s="18">
        <f t="shared" si="8"/>
        <v>3561.3532604407173</v>
      </c>
      <c r="J12" s="18">
        <f t="shared" si="9"/>
        <v>31373.695257779571</v>
      </c>
      <c r="K12" s="18">
        <f t="shared" si="5"/>
        <v>696438.64673955936</v>
      </c>
      <c r="L12" s="18">
        <f t="shared" si="6"/>
        <v>34935.04851822029</v>
      </c>
    </row>
    <row r="13" spans="1:12" x14ac:dyDescent="0.3">
      <c r="A13">
        <v>8</v>
      </c>
      <c r="B13" s="17">
        <v>45078</v>
      </c>
      <c r="C13" s="18">
        <f t="shared" si="7"/>
        <v>696438.64673955936</v>
      </c>
      <c r="D13" s="18">
        <f t="shared" si="0"/>
        <v>4990.7212168886126</v>
      </c>
      <c r="E13" s="18">
        <f t="shared" si="1"/>
        <v>521.90656697643954</v>
      </c>
      <c r="F13" s="16">
        <f t="shared" si="2"/>
        <v>8.9927215168737543E-3</v>
      </c>
      <c r="G13" s="18">
        <f t="shared" si="3"/>
        <v>4468.8146499121731</v>
      </c>
      <c r="H13" s="16">
        <f t="shared" si="4"/>
        <v>7.7000000000000013E-2</v>
      </c>
      <c r="I13" s="18">
        <f t="shared" si="8"/>
        <v>4083.2598274171569</v>
      </c>
      <c r="J13" s="18">
        <f t="shared" si="9"/>
        <v>35842.509907691747</v>
      </c>
      <c r="K13" s="18">
        <f t="shared" si="5"/>
        <v>695916.74017258291</v>
      </c>
      <c r="L13" s="18">
        <f t="shared" si="6"/>
        <v>39925.769735108901</v>
      </c>
    </row>
    <row r="14" spans="1:12" x14ac:dyDescent="0.3">
      <c r="A14">
        <v>9</v>
      </c>
      <c r="B14" s="17">
        <v>45108</v>
      </c>
      <c r="C14" s="18">
        <f t="shared" si="7"/>
        <v>695916.74017258291</v>
      </c>
      <c r="D14" s="18">
        <f t="shared" si="0"/>
        <v>4990.7212168886126</v>
      </c>
      <c r="E14" s="18">
        <f t="shared" si="1"/>
        <v>525.25546744787243</v>
      </c>
      <c r="F14" s="16">
        <f t="shared" si="2"/>
        <v>9.0572122288815025E-3</v>
      </c>
      <c r="G14" s="18">
        <f t="shared" si="3"/>
        <v>4465.4657494407402</v>
      </c>
      <c r="H14" s="16">
        <f t="shared" si="4"/>
        <v>7.6999999999999985E-2</v>
      </c>
      <c r="I14" s="18">
        <f t="shared" si="8"/>
        <v>4608.5152948650293</v>
      </c>
      <c r="J14" s="18">
        <f t="shared" si="9"/>
        <v>40307.975657132483</v>
      </c>
      <c r="K14" s="18">
        <f t="shared" si="5"/>
        <v>695391.48470513499</v>
      </c>
      <c r="L14" s="18">
        <f t="shared" si="6"/>
        <v>44916.490951997512</v>
      </c>
    </row>
    <row r="15" spans="1:12" x14ac:dyDescent="0.3">
      <c r="A15">
        <v>10</v>
      </c>
      <c r="B15" s="17">
        <v>45139</v>
      </c>
      <c r="C15" s="18">
        <f t="shared" si="7"/>
        <v>695391.48470513499</v>
      </c>
      <c r="D15" s="18">
        <f t="shared" si="0"/>
        <v>4990.7212168886126</v>
      </c>
      <c r="E15" s="18">
        <f t="shared" si="1"/>
        <v>528.62585669732925</v>
      </c>
      <c r="F15" s="16">
        <f t="shared" si="2"/>
        <v>9.1222144934055005E-3</v>
      </c>
      <c r="G15" s="18">
        <f t="shared" si="3"/>
        <v>4462.0953601912834</v>
      </c>
      <c r="H15" s="16">
        <f t="shared" si="4"/>
        <v>7.7000000000000013E-2</v>
      </c>
      <c r="I15" s="18">
        <f t="shared" si="8"/>
        <v>5137.1411515623586</v>
      </c>
      <c r="J15" s="18">
        <f t="shared" si="9"/>
        <v>44770.071017323768</v>
      </c>
      <c r="K15" s="18">
        <f t="shared" si="5"/>
        <v>694862.85884843767</v>
      </c>
      <c r="L15" s="18">
        <f t="shared" si="6"/>
        <v>49907.212168886123</v>
      </c>
    </row>
    <row r="16" spans="1:12" x14ac:dyDescent="0.3">
      <c r="A16">
        <v>11</v>
      </c>
      <c r="B16" s="17">
        <v>45170</v>
      </c>
      <c r="C16" s="18">
        <f t="shared" si="7"/>
        <v>694862.85884843767</v>
      </c>
      <c r="D16" s="18">
        <f t="shared" si="0"/>
        <v>4990.7212168886126</v>
      </c>
      <c r="E16" s="18">
        <f t="shared" si="1"/>
        <v>532.01787261113714</v>
      </c>
      <c r="F16" s="16">
        <f t="shared" si="2"/>
        <v>9.1877330757235941E-3</v>
      </c>
      <c r="G16" s="18">
        <f t="shared" si="3"/>
        <v>4458.7033442774755</v>
      </c>
      <c r="H16" s="16">
        <f t="shared" si="4"/>
        <v>7.7000000000000013E-2</v>
      </c>
      <c r="I16" s="18">
        <f t="shared" si="8"/>
        <v>5669.1590241734957</v>
      </c>
      <c r="J16" s="18">
        <f t="shared" si="9"/>
        <v>49228.774361601245</v>
      </c>
      <c r="K16" s="18">
        <f t="shared" si="5"/>
        <v>694330.84097582649</v>
      </c>
      <c r="L16" s="18">
        <f t="shared" si="6"/>
        <v>54897.933385774741</v>
      </c>
    </row>
    <row r="17" spans="1:12" x14ac:dyDescent="0.3">
      <c r="A17">
        <v>12</v>
      </c>
      <c r="B17" s="17">
        <v>45200</v>
      </c>
      <c r="C17" s="18">
        <f t="shared" si="7"/>
        <v>694330.84097582649</v>
      </c>
      <c r="D17" s="18">
        <f t="shared" si="0"/>
        <v>4990.7212168886126</v>
      </c>
      <c r="E17" s="18">
        <f t="shared" si="1"/>
        <v>535.4316539603924</v>
      </c>
      <c r="F17" s="16">
        <f t="shared" si="2"/>
        <v>9.2537727958254476E-3</v>
      </c>
      <c r="G17" s="18">
        <f t="shared" si="3"/>
        <v>4455.2895629282202</v>
      </c>
      <c r="H17" s="16">
        <f t="shared" si="4"/>
        <v>7.6999999999999999E-2</v>
      </c>
      <c r="I17" s="18">
        <f t="shared" si="8"/>
        <v>6204.5906781338881</v>
      </c>
      <c r="J17" s="18">
        <f t="shared" si="9"/>
        <v>53684.063924529466</v>
      </c>
      <c r="K17" s="18">
        <f t="shared" si="5"/>
        <v>693795.40932186611</v>
      </c>
      <c r="L17" s="18">
        <f t="shared" si="6"/>
        <v>59888.654602663351</v>
      </c>
    </row>
    <row r="18" spans="1:12" x14ac:dyDescent="0.3">
      <c r="A18">
        <v>13</v>
      </c>
      <c r="B18" s="17">
        <v>45231</v>
      </c>
      <c r="C18" s="18">
        <f t="shared" si="7"/>
        <v>693795.40932186611</v>
      </c>
      <c r="D18" s="18">
        <f t="shared" si="0"/>
        <v>4990.7212168886126</v>
      </c>
      <c r="E18" s="18">
        <f t="shared" si="1"/>
        <v>538.8673404066385</v>
      </c>
      <c r="F18" s="16">
        <f t="shared" si="2"/>
        <v>9.3203385291927773E-3</v>
      </c>
      <c r="G18" s="18">
        <f t="shared" si="3"/>
        <v>4451.8538764819741</v>
      </c>
      <c r="H18" s="16">
        <f t="shared" si="4"/>
        <v>7.6999999999999999E-2</v>
      </c>
      <c r="I18" s="18">
        <f t="shared" si="8"/>
        <v>6743.4580185405266</v>
      </c>
      <c r="J18" s="18">
        <f t="shared" si="9"/>
        <v>58135.917801011441</v>
      </c>
      <c r="K18" s="18">
        <f t="shared" si="5"/>
        <v>693256.54198145948</v>
      </c>
      <c r="L18" s="18">
        <f t="shared" si="6"/>
        <v>64879.375819551969</v>
      </c>
    </row>
    <row r="19" spans="1:12" x14ac:dyDescent="0.3">
      <c r="A19">
        <v>14</v>
      </c>
      <c r="B19" s="17">
        <v>45261</v>
      </c>
      <c r="C19" s="18">
        <f t="shared" si="7"/>
        <v>693256.54198145948</v>
      </c>
      <c r="D19" s="18">
        <f t="shared" si="0"/>
        <v>4990.7212168886126</v>
      </c>
      <c r="E19" s="18">
        <f t="shared" si="1"/>
        <v>542.32507250758044</v>
      </c>
      <c r="F19" s="16">
        <f t="shared" si="2"/>
        <v>9.3874352075930534E-3</v>
      </c>
      <c r="G19" s="18">
        <f t="shared" si="3"/>
        <v>4448.3961443810322</v>
      </c>
      <c r="H19" s="16">
        <f t="shared" si="4"/>
        <v>7.7000000000000013E-2</v>
      </c>
      <c r="I19" s="18">
        <f t="shared" si="8"/>
        <v>7285.7830910481071</v>
      </c>
      <c r="J19" s="18">
        <f t="shared" si="9"/>
        <v>62584.313945392474</v>
      </c>
      <c r="K19" s="18">
        <f t="shared" si="5"/>
        <v>692714.21690895187</v>
      </c>
      <c r="L19" s="18">
        <f t="shared" si="6"/>
        <v>69870.09703644058</v>
      </c>
    </row>
    <row r="20" spans="1:12" x14ac:dyDescent="0.3">
      <c r="A20">
        <v>15</v>
      </c>
      <c r="B20" s="17">
        <v>45292</v>
      </c>
      <c r="C20" s="18">
        <f t="shared" si="7"/>
        <v>692714.21690895187</v>
      </c>
      <c r="D20" s="18">
        <f t="shared" si="0"/>
        <v>4990.7212168886126</v>
      </c>
      <c r="E20" s="18">
        <f t="shared" si="1"/>
        <v>545.80499172283817</v>
      </c>
      <c r="F20" s="16">
        <f t="shared" si="2"/>
        <v>9.4550678198870065E-3</v>
      </c>
      <c r="G20" s="18">
        <f t="shared" si="3"/>
        <v>4444.9162251657744</v>
      </c>
      <c r="H20" s="16">
        <f t="shared" si="4"/>
        <v>7.6999999999999999E-2</v>
      </c>
      <c r="I20" s="18">
        <f t="shared" si="8"/>
        <v>7831.5880827709452</v>
      </c>
      <c r="J20" s="18">
        <f t="shared" si="9"/>
        <v>67029.23017055825</v>
      </c>
      <c r="K20" s="18">
        <f t="shared" si="5"/>
        <v>692168.41191722907</v>
      </c>
      <c r="L20" s="18">
        <f t="shared" si="6"/>
        <v>74860.818253329198</v>
      </c>
    </row>
    <row r="21" spans="1:12" x14ac:dyDescent="0.3">
      <c r="A21">
        <v>16</v>
      </c>
      <c r="B21" s="17">
        <v>45323</v>
      </c>
      <c r="C21" s="18">
        <f t="shared" si="7"/>
        <v>692168.41191722907</v>
      </c>
      <c r="D21" s="18">
        <f t="shared" si="0"/>
        <v>4990.7212168886126</v>
      </c>
      <c r="E21" s="18">
        <f t="shared" si="1"/>
        <v>549.30724041972553</v>
      </c>
      <c r="F21" s="16">
        <f t="shared" si="2"/>
        <v>9.5232414128499036E-3</v>
      </c>
      <c r="G21" s="18">
        <f t="shared" si="3"/>
        <v>4441.4139764688871</v>
      </c>
      <c r="H21" s="16">
        <f t="shared" si="4"/>
        <v>7.7000000000000013E-2</v>
      </c>
      <c r="I21" s="18">
        <f t="shared" si="8"/>
        <v>8380.8953231906708</v>
      </c>
      <c r="J21" s="18">
        <f t="shared" si="9"/>
        <v>71470.644147027138</v>
      </c>
      <c r="K21" s="18">
        <f t="shared" si="5"/>
        <v>691619.10467680939</v>
      </c>
      <c r="L21" s="18">
        <f t="shared" si="6"/>
        <v>79851.539470217802</v>
      </c>
    </row>
    <row r="22" spans="1:12" x14ac:dyDescent="0.3">
      <c r="A22">
        <v>17</v>
      </c>
      <c r="B22" s="17">
        <v>45352</v>
      </c>
      <c r="C22" s="18">
        <f t="shared" si="7"/>
        <v>691619.10467680939</v>
      </c>
      <c r="D22" s="18">
        <f t="shared" si="0"/>
        <v>4990.7212168886126</v>
      </c>
      <c r="E22" s="18">
        <f t="shared" si="1"/>
        <v>552.83196187908561</v>
      </c>
      <c r="F22" s="16">
        <f t="shared" si="2"/>
        <v>9.5919610920075123E-3</v>
      </c>
      <c r="G22" s="18">
        <f t="shared" si="3"/>
        <v>4437.889255009527</v>
      </c>
      <c r="H22" s="16">
        <f t="shared" si="4"/>
        <v>7.6999999999999999E-2</v>
      </c>
      <c r="I22" s="18">
        <f t="shared" si="8"/>
        <v>8933.7272850697555</v>
      </c>
      <c r="J22" s="18">
        <f t="shared" si="9"/>
        <v>75908.533402036672</v>
      </c>
      <c r="K22" s="18">
        <f t="shared" si="5"/>
        <v>691066.27271493035</v>
      </c>
      <c r="L22" s="18">
        <f t="shared" si="6"/>
        <v>84842.260687106434</v>
      </c>
    </row>
    <row r="23" spans="1:12" x14ac:dyDescent="0.3">
      <c r="A23">
        <v>18</v>
      </c>
      <c r="B23" s="17">
        <v>45383</v>
      </c>
      <c r="C23" s="18">
        <f t="shared" si="7"/>
        <v>691066.27271493035</v>
      </c>
      <c r="D23" s="18">
        <f t="shared" si="0"/>
        <v>4990.7212168886126</v>
      </c>
      <c r="E23" s="18">
        <f t="shared" si="1"/>
        <v>556.37930030114239</v>
      </c>
      <c r="F23" s="16">
        <f t="shared" si="2"/>
        <v>9.6612320224862616E-3</v>
      </c>
      <c r="G23" s="18">
        <f t="shared" si="3"/>
        <v>4434.3419165874702</v>
      </c>
      <c r="H23" s="16">
        <f t="shared" si="4"/>
        <v>7.7000000000000013E-2</v>
      </c>
      <c r="I23" s="18">
        <f t="shared" si="8"/>
        <v>9490.1065853708969</v>
      </c>
      <c r="J23" s="18">
        <f t="shared" si="9"/>
        <v>80342.875318624137</v>
      </c>
      <c r="K23" s="18">
        <f t="shared" si="5"/>
        <v>690509.89341462916</v>
      </c>
      <c r="L23" s="18">
        <f t="shared" si="6"/>
        <v>89832.981903995038</v>
      </c>
    </row>
    <row r="24" spans="1:12" x14ac:dyDescent="0.3">
      <c r="A24">
        <v>19</v>
      </c>
      <c r="B24" s="17">
        <v>45413</v>
      </c>
      <c r="C24" s="18">
        <f t="shared" si="7"/>
        <v>690509.89341462916</v>
      </c>
      <c r="D24" s="18">
        <f t="shared" si="0"/>
        <v>4990.7212168886126</v>
      </c>
      <c r="E24" s="18">
        <f t="shared" si="1"/>
        <v>559.94940081140885</v>
      </c>
      <c r="F24" s="16">
        <f t="shared" si="2"/>
        <v>9.7310594298786173E-3</v>
      </c>
      <c r="G24" s="18">
        <f t="shared" si="3"/>
        <v>4430.7718160772038</v>
      </c>
      <c r="H24" s="16">
        <f t="shared" si="4"/>
        <v>7.6999999999999999E-2</v>
      </c>
      <c r="I24" s="18">
        <f t="shared" si="8"/>
        <v>10050.055986182306</v>
      </c>
      <c r="J24" s="18">
        <f t="shared" si="9"/>
        <v>84773.647134701343</v>
      </c>
      <c r="K24" s="18">
        <f t="shared" si="5"/>
        <v>689949.9440138177</v>
      </c>
      <c r="L24" s="18">
        <f t="shared" si="6"/>
        <v>94823.703120883642</v>
      </c>
    </row>
    <row r="25" spans="1:12" x14ac:dyDescent="0.3">
      <c r="A25">
        <v>20</v>
      </c>
      <c r="B25" s="17">
        <v>45444</v>
      </c>
      <c r="C25" s="18">
        <f t="shared" si="7"/>
        <v>689949.9440138177</v>
      </c>
      <c r="D25" s="18">
        <f t="shared" si="0"/>
        <v>4990.7212168886126</v>
      </c>
      <c r="E25" s="18">
        <f t="shared" si="1"/>
        <v>563.54240946661594</v>
      </c>
      <c r="F25" s="16">
        <f t="shared" si="2"/>
        <v>9.8014486011233845E-3</v>
      </c>
      <c r="G25" s="18">
        <f t="shared" si="3"/>
        <v>4427.1788074219967</v>
      </c>
      <c r="H25" s="16">
        <f t="shared" si="4"/>
        <v>7.6999999999999985E-2</v>
      </c>
      <c r="I25" s="18">
        <f t="shared" si="8"/>
        <v>10613.598395648922</v>
      </c>
      <c r="J25" s="18">
        <f t="shared" si="9"/>
        <v>89200.825942123338</v>
      </c>
      <c r="K25" s="18">
        <f t="shared" si="5"/>
        <v>689386.40160435112</v>
      </c>
      <c r="L25" s="18">
        <f t="shared" si="6"/>
        <v>99814.42433777226</v>
      </c>
    </row>
    <row r="26" spans="1:12" x14ac:dyDescent="0.3">
      <c r="A26">
        <v>21</v>
      </c>
      <c r="B26" s="17">
        <v>45474</v>
      </c>
      <c r="C26" s="18">
        <f t="shared" si="7"/>
        <v>689386.40160435112</v>
      </c>
      <c r="D26" s="18">
        <f t="shared" si="0"/>
        <v>4990.7212168886126</v>
      </c>
      <c r="E26" s="18">
        <f t="shared" si="1"/>
        <v>567.15847326069252</v>
      </c>
      <c r="F26" s="16">
        <f t="shared" si="2"/>
        <v>9.872404885401722E-3</v>
      </c>
      <c r="G26" s="18">
        <f t="shared" si="3"/>
        <v>4423.5627436279201</v>
      </c>
      <c r="H26" s="16">
        <f t="shared" si="4"/>
        <v>7.6999999999999999E-2</v>
      </c>
      <c r="I26" s="18">
        <f t="shared" si="8"/>
        <v>11180.756868909615</v>
      </c>
      <c r="J26" s="18">
        <f t="shared" si="9"/>
        <v>93624.388685751255</v>
      </c>
      <c r="K26" s="18">
        <f t="shared" si="5"/>
        <v>688819.24313109042</v>
      </c>
      <c r="L26" s="18">
        <f t="shared" si="6"/>
        <v>104805.14555466088</v>
      </c>
    </row>
    <row r="27" spans="1:12" x14ac:dyDescent="0.3">
      <c r="A27">
        <v>22</v>
      </c>
      <c r="B27" s="17">
        <v>45505</v>
      </c>
      <c r="C27" s="18">
        <f t="shared" si="7"/>
        <v>688819.24313109042</v>
      </c>
      <c r="D27" s="18">
        <f t="shared" si="0"/>
        <v>4990.7212168886126</v>
      </c>
      <c r="E27" s="18">
        <f t="shared" si="1"/>
        <v>570.79774013078259</v>
      </c>
      <c r="F27" s="16">
        <f t="shared" si="2"/>
        <v>9.9439336950489874E-3</v>
      </c>
      <c r="G27" s="18">
        <f t="shared" si="3"/>
        <v>4419.92347675783</v>
      </c>
      <c r="H27" s="16">
        <f t="shared" si="4"/>
        <v>7.6999999999999985E-2</v>
      </c>
      <c r="I27" s="18">
        <f t="shared" si="8"/>
        <v>11751.554609040399</v>
      </c>
      <c r="J27" s="18">
        <f t="shared" si="9"/>
        <v>98044.312162509086</v>
      </c>
      <c r="K27" s="18">
        <f t="shared" si="5"/>
        <v>688248.44539095962</v>
      </c>
      <c r="L27" s="18">
        <f t="shared" si="6"/>
        <v>109795.86677154948</v>
      </c>
    </row>
    <row r="28" spans="1:12" x14ac:dyDescent="0.3">
      <c r="A28">
        <v>23</v>
      </c>
      <c r="B28" s="17">
        <v>45536</v>
      </c>
      <c r="C28" s="18">
        <f t="shared" si="7"/>
        <v>688248.44539095962</v>
      </c>
      <c r="D28" s="18">
        <f t="shared" si="0"/>
        <v>4990.7212168886126</v>
      </c>
      <c r="E28" s="18">
        <f t="shared" si="1"/>
        <v>574.46035896328794</v>
      </c>
      <c r="F28" s="16">
        <f t="shared" si="2"/>
        <v>1.0016040506482493E-2</v>
      </c>
      <c r="G28" s="18">
        <f t="shared" si="3"/>
        <v>4416.2608579253247</v>
      </c>
      <c r="H28" s="16">
        <f t="shared" si="4"/>
        <v>7.7000000000000013E-2</v>
      </c>
      <c r="I28" s="18">
        <f t="shared" si="8"/>
        <v>12326.014968003687</v>
      </c>
      <c r="J28" s="18">
        <f t="shared" si="9"/>
        <v>102460.57302043441</v>
      </c>
      <c r="K28" s="18">
        <f t="shared" si="5"/>
        <v>687673.98503199639</v>
      </c>
      <c r="L28" s="18">
        <f t="shared" si="6"/>
        <v>114786.5879884381</v>
      </c>
    </row>
    <row r="29" spans="1:12" x14ac:dyDescent="0.3">
      <c r="A29">
        <v>24</v>
      </c>
      <c r="B29" s="17">
        <v>45566</v>
      </c>
      <c r="C29" s="18">
        <f t="shared" si="7"/>
        <v>687673.98503199639</v>
      </c>
      <c r="D29" s="18">
        <f t="shared" si="0"/>
        <v>4990.7212168886126</v>
      </c>
      <c r="E29" s="18">
        <f t="shared" si="1"/>
        <v>578.1464795999691</v>
      </c>
      <c r="F29" s="16">
        <f t="shared" si="2"/>
        <v>1.0088730861146108E-2</v>
      </c>
      <c r="G29" s="18">
        <f t="shared" si="3"/>
        <v>4412.5747372886435</v>
      </c>
      <c r="H29" s="16">
        <f t="shared" si="4"/>
        <v>7.6999999999999999E-2</v>
      </c>
      <c r="I29" s="18">
        <f t="shared" si="8"/>
        <v>12904.161447603656</v>
      </c>
      <c r="J29" s="18">
        <f t="shared" si="9"/>
        <v>106873.14775772305</v>
      </c>
      <c r="K29" s="18">
        <f t="shared" si="5"/>
        <v>687095.8385523964</v>
      </c>
      <c r="L29" s="18">
        <f t="shared" si="6"/>
        <v>119777.30920532672</v>
      </c>
    </row>
    <row r="30" spans="1:12" x14ac:dyDescent="0.3">
      <c r="A30">
        <v>25</v>
      </c>
      <c r="B30" s="17">
        <v>45597</v>
      </c>
      <c r="C30" s="18">
        <f t="shared" si="7"/>
        <v>687095.8385523964</v>
      </c>
      <c r="D30" s="18">
        <f t="shared" si="0"/>
        <v>4990.7212168886126</v>
      </c>
      <c r="E30" s="18">
        <f t="shared" si="1"/>
        <v>581.85625284406888</v>
      </c>
      <c r="F30" s="16">
        <f t="shared" si="2"/>
        <v>1.0162010366471422E-2</v>
      </c>
      <c r="G30" s="18">
        <f t="shared" si="3"/>
        <v>4408.8649640445437</v>
      </c>
      <c r="H30" s="16">
        <f t="shared" si="4"/>
        <v>7.6999999999999999E-2</v>
      </c>
      <c r="I30" s="18">
        <f t="shared" si="8"/>
        <v>13486.017700447725</v>
      </c>
      <c r="J30" s="18">
        <f t="shared" si="9"/>
        <v>111282.01272176759</v>
      </c>
      <c r="K30" s="18">
        <f t="shared" si="5"/>
        <v>686513.9822995523</v>
      </c>
      <c r="L30" s="18">
        <f t="shared" si="6"/>
        <v>124768.03042221532</v>
      </c>
    </row>
    <row r="31" spans="1:12" x14ac:dyDescent="0.3">
      <c r="A31">
        <v>26</v>
      </c>
      <c r="B31" s="17">
        <v>45627</v>
      </c>
      <c r="C31" s="18">
        <f t="shared" si="7"/>
        <v>686513.9822995523</v>
      </c>
      <c r="D31" s="18">
        <f t="shared" si="0"/>
        <v>4990.7212168886126</v>
      </c>
      <c r="E31" s="18">
        <f t="shared" si="1"/>
        <v>585.58983046648518</v>
      </c>
      <c r="F31" s="16">
        <f t="shared" si="2"/>
        <v>1.0235884696856238E-2</v>
      </c>
      <c r="G31" s="18">
        <f t="shared" si="3"/>
        <v>4405.1313864221274</v>
      </c>
      <c r="H31" s="16">
        <f t="shared" si="4"/>
        <v>7.6999999999999999E-2</v>
      </c>
      <c r="I31" s="18">
        <f t="shared" si="8"/>
        <v>14071.607530914211</v>
      </c>
      <c r="J31" s="18">
        <f t="shared" si="9"/>
        <v>115687.14410818972</v>
      </c>
      <c r="K31" s="18">
        <f t="shared" si="5"/>
        <v>685928.39246908587</v>
      </c>
      <c r="L31" s="18">
        <f t="shared" si="6"/>
        <v>129758.75163910392</v>
      </c>
    </row>
    <row r="32" spans="1:12" x14ac:dyDescent="0.3">
      <c r="A32">
        <v>27</v>
      </c>
      <c r="B32" s="17">
        <v>45658</v>
      </c>
      <c r="C32" s="18">
        <f t="shared" si="7"/>
        <v>685928.39246908587</v>
      </c>
      <c r="D32" s="18">
        <f t="shared" si="0"/>
        <v>4990.7212168886126</v>
      </c>
      <c r="E32" s="18">
        <f t="shared" si="1"/>
        <v>589.34736521197829</v>
      </c>
      <c r="F32" s="16">
        <f t="shared" si="2"/>
        <v>1.0310359594660569E-2</v>
      </c>
      <c r="G32" s="18">
        <f t="shared" si="3"/>
        <v>4401.3738516766343</v>
      </c>
      <c r="H32" s="16">
        <f t="shared" si="4"/>
        <v>7.6999999999999999E-2</v>
      </c>
      <c r="I32" s="18">
        <f t="shared" si="8"/>
        <v>14660.95489612619</v>
      </c>
      <c r="J32" s="18">
        <f t="shared" si="9"/>
        <v>120088.51795986635</v>
      </c>
      <c r="K32" s="18">
        <f t="shared" si="5"/>
        <v>685339.04510387394</v>
      </c>
      <c r="L32" s="18">
        <f t="shared" si="6"/>
        <v>134749.47285599256</v>
      </c>
    </row>
    <row r="33" spans="1:12" x14ac:dyDescent="0.3">
      <c r="A33">
        <v>28</v>
      </c>
      <c r="B33" s="17">
        <v>45689</v>
      </c>
      <c r="C33" s="18">
        <f t="shared" si="7"/>
        <v>685339.04510387394</v>
      </c>
      <c r="D33" s="18">
        <f t="shared" si="0"/>
        <v>4990.7212168886126</v>
      </c>
      <c r="E33" s="18">
        <f t="shared" si="1"/>
        <v>593.12901080542179</v>
      </c>
      <c r="F33" s="16">
        <f t="shared" si="2"/>
        <v>1.0385440871220586E-2</v>
      </c>
      <c r="G33" s="18">
        <f t="shared" si="3"/>
        <v>4397.5922060831908</v>
      </c>
      <c r="H33" s="16">
        <f t="shared" si="4"/>
        <v>7.6999999999999985E-2</v>
      </c>
      <c r="I33" s="18">
        <f t="shared" si="8"/>
        <v>15254.083906931612</v>
      </c>
      <c r="J33" s="18">
        <f t="shared" si="9"/>
        <v>124486.11016594955</v>
      </c>
      <c r="K33" s="18">
        <f t="shared" si="5"/>
        <v>684745.91609306855</v>
      </c>
      <c r="L33" s="18">
        <f t="shared" si="6"/>
        <v>139740.19407288116</v>
      </c>
    </row>
    <row r="34" spans="1:12" x14ac:dyDescent="0.3">
      <c r="A34">
        <v>29</v>
      </c>
      <c r="B34" s="17">
        <v>45717</v>
      </c>
      <c r="C34" s="18">
        <f t="shared" si="7"/>
        <v>684745.91609306855</v>
      </c>
      <c r="D34" s="18">
        <f t="shared" si="0"/>
        <v>4990.7212168886126</v>
      </c>
      <c r="E34" s="18">
        <f t="shared" si="1"/>
        <v>596.93492195808903</v>
      </c>
      <c r="F34" s="16">
        <f t="shared" si="2"/>
        <v>1.0461134407880813E-2</v>
      </c>
      <c r="G34" s="18">
        <f t="shared" si="3"/>
        <v>4393.7862949305236</v>
      </c>
      <c r="H34" s="16">
        <f t="shared" si="4"/>
        <v>7.6999999999999999E-2</v>
      </c>
      <c r="I34" s="18">
        <f t="shared" si="8"/>
        <v>15851.018828889701</v>
      </c>
      <c r="J34" s="18">
        <f t="shared" si="9"/>
        <v>128879.89646088007</v>
      </c>
      <c r="K34" s="18">
        <f t="shared" si="5"/>
        <v>684148.98117111041</v>
      </c>
      <c r="L34" s="18">
        <f t="shared" si="6"/>
        <v>144730.91528976976</v>
      </c>
    </row>
    <row r="35" spans="1:12" x14ac:dyDescent="0.3">
      <c r="A35">
        <v>30</v>
      </c>
      <c r="B35" s="17">
        <v>45748</v>
      </c>
      <c r="C35" s="18">
        <f t="shared" si="7"/>
        <v>684148.98117111041</v>
      </c>
      <c r="D35" s="18">
        <f t="shared" si="0"/>
        <v>4990.7212168886126</v>
      </c>
      <c r="E35" s="18">
        <f t="shared" si="1"/>
        <v>600.76525437398777</v>
      </c>
      <c r="F35" s="16">
        <f t="shared" si="2"/>
        <v>1.0537446157045122E-2</v>
      </c>
      <c r="G35" s="18">
        <f t="shared" si="3"/>
        <v>4389.9559625146248</v>
      </c>
      <c r="H35" s="16">
        <f t="shared" si="4"/>
        <v>7.6999999999999985E-2</v>
      </c>
      <c r="I35" s="18">
        <f t="shared" si="8"/>
        <v>16451.784083263687</v>
      </c>
      <c r="J35" s="18">
        <f t="shared" si="9"/>
        <v>133269.85242339471</v>
      </c>
      <c r="K35" s="18">
        <f t="shared" si="5"/>
        <v>683548.2159167364</v>
      </c>
      <c r="L35" s="18">
        <f t="shared" si="6"/>
        <v>149721.6365066584</v>
      </c>
    </row>
    <row r="36" spans="1:12" x14ac:dyDescent="0.3">
      <c r="A36">
        <v>31</v>
      </c>
      <c r="B36" s="17">
        <v>45778</v>
      </c>
      <c r="C36" s="18">
        <f t="shared" si="7"/>
        <v>683548.2159167364</v>
      </c>
      <c r="D36" s="18">
        <f t="shared" si="0"/>
        <v>4990.7212168886126</v>
      </c>
      <c r="E36" s="18">
        <f t="shared" si="1"/>
        <v>604.62016475622022</v>
      </c>
      <c r="F36" s="16">
        <f t="shared" si="2"/>
        <v>1.0614382143246549E-2</v>
      </c>
      <c r="G36" s="18">
        <f t="shared" si="3"/>
        <v>4386.1010521323924</v>
      </c>
      <c r="H36" s="16">
        <f t="shared" si="4"/>
        <v>7.7000000000000013E-2</v>
      </c>
      <c r="I36" s="18">
        <f t="shared" si="8"/>
        <v>17056.404248019906</v>
      </c>
      <c r="J36" s="18">
        <f t="shared" si="9"/>
        <v>137655.95347552712</v>
      </c>
      <c r="K36" s="18">
        <f t="shared" si="5"/>
        <v>682943.5957519802</v>
      </c>
      <c r="L36" s="18">
        <f t="shared" si="6"/>
        <v>154712.35772354703</v>
      </c>
    </row>
    <row r="37" spans="1:12" x14ac:dyDescent="0.3">
      <c r="A37">
        <v>32</v>
      </c>
      <c r="B37" s="17">
        <v>45809</v>
      </c>
      <c r="C37" s="18">
        <f t="shared" si="7"/>
        <v>682943.5957519802</v>
      </c>
      <c r="D37" s="18">
        <f t="shared" si="0"/>
        <v>4990.7212168886126</v>
      </c>
      <c r="E37" s="18">
        <f t="shared" si="1"/>
        <v>608.49981081340593</v>
      </c>
      <c r="F37" s="16">
        <f t="shared" si="2"/>
        <v>1.0691948464236989E-2</v>
      </c>
      <c r="G37" s="18">
        <f t="shared" si="3"/>
        <v>4382.2214060752067</v>
      </c>
      <c r="H37" s="16">
        <f t="shared" si="4"/>
        <v>7.6999999999999999E-2</v>
      </c>
      <c r="I37" s="18">
        <f t="shared" si="8"/>
        <v>17664.904058833312</v>
      </c>
      <c r="J37" s="18">
        <f t="shared" si="9"/>
        <v>142038.17488160232</v>
      </c>
      <c r="K37" s="18">
        <f t="shared" si="5"/>
        <v>682335.09594116674</v>
      </c>
      <c r="L37" s="18">
        <f t="shared" si="6"/>
        <v>159703.07894043563</v>
      </c>
    </row>
    <row r="38" spans="1:12" x14ac:dyDescent="0.3">
      <c r="A38">
        <v>33</v>
      </c>
      <c r="B38" s="17">
        <v>45839</v>
      </c>
      <c r="C38" s="18">
        <f t="shared" si="7"/>
        <v>682335.09594116674</v>
      </c>
      <c r="D38" s="18">
        <f t="shared" si="0"/>
        <v>4990.7212168886126</v>
      </c>
      <c r="E38" s="18">
        <f t="shared" si="1"/>
        <v>612.40435126612556</v>
      </c>
      <c r="F38" s="16">
        <f t="shared" si="2"/>
        <v>1.0770151292096441E-2</v>
      </c>
      <c r="G38" s="18">
        <f t="shared" si="3"/>
        <v>4378.3168656224871</v>
      </c>
      <c r="H38" s="16">
        <f t="shared" si="4"/>
        <v>7.7000000000000013E-2</v>
      </c>
      <c r="I38" s="18">
        <f t="shared" si="8"/>
        <v>18277.308410099438</v>
      </c>
      <c r="J38" s="18">
        <f t="shared" si="9"/>
        <v>146416.49174722479</v>
      </c>
      <c r="K38" s="18">
        <f t="shared" si="5"/>
        <v>681722.69158990064</v>
      </c>
      <c r="L38" s="18">
        <f t="shared" si="6"/>
        <v>164693.80015732424</v>
      </c>
    </row>
    <row r="39" spans="1:12" x14ac:dyDescent="0.3">
      <c r="A39">
        <v>34</v>
      </c>
      <c r="B39" s="17">
        <v>45870</v>
      </c>
      <c r="C39" s="18">
        <f t="shared" si="7"/>
        <v>681722.69158990064</v>
      </c>
      <c r="D39" s="18">
        <f t="shared" si="0"/>
        <v>4990.7212168886126</v>
      </c>
      <c r="E39" s="18">
        <f t="shared" si="1"/>
        <v>616.33394585341648</v>
      </c>
      <c r="F39" s="16">
        <f t="shared" si="2"/>
        <v>1.0848996874362755E-2</v>
      </c>
      <c r="G39" s="18">
        <f t="shared" si="3"/>
        <v>4374.3872710351961</v>
      </c>
      <c r="H39" s="16">
        <f t="shared" si="4"/>
        <v>7.6999999999999999E-2</v>
      </c>
      <c r="I39" s="18">
        <f t="shared" si="8"/>
        <v>18893.642355952856</v>
      </c>
      <c r="J39" s="18">
        <f t="shared" si="9"/>
        <v>150790.87901825999</v>
      </c>
      <c r="K39" s="18">
        <f t="shared" si="5"/>
        <v>681106.35764404724</v>
      </c>
      <c r="L39" s="18">
        <f t="shared" si="6"/>
        <v>169684.52137421284</v>
      </c>
    </row>
    <row r="40" spans="1:12" x14ac:dyDescent="0.3">
      <c r="A40">
        <v>35</v>
      </c>
      <c r="B40" s="17">
        <v>45901</v>
      </c>
      <c r="C40" s="18">
        <f t="shared" si="7"/>
        <v>681106.35764404724</v>
      </c>
      <c r="D40" s="18">
        <f t="shared" si="0"/>
        <v>4990.7212168886126</v>
      </c>
      <c r="E40" s="18">
        <f t="shared" si="1"/>
        <v>620.28875533930932</v>
      </c>
      <c r="F40" s="16">
        <f t="shared" si="2"/>
        <v>1.0928491535182144E-2</v>
      </c>
      <c r="G40" s="18">
        <f t="shared" si="3"/>
        <v>4370.4324615493033</v>
      </c>
      <c r="H40" s="16">
        <f t="shared" si="4"/>
        <v>7.6999999999999999E-2</v>
      </c>
      <c r="I40" s="18">
        <f t="shared" si="8"/>
        <v>19513.931111292164</v>
      </c>
      <c r="J40" s="18">
        <f t="shared" si="9"/>
        <v>155161.31147980929</v>
      </c>
      <c r="K40" s="18">
        <f t="shared" si="5"/>
        <v>680486.0688887079</v>
      </c>
      <c r="L40" s="18">
        <f t="shared" si="6"/>
        <v>174675.24259110144</v>
      </c>
    </row>
    <row r="41" spans="1:12" x14ac:dyDescent="0.3">
      <c r="A41">
        <v>36</v>
      </c>
      <c r="B41" s="17">
        <v>45931</v>
      </c>
      <c r="C41" s="18">
        <f t="shared" si="7"/>
        <v>680486.0688887079</v>
      </c>
      <c r="D41" s="18">
        <f t="shared" si="0"/>
        <v>4990.7212168886126</v>
      </c>
      <c r="E41" s="18">
        <f t="shared" si="1"/>
        <v>624.2689415194036</v>
      </c>
      <c r="F41" s="16">
        <f t="shared" si="2"/>
        <v>1.1008641676480843E-2</v>
      </c>
      <c r="G41" s="18">
        <f t="shared" si="3"/>
        <v>4366.452275369209</v>
      </c>
      <c r="H41" s="16">
        <f t="shared" si="4"/>
        <v>7.6999999999999999E-2</v>
      </c>
      <c r="I41" s="18">
        <f t="shared" si="8"/>
        <v>20138.200052811568</v>
      </c>
      <c r="J41" s="18">
        <f t="shared" si="9"/>
        <v>159527.76375517849</v>
      </c>
      <c r="K41" s="18">
        <f t="shared" si="5"/>
        <v>679861.79994718847</v>
      </c>
      <c r="L41" s="18">
        <f t="shared" si="6"/>
        <v>179665.96380799005</v>
      </c>
    </row>
    <row r="42" spans="1:12" x14ac:dyDescent="0.3">
      <c r="A42">
        <v>37</v>
      </c>
      <c r="B42" s="17">
        <v>45962</v>
      </c>
      <c r="C42" s="18">
        <f t="shared" si="7"/>
        <v>679861.79994718847</v>
      </c>
      <c r="D42" s="18">
        <f t="shared" si="0"/>
        <v>4990.7212168886126</v>
      </c>
      <c r="E42" s="18">
        <f t="shared" si="1"/>
        <v>628.27466722748613</v>
      </c>
      <c r="F42" s="16">
        <f t="shared" si="2"/>
        <v>1.1089453779158476E-2</v>
      </c>
      <c r="G42" s="18">
        <f t="shared" si="3"/>
        <v>4362.4465496611265</v>
      </c>
      <c r="H42" s="16">
        <f t="shared" si="4"/>
        <v>7.7000000000000013E-2</v>
      </c>
      <c r="I42" s="18">
        <f t="shared" si="8"/>
        <v>20766.474720039056</v>
      </c>
      <c r="J42" s="18">
        <f t="shared" si="9"/>
        <v>163890.21030483962</v>
      </c>
      <c r="K42" s="18">
        <f t="shared" si="5"/>
        <v>679233.52527996094</v>
      </c>
      <c r="L42" s="18">
        <f t="shared" si="6"/>
        <v>184656.68502487868</v>
      </c>
    </row>
    <row r="43" spans="1:12" x14ac:dyDescent="0.3">
      <c r="A43">
        <v>38</v>
      </c>
      <c r="B43" s="17">
        <v>45992</v>
      </c>
      <c r="C43" s="18">
        <f t="shared" si="7"/>
        <v>679233.52527996094</v>
      </c>
      <c r="D43" s="18">
        <f t="shared" si="0"/>
        <v>4990.7212168886126</v>
      </c>
      <c r="E43" s="18">
        <f t="shared" si="1"/>
        <v>632.30609634219672</v>
      </c>
      <c r="F43" s="16">
        <f t="shared" si="2"/>
        <v>1.117093440430364E-2</v>
      </c>
      <c r="G43" s="18">
        <f t="shared" si="3"/>
        <v>4358.4151205464159</v>
      </c>
      <c r="H43" s="16">
        <f t="shared" si="4"/>
        <v>7.6999999999999985E-2</v>
      </c>
      <c r="I43" s="18">
        <f t="shared" si="8"/>
        <v>21398.780816381251</v>
      </c>
      <c r="J43" s="18">
        <f t="shared" si="9"/>
        <v>168248.62542538604</v>
      </c>
      <c r="K43" s="18">
        <f t="shared" si="5"/>
        <v>678601.21918361878</v>
      </c>
      <c r="L43" s="18">
        <f t="shared" si="6"/>
        <v>189647.40624176728</v>
      </c>
    </row>
    <row r="44" spans="1:12" x14ac:dyDescent="0.3">
      <c r="A44">
        <v>39</v>
      </c>
      <c r="B44" s="17">
        <v>46023</v>
      </c>
      <c r="C44" s="18">
        <f t="shared" si="7"/>
        <v>678601.21918361878</v>
      </c>
      <c r="D44" s="18">
        <f t="shared" si="0"/>
        <v>4990.7212168886126</v>
      </c>
      <c r="E44" s="18">
        <f t="shared" si="1"/>
        <v>636.36339379372566</v>
      </c>
      <c r="F44" s="16">
        <f t="shared" si="2"/>
        <v>1.1253090194431891E-2</v>
      </c>
      <c r="G44" s="18">
        <f t="shared" si="3"/>
        <v>4354.357823094887</v>
      </c>
      <c r="H44" s="16">
        <f t="shared" si="4"/>
        <v>7.6999999999999985E-2</v>
      </c>
      <c r="I44" s="18">
        <f t="shared" si="8"/>
        <v>22035.144210174978</v>
      </c>
      <c r="J44" s="18">
        <f t="shared" si="9"/>
        <v>172602.98324848092</v>
      </c>
      <c r="K44" s="18">
        <f t="shared" si="5"/>
        <v>677964.85578982509</v>
      </c>
      <c r="L44" s="18">
        <f t="shared" si="6"/>
        <v>194638.12745865589</v>
      </c>
    </row>
    <row r="45" spans="1:12" x14ac:dyDescent="0.3">
      <c r="A45">
        <v>40</v>
      </c>
      <c r="B45" s="17">
        <v>46054</v>
      </c>
      <c r="C45" s="18">
        <f t="shared" si="7"/>
        <v>677964.85578982509</v>
      </c>
      <c r="D45" s="18">
        <f t="shared" si="0"/>
        <v>4990.7212168886126</v>
      </c>
      <c r="E45" s="18">
        <f t="shared" si="1"/>
        <v>640.44672557056856</v>
      </c>
      <c r="F45" s="16">
        <f t="shared" si="2"/>
        <v>1.133592787474717E-2</v>
      </c>
      <c r="G45" s="18">
        <f t="shared" si="3"/>
        <v>4350.2744913180441</v>
      </c>
      <c r="H45" s="16">
        <f t="shared" si="4"/>
        <v>7.6999999999999985E-2</v>
      </c>
      <c r="I45" s="18">
        <f t="shared" si="8"/>
        <v>22675.590935745546</v>
      </c>
      <c r="J45" s="18">
        <f t="shared" si="9"/>
        <v>176953.25773979895</v>
      </c>
      <c r="K45" s="18">
        <f t="shared" si="5"/>
        <v>677324.40906425449</v>
      </c>
      <c r="L45" s="18">
        <f t="shared" si="6"/>
        <v>199628.84867554449</v>
      </c>
    </row>
    <row r="46" spans="1:12" x14ac:dyDescent="0.3">
      <c r="A46">
        <v>41</v>
      </c>
      <c r="B46" s="17">
        <v>46082</v>
      </c>
      <c r="C46" s="18">
        <f t="shared" si="7"/>
        <v>677324.40906425449</v>
      </c>
      <c r="D46" s="18">
        <f t="shared" si="0"/>
        <v>4990.7212168886126</v>
      </c>
      <c r="E46" s="18">
        <f t="shared" si="1"/>
        <v>644.55625872631299</v>
      </c>
      <c r="F46" s="16">
        <f t="shared" si="2"/>
        <v>1.1419454254426559E-2</v>
      </c>
      <c r="G46" s="18">
        <f t="shared" si="3"/>
        <v>4346.1649581622996</v>
      </c>
      <c r="H46" s="16">
        <f t="shared" si="4"/>
        <v>7.6999999999999999E-2</v>
      </c>
      <c r="I46" s="18">
        <f t="shared" si="8"/>
        <v>23320.147194471858</v>
      </c>
      <c r="J46" s="18">
        <f t="shared" si="9"/>
        <v>181299.42269796124</v>
      </c>
      <c r="K46" s="18">
        <f t="shared" si="5"/>
        <v>676679.85280552821</v>
      </c>
      <c r="L46" s="18">
        <f t="shared" si="6"/>
        <v>204619.56989243309</v>
      </c>
    </row>
    <row r="47" spans="1:12" x14ac:dyDescent="0.3">
      <c r="A47">
        <v>42</v>
      </c>
      <c r="B47" s="17">
        <v>46113</v>
      </c>
      <c r="C47" s="18">
        <f t="shared" si="7"/>
        <v>676679.85280552821</v>
      </c>
      <c r="D47" s="18">
        <f t="shared" si="0"/>
        <v>4990.7212168886126</v>
      </c>
      <c r="E47" s="18">
        <f t="shared" si="1"/>
        <v>648.69216138647334</v>
      </c>
      <c r="F47" s="16">
        <f t="shared" si="2"/>
        <v>1.1503676227929341E-2</v>
      </c>
      <c r="G47" s="18">
        <f t="shared" si="3"/>
        <v>4342.0290555021393</v>
      </c>
      <c r="H47" s="16">
        <f t="shared" si="4"/>
        <v>7.6999999999999999E-2</v>
      </c>
      <c r="I47" s="18">
        <f t="shared" si="8"/>
        <v>23968.83935585833</v>
      </c>
      <c r="J47" s="18">
        <f t="shared" si="9"/>
        <v>185641.45175346339</v>
      </c>
      <c r="K47" s="18">
        <f t="shared" si="5"/>
        <v>676031.16064414172</v>
      </c>
      <c r="L47" s="18">
        <f t="shared" si="6"/>
        <v>209610.29110932173</v>
      </c>
    </row>
    <row r="48" spans="1:12" x14ac:dyDescent="0.3">
      <c r="A48">
        <v>43</v>
      </c>
      <c r="B48" s="17">
        <v>46143</v>
      </c>
      <c r="C48" s="18">
        <f t="shared" si="7"/>
        <v>676031.16064414172</v>
      </c>
      <c r="D48" s="18">
        <f t="shared" si="0"/>
        <v>4990.7212168886126</v>
      </c>
      <c r="E48" s="18">
        <f t="shared" si="1"/>
        <v>652.85460275536934</v>
      </c>
      <c r="F48" s="16">
        <f t="shared" si="2"/>
        <v>1.1588600776330681E-2</v>
      </c>
      <c r="G48" s="18">
        <f t="shared" si="3"/>
        <v>4337.8666141332433</v>
      </c>
      <c r="H48" s="16">
        <f t="shared" si="4"/>
        <v>7.7000000000000013E-2</v>
      </c>
      <c r="I48" s="18">
        <f t="shared" si="8"/>
        <v>24621.693958613701</v>
      </c>
      <c r="J48" s="18">
        <f t="shared" si="9"/>
        <v>189979.31836759663</v>
      </c>
      <c r="K48" s="18">
        <f t="shared" si="5"/>
        <v>675378.30604138633</v>
      </c>
      <c r="L48" s="18">
        <f t="shared" si="6"/>
        <v>214601.01232621033</v>
      </c>
    </row>
    <row r="49" spans="1:12" x14ac:dyDescent="0.3">
      <c r="A49">
        <v>44</v>
      </c>
      <c r="B49" s="17">
        <v>46174</v>
      </c>
      <c r="C49" s="18">
        <f t="shared" si="7"/>
        <v>675378.30604138633</v>
      </c>
      <c r="D49" s="18">
        <f t="shared" si="0"/>
        <v>4990.7212168886126</v>
      </c>
      <c r="E49" s="18">
        <f t="shared" si="1"/>
        <v>657.04375312305001</v>
      </c>
      <c r="F49" s="16">
        <f t="shared" si="2"/>
        <v>1.167423496868057E-2</v>
      </c>
      <c r="G49" s="18">
        <f t="shared" si="3"/>
        <v>4333.6774637655626</v>
      </c>
      <c r="H49" s="16">
        <f t="shared" si="4"/>
        <v>7.6999999999999999E-2</v>
      </c>
      <c r="I49" s="18">
        <f t="shared" si="8"/>
        <v>25278.73771173675</v>
      </c>
      <c r="J49" s="18">
        <f t="shared" si="9"/>
        <v>194312.9958313622</v>
      </c>
      <c r="K49" s="18">
        <f t="shared" si="5"/>
        <v>674721.2622882633</v>
      </c>
      <c r="L49" s="18">
        <f t="shared" si="6"/>
        <v>219591.73354309896</v>
      </c>
    </row>
    <row r="50" spans="1:12" x14ac:dyDescent="0.3">
      <c r="A50">
        <v>45</v>
      </c>
      <c r="B50" s="17">
        <v>46204</v>
      </c>
      <c r="C50" s="18">
        <f t="shared" si="7"/>
        <v>674721.2622882633</v>
      </c>
      <c r="D50" s="18">
        <f t="shared" si="0"/>
        <v>4990.7212168886126</v>
      </c>
      <c r="E50" s="18">
        <f t="shared" si="1"/>
        <v>661.25978387225587</v>
      </c>
      <c r="F50" s="16">
        <f t="shared" si="2"/>
        <v>1.1760585963388429E-2</v>
      </c>
      <c r="G50" s="18">
        <f t="shared" si="3"/>
        <v>4329.4614330163568</v>
      </c>
      <c r="H50" s="16">
        <f t="shared" si="4"/>
        <v>7.7000000000000013E-2</v>
      </c>
      <c r="I50" s="18">
        <f t="shared" si="8"/>
        <v>25939.997495609008</v>
      </c>
      <c r="J50" s="18">
        <f t="shared" si="9"/>
        <v>198642.45726437855</v>
      </c>
      <c r="K50" s="18">
        <f t="shared" si="5"/>
        <v>674060.00250439101</v>
      </c>
      <c r="L50" s="18">
        <f t="shared" si="6"/>
        <v>224582.45475998757</v>
      </c>
    </row>
    <row r="51" spans="1:12" x14ac:dyDescent="0.3">
      <c r="A51">
        <v>46</v>
      </c>
      <c r="B51" s="17">
        <v>46235</v>
      </c>
      <c r="C51" s="18">
        <f t="shared" si="7"/>
        <v>674060.00250439101</v>
      </c>
      <c r="D51" s="18">
        <f t="shared" si="0"/>
        <v>4990.7212168886126</v>
      </c>
      <c r="E51" s="18">
        <f t="shared" si="1"/>
        <v>665.50286748543658</v>
      </c>
      <c r="F51" s="16">
        <f t="shared" si="2"/>
        <v>1.1847661009634251E-2</v>
      </c>
      <c r="G51" s="18">
        <f t="shared" si="3"/>
        <v>4325.218349403176</v>
      </c>
      <c r="H51" s="16">
        <f t="shared" si="4"/>
        <v>7.6999999999999999E-2</v>
      </c>
      <c r="I51" s="18">
        <f t="shared" si="8"/>
        <v>26605.500363094445</v>
      </c>
      <c r="J51" s="18">
        <f t="shared" si="9"/>
        <v>202967.67561378173</v>
      </c>
      <c r="K51" s="18">
        <f t="shared" si="5"/>
        <v>673394.49963690562</v>
      </c>
      <c r="L51" s="18">
        <f t="shared" si="6"/>
        <v>229573.17597687617</v>
      </c>
    </row>
    <row r="52" spans="1:12" x14ac:dyDescent="0.3">
      <c r="A52">
        <v>47</v>
      </c>
      <c r="B52" s="17">
        <v>46266</v>
      </c>
      <c r="C52" s="18">
        <f t="shared" si="7"/>
        <v>673394.49963690562</v>
      </c>
      <c r="D52" s="18">
        <f t="shared" si="0"/>
        <v>4990.7212168886126</v>
      </c>
      <c r="E52" s="18">
        <f t="shared" si="1"/>
        <v>669.77317755180138</v>
      </c>
      <c r="F52" s="16">
        <f t="shared" si="2"/>
        <v>1.1935467448806483E-2</v>
      </c>
      <c r="G52" s="18">
        <f t="shared" si="3"/>
        <v>4320.9480393368112</v>
      </c>
      <c r="H52" s="16">
        <f t="shared" si="4"/>
        <v>7.6999999999999999E-2</v>
      </c>
      <c r="I52" s="18">
        <f t="shared" si="8"/>
        <v>27275.273540646245</v>
      </c>
      <c r="J52" s="18">
        <f t="shared" si="9"/>
        <v>207288.62365311853</v>
      </c>
      <c r="K52" s="18">
        <f t="shared" si="5"/>
        <v>672724.72645935381</v>
      </c>
      <c r="L52" s="18">
        <f t="shared" si="6"/>
        <v>234563.89719376477</v>
      </c>
    </row>
    <row r="53" spans="1:12" x14ac:dyDescent="0.3">
      <c r="A53">
        <v>48</v>
      </c>
      <c r="B53" s="17">
        <v>46296</v>
      </c>
      <c r="C53" s="18">
        <f t="shared" si="7"/>
        <v>672724.72645935381</v>
      </c>
      <c r="D53" s="18">
        <f t="shared" si="0"/>
        <v>4990.7212168886126</v>
      </c>
      <c r="E53" s="18">
        <f t="shared" si="1"/>
        <v>674.07088877442584</v>
      </c>
      <c r="F53" s="16">
        <f t="shared" si="2"/>
        <v>1.2024012715967621E-2</v>
      </c>
      <c r="G53" s="18">
        <f t="shared" si="3"/>
        <v>4316.6503281141868</v>
      </c>
      <c r="H53" s="16">
        <f t="shared" si="4"/>
        <v>7.6999999999999985E-2</v>
      </c>
      <c r="I53" s="18">
        <f t="shared" si="8"/>
        <v>27949.344429420671</v>
      </c>
      <c r="J53" s="18">
        <f t="shared" si="9"/>
        <v>211605.27398123272</v>
      </c>
      <c r="K53" s="18">
        <f t="shared" si="5"/>
        <v>672050.65557057934</v>
      </c>
      <c r="L53" s="18">
        <f t="shared" si="6"/>
        <v>239554.61841065338</v>
      </c>
    </row>
    <row r="54" spans="1:12" x14ac:dyDescent="0.3">
      <c r="A54">
        <v>49</v>
      </c>
      <c r="B54" s="17">
        <v>46327</v>
      </c>
      <c r="C54" s="18">
        <f t="shared" si="7"/>
        <v>672050.65557057934</v>
      </c>
      <c r="D54" s="18">
        <f t="shared" si="0"/>
        <v>4990.7212168886126</v>
      </c>
      <c r="E54" s="18">
        <f t="shared" si="1"/>
        <v>678.39617697739504</v>
      </c>
      <c r="F54" s="16">
        <f t="shared" si="2"/>
        <v>1.2113304341347811E-2</v>
      </c>
      <c r="G54" s="18">
        <f t="shared" si="3"/>
        <v>4312.3250399112176</v>
      </c>
      <c r="H54" s="16">
        <f t="shared" si="4"/>
        <v>7.6999999999999999E-2</v>
      </c>
      <c r="I54" s="18">
        <f t="shared" si="8"/>
        <v>28627.740606398067</v>
      </c>
      <c r="J54" s="18">
        <f t="shared" si="9"/>
        <v>215917.59902114395</v>
      </c>
      <c r="K54" s="18">
        <f t="shared" si="5"/>
        <v>671372.25939360191</v>
      </c>
      <c r="L54" s="18">
        <f t="shared" si="6"/>
        <v>244545.33962754201</v>
      </c>
    </row>
    <row r="55" spans="1:12" x14ac:dyDescent="0.3">
      <c r="A55">
        <v>50</v>
      </c>
      <c r="B55" s="17">
        <v>46357</v>
      </c>
      <c r="C55" s="18">
        <f t="shared" si="7"/>
        <v>671372.25939360191</v>
      </c>
      <c r="D55" s="18">
        <f t="shared" si="0"/>
        <v>4990.7212168886126</v>
      </c>
      <c r="E55" s="18">
        <f t="shared" si="1"/>
        <v>682.74921911300044</v>
      </c>
      <c r="F55" s="16">
        <f t="shared" si="2"/>
        <v>1.2203349951867379E-2</v>
      </c>
      <c r="G55" s="18">
        <f t="shared" si="3"/>
        <v>4307.9719977756122</v>
      </c>
      <c r="H55" s="16">
        <f t="shared" si="4"/>
        <v>7.6999999999999999E-2</v>
      </c>
      <c r="I55" s="18">
        <f t="shared" si="8"/>
        <v>29310.489825511067</v>
      </c>
      <c r="J55" s="18">
        <f t="shared" si="9"/>
        <v>220225.57101891955</v>
      </c>
      <c r="K55" s="18">
        <f t="shared" si="5"/>
        <v>670689.51017448888</v>
      </c>
      <c r="L55" s="18">
        <f t="shared" si="6"/>
        <v>249536.06084443061</v>
      </c>
    </row>
    <row r="56" spans="1:12" x14ac:dyDescent="0.3">
      <c r="A56">
        <v>51</v>
      </c>
      <c r="B56" s="17">
        <v>46388</v>
      </c>
      <c r="C56" s="18">
        <f t="shared" si="7"/>
        <v>670689.51017448888</v>
      </c>
      <c r="D56" s="18">
        <f t="shared" si="0"/>
        <v>4990.7212168886126</v>
      </c>
      <c r="E56" s="18">
        <f t="shared" si="1"/>
        <v>687.13019326897575</v>
      </c>
      <c r="F56" s="16">
        <f t="shared" si="2"/>
        <v>1.2294157272688693E-2</v>
      </c>
      <c r="G56" s="18">
        <f t="shared" si="3"/>
        <v>4303.5910236196369</v>
      </c>
      <c r="H56" s="16">
        <f t="shared" si="4"/>
        <v>7.6999999999999999E-2</v>
      </c>
      <c r="I56" s="18">
        <f t="shared" si="8"/>
        <v>29997.620018780042</v>
      </c>
      <c r="J56" s="18">
        <f t="shared" si="9"/>
        <v>224529.16204253919</v>
      </c>
      <c r="K56" s="18">
        <f t="shared" si="5"/>
        <v>670002.37998121988</v>
      </c>
      <c r="L56" s="18">
        <f t="shared" si="6"/>
        <v>254526.78206131922</v>
      </c>
    </row>
    <row r="57" spans="1:12" x14ac:dyDescent="0.3">
      <c r="A57">
        <v>52</v>
      </c>
      <c r="B57" s="17">
        <v>46419</v>
      </c>
      <c r="C57" s="18">
        <f t="shared" si="7"/>
        <v>670002.37998121988</v>
      </c>
      <c r="D57" s="18">
        <f t="shared" si="0"/>
        <v>4990.7212168886126</v>
      </c>
      <c r="E57" s="18">
        <f t="shared" si="1"/>
        <v>691.53927867578477</v>
      </c>
      <c r="F57" s="16">
        <f t="shared" si="2"/>
        <v>1.2385734128798204E-2</v>
      </c>
      <c r="G57" s="18">
        <f t="shared" si="3"/>
        <v>4299.1819382128278</v>
      </c>
      <c r="H57" s="16">
        <f t="shared" si="4"/>
        <v>7.6999999999999999E-2</v>
      </c>
      <c r="I57" s="18">
        <f t="shared" si="8"/>
        <v>30689.159297455826</v>
      </c>
      <c r="J57" s="18">
        <f t="shared" si="9"/>
        <v>228828.34398075202</v>
      </c>
      <c r="K57" s="18">
        <f t="shared" si="5"/>
        <v>669310.84070254408</v>
      </c>
      <c r="L57" s="18">
        <f t="shared" si="6"/>
        <v>259517.50327820785</v>
      </c>
    </row>
    <row r="58" spans="1:12" x14ac:dyDescent="0.3">
      <c r="A58">
        <v>53</v>
      </c>
      <c r="B58" s="17">
        <v>46447</v>
      </c>
      <c r="C58" s="18">
        <f t="shared" si="7"/>
        <v>669310.84070254408</v>
      </c>
      <c r="D58" s="18">
        <f t="shared" si="0"/>
        <v>4990.7212168886126</v>
      </c>
      <c r="E58" s="18">
        <f t="shared" si="1"/>
        <v>695.97665571395464</v>
      </c>
      <c r="F58" s="16">
        <f t="shared" si="2"/>
        <v>1.2478088446619285E-2</v>
      </c>
      <c r="G58" s="18">
        <f t="shared" si="3"/>
        <v>4294.744561174658</v>
      </c>
      <c r="H58" s="16">
        <f t="shared" si="4"/>
        <v>7.6999999999999999E-2</v>
      </c>
      <c r="I58" s="18">
        <f t="shared" si="8"/>
        <v>31385.135953169782</v>
      </c>
      <c r="J58" s="18">
        <f t="shared" si="9"/>
        <v>233123.08854192667</v>
      </c>
      <c r="K58" s="18">
        <f t="shared" si="5"/>
        <v>668614.8640468301</v>
      </c>
      <c r="L58" s="18">
        <f t="shared" si="6"/>
        <v>264508.22449509648</v>
      </c>
    </row>
    <row r="59" spans="1:12" x14ac:dyDescent="0.3">
      <c r="A59">
        <v>54</v>
      </c>
      <c r="B59" s="17">
        <v>46478</v>
      </c>
      <c r="C59" s="18">
        <f t="shared" si="7"/>
        <v>668614.8640468301</v>
      </c>
      <c r="D59" s="18">
        <f t="shared" si="0"/>
        <v>4990.7212168886126</v>
      </c>
      <c r="E59" s="18">
        <f t="shared" si="1"/>
        <v>700.44250592145272</v>
      </c>
      <c r="F59" s="16">
        <f t="shared" si="2"/>
        <v>1.2571228255656489E-2</v>
      </c>
      <c r="G59" s="18">
        <f t="shared" si="3"/>
        <v>4290.2787109671599</v>
      </c>
      <c r="H59" s="16">
        <f t="shared" si="4"/>
        <v>7.6999999999999999E-2</v>
      </c>
      <c r="I59" s="18">
        <f t="shared" si="8"/>
        <v>32085.578459091234</v>
      </c>
      <c r="J59" s="18">
        <f t="shared" si="9"/>
        <v>237413.36725289383</v>
      </c>
      <c r="K59" s="18">
        <f t="shared" si="5"/>
        <v>667914.42154090863</v>
      </c>
      <c r="L59" s="18">
        <f t="shared" si="6"/>
        <v>269498.94571198506</v>
      </c>
    </row>
    <row r="60" spans="1:12" x14ac:dyDescent="0.3">
      <c r="A60">
        <v>55</v>
      </c>
      <c r="B60" s="17">
        <v>46508</v>
      </c>
      <c r="C60" s="18">
        <f t="shared" si="7"/>
        <v>667914.42154090863</v>
      </c>
      <c r="D60" s="18">
        <f t="shared" si="0"/>
        <v>4990.7212168886126</v>
      </c>
      <c r="E60" s="18">
        <f t="shared" si="1"/>
        <v>704.93701200111536</v>
      </c>
      <c r="F60" s="16">
        <f t="shared" si="2"/>
        <v>1.2665161690172115E-2</v>
      </c>
      <c r="G60" s="18">
        <f t="shared" si="3"/>
        <v>4285.7842048874973</v>
      </c>
      <c r="H60" s="16">
        <f t="shared" si="4"/>
        <v>7.6999999999999999E-2</v>
      </c>
      <c r="I60" s="18">
        <f t="shared" si="8"/>
        <v>32790.515471092353</v>
      </c>
      <c r="J60" s="18">
        <f t="shared" si="9"/>
        <v>241699.15145778132</v>
      </c>
      <c r="K60" s="18">
        <f t="shared" si="5"/>
        <v>667209.48452890757</v>
      </c>
      <c r="L60" s="18">
        <f t="shared" si="6"/>
        <v>274489.66692887369</v>
      </c>
    </row>
    <row r="61" spans="1:12" x14ac:dyDescent="0.3">
      <c r="A61">
        <v>56</v>
      </c>
      <c r="B61" s="17">
        <v>46539</v>
      </c>
      <c r="C61" s="18">
        <f t="shared" si="7"/>
        <v>667209.48452890757</v>
      </c>
      <c r="D61" s="18">
        <f t="shared" si="0"/>
        <v>4990.7212168886126</v>
      </c>
      <c r="E61" s="18">
        <f t="shared" si="1"/>
        <v>709.46035782812214</v>
      </c>
      <c r="F61" s="16">
        <f t="shared" si="2"/>
        <v>1.2759896990895679E-2</v>
      </c>
      <c r="G61" s="18">
        <f t="shared" si="3"/>
        <v>4281.2608590604905</v>
      </c>
      <c r="H61" s="16">
        <f t="shared" si="4"/>
        <v>7.6999999999999999E-2</v>
      </c>
      <c r="I61" s="18">
        <f t="shared" si="8"/>
        <v>33499.975828920476</v>
      </c>
      <c r="J61" s="18">
        <f t="shared" si="9"/>
        <v>245980.4123168418</v>
      </c>
      <c r="K61" s="18">
        <f t="shared" si="5"/>
        <v>666500.02417107951</v>
      </c>
      <c r="L61" s="18">
        <f t="shared" si="6"/>
        <v>279480.38814576226</v>
      </c>
    </row>
    <row r="62" spans="1:12" x14ac:dyDescent="0.3">
      <c r="A62">
        <v>57</v>
      </c>
      <c r="B62" s="17">
        <v>46569</v>
      </c>
      <c r="C62" s="18">
        <f t="shared" si="7"/>
        <v>666500.02417107951</v>
      </c>
      <c r="D62" s="18">
        <f t="shared" si="0"/>
        <v>4990.7212168886126</v>
      </c>
      <c r="E62" s="18">
        <f t="shared" si="1"/>
        <v>714.01272845751919</v>
      </c>
      <c r="F62" s="16">
        <f t="shared" si="2"/>
        <v>1.2855442506767152E-2</v>
      </c>
      <c r="G62" s="18">
        <f t="shared" si="3"/>
        <v>4276.7084884310934</v>
      </c>
      <c r="H62" s="16">
        <f t="shared" si="4"/>
        <v>7.6999999999999999E-2</v>
      </c>
      <c r="I62" s="18">
        <f t="shared" si="8"/>
        <v>34213.988557377997</v>
      </c>
      <c r="J62" s="18">
        <f t="shared" si="9"/>
        <v>250257.12080527289</v>
      </c>
      <c r="K62" s="18">
        <f t="shared" si="5"/>
        <v>665786.01144262194</v>
      </c>
      <c r="L62" s="18">
        <f t="shared" si="6"/>
        <v>284471.1093626509</v>
      </c>
    </row>
    <row r="63" spans="1:12" x14ac:dyDescent="0.3">
      <c r="A63">
        <v>58</v>
      </c>
      <c r="B63" s="17">
        <v>46600</v>
      </c>
      <c r="C63" s="18">
        <f t="shared" si="7"/>
        <v>665786.01144262194</v>
      </c>
      <c r="D63" s="18">
        <f t="shared" si="0"/>
        <v>4990.7212168886126</v>
      </c>
      <c r="E63" s="18">
        <f t="shared" si="1"/>
        <v>718.59431013178801</v>
      </c>
      <c r="F63" s="16">
        <f t="shared" si="2"/>
        <v>1.2951806696714604E-2</v>
      </c>
      <c r="G63" s="18">
        <f t="shared" si="3"/>
        <v>4272.1269067568246</v>
      </c>
      <c r="H63" s="16">
        <f t="shared" si="4"/>
        <v>7.7000000000000013E-2</v>
      </c>
      <c r="I63" s="18">
        <f t="shared" si="8"/>
        <v>34932.582867509787</v>
      </c>
      <c r="J63" s="18">
        <f t="shared" si="9"/>
        <v>254529.24771202973</v>
      </c>
      <c r="K63" s="18">
        <f t="shared" si="5"/>
        <v>665067.4171324902</v>
      </c>
      <c r="L63" s="18">
        <f t="shared" si="6"/>
        <v>289461.83057953953</v>
      </c>
    </row>
    <row r="64" spans="1:12" x14ac:dyDescent="0.3">
      <c r="A64">
        <v>59</v>
      </c>
      <c r="B64" s="17">
        <v>46631</v>
      </c>
      <c r="C64" s="18">
        <f t="shared" si="7"/>
        <v>665067.4171324902</v>
      </c>
      <c r="D64" s="18">
        <f t="shared" si="0"/>
        <v>4990.7212168886126</v>
      </c>
      <c r="E64" s="18">
        <f t="shared" si="1"/>
        <v>723.20529028846704</v>
      </c>
      <c r="F64" s="16">
        <f t="shared" si="2"/>
        <v>1.3048998131467234E-2</v>
      </c>
      <c r="G64" s="18">
        <f t="shared" si="3"/>
        <v>4267.5159266001456</v>
      </c>
      <c r="H64" s="16">
        <f t="shared" si="4"/>
        <v>7.6999999999999999E-2</v>
      </c>
      <c r="I64" s="18">
        <f t="shared" si="8"/>
        <v>35655.788157798255</v>
      </c>
      <c r="J64" s="18">
        <f t="shared" si="9"/>
        <v>258796.76363862987</v>
      </c>
      <c r="K64" s="18">
        <f t="shared" si="5"/>
        <v>664344.21184220177</v>
      </c>
      <c r="L64" s="18">
        <f t="shared" si="6"/>
        <v>294452.5517964281</v>
      </c>
    </row>
    <row r="65" spans="1:12" x14ac:dyDescent="0.3">
      <c r="A65">
        <v>60</v>
      </c>
      <c r="B65" s="17">
        <v>46661</v>
      </c>
      <c r="C65" s="18">
        <f t="shared" si="7"/>
        <v>664344.21184220177</v>
      </c>
      <c r="D65" s="18">
        <f t="shared" si="0"/>
        <v>4990.7212168886126</v>
      </c>
      <c r="E65" s="18">
        <f t="shared" si="1"/>
        <v>727.8458575678178</v>
      </c>
      <c r="F65" s="16">
        <f t="shared" si="2"/>
        <v>1.3147025495404467E-2</v>
      </c>
      <c r="G65" s="18">
        <f t="shared" si="3"/>
        <v>4262.8753593207948</v>
      </c>
      <c r="H65" s="16">
        <f t="shared" si="4"/>
        <v>7.6999999999999999E-2</v>
      </c>
      <c r="I65" s="18">
        <f t="shared" si="8"/>
        <v>36383.634015366071</v>
      </c>
      <c r="J65" s="18">
        <f t="shared" si="9"/>
        <v>263059.63899795065</v>
      </c>
      <c r="K65" s="18">
        <f t="shared" si="5"/>
        <v>663616.36598463391</v>
      </c>
      <c r="L65" s="18">
        <f t="shared" si="6"/>
        <v>299443.27301331674</v>
      </c>
    </row>
    <row r="66" spans="1:12" x14ac:dyDescent="0.3">
      <c r="A66">
        <v>61</v>
      </c>
      <c r="B66" s="17">
        <v>46692</v>
      </c>
      <c r="C66" s="18">
        <f t="shared" si="7"/>
        <v>663616.36598463391</v>
      </c>
      <c r="D66" s="18">
        <f t="shared" si="0"/>
        <v>4990.7212168886126</v>
      </c>
      <c r="E66" s="18">
        <f t="shared" si="1"/>
        <v>732.51620182054467</v>
      </c>
      <c r="F66" s="16">
        <f t="shared" si="2"/>
        <v>1.3245897588442045E-2</v>
      </c>
      <c r="G66" s="18">
        <f t="shared" si="3"/>
        <v>4258.205015068068</v>
      </c>
      <c r="H66" s="16">
        <f t="shared" si="4"/>
        <v>7.6999999999999999E-2</v>
      </c>
      <c r="I66" s="18">
        <f t="shared" si="8"/>
        <v>37116.150217186616</v>
      </c>
      <c r="J66" s="18">
        <f t="shared" si="9"/>
        <v>267317.84401301871</v>
      </c>
      <c r="K66" s="18">
        <f t="shared" si="5"/>
        <v>662883.84978281334</v>
      </c>
      <c r="L66" s="18">
        <f t="shared" si="6"/>
        <v>304433.99423020531</v>
      </c>
    </row>
    <row r="67" spans="1:12" x14ac:dyDescent="0.3">
      <c r="A67">
        <v>62</v>
      </c>
      <c r="B67" s="17">
        <v>46722</v>
      </c>
      <c r="C67" s="18">
        <f t="shared" si="7"/>
        <v>662883.84978281334</v>
      </c>
      <c r="D67" s="18">
        <f t="shared" si="0"/>
        <v>4990.7212168886126</v>
      </c>
      <c r="E67" s="18">
        <f t="shared" si="1"/>
        <v>737.21651411556013</v>
      </c>
      <c r="F67" s="16">
        <f t="shared" si="2"/>
        <v>1.3345623327955889E-2</v>
      </c>
      <c r="G67" s="18">
        <f t="shared" si="3"/>
        <v>4253.5047027730525</v>
      </c>
      <c r="H67" s="16">
        <f t="shared" si="4"/>
        <v>7.6999999999999999E-2</v>
      </c>
      <c r="I67" s="18">
        <f t="shared" si="8"/>
        <v>37853.366731302172</v>
      </c>
      <c r="J67" s="18">
        <f t="shared" si="9"/>
        <v>271571.34871579177</v>
      </c>
      <c r="K67" s="18">
        <f t="shared" si="5"/>
        <v>662146.63326869777</v>
      </c>
      <c r="L67" s="18">
        <f t="shared" si="6"/>
        <v>309424.71544709394</v>
      </c>
    </row>
    <row r="68" spans="1:12" x14ac:dyDescent="0.3">
      <c r="A68">
        <v>63</v>
      </c>
      <c r="B68" s="17">
        <v>46753</v>
      </c>
      <c r="C68" s="18">
        <f t="shared" si="7"/>
        <v>662146.63326869777</v>
      </c>
      <c r="D68" s="18">
        <f t="shared" si="0"/>
        <v>4990.7212168886126</v>
      </c>
      <c r="E68" s="18">
        <f t="shared" si="1"/>
        <v>741.94698674780193</v>
      </c>
      <c r="F68" s="16">
        <f t="shared" si="2"/>
        <v>1.3446211750744726E-2</v>
      </c>
      <c r="G68" s="18">
        <f t="shared" si="3"/>
        <v>4248.7742301408107</v>
      </c>
      <c r="H68" s="16">
        <f t="shared" si="4"/>
        <v>7.6999999999999999E-2</v>
      </c>
      <c r="I68" s="18">
        <f t="shared" si="8"/>
        <v>38595.313718049976</v>
      </c>
      <c r="J68" s="18">
        <f t="shared" si="9"/>
        <v>275820.12294593256</v>
      </c>
      <c r="K68" s="18">
        <f t="shared" si="5"/>
        <v>661404.68628194998</v>
      </c>
      <c r="L68" s="18">
        <f t="shared" si="6"/>
        <v>314415.43666398252</v>
      </c>
    </row>
    <row r="69" spans="1:12" x14ac:dyDescent="0.3">
      <c r="A69">
        <v>64</v>
      </c>
      <c r="B69" s="17">
        <v>46784</v>
      </c>
      <c r="C69" s="18">
        <f t="shared" si="7"/>
        <v>661404.68628194998</v>
      </c>
      <c r="D69" s="18">
        <f t="shared" si="0"/>
        <v>4990.7212168886126</v>
      </c>
      <c r="E69" s="18">
        <f t="shared" si="1"/>
        <v>746.70781324610016</v>
      </c>
      <c r="F69" s="16">
        <f t="shared" si="2"/>
        <v>1.3547672015032316E-2</v>
      </c>
      <c r="G69" s="18">
        <f t="shared" si="3"/>
        <v>4244.0134036425125</v>
      </c>
      <c r="H69" s="16">
        <f t="shared" si="4"/>
        <v>7.6999999999999999E-2</v>
      </c>
      <c r="I69" s="18">
        <f t="shared" si="8"/>
        <v>39342.021531296079</v>
      </c>
      <c r="J69" s="18">
        <f t="shared" si="9"/>
        <v>280064.13634957507</v>
      </c>
      <c r="K69" s="18">
        <f t="shared" si="5"/>
        <v>660657.97846870392</v>
      </c>
      <c r="L69" s="18">
        <f t="shared" si="6"/>
        <v>319406.15788087115</v>
      </c>
    </row>
    <row r="70" spans="1:12" x14ac:dyDescent="0.3">
      <c r="A70">
        <v>65</v>
      </c>
      <c r="B70" s="17">
        <v>46813</v>
      </c>
      <c r="C70" s="18">
        <f t="shared" si="7"/>
        <v>660657.97846870392</v>
      </c>
      <c r="D70" s="18">
        <f t="shared" si="0"/>
        <v>4990.7212168886126</v>
      </c>
      <c r="E70" s="18">
        <f t="shared" si="1"/>
        <v>751.49918838109534</v>
      </c>
      <c r="F70" s="16">
        <f t="shared" si="2"/>
        <v>1.365001340251026E-2</v>
      </c>
      <c r="G70" s="18">
        <f t="shared" si="3"/>
        <v>4239.2220285075173</v>
      </c>
      <c r="H70" s="16">
        <f t="shared" si="4"/>
        <v>7.7000000000000013E-2</v>
      </c>
      <c r="I70" s="18">
        <f t="shared" si="8"/>
        <v>40093.520719677173</v>
      </c>
      <c r="J70" s="18">
        <f t="shared" si="9"/>
        <v>284303.35837808257</v>
      </c>
      <c r="K70" s="18">
        <f t="shared" si="5"/>
        <v>659906.47928032279</v>
      </c>
      <c r="L70" s="18">
        <f t="shared" si="6"/>
        <v>324396.87909775972</v>
      </c>
    </row>
    <row r="71" spans="1:12" x14ac:dyDescent="0.3">
      <c r="A71">
        <v>66</v>
      </c>
      <c r="B71" s="17">
        <v>46844</v>
      </c>
      <c r="C71" s="18">
        <f t="shared" si="7"/>
        <v>659906.47928032279</v>
      </c>
      <c r="D71" s="18">
        <f t="shared" ref="D71:D134" si="10">$C$6/((($E$2)-1)/($E$1*$E$2))</f>
        <v>4990.7212168886126</v>
      </c>
      <c r="E71" s="18">
        <f t="shared" ref="E71:E134" si="11">D71-G71</f>
        <v>756.32130817320831</v>
      </c>
      <c r="F71" s="16">
        <f t="shared" ref="F71:F134" si="12">(E71/C71)*12</f>
        <v>1.3753245320422366E-2</v>
      </c>
      <c r="G71" s="18">
        <f t="shared" ref="G71:G134" si="13">C71*($B$1/12)</f>
        <v>4234.3999087154043</v>
      </c>
      <c r="H71" s="16">
        <f t="shared" ref="H71:H134" si="14">(G71/C71)*12</f>
        <v>7.6999999999999985E-2</v>
      </c>
      <c r="I71" s="18">
        <f t="shared" si="8"/>
        <v>40849.842027850384</v>
      </c>
      <c r="J71" s="18">
        <f t="shared" si="9"/>
        <v>288537.75828679797</v>
      </c>
      <c r="K71" s="18">
        <f t="shared" ref="K71:K134" si="15">C71-E71</f>
        <v>659150.15797214955</v>
      </c>
      <c r="L71" s="18">
        <f t="shared" ref="L71:L134" si="16">I71+J71</f>
        <v>329387.60031464836</v>
      </c>
    </row>
    <row r="72" spans="1:12" x14ac:dyDescent="0.3">
      <c r="A72">
        <v>67</v>
      </c>
      <c r="B72" s="17">
        <v>46874</v>
      </c>
      <c r="C72" s="18">
        <f t="shared" ref="C72:C135" si="17">K71</f>
        <v>659150.15797214955</v>
      </c>
      <c r="D72" s="18">
        <f t="shared" si="10"/>
        <v>4990.7212168886126</v>
      </c>
      <c r="E72" s="18">
        <f t="shared" si="11"/>
        <v>761.17436990065289</v>
      </c>
      <c r="F72" s="16">
        <f t="shared" si="12"/>
        <v>1.3857377303691352E-2</v>
      </c>
      <c r="G72" s="18">
        <f t="shared" si="13"/>
        <v>4229.5468469879597</v>
      </c>
      <c r="H72" s="16">
        <f t="shared" si="14"/>
        <v>7.6999999999999999E-2</v>
      </c>
      <c r="I72" s="18">
        <f t="shared" ref="I72:I135" si="18">I71+E72</f>
        <v>41611.016397751038</v>
      </c>
      <c r="J72" s="18">
        <f t="shared" ref="J72:J135" si="19">J71+G72</f>
        <v>292767.30513378594</v>
      </c>
      <c r="K72" s="18">
        <f t="shared" si="15"/>
        <v>658388.98360224895</v>
      </c>
      <c r="L72" s="18">
        <f t="shared" si="16"/>
        <v>334378.32153153699</v>
      </c>
    </row>
    <row r="73" spans="1:12" x14ac:dyDescent="0.3">
      <c r="A73">
        <v>68</v>
      </c>
      <c r="B73" s="17">
        <v>46905</v>
      </c>
      <c r="C73" s="18">
        <f t="shared" si="17"/>
        <v>658388.98360224895</v>
      </c>
      <c r="D73" s="18">
        <f t="shared" si="10"/>
        <v>4990.7212168886126</v>
      </c>
      <c r="E73" s="18">
        <f t="shared" si="11"/>
        <v>766.05857210751492</v>
      </c>
      <c r="F73" s="16">
        <f t="shared" si="12"/>
        <v>1.3962419017089365E-2</v>
      </c>
      <c r="G73" s="18">
        <f t="shared" si="13"/>
        <v>4224.6626447810977</v>
      </c>
      <c r="H73" s="16">
        <f t="shared" si="14"/>
        <v>7.6999999999999999E-2</v>
      </c>
      <c r="I73" s="18">
        <f t="shared" si="18"/>
        <v>42377.074969858557</v>
      </c>
      <c r="J73" s="18">
        <f t="shared" si="19"/>
        <v>296991.96777856705</v>
      </c>
      <c r="K73" s="18">
        <f t="shared" si="15"/>
        <v>657622.92503014149</v>
      </c>
      <c r="L73" s="18">
        <f t="shared" si="16"/>
        <v>339369.04274842562</v>
      </c>
    </row>
    <row r="74" spans="1:12" x14ac:dyDescent="0.3">
      <c r="A74">
        <v>69</v>
      </c>
      <c r="B74" s="17">
        <v>46935</v>
      </c>
      <c r="C74" s="18">
        <f t="shared" si="17"/>
        <v>657622.92503014149</v>
      </c>
      <c r="D74" s="18">
        <f t="shared" si="10"/>
        <v>4990.7212168886126</v>
      </c>
      <c r="E74" s="18">
        <f t="shared" si="11"/>
        <v>770.9741146118713</v>
      </c>
      <c r="F74" s="16">
        <f t="shared" si="12"/>
        <v>1.4068380257452877E-2</v>
      </c>
      <c r="G74" s="18">
        <f t="shared" si="13"/>
        <v>4219.7471022767413</v>
      </c>
      <c r="H74" s="16">
        <f t="shared" si="14"/>
        <v>7.6999999999999999E-2</v>
      </c>
      <c r="I74" s="18">
        <f t="shared" si="18"/>
        <v>43148.049084470425</v>
      </c>
      <c r="J74" s="18">
        <f t="shared" si="19"/>
        <v>301211.71488084376</v>
      </c>
      <c r="K74" s="18">
        <f t="shared" si="15"/>
        <v>656851.95091552963</v>
      </c>
      <c r="L74" s="18">
        <f t="shared" si="16"/>
        <v>344359.7639653142</v>
      </c>
    </row>
    <row r="75" spans="1:12" x14ac:dyDescent="0.3">
      <c r="A75">
        <v>70</v>
      </c>
      <c r="B75" s="17">
        <v>46966</v>
      </c>
      <c r="C75" s="18">
        <f t="shared" si="17"/>
        <v>656851.95091552963</v>
      </c>
      <c r="D75" s="18">
        <f t="shared" si="10"/>
        <v>4990.7212168886126</v>
      </c>
      <c r="E75" s="18">
        <f t="shared" si="11"/>
        <v>775.92119851396365</v>
      </c>
      <c r="F75" s="16">
        <f t="shared" si="12"/>
        <v>1.4175270955943241E-2</v>
      </c>
      <c r="G75" s="18">
        <f t="shared" si="13"/>
        <v>4214.800018374649</v>
      </c>
      <c r="H75" s="16">
        <f t="shared" si="14"/>
        <v>7.7000000000000013E-2</v>
      </c>
      <c r="I75" s="18">
        <f t="shared" si="18"/>
        <v>43923.970282984388</v>
      </c>
      <c r="J75" s="18">
        <f t="shared" si="19"/>
        <v>305426.5148992184</v>
      </c>
      <c r="K75" s="18">
        <f t="shared" si="15"/>
        <v>656076.02971701568</v>
      </c>
      <c r="L75" s="18">
        <f t="shared" si="16"/>
        <v>349350.48518220277</v>
      </c>
    </row>
    <row r="76" spans="1:12" x14ac:dyDescent="0.3">
      <c r="A76">
        <v>71</v>
      </c>
      <c r="B76" s="17">
        <v>46997</v>
      </c>
      <c r="C76" s="18">
        <f t="shared" si="17"/>
        <v>656076.02971701568</v>
      </c>
      <c r="D76" s="18">
        <f t="shared" si="10"/>
        <v>4990.7212168886126</v>
      </c>
      <c r="E76" s="18">
        <f t="shared" si="11"/>
        <v>780.90002620442829</v>
      </c>
      <c r="F76" s="16">
        <f t="shared" si="12"/>
        <v>1.4283101180354103E-2</v>
      </c>
      <c r="G76" s="18">
        <f t="shared" si="13"/>
        <v>4209.8211906841843</v>
      </c>
      <c r="H76" s="16">
        <f t="shared" si="14"/>
        <v>7.6999999999999999E-2</v>
      </c>
      <c r="I76" s="18">
        <f t="shared" si="18"/>
        <v>44704.870309188816</v>
      </c>
      <c r="J76" s="18">
        <f t="shared" si="19"/>
        <v>309636.33608990256</v>
      </c>
      <c r="K76" s="18">
        <f t="shared" si="15"/>
        <v>655295.12969081127</v>
      </c>
      <c r="L76" s="18">
        <f t="shared" si="16"/>
        <v>354341.2063990914</v>
      </c>
    </row>
    <row r="77" spans="1:12" x14ac:dyDescent="0.3">
      <c r="A77">
        <v>72</v>
      </c>
      <c r="B77" s="17">
        <v>47027</v>
      </c>
      <c r="C77" s="18">
        <f t="shared" si="17"/>
        <v>655295.12969081127</v>
      </c>
      <c r="D77" s="18">
        <f t="shared" si="10"/>
        <v>4990.7212168886126</v>
      </c>
      <c r="E77" s="18">
        <f t="shared" si="11"/>
        <v>785.91080137257359</v>
      </c>
      <c r="F77" s="16">
        <f t="shared" si="12"/>
        <v>1.4391881137466551E-2</v>
      </c>
      <c r="G77" s="18">
        <f t="shared" si="13"/>
        <v>4204.810415516039</v>
      </c>
      <c r="H77" s="16">
        <f t="shared" si="14"/>
        <v>7.6999999999999999E-2</v>
      </c>
      <c r="I77" s="18">
        <f t="shared" si="18"/>
        <v>45490.781110561387</v>
      </c>
      <c r="J77" s="18">
        <f t="shared" si="19"/>
        <v>313841.14650541858</v>
      </c>
      <c r="K77" s="18">
        <f t="shared" si="15"/>
        <v>654509.21888943866</v>
      </c>
      <c r="L77" s="18">
        <f t="shared" si="16"/>
        <v>359331.92761597998</v>
      </c>
    </row>
    <row r="78" spans="1:12" x14ac:dyDescent="0.3">
      <c r="A78">
        <v>73</v>
      </c>
      <c r="B78" s="17">
        <v>47058</v>
      </c>
      <c r="C78" s="18">
        <f t="shared" si="17"/>
        <v>654509.21888943866</v>
      </c>
      <c r="D78" s="18">
        <f t="shared" si="10"/>
        <v>4990.7212168886126</v>
      </c>
      <c r="E78" s="18">
        <f t="shared" si="11"/>
        <v>790.95372901471455</v>
      </c>
      <c r="F78" s="16">
        <f t="shared" si="12"/>
        <v>1.4501621175453439E-2</v>
      </c>
      <c r="G78" s="18">
        <f t="shared" si="13"/>
        <v>4199.7674878738981</v>
      </c>
      <c r="H78" s="16">
        <f t="shared" si="14"/>
        <v>7.6999999999999999E-2</v>
      </c>
      <c r="I78" s="18">
        <f t="shared" si="18"/>
        <v>46281.7348395761</v>
      </c>
      <c r="J78" s="18">
        <f t="shared" si="19"/>
        <v>318040.91399329249</v>
      </c>
      <c r="K78" s="18">
        <f t="shared" si="15"/>
        <v>653718.26516042394</v>
      </c>
      <c r="L78" s="18">
        <f t="shared" si="16"/>
        <v>364322.64883286861</v>
      </c>
    </row>
    <row r="79" spans="1:12" x14ac:dyDescent="0.3">
      <c r="A79">
        <v>74</v>
      </c>
      <c r="B79" s="17">
        <v>47088</v>
      </c>
      <c r="C79" s="18">
        <f t="shared" si="17"/>
        <v>653718.26516042394</v>
      </c>
      <c r="D79" s="18">
        <f t="shared" si="10"/>
        <v>4990.7212168886126</v>
      </c>
      <c r="E79" s="18">
        <f t="shared" si="11"/>
        <v>796.02901544255928</v>
      </c>
      <c r="F79" s="16">
        <f t="shared" si="12"/>
        <v>1.4612331786333893E-2</v>
      </c>
      <c r="G79" s="18">
        <f t="shared" si="13"/>
        <v>4194.6922014460533</v>
      </c>
      <c r="H79" s="16">
        <f t="shared" si="14"/>
        <v>7.6999999999999985E-2</v>
      </c>
      <c r="I79" s="18">
        <f t="shared" si="18"/>
        <v>47077.76385501866</v>
      </c>
      <c r="J79" s="18">
        <f t="shared" si="19"/>
        <v>322235.60619473853</v>
      </c>
      <c r="K79" s="18">
        <f t="shared" si="15"/>
        <v>652922.23614498135</v>
      </c>
      <c r="L79" s="18">
        <f t="shared" si="16"/>
        <v>369313.37004975718</v>
      </c>
    </row>
    <row r="80" spans="1:12" x14ac:dyDescent="0.3">
      <c r="A80">
        <v>75</v>
      </c>
      <c r="B80" s="17">
        <v>47119</v>
      </c>
      <c r="C80" s="18">
        <f t="shared" si="17"/>
        <v>652922.23614498135</v>
      </c>
      <c r="D80" s="18">
        <f t="shared" si="10"/>
        <v>4990.7212168886126</v>
      </c>
      <c r="E80" s="18">
        <f t="shared" si="11"/>
        <v>801.13686829164908</v>
      </c>
      <c r="F80" s="16">
        <f t="shared" si="12"/>
        <v>1.472402360847928E-2</v>
      </c>
      <c r="G80" s="18">
        <f t="shared" si="13"/>
        <v>4189.5843485969635</v>
      </c>
      <c r="H80" s="16">
        <f t="shared" si="14"/>
        <v>7.6999999999999999E-2</v>
      </c>
      <c r="I80" s="18">
        <f t="shared" si="18"/>
        <v>47878.900723310311</v>
      </c>
      <c r="J80" s="18">
        <f t="shared" si="19"/>
        <v>326425.19054333551</v>
      </c>
      <c r="K80" s="18">
        <f t="shared" si="15"/>
        <v>652121.0992766897</v>
      </c>
      <c r="L80" s="18">
        <f t="shared" si="16"/>
        <v>374304.09126664582</v>
      </c>
    </row>
    <row r="81" spans="1:12" x14ac:dyDescent="0.3">
      <c r="A81">
        <v>76</v>
      </c>
      <c r="B81" s="17">
        <v>47150</v>
      </c>
      <c r="C81" s="18">
        <f t="shared" si="17"/>
        <v>652121.0992766897</v>
      </c>
      <c r="D81" s="18">
        <f t="shared" si="10"/>
        <v>4990.7212168886126</v>
      </c>
      <c r="E81" s="18">
        <f t="shared" si="11"/>
        <v>806.27749652985403</v>
      </c>
      <c r="F81" s="16">
        <f t="shared" si="12"/>
        <v>1.4836707429171963E-2</v>
      </c>
      <c r="G81" s="18">
        <f t="shared" si="13"/>
        <v>4184.4437203587586</v>
      </c>
      <c r="H81" s="16">
        <f t="shared" si="14"/>
        <v>7.6999999999999985E-2</v>
      </c>
      <c r="I81" s="18">
        <f t="shared" si="18"/>
        <v>48685.178219840163</v>
      </c>
      <c r="J81" s="18">
        <f t="shared" si="19"/>
        <v>330609.63426369429</v>
      </c>
      <c r="K81" s="18">
        <f t="shared" si="15"/>
        <v>651314.82178015984</v>
      </c>
      <c r="L81" s="18">
        <f t="shared" si="16"/>
        <v>379294.81248353445</v>
      </c>
    </row>
    <row r="82" spans="1:12" x14ac:dyDescent="0.3">
      <c r="A82">
        <v>77</v>
      </c>
      <c r="B82" s="17">
        <v>47178</v>
      </c>
      <c r="C82" s="18">
        <f t="shared" si="17"/>
        <v>651314.82178015984</v>
      </c>
      <c r="D82" s="18">
        <f t="shared" si="10"/>
        <v>4990.7212168886126</v>
      </c>
      <c r="E82" s="18">
        <f t="shared" si="11"/>
        <v>811.45111046592046</v>
      </c>
      <c r="F82" s="16">
        <f t="shared" si="12"/>
        <v>1.4950394187218026E-2</v>
      </c>
      <c r="G82" s="18">
        <f t="shared" si="13"/>
        <v>4179.2701064226922</v>
      </c>
      <c r="H82" s="16">
        <f t="shared" si="14"/>
        <v>7.6999999999999999E-2</v>
      </c>
      <c r="I82" s="18">
        <f t="shared" si="18"/>
        <v>49496.629330306081</v>
      </c>
      <c r="J82" s="18">
        <f t="shared" si="19"/>
        <v>334788.904370117</v>
      </c>
      <c r="K82" s="18">
        <f t="shared" si="15"/>
        <v>650503.37066969392</v>
      </c>
      <c r="L82" s="18">
        <f t="shared" si="16"/>
        <v>384285.53370042308</v>
      </c>
    </row>
    <row r="83" spans="1:12" x14ac:dyDescent="0.3">
      <c r="A83">
        <v>78</v>
      </c>
      <c r="B83" s="17">
        <v>47209</v>
      </c>
      <c r="C83" s="18">
        <f t="shared" si="17"/>
        <v>650503.37066969392</v>
      </c>
      <c r="D83" s="18">
        <f t="shared" si="10"/>
        <v>4990.7212168886126</v>
      </c>
      <c r="E83" s="18">
        <f t="shared" si="11"/>
        <v>816.65792175807655</v>
      </c>
      <c r="F83" s="16">
        <f t="shared" si="12"/>
        <v>1.5065094975615447E-2</v>
      </c>
      <c r="G83" s="18">
        <f t="shared" si="13"/>
        <v>4174.0632951305361</v>
      </c>
      <c r="H83" s="16">
        <f t="shared" si="14"/>
        <v>7.6999999999999999E-2</v>
      </c>
      <c r="I83" s="18">
        <f t="shared" si="18"/>
        <v>50313.287252064154</v>
      </c>
      <c r="J83" s="18">
        <f t="shared" si="19"/>
        <v>338962.96766524756</v>
      </c>
      <c r="K83" s="18">
        <f t="shared" si="15"/>
        <v>649686.71274793579</v>
      </c>
      <c r="L83" s="18">
        <f t="shared" si="16"/>
        <v>389276.25491731171</v>
      </c>
    </row>
    <row r="84" spans="1:12" x14ac:dyDescent="0.3">
      <c r="A84">
        <v>79</v>
      </c>
      <c r="B84" s="17">
        <v>47239</v>
      </c>
      <c r="C84" s="18">
        <f t="shared" si="17"/>
        <v>649686.71274793579</v>
      </c>
      <c r="D84" s="18">
        <f t="shared" si="10"/>
        <v>4990.7212168886126</v>
      </c>
      <c r="E84" s="18">
        <f t="shared" si="11"/>
        <v>821.89814342269074</v>
      </c>
      <c r="F84" s="16">
        <f t="shared" si="12"/>
        <v>1.518082104427897E-2</v>
      </c>
      <c r="G84" s="18">
        <f t="shared" si="13"/>
        <v>4168.8230734659219</v>
      </c>
      <c r="H84" s="16">
        <f t="shared" si="14"/>
        <v>7.7000000000000013E-2</v>
      </c>
      <c r="I84" s="18">
        <f t="shared" si="18"/>
        <v>51135.185395486842</v>
      </c>
      <c r="J84" s="18">
        <f t="shared" si="19"/>
        <v>343131.79073871346</v>
      </c>
      <c r="K84" s="18">
        <f t="shared" si="15"/>
        <v>648864.81460451311</v>
      </c>
      <c r="L84" s="18">
        <f t="shared" si="16"/>
        <v>394266.97613420029</v>
      </c>
    </row>
    <row r="85" spans="1:12" x14ac:dyDescent="0.3">
      <c r="A85">
        <v>80</v>
      </c>
      <c r="B85" s="17">
        <v>47270</v>
      </c>
      <c r="C85" s="18">
        <f t="shared" si="17"/>
        <v>648864.81460451311</v>
      </c>
      <c r="D85" s="18">
        <f t="shared" si="10"/>
        <v>4990.7212168886126</v>
      </c>
      <c r="E85" s="18">
        <f t="shared" si="11"/>
        <v>827.17198984298648</v>
      </c>
      <c r="F85" s="16">
        <f t="shared" si="12"/>
        <v>1.5297583802823138E-2</v>
      </c>
      <c r="G85" s="18">
        <f t="shared" si="13"/>
        <v>4163.5492270456261</v>
      </c>
      <c r="H85" s="16">
        <f t="shared" si="14"/>
        <v>7.6999999999999999E-2</v>
      </c>
      <c r="I85" s="18">
        <f t="shared" si="18"/>
        <v>51962.357385329829</v>
      </c>
      <c r="J85" s="18">
        <f t="shared" si="19"/>
        <v>347295.33996575908</v>
      </c>
      <c r="K85" s="18">
        <f t="shared" si="15"/>
        <v>648037.6426146701</v>
      </c>
      <c r="L85" s="18">
        <f t="shared" si="16"/>
        <v>399257.69735108892</v>
      </c>
    </row>
    <row r="86" spans="1:12" x14ac:dyDescent="0.3">
      <c r="A86">
        <v>81</v>
      </c>
      <c r="B86" s="17">
        <v>47300</v>
      </c>
      <c r="C86" s="18">
        <f t="shared" si="17"/>
        <v>648037.6426146701</v>
      </c>
      <c r="D86" s="18">
        <f t="shared" si="10"/>
        <v>4990.7212168886126</v>
      </c>
      <c r="E86" s="18">
        <f t="shared" si="11"/>
        <v>832.47967677781253</v>
      </c>
      <c r="F86" s="16">
        <f t="shared" si="12"/>
        <v>1.5415394823404979E-2</v>
      </c>
      <c r="G86" s="18">
        <f t="shared" si="13"/>
        <v>4158.2415401108001</v>
      </c>
      <c r="H86" s="16">
        <f t="shared" si="14"/>
        <v>7.6999999999999999E-2</v>
      </c>
      <c r="I86" s="18">
        <f t="shared" si="18"/>
        <v>52794.837062107639</v>
      </c>
      <c r="J86" s="18">
        <f t="shared" si="19"/>
        <v>351453.58150586986</v>
      </c>
      <c r="K86" s="18">
        <f t="shared" si="15"/>
        <v>647205.16293789225</v>
      </c>
      <c r="L86" s="18">
        <f t="shared" si="16"/>
        <v>404248.4185679775</v>
      </c>
    </row>
    <row r="87" spans="1:12" x14ac:dyDescent="0.3">
      <c r="A87">
        <v>82</v>
      </c>
      <c r="B87" s="17">
        <v>47331</v>
      </c>
      <c r="C87" s="18">
        <f t="shared" si="17"/>
        <v>647205.16293789225</v>
      </c>
      <c r="D87" s="18">
        <f t="shared" si="10"/>
        <v>4990.7212168886126</v>
      </c>
      <c r="E87" s="18">
        <f t="shared" si="11"/>
        <v>837.82142137047049</v>
      </c>
      <c r="F87" s="16">
        <f t="shared" si="12"/>
        <v>1.553426584362777E-2</v>
      </c>
      <c r="G87" s="18">
        <f t="shared" si="13"/>
        <v>4152.8997955181421</v>
      </c>
      <c r="H87" s="16">
        <f t="shared" si="14"/>
        <v>7.6999999999999999E-2</v>
      </c>
      <c r="I87" s="18">
        <f t="shared" si="18"/>
        <v>53632.65848347811</v>
      </c>
      <c r="J87" s="18">
        <f t="shared" si="19"/>
        <v>355606.481301388</v>
      </c>
      <c r="K87" s="18">
        <f t="shared" si="15"/>
        <v>646367.34151652176</v>
      </c>
      <c r="L87" s="18">
        <f t="shared" si="16"/>
        <v>409239.13978486613</v>
      </c>
    </row>
    <row r="88" spans="1:12" x14ac:dyDescent="0.3">
      <c r="A88">
        <v>83</v>
      </c>
      <c r="B88" s="17">
        <v>47362</v>
      </c>
      <c r="C88" s="18">
        <f t="shared" si="17"/>
        <v>646367.34151652176</v>
      </c>
      <c r="D88" s="18">
        <f t="shared" si="10"/>
        <v>4990.7212168886126</v>
      </c>
      <c r="E88" s="18">
        <f t="shared" si="11"/>
        <v>843.19744215759783</v>
      </c>
      <c r="F88" s="16">
        <f t="shared" si="12"/>
        <v>1.5654208769507485E-2</v>
      </c>
      <c r="G88" s="18">
        <f t="shared" si="13"/>
        <v>4147.5237747310148</v>
      </c>
      <c r="H88" s="16">
        <f t="shared" si="14"/>
        <v>7.6999999999999999E-2</v>
      </c>
      <c r="I88" s="18">
        <f t="shared" si="18"/>
        <v>54475.855925635711</v>
      </c>
      <c r="J88" s="18">
        <f t="shared" si="19"/>
        <v>359754.00507611904</v>
      </c>
      <c r="K88" s="18">
        <f t="shared" si="15"/>
        <v>645524.14407436422</v>
      </c>
      <c r="L88" s="18">
        <f t="shared" si="16"/>
        <v>414229.86100175476</v>
      </c>
    </row>
    <row r="89" spans="1:12" x14ac:dyDescent="0.3">
      <c r="A89">
        <v>84</v>
      </c>
      <c r="B89" s="17">
        <v>47392</v>
      </c>
      <c r="C89" s="18">
        <f t="shared" si="17"/>
        <v>645524.14407436422</v>
      </c>
      <c r="D89" s="18">
        <f t="shared" si="10"/>
        <v>4990.7212168886126</v>
      </c>
      <c r="E89" s="18">
        <f t="shared" si="11"/>
        <v>848.60795907810916</v>
      </c>
      <c r="F89" s="16">
        <f t="shared" si="12"/>
        <v>1.5775235678503446E-2</v>
      </c>
      <c r="G89" s="18">
        <f t="shared" si="13"/>
        <v>4142.1132578105035</v>
      </c>
      <c r="H89" s="16">
        <f t="shared" si="14"/>
        <v>7.6999999999999985E-2</v>
      </c>
      <c r="I89" s="18">
        <f t="shared" si="18"/>
        <v>55324.463884713819</v>
      </c>
      <c r="J89" s="18">
        <f t="shared" si="19"/>
        <v>363896.11833392957</v>
      </c>
      <c r="K89" s="18">
        <f t="shared" si="15"/>
        <v>644675.53611528606</v>
      </c>
      <c r="L89" s="18">
        <f t="shared" si="16"/>
        <v>419220.58221864339</v>
      </c>
    </row>
    <row r="90" spans="1:12" x14ac:dyDescent="0.3">
      <c r="A90">
        <v>85</v>
      </c>
      <c r="B90" s="17">
        <v>47423</v>
      </c>
      <c r="C90" s="18">
        <f t="shared" si="17"/>
        <v>644675.53611528606</v>
      </c>
      <c r="D90" s="18">
        <f t="shared" si="10"/>
        <v>4990.7212168886126</v>
      </c>
      <c r="E90" s="18">
        <f t="shared" si="11"/>
        <v>854.05319348219382</v>
      </c>
      <c r="F90" s="16">
        <f t="shared" si="12"/>
        <v>1.589735882261489E-2</v>
      </c>
      <c r="G90" s="18">
        <f t="shared" si="13"/>
        <v>4136.6680234064188</v>
      </c>
      <c r="H90" s="16">
        <f t="shared" si="14"/>
        <v>7.6999999999999999E-2</v>
      </c>
      <c r="I90" s="18">
        <f t="shared" si="18"/>
        <v>56178.517078196011</v>
      </c>
      <c r="J90" s="18">
        <f t="shared" si="19"/>
        <v>368032.78635733598</v>
      </c>
      <c r="K90" s="18">
        <f t="shared" si="15"/>
        <v>643821.48292180384</v>
      </c>
      <c r="L90" s="18">
        <f t="shared" si="16"/>
        <v>424211.30343553197</v>
      </c>
    </row>
    <row r="91" spans="1:12" x14ac:dyDescent="0.3">
      <c r="A91">
        <v>86</v>
      </c>
      <c r="B91" s="17">
        <v>47453</v>
      </c>
      <c r="C91" s="18">
        <f t="shared" si="17"/>
        <v>643821.48292180384</v>
      </c>
      <c r="D91" s="18">
        <f t="shared" si="10"/>
        <v>4990.7212168886126</v>
      </c>
      <c r="E91" s="18">
        <f t="shared" si="11"/>
        <v>859.53336814037084</v>
      </c>
      <c r="F91" s="16">
        <f t="shared" si="12"/>
        <v>1.6020590631544984E-2</v>
      </c>
      <c r="G91" s="18">
        <f t="shared" si="13"/>
        <v>4131.1878487482418</v>
      </c>
      <c r="H91" s="16">
        <f t="shared" si="14"/>
        <v>7.7000000000000013E-2</v>
      </c>
      <c r="I91" s="18">
        <f t="shared" si="18"/>
        <v>57038.050446336383</v>
      </c>
      <c r="J91" s="18">
        <f t="shared" si="19"/>
        <v>372163.97420608421</v>
      </c>
      <c r="K91" s="18">
        <f t="shared" si="15"/>
        <v>642961.94955366349</v>
      </c>
      <c r="L91" s="18">
        <f t="shared" si="16"/>
        <v>429202.0246524206</v>
      </c>
    </row>
    <row r="92" spans="1:12" x14ac:dyDescent="0.3">
      <c r="A92">
        <v>87</v>
      </c>
      <c r="B92" s="17">
        <v>47484</v>
      </c>
      <c r="C92" s="18">
        <f t="shared" si="17"/>
        <v>642961.94955366349</v>
      </c>
      <c r="D92" s="18">
        <f t="shared" si="10"/>
        <v>4990.7212168886126</v>
      </c>
      <c r="E92" s="18">
        <f t="shared" si="11"/>
        <v>865.0487072526048</v>
      </c>
      <c r="F92" s="16">
        <f t="shared" si="12"/>
        <v>1.6144943715934255E-2</v>
      </c>
      <c r="G92" s="18">
        <f t="shared" si="13"/>
        <v>4125.6725096360078</v>
      </c>
      <c r="H92" s="16">
        <f t="shared" si="14"/>
        <v>7.6999999999999999E-2</v>
      </c>
      <c r="I92" s="18">
        <f t="shared" si="18"/>
        <v>57903.099153588992</v>
      </c>
      <c r="J92" s="18">
        <f t="shared" si="19"/>
        <v>376289.64671572024</v>
      </c>
      <c r="K92" s="18">
        <f t="shared" si="15"/>
        <v>642096.90084641089</v>
      </c>
      <c r="L92" s="18">
        <f t="shared" si="16"/>
        <v>434192.74586930923</v>
      </c>
    </row>
    <row r="93" spans="1:12" x14ac:dyDescent="0.3">
      <c r="A93">
        <v>88</v>
      </c>
      <c r="B93" s="17">
        <v>47515</v>
      </c>
      <c r="C93" s="18">
        <f t="shared" si="17"/>
        <v>642096.90084641089</v>
      </c>
      <c r="D93" s="18">
        <f t="shared" si="10"/>
        <v>4990.7212168886126</v>
      </c>
      <c r="E93" s="18">
        <f t="shared" si="11"/>
        <v>870.59943645747626</v>
      </c>
      <c r="F93" s="16">
        <f t="shared" si="12"/>
        <v>1.6270430870664918E-2</v>
      </c>
      <c r="G93" s="18">
        <f t="shared" si="13"/>
        <v>4120.1217804311364</v>
      </c>
      <c r="H93" s="16">
        <f t="shared" si="14"/>
        <v>7.6999999999999985E-2</v>
      </c>
      <c r="I93" s="18">
        <f t="shared" si="18"/>
        <v>58773.698590046464</v>
      </c>
      <c r="J93" s="18">
        <f t="shared" si="19"/>
        <v>380409.76849615137</v>
      </c>
      <c r="K93" s="18">
        <f t="shared" si="15"/>
        <v>641226.30140995339</v>
      </c>
      <c r="L93" s="18">
        <f t="shared" si="16"/>
        <v>439183.46708619781</v>
      </c>
    </row>
    <row r="94" spans="1:12" x14ac:dyDescent="0.3">
      <c r="A94">
        <v>89</v>
      </c>
      <c r="B94" s="17">
        <v>47543</v>
      </c>
      <c r="C94" s="18">
        <f t="shared" si="17"/>
        <v>641226.30140995339</v>
      </c>
      <c r="D94" s="18">
        <f t="shared" si="10"/>
        <v>4990.7212168886126</v>
      </c>
      <c r="E94" s="18">
        <f t="shared" si="11"/>
        <v>876.18578284141131</v>
      </c>
      <c r="F94" s="16">
        <f t="shared" si="12"/>
        <v>1.639706507823812E-2</v>
      </c>
      <c r="G94" s="18">
        <f t="shared" si="13"/>
        <v>4114.5354340472013</v>
      </c>
      <c r="H94" s="16">
        <f t="shared" si="14"/>
        <v>7.6999999999999999E-2</v>
      </c>
      <c r="I94" s="18">
        <f t="shared" si="18"/>
        <v>59649.884372887878</v>
      </c>
      <c r="J94" s="18">
        <f t="shared" si="19"/>
        <v>384524.3039301986</v>
      </c>
      <c r="K94" s="18">
        <f t="shared" si="15"/>
        <v>640350.11562711198</v>
      </c>
      <c r="L94" s="18">
        <f t="shared" si="16"/>
        <v>444174.1883030865</v>
      </c>
    </row>
    <row r="95" spans="1:12" x14ac:dyDescent="0.3">
      <c r="A95">
        <v>90</v>
      </c>
      <c r="B95" s="17">
        <v>47574</v>
      </c>
      <c r="C95" s="18">
        <f t="shared" si="17"/>
        <v>640350.11562711198</v>
      </c>
      <c r="D95" s="18">
        <f t="shared" si="10"/>
        <v>4990.7212168886126</v>
      </c>
      <c r="E95" s="18">
        <f t="shared" si="11"/>
        <v>881.80797494797753</v>
      </c>
      <c r="F95" s="16">
        <f t="shared" si="12"/>
        <v>1.6524859512226046E-2</v>
      </c>
      <c r="G95" s="18">
        <f t="shared" si="13"/>
        <v>4108.9132419406351</v>
      </c>
      <c r="H95" s="16">
        <f t="shared" si="14"/>
        <v>7.6999999999999999E-2</v>
      </c>
      <c r="I95" s="18">
        <f t="shared" si="18"/>
        <v>60531.692347835859</v>
      </c>
      <c r="J95" s="18">
        <f t="shared" si="19"/>
        <v>388633.21717213921</v>
      </c>
      <c r="K95" s="18">
        <f t="shared" si="15"/>
        <v>639468.30765216402</v>
      </c>
      <c r="L95" s="18">
        <f t="shared" si="16"/>
        <v>449164.90951997507</v>
      </c>
    </row>
    <row r="96" spans="1:12" x14ac:dyDescent="0.3">
      <c r="A96">
        <v>91</v>
      </c>
      <c r="B96" s="17">
        <v>47604</v>
      </c>
      <c r="C96" s="18">
        <f t="shared" si="17"/>
        <v>639468.30765216402</v>
      </c>
      <c r="D96" s="18">
        <f t="shared" si="10"/>
        <v>4990.7212168886126</v>
      </c>
      <c r="E96" s="18">
        <f t="shared" si="11"/>
        <v>887.46624278722629</v>
      </c>
      <c r="F96" s="16">
        <f t="shared" si="12"/>
        <v>1.6653827540800529E-2</v>
      </c>
      <c r="G96" s="18">
        <f t="shared" si="13"/>
        <v>4103.2549741013863</v>
      </c>
      <c r="H96" s="16">
        <f t="shared" si="14"/>
        <v>7.7000000000000013E-2</v>
      </c>
      <c r="I96" s="18">
        <f t="shared" si="18"/>
        <v>61419.158590623083</v>
      </c>
      <c r="J96" s="18">
        <f t="shared" si="19"/>
        <v>392736.47214624059</v>
      </c>
      <c r="K96" s="18">
        <f t="shared" si="15"/>
        <v>638580.84140937682</v>
      </c>
      <c r="L96" s="18">
        <f t="shared" si="16"/>
        <v>454155.63073686365</v>
      </c>
    </row>
    <row r="97" spans="1:12" x14ac:dyDescent="0.3">
      <c r="A97">
        <v>92</v>
      </c>
      <c r="B97" s="17">
        <v>47635</v>
      </c>
      <c r="C97" s="18">
        <f t="shared" si="17"/>
        <v>638580.84140937682</v>
      </c>
      <c r="D97" s="18">
        <f t="shared" si="10"/>
        <v>4990.7212168886126</v>
      </c>
      <c r="E97" s="18">
        <f t="shared" si="11"/>
        <v>893.16081784511152</v>
      </c>
      <c r="F97" s="16">
        <f t="shared" si="12"/>
        <v>1.6783982730340583E-2</v>
      </c>
      <c r="G97" s="18">
        <f t="shared" si="13"/>
        <v>4097.5603990435011</v>
      </c>
      <c r="H97" s="16">
        <f t="shared" si="14"/>
        <v>7.6999999999999985E-2</v>
      </c>
      <c r="I97" s="18">
        <f t="shared" si="18"/>
        <v>62312.319408468196</v>
      </c>
      <c r="J97" s="18">
        <f t="shared" si="19"/>
        <v>396834.03254528408</v>
      </c>
      <c r="K97" s="18">
        <f t="shared" si="15"/>
        <v>637687.68059153168</v>
      </c>
      <c r="L97" s="18">
        <f t="shared" si="16"/>
        <v>459146.35195375228</v>
      </c>
    </row>
    <row r="98" spans="1:12" x14ac:dyDescent="0.3">
      <c r="A98">
        <v>93</v>
      </c>
      <c r="B98" s="17">
        <v>47665</v>
      </c>
      <c r="C98" s="18">
        <f t="shared" si="17"/>
        <v>637687.68059153168</v>
      </c>
      <c r="D98" s="18">
        <f t="shared" si="10"/>
        <v>4990.7212168886126</v>
      </c>
      <c r="E98" s="18">
        <f t="shared" si="11"/>
        <v>898.89193309295069</v>
      </c>
      <c r="F98" s="16">
        <f t="shared" si="12"/>
        <v>1.6915338849120387E-2</v>
      </c>
      <c r="G98" s="18">
        <f t="shared" si="13"/>
        <v>4091.8292837956619</v>
      </c>
      <c r="H98" s="16">
        <f t="shared" si="14"/>
        <v>7.6999999999999999E-2</v>
      </c>
      <c r="I98" s="18">
        <f t="shared" si="18"/>
        <v>63211.211341561146</v>
      </c>
      <c r="J98" s="18">
        <f t="shared" si="19"/>
        <v>400925.86182907975</v>
      </c>
      <c r="K98" s="18">
        <f t="shared" si="15"/>
        <v>636788.78865843872</v>
      </c>
      <c r="L98" s="18">
        <f t="shared" si="16"/>
        <v>464137.07317064091</v>
      </c>
    </row>
    <row r="99" spans="1:12" x14ac:dyDescent="0.3">
      <c r="A99">
        <v>94</v>
      </c>
      <c r="B99" s="17">
        <v>47696</v>
      </c>
      <c r="C99" s="18">
        <f t="shared" si="17"/>
        <v>636788.78865843872</v>
      </c>
      <c r="D99" s="18">
        <f t="shared" si="10"/>
        <v>4990.7212168886126</v>
      </c>
      <c r="E99" s="18">
        <f t="shared" si="11"/>
        <v>904.65982299696407</v>
      </c>
      <c r="F99" s="16">
        <f t="shared" si="12"/>
        <v>1.7047909871080465E-2</v>
      </c>
      <c r="G99" s="18">
        <f t="shared" si="13"/>
        <v>4086.0613938916485</v>
      </c>
      <c r="H99" s="16">
        <f t="shared" si="14"/>
        <v>7.6999999999999999E-2</v>
      </c>
      <c r="I99" s="18">
        <f t="shared" si="18"/>
        <v>64115.871164558106</v>
      </c>
      <c r="J99" s="18">
        <f t="shared" si="19"/>
        <v>405011.92322297138</v>
      </c>
      <c r="K99" s="18">
        <f t="shared" si="15"/>
        <v>635884.12883544178</v>
      </c>
      <c r="L99" s="18">
        <f t="shared" si="16"/>
        <v>469127.79438752949</v>
      </c>
    </row>
    <row r="100" spans="1:12" x14ac:dyDescent="0.3">
      <c r="A100">
        <v>95</v>
      </c>
      <c r="B100" s="17">
        <v>47727</v>
      </c>
      <c r="C100" s="18">
        <f t="shared" si="17"/>
        <v>635884.12883544178</v>
      </c>
      <c r="D100" s="18">
        <f t="shared" si="10"/>
        <v>4990.7212168886126</v>
      </c>
      <c r="E100" s="18">
        <f t="shared" si="11"/>
        <v>910.46472352786122</v>
      </c>
      <c r="F100" s="16">
        <f t="shared" si="12"/>
        <v>1.7181709979683622E-2</v>
      </c>
      <c r="G100" s="18">
        <f t="shared" si="13"/>
        <v>4080.2564933607514</v>
      </c>
      <c r="H100" s="16">
        <f t="shared" si="14"/>
        <v>7.6999999999999999E-2</v>
      </c>
      <c r="I100" s="18">
        <f t="shared" si="18"/>
        <v>65026.335888085967</v>
      </c>
      <c r="J100" s="18">
        <f t="shared" si="19"/>
        <v>409092.17971633212</v>
      </c>
      <c r="K100" s="18">
        <f t="shared" si="15"/>
        <v>634973.66411191388</v>
      </c>
      <c r="L100" s="18">
        <f t="shared" si="16"/>
        <v>474118.51560441806</v>
      </c>
    </row>
    <row r="101" spans="1:12" x14ac:dyDescent="0.3">
      <c r="A101">
        <v>96</v>
      </c>
      <c r="B101" s="17">
        <v>47757</v>
      </c>
      <c r="C101" s="18">
        <f t="shared" si="17"/>
        <v>634973.66411191388</v>
      </c>
      <c r="D101" s="18">
        <f t="shared" si="10"/>
        <v>4990.7212168886126</v>
      </c>
      <c r="E101" s="18">
        <f t="shared" si="11"/>
        <v>916.30687217049854</v>
      </c>
      <c r="F101" s="16">
        <f t="shared" si="12"/>
        <v>1.731675357185837E-2</v>
      </c>
      <c r="G101" s="18">
        <f t="shared" si="13"/>
        <v>4074.4143447181141</v>
      </c>
      <c r="H101" s="16">
        <f t="shared" si="14"/>
        <v>7.6999999999999999E-2</v>
      </c>
      <c r="I101" s="18">
        <f t="shared" si="18"/>
        <v>65942.642760256465</v>
      </c>
      <c r="J101" s="18">
        <f t="shared" si="19"/>
        <v>413166.59406105021</v>
      </c>
      <c r="K101" s="18">
        <f t="shared" si="15"/>
        <v>634057.35723974335</v>
      </c>
      <c r="L101" s="18">
        <f t="shared" si="16"/>
        <v>479109.23682130669</v>
      </c>
    </row>
    <row r="102" spans="1:12" x14ac:dyDescent="0.3">
      <c r="A102">
        <v>97</v>
      </c>
      <c r="B102" s="17">
        <v>47788</v>
      </c>
      <c r="C102" s="18">
        <f t="shared" si="17"/>
        <v>634057.35723974335</v>
      </c>
      <c r="D102" s="18">
        <f t="shared" si="10"/>
        <v>4990.7212168886126</v>
      </c>
      <c r="E102" s="18">
        <f t="shared" si="11"/>
        <v>922.18650793359257</v>
      </c>
      <c r="F102" s="16">
        <f t="shared" si="12"/>
        <v>1.745305526203185E-2</v>
      </c>
      <c r="G102" s="18">
        <f t="shared" si="13"/>
        <v>4068.5347089550201</v>
      </c>
      <c r="H102" s="16">
        <f t="shared" si="14"/>
        <v>7.6999999999999999E-2</v>
      </c>
      <c r="I102" s="18">
        <f t="shared" si="18"/>
        <v>66864.829268190064</v>
      </c>
      <c r="J102" s="18">
        <f t="shared" si="19"/>
        <v>417235.12877000525</v>
      </c>
      <c r="K102" s="18">
        <f t="shared" si="15"/>
        <v>633135.17073180981</v>
      </c>
      <c r="L102" s="18">
        <f t="shared" si="16"/>
        <v>484099.95803819533</v>
      </c>
    </row>
    <row r="103" spans="1:12" x14ac:dyDescent="0.3">
      <c r="A103">
        <v>98</v>
      </c>
      <c r="B103" s="17">
        <v>47818</v>
      </c>
      <c r="C103" s="18">
        <f t="shared" si="17"/>
        <v>633135.17073180981</v>
      </c>
      <c r="D103" s="18">
        <f t="shared" si="10"/>
        <v>4990.7212168886126</v>
      </c>
      <c r="E103" s="18">
        <f t="shared" si="11"/>
        <v>928.10387135949941</v>
      </c>
      <c r="F103" s="16">
        <f t="shared" si="12"/>
        <v>1.7590629886254774E-2</v>
      </c>
      <c r="G103" s="18">
        <f t="shared" si="13"/>
        <v>4062.6173455291132</v>
      </c>
      <c r="H103" s="16">
        <f t="shared" si="14"/>
        <v>7.6999999999999999E-2</v>
      </c>
      <c r="I103" s="18">
        <f t="shared" si="18"/>
        <v>67792.933139549568</v>
      </c>
      <c r="J103" s="18">
        <f t="shared" si="19"/>
        <v>421297.74611553433</v>
      </c>
      <c r="K103" s="18">
        <f t="shared" si="15"/>
        <v>632207.06686045032</v>
      </c>
      <c r="L103" s="18">
        <f t="shared" si="16"/>
        <v>489090.6792550839</v>
      </c>
    </row>
    <row r="104" spans="1:12" x14ac:dyDescent="0.3">
      <c r="A104">
        <v>99</v>
      </c>
      <c r="B104" s="17">
        <v>47849</v>
      </c>
      <c r="C104" s="18">
        <f t="shared" si="17"/>
        <v>632207.06686045032</v>
      </c>
      <c r="D104" s="18">
        <f t="shared" si="10"/>
        <v>4990.7212168886126</v>
      </c>
      <c r="E104" s="18">
        <f t="shared" si="11"/>
        <v>934.05920453405633</v>
      </c>
      <c r="F104" s="16">
        <f t="shared" si="12"/>
        <v>1.7729492506420877E-2</v>
      </c>
      <c r="G104" s="18">
        <f t="shared" si="13"/>
        <v>4056.6620123545563</v>
      </c>
      <c r="H104" s="16">
        <f t="shared" si="14"/>
        <v>7.6999999999999999E-2</v>
      </c>
      <c r="I104" s="18">
        <f t="shared" si="18"/>
        <v>68726.992344083628</v>
      </c>
      <c r="J104" s="18">
        <f t="shared" si="19"/>
        <v>425354.40812788886</v>
      </c>
      <c r="K104" s="18">
        <f t="shared" si="15"/>
        <v>631273.00765591627</v>
      </c>
      <c r="L104" s="18">
        <f t="shared" si="16"/>
        <v>494081.40047197248</v>
      </c>
    </row>
    <row r="105" spans="1:12" x14ac:dyDescent="0.3">
      <c r="A105">
        <v>100</v>
      </c>
      <c r="B105" s="17">
        <v>47880</v>
      </c>
      <c r="C105" s="18">
        <f t="shared" si="17"/>
        <v>631273.00765591627</v>
      </c>
      <c r="D105" s="18">
        <f t="shared" si="10"/>
        <v>4990.7212168886126</v>
      </c>
      <c r="E105" s="18">
        <f t="shared" si="11"/>
        <v>940.05275109648301</v>
      </c>
      <c r="F105" s="16">
        <f t="shared" si="12"/>
        <v>1.7869658414583212E-2</v>
      </c>
      <c r="G105" s="18">
        <f t="shared" si="13"/>
        <v>4050.6684657921296</v>
      </c>
      <c r="H105" s="16">
        <f t="shared" si="14"/>
        <v>7.6999999999999999E-2</v>
      </c>
      <c r="I105" s="18">
        <f t="shared" si="18"/>
        <v>69667.045095180118</v>
      </c>
      <c r="J105" s="18">
        <f t="shared" si="19"/>
        <v>429405.07659368101</v>
      </c>
      <c r="K105" s="18">
        <f t="shared" si="15"/>
        <v>630332.95490481984</v>
      </c>
      <c r="L105" s="18">
        <f t="shared" si="16"/>
        <v>499072.12168886111</v>
      </c>
    </row>
    <row r="106" spans="1:12" x14ac:dyDescent="0.3">
      <c r="A106">
        <v>101</v>
      </c>
      <c r="B106" s="17">
        <v>47908</v>
      </c>
      <c r="C106" s="18">
        <f t="shared" si="17"/>
        <v>630332.95490481984</v>
      </c>
      <c r="D106" s="18">
        <f t="shared" si="10"/>
        <v>4990.7212168886126</v>
      </c>
      <c r="E106" s="18">
        <f t="shared" si="11"/>
        <v>946.08475624935181</v>
      </c>
      <c r="F106" s="16">
        <f t="shared" si="12"/>
        <v>1.8011143137370192E-2</v>
      </c>
      <c r="G106" s="18">
        <f t="shared" si="13"/>
        <v>4044.6364606392608</v>
      </c>
      <c r="H106" s="16">
        <f t="shared" si="14"/>
        <v>7.6999999999999999E-2</v>
      </c>
      <c r="I106" s="18">
        <f t="shared" si="18"/>
        <v>70613.129851429476</v>
      </c>
      <c r="J106" s="18">
        <f t="shared" si="19"/>
        <v>433449.71305432025</v>
      </c>
      <c r="K106" s="18">
        <f t="shared" si="15"/>
        <v>629386.87014857051</v>
      </c>
      <c r="L106" s="18">
        <f t="shared" si="16"/>
        <v>504062.84290574974</v>
      </c>
    </row>
    <row r="107" spans="1:12" x14ac:dyDescent="0.3">
      <c r="A107">
        <v>102</v>
      </c>
      <c r="B107" s="17">
        <v>47939</v>
      </c>
      <c r="C107" s="18">
        <f t="shared" si="17"/>
        <v>629386.87014857051</v>
      </c>
      <c r="D107" s="18">
        <f t="shared" si="10"/>
        <v>4990.7212168886126</v>
      </c>
      <c r="E107" s="18">
        <f t="shared" si="11"/>
        <v>952.15546676861823</v>
      </c>
      <c r="F107" s="16">
        <f t="shared" si="12"/>
        <v>1.8153962440503844E-2</v>
      </c>
      <c r="G107" s="18">
        <f t="shared" si="13"/>
        <v>4038.5657501199944</v>
      </c>
      <c r="H107" s="16">
        <f t="shared" si="14"/>
        <v>7.6999999999999999E-2</v>
      </c>
      <c r="I107" s="18">
        <f t="shared" si="18"/>
        <v>71565.28531819809</v>
      </c>
      <c r="J107" s="18">
        <f t="shared" si="19"/>
        <v>437488.27880444023</v>
      </c>
      <c r="K107" s="18">
        <f t="shared" si="15"/>
        <v>628434.71468180185</v>
      </c>
      <c r="L107" s="18">
        <f t="shared" si="16"/>
        <v>509053.56412263832</v>
      </c>
    </row>
    <row r="108" spans="1:12" x14ac:dyDescent="0.3">
      <c r="A108">
        <v>103</v>
      </c>
      <c r="B108" s="17">
        <v>47969</v>
      </c>
      <c r="C108" s="18">
        <f t="shared" si="17"/>
        <v>628434.71468180185</v>
      </c>
      <c r="D108" s="18">
        <f t="shared" si="10"/>
        <v>4990.7212168886126</v>
      </c>
      <c r="E108" s="18">
        <f t="shared" si="11"/>
        <v>958.26513101371711</v>
      </c>
      <c r="F108" s="16">
        <f t="shared" si="12"/>
        <v>1.829813233342311E-2</v>
      </c>
      <c r="G108" s="18">
        <f t="shared" si="13"/>
        <v>4032.4560858748955</v>
      </c>
      <c r="H108" s="16">
        <f t="shared" si="14"/>
        <v>7.6999999999999999E-2</v>
      </c>
      <c r="I108" s="18">
        <f t="shared" si="18"/>
        <v>72523.550449211805</v>
      </c>
      <c r="J108" s="18">
        <f t="shared" si="19"/>
        <v>441520.7348903151</v>
      </c>
      <c r="K108" s="18">
        <f t="shared" si="15"/>
        <v>627476.44955078815</v>
      </c>
      <c r="L108" s="18">
        <f t="shared" si="16"/>
        <v>514044.28533952689</v>
      </c>
    </row>
    <row r="109" spans="1:12" x14ac:dyDescent="0.3">
      <c r="A109">
        <v>104</v>
      </c>
      <c r="B109" s="17">
        <v>48000</v>
      </c>
      <c r="C109" s="18">
        <f t="shared" si="17"/>
        <v>627476.44955078815</v>
      </c>
      <c r="D109" s="18">
        <f t="shared" si="10"/>
        <v>4990.7212168886126</v>
      </c>
      <c r="E109" s="18">
        <f t="shared" si="11"/>
        <v>964.41399893772177</v>
      </c>
      <c r="F109" s="16">
        <f t="shared" si="12"/>
        <v>1.8443669074015089E-2</v>
      </c>
      <c r="G109" s="18">
        <f t="shared" si="13"/>
        <v>4026.3072179508908</v>
      </c>
      <c r="H109" s="16">
        <f t="shared" si="14"/>
        <v>7.6999999999999999E-2</v>
      </c>
      <c r="I109" s="18">
        <f t="shared" si="18"/>
        <v>73487.96444814952</v>
      </c>
      <c r="J109" s="18">
        <f t="shared" si="19"/>
        <v>445547.04210826597</v>
      </c>
      <c r="K109" s="18">
        <f t="shared" si="15"/>
        <v>626512.03555185045</v>
      </c>
      <c r="L109" s="18">
        <f t="shared" si="16"/>
        <v>519035.00655641546</v>
      </c>
    </row>
    <row r="110" spans="1:12" x14ac:dyDescent="0.3">
      <c r="A110">
        <v>105</v>
      </c>
      <c r="B110" s="17">
        <v>48030</v>
      </c>
      <c r="C110" s="18">
        <f t="shared" si="17"/>
        <v>626512.03555185045</v>
      </c>
      <c r="D110" s="18">
        <f t="shared" si="10"/>
        <v>4990.7212168886126</v>
      </c>
      <c r="E110" s="18">
        <f t="shared" si="11"/>
        <v>970.60232209757214</v>
      </c>
      <c r="F110" s="16">
        <f t="shared" si="12"/>
        <v>1.8590589173457205E-2</v>
      </c>
      <c r="G110" s="18">
        <f t="shared" si="13"/>
        <v>4020.1188947910405</v>
      </c>
      <c r="H110" s="16">
        <f t="shared" si="14"/>
        <v>7.6999999999999999E-2</v>
      </c>
      <c r="I110" s="18">
        <f t="shared" si="18"/>
        <v>74458.566770247096</v>
      </c>
      <c r="J110" s="18">
        <f t="shared" si="19"/>
        <v>449567.16100305703</v>
      </c>
      <c r="K110" s="18">
        <f t="shared" si="15"/>
        <v>625541.43322975293</v>
      </c>
      <c r="L110" s="18">
        <f t="shared" si="16"/>
        <v>524025.7277733041</v>
      </c>
    </row>
    <row r="111" spans="1:12" x14ac:dyDescent="0.3">
      <c r="A111">
        <v>106</v>
      </c>
      <c r="B111" s="17">
        <v>48061</v>
      </c>
      <c r="C111" s="18">
        <f t="shared" si="17"/>
        <v>625541.43322975293</v>
      </c>
      <c r="D111" s="18">
        <f t="shared" si="10"/>
        <v>4990.7212168886126</v>
      </c>
      <c r="E111" s="18">
        <f t="shared" si="11"/>
        <v>976.83035366436434</v>
      </c>
      <c r="F111" s="16">
        <f t="shared" si="12"/>
        <v>1.8738909401173197E-2</v>
      </c>
      <c r="G111" s="18">
        <f t="shared" si="13"/>
        <v>4013.8908632242483</v>
      </c>
      <c r="H111" s="16">
        <f t="shared" si="14"/>
        <v>7.6999999999999999E-2</v>
      </c>
      <c r="I111" s="18">
        <f t="shared" si="18"/>
        <v>75435.397123911462</v>
      </c>
      <c r="J111" s="18">
        <f t="shared" si="19"/>
        <v>453581.05186628125</v>
      </c>
      <c r="K111" s="18">
        <f t="shared" si="15"/>
        <v>624564.60287608858</v>
      </c>
      <c r="L111" s="18">
        <f t="shared" si="16"/>
        <v>529016.44899019273</v>
      </c>
    </row>
    <row r="112" spans="1:12" x14ac:dyDescent="0.3">
      <c r="A112">
        <v>107</v>
      </c>
      <c r="B112" s="17">
        <v>48092</v>
      </c>
      <c r="C112" s="18">
        <f t="shared" si="17"/>
        <v>624564.60287608858</v>
      </c>
      <c r="D112" s="18">
        <f t="shared" si="10"/>
        <v>4990.7212168886126</v>
      </c>
      <c r="E112" s="18">
        <f t="shared" si="11"/>
        <v>983.09834843371073</v>
      </c>
      <c r="F112" s="16">
        <f t="shared" si="12"/>
        <v>1.8888646789906292E-2</v>
      </c>
      <c r="G112" s="18">
        <f t="shared" si="13"/>
        <v>4007.6228684549019</v>
      </c>
      <c r="H112" s="16">
        <f t="shared" si="14"/>
        <v>7.6999999999999999E-2</v>
      </c>
      <c r="I112" s="18">
        <f t="shared" si="18"/>
        <v>76418.495472345166</v>
      </c>
      <c r="J112" s="18">
        <f t="shared" si="19"/>
        <v>457588.67473473615</v>
      </c>
      <c r="K112" s="18">
        <f t="shared" si="15"/>
        <v>623581.50452765485</v>
      </c>
      <c r="L112" s="18">
        <f t="shared" si="16"/>
        <v>534007.17020708136</v>
      </c>
    </row>
    <row r="113" spans="1:12" x14ac:dyDescent="0.3">
      <c r="A113">
        <v>108</v>
      </c>
      <c r="B113" s="17">
        <v>48122</v>
      </c>
      <c r="C113" s="18">
        <f t="shared" si="17"/>
        <v>623581.50452765485</v>
      </c>
      <c r="D113" s="18">
        <f t="shared" si="10"/>
        <v>4990.7212168886126</v>
      </c>
      <c r="E113" s="18">
        <f t="shared" si="11"/>
        <v>989.40656283616045</v>
      </c>
      <c r="F113" s="16">
        <f t="shared" si="12"/>
        <v>1.9039818640912531E-2</v>
      </c>
      <c r="G113" s="18">
        <f t="shared" si="13"/>
        <v>4001.3146540524522</v>
      </c>
      <c r="H113" s="16">
        <f t="shared" si="14"/>
        <v>7.6999999999999999E-2</v>
      </c>
      <c r="I113" s="18">
        <f t="shared" si="18"/>
        <v>77407.902035181323</v>
      </c>
      <c r="J113" s="18">
        <f t="shared" si="19"/>
        <v>461589.98938878858</v>
      </c>
      <c r="K113" s="18">
        <f t="shared" si="15"/>
        <v>622592.09796481871</v>
      </c>
      <c r="L113" s="18">
        <f t="shared" si="16"/>
        <v>538997.89142396988</v>
      </c>
    </row>
    <row r="114" spans="1:12" x14ac:dyDescent="0.3">
      <c r="A114">
        <v>109</v>
      </c>
      <c r="B114" s="17">
        <v>48153</v>
      </c>
      <c r="C114" s="18">
        <f t="shared" si="17"/>
        <v>622592.09796481871</v>
      </c>
      <c r="D114" s="18">
        <f t="shared" si="10"/>
        <v>4990.7212168886126</v>
      </c>
      <c r="E114" s="18">
        <f t="shared" si="11"/>
        <v>995.75525494769226</v>
      </c>
      <c r="F114" s="16">
        <f t="shared" si="12"/>
        <v>1.9192442529277848E-2</v>
      </c>
      <c r="G114" s="18">
        <f t="shared" si="13"/>
        <v>3994.9659619409204</v>
      </c>
      <c r="H114" s="16">
        <f t="shared" si="14"/>
        <v>7.6999999999999999E-2</v>
      </c>
      <c r="I114" s="18">
        <f t="shared" si="18"/>
        <v>78403.65729012902</v>
      </c>
      <c r="J114" s="18">
        <f t="shared" si="19"/>
        <v>465584.95535072952</v>
      </c>
      <c r="K114" s="18">
        <f t="shared" si="15"/>
        <v>621596.34270987101</v>
      </c>
      <c r="L114" s="18">
        <f t="shared" si="16"/>
        <v>543988.61264085851</v>
      </c>
    </row>
    <row r="115" spans="1:12" x14ac:dyDescent="0.3">
      <c r="A115">
        <v>110</v>
      </c>
      <c r="B115" s="17">
        <v>48183</v>
      </c>
      <c r="C115" s="18">
        <f t="shared" si="17"/>
        <v>621596.34270987101</v>
      </c>
      <c r="D115" s="18">
        <f t="shared" si="10"/>
        <v>4990.7212168886126</v>
      </c>
      <c r="E115" s="18">
        <f t="shared" si="11"/>
        <v>1002.1446845002733</v>
      </c>
      <c r="F115" s="16">
        <f t="shared" si="12"/>
        <v>1.9346536309362217E-2</v>
      </c>
      <c r="G115" s="18">
        <f t="shared" si="13"/>
        <v>3988.5765323883393</v>
      </c>
      <c r="H115" s="16">
        <f t="shared" si="14"/>
        <v>7.6999999999999999E-2</v>
      </c>
      <c r="I115" s="18">
        <f t="shared" si="18"/>
        <v>79405.801974629299</v>
      </c>
      <c r="J115" s="18">
        <f t="shared" si="19"/>
        <v>469573.53188311786</v>
      </c>
      <c r="K115" s="18">
        <f t="shared" si="15"/>
        <v>620594.19802537072</v>
      </c>
      <c r="L115" s="18">
        <f t="shared" si="16"/>
        <v>548979.33385774714</v>
      </c>
    </row>
    <row r="116" spans="1:12" x14ac:dyDescent="0.3">
      <c r="A116">
        <v>111</v>
      </c>
      <c r="B116" s="17">
        <v>48214</v>
      </c>
      <c r="C116" s="18">
        <f t="shared" si="17"/>
        <v>620594.19802537072</v>
      </c>
      <c r="D116" s="18">
        <f t="shared" si="10"/>
        <v>4990.7212168886126</v>
      </c>
      <c r="E116" s="18">
        <f t="shared" si="11"/>
        <v>1008.575112892484</v>
      </c>
      <c r="F116" s="16">
        <f t="shared" si="12"/>
        <v>1.9502118120374411E-2</v>
      </c>
      <c r="G116" s="18">
        <f t="shared" si="13"/>
        <v>3982.1461039961287</v>
      </c>
      <c r="H116" s="16">
        <f t="shared" si="14"/>
        <v>7.6999999999999999E-2</v>
      </c>
      <c r="I116" s="18">
        <f t="shared" si="18"/>
        <v>80414.377087521789</v>
      </c>
      <c r="J116" s="18">
        <f t="shared" si="19"/>
        <v>473555.677987114</v>
      </c>
      <c r="K116" s="18">
        <f t="shared" si="15"/>
        <v>619585.62291247828</v>
      </c>
      <c r="L116" s="18">
        <f t="shared" si="16"/>
        <v>553970.05507463578</v>
      </c>
    </row>
    <row r="117" spans="1:12" x14ac:dyDescent="0.3">
      <c r="A117">
        <v>112</v>
      </c>
      <c r="B117" s="17">
        <v>48245</v>
      </c>
      <c r="C117" s="18">
        <f t="shared" si="17"/>
        <v>619585.62291247828</v>
      </c>
      <c r="D117" s="18">
        <f t="shared" si="10"/>
        <v>4990.7212168886126</v>
      </c>
      <c r="E117" s="18">
        <f t="shared" si="11"/>
        <v>1015.04680320021</v>
      </c>
      <c r="F117" s="16">
        <f t="shared" si="12"/>
        <v>1.9659206392081064E-2</v>
      </c>
      <c r="G117" s="18">
        <f t="shared" si="13"/>
        <v>3975.6744136884026</v>
      </c>
      <c r="H117" s="16">
        <f t="shared" si="14"/>
        <v>7.6999999999999999E-2</v>
      </c>
      <c r="I117" s="18">
        <f t="shared" si="18"/>
        <v>81429.423890721999</v>
      </c>
      <c r="J117" s="18">
        <f t="shared" si="19"/>
        <v>477531.35240080243</v>
      </c>
      <c r="K117" s="18">
        <f t="shared" si="15"/>
        <v>618570.57610927802</v>
      </c>
      <c r="L117" s="18">
        <f t="shared" si="16"/>
        <v>558960.77629152441</v>
      </c>
    </row>
    <row r="118" spans="1:12" x14ac:dyDescent="0.3">
      <c r="A118">
        <v>113</v>
      </c>
      <c r="B118" s="17">
        <v>48274</v>
      </c>
      <c r="C118" s="18">
        <f t="shared" si="17"/>
        <v>618570.57610927802</v>
      </c>
      <c r="D118" s="18">
        <f t="shared" si="10"/>
        <v>4990.7212168886126</v>
      </c>
      <c r="E118" s="18">
        <f t="shared" si="11"/>
        <v>1021.5600201874117</v>
      </c>
      <c r="F118" s="16">
        <f t="shared" si="12"/>
        <v>1.9817819850654016E-2</v>
      </c>
      <c r="G118" s="18">
        <f t="shared" si="13"/>
        <v>3969.1611967012009</v>
      </c>
      <c r="H118" s="16">
        <f t="shared" si="14"/>
        <v>7.6999999999999999E-2</v>
      </c>
      <c r="I118" s="18">
        <f t="shared" si="18"/>
        <v>82450.983910909417</v>
      </c>
      <c r="J118" s="18">
        <f t="shared" si="19"/>
        <v>481500.51359750365</v>
      </c>
      <c r="K118" s="18">
        <f t="shared" si="15"/>
        <v>617549.01608909061</v>
      </c>
      <c r="L118" s="18">
        <f t="shared" si="16"/>
        <v>563951.49750841304</v>
      </c>
    </row>
    <row r="119" spans="1:12" x14ac:dyDescent="0.3">
      <c r="A119">
        <v>114</v>
      </c>
      <c r="B119" s="17">
        <v>48305</v>
      </c>
      <c r="C119" s="18">
        <f t="shared" si="17"/>
        <v>617549.01608909061</v>
      </c>
      <c r="D119" s="18">
        <f t="shared" si="10"/>
        <v>4990.7212168886126</v>
      </c>
      <c r="E119" s="18">
        <f t="shared" si="11"/>
        <v>1028.1150303169479</v>
      </c>
      <c r="F119" s="16">
        <f t="shared" si="12"/>
        <v>1.9977977524659393E-2</v>
      </c>
      <c r="G119" s="18">
        <f t="shared" si="13"/>
        <v>3962.6061865716647</v>
      </c>
      <c r="H119" s="16">
        <f t="shared" si="14"/>
        <v>7.6999999999999999E-2</v>
      </c>
      <c r="I119" s="18">
        <f t="shared" si="18"/>
        <v>83479.098941226359</v>
      </c>
      <c r="J119" s="18">
        <f t="shared" si="19"/>
        <v>485463.1197840753</v>
      </c>
      <c r="K119" s="18">
        <f t="shared" si="15"/>
        <v>616520.90105877363</v>
      </c>
      <c r="L119" s="18">
        <f t="shared" si="16"/>
        <v>568942.21872530167</v>
      </c>
    </row>
    <row r="120" spans="1:12" x14ac:dyDescent="0.3">
      <c r="A120">
        <v>115</v>
      </c>
      <c r="B120" s="17">
        <v>48335</v>
      </c>
      <c r="C120" s="18">
        <f t="shared" si="17"/>
        <v>616520.90105877363</v>
      </c>
      <c r="D120" s="18">
        <f t="shared" si="10"/>
        <v>4990.7212168886126</v>
      </c>
      <c r="E120" s="18">
        <f t="shared" si="11"/>
        <v>1034.7121017614818</v>
      </c>
      <c r="F120" s="16">
        <f t="shared" si="12"/>
        <v>2.0139698751193025E-2</v>
      </c>
      <c r="G120" s="18">
        <f t="shared" si="13"/>
        <v>3956.0091151271308</v>
      </c>
      <c r="H120" s="16">
        <f t="shared" si="14"/>
        <v>7.6999999999999999E-2</v>
      </c>
      <c r="I120" s="18">
        <f t="shared" si="18"/>
        <v>84513.811042987843</v>
      </c>
      <c r="J120" s="18">
        <f t="shared" si="19"/>
        <v>489419.12889920245</v>
      </c>
      <c r="K120" s="18">
        <f t="shared" si="15"/>
        <v>615486.18895701214</v>
      </c>
      <c r="L120" s="18">
        <f t="shared" si="16"/>
        <v>573932.93994219031</v>
      </c>
    </row>
    <row r="121" spans="1:12" x14ac:dyDescent="0.3">
      <c r="A121">
        <v>116</v>
      </c>
      <c r="B121" s="17">
        <v>48366</v>
      </c>
      <c r="C121" s="18">
        <f t="shared" si="17"/>
        <v>615486.18895701214</v>
      </c>
      <c r="D121" s="18">
        <f t="shared" si="10"/>
        <v>4990.7212168886126</v>
      </c>
      <c r="E121" s="18">
        <f t="shared" si="11"/>
        <v>1041.351504414451</v>
      </c>
      <c r="F121" s="16">
        <f t="shared" si="12"/>
        <v>2.0303003182165952E-2</v>
      </c>
      <c r="G121" s="18">
        <f t="shared" si="13"/>
        <v>3949.3697124741616</v>
      </c>
      <c r="H121" s="16">
        <f t="shared" si="14"/>
        <v>7.6999999999999999E-2</v>
      </c>
      <c r="I121" s="18">
        <f t="shared" si="18"/>
        <v>85555.162547402288</v>
      </c>
      <c r="J121" s="18">
        <f t="shared" si="19"/>
        <v>493368.49861167662</v>
      </c>
      <c r="K121" s="18">
        <f t="shared" si="15"/>
        <v>614444.83745259768</v>
      </c>
      <c r="L121" s="18">
        <f t="shared" si="16"/>
        <v>578923.66115907894</v>
      </c>
    </row>
    <row r="122" spans="1:12" x14ac:dyDescent="0.3">
      <c r="A122">
        <v>117</v>
      </c>
      <c r="B122" s="17">
        <v>48396</v>
      </c>
      <c r="C122" s="18">
        <f t="shared" si="17"/>
        <v>614444.83745259768</v>
      </c>
      <c r="D122" s="18">
        <f t="shared" si="10"/>
        <v>4990.7212168886126</v>
      </c>
      <c r="E122" s="18">
        <f t="shared" si="11"/>
        <v>1048.0335099011108</v>
      </c>
      <c r="F122" s="16">
        <f t="shared" si="12"/>
        <v>2.046791079074459E-2</v>
      </c>
      <c r="G122" s="18">
        <f t="shared" si="13"/>
        <v>3942.6877069875018</v>
      </c>
      <c r="H122" s="16">
        <f t="shared" si="14"/>
        <v>7.6999999999999999E-2</v>
      </c>
      <c r="I122" s="18">
        <f t="shared" si="18"/>
        <v>86603.196057303401</v>
      </c>
      <c r="J122" s="18">
        <f t="shared" si="19"/>
        <v>497311.18631866411</v>
      </c>
      <c r="K122" s="18">
        <f t="shared" si="15"/>
        <v>613396.80394269654</v>
      </c>
      <c r="L122" s="18">
        <f t="shared" si="16"/>
        <v>583914.38237596746</v>
      </c>
    </row>
    <row r="123" spans="1:12" x14ac:dyDescent="0.3">
      <c r="A123">
        <v>118</v>
      </c>
      <c r="B123" s="17">
        <v>48427</v>
      </c>
      <c r="C123" s="18">
        <f t="shared" si="17"/>
        <v>613396.80394269654</v>
      </c>
      <c r="D123" s="18">
        <f t="shared" si="10"/>
        <v>4990.7212168886126</v>
      </c>
      <c r="E123" s="18">
        <f t="shared" si="11"/>
        <v>1054.758391589643</v>
      </c>
      <c r="F123" s="16">
        <f t="shared" si="12"/>
        <v>2.0634441877949761E-2</v>
      </c>
      <c r="G123" s="18">
        <f t="shared" si="13"/>
        <v>3935.9628252989696</v>
      </c>
      <c r="H123" s="16">
        <f t="shared" si="14"/>
        <v>7.6999999999999999E-2</v>
      </c>
      <c r="I123" s="18">
        <f t="shared" si="18"/>
        <v>87657.954448893041</v>
      </c>
      <c r="J123" s="18">
        <f t="shared" si="19"/>
        <v>501247.14914396306</v>
      </c>
      <c r="K123" s="18">
        <f t="shared" si="15"/>
        <v>612342.04555110692</v>
      </c>
      <c r="L123" s="18">
        <f t="shared" si="16"/>
        <v>588905.10359285609</v>
      </c>
    </row>
    <row r="124" spans="1:12" x14ac:dyDescent="0.3">
      <c r="A124">
        <v>119</v>
      </c>
      <c r="B124" s="17">
        <v>48458</v>
      </c>
      <c r="C124" s="18">
        <f t="shared" si="17"/>
        <v>612342.04555110692</v>
      </c>
      <c r="D124" s="18">
        <f t="shared" si="10"/>
        <v>4990.7212168886126</v>
      </c>
      <c r="E124" s="18">
        <f t="shared" si="11"/>
        <v>1061.526424602343</v>
      </c>
      <c r="F124" s="16">
        <f t="shared" si="12"/>
        <v>2.0802617079419477E-2</v>
      </c>
      <c r="G124" s="18">
        <f t="shared" si="13"/>
        <v>3929.1947922862696</v>
      </c>
      <c r="H124" s="16">
        <f t="shared" si="14"/>
        <v>7.6999999999999999E-2</v>
      </c>
      <c r="I124" s="18">
        <f t="shared" si="18"/>
        <v>88719.480873495384</v>
      </c>
      <c r="J124" s="18">
        <f t="shared" si="19"/>
        <v>505176.34393624932</v>
      </c>
      <c r="K124" s="18">
        <f t="shared" si="15"/>
        <v>611280.51912650454</v>
      </c>
      <c r="L124" s="18">
        <f t="shared" si="16"/>
        <v>593895.82480974472</v>
      </c>
    </row>
    <row r="125" spans="1:12" x14ac:dyDescent="0.3">
      <c r="A125">
        <v>120</v>
      </c>
      <c r="B125" s="17">
        <v>48488</v>
      </c>
      <c r="C125" s="18">
        <f t="shared" si="17"/>
        <v>611280.51912650454</v>
      </c>
      <c r="D125" s="18">
        <f t="shared" si="10"/>
        <v>4990.7212168886126</v>
      </c>
      <c r="E125" s="18">
        <f t="shared" si="11"/>
        <v>1068.3378858268752</v>
      </c>
      <c r="F125" s="16">
        <f t="shared" si="12"/>
        <v>2.0972457372340034E-2</v>
      </c>
      <c r="G125" s="18">
        <f t="shared" si="13"/>
        <v>3922.3833310617374</v>
      </c>
      <c r="H125" s="16">
        <f t="shared" si="14"/>
        <v>7.6999999999999999E-2</v>
      </c>
      <c r="I125" s="18">
        <f t="shared" si="18"/>
        <v>89787.818759322254</v>
      </c>
      <c r="J125" s="18">
        <f t="shared" si="19"/>
        <v>509098.72726731107</v>
      </c>
      <c r="K125" s="18">
        <f t="shared" si="15"/>
        <v>610212.18124067772</v>
      </c>
      <c r="L125" s="18">
        <f t="shared" si="16"/>
        <v>598886.54602663335</v>
      </c>
    </row>
    <row r="126" spans="1:12" x14ac:dyDescent="0.3">
      <c r="A126">
        <v>121</v>
      </c>
      <c r="B126" s="17">
        <v>48519</v>
      </c>
      <c r="C126" s="18">
        <f t="shared" si="17"/>
        <v>610212.18124067772</v>
      </c>
      <c r="D126" s="18">
        <f t="shared" si="10"/>
        <v>4990.7212168886126</v>
      </c>
      <c r="E126" s="18">
        <f t="shared" si="11"/>
        <v>1075.1930539275972</v>
      </c>
      <c r="F126" s="16">
        <f t="shared" si="12"/>
        <v>2.1143984082550266E-2</v>
      </c>
      <c r="G126" s="18">
        <f t="shared" si="13"/>
        <v>3915.5281629610154</v>
      </c>
      <c r="H126" s="16">
        <f t="shared" si="14"/>
        <v>7.6999999999999999E-2</v>
      </c>
      <c r="I126" s="18">
        <f t="shared" si="18"/>
        <v>90863.011813249846</v>
      </c>
      <c r="J126" s="18">
        <f t="shared" si="19"/>
        <v>513014.25543027208</v>
      </c>
      <c r="K126" s="18">
        <f t="shared" si="15"/>
        <v>609136.9881867501</v>
      </c>
      <c r="L126" s="18">
        <f t="shared" si="16"/>
        <v>603877.26724352199</v>
      </c>
    </row>
    <row r="127" spans="1:12" x14ac:dyDescent="0.3">
      <c r="A127">
        <v>122</v>
      </c>
      <c r="B127" s="17">
        <v>48549</v>
      </c>
      <c r="C127" s="18">
        <f t="shared" si="17"/>
        <v>609136.9881867501</v>
      </c>
      <c r="D127" s="18">
        <f t="shared" si="10"/>
        <v>4990.7212168886126</v>
      </c>
      <c r="E127" s="18">
        <f t="shared" si="11"/>
        <v>1082.0922093569661</v>
      </c>
      <c r="F127" s="16">
        <f t="shared" si="12"/>
        <v>2.1317218891824381E-2</v>
      </c>
      <c r="G127" s="18">
        <f t="shared" si="13"/>
        <v>3908.6290075316465</v>
      </c>
      <c r="H127" s="16">
        <f t="shared" si="14"/>
        <v>7.6999999999999999E-2</v>
      </c>
      <c r="I127" s="18">
        <f t="shared" si="18"/>
        <v>91945.104022606814</v>
      </c>
      <c r="J127" s="18">
        <f t="shared" si="19"/>
        <v>516922.8844378037</v>
      </c>
      <c r="K127" s="18">
        <f t="shared" si="15"/>
        <v>608054.89597739314</v>
      </c>
      <c r="L127" s="18">
        <f t="shared" si="16"/>
        <v>608867.9884604105</v>
      </c>
    </row>
    <row r="128" spans="1:12" x14ac:dyDescent="0.3">
      <c r="A128">
        <v>123</v>
      </c>
      <c r="B128" s="17">
        <v>48580</v>
      </c>
      <c r="C128" s="18">
        <f t="shared" si="17"/>
        <v>608054.89597739314</v>
      </c>
      <c r="D128" s="18">
        <f t="shared" si="10"/>
        <v>4990.7212168886126</v>
      </c>
      <c r="E128" s="18">
        <f t="shared" si="11"/>
        <v>1089.0356343670064</v>
      </c>
      <c r="F128" s="16">
        <f t="shared" si="12"/>
        <v>2.1492183845338117E-2</v>
      </c>
      <c r="G128" s="18">
        <f t="shared" si="13"/>
        <v>3901.6855825216062</v>
      </c>
      <c r="H128" s="16">
        <f t="shared" si="14"/>
        <v>7.6999999999999999E-2</v>
      </c>
      <c r="I128" s="18">
        <f t="shared" si="18"/>
        <v>93034.139656973828</v>
      </c>
      <c r="J128" s="18">
        <f t="shared" si="19"/>
        <v>520824.57002032531</v>
      </c>
      <c r="K128" s="18">
        <f t="shared" si="15"/>
        <v>606965.86034302611</v>
      </c>
      <c r="L128" s="18">
        <f t="shared" si="16"/>
        <v>613858.70967729914</v>
      </c>
    </row>
    <row r="129" spans="1:12" x14ac:dyDescent="0.3">
      <c r="A129">
        <v>124</v>
      </c>
      <c r="B129" s="17">
        <v>48611</v>
      </c>
      <c r="C129" s="18">
        <f t="shared" si="17"/>
        <v>606965.86034302611</v>
      </c>
      <c r="D129" s="18">
        <f t="shared" si="10"/>
        <v>4990.7212168886126</v>
      </c>
      <c r="E129" s="18">
        <f t="shared" si="11"/>
        <v>1096.0236130208614</v>
      </c>
      <c r="F129" s="16">
        <f t="shared" si="12"/>
        <v>2.1668901359324127E-2</v>
      </c>
      <c r="G129" s="18">
        <f t="shared" si="13"/>
        <v>3894.6976038677512</v>
      </c>
      <c r="H129" s="16">
        <f t="shared" si="14"/>
        <v>7.6999999999999999E-2</v>
      </c>
      <c r="I129" s="18">
        <f t="shared" si="18"/>
        <v>94130.163269994693</v>
      </c>
      <c r="J129" s="18">
        <f t="shared" si="19"/>
        <v>524719.2676241931</v>
      </c>
      <c r="K129" s="18">
        <f t="shared" si="15"/>
        <v>605869.83673000522</v>
      </c>
      <c r="L129" s="18">
        <f t="shared" si="16"/>
        <v>618849.43089418777</v>
      </c>
    </row>
    <row r="130" spans="1:12" x14ac:dyDescent="0.3">
      <c r="A130">
        <v>125</v>
      </c>
      <c r="B130" s="17">
        <v>48639</v>
      </c>
      <c r="C130" s="18">
        <f t="shared" si="17"/>
        <v>605869.83673000522</v>
      </c>
      <c r="D130" s="18">
        <f t="shared" si="10"/>
        <v>4990.7212168886126</v>
      </c>
      <c r="E130" s="18">
        <f t="shared" si="11"/>
        <v>1103.0564312044125</v>
      </c>
      <c r="F130" s="16">
        <f t="shared" si="12"/>
        <v>2.184739422892187E-2</v>
      </c>
      <c r="G130" s="18">
        <f t="shared" si="13"/>
        <v>3887.6647856842001</v>
      </c>
      <c r="H130" s="16">
        <f t="shared" si="14"/>
        <v>7.6999999999999999E-2</v>
      </c>
      <c r="I130" s="18">
        <f t="shared" si="18"/>
        <v>95233.219701199108</v>
      </c>
      <c r="J130" s="18">
        <f t="shared" si="19"/>
        <v>528606.93240987731</v>
      </c>
      <c r="K130" s="18">
        <f t="shared" si="15"/>
        <v>604766.78029880079</v>
      </c>
      <c r="L130" s="18">
        <f t="shared" si="16"/>
        <v>623840.1521110764</v>
      </c>
    </row>
    <row r="131" spans="1:12" x14ac:dyDescent="0.3">
      <c r="A131">
        <v>126</v>
      </c>
      <c r="B131" s="17">
        <v>48670</v>
      </c>
      <c r="C131" s="18">
        <f t="shared" si="17"/>
        <v>604766.78029880079</v>
      </c>
      <c r="D131" s="18">
        <f t="shared" si="10"/>
        <v>4990.7212168886126</v>
      </c>
      <c r="E131" s="18">
        <f t="shared" si="11"/>
        <v>1110.1343766379741</v>
      </c>
      <c r="F131" s="16">
        <f t="shared" si="12"/>
        <v>2.2027685636227902E-2</v>
      </c>
      <c r="G131" s="18">
        <f t="shared" si="13"/>
        <v>3880.5868402506385</v>
      </c>
      <c r="H131" s="16">
        <f t="shared" si="14"/>
        <v>7.6999999999999999E-2</v>
      </c>
      <c r="I131" s="18">
        <f t="shared" si="18"/>
        <v>96343.354077837081</v>
      </c>
      <c r="J131" s="18">
        <f t="shared" si="19"/>
        <v>532487.51925012795</v>
      </c>
      <c r="K131" s="18">
        <f t="shared" si="15"/>
        <v>603656.6459221628</v>
      </c>
      <c r="L131" s="18">
        <f t="shared" si="16"/>
        <v>628830.87332796503</v>
      </c>
    </row>
    <row r="132" spans="1:12" x14ac:dyDescent="0.3">
      <c r="A132">
        <v>127</v>
      </c>
      <c r="B132" s="17">
        <v>48700</v>
      </c>
      <c r="C132" s="18">
        <f t="shared" si="17"/>
        <v>603656.6459221628</v>
      </c>
      <c r="D132" s="18">
        <f t="shared" si="10"/>
        <v>4990.7212168886126</v>
      </c>
      <c r="E132" s="18">
        <f t="shared" si="11"/>
        <v>1117.2577388880677</v>
      </c>
      <c r="F132" s="16">
        <f t="shared" si="12"/>
        <v>2.2209799158552725E-2</v>
      </c>
      <c r="G132" s="18">
        <f t="shared" si="13"/>
        <v>3873.4634780005449</v>
      </c>
      <c r="H132" s="16">
        <f t="shared" si="14"/>
        <v>7.6999999999999999E-2</v>
      </c>
      <c r="I132" s="18">
        <f t="shared" si="18"/>
        <v>97460.611816725155</v>
      </c>
      <c r="J132" s="18">
        <f t="shared" si="19"/>
        <v>536360.98272812855</v>
      </c>
      <c r="K132" s="18">
        <f t="shared" si="15"/>
        <v>602539.38818327477</v>
      </c>
      <c r="L132" s="18">
        <f t="shared" si="16"/>
        <v>633821.59454485367</v>
      </c>
    </row>
    <row r="133" spans="1:12" x14ac:dyDescent="0.3">
      <c r="A133">
        <v>128</v>
      </c>
      <c r="B133" s="17">
        <v>48731</v>
      </c>
      <c r="C133" s="18">
        <f t="shared" si="17"/>
        <v>602539.38818327477</v>
      </c>
      <c r="D133" s="18">
        <f t="shared" si="10"/>
        <v>4990.7212168886126</v>
      </c>
      <c r="E133" s="18">
        <f t="shared" si="11"/>
        <v>1124.4268093792662</v>
      </c>
      <c r="F133" s="16">
        <f t="shared" si="12"/>
        <v>2.239375877689009E-2</v>
      </c>
      <c r="G133" s="18">
        <f t="shared" si="13"/>
        <v>3866.2944075093465</v>
      </c>
      <c r="H133" s="16">
        <f t="shared" si="14"/>
        <v>7.6999999999999999E-2</v>
      </c>
      <c r="I133" s="18">
        <f t="shared" si="18"/>
        <v>98585.038626104419</v>
      </c>
      <c r="J133" s="18">
        <f t="shared" si="19"/>
        <v>540227.27713563794</v>
      </c>
      <c r="K133" s="18">
        <f t="shared" si="15"/>
        <v>601414.96137389552</v>
      </c>
      <c r="L133" s="18">
        <f t="shared" si="16"/>
        <v>638812.31576174241</v>
      </c>
    </row>
    <row r="134" spans="1:12" x14ac:dyDescent="0.3">
      <c r="A134">
        <v>129</v>
      </c>
      <c r="B134" s="17">
        <v>48761</v>
      </c>
      <c r="C134" s="18">
        <f t="shared" si="17"/>
        <v>601414.96137389552</v>
      </c>
      <c r="D134" s="18">
        <f t="shared" si="10"/>
        <v>4990.7212168886126</v>
      </c>
      <c r="E134" s="18">
        <f t="shared" si="11"/>
        <v>1131.6418814061162</v>
      </c>
      <c r="F134" s="16">
        <f t="shared" si="12"/>
        <v>2.2579588884605394E-2</v>
      </c>
      <c r="G134" s="18">
        <f t="shared" si="13"/>
        <v>3859.0793354824964</v>
      </c>
      <c r="H134" s="16">
        <f t="shared" si="14"/>
        <v>7.6999999999999999E-2</v>
      </c>
      <c r="I134" s="18">
        <f t="shared" si="18"/>
        <v>99716.680507510537</v>
      </c>
      <c r="J134" s="18">
        <f t="shared" si="19"/>
        <v>544086.35647112038</v>
      </c>
      <c r="K134" s="18">
        <f t="shared" si="15"/>
        <v>600283.31949248945</v>
      </c>
      <c r="L134" s="18">
        <f t="shared" si="16"/>
        <v>643803.03697863093</v>
      </c>
    </row>
    <row r="135" spans="1:12" x14ac:dyDescent="0.3">
      <c r="A135">
        <v>130</v>
      </c>
      <c r="B135" s="17">
        <v>48792</v>
      </c>
      <c r="C135" s="18">
        <f t="shared" si="17"/>
        <v>600283.31949248945</v>
      </c>
      <c r="D135" s="18">
        <f t="shared" ref="D135:D198" si="20">$C$6/((($E$2)-1)/($E$1*$E$2))</f>
        <v>4990.7212168886126</v>
      </c>
      <c r="E135" s="18">
        <f t="shared" ref="E135:E198" si="21">D135-G135</f>
        <v>1138.9032501451384</v>
      </c>
      <c r="F135" s="16">
        <f t="shared" ref="F135:F198" si="22">(E135/C135)*12</f>
        <v>2.2767314296349785E-2</v>
      </c>
      <c r="G135" s="18">
        <f t="shared" ref="G135:G198" si="23">C135*($B$1/12)</f>
        <v>3851.8179667434742</v>
      </c>
      <c r="H135" s="16">
        <f t="shared" ref="H135:H198" si="24">(G135/C135)*12</f>
        <v>7.6999999999999999E-2</v>
      </c>
      <c r="I135" s="18">
        <f t="shared" si="18"/>
        <v>100855.58375765568</v>
      </c>
      <c r="J135" s="18">
        <f t="shared" si="19"/>
        <v>547938.17443786387</v>
      </c>
      <c r="K135" s="18">
        <f t="shared" ref="K135:K198" si="25">C135-E135</f>
        <v>599144.4162423443</v>
      </c>
      <c r="L135" s="18">
        <f t="shared" ref="L135:L198" si="26">I135+J135</f>
        <v>648793.75819551956</v>
      </c>
    </row>
    <row r="136" spans="1:12" x14ac:dyDescent="0.3">
      <c r="A136">
        <v>131</v>
      </c>
      <c r="B136" s="17">
        <v>48823</v>
      </c>
      <c r="C136" s="18">
        <f t="shared" ref="C136:C199" si="27">K135</f>
        <v>599144.4162423443</v>
      </c>
      <c r="D136" s="18">
        <f t="shared" si="20"/>
        <v>4990.7212168886126</v>
      </c>
      <c r="E136" s="18">
        <f t="shared" si="21"/>
        <v>1146.2112126669031</v>
      </c>
      <c r="F136" s="16">
        <f t="shared" si="22"/>
        <v>2.2956960257206751E-2</v>
      </c>
      <c r="G136" s="18">
        <f t="shared" si="23"/>
        <v>3844.5100042217096</v>
      </c>
      <c r="H136" s="16">
        <f t="shared" si="24"/>
        <v>7.6999999999999999E-2</v>
      </c>
      <c r="I136" s="18">
        <f t="shared" ref="I136:I199" si="28">I135+E136</f>
        <v>102001.79497032259</v>
      </c>
      <c r="J136" s="18">
        <f t="shared" ref="J136:J199" si="29">J135+G136</f>
        <v>551782.68444208556</v>
      </c>
      <c r="K136" s="18">
        <f t="shared" si="25"/>
        <v>597998.20502967737</v>
      </c>
      <c r="L136" s="18">
        <f t="shared" si="26"/>
        <v>653784.4794124082</v>
      </c>
    </row>
    <row r="137" spans="1:12" x14ac:dyDescent="0.3">
      <c r="A137">
        <v>132</v>
      </c>
      <c r="B137" s="17">
        <v>48853</v>
      </c>
      <c r="C137" s="18">
        <f t="shared" si="27"/>
        <v>597998.20502967737</v>
      </c>
      <c r="D137" s="18">
        <f t="shared" si="20"/>
        <v>4990.7212168886126</v>
      </c>
      <c r="E137" s="18">
        <f t="shared" si="21"/>
        <v>1153.5660679481825</v>
      </c>
      <c r="F137" s="16">
        <f t="shared" si="22"/>
        <v>2.314855245207835E-2</v>
      </c>
      <c r="G137" s="18">
        <f t="shared" si="23"/>
        <v>3837.1551489404301</v>
      </c>
      <c r="H137" s="16">
        <f t="shared" si="24"/>
        <v>7.6999999999999999E-2</v>
      </c>
      <c r="I137" s="18">
        <f t="shared" si="28"/>
        <v>103155.36103827077</v>
      </c>
      <c r="J137" s="18">
        <f t="shared" si="29"/>
        <v>555619.83959102596</v>
      </c>
      <c r="K137" s="18">
        <f t="shared" si="25"/>
        <v>596844.63896172913</v>
      </c>
      <c r="L137" s="18">
        <f t="shared" si="26"/>
        <v>658775.20062929671</v>
      </c>
    </row>
    <row r="138" spans="1:12" x14ac:dyDescent="0.3">
      <c r="A138">
        <v>133</v>
      </c>
      <c r="B138" s="17">
        <v>48884</v>
      </c>
      <c r="C138" s="18">
        <f t="shared" si="27"/>
        <v>596844.63896172913</v>
      </c>
      <c r="D138" s="18">
        <f t="shared" si="20"/>
        <v>4990.7212168886126</v>
      </c>
      <c r="E138" s="18">
        <f t="shared" si="21"/>
        <v>1160.9681168841839</v>
      </c>
      <c r="F138" s="16">
        <f t="shared" si="22"/>
        <v>2.3342117015318506E-2</v>
      </c>
      <c r="G138" s="18">
        <f t="shared" si="23"/>
        <v>3829.7531000044287</v>
      </c>
      <c r="H138" s="16">
        <f t="shared" si="24"/>
        <v>7.6999999999999999E-2</v>
      </c>
      <c r="I138" s="18">
        <f t="shared" si="28"/>
        <v>104316.32915515495</v>
      </c>
      <c r="J138" s="18">
        <f t="shared" si="29"/>
        <v>559449.59269103035</v>
      </c>
      <c r="K138" s="18">
        <f t="shared" si="25"/>
        <v>595683.67084484489</v>
      </c>
      <c r="L138" s="18">
        <f t="shared" si="26"/>
        <v>663765.92184618535</v>
      </c>
    </row>
    <row r="139" spans="1:12" x14ac:dyDescent="0.3">
      <c r="A139">
        <v>134</v>
      </c>
      <c r="B139" s="17">
        <v>48914</v>
      </c>
      <c r="C139" s="18">
        <f t="shared" si="27"/>
        <v>595683.67084484489</v>
      </c>
      <c r="D139" s="18">
        <f t="shared" si="20"/>
        <v>4990.7212168886126</v>
      </c>
      <c r="E139" s="18">
        <f t="shared" si="21"/>
        <v>1168.417662300858</v>
      </c>
      <c r="F139" s="16">
        <f t="shared" si="22"/>
        <v>2.3537680540620838E-2</v>
      </c>
      <c r="G139" s="18">
        <f t="shared" si="23"/>
        <v>3822.3035545877547</v>
      </c>
      <c r="H139" s="16">
        <f t="shared" si="24"/>
        <v>7.6999999999999999E-2</v>
      </c>
      <c r="I139" s="18">
        <f t="shared" si="28"/>
        <v>105484.7468174558</v>
      </c>
      <c r="J139" s="18">
        <f t="shared" si="29"/>
        <v>563271.89624561812</v>
      </c>
      <c r="K139" s="18">
        <f t="shared" si="25"/>
        <v>594515.25318254402</v>
      </c>
      <c r="L139" s="18">
        <f t="shared" si="26"/>
        <v>668756.64306307398</v>
      </c>
    </row>
    <row r="140" spans="1:12" x14ac:dyDescent="0.3">
      <c r="A140">
        <v>135</v>
      </c>
      <c r="B140" s="17">
        <v>48945</v>
      </c>
      <c r="C140" s="18">
        <f t="shared" si="27"/>
        <v>594515.25318254402</v>
      </c>
      <c r="D140" s="18">
        <f t="shared" si="20"/>
        <v>4990.7212168886126</v>
      </c>
      <c r="E140" s="18">
        <f t="shared" si="21"/>
        <v>1175.9150089672885</v>
      </c>
      <c r="F140" s="16">
        <f t="shared" si="22"/>
        <v>2.3735270091169099E-2</v>
      </c>
      <c r="G140" s="18">
        <f t="shared" si="23"/>
        <v>3814.8062079213241</v>
      </c>
      <c r="H140" s="16">
        <f t="shared" si="24"/>
        <v>7.6999999999999999E-2</v>
      </c>
      <c r="I140" s="18">
        <f t="shared" si="28"/>
        <v>106660.66182642309</v>
      </c>
      <c r="J140" s="18">
        <f t="shared" si="29"/>
        <v>567086.70245353947</v>
      </c>
      <c r="K140" s="18">
        <f t="shared" si="25"/>
        <v>593339.33817357675</v>
      </c>
      <c r="L140" s="18">
        <f t="shared" si="26"/>
        <v>673747.36427996261</v>
      </c>
    </row>
    <row r="141" spans="1:12" x14ac:dyDescent="0.3">
      <c r="A141">
        <v>136</v>
      </c>
      <c r="B141" s="17">
        <v>48976</v>
      </c>
      <c r="C141" s="18">
        <f t="shared" si="27"/>
        <v>593339.33817357675</v>
      </c>
      <c r="D141" s="18">
        <f t="shared" si="20"/>
        <v>4990.7212168886126</v>
      </c>
      <c r="E141" s="18">
        <f t="shared" si="21"/>
        <v>1183.4604636081617</v>
      </c>
      <c r="F141" s="16">
        <f t="shared" si="22"/>
        <v>2.3934913210058216E-2</v>
      </c>
      <c r="G141" s="18">
        <f t="shared" si="23"/>
        <v>3807.2607532804509</v>
      </c>
      <c r="H141" s="16">
        <f t="shared" si="24"/>
        <v>7.6999999999999999E-2</v>
      </c>
      <c r="I141" s="18">
        <f t="shared" si="28"/>
        <v>107844.12229003126</v>
      </c>
      <c r="J141" s="18">
        <f t="shared" si="29"/>
        <v>570893.96320681996</v>
      </c>
      <c r="K141" s="18">
        <f t="shared" si="25"/>
        <v>592155.8777099686</v>
      </c>
      <c r="L141" s="18">
        <f t="shared" si="26"/>
        <v>678738.08549685124</v>
      </c>
    </row>
    <row r="142" spans="1:12" x14ac:dyDescent="0.3">
      <c r="A142">
        <v>137</v>
      </c>
      <c r="B142" s="17">
        <v>49004</v>
      </c>
      <c r="C142" s="18">
        <f t="shared" si="27"/>
        <v>592155.8777099686</v>
      </c>
      <c r="D142" s="18">
        <f t="shared" si="20"/>
        <v>4990.7212168886126</v>
      </c>
      <c r="E142" s="18">
        <f t="shared" si="21"/>
        <v>1191.054334916314</v>
      </c>
      <c r="F142" s="16">
        <f t="shared" si="22"/>
        <v>2.4136637930994499E-2</v>
      </c>
      <c r="G142" s="18">
        <f t="shared" si="23"/>
        <v>3799.6668819722986</v>
      </c>
      <c r="H142" s="16">
        <f t="shared" si="24"/>
        <v>7.6999999999999999E-2</v>
      </c>
      <c r="I142" s="18">
        <f t="shared" si="28"/>
        <v>109035.17662494758</v>
      </c>
      <c r="J142" s="18">
        <f t="shared" si="29"/>
        <v>574693.6300887923</v>
      </c>
      <c r="K142" s="18">
        <f t="shared" si="25"/>
        <v>590964.82337505231</v>
      </c>
      <c r="L142" s="18">
        <f t="shared" si="26"/>
        <v>683728.80671373988</v>
      </c>
    </row>
    <row r="143" spans="1:12" x14ac:dyDescent="0.3">
      <c r="A143">
        <v>138</v>
      </c>
      <c r="B143" s="17">
        <v>49035</v>
      </c>
      <c r="C143" s="18">
        <f t="shared" si="27"/>
        <v>590964.82337505231</v>
      </c>
      <c r="D143" s="18">
        <f t="shared" si="20"/>
        <v>4990.7212168886126</v>
      </c>
      <c r="E143" s="18">
        <f t="shared" si="21"/>
        <v>1198.6969335653603</v>
      </c>
      <c r="F143" s="16">
        <f t="shared" si="22"/>
        <v>2.4340472789283724E-2</v>
      </c>
      <c r="G143" s="18">
        <f t="shared" si="23"/>
        <v>3792.0242833232523</v>
      </c>
      <c r="H143" s="16">
        <f t="shared" si="24"/>
        <v>7.6999999999999999E-2</v>
      </c>
      <c r="I143" s="18">
        <f t="shared" si="28"/>
        <v>110233.87355851293</v>
      </c>
      <c r="J143" s="18">
        <f t="shared" si="29"/>
        <v>578485.6543721155</v>
      </c>
      <c r="K143" s="18">
        <f t="shared" si="25"/>
        <v>589766.12644148699</v>
      </c>
      <c r="L143" s="18">
        <f t="shared" si="26"/>
        <v>688719.52793062839</v>
      </c>
    </row>
    <row r="144" spans="1:12" x14ac:dyDescent="0.3">
      <c r="A144">
        <v>139</v>
      </c>
      <c r="B144" s="17">
        <v>49065</v>
      </c>
      <c r="C144" s="18">
        <f t="shared" si="27"/>
        <v>589766.12644148699</v>
      </c>
      <c r="D144" s="18">
        <f t="shared" si="20"/>
        <v>4990.7212168886126</v>
      </c>
      <c r="E144" s="18">
        <f t="shared" si="21"/>
        <v>1206.3885722224045</v>
      </c>
      <c r="F144" s="16">
        <f t="shared" si="22"/>
        <v>2.4546446833116211E-2</v>
      </c>
      <c r="G144" s="18">
        <f t="shared" si="23"/>
        <v>3784.3326446662081</v>
      </c>
      <c r="H144" s="16">
        <f t="shared" si="24"/>
        <v>7.6999999999999999E-2</v>
      </c>
      <c r="I144" s="18">
        <f t="shared" si="28"/>
        <v>111440.26213073534</v>
      </c>
      <c r="J144" s="18">
        <f t="shared" si="29"/>
        <v>582269.9870167817</v>
      </c>
      <c r="K144" s="18">
        <f t="shared" si="25"/>
        <v>588559.73786926456</v>
      </c>
      <c r="L144" s="18">
        <f t="shared" si="26"/>
        <v>693710.24914751702</v>
      </c>
    </row>
    <row r="145" spans="1:12" x14ac:dyDescent="0.3">
      <c r="A145">
        <v>140</v>
      </c>
      <c r="B145" s="17">
        <v>49096</v>
      </c>
      <c r="C145" s="18">
        <f t="shared" si="27"/>
        <v>588559.73786926456</v>
      </c>
      <c r="D145" s="18">
        <f t="shared" si="20"/>
        <v>4990.7212168886126</v>
      </c>
      <c r="E145" s="18">
        <f t="shared" si="21"/>
        <v>1214.1295655608315</v>
      </c>
      <c r="F145" s="16">
        <f t="shared" si="22"/>
        <v>2.4754589635158291E-2</v>
      </c>
      <c r="G145" s="18">
        <f t="shared" si="23"/>
        <v>3776.5916513277812</v>
      </c>
      <c r="H145" s="16">
        <f t="shared" si="24"/>
        <v>7.6999999999999999E-2</v>
      </c>
      <c r="I145" s="18">
        <f t="shared" si="28"/>
        <v>112654.39169629617</v>
      </c>
      <c r="J145" s="18">
        <f t="shared" si="29"/>
        <v>586046.57866810949</v>
      </c>
      <c r="K145" s="18">
        <f t="shared" si="25"/>
        <v>587345.60830370372</v>
      </c>
      <c r="L145" s="18">
        <f t="shared" si="26"/>
        <v>698700.97036440566</v>
      </c>
    </row>
    <row r="146" spans="1:12" x14ac:dyDescent="0.3">
      <c r="A146">
        <v>141</v>
      </c>
      <c r="B146" s="17">
        <v>49126</v>
      </c>
      <c r="C146" s="18">
        <f t="shared" si="27"/>
        <v>587345.60830370372</v>
      </c>
      <c r="D146" s="18">
        <f t="shared" si="20"/>
        <v>4990.7212168886126</v>
      </c>
      <c r="E146" s="18">
        <f t="shared" si="21"/>
        <v>1221.9202302731801</v>
      </c>
      <c r="F146" s="16">
        <f t="shared" si="22"/>
        <v>2.4964931304459873E-2</v>
      </c>
      <c r="G146" s="18">
        <f t="shared" si="23"/>
        <v>3768.8009866154325</v>
      </c>
      <c r="H146" s="16">
        <f t="shared" si="24"/>
        <v>7.6999999999999999E-2</v>
      </c>
      <c r="I146" s="18">
        <f t="shared" si="28"/>
        <v>113876.31192656935</v>
      </c>
      <c r="J146" s="18">
        <f t="shared" si="29"/>
        <v>589815.37965472497</v>
      </c>
      <c r="K146" s="18">
        <f t="shared" si="25"/>
        <v>586123.68807343056</v>
      </c>
      <c r="L146" s="18">
        <f t="shared" si="26"/>
        <v>703691.69158129429</v>
      </c>
    </row>
    <row r="147" spans="1:12" x14ac:dyDescent="0.3">
      <c r="A147">
        <v>142</v>
      </c>
      <c r="B147" s="17">
        <v>49157</v>
      </c>
      <c r="C147" s="18">
        <f t="shared" si="27"/>
        <v>586123.68807343056</v>
      </c>
      <c r="D147" s="18">
        <f t="shared" si="20"/>
        <v>4990.7212168886126</v>
      </c>
      <c r="E147" s="18">
        <f t="shared" si="21"/>
        <v>1229.7608850840998</v>
      </c>
      <c r="F147" s="16">
        <f t="shared" si="22"/>
        <v>2.5177502498688296E-2</v>
      </c>
      <c r="G147" s="18">
        <f t="shared" si="23"/>
        <v>3760.9603318045129</v>
      </c>
      <c r="H147" s="16">
        <f t="shared" si="24"/>
        <v>7.6999999999999999E-2</v>
      </c>
      <c r="I147" s="18">
        <f t="shared" si="28"/>
        <v>115106.07281165346</v>
      </c>
      <c r="J147" s="18">
        <f t="shared" si="29"/>
        <v>593576.33998652943</v>
      </c>
      <c r="K147" s="18">
        <f t="shared" si="25"/>
        <v>584893.92718834651</v>
      </c>
      <c r="L147" s="18">
        <f t="shared" si="26"/>
        <v>708682.41279818292</v>
      </c>
    </row>
    <row r="148" spans="1:12" x14ac:dyDescent="0.3">
      <c r="A148">
        <v>143</v>
      </c>
      <c r="B148" s="17">
        <v>49188</v>
      </c>
      <c r="C148" s="18">
        <f t="shared" si="27"/>
        <v>584893.92718834651</v>
      </c>
      <c r="D148" s="18">
        <f t="shared" si="20"/>
        <v>4990.7212168886126</v>
      </c>
      <c r="E148" s="18">
        <f t="shared" si="21"/>
        <v>1237.6518507633891</v>
      </c>
      <c r="F148" s="16">
        <f t="shared" si="22"/>
        <v>2.5392334436698832E-2</v>
      </c>
      <c r="G148" s="18">
        <f t="shared" si="23"/>
        <v>3753.0693661252235</v>
      </c>
      <c r="H148" s="16">
        <f t="shared" si="24"/>
        <v>7.6999999999999999E-2</v>
      </c>
      <c r="I148" s="18">
        <f t="shared" si="28"/>
        <v>116343.72466241685</v>
      </c>
      <c r="J148" s="18">
        <f t="shared" si="29"/>
        <v>597329.40935265471</v>
      </c>
      <c r="K148" s="18">
        <f t="shared" si="25"/>
        <v>583656.27533758315</v>
      </c>
      <c r="L148" s="18">
        <f t="shared" si="26"/>
        <v>713673.13401507156</v>
      </c>
    </row>
    <row r="149" spans="1:12" x14ac:dyDescent="0.3">
      <c r="A149">
        <v>144</v>
      </c>
      <c r="B149" s="17">
        <v>49218</v>
      </c>
      <c r="C149" s="18">
        <f t="shared" si="27"/>
        <v>583656.27533758315</v>
      </c>
      <c r="D149" s="18">
        <f t="shared" si="20"/>
        <v>4990.7212168886126</v>
      </c>
      <c r="E149" s="18">
        <f t="shared" si="21"/>
        <v>1245.5934501391207</v>
      </c>
      <c r="F149" s="16">
        <f t="shared" si="22"/>
        <v>2.5609458911452852E-2</v>
      </c>
      <c r="G149" s="18">
        <f t="shared" si="23"/>
        <v>3745.1277667494919</v>
      </c>
      <c r="H149" s="16">
        <f t="shared" si="24"/>
        <v>7.6999999999999999E-2</v>
      </c>
      <c r="I149" s="18">
        <f t="shared" si="28"/>
        <v>117589.31811255596</v>
      </c>
      <c r="J149" s="18">
        <f t="shared" si="29"/>
        <v>601074.53711940418</v>
      </c>
      <c r="K149" s="18">
        <f t="shared" si="25"/>
        <v>582410.68188744399</v>
      </c>
      <c r="L149" s="18">
        <f t="shared" si="26"/>
        <v>718663.85523196019</v>
      </c>
    </row>
    <row r="150" spans="1:12" x14ac:dyDescent="0.3">
      <c r="A150">
        <v>145</v>
      </c>
      <c r="B150" s="17">
        <v>49249</v>
      </c>
      <c r="C150" s="18">
        <f t="shared" si="27"/>
        <v>582410.68188744399</v>
      </c>
      <c r="D150" s="18">
        <f t="shared" si="20"/>
        <v>4990.7212168886126</v>
      </c>
      <c r="E150" s="18">
        <f t="shared" si="21"/>
        <v>1253.5860081108467</v>
      </c>
      <c r="F150" s="16">
        <f t="shared" si="22"/>
        <v>2.5828908303294748E-2</v>
      </c>
      <c r="G150" s="18">
        <f t="shared" si="23"/>
        <v>3737.1352087777659</v>
      </c>
      <c r="H150" s="16">
        <f t="shared" si="24"/>
        <v>7.6999999999999999E-2</v>
      </c>
      <c r="I150" s="18">
        <f t="shared" si="28"/>
        <v>118842.9041206668</v>
      </c>
      <c r="J150" s="18">
        <f t="shared" si="29"/>
        <v>604811.67232818191</v>
      </c>
      <c r="K150" s="18">
        <f t="shared" si="25"/>
        <v>581157.09587933309</v>
      </c>
      <c r="L150" s="18">
        <f t="shared" si="26"/>
        <v>723654.5764488487</v>
      </c>
    </row>
    <row r="151" spans="1:12" x14ac:dyDescent="0.3">
      <c r="A151">
        <v>146</v>
      </c>
      <c r="B151" s="17">
        <v>49279</v>
      </c>
      <c r="C151" s="18">
        <f t="shared" si="27"/>
        <v>581157.09587933309</v>
      </c>
      <c r="D151" s="18">
        <f t="shared" si="20"/>
        <v>4990.7212168886126</v>
      </c>
      <c r="E151" s="18">
        <f t="shared" si="21"/>
        <v>1261.6298516628917</v>
      </c>
      <c r="F151" s="16">
        <f t="shared" si="22"/>
        <v>2.6050715593599429E-2</v>
      </c>
      <c r="G151" s="18">
        <f t="shared" si="23"/>
        <v>3729.0913652257209</v>
      </c>
      <c r="H151" s="16">
        <f t="shared" si="24"/>
        <v>7.6999999999999999E-2</v>
      </c>
      <c r="I151" s="18">
        <f t="shared" si="28"/>
        <v>120104.53397232969</v>
      </c>
      <c r="J151" s="18">
        <f t="shared" si="29"/>
        <v>608540.76369340764</v>
      </c>
      <c r="K151" s="18">
        <f t="shared" si="25"/>
        <v>579895.46602767019</v>
      </c>
      <c r="L151" s="18">
        <f t="shared" si="26"/>
        <v>728645.29766573734</v>
      </c>
    </row>
    <row r="152" spans="1:12" x14ac:dyDescent="0.3">
      <c r="A152">
        <v>147</v>
      </c>
      <c r="B152" s="17">
        <v>49310</v>
      </c>
      <c r="C152" s="18">
        <f t="shared" si="27"/>
        <v>579895.46602767019</v>
      </c>
      <c r="D152" s="18">
        <f t="shared" si="20"/>
        <v>4990.7212168886126</v>
      </c>
      <c r="E152" s="18">
        <f t="shared" si="21"/>
        <v>1269.7253098777287</v>
      </c>
      <c r="F152" s="16">
        <f t="shared" si="22"/>
        <v>2.6274914378802389E-2</v>
      </c>
      <c r="G152" s="18">
        <f t="shared" si="23"/>
        <v>3720.9959070108839</v>
      </c>
      <c r="H152" s="16">
        <f t="shared" si="24"/>
        <v>7.6999999999999999E-2</v>
      </c>
      <c r="I152" s="18">
        <f t="shared" si="28"/>
        <v>121374.25928220742</v>
      </c>
      <c r="J152" s="18">
        <f t="shared" si="29"/>
        <v>612261.7596004185</v>
      </c>
      <c r="K152" s="18">
        <f t="shared" si="25"/>
        <v>578625.74071779242</v>
      </c>
      <c r="L152" s="18">
        <f t="shared" si="26"/>
        <v>733636.01888262597</v>
      </c>
    </row>
    <row r="153" spans="1:12" x14ac:dyDescent="0.3">
      <c r="A153">
        <v>148</v>
      </c>
      <c r="B153" s="17">
        <v>49341</v>
      </c>
      <c r="C153" s="18">
        <f t="shared" si="27"/>
        <v>578625.74071779242</v>
      </c>
      <c r="D153" s="18">
        <f t="shared" si="20"/>
        <v>4990.7212168886126</v>
      </c>
      <c r="E153" s="18">
        <f t="shared" si="21"/>
        <v>1277.8727139494445</v>
      </c>
      <c r="F153" s="16">
        <f t="shared" si="22"/>
        <v>2.6501538884825156E-2</v>
      </c>
      <c r="G153" s="18">
        <f t="shared" si="23"/>
        <v>3712.8485029391682</v>
      </c>
      <c r="H153" s="16">
        <f t="shared" si="24"/>
        <v>7.6999999999999999E-2</v>
      </c>
      <c r="I153" s="18">
        <f t="shared" si="28"/>
        <v>122652.13199615687</v>
      </c>
      <c r="J153" s="18">
        <f t="shared" si="29"/>
        <v>615974.60810335772</v>
      </c>
      <c r="K153" s="18">
        <f t="shared" si="25"/>
        <v>577347.868003843</v>
      </c>
      <c r="L153" s="18">
        <f t="shared" si="26"/>
        <v>738626.7400995146</v>
      </c>
    </row>
    <row r="154" spans="1:12" x14ac:dyDescent="0.3">
      <c r="A154">
        <v>149</v>
      </c>
      <c r="B154" s="17">
        <v>49369</v>
      </c>
      <c r="C154" s="18">
        <f t="shared" si="27"/>
        <v>577347.868003843</v>
      </c>
      <c r="D154" s="18">
        <f t="shared" si="20"/>
        <v>4990.7212168886126</v>
      </c>
      <c r="E154" s="18">
        <f t="shared" si="21"/>
        <v>1286.0723971972866</v>
      </c>
      <c r="F154" s="16">
        <f t="shared" si="22"/>
        <v>2.6730623981908792E-2</v>
      </c>
      <c r="G154" s="18">
        <f t="shared" si="23"/>
        <v>3704.648819691326</v>
      </c>
      <c r="H154" s="16">
        <f t="shared" si="24"/>
        <v>7.6999999999999999E-2</v>
      </c>
      <c r="I154" s="18">
        <f t="shared" si="28"/>
        <v>123938.20439335416</v>
      </c>
      <c r="J154" s="18">
        <f t="shared" si="29"/>
        <v>619679.25692304899</v>
      </c>
      <c r="K154" s="18">
        <f t="shared" si="25"/>
        <v>576061.79560664576</v>
      </c>
      <c r="L154" s="18">
        <f t="shared" si="26"/>
        <v>743617.46131640312</v>
      </c>
    </row>
    <row r="155" spans="1:12" x14ac:dyDescent="0.3">
      <c r="A155">
        <v>150</v>
      </c>
      <c r="B155" s="17">
        <v>49400</v>
      </c>
      <c r="C155" s="18">
        <f t="shared" si="27"/>
        <v>576061.79560664576</v>
      </c>
      <c r="D155" s="18">
        <f t="shared" si="20"/>
        <v>4990.7212168886126</v>
      </c>
      <c r="E155" s="18">
        <f t="shared" si="21"/>
        <v>1294.3246950793023</v>
      </c>
      <c r="F155" s="16">
        <f t="shared" si="22"/>
        <v>2.6962205199869436E-2</v>
      </c>
      <c r="G155" s="18">
        <f t="shared" si="23"/>
        <v>3696.3965218093103</v>
      </c>
      <c r="H155" s="16">
        <f t="shared" si="24"/>
        <v>7.6999999999999999E-2</v>
      </c>
      <c r="I155" s="18">
        <f t="shared" si="28"/>
        <v>125232.52908843345</v>
      </c>
      <c r="J155" s="18">
        <f t="shared" si="29"/>
        <v>623375.65344485827</v>
      </c>
      <c r="K155" s="18">
        <f t="shared" si="25"/>
        <v>574767.4709115664</v>
      </c>
      <c r="L155" s="18">
        <f t="shared" si="26"/>
        <v>748608.18253329175</v>
      </c>
    </row>
    <row r="156" spans="1:12" x14ac:dyDescent="0.3">
      <c r="A156">
        <v>151</v>
      </c>
      <c r="B156" s="17">
        <v>49430</v>
      </c>
      <c r="C156" s="18">
        <f t="shared" si="27"/>
        <v>574767.4709115664</v>
      </c>
      <c r="D156" s="18">
        <f t="shared" si="20"/>
        <v>4990.7212168886126</v>
      </c>
      <c r="E156" s="18">
        <f t="shared" si="21"/>
        <v>1302.6299452060616</v>
      </c>
      <c r="F156" s="16">
        <f t="shared" si="22"/>
        <v>2.7196318743789534E-2</v>
      </c>
      <c r="G156" s="18">
        <f t="shared" si="23"/>
        <v>3688.091271682551</v>
      </c>
      <c r="H156" s="16">
        <f t="shared" si="24"/>
        <v>7.6999999999999999E-2</v>
      </c>
      <c r="I156" s="18">
        <f t="shared" si="28"/>
        <v>126535.15903363952</v>
      </c>
      <c r="J156" s="18">
        <f t="shared" si="29"/>
        <v>627063.74471654079</v>
      </c>
      <c r="K156" s="18">
        <f t="shared" si="25"/>
        <v>573464.84096636029</v>
      </c>
      <c r="L156" s="18">
        <f t="shared" si="26"/>
        <v>753598.90375018027</v>
      </c>
    </row>
    <row r="157" spans="1:12" x14ac:dyDescent="0.3">
      <c r="A157">
        <v>152</v>
      </c>
      <c r="B157" s="17">
        <v>49461</v>
      </c>
      <c r="C157" s="18">
        <f t="shared" si="27"/>
        <v>573464.84096636029</v>
      </c>
      <c r="D157" s="18">
        <f t="shared" si="20"/>
        <v>4990.7212168886126</v>
      </c>
      <c r="E157" s="18">
        <f t="shared" si="21"/>
        <v>1310.9884873544675</v>
      </c>
      <c r="F157" s="16">
        <f t="shared" si="22"/>
        <v>2.7433001510159621E-2</v>
      </c>
      <c r="G157" s="18">
        <f t="shared" si="23"/>
        <v>3679.7327295341452</v>
      </c>
      <c r="H157" s="16">
        <f t="shared" si="24"/>
        <v>7.6999999999999999E-2</v>
      </c>
      <c r="I157" s="18">
        <f t="shared" si="28"/>
        <v>127846.14752099398</v>
      </c>
      <c r="J157" s="18">
        <f t="shared" si="29"/>
        <v>630743.47744607495</v>
      </c>
      <c r="K157" s="18">
        <f t="shared" si="25"/>
        <v>572153.85247900581</v>
      </c>
      <c r="L157" s="18">
        <f t="shared" si="26"/>
        <v>758589.6249670689</v>
      </c>
    </row>
    <row r="158" spans="1:12" x14ac:dyDescent="0.3">
      <c r="A158">
        <v>153</v>
      </c>
      <c r="B158" s="17">
        <v>49491</v>
      </c>
      <c r="C158" s="18">
        <f t="shared" si="27"/>
        <v>572153.85247900581</v>
      </c>
      <c r="D158" s="18">
        <f t="shared" si="20"/>
        <v>4990.7212168886126</v>
      </c>
      <c r="E158" s="18">
        <f t="shared" si="21"/>
        <v>1319.4006634816587</v>
      </c>
      <c r="F158" s="16">
        <f t="shared" si="22"/>
        <v>2.7672291103485774E-2</v>
      </c>
      <c r="G158" s="18">
        <f t="shared" si="23"/>
        <v>3671.3205534069539</v>
      </c>
      <c r="H158" s="16">
        <f t="shared" si="24"/>
        <v>7.6999999999999999E-2</v>
      </c>
      <c r="I158" s="18">
        <f t="shared" si="28"/>
        <v>129165.54818447564</v>
      </c>
      <c r="J158" s="18">
        <f t="shared" si="29"/>
        <v>634414.7979994819</v>
      </c>
      <c r="K158" s="18">
        <f t="shared" si="25"/>
        <v>570834.45181552414</v>
      </c>
      <c r="L158" s="18">
        <f t="shared" si="26"/>
        <v>763580.34618395753</v>
      </c>
    </row>
    <row r="159" spans="1:12" x14ac:dyDescent="0.3">
      <c r="A159">
        <v>154</v>
      </c>
      <c r="B159" s="17">
        <v>49522</v>
      </c>
      <c r="C159" s="18">
        <f t="shared" si="27"/>
        <v>570834.45181552414</v>
      </c>
      <c r="D159" s="18">
        <f t="shared" si="20"/>
        <v>4990.7212168886126</v>
      </c>
      <c r="E159" s="18">
        <f t="shared" si="21"/>
        <v>1327.8668177389991</v>
      </c>
      <c r="F159" s="16">
        <f t="shared" si="22"/>
        <v>2.7914225853378397E-2</v>
      </c>
      <c r="G159" s="18">
        <f t="shared" si="23"/>
        <v>3662.8543991496135</v>
      </c>
      <c r="H159" s="16">
        <f t="shared" si="24"/>
        <v>7.6999999999999999E-2</v>
      </c>
      <c r="I159" s="18">
        <f t="shared" si="28"/>
        <v>130493.41500221464</v>
      </c>
      <c r="J159" s="18">
        <f t="shared" si="29"/>
        <v>638077.65239863156</v>
      </c>
      <c r="K159" s="18">
        <f t="shared" si="25"/>
        <v>569506.58499778516</v>
      </c>
      <c r="L159" s="18">
        <f t="shared" si="26"/>
        <v>768571.06740084616</v>
      </c>
    </row>
    <row r="160" spans="1:12" x14ac:dyDescent="0.3">
      <c r="A160">
        <v>155</v>
      </c>
      <c r="B160" s="17">
        <v>49553</v>
      </c>
      <c r="C160" s="18">
        <f t="shared" si="27"/>
        <v>569506.58499778516</v>
      </c>
      <c r="D160" s="18">
        <f t="shared" si="20"/>
        <v>4990.7212168886126</v>
      </c>
      <c r="E160" s="18">
        <f t="shared" si="21"/>
        <v>1336.3872964861575</v>
      </c>
      <c r="F160" s="16">
        <f t="shared" si="22"/>
        <v>2.8158844832138784E-2</v>
      </c>
      <c r="G160" s="18">
        <f t="shared" si="23"/>
        <v>3654.3339204024551</v>
      </c>
      <c r="H160" s="16">
        <f t="shared" si="24"/>
        <v>7.6999999999999999E-2</v>
      </c>
      <c r="I160" s="18">
        <f t="shared" si="28"/>
        <v>131829.80229870079</v>
      </c>
      <c r="J160" s="18">
        <f t="shared" si="29"/>
        <v>641731.98631903401</v>
      </c>
      <c r="K160" s="18">
        <f t="shared" si="25"/>
        <v>568170.19770129898</v>
      </c>
      <c r="L160" s="18">
        <f t="shared" si="26"/>
        <v>773561.7886177348</v>
      </c>
    </row>
    <row r="161" spans="1:12" x14ac:dyDescent="0.3">
      <c r="A161">
        <v>156</v>
      </c>
      <c r="B161" s="17">
        <v>49583</v>
      </c>
      <c r="C161" s="18">
        <f t="shared" si="27"/>
        <v>568170.19770129898</v>
      </c>
      <c r="D161" s="18">
        <f t="shared" si="20"/>
        <v>4990.7212168886126</v>
      </c>
      <c r="E161" s="18">
        <f t="shared" si="21"/>
        <v>1344.9624483052776</v>
      </c>
      <c r="F161" s="16">
        <f t="shared" si="22"/>
        <v>2.8406187872860394E-2</v>
      </c>
      <c r="G161" s="18">
        <f t="shared" si="23"/>
        <v>3645.758768583335</v>
      </c>
      <c r="H161" s="16">
        <f t="shared" si="24"/>
        <v>7.6999999999999999E-2</v>
      </c>
      <c r="I161" s="18">
        <f t="shared" si="28"/>
        <v>133174.76474700606</v>
      </c>
      <c r="J161" s="18">
        <f t="shared" si="29"/>
        <v>645377.74508761731</v>
      </c>
      <c r="K161" s="18">
        <f t="shared" si="25"/>
        <v>566825.23525299365</v>
      </c>
      <c r="L161" s="18">
        <f t="shared" si="26"/>
        <v>778552.50983462343</v>
      </c>
    </row>
    <row r="162" spans="1:12" x14ac:dyDescent="0.3">
      <c r="A162">
        <v>157</v>
      </c>
      <c r="B162" s="17">
        <v>49614</v>
      </c>
      <c r="C162" s="18">
        <f t="shared" si="27"/>
        <v>566825.23525299365</v>
      </c>
      <c r="D162" s="18">
        <f t="shared" si="20"/>
        <v>4990.7212168886126</v>
      </c>
      <c r="E162" s="18">
        <f t="shared" si="21"/>
        <v>1353.5926240152367</v>
      </c>
      <c r="F162" s="16">
        <f t="shared" si="22"/>
        <v>2.8656295588062479E-2</v>
      </c>
      <c r="G162" s="18">
        <f t="shared" si="23"/>
        <v>3637.128592873376</v>
      </c>
      <c r="H162" s="16">
        <f t="shared" si="24"/>
        <v>7.6999999999999999E-2</v>
      </c>
      <c r="I162" s="18">
        <f t="shared" si="28"/>
        <v>134528.35737102129</v>
      </c>
      <c r="J162" s="18">
        <f t="shared" si="29"/>
        <v>649014.87368049065</v>
      </c>
      <c r="K162" s="18">
        <f t="shared" si="25"/>
        <v>565471.64262897836</v>
      </c>
      <c r="L162" s="18">
        <f t="shared" si="26"/>
        <v>783543.23105151195</v>
      </c>
    </row>
    <row r="163" spans="1:12" x14ac:dyDescent="0.3">
      <c r="A163">
        <v>158</v>
      </c>
      <c r="B163" s="17">
        <v>49644</v>
      </c>
      <c r="C163" s="18">
        <f t="shared" si="27"/>
        <v>565471.64262897836</v>
      </c>
      <c r="D163" s="18">
        <f t="shared" si="20"/>
        <v>4990.7212168886126</v>
      </c>
      <c r="E163" s="18">
        <f t="shared" si="21"/>
        <v>1362.2781766860012</v>
      </c>
      <c r="F163" s="16">
        <f t="shared" si="22"/>
        <v>2.8909209388874618E-2</v>
      </c>
      <c r="G163" s="18">
        <f t="shared" si="23"/>
        <v>3628.4430402026114</v>
      </c>
      <c r="H163" s="16">
        <f t="shared" si="24"/>
        <v>7.6999999999999999E-2</v>
      </c>
      <c r="I163" s="18">
        <f t="shared" si="28"/>
        <v>135890.63554770729</v>
      </c>
      <c r="J163" s="18">
        <f t="shared" si="29"/>
        <v>652643.31672069326</v>
      </c>
      <c r="K163" s="18">
        <f t="shared" si="25"/>
        <v>564109.36445229233</v>
      </c>
      <c r="L163" s="18">
        <f t="shared" si="26"/>
        <v>788533.95226840058</v>
      </c>
    </row>
    <row r="164" spans="1:12" x14ac:dyDescent="0.3">
      <c r="A164">
        <v>159</v>
      </c>
      <c r="B164" s="17">
        <v>49675</v>
      </c>
      <c r="C164" s="18">
        <f t="shared" si="27"/>
        <v>564109.36445229233</v>
      </c>
      <c r="D164" s="18">
        <f t="shared" si="20"/>
        <v>4990.7212168886126</v>
      </c>
      <c r="E164" s="18">
        <f t="shared" si="21"/>
        <v>1371.0194616530703</v>
      </c>
      <c r="F164" s="16">
        <f t="shared" si="22"/>
        <v>2.9164971504790957E-2</v>
      </c>
      <c r="G164" s="18">
        <f t="shared" si="23"/>
        <v>3619.7017552355424</v>
      </c>
      <c r="H164" s="16">
        <f t="shared" si="24"/>
        <v>7.6999999999999999E-2</v>
      </c>
      <c r="I164" s="18">
        <f t="shared" si="28"/>
        <v>137261.65500936037</v>
      </c>
      <c r="J164" s="18">
        <f t="shared" si="29"/>
        <v>656263.01847592881</v>
      </c>
      <c r="K164" s="18">
        <f t="shared" si="25"/>
        <v>562738.34499063925</v>
      </c>
      <c r="L164" s="18">
        <f t="shared" si="26"/>
        <v>793524.67348528921</v>
      </c>
    </row>
    <row r="165" spans="1:12" x14ac:dyDescent="0.3">
      <c r="A165">
        <v>160</v>
      </c>
      <c r="B165" s="17">
        <v>49706</v>
      </c>
      <c r="C165" s="18">
        <f t="shared" si="27"/>
        <v>562738.34499063925</v>
      </c>
      <c r="D165" s="18">
        <f t="shared" si="20"/>
        <v>4990.7212168886126</v>
      </c>
      <c r="E165" s="18">
        <f t="shared" si="21"/>
        <v>1379.8168365320107</v>
      </c>
      <c r="F165" s="16">
        <f t="shared" si="22"/>
        <v>2.9423625004014176E-2</v>
      </c>
      <c r="G165" s="18">
        <f t="shared" si="23"/>
        <v>3610.9043803566019</v>
      </c>
      <c r="H165" s="16">
        <f t="shared" si="24"/>
        <v>7.6999999999999999E-2</v>
      </c>
      <c r="I165" s="18">
        <f t="shared" si="28"/>
        <v>138641.47184589237</v>
      </c>
      <c r="J165" s="18">
        <f t="shared" si="29"/>
        <v>659873.92285628547</v>
      </c>
      <c r="K165" s="18">
        <f t="shared" si="25"/>
        <v>561358.52815410728</v>
      </c>
      <c r="L165" s="18">
        <f t="shared" si="26"/>
        <v>798515.39470217784</v>
      </c>
    </row>
    <row r="166" spans="1:12" x14ac:dyDescent="0.3">
      <c r="A166">
        <v>161</v>
      </c>
      <c r="B166" s="17">
        <v>49735</v>
      </c>
      <c r="C166" s="18">
        <f t="shared" si="27"/>
        <v>561358.52815410728</v>
      </c>
      <c r="D166" s="18">
        <f t="shared" si="20"/>
        <v>4990.7212168886126</v>
      </c>
      <c r="E166" s="18">
        <f t="shared" si="21"/>
        <v>1388.6706612330909</v>
      </c>
      <c r="F166" s="16">
        <f t="shared" si="22"/>
        <v>2.9685213814409857E-2</v>
      </c>
      <c r="G166" s="18">
        <f t="shared" si="23"/>
        <v>3602.0505556555217</v>
      </c>
      <c r="H166" s="16">
        <f t="shared" si="24"/>
        <v>7.6999999999999999E-2</v>
      </c>
      <c r="I166" s="18">
        <f t="shared" si="28"/>
        <v>140030.14250712548</v>
      </c>
      <c r="J166" s="18">
        <f t="shared" si="29"/>
        <v>663475.97341194097</v>
      </c>
      <c r="K166" s="18">
        <f t="shared" si="25"/>
        <v>559969.85749287414</v>
      </c>
      <c r="L166" s="18">
        <f t="shared" si="26"/>
        <v>803506.11591906648</v>
      </c>
    </row>
    <row r="167" spans="1:12" x14ac:dyDescent="0.3">
      <c r="A167">
        <v>162</v>
      </c>
      <c r="B167" s="17">
        <v>49766</v>
      </c>
      <c r="C167" s="18">
        <f t="shared" si="27"/>
        <v>559969.85749287414</v>
      </c>
      <c r="D167" s="18">
        <f t="shared" si="20"/>
        <v>4990.7212168886126</v>
      </c>
      <c r="E167" s="18">
        <f t="shared" si="21"/>
        <v>1397.5812979760035</v>
      </c>
      <c r="F167" s="16">
        <f t="shared" si="22"/>
        <v>2.99497827450926E-2</v>
      </c>
      <c r="G167" s="18">
        <f t="shared" si="23"/>
        <v>3593.1399189126091</v>
      </c>
      <c r="H167" s="16">
        <f t="shared" si="24"/>
        <v>7.6999999999999999E-2</v>
      </c>
      <c r="I167" s="18">
        <f t="shared" si="28"/>
        <v>141427.72380510147</v>
      </c>
      <c r="J167" s="18">
        <f t="shared" si="29"/>
        <v>667069.11333085352</v>
      </c>
      <c r="K167" s="18">
        <f t="shared" si="25"/>
        <v>558572.27619489818</v>
      </c>
      <c r="L167" s="18">
        <f t="shared" si="26"/>
        <v>808496.83713595499</v>
      </c>
    </row>
    <row r="168" spans="1:12" x14ac:dyDescent="0.3">
      <c r="A168">
        <v>163</v>
      </c>
      <c r="B168" s="17">
        <v>49796</v>
      </c>
      <c r="C168" s="18">
        <f t="shared" si="27"/>
        <v>558572.27619489818</v>
      </c>
      <c r="D168" s="18">
        <f t="shared" si="20"/>
        <v>4990.7212168886126</v>
      </c>
      <c r="E168" s="18">
        <f t="shared" si="21"/>
        <v>1406.5491113046824</v>
      </c>
      <c r="F168" s="16">
        <f t="shared" si="22"/>
        <v>3.0217377508666179E-2</v>
      </c>
      <c r="G168" s="18">
        <f t="shared" si="23"/>
        <v>3584.1721055839303</v>
      </c>
      <c r="H168" s="16">
        <f t="shared" si="24"/>
        <v>7.6999999999999999E-2</v>
      </c>
      <c r="I168" s="18">
        <f t="shared" si="28"/>
        <v>142834.27291640616</v>
      </c>
      <c r="J168" s="18">
        <f t="shared" si="29"/>
        <v>670653.28543643747</v>
      </c>
      <c r="K168" s="18">
        <f t="shared" si="25"/>
        <v>557165.72708359349</v>
      </c>
      <c r="L168" s="18">
        <f t="shared" si="26"/>
        <v>813487.55835284363</v>
      </c>
    </row>
    <row r="169" spans="1:12" x14ac:dyDescent="0.3">
      <c r="A169">
        <v>164</v>
      </c>
      <c r="B169" s="17">
        <v>49827</v>
      </c>
      <c r="C169" s="18">
        <f t="shared" si="27"/>
        <v>557165.72708359349</v>
      </c>
      <c r="D169" s="18">
        <f t="shared" si="20"/>
        <v>4990.7212168886126</v>
      </c>
      <c r="E169" s="18">
        <f t="shared" si="21"/>
        <v>1415.5744681022211</v>
      </c>
      <c r="F169" s="16">
        <f t="shared" si="22"/>
        <v>3.0488044744141362E-2</v>
      </c>
      <c r="G169" s="18">
        <f t="shared" si="23"/>
        <v>3575.1467487863915</v>
      </c>
      <c r="H169" s="16">
        <f t="shared" si="24"/>
        <v>7.6999999999999999E-2</v>
      </c>
      <c r="I169" s="18">
        <f t="shared" si="28"/>
        <v>144249.84738450838</v>
      </c>
      <c r="J169" s="18">
        <f t="shared" si="29"/>
        <v>674228.43218522391</v>
      </c>
      <c r="K169" s="18">
        <f t="shared" si="25"/>
        <v>555750.1526154913</v>
      </c>
      <c r="L169" s="18">
        <f t="shared" si="26"/>
        <v>818478.27956973226</v>
      </c>
    </row>
    <row r="170" spans="1:12" x14ac:dyDescent="0.3">
      <c r="A170">
        <v>165</v>
      </c>
      <c r="B170" s="17">
        <v>49857</v>
      </c>
      <c r="C170" s="18">
        <f t="shared" si="27"/>
        <v>555750.1526154913</v>
      </c>
      <c r="D170" s="18">
        <f t="shared" si="20"/>
        <v>4990.7212168886126</v>
      </c>
      <c r="E170" s="18">
        <f t="shared" si="21"/>
        <v>1424.6577376058767</v>
      </c>
      <c r="F170" s="16">
        <f t="shared" si="22"/>
        <v>3.0761832040554944E-2</v>
      </c>
      <c r="G170" s="18">
        <f t="shared" si="23"/>
        <v>3566.0634792827359</v>
      </c>
      <c r="H170" s="16">
        <f t="shared" si="24"/>
        <v>7.6999999999999999E-2</v>
      </c>
      <c r="I170" s="18">
        <f t="shared" si="28"/>
        <v>145674.50512211426</v>
      </c>
      <c r="J170" s="18">
        <f t="shared" si="29"/>
        <v>677794.49566450668</v>
      </c>
      <c r="K170" s="18">
        <f t="shared" si="25"/>
        <v>554325.49487788545</v>
      </c>
      <c r="L170" s="18">
        <f t="shared" si="26"/>
        <v>823469.00078662089</v>
      </c>
    </row>
    <row r="171" spans="1:12" x14ac:dyDescent="0.3">
      <c r="A171">
        <v>166</v>
      </c>
      <c r="B171" s="17">
        <v>49888</v>
      </c>
      <c r="C171" s="18">
        <f t="shared" si="27"/>
        <v>554325.49487788545</v>
      </c>
      <c r="D171" s="18">
        <f t="shared" si="20"/>
        <v>4990.7212168886126</v>
      </c>
      <c r="E171" s="18">
        <f t="shared" si="21"/>
        <v>1433.7992914221809</v>
      </c>
      <c r="F171" s="16">
        <f t="shared" si="22"/>
        <v>3.1038787961315865E-2</v>
      </c>
      <c r="G171" s="18">
        <f t="shared" si="23"/>
        <v>3556.9219254664317</v>
      </c>
      <c r="H171" s="16">
        <f t="shared" si="24"/>
        <v>7.6999999999999999E-2</v>
      </c>
      <c r="I171" s="18">
        <f t="shared" si="28"/>
        <v>147108.30441353645</v>
      </c>
      <c r="J171" s="18">
        <f t="shared" si="29"/>
        <v>681351.41758997308</v>
      </c>
      <c r="K171" s="18">
        <f t="shared" si="25"/>
        <v>552891.69558646332</v>
      </c>
      <c r="L171" s="18">
        <f t="shared" si="26"/>
        <v>828459.72200350952</v>
      </c>
    </row>
    <row r="172" spans="1:12" x14ac:dyDescent="0.3">
      <c r="A172">
        <v>167</v>
      </c>
      <c r="B172" s="17">
        <v>49919</v>
      </c>
      <c r="C172" s="18">
        <f t="shared" si="27"/>
        <v>552891.69558646332</v>
      </c>
      <c r="D172" s="18">
        <f t="shared" si="20"/>
        <v>4990.7212168886126</v>
      </c>
      <c r="E172" s="18">
        <f t="shared" si="21"/>
        <v>1442.9995035421393</v>
      </c>
      <c r="F172" s="16">
        <f t="shared" si="22"/>
        <v>3.1318962069304096E-2</v>
      </c>
      <c r="G172" s="18">
        <f t="shared" si="23"/>
        <v>3547.7217133464733</v>
      </c>
      <c r="H172" s="16">
        <f t="shared" si="24"/>
        <v>7.6999999999999999E-2</v>
      </c>
      <c r="I172" s="18">
        <f t="shared" si="28"/>
        <v>148551.30391707859</v>
      </c>
      <c r="J172" s="18">
        <f t="shared" si="29"/>
        <v>684899.13930331951</v>
      </c>
      <c r="K172" s="18">
        <f t="shared" si="25"/>
        <v>551448.69608292123</v>
      </c>
      <c r="L172" s="18">
        <f t="shared" si="26"/>
        <v>833450.44322039816</v>
      </c>
    </row>
    <row r="173" spans="1:12" x14ac:dyDescent="0.3">
      <c r="A173">
        <v>168</v>
      </c>
      <c r="B173" s="17">
        <v>49949</v>
      </c>
      <c r="C173" s="18">
        <f t="shared" si="27"/>
        <v>551448.69608292123</v>
      </c>
      <c r="D173" s="18">
        <f t="shared" si="20"/>
        <v>4990.7212168886126</v>
      </c>
      <c r="E173" s="18">
        <f t="shared" si="21"/>
        <v>1452.2587503565346</v>
      </c>
      <c r="F173" s="16">
        <f t="shared" si="22"/>
        <v>3.1602404952749956E-2</v>
      </c>
      <c r="G173" s="18">
        <f t="shared" si="23"/>
        <v>3538.462466532078</v>
      </c>
      <c r="H173" s="16">
        <f t="shared" si="24"/>
        <v>7.6999999999999999E-2</v>
      </c>
      <c r="I173" s="18">
        <f t="shared" si="28"/>
        <v>150003.56266743512</v>
      </c>
      <c r="J173" s="18">
        <f t="shared" si="29"/>
        <v>688437.60176985164</v>
      </c>
      <c r="K173" s="18">
        <f t="shared" si="25"/>
        <v>549996.43733256473</v>
      </c>
      <c r="L173" s="18">
        <f t="shared" si="26"/>
        <v>838441.16443728679</v>
      </c>
    </row>
    <row r="174" spans="1:12" x14ac:dyDescent="0.3">
      <c r="A174">
        <v>169</v>
      </c>
      <c r="B174" s="17">
        <v>49980</v>
      </c>
      <c r="C174" s="18">
        <f t="shared" si="27"/>
        <v>549996.43733256473</v>
      </c>
      <c r="D174" s="18">
        <f t="shared" si="20"/>
        <v>4990.7212168886126</v>
      </c>
      <c r="E174" s="18">
        <f t="shared" si="21"/>
        <v>1461.577410671322</v>
      </c>
      <c r="F174" s="16">
        <f t="shared" si="22"/>
        <v>3.1889168251922062E-2</v>
      </c>
      <c r="G174" s="18">
        <f t="shared" si="23"/>
        <v>3529.1438062172906</v>
      </c>
      <c r="H174" s="16">
        <f t="shared" si="24"/>
        <v>7.6999999999999999E-2</v>
      </c>
      <c r="I174" s="18">
        <f t="shared" si="28"/>
        <v>151465.14007810646</v>
      </c>
      <c r="J174" s="18">
        <f t="shared" si="29"/>
        <v>691966.74557606888</v>
      </c>
      <c r="K174" s="18">
        <f t="shared" si="25"/>
        <v>548534.85992189345</v>
      </c>
      <c r="L174" s="18">
        <f t="shared" si="26"/>
        <v>843431.8856541753</v>
      </c>
    </row>
    <row r="175" spans="1:12" x14ac:dyDescent="0.3">
      <c r="A175">
        <v>170</v>
      </c>
      <c r="B175" s="17">
        <v>50010</v>
      </c>
      <c r="C175" s="18">
        <f t="shared" si="27"/>
        <v>548534.85992189345</v>
      </c>
      <c r="D175" s="18">
        <f t="shared" si="20"/>
        <v>4990.7212168886126</v>
      </c>
      <c r="E175" s="18">
        <f t="shared" si="21"/>
        <v>1470.9558657231296</v>
      </c>
      <c r="F175" s="16">
        <f t="shared" si="22"/>
        <v>3.2179304686653767E-2</v>
      </c>
      <c r="G175" s="18">
        <f t="shared" si="23"/>
        <v>3519.765351165483</v>
      </c>
      <c r="H175" s="16">
        <f t="shared" si="24"/>
        <v>7.6999999999999999E-2</v>
      </c>
      <c r="I175" s="18">
        <f t="shared" si="28"/>
        <v>152936.0959438296</v>
      </c>
      <c r="J175" s="18">
        <f t="shared" si="29"/>
        <v>695486.51092723431</v>
      </c>
      <c r="K175" s="18">
        <f t="shared" si="25"/>
        <v>547063.90405617037</v>
      </c>
      <c r="L175" s="18">
        <f t="shared" si="26"/>
        <v>848422.60687106394</v>
      </c>
    </row>
    <row r="176" spans="1:12" x14ac:dyDescent="0.3">
      <c r="A176">
        <v>171</v>
      </c>
      <c r="B176" s="17">
        <v>50041</v>
      </c>
      <c r="C176" s="18">
        <f t="shared" si="27"/>
        <v>547063.90405617037</v>
      </c>
      <c r="D176" s="18">
        <f t="shared" si="20"/>
        <v>4990.7212168886126</v>
      </c>
      <c r="E176" s="18">
        <f t="shared" si="21"/>
        <v>1480.3944991948524</v>
      </c>
      <c r="F176" s="16">
        <f t="shared" si="22"/>
        <v>3.2472868084738815E-2</v>
      </c>
      <c r="G176" s="18">
        <f t="shared" si="23"/>
        <v>3510.3267176937602</v>
      </c>
      <c r="H176" s="16">
        <f t="shared" si="24"/>
        <v>7.6999999999999999E-2</v>
      </c>
      <c r="I176" s="18">
        <f t="shared" si="28"/>
        <v>154416.49044302446</v>
      </c>
      <c r="J176" s="18">
        <f t="shared" si="29"/>
        <v>698996.83764492802</v>
      </c>
      <c r="K176" s="18">
        <f t="shared" si="25"/>
        <v>545583.50955697556</v>
      </c>
      <c r="L176" s="18">
        <f t="shared" si="26"/>
        <v>853413.32808795245</v>
      </c>
    </row>
    <row r="177" spans="1:12" x14ac:dyDescent="0.3">
      <c r="A177">
        <v>172</v>
      </c>
      <c r="B177" s="17">
        <v>50072</v>
      </c>
      <c r="C177" s="18">
        <f t="shared" si="27"/>
        <v>545583.50955697556</v>
      </c>
      <c r="D177" s="18">
        <f t="shared" si="20"/>
        <v>4990.7212168886126</v>
      </c>
      <c r="E177" s="18">
        <f t="shared" si="21"/>
        <v>1489.8936972313527</v>
      </c>
      <c r="F177" s="16">
        <f t="shared" si="22"/>
        <v>3.2769913411228473E-2</v>
      </c>
      <c r="G177" s="18">
        <f t="shared" si="23"/>
        <v>3500.8275196572599</v>
      </c>
      <c r="H177" s="16">
        <f t="shared" si="24"/>
        <v>7.6999999999999999E-2</v>
      </c>
      <c r="I177" s="18">
        <f t="shared" si="28"/>
        <v>155906.3841402558</v>
      </c>
      <c r="J177" s="18">
        <f t="shared" si="29"/>
        <v>702497.66516458523</v>
      </c>
      <c r="K177" s="18">
        <f t="shared" si="25"/>
        <v>544093.61585974426</v>
      </c>
      <c r="L177" s="18">
        <f t="shared" si="26"/>
        <v>858404.04930484109</v>
      </c>
    </row>
    <row r="178" spans="1:12" x14ac:dyDescent="0.3">
      <c r="A178">
        <v>173</v>
      </c>
      <c r="B178" s="17">
        <v>50100</v>
      </c>
      <c r="C178" s="18">
        <f t="shared" si="27"/>
        <v>544093.61585974426</v>
      </c>
      <c r="D178" s="18">
        <f t="shared" si="20"/>
        <v>4990.7212168886126</v>
      </c>
      <c r="E178" s="18">
        <f t="shared" si="21"/>
        <v>1499.4538484552536</v>
      </c>
      <c r="F178" s="16">
        <f t="shared" si="22"/>
        <v>3.3070496798663723E-2</v>
      </c>
      <c r="G178" s="18">
        <f t="shared" si="23"/>
        <v>3491.267368433359</v>
      </c>
      <c r="H178" s="16">
        <f t="shared" si="24"/>
        <v>7.6999999999999999E-2</v>
      </c>
      <c r="I178" s="18">
        <f t="shared" si="28"/>
        <v>157405.83798871105</v>
      </c>
      <c r="J178" s="18">
        <f t="shared" si="29"/>
        <v>705988.93253301864</v>
      </c>
      <c r="K178" s="18">
        <f t="shared" si="25"/>
        <v>542594.16201128904</v>
      </c>
      <c r="L178" s="18">
        <f t="shared" si="26"/>
        <v>863394.77052172972</v>
      </c>
    </row>
    <row r="179" spans="1:12" x14ac:dyDescent="0.3">
      <c r="A179">
        <v>174</v>
      </c>
      <c r="B179" s="17">
        <v>50131</v>
      </c>
      <c r="C179" s="18">
        <f t="shared" si="27"/>
        <v>542594.16201128904</v>
      </c>
      <c r="D179" s="18">
        <f t="shared" si="20"/>
        <v>4990.7212168886126</v>
      </c>
      <c r="E179" s="18">
        <f t="shared" si="21"/>
        <v>1509.0753439828413</v>
      </c>
      <c r="F179" s="16">
        <f t="shared" si="22"/>
        <v>3.3374675578277467E-2</v>
      </c>
      <c r="G179" s="18">
        <f t="shared" si="23"/>
        <v>3481.6458729057713</v>
      </c>
      <c r="H179" s="16">
        <f t="shared" si="24"/>
        <v>7.6999999999999999E-2</v>
      </c>
      <c r="I179" s="18">
        <f t="shared" si="28"/>
        <v>158914.91333269389</v>
      </c>
      <c r="J179" s="18">
        <f t="shared" si="29"/>
        <v>709470.57840592437</v>
      </c>
      <c r="K179" s="18">
        <f t="shared" si="25"/>
        <v>541085.08666730614</v>
      </c>
      <c r="L179" s="18">
        <f t="shared" si="26"/>
        <v>868385.49173861824</v>
      </c>
    </row>
    <row r="180" spans="1:12" x14ac:dyDescent="0.3">
      <c r="A180">
        <v>175</v>
      </c>
      <c r="B180" s="17">
        <v>50161</v>
      </c>
      <c r="C180" s="18">
        <f t="shared" si="27"/>
        <v>541085.08666730614</v>
      </c>
      <c r="D180" s="18">
        <f t="shared" si="20"/>
        <v>4990.7212168886126</v>
      </c>
      <c r="E180" s="18">
        <f t="shared" si="21"/>
        <v>1518.758577440065</v>
      </c>
      <c r="F180" s="16">
        <f t="shared" si="22"/>
        <v>3.3682508312203291E-2</v>
      </c>
      <c r="G180" s="18">
        <f t="shared" si="23"/>
        <v>3471.9626394485476</v>
      </c>
      <c r="H180" s="16">
        <f t="shared" si="24"/>
        <v>7.6999999999999999E-2</v>
      </c>
      <c r="I180" s="18">
        <f t="shared" si="28"/>
        <v>160433.67191013397</v>
      </c>
      <c r="J180" s="18">
        <f t="shared" si="29"/>
        <v>712942.54104537296</v>
      </c>
      <c r="K180" s="18">
        <f t="shared" si="25"/>
        <v>539566.32808986609</v>
      </c>
      <c r="L180" s="18">
        <f t="shared" si="26"/>
        <v>873376.21295550698</v>
      </c>
    </row>
    <row r="181" spans="1:12" x14ac:dyDescent="0.3">
      <c r="A181">
        <v>176</v>
      </c>
      <c r="B181" s="17">
        <v>50192</v>
      </c>
      <c r="C181" s="18">
        <f t="shared" si="27"/>
        <v>539566.32808986609</v>
      </c>
      <c r="D181" s="18">
        <f t="shared" si="20"/>
        <v>4990.7212168886126</v>
      </c>
      <c r="E181" s="18">
        <f t="shared" si="21"/>
        <v>1528.5039449786386</v>
      </c>
      <c r="F181" s="16">
        <f t="shared" si="22"/>
        <v>3.3994054826728834E-2</v>
      </c>
      <c r="G181" s="18">
        <f t="shared" si="23"/>
        <v>3462.217271909974</v>
      </c>
      <c r="H181" s="16">
        <f t="shared" si="24"/>
        <v>7.6999999999999999E-2</v>
      </c>
      <c r="I181" s="18">
        <f t="shared" si="28"/>
        <v>161962.17585511261</v>
      </c>
      <c r="J181" s="18">
        <f t="shared" si="29"/>
        <v>716404.75831728289</v>
      </c>
      <c r="K181" s="18">
        <f t="shared" si="25"/>
        <v>538037.82414488751</v>
      </c>
      <c r="L181" s="18">
        <f t="shared" si="26"/>
        <v>878366.9341723955</v>
      </c>
    </row>
    <row r="182" spans="1:12" x14ac:dyDescent="0.3">
      <c r="A182">
        <v>177</v>
      </c>
      <c r="B182" s="17">
        <v>50222</v>
      </c>
      <c r="C182" s="18">
        <f t="shared" si="27"/>
        <v>538037.82414488751</v>
      </c>
      <c r="D182" s="18">
        <f t="shared" si="20"/>
        <v>4990.7212168886126</v>
      </c>
      <c r="E182" s="18">
        <f t="shared" si="21"/>
        <v>1538.3118452922508</v>
      </c>
      <c r="F182" s="16">
        <f t="shared" si="22"/>
        <v>3.4309376246633563E-2</v>
      </c>
      <c r="G182" s="18">
        <f t="shared" si="23"/>
        <v>3452.4093715963618</v>
      </c>
      <c r="H182" s="16">
        <f t="shared" si="24"/>
        <v>7.6999999999999999E-2</v>
      </c>
      <c r="I182" s="18">
        <f t="shared" si="28"/>
        <v>163500.48770040486</v>
      </c>
      <c r="J182" s="18">
        <f t="shared" si="29"/>
        <v>719857.1676888793</v>
      </c>
      <c r="K182" s="18">
        <f t="shared" si="25"/>
        <v>536499.51229959528</v>
      </c>
      <c r="L182" s="18">
        <f t="shared" si="26"/>
        <v>883357.65538928413</v>
      </c>
    </row>
    <row r="183" spans="1:12" x14ac:dyDescent="0.3">
      <c r="A183">
        <v>178</v>
      </c>
      <c r="B183" s="17">
        <v>50253</v>
      </c>
      <c r="C183" s="18">
        <f t="shared" si="27"/>
        <v>536499.51229959528</v>
      </c>
      <c r="D183" s="18">
        <f t="shared" si="20"/>
        <v>4990.7212168886126</v>
      </c>
      <c r="E183" s="18">
        <f t="shared" si="21"/>
        <v>1548.182679632876</v>
      </c>
      <c r="F183" s="16">
        <f t="shared" si="22"/>
        <v>3.4628535030652489E-2</v>
      </c>
      <c r="G183" s="18">
        <f t="shared" si="23"/>
        <v>3442.5385372557366</v>
      </c>
      <c r="H183" s="16">
        <f t="shared" si="24"/>
        <v>7.6999999999999999E-2</v>
      </c>
      <c r="I183" s="18">
        <f t="shared" si="28"/>
        <v>165048.67038003774</v>
      </c>
      <c r="J183" s="18">
        <f t="shared" si="29"/>
        <v>723299.70622613502</v>
      </c>
      <c r="K183" s="18">
        <f t="shared" si="25"/>
        <v>534951.32961996237</v>
      </c>
      <c r="L183" s="18">
        <f t="shared" si="26"/>
        <v>888348.37660617277</v>
      </c>
    </row>
    <row r="184" spans="1:12" x14ac:dyDescent="0.3">
      <c r="A184">
        <v>179</v>
      </c>
      <c r="B184" s="17">
        <v>50284</v>
      </c>
      <c r="C184" s="18">
        <f t="shared" si="27"/>
        <v>534951.32961996237</v>
      </c>
      <c r="D184" s="18">
        <f t="shared" si="20"/>
        <v>4990.7212168886126</v>
      </c>
      <c r="E184" s="18">
        <f t="shared" si="21"/>
        <v>1558.1168518271875</v>
      </c>
      <c r="F184" s="16">
        <f t="shared" si="22"/>
        <v>3.4951595008108814E-2</v>
      </c>
      <c r="G184" s="18">
        <f t="shared" si="23"/>
        <v>3432.6043650614251</v>
      </c>
      <c r="H184" s="16">
        <f t="shared" si="24"/>
        <v>7.6999999999999999E-2</v>
      </c>
      <c r="I184" s="18">
        <f t="shared" si="28"/>
        <v>166606.78723186493</v>
      </c>
      <c r="J184" s="18">
        <f t="shared" si="29"/>
        <v>726732.31059119641</v>
      </c>
      <c r="K184" s="18">
        <f t="shared" si="25"/>
        <v>533393.21276813524</v>
      </c>
      <c r="L184" s="18">
        <f t="shared" si="26"/>
        <v>893339.09782306128</v>
      </c>
    </row>
    <row r="185" spans="1:12" x14ac:dyDescent="0.3">
      <c r="A185">
        <v>180</v>
      </c>
      <c r="B185" s="17">
        <v>50314</v>
      </c>
      <c r="C185" s="18">
        <f t="shared" si="27"/>
        <v>533393.21276813524</v>
      </c>
      <c r="D185" s="18">
        <f t="shared" si="20"/>
        <v>4990.7212168886126</v>
      </c>
      <c r="E185" s="18">
        <f t="shared" si="21"/>
        <v>1568.1147682930782</v>
      </c>
      <c r="F185" s="16">
        <f t="shared" si="22"/>
        <v>3.5278621416761087E-2</v>
      </c>
      <c r="G185" s="18">
        <f t="shared" si="23"/>
        <v>3422.6064485955344</v>
      </c>
      <c r="H185" s="16">
        <f t="shared" si="24"/>
        <v>7.6999999999999999E-2</v>
      </c>
      <c r="I185" s="18">
        <f t="shared" si="28"/>
        <v>168174.90200015801</v>
      </c>
      <c r="J185" s="18">
        <f t="shared" si="29"/>
        <v>730154.91703979194</v>
      </c>
      <c r="K185" s="18">
        <f t="shared" si="25"/>
        <v>531825.09799984214</v>
      </c>
      <c r="L185" s="18">
        <f t="shared" si="26"/>
        <v>898329.81903994991</v>
      </c>
    </row>
    <row r="186" spans="1:12" x14ac:dyDescent="0.3">
      <c r="A186">
        <v>181</v>
      </c>
      <c r="B186" s="17">
        <v>50345</v>
      </c>
      <c r="C186" s="18">
        <f t="shared" si="27"/>
        <v>531825.09799984214</v>
      </c>
      <c r="D186" s="18">
        <f t="shared" si="20"/>
        <v>4990.7212168886126</v>
      </c>
      <c r="E186" s="18">
        <f t="shared" si="21"/>
        <v>1578.1768380562921</v>
      </c>
      <c r="F186" s="16">
        <f t="shared" si="22"/>
        <v>3.5609680941912081E-2</v>
      </c>
      <c r="G186" s="18">
        <f t="shared" si="23"/>
        <v>3412.5443788323205</v>
      </c>
      <c r="H186" s="16">
        <f t="shared" si="24"/>
        <v>7.6999999999999999E-2</v>
      </c>
      <c r="I186" s="18">
        <f t="shared" si="28"/>
        <v>169753.07883821431</v>
      </c>
      <c r="J186" s="18">
        <f t="shared" si="29"/>
        <v>733567.46141862427</v>
      </c>
      <c r="K186" s="18">
        <f t="shared" si="25"/>
        <v>530246.92116178584</v>
      </c>
      <c r="L186" s="18">
        <f t="shared" si="26"/>
        <v>903320.54025683855</v>
      </c>
    </row>
    <row r="187" spans="1:12" x14ac:dyDescent="0.3">
      <c r="A187">
        <v>182</v>
      </c>
      <c r="B187" s="17">
        <v>50375</v>
      </c>
      <c r="C187" s="18">
        <f t="shared" si="27"/>
        <v>530246.92116178584</v>
      </c>
      <c r="D187" s="18">
        <f t="shared" si="20"/>
        <v>4990.7212168886126</v>
      </c>
      <c r="E187" s="18">
        <f t="shared" si="21"/>
        <v>1588.3034727671534</v>
      </c>
      <c r="F187" s="16">
        <f t="shared" si="22"/>
        <v>3.5944841756828369E-2</v>
      </c>
      <c r="G187" s="18">
        <f t="shared" si="23"/>
        <v>3402.4177441214592</v>
      </c>
      <c r="H187" s="16">
        <f t="shared" si="24"/>
        <v>7.6999999999999999E-2</v>
      </c>
      <c r="I187" s="18">
        <f t="shared" si="28"/>
        <v>171341.38231098145</v>
      </c>
      <c r="J187" s="18">
        <f t="shared" si="29"/>
        <v>736969.87916274578</v>
      </c>
      <c r="K187" s="18">
        <f t="shared" si="25"/>
        <v>528658.61768901872</v>
      </c>
      <c r="L187" s="18">
        <f t="shared" si="26"/>
        <v>908311.26147372718</v>
      </c>
    </row>
    <row r="188" spans="1:12" x14ac:dyDescent="0.3">
      <c r="A188">
        <v>183</v>
      </c>
      <c r="B188" s="17">
        <v>50406</v>
      </c>
      <c r="C188" s="18">
        <f t="shared" si="27"/>
        <v>528658.61768901872</v>
      </c>
      <c r="D188" s="18">
        <f t="shared" si="20"/>
        <v>4990.7212168886126</v>
      </c>
      <c r="E188" s="18">
        <f t="shared" si="21"/>
        <v>1598.4950867174089</v>
      </c>
      <c r="F188" s="16">
        <f t="shared" si="22"/>
        <v>3.6284173564522508E-2</v>
      </c>
      <c r="G188" s="18">
        <f t="shared" si="23"/>
        <v>3392.2261301712037</v>
      </c>
      <c r="H188" s="16">
        <f t="shared" si="24"/>
        <v>7.6999999999999999E-2</v>
      </c>
      <c r="I188" s="18">
        <f t="shared" si="28"/>
        <v>172939.87739769887</v>
      </c>
      <c r="J188" s="18">
        <f t="shared" si="29"/>
        <v>740362.105292917</v>
      </c>
      <c r="K188" s="18">
        <f t="shared" si="25"/>
        <v>527060.1226023013</v>
      </c>
      <c r="L188" s="18">
        <f t="shared" si="26"/>
        <v>913301.98269061581</v>
      </c>
    </row>
    <row r="189" spans="1:12" x14ac:dyDescent="0.3">
      <c r="A189">
        <v>184</v>
      </c>
      <c r="B189" s="17">
        <v>50437</v>
      </c>
      <c r="C189" s="18">
        <f t="shared" si="27"/>
        <v>527060.1226023013</v>
      </c>
      <c r="D189" s="18">
        <f t="shared" si="20"/>
        <v>4990.7212168886126</v>
      </c>
      <c r="E189" s="18">
        <f t="shared" si="21"/>
        <v>1608.7520968571794</v>
      </c>
      <c r="F189" s="16">
        <f t="shared" si="22"/>
        <v>3.6627747640951697E-2</v>
      </c>
      <c r="G189" s="18">
        <f t="shared" si="23"/>
        <v>3381.9691200314332</v>
      </c>
      <c r="H189" s="16">
        <f t="shared" si="24"/>
        <v>7.6999999999999999E-2</v>
      </c>
      <c r="I189" s="18">
        <f t="shared" si="28"/>
        <v>174548.62949455605</v>
      </c>
      <c r="J189" s="18">
        <f t="shared" si="29"/>
        <v>743744.07441294845</v>
      </c>
      <c r="K189" s="18">
        <f t="shared" si="25"/>
        <v>525451.37050544412</v>
      </c>
      <c r="L189" s="18">
        <f t="shared" si="26"/>
        <v>918292.70390750444</v>
      </c>
    </row>
    <row r="190" spans="1:12" x14ac:dyDescent="0.3">
      <c r="A190">
        <v>185</v>
      </c>
      <c r="B190" s="17">
        <v>50465</v>
      </c>
      <c r="C190" s="18">
        <f t="shared" si="27"/>
        <v>525451.37050544412</v>
      </c>
      <c r="D190" s="18">
        <f t="shared" si="20"/>
        <v>4990.7212168886126</v>
      </c>
      <c r="E190" s="18">
        <f t="shared" si="21"/>
        <v>1619.0749228120126</v>
      </c>
      <c r="F190" s="16">
        <f t="shared" si="22"/>
        <v>3.6975636879688856E-2</v>
      </c>
      <c r="G190" s="18">
        <f t="shared" si="23"/>
        <v>3371.6462940766</v>
      </c>
      <c r="H190" s="16">
        <f t="shared" si="24"/>
        <v>7.6999999999999999E-2</v>
      </c>
      <c r="I190" s="18">
        <f t="shared" si="28"/>
        <v>176167.70441736808</v>
      </c>
      <c r="J190" s="18">
        <f t="shared" si="29"/>
        <v>747115.72070702503</v>
      </c>
      <c r="K190" s="18">
        <f t="shared" si="25"/>
        <v>523832.29558263213</v>
      </c>
      <c r="L190" s="18">
        <f t="shared" si="26"/>
        <v>923283.42512439308</v>
      </c>
    </row>
    <row r="191" spans="1:12" x14ac:dyDescent="0.3">
      <c r="A191">
        <v>186</v>
      </c>
      <c r="B191" s="17">
        <v>50496</v>
      </c>
      <c r="C191" s="18">
        <f t="shared" si="27"/>
        <v>523832.29558263213</v>
      </c>
      <c r="D191" s="18">
        <f t="shared" si="20"/>
        <v>4990.7212168886126</v>
      </c>
      <c r="E191" s="18">
        <f t="shared" si="21"/>
        <v>1629.4639869000562</v>
      </c>
      <c r="F191" s="16">
        <f t="shared" si="22"/>
        <v>3.7327915838125697E-2</v>
      </c>
      <c r="G191" s="18">
        <f t="shared" si="23"/>
        <v>3361.2572299885564</v>
      </c>
      <c r="H191" s="16">
        <f t="shared" si="24"/>
        <v>7.6999999999999999E-2</v>
      </c>
      <c r="I191" s="18">
        <f t="shared" si="28"/>
        <v>177797.16840426813</v>
      </c>
      <c r="J191" s="18">
        <f t="shared" si="29"/>
        <v>750476.97793701361</v>
      </c>
      <c r="K191" s="18">
        <f t="shared" si="25"/>
        <v>522202.83159573207</v>
      </c>
      <c r="L191" s="18">
        <f t="shared" si="26"/>
        <v>928274.14634128171</v>
      </c>
    </row>
    <row r="192" spans="1:12" x14ac:dyDescent="0.3">
      <c r="A192">
        <v>187</v>
      </c>
      <c r="B192" s="17">
        <v>50526</v>
      </c>
      <c r="C192" s="18">
        <f t="shared" si="27"/>
        <v>522202.83159573207</v>
      </c>
      <c r="D192" s="18">
        <f t="shared" si="20"/>
        <v>4990.7212168886126</v>
      </c>
      <c r="E192" s="18">
        <f t="shared" si="21"/>
        <v>1639.9197141493319</v>
      </c>
      <c r="F192" s="16">
        <f t="shared" si="22"/>
        <v>3.7684660785268748E-2</v>
      </c>
      <c r="G192" s="18">
        <f t="shared" si="23"/>
        <v>3350.8015027392807</v>
      </c>
      <c r="H192" s="16">
        <f t="shared" si="24"/>
        <v>7.6999999999999999E-2</v>
      </c>
      <c r="I192" s="18">
        <f t="shared" si="28"/>
        <v>179437.08811841745</v>
      </c>
      <c r="J192" s="18">
        <f t="shared" si="29"/>
        <v>753827.77943975292</v>
      </c>
      <c r="K192" s="18">
        <f t="shared" si="25"/>
        <v>520562.91188158275</v>
      </c>
      <c r="L192" s="18">
        <f t="shared" si="26"/>
        <v>933264.86755817034</v>
      </c>
    </row>
    <row r="193" spans="1:12" x14ac:dyDescent="0.3">
      <c r="A193">
        <v>188</v>
      </c>
      <c r="B193" s="17">
        <v>50557</v>
      </c>
      <c r="C193" s="18">
        <f t="shared" si="27"/>
        <v>520562.91188158275</v>
      </c>
      <c r="D193" s="18">
        <f t="shared" si="20"/>
        <v>4990.7212168886126</v>
      </c>
      <c r="E193" s="18">
        <f t="shared" si="21"/>
        <v>1650.4425323151231</v>
      </c>
      <c r="F193" s="16">
        <f t="shared" si="22"/>
        <v>3.8045949751193138E-2</v>
      </c>
      <c r="G193" s="18">
        <f t="shared" si="23"/>
        <v>3340.2786845734895</v>
      </c>
      <c r="H193" s="16">
        <f t="shared" si="24"/>
        <v>7.6999999999999999E-2</v>
      </c>
      <c r="I193" s="18">
        <f t="shared" si="28"/>
        <v>181087.53065073257</v>
      </c>
      <c r="J193" s="18">
        <f t="shared" si="29"/>
        <v>757168.0581243264</v>
      </c>
      <c r="K193" s="18">
        <f t="shared" si="25"/>
        <v>518912.4693492676</v>
      </c>
      <c r="L193" s="18">
        <f t="shared" si="26"/>
        <v>938255.58877505898</v>
      </c>
    </row>
    <row r="194" spans="1:12" x14ac:dyDescent="0.3">
      <c r="A194">
        <v>189</v>
      </c>
      <c r="B194" s="17">
        <v>50587</v>
      </c>
      <c r="C194" s="18">
        <f t="shared" si="27"/>
        <v>518912.4693492676</v>
      </c>
      <c r="D194" s="18">
        <f t="shared" si="20"/>
        <v>4990.7212168886126</v>
      </c>
      <c r="E194" s="18">
        <f t="shared" si="21"/>
        <v>1661.0328718974788</v>
      </c>
      <c r="F194" s="16">
        <f t="shared" si="22"/>
        <v>3.8411862578221698E-2</v>
      </c>
      <c r="G194" s="18">
        <f t="shared" si="23"/>
        <v>3329.6883449911338</v>
      </c>
      <c r="H194" s="16">
        <f t="shared" si="24"/>
        <v>7.6999999999999999E-2</v>
      </c>
      <c r="I194" s="18">
        <f t="shared" si="28"/>
        <v>182748.56352263005</v>
      </c>
      <c r="J194" s="18">
        <f t="shared" si="29"/>
        <v>760497.74646931759</v>
      </c>
      <c r="K194" s="18">
        <f t="shared" si="25"/>
        <v>517251.43647737009</v>
      </c>
      <c r="L194" s="18">
        <f t="shared" si="26"/>
        <v>943246.30999194761</v>
      </c>
    </row>
    <row r="195" spans="1:12" x14ac:dyDescent="0.3">
      <c r="A195">
        <v>190</v>
      </c>
      <c r="B195" s="17">
        <v>50618</v>
      </c>
      <c r="C195" s="18">
        <f t="shared" si="27"/>
        <v>517251.43647737009</v>
      </c>
      <c r="D195" s="18">
        <f t="shared" si="20"/>
        <v>4990.7212168886126</v>
      </c>
      <c r="E195" s="18">
        <f t="shared" si="21"/>
        <v>1671.691166158821</v>
      </c>
      <c r="F195" s="16">
        <f t="shared" si="22"/>
        <v>3.8782480973899615E-2</v>
      </c>
      <c r="G195" s="18">
        <f t="shared" si="23"/>
        <v>3319.0300507297916</v>
      </c>
      <c r="H195" s="16">
        <f t="shared" si="24"/>
        <v>7.6999999999999999E-2</v>
      </c>
      <c r="I195" s="18">
        <f t="shared" si="28"/>
        <v>184420.25468878887</v>
      </c>
      <c r="J195" s="18">
        <f t="shared" si="29"/>
        <v>763816.77652004734</v>
      </c>
      <c r="K195" s="18">
        <f t="shared" si="25"/>
        <v>515579.74531121127</v>
      </c>
      <c r="L195" s="18">
        <f t="shared" si="26"/>
        <v>948237.03120883624</v>
      </c>
    </row>
    <row r="196" spans="1:12" x14ac:dyDescent="0.3">
      <c r="A196">
        <v>191</v>
      </c>
      <c r="B196" s="17">
        <v>50649</v>
      </c>
      <c r="C196" s="18">
        <f t="shared" si="27"/>
        <v>515579.74531121127</v>
      </c>
      <c r="D196" s="18">
        <f t="shared" si="20"/>
        <v>4990.7212168886126</v>
      </c>
      <c r="E196" s="18">
        <f t="shared" si="21"/>
        <v>1682.4178511416735</v>
      </c>
      <c r="F196" s="16">
        <f t="shared" si="22"/>
        <v>3.9157888565839037E-2</v>
      </c>
      <c r="G196" s="18">
        <f t="shared" si="23"/>
        <v>3308.3033657469391</v>
      </c>
      <c r="H196" s="16">
        <f t="shared" si="24"/>
        <v>7.6999999999999999E-2</v>
      </c>
      <c r="I196" s="18">
        <f t="shared" si="28"/>
        <v>186102.67253993056</v>
      </c>
      <c r="J196" s="18">
        <f t="shared" si="29"/>
        <v>767125.07988579432</v>
      </c>
      <c r="K196" s="18">
        <f t="shared" si="25"/>
        <v>513897.32746006962</v>
      </c>
      <c r="L196" s="18">
        <f t="shared" si="26"/>
        <v>953227.75242572487</v>
      </c>
    </row>
    <row r="197" spans="1:12" x14ac:dyDescent="0.3">
      <c r="A197">
        <v>192</v>
      </c>
      <c r="B197" s="17">
        <v>50679</v>
      </c>
      <c r="C197" s="18">
        <f t="shared" si="27"/>
        <v>513897.32746006962</v>
      </c>
      <c r="D197" s="18">
        <f t="shared" si="20"/>
        <v>4990.7212168886126</v>
      </c>
      <c r="E197" s="18">
        <f t="shared" si="21"/>
        <v>1693.2133656864989</v>
      </c>
      <c r="F197" s="16">
        <f t="shared" si="22"/>
        <v>3.9538170958510699E-2</v>
      </c>
      <c r="G197" s="18">
        <f t="shared" si="23"/>
        <v>3297.5078512021137</v>
      </c>
      <c r="H197" s="16">
        <f t="shared" si="24"/>
        <v>7.6999999999999999E-2</v>
      </c>
      <c r="I197" s="18">
        <f t="shared" si="28"/>
        <v>187795.88590561706</v>
      </c>
      <c r="J197" s="18">
        <f t="shared" si="29"/>
        <v>770422.58773699647</v>
      </c>
      <c r="K197" s="18">
        <f t="shared" si="25"/>
        <v>512204.11409438314</v>
      </c>
      <c r="L197" s="18">
        <f t="shared" si="26"/>
        <v>958218.47364261351</v>
      </c>
    </row>
    <row r="198" spans="1:12" x14ac:dyDescent="0.3">
      <c r="A198">
        <v>193</v>
      </c>
      <c r="B198" s="17">
        <v>50710</v>
      </c>
      <c r="C198" s="18">
        <f t="shared" si="27"/>
        <v>512204.11409438314</v>
      </c>
      <c r="D198" s="18">
        <f t="shared" si="20"/>
        <v>4990.7212168886126</v>
      </c>
      <c r="E198" s="18">
        <f t="shared" si="21"/>
        <v>1704.0781514496539</v>
      </c>
      <c r="F198" s="16">
        <f t="shared" si="22"/>
        <v>3.9923415792064001E-2</v>
      </c>
      <c r="G198" s="18">
        <f t="shared" si="23"/>
        <v>3286.6430654389587</v>
      </c>
      <c r="H198" s="16">
        <f t="shared" si="24"/>
        <v>7.6999999999999999E-2</v>
      </c>
      <c r="I198" s="18">
        <f t="shared" si="28"/>
        <v>189499.96405706671</v>
      </c>
      <c r="J198" s="18">
        <f t="shared" si="29"/>
        <v>773709.23080243543</v>
      </c>
      <c r="K198" s="18">
        <f t="shared" si="25"/>
        <v>510500.03594293346</v>
      </c>
      <c r="L198" s="18">
        <f t="shared" si="26"/>
        <v>963209.19485950214</v>
      </c>
    </row>
    <row r="199" spans="1:12" x14ac:dyDescent="0.3">
      <c r="A199">
        <v>194</v>
      </c>
      <c r="B199" s="17">
        <v>50740</v>
      </c>
      <c r="C199" s="18">
        <f t="shared" si="27"/>
        <v>510500.03594293346</v>
      </c>
      <c r="D199" s="18">
        <f t="shared" ref="D199:D262" si="30">$C$6/((($E$2)-1)/($E$1*$E$2))</f>
        <v>4990.7212168886126</v>
      </c>
      <c r="E199" s="18">
        <f t="shared" ref="E199:E262" si="31">D199-G199</f>
        <v>1715.0126529214563</v>
      </c>
      <c r="F199" s="16">
        <f t="shared" ref="F199:F262" si="32">(E199/C199)*12</f>
        <v>4.0313712803260286E-2</v>
      </c>
      <c r="G199" s="18">
        <f t="shared" ref="G199:G262" si="33">C199*($B$1/12)</f>
        <v>3275.7085639671564</v>
      </c>
      <c r="H199" s="16">
        <f t="shared" ref="H199:H262" si="34">(G199/C199)*12</f>
        <v>7.6999999999999999E-2</v>
      </c>
      <c r="I199" s="18">
        <f t="shared" si="28"/>
        <v>191214.97670998817</v>
      </c>
      <c r="J199" s="18">
        <f t="shared" si="29"/>
        <v>776984.93936640257</v>
      </c>
      <c r="K199" s="18">
        <f t="shared" ref="K199:K262" si="35">C199-E199</f>
        <v>508785.02329001203</v>
      </c>
      <c r="L199" s="18">
        <f t="shared" ref="L199:L262" si="36">I199+J199</f>
        <v>968199.91607639077</v>
      </c>
    </row>
    <row r="200" spans="1:12" x14ac:dyDescent="0.3">
      <c r="A200">
        <v>195</v>
      </c>
      <c r="B200" s="17">
        <v>50771</v>
      </c>
      <c r="C200" s="18">
        <f t="shared" ref="C200:C263" si="37">K199</f>
        <v>508785.02329001203</v>
      </c>
      <c r="D200" s="18">
        <f t="shared" si="30"/>
        <v>4990.7212168886126</v>
      </c>
      <c r="E200" s="18">
        <f t="shared" si="31"/>
        <v>1726.0173174443685</v>
      </c>
      <c r="F200" s="16">
        <f t="shared" si="32"/>
        <v>4.0709153888608622E-2</v>
      </c>
      <c r="G200" s="18">
        <f t="shared" si="33"/>
        <v>3264.7038994442441</v>
      </c>
      <c r="H200" s="16">
        <f t="shared" si="34"/>
        <v>7.6999999999999999E-2</v>
      </c>
      <c r="I200" s="18">
        <f t="shared" ref="I200:I263" si="38">I199+E200</f>
        <v>192940.99402743255</v>
      </c>
      <c r="J200" s="18">
        <f t="shared" ref="J200:J263" si="39">J199+G200</f>
        <v>780249.64326584677</v>
      </c>
      <c r="K200" s="18">
        <f t="shared" si="35"/>
        <v>507059.00597256765</v>
      </c>
      <c r="L200" s="18">
        <f t="shared" si="36"/>
        <v>973190.63729327929</v>
      </c>
    </row>
    <row r="201" spans="1:12" x14ac:dyDescent="0.3">
      <c r="A201">
        <v>196</v>
      </c>
      <c r="B201" s="17">
        <v>50802</v>
      </c>
      <c r="C201" s="18">
        <f t="shared" si="37"/>
        <v>507059.00597256765</v>
      </c>
      <c r="D201" s="18">
        <f t="shared" si="30"/>
        <v>4990.7212168886126</v>
      </c>
      <c r="E201" s="18">
        <f t="shared" si="31"/>
        <v>1737.0925952313032</v>
      </c>
      <c r="F201" s="16">
        <f t="shared" si="32"/>
        <v>4.1109833169797556E-2</v>
      </c>
      <c r="G201" s="18">
        <f t="shared" si="33"/>
        <v>3253.6286216573094</v>
      </c>
      <c r="H201" s="16">
        <f t="shared" si="34"/>
        <v>7.6999999999999999E-2</v>
      </c>
      <c r="I201" s="18">
        <f t="shared" si="38"/>
        <v>194678.08662266386</v>
      </c>
      <c r="J201" s="18">
        <f t="shared" si="39"/>
        <v>783503.27188750403</v>
      </c>
      <c r="K201" s="18">
        <f t="shared" si="35"/>
        <v>505321.91337733634</v>
      </c>
      <c r="L201" s="18">
        <f t="shared" si="36"/>
        <v>978181.35851016792</v>
      </c>
    </row>
    <row r="202" spans="1:12" x14ac:dyDescent="0.3">
      <c r="A202">
        <v>197</v>
      </c>
      <c r="B202" s="17">
        <v>50830</v>
      </c>
      <c r="C202" s="18">
        <f t="shared" si="37"/>
        <v>505321.91337733634</v>
      </c>
      <c r="D202" s="18">
        <f t="shared" si="30"/>
        <v>4990.7212168886126</v>
      </c>
      <c r="E202" s="18">
        <f t="shared" si="31"/>
        <v>1748.2389393840376</v>
      </c>
      <c r="F202" s="16">
        <f t="shared" si="32"/>
        <v>4.1515847061520589E-2</v>
      </c>
      <c r="G202" s="18">
        <f t="shared" si="33"/>
        <v>3242.482277504575</v>
      </c>
      <c r="H202" s="16">
        <f t="shared" si="34"/>
        <v>7.6999999999999999E-2</v>
      </c>
      <c r="I202" s="18">
        <f t="shared" si="38"/>
        <v>196426.32556204789</v>
      </c>
      <c r="J202" s="18">
        <f t="shared" si="39"/>
        <v>786745.75416500855</v>
      </c>
      <c r="K202" s="18">
        <f t="shared" si="35"/>
        <v>503573.67443795229</v>
      </c>
      <c r="L202" s="18">
        <f t="shared" si="36"/>
        <v>983172.07972705644</v>
      </c>
    </row>
    <row r="203" spans="1:12" x14ac:dyDescent="0.3">
      <c r="A203">
        <v>198</v>
      </c>
      <c r="B203" s="17">
        <v>50861</v>
      </c>
      <c r="C203" s="18">
        <f t="shared" si="37"/>
        <v>503573.67443795229</v>
      </c>
      <c r="D203" s="18">
        <f t="shared" si="30"/>
        <v>4990.7212168886126</v>
      </c>
      <c r="E203" s="18">
        <f t="shared" si="31"/>
        <v>1759.4568059117519</v>
      </c>
      <c r="F203" s="16">
        <f t="shared" si="32"/>
        <v>4.1927294341798475E-2</v>
      </c>
      <c r="G203" s="18">
        <f t="shared" si="33"/>
        <v>3231.2644109768607</v>
      </c>
      <c r="H203" s="16">
        <f t="shared" si="34"/>
        <v>7.6999999999999999E-2</v>
      </c>
      <c r="I203" s="18">
        <f t="shared" si="38"/>
        <v>198185.78236795965</v>
      </c>
      <c r="J203" s="18">
        <f t="shared" si="39"/>
        <v>789977.01857598545</v>
      </c>
      <c r="K203" s="18">
        <f t="shared" si="35"/>
        <v>501814.21763204056</v>
      </c>
      <c r="L203" s="18">
        <f t="shared" si="36"/>
        <v>988162.80094394507</v>
      </c>
    </row>
    <row r="204" spans="1:12" x14ac:dyDescent="0.3">
      <c r="A204">
        <v>199</v>
      </c>
      <c r="B204" s="17">
        <v>50891</v>
      </c>
      <c r="C204" s="18">
        <f t="shared" si="37"/>
        <v>501814.21763204056</v>
      </c>
      <c r="D204" s="18">
        <f t="shared" si="30"/>
        <v>4990.7212168886126</v>
      </c>
      <c r="E204" s="18">
        <f t="shared" si="31"/>
        <v>1770.7466537496857</v>
      </c>
      <c r="F204" s="16">
        <f t="shared" si="32"/>
        <v>4.2344276224906018E-2</v>
      </c>
      <c r="G204" s="18">
        <f t="shared" si="33"/>
        <v>3219.9745631389269</v>
      </c>
      <c r="H204" s="16">
        <f t="shared" si="34"/>
        <v>7.6999999999999999E-2</v>
      </c>
      <c r="I204" s="18">
        <f t="shared" si="38"/>
        <v>199956.52902170934</v>
      </c>
      <c r="J204" s="18">
        <f t="shared" si="39"/>
        <v>793196.99313912436</v>
      </c>
      <c r="K204" s="18">
        <f t="shared" si="35"/>
        <v>500043.47097829089</v>
      </c>
      <c r="L204" s="18">
        <f t="shared" si="36"/>
        <v>993153.5221608337</v>
      </c>
    </row>
    <row r="205" spans="1:12" x14ac:dyDescent="0.3">
      <c r="A205">
        <v>200</v>
      </c>
      <c r="B205" s="17">
        <v>50922</v>
      </c>
      <c r="C205" s="18">
        <f t="shared" si="37"/>
        <v>500043.47097829089</v>
      </c>
      <c r="D205" s="18">
        <f t="shared" si="30"/>
        <v>4990.7212168886126</v>
      </c>
      <c r="E205" s="18">
        <f t="shared" si="31"/>
        <v>1782.1089447779127</v>
      </c>
      <c r="F205" s="16">
        <f t="shared" si="32"/>
        <v>4.2766896437016741E-2</v>
      </c>
      <c r="G205" s="18">
        <f t="shared" si="33"/>
        <v>3208.6122721106999</v>
      </c>
      <c r="H205" s="16">
        <f t="shared" si="34"/>
        <v>7.6999999999999999E-2</v>
      </c>
      <c r="I205" s="18">
        <f t="shared" si="38"/>
        <v>201738.63796648727</v>
      </c>
      <c r="J205" s="18">
        <f t="shared" si="39"/>
        <v>796405.60541123501</v>
      </c>
      <c r="K205" s="18">
        <f t="shared" si="35"/>
        <v>498261.36203351297</v>
      </c>
      <c r="L205" s="18">
        <f t="shared" si="36"/>
        <v>998144.24337772233</v>
      </c>
    </row>
    <row r="206" spans="1:12" x14ac:dyDescent="0.3">
      <c r="A206">
        <v>201</v>
      </c>
      <c r="B206" s="17">
        <v>50952</v>
      </c>
      <c r="C206" s="18">
        <f t="shared" si="37"/>
        <v>498261.36203351297</v>
      </c>
      <c r="D206" s="18">
        <f t="shared" si="30"/>
        <v>4990.7212168886126</v>
      </c>
      <c r="E206" s="18">
        <f t="shared" si="31"/>
        <v>1793.5441438402377</v>
      </c>
      <c r="F206" s="16">
        <f t="shared" si="32"/>
        <v>4.3195261294684234E-2</v>
      </c>
      <c r="G206" s="18">
        <f t="shared" si="33"/>
        <v>3197.177073048375</v>
      </c>
      <c r="H206" s="16">
        <f t="shared" si="34"/>
        <v>7.6999999999999999E-2</v>
      </c>
      <c r="I206" s="18">
        <f t="shared" si="38"/>
        <v>203532.1821103275</v>
      </c>
      <c r="J206" s="18">
        <f t="shared" si="39"/>
        <v>799602.78248428344</v>
      </c>
      <c r="K206" s="18">
        <f t="shared" si="35"/>
        <v>496467.8178896727</v>
      </c>
      <c r="L206" s="18">
        <f t="shared" si="36"/>
        <v>1003134.964594611</v>
      </c>
    </row>
    <row r="207" spans="1:12" x14ac:dyDescent="0.3">
      <c r="A207">
        <v>202</v>
      </c>
      <c r="B207" s="17">
        <v>50983</v>
      </c>
      <c r="C207" s="18">
        <f t="shared" si="37"/>
        <v>496467.8178896727</v>
      </c>
      <c r="D207" s="18">
        <f t="shared" si="30"/>
        <v>4990.7212168886126</v>
      </c>
      <c r="E207" s="18">
        <f t="shared" si="31"/>
        <v>1805.0527187632129</v>
      </c>
      <c r="F207" s="16">
        <f t="shared" si="32"/>
        <v>4.3629479786285112E-2</v>
      </c>
      <c r="G207" s="18">
        <f t="shared" si="33"/>
        <v>3185.6684981253998</v>
      </c>
      <c r="H207" s="16">
        <f t="shared" si="34"/>
        <v>7.6999999999999999E-2</v>
      </c>
      <c r="I207" s="18">
        <f t="shared" si="38"/>
        <v>205337.23482909071</v>
      </c>
      <c r="J207" s="18">
        <f t="shared" si="39"/>
        <v>802788.45098240883</v>
      </c>
      <c r="K207" s="18">
        <f t="shared" si="35"/>
        <v>494662.76517090946</v>
      </c>
      <c r="L207" s="18">
        <f t="shared" si="36"/>
        <v>1008125.6858114996</v>
      </c>
    </row>
    <row r="208" spans="1:12" x14ac:dyDescent="0.3">
      <c r="A208">
        <v>203</v>
      </c>
      <c r="B208" s="17">
        <v>51014</v>
      </c>
      <c r="C208" s="18">
        <f t="shared" si="37"/>
        <v>494662.76517090946</v>
      </c>
      <c r="D208" s="18">
        <f t="shared" si="30"/>
        <v>4990.7212168886126</v>
      </c>
      <c r="E208" s="18">
        <f t="shared" si="31"/>
        <v>1816.6351403752769</v>
      </c>
      <c r="F208" s="16">
        <f t="shared" si="32"/>
        <v>4.4069663656554785E-2</v>
      </c>
      <c r="G208" s="18">
        <f t="shared" si="33"/>
        <v>3174.0860765133357</v>
      </c>
      <c r="H208" s="16">
        <f t="shared" si="34"/>
        <v>7.6999999999999999E-2</v>
      </c>
      <c r="I208" s="18">
        <f t="shared" si="38"/>
        <v>207153.86996946597</v>
      </c>
      <c r="J208" s="18">
        <f t="shared" si="39"/>
        <v>805962.53705892211</v>
      </c>
      <c r="K208" s="18">
        <f t="shared" si="35"/>
        <v>492846.13003053417</v>
      </c>
      <c r="L208" s="18">
        <f t="shared" si="36"/>
        <v>1013116.4070283881</v>
      </c>
    </row>
    <row r="209" spans="1:12" x14ac:dyDescent="0.3">
      <c r="A209">
        <v>204</v>
      </c>
      <c r="B209" s="17">
        <v>51044</v>
      </c>
      <c r="C209" s="18">
        <f t="shared" si="37"/>
        <v>492846.13003053417</v>
      </c>
      <c r="D209" s="18">
        <f t="shared" si="30"/>
        <v>4990.7212168886126</v>
      </c>
      <c r="E209" s="18">
        <f t="shared" si="31"/>
        <v>1828.2918825260181</v>
      </c>
      <c r="F209" s="16">
        <f t="shared" si="32"/>
        <v>4.4515927494353985E-2</v>
      </c>
      <c r="G209" s="18">
        <f t="shared" si="33"/>
        <v>3162.4293343625945</v>
      </c>
      <c r="H209" s="16">
        <f t="shared" si="34"/>
        <v>7.6999999999999999E-2</v>
      </c>
      <c r="I209" s="18">
        <f t="shared" si="38"/>
        <v>208982.16185199199</v>
      </c>
      <c r="J209" s="18">
        <f t="shared" si="39"/>
        <v>809124.96639328473</v>
      </c>
      <c r="K209" s="18">
        <f t="shared" si="35"/>
        <v>491017.83814800816</v>
      </c>
      <c r="L209" s="18">
        <f t="shared" si="36"/>
        <v>1018107.1282452767</v>
      </c>
    </row>
    <row r="210" spans="1:12" x14ac:dyDescent="0.3">
      <c r="A210">
        <v>205</v>
      </c>
      <c r="B210" s="17">
        <v>51075</v>
      </c>
      <c r="C210" s="18">
        <f t="shared" si="37"/>
        <v>491017.83814800816</v>
      </c>
      <c r="D210" s="18">
        <f t="shared" si="30"/>
        <v>4990.7212168886126</v>
      </c>
      <c r="E210" s="18">
        <f t="shared" si="31"/>
        <v>1840.0234221055603</v>
      </c>
      <c r="F210" s="16">
        <f t="shared" si="32"/>
        <v>4.496838882381099E-2</v>
      </c>
      <c r="G210" s="18">
        <f t="shared" si="33"/>
        <v>3150.6977947830524</v>
      </c>
      <c r="H210" s="16">
        <f t="shared" si="34"/>
        <v>7.6999999999999999E-2</v>
      </c>
      <c r="I210" s="18">
        <f t="shared" si="38"/>
        <v>210822.18527409754</v>
      </c>
      <c r="J210" s="18">
        <f t="shared" si="39"/>
        <v>812275.66418806778</v>
      </c>
      <c r="K210" s="18">
        <f t="shared" si="35"/>
        <v>489177.81472590257</v>
      </c>
      <c r="L210" s="18">
        <f t="shared" si="36"/>
        <v>1023097.8494621653</v>
      </c>
    </row>
    <row r="211" spans="1:12" x14ac:dyDescent="0.3">
      <c r="A211">
        <v>206</v>
      </c>
      <c r="B211" s="17">
        <v>51105</v>
      </c>
      <c r="C211" s="18">
        <f t="shared" si="37"/>
        <v>489177.81472590257</v>
      </c>
      <c r="D211" s="18">
        <f t="shared" si="30"/>
        <v>4990.7212168886126</v>
      </c>
      <c r="E211" s="18">
        <f t="shared" si="31"/>
        <v>1851.8302390640711</v>
      </c>
      <c r="F211" s="16">
        <f t="shared" si="32"/>
        <v>4.5427168198991855E-2</v>
      </c>
      <c r="G211" s="18">
        <f t="shared" si="33"/>
        <v>3138.8909778245416</v>
      </c>
      <c r="H211" s="16">
        <f t="shared" si="34"/>
        <v>7.6999999999999999E-2</v>
      </c>
      <c r="I211" s="18">
        <f t="shared" si="38"/>
        <v>212674.0155131616</v>
      </c>
      <c r="J211" s="18">
        <f t="shared" si="39"/>
        <v>815414.55516589235</v>
      </c>
      <c r="K211" s="18">
        <f t="shared" si="35"/>
        <v>487325.98448683851</v>
      </c>
      <c r="L211" s="18">
        <f t="shared" si="36"/>
        <v>1028088.5706790539</v>
      </c>
    </row>
    <row r="212" spans="1:12" x14ac:dyDescent="0.3">
      <c r="A212">
        <v>207</v>
      </c>
      <c r="B212" s="17">
        <v>51136</v>
      </c>
      <c r="C212" s="18">
        <f t="shared" si="37"/>
        <v>487325.98448683851</v>
      </c>
      <c r="D212" s="18">
        <f t="shared" si="30"/>
        <v>4990.7212168886126</v>
      </c>
      <c r="E212" s="18">
        <f t="shared" si="31"/>
        <v>1863.7128164313986</v>
      </c>
      <c r="F212" s="16">
        <f t="shared" si="32"/>
        <v>4.5892389302259327E-2</v>
      </c>
      <c r="G212" s="18">
        <f t="shared" si="33"/>
        <v>3127.0084004572141</v>
      </c>
      <c r="H212" s="16">
        <f t="shared" si="34"/>
        <v>7.6999999999999999E-2</v>
      </c>
      <c r="I212" s="18">
        <f t="shared" si="38"/>
        <v>214537.728329593</v>
      </c>
      <c r="J212" s="18">
        <f t="shared" si="39"/>
        <v>818541.56356634956</v>
      </c>
      <c r="K212" s="18">
        <f t="shared" si="35"/>
        <v>485462.27167040709</v>
      </c>
      <c r="L212" s="18">
        <f t="shared" si="36"/>
        <v>1033079.2918959425</v>
      </c>
    </row>
    <row r="213" spans="1:12" x14ac:dyDescent="0.3">
      <c r="A213">
        <v>208</v>
      </c>
      <c r="B213" s="17">
        <v>51167</v>
      </c>
      <c r="C213" s="18">
        <f t="shared" si="37"/>
        <v>485462.27167040709</v>
      </c>
      <c r="D213" s="18">
        <f t="shared" si="30"/>
        <v>4990.7212168886126</v>
      </c>
      <c r="E213" s="18">
        <f t="shared" si="31"/>
        <v>1875.6716403368337</v>
      </c>
      <c r="F213" s="16">
        <f t="shared" si="32"/>
        <v>4.6364179046488929E-2</v>
      </c>
      <c r="G213" s="18">
        <f t="shared" si="33"/>
        <v>3115.049576551779</v>
      </c>
      <c r="H213" s="16">
        <f t="shared" si="34"/>
        <v>7.6999999999999999E-2</v>
      </c>
      <c r="I213" s="18">
        <f t="shared" si="38"/>
        <v>216413.39996992983</v>
      </c>
      <c r="J213" s="18">
        <f t="shared" si="39"/>
        <v>821656.61314290133</v>
      </c>
      <c r="K213" s="18">
        <f t="shared" si="35"/>
        <v>483586.60003007029</v>
      </c>
      <c r="L213" s="18">
        <f t="shared" si="36"/>
        <v>1038070.0131128312</v>
      </c>
    </row>
    <row r="214" spans="1:12" x14ac:dyDescent="0.3">
      <c r="A214">
        <v>209</v>
      </c>
      <c r="B214" s="17">
        <v>51196</v>
      </c>
      <c r="C214" s="18">
        <f t="shared" si="37"/>
        <v>483586.60003007029</v>
      </c>
      <c r="D214" s="18">
        <f t="shared" si="30"/>
        <v>4990.7212168886126</v>
      </c>
      <c r="E214" s="18">
        <f t="shared" si="31"/>
        <v>1887.707200028995</v>
      </c>
      <c r="F214" s="16">
        <f t="shared" si="32"/>
        <v>4.6842667681319887E-2</v>
      </c>
      <c r="G214" s="18">
        <f t="shared" si="33"/>
        <v>3103.0140168596176</v>
      </c>
      <c r="H214" s="16">
        <f t="shared" si="34"/>
        <v>7.6999999999999999E-2</v>
      </c>
      <c r="I214" s="18">
        <f t="shared" si="38"/>
        <v>218301.10716995882</v>
      </c>
      <c r="J214" s="18">
        <f t="shared" si="39"/>
        <v>824759.62715976092</v>
      </c>
      <c r="K214" s="18">
        <f t="shared" si="35"/>
        <v>481698.8928300413</v>
      </c>
      <c r="L214" s="18">
        <f t="shared" si="36"/>
        <v>1043060.7343297198</v>
      </c>
    </row>
    <row r="215" spans="1:12" x14ac:dyDescent="0.3">
      <c r="A215">
        <v>210</v>
      </c>
      <c r="B215" s="17">
        <v>51227</v>
      </c>
      <c r="C215" s="18">
        <f t="shared" si="37"/>
        <v>481698.8928300413</v>
      </c>
      <c r="D215" s="18">
        <f t="shared" si="30"/>
        <v>4990.7212168886126</v>
      </c>
      <c r="E215" s="18">
        <f t="shared" si="31"/>
        <v>1899.8199878958476</v>
      </c>
      <c r="F215" s="16">
        <f t="shared" si="32"/>
        <v>4.7327988903628174E-2</v>
      </c>
      <c r="G215" s="18">
        <f t="shared" si="33"/>
        <v>3090.901228992765</v>
      </c>
      <c r="H215" s="16">
        <f t="shared" si="34"/>
        <v>7.6999999999999999E-2</v>
      </c>
      <c r="I215" s="18">
        <f t="shared" si="38"/>
        <v>220200.92715785466</v>
      </c>
      <c r="J215" s="18">
        <f t="shared" si="39"/>
        <v>827850.52838875365</v>
      </c>
      <c r="K215" s="18">
        <f t="shared" si="35"/>
        <v>479799.07284214546</v>
      </c>
      <c r="L215" s="18">
        <f t="shared" si="36"/>
        <v>1048051.4555466083</v>
      </c>
    </row>
    <row r="216" spans="1:12" x14ac:dyDescent="0.3">
      <c r="A216">
        <v>211</v>
      </c>
      <c r="B216" s="17">
        <v>51257</v>
      </c>
      <c r="C216" s="18">
        <f t="shared" si="37"/>
        <v>479799.07284214546</v>
      </c>
      <c r="D216" s="18">
        <f t="shared" si="30"/>
        <v>4990.7212168886126</v>
      </c>
      <c r="E216" s="18">
        <f t="shared" si="31"/>
        <v>1912.0104994848457</v>
      </c>
      <c r="F216" s="16">
        <f t="shared" si="32"/>
        <v>4.7820279972418361E-2</v>
      </c>
      <c r="G216" s="18">
        <f t="shared" si="33"/>
        <v>3078.7107174037669</v>
      </c>
      <c r="H216" s="16">
        <f t="shared" si="34"/>
        <v>7.6999999999999999E-2</v>
      </c>
      <c r="I216" s="18">
        <f t="shared" si="38"/>
        <v>222112.9376573395</v>
      </c>
      <c r="J216" s="18">
        <f t="shared" si="39"/>
        <v>830929.23910615745</v>
      </c>
      <c r="K216" s="18">
        <f t="shared" si="35"/>
        <v>477887.06234266062</v>
      </c>
      <c r="L216" s="18">
        <f t="shared" si="36"/>
        <v>1053042.1767634968</v>
      </c>
    </row>
    <row r="217" spans="1:12" x14ac:dyDescent="0.3">
      <c r="A217">
        <v>212</v>
      </c>
      <c r="B217" s="17">
        <v>51288</v>
      </c>
      <c r="C217" s="18">
        <f t="shared" si="37"/>
        <v>477887.06234266062</v>
      </c>
      <c r="D217" s="18">
        <f t="shared" si="30"/>
        <v>4990.7212168886126</v>
      </c>
      <c r="E217" s="18">
        <f t="shared" si="31"/>
        <v>1924.279233523207</v>
      </c>
      <c r="F217" s="16">
        <f t="shared" si="32"/>
        <v>4.8319681828342183E-2</v>
      </c>
      <c r="G217" s="18">
        <f t="shared" si="33"/>
        <v>3066.4419833654056</v>
      </c>
      <c r="H217" s="16">
        <f t="shared" si="34"/>
        <v>7.6999999999999999E-2</v>
      </c>
      <c r="I217" s="18">
        <f t="shared" si="38"/>
        <v>224037.21689086271</v>
      </c>
      <c r="J217" s="18">
        <f t="shared" si="39"/>
        <v>833995.6810895229</v>
      </c>
      <c r="K217" s="18">
        <f t="shared" si="35"/>
        <v>475962.78310913744</v>
      </c>
      <c r="L217" s="18">
        <f t="shared" si="36"/>
        <v>1058032.8979803857</v>
      </c>
    </row>
    <row r="218" spans="1:12" x14ac:dyDescent="0.3">
      <c r="A218">
        <v>213</v>
      </c>
      <c r="B218" s="17">
        <v>51318</v>
      </c>
      <c r="C218" s="18">
        <f t="shared" si="37"/>
        <v>475962.78310913744</v>
      </c>
      <c r="D218" s="18">
        <f t="shared" si="30"/>
        <v>4990.7212168886126</v>
      </c>
      <c r="E218" s="18">
        <f t="shared" si="31"/>
        <v>1936.6266919383138</v>
      </c>
      <c r="F218" s="16">
        <f t="shared" si="32"/>
        <v>4.8826339218062315E-2</v>
      </c>
      <c r="G218" s="18">
        <f t="shared" si="33"/>
        <v>3054.0945249502988</v>
      </c>
      <c r="H218" s="16">
        <f t="shared" si="34"/>
        <v>7.6999999999999999E-2</v>
      </c>
      <c r="I218" s="18">
        <f t="shared" si="38"/>
        <v>225973.84358280103</v>
      </c>
      <c r="J218" s="18">
        <f t="shared" si="39"/>
        <v>837049.77561447315</v>
      </c>
      <c r="K218" s="18">
        <f t="shared" si="35"/>
        <v>474026.15641719912</v>
      </c>
      <c r="L218" s="18">
        <f t="shared" si="36"/>
        <v>1063023.6191972741</v>
      </c>
    </row>
    <row r="219" spans="1:12" x14ac:dyDescent="0.3">
      <c r="A219">
        <v>214</v>
      </c>
      <c r="B219" s="17">
        <v>51349</v>
      </c>
      <c r="C219" s="18">
        <f t="shared" si="37"/>
        <v>474026.15641719912</v>
      </c>
      <c r="D219" s="18">
        <f t="shared" si="30"/>
        <v>4990.7212168886126</v>
      </c>
      <c r="E219" s="18">
        <f t="shared" si="31"/>
        <v>1949.0533798782517</v>
      </c>
      <c r="F219" s="16">
        <f t="shared" si="32"/>
        <v>4.9340400823692628E-2</v>
      </c>
      <c r="G219" s="18">
        <f t="shared" si="33"/>
        <v>3041.6678370103609</v>
      </c>
      <c r="H219" s="16">
        <f t="shared" si="34"/>
        <v>7.6999999999999999E-2</v>
      </c>
      <c r="I219" s="18">
        <f t="shared" si="38"/>
        <v>227922.89696267928</v>
      </c>
      <c r="J219" s="18">
        <f t="shared" si="39"/>
        <v>840091.4434514835</v>
      </c>
      <c r="K219" s="18">
        <f t="shared" si="35"/>
        <v>472077.10303732089</v>
      </c>
      <c r="L219" s="18">
        <f t="shared" si="36"/>
        <v>1068014.3404141627</v>
      </c>
    </row>
    <row r="220" spans="1:12" x14ac:dyDescent="0.3">
      <c r="A220">
        <v>215</v>
      </c>
      <c r="B220" s="17">
        <v>51380</v>
      </c>
      <c r="C220" s="18">
        <f t="shared" si="37"/>
        <v>472077.10303732089</v>
      </c>
      <c r="D220" s="18">
        <f t="shared" si="30"/>
        <v>4990.7212168886126</v>
      </c>
      <c r="E220" s="18">
        <f t="shared" si="31"/>
        <v>1961.5598057324701</v>
      </c>
      <c r="F220" s="16">
        <f t="shared" si="32"/>
        <v>4.9862019397557494E-2</v>
      </c>
      <c r="G220" s="18">
        <f t="shared" si="33"/>
        <v>3029.1614111561425</v>
      </c>
      <c r="H220" s="16">
        <f t="shared" si="34"/>
        <v>7.6999999999999999E-2</v>
      </c>
      <c r="I220" s="18">
        <f t="shared" si="38"/>
        <v>229884.45676841176</v>
      </c>
      <c r="J220" s="18">
        <f t="shared" si="39"/>
        <v>843120.60486263968</v>
      </c>
      <c r="K220" s="18">
        <f t="shared" si="35"/>
        <v>470115.54323158844</v>
      </c>
      <c r="L220" s="18">
        <f t="shared" si="36"/>
        <v>1073005.0616310514</v>
      </c>
    </row>
    <row r="221" spans="1:12" x14ac:dyDescent="0.3">
      <c r="A221">
        <v>216</v>
      </c>
      <c r="B221" s="17">
        <v>51410</v>
      </c>
      <c r="C221" s="18">
        <f t="shared" si="37"/>
        <v>470115.54323158844</v>
      </c>
      <c r="D221" s="18">
        <f t="shared" si="30"/>
        <v>4990.7212168886126</v>
      </c>
      <c r="E221" s="18">
        <f t="shared" si="31"/>
        <v>1974.1464811525866</v>
      </c>
      <c r="F221" s="16">
        <f t="shared" si="32"/>
        <v>5.0391351902527901E-2</v>
      </c>
      <c r="G221" s="18">
        <f t="shared" si="33"/>
        <v>3016.574735736026</v>
      </c>
      <c r="H221" s="16">
        <f t="shared" si="34"/>
        <v>7.6999999999999999E-2</v>
      </c>
      <c r="I221" s="18">
        <f t="shared" si="38"/>
        <v>231858.60324956436</v>
      </c>
      <c r="J221" s="18">
        <f t="shared" si="39"/>
        <v>846137.17959837569</v>
      </c>
      <c r="K221" s="18">
        <f t="shared" si="35"/>
        <v>468141.39675043587</v>
      </c>
      <c r="L221" s="18">
        <f t="shared" si="36"/>
        <v>1077995.78284794</v>
      </c>
    </row>
    <row r="222" spans="1:12" x14ac:dyDescent="0.3">
      <c r="A222">
        <v>217</v>
      </c>
      <c r="B222" s="17">
        <v>51441</v>
      </c>
      <c r="C222" s="18">
        <f t="shared" si="37"/>
        <v>468141.39675043587</v>
      </c>
      <c r="D222" s="18">
        <f t="shared" si="30"/>
        <v>4990.7212168886126</v>
      </c>
      <c r="E222" s="18">
        <f t="shared" si="31"/>
        <v>1986.8139210733157</v>
      </c>
      <c r="F222" s="16">
        <f t="shared" si="32"/>
        <v>5.0928559658204565E-2</v>
      </c>
      <c r="G222" s="18">
        <f t="shared" si="33"/>
        <v>3003.9072958152969</v>
      </c>
      <c r="H222" s="16">
        <f t="shared" si="34"/>
        <v>7.6999999999999999E-2</v>
      </c>
      <c r="I222" s="18">
        <f t="shared" si="38"/>
        <v>233845.41717063767</v>
      </c>
      <c r="J222" s="18">
        <f t="shared" si="39"/>
        <v>849141.08689419099</v>
      </c>
      <c r="K222" s="18">
        <f t="shared" si="35"/>
        <v>466154.58282936254</v>
      </c>
      <c r="L222" s="18">
        <f t="shared" si="36"/>
        <v>1082986.5040648286</v>
      </c>
    </row>
    <row r="223" spans="1:12" x14ac:dyDescent="0.3">
      <c r="A223">
        <v>218</v>
      </c>
      <c r="B223" s="17">
        <v>51471</v>
      </c>
      <c r="C223" s="18">
        <f t="shared" si="37"/>
        <v>466154.58282936254</v>
      </c>
      <c r="D223" s="18">
        <f t="shared" si="30"/>
        <v>4990.7212168886126</v>
      </c>
      <c r="E223" s="18">
        <f t="shared" si="31"/>
        <v>1999.5626437335363</v>
      </c>
      <c r="F223" s="16">
        <f t="shared" si="32"/>
        <v>5.1473808493234949E-2</v>
      </c>
      <c r="G223" s="18">
        <f t="shared" si="33"/>
        <v>2991.1585731550763</v>
      </c>
      <c r="H223" s="16">
        <f t="shared" si="34"/>
        <v>7.6999999999999999E-2</v>
      </c>
      <c r="I223" s="18">
        <f t="shared" si="38"/>
        <v>235844.97981437121</v>
      </c>
      <c r="J223" s="18">
        <f t="shared" si="39"/>
        <v>852132.24546734605</v>
      </c>
      <c r="K223" s="18">
        <f t="shared" si="35"/>
        <v>464155.02018562902</v>
      </c>
      <c r="L223" s="18">
        <f t="shared" si="36"/>
        <v>1087977.2252817173</v>
      </c>
    </row>
    <row r="224" spans="1:12" x14ac:dyDescent="0.3">
      <c r="A224">
        <v>219</v>
      </c>
      <c r="B224" s="17">
        <v>51502</v>
      </c>
      <c r="C224" s="18">
        <f t="shared" si="37"/>
        <v>464155.02018562902</v>
      </c>
      <c r="D224" s="18">
        <f t="shared" si="30"/>
        <v>4990.7212168886126</v>
      </c>
      <c r="E224" s="18">
        <f t="shared" si="31"/>
        <v>2012.3931706974931</v>
      </c>
      <c r="F224" s="16">
        <f t="shared" si="32"/>
        <v>5.2027268904066032E-2</v>
      </c>
      <c r="G224" s="18">
        <f t="shared" si="33"/>
        <v>2978.3280461911195</v>
      </c>
      <c r="H224" s="16">
        <f t="shared" si="34"/>
        <v>7.6999999999999999E-2</v>
      </c>
      <c r="I224" s="18">
        <f t="shared" si="38"/>
        <v>237857.37298506871</v>
      </c>
      <c r="J224" s="18">
        <f t="shared" si="39"/>
        <v>855110.57351353718</v>
      </c>
      <c r="K224" s="18">
        <f t="shared" si="35"/>
        <v>462142.62701493152</v>
      </c>
      <c r="L224" s="18">
        <f t="shared" si="36"/>
        <v>1092967.9464986059</v>
      </c>
    </row>
    <row r="225" spans="1:12" x14ac:dyDescent="0.3">
      <c r="A225">
        <v>220</v>
      </c>
      <c r="B225" s="17">
        <v>51533</v>
      </c>
      <c r="C225" s="18">
        <f t="shared" si="37"/>
        <v>462142.62701493152</v>
      </c>
      <c r="D225" s="18">
        <f t="shared" si="30"/>
        <v>4990.7212168886126</v>
      </c>
      <c r="E225" s="18">
        <f t="shared" si="31"/>
        <v>2025.3060268761351</v>
      </c>
      <c r="F225" s="16">
        <f t="shared" si="32"/>
        <v>5.2589116220452842E-2</v>
      </c>
      <c r="G225" s="18">
        <f t="shared" si="33"/>
        <v>2965.4151900124775</v>
      </c>
      <c r="H225" s="16">
        <f t="shared" si="34"/>
        <v>7.6999999999999999E-2</v>
      </c>
      <c r="I225" s="18">
        <f t="shared" si="38"/>
        <v>239882.67901194486</v>
      </c>
      <c r="J225" s="18">
        <f t="shared" si="39"/>
        <v>858075.98870354961</v>
      </c>
      <c r="K225" s="18">
        <f t="shared" si="35"/>
        <v>460117.32098805538</v>
      </c>
      <c r="L225" s="18">
        <f t="shared" si="36"/>
        <v>1097958.6677154945</v>
      </c>
    </row>
    <row r="226" spans="1:12" x14ac:dyDescent="0.3">
      <c r="A226">
        <v>221</v>
      </c>
      <c r="B226" s="17">
        <v>51561</v>
      </c>
      <c r="C226" s="18">
        <f t="shared" si="37"/>
        <v>460117.32098805538</v>
      </c>
      <c r="D226" s="18">
        <f t="shared" si="30"/>
        <v>4990.7212168886126</v>
      </c>
      <c r="E226" s="18">
        <f t="shared" si="31"/>
        <v>2038.3017405485907</v>
      </c>
      <c r="F226" s="16">
        <f t="shared" si="32"/>
        <v>5.3159530778060099E-2</v>
      </c>
      <c r="G226" s="18">
        <f t="shared" si="33"/>
        <v>2952.4194763400219</v>
      </c>
      <c r="H226" s="16">
        <f t="shared" si="34"/>
        <v>7.6999999999999999E-2</v>
      </c>
      <c r="I226" s="18">
        <f t="shared" si="38"/>
        <v>241920.98075249346</v>
      </c>
      <c r="J226" s="18">
        <f t="shared" si="39"/>
        <v>861028.40817988967</v>
      </c>
      <c r="K226" s="18">
        <f t="shared" si="35"/>
        <v>458079.0192475068</v>
      </c>
      <c r="L226" s="18">
        <f t="shared" si="36"/>
        <v>1102949.3889323832</v>
      </c>
    </row>
    <row r="227" spans="1:12" x14ac:dyDescent="0.3">
      <c r="A227">
        <v>222</v>
      </c>
      <c r="B227" s="17">
        <v>51592</v>
      </c>
      <c r="C227" s="18">
        <f t="shared" si="37"/>
        <v>458079.0192475068</v>
      </c>
      <c r="D227" s="18">
        <f t="shared" si="30"/>
        <v>4990.7212168886126</v>
      </c>
      <c r="E227" s="18">
        <f t="shared" si="31"/>
        <v>2051.3808433837771</v>
      </c>
      <c r="F227" s="16">
        <f t="shared" si="32"/>
        <v>5.3738698098514379E-2</v>
      </c>
      <c r="G227" s="18">
        <f t="shared" si="33"/>
        <v>2939.3403735048355</v>
      </c>
      <c r="H227" s="16">
        <f t="shared" si="34"/>
        <v>7.6999999999999999E-2</v>
      </c>
      <c r="I227" s="18">
        <f t="shared" si="38"/>
        <v>243972.36159587724</v>
      </c>
      <c r="J227" s="18">
        <f t="shared" si="39"/>
        <v>863967.74855339446</v>
      </c>
      <c r="K227" s="18">
        <f t="shared" si="35"/>
        <v>456027.63840412302</v>
      </c>
      <c r="L227" s="18">
        <f t="shared" si="36"/>
        <v>1107940.1101492718</v>
      </c>
    </row>
    <row r="228" spans="1:12" x14ac:dyDescent="0.3">
      <c r="A228">
        <v>223</v>
      </c>
      <c r="B228" s="17">
        <v>51622</v>
      </c>
      <c r="C228" s="18">
        <f t="shared" si="37"/>
        <v>456027.63840412302</v>
      </c>
      <c r="D228" s="18">
        <f t="shared" si="30"/>
        <v>4990.7212168886126</v>
      </c>
      <c r="E228" s="18">
        <f t="shared" si="31"/>
        <v>2064.5438704621565</v>
      </c>
      <c r="F228" s="16">
        <f t="shared" si="32"/>
        <v>5.4326809077284842E-2</v>
      </c>
      <c r="G228" s="18">
        <f t="shared" si="33"/>
        <v>2926.1773464264561</v>
      </c>
      <c r="H228" s="16">
        <f t="shared" si="34"/>
        <v>7.6999999999999999E-2</v>
      </c>
      <c r="I228" s="18">
        <f t="shared" si="38"/>
        <v>246036.90546633941</v>
      </c>
      <c r="J228" s="18">
        <f t="shared" si="39"/>
        <v>866893.92589982087</v>
      </c>
      <c r="K228" s="18">
        <f t="shared" si="35"/>
        <v>453963.09453366086</v>
      </c>
      <c r="L228" s="18">
        <f t="shared" si="36"/>
        <v>1112930.8313661602</v>
      </c>
    </row>
    <row r="229" spans="1:12" x14ac:dyDescent="0.3">
      <c r="A229">
        <v>224</v>
      </c>
      <c r="B229" s="17">
        <v>51653</v>
      </c>
      <c r="C229" s="18">
        <f t="shared" si="37"/>
        <v>453963.09453366086</v>
      </c>
      <c r="D229" s="18">
        <f t="shared" si="30"/>
        <v>4990.7212168886126</v>
      </c>
      <c r="E229" s="18">
        <f t="shared" si="31"/>
        <v>2077.7913602976218</v>
      </c>
      <c r="F229" s="16">
        <f t="shared" si="32"/>
        <v>5.492406017979215E-2</v>
      </c>
      <c r="G229" s="18">
        <f t="shared" si="33"/>
        <v>2912.9298565909908</v>
      </c>
      <c r="H229" s="16">
        <f t="shared" si="34"/>
        <v>7.6999999999999999E-2</v>
      </c>
      <c r="I229" s="18">
        <f t="shared" si="38"/>
        <v>248114.69682663702</v>
      </c>
      <c r="J229" s="18">
        <f t="shared" si="39"/>
        <v>869806.85575641191</v>
      </c>
      <c r="K229" s="18">
        <f t="shared" si="35"/>
        <v>451885.30317336321</v>
      </c>
      <c r="L229" s="18">
        <f t="shared" si="36"/>
        <v>1117921.5525830491</v>
      </c>
    </row>
    <row r="230" spans="1:12" x14ac:dyDescent="0.3">
      <c r="A230">
        <v>225</v>
      </c>
      <c r="B230" s="17">
        <v>51683</v>
      </c>
      <c r="C230" s="18">
        <f t="shared" si="37"/>
        <v>451885.30317336321</v>
      </c>
      <c r="D230" s="18">
        <f t="shared" si="30"/>
        <v>4990.7212168886126</v>
      </c>
      <c r="E230" s="18">
        <f t="shared" si="31"/>
        <v>2091.123854859532</v>
      </c>
      <c r="F230" s="16">
        <f t="shared" si="32"/>
        <v>5.5530653646169617E-2</v>
      </c>
      <c r="G230" s="18">
        <f t="shared" si="33"/>
        <v>2899.5973620290806</v>
      </c>
      <c r="H230" s="16">
        <f t="shared" si="34"/>
        <v>7.6999999999999999E-2</v>
      </c>
      <c r="I230" s="18">
        <f t="shared" si="38"/>
        <v>250205.82068149655</v>
      </c>
      <c r="J230" s="18">
        <f t="shared" si="39"/>
        <v>872706.45311844104</v>
      </c>
      <c r="K230" s="18">
        <f t="shared" si="35"/>
        <v>449794.17931850365</v>
      </c>
      <c r="L230" s="18">
        <f t="shared" si="36"/>
        <v>1122912.2737999377</v>
      </c>
    </row>
    <row r="231" spans="1:12" x14ac:dyDescent="0.3">
      <c r="A231">
        <v>226</v>
      </c>
      <c r="B231" s="17">
        <v>51714</v>
      </c>
      <c r="C231" s="18">
        <f t="shared" si="37"/>
        <v>449794.17931850365</v>
      </c>
      <c r="D231" s="18">
        <f t="shared" si="30"/>
        <v>4990.7212168886126</v>
      </c>
      <c r="E231" s="18">
        <f t="shared" si="31"/>
        <v>2104.5418995948808</v>
      </c>
      <c r="F231" s="16">
        <f t="shared" si="32"/>
        <v>5.614679770512461E-2</v>
      </c>
      <c r="G231" s="18">
        <f t="shared" si="33"/>
        <v>2886.1793172937319</v>
      </c>
      <c r="H231" s="16">
        <f t="shared" si="34"/>
        <v>7.6999999999999999E-2</v>
      </c>
      <c r="I231" s="18">
        <f t="shared" si="38"/>
        <v>252310.36258109144</v>
      </c>
      <c r="J231" s="18">
        <f t="shared" si="39"/>
        <v>875592.63243573473</v>
      </c>
      <c r="K231" s="18">
        <f t="shared" si="35"/>
        <v>447689.63741890877</v>
      </c>
      <c r="L231" s="18">
        <f t="shared" si="36"/>
        <v>1127902.9950168261</v>
      </c>
    </row>
    <row r="232" spans="1:12" x14ac:dyDescent="0.3">
      <c r="A232">
        <v>227</v>
      </c>
      <c r="B232" s="17">
        <v>51745</v>
      </c>
      <c r="C232" s="18">
        <f t="shared" si="37"/>
        <v>447689.63741890877</v>
      </c>
      <c r="D232" s="18">
        <f t="shared" si="30"/>
        <v>4990.7212168886126</v>
      </c>
      <c r="E232" s="18">
        <f t="shared" si="31"/>
        <v>2118.0460434506144</v>
      </c>
      <c r="F232" s="16">
        <f t="shared" si="32"/>
        <v>5.6772706797376213E-2</v>
      </c>
      <c r="G232" s="18">
        <f t="shared" si="33"/>
        <v>2872.6751734379982</v>
      </c>
      <c r="H232" s="16">
        <f t="shared" si="34"/>
        <v>7.6999999999999999E-2</v>
      </c>
      <c r="I232" s="18">
        <f t="shared" si="38"/>
        <v>254428.40862454206</v>
      </c>
      <c r="J232" s="18">
        <f t="shared" si="39"/>
        <v>878465.30760917277</v>
      </c>
      <c r="K232" s="18">
        <f t="shared" si="35"/>
        <v>445571.59137545817</v>
      </c>
      <c r="L232" s="18">
        <f t="shared" si="36"/>
        <v>1132893.7162337149</v>
      </c>
    </row>
    <row r="233" spans="1:12" x14ac:dyDescent="0.3">
      <c r="A233">
        <v>228</v>
      </c>
      <c r="B233" s="17">
        <v>51775</v>
      </c>
      <c r="C233" s="18">
        <f t="shared" si="37"/>
        <v>445571.59137545817</v>
      </c>
      <c r="D233" s="18">
        <f t="shared" si="30"/>
        <v>4990.7212168886126</v>
      </c>
      <c r="E233" s="18">
        <f t="shared" si="31"/>
        <v>2131.6368388960891</v>
      </c>
      <c r="F233" s="16">
        <f t="shared" si="32"/>
        <v>5.7408601809172663E-2</v>
      </c>
      <c r="G233" s="18">
        <f t="shared" si="33"/>
        <v>2859.0843779925235</v>
      </c>
      <c r="H233" s="16">
        <f t="shared" si="34"/>
        <v>7.6999999999999999E-2</v>
      </c>
      <c r="I233" s="18">
        <f t="shared" si="38"/>
        <v>256560.04546343815</v>
      </c>
      <c r="J233" s="18">
        <f t="shared" si="39"/>
        <v>881324.39198716532</v>
      </c>
      <c r="K233" s="18">
        <f t="shared" si="35"/>
        <v>443439.95453656209</v>
      </c>
      <c r="L233" s="18">
        <f t="shared" si="36"/>
        <v>1137884.4374506036</v>
      </c>
    </row>
    <row r="234" spans="1:12" x14ac:dyDescent="0.3">
      <c r="A234">
        <v>229</v>
      </c>
      <c r="B234" s="17">
        <v>51806</v>
      </c>
      <c r="C234" s="18">
        <f t="shared" si="37"/>
        <v>443439.95453656209</v>
      </c>
      <c r="D234" s="18">
        <f t="shared" si="30"/>
        <v>4990.7212168886126</v>
      </c>
      <c r="E234" s="18">
        <f t="shared" si="31"/>
        <v>2145.3148419456725</v>
      </c>
      <c r="F234" s="16">
        <f t="shared" si="32"/>
        <v>5.8054710316423397E-2</v>
      </c>
      <c r="G234" s="18">
        <f t="shared" si="33"/>
        <v>2845.4063749429401</v>
      </c>
      <c r="H234" s="16">
        <f t="shared" si="34"/>
        <v>7.6999999999999999E-2</v>
      </c>
      <c r="I234" s="18">
        <f t="shared" si="38"/>
        <v>258705.36030538383</v>
      </c>
      <c r="J234" s="18">
        <f t="shared" si="39"/>
        <v>884169.7983621083</v>
      </c>
      <c r="K234" s="18">
        <f t="shared" si="35"/>
        <v>441294.63969461643</v>
      </c>
      <c r="L234" s="18">
        <f t="shared" si="36"/>
        <v>1142875.1586674922</v>
      </c>
    </row>
    <row r="235" spans="1:12" x14ac:dyDescent="0.3">
      <c r="A235">
        <v>230</v>
      </c>
      <c r="B235" s="17">
        <v>51836</v>
      </c>
      <c r="C235" s="18">
        <f t="shared" si="37"/>
        <v>441294.63969461643</v>
      </c>
      <c r="D235" s="18">
        <f t="shared" si="30"/>
        <v>4990.7212168886126</v>
      </c>
      <c r="E235" s="18">
        <f t="shared" si="31"/>
        <v>2159.0806121814903</v>
      </c>
      <c r="F235" s="16">
        <f t="shared" si="32"/>
        <v>5.8711266840012696E-2</v>
      </c>
      <c r="G235" s="18">
        <f t="shared" si="33"/>
        <v>2831.6406047071223</v>
      </c>
      <c r="H235" s="16">
        <f t="shared" si="34"/>
        <v>7.6999999999999999E-2</v>
      </c>
      <c r="I235" s="18">
        <f t="shared" si="38"/>
        <v>260864.44091756531</v>
      </c>
      <c r="J235" s="18">
        <f t="shared" si="39"/>
        <v>887001.43896681548</v>
      </c>
      <c r="K235" s="18">
        <f t="shared" si="35"/>
        <v>439135.55908243492</v>
      </c>
      <c r="L235" s="18">
        <f t="shared" si="36"/>
        <v>1147865.8798843808</v>
      </c>
    </row>
    <row r="236" spans="1:12" x14ac:dyDescent="0.3">
      <c r="A236">
        <v>231</v>
      </c>
      <c r="B236" s="17">
        <v>51867</v>
      </c>
      <c r="C236" s="18">
        <f t="shared" si="37"/>
        <v>439135.55908243492</v>
      </c>
      <c r="D236" s="18">
        <f t="shared" si="30"/>
        <v>4990.7212168886126</v>
      </c>
      <c r="E236" s="18">
        <f t="shared" si="31"/>
        <v>2172.9347127763217</v>
      </c>
      <c r="F236" s="16">
        <f t="shared" si="32"/>
        <v>5.9378513112897324E-2</v>
      </c>
      <c r="G236" s="18">
        <f t="shared" si="33"/>
        <v>2817.7865041122909</v>
      </c>
      <c r="H236" s="16">
        <f t="shared" si="34"/>
        <v>7.6999999999999999E-2</v>
      </c>
      <c r="I236" s="18">
        <f t="shared" si="38"/>
        <v>263037.37563034164</v>
      </c>
      <c r="J236" s="18">
        <f t="shared" si="39"/>
        <v>889819.22547092778</v>
      </c>
      <c r="K236" s="18">
        <f t="shared" si="35"/>
        <v>436962.62436965859</v>
      </c>
      <c r="L236" s="18">
        <f t="shared" si="36"/>
        <v>1152856.6011012695</v>
      </c>
    </row>
    <row r="237" spans="1:12" x14ac:dyDescent="0.3">
      <c r="A237">
        <v>232</v>
      </c>
      <c r="B237" s="17">
        <v>51898</v>
      </c>
      <c r="C237" s="18">
        <f t="shared" si="37"/>
        <v>436962.62436965859</v>
      </c>
      <c r="D237" s="18">
        <f t="shared" si="30"/>
        <v>4990.7212168886126</v>
      </c>
      <c r="E237" s="18">
        <f t="shared" si="31"/>
        <v>2186.8777105166364</v>
      </c>
      <c r="F237" s="16">
        <f t="shared" si="32"/>
        <v>6.0056698359627118E-2</v>
      </c>
      <c r="G237" s="18">
        <f t="shared" si="33"/>
        <v>2803.8435063719762</v>
      </c>
      <c r="H237" s="16">
        <f t="shared" si="34"/>
        <v>7.6999999999999999E-2</v>
      </c>
      <c r="I237" s="18">
        <f t="shared" si="38"/>
        <v>265224.25334085827</v>
      </c>
      <c r="J237" s="18">
        <f t="shared" si="39"/>
        <v>892623.06897729973</v>
      </c>
      <c r="K237" s="18">
        <f t="shared" si="35"/>
        <v>434775.74665914197</v>
      </c>
      <c r="L237" s="18">
        <f t="shared" si="36"/>
        <v>1157847.3223181581</v>
      </c>
    </row>
    <row r="238" spans="1:12" x14ac:dyDescent="0.3">
      <c r="A238">
        <v>233</v>
      </c>
      <c r="B238" s="17">
        <v>51926</v>
      </c>
      <c r="C238" s="18">
        <f t="shared" si="37"/>
        <v>434775.74665914197</v>
      </c>
      <c r="D238" s="18">
        <f t="shared" si="30"/>
        <v>4990.7212168886126</v>
      </c>
      <c r="E238" s="18">
        <f t="shared" si="31"/>
        <v>2200.9101758257848</v>
      </c>
      <c r="F238" s="16">
        <f t="shared" si="32"/>
        <v>6.0746079588968438E-2</v>
      </c>
      <c r="G238" s="18">
        <f t="shared" si="33"/>
        <v>2789.8110410628278</v>
      </c>
      <c r="H238" s="16">
        <f t="shared" si="34"/>
        <v>7.6999999999999999E-2</v>
      </c>
      <c r="I238" s="18">
        <f t="shared" si="38"/>
        <v>267425.16351668403</v>
      </c>
      <c r="J238" s="18">
        <f t="shared" si="39"/>
        <v>895412.88001836254</v>
      </c>
      <c r="K238" s="18">
        <f t="shared" si="35"/>
        <v>432574.8364833162</v>
      </c>
      <c r="L238" s="18">
        <f t="shared" si="36"/>
        <v>1162838.0435350465</v>
      </c>
    </row>
    <row r="239" spans="1:12" x14ac:dyDescent="0.3">
      <c r="A239">
        <v>234</v>
      </c>
      <c r="B239" s="17">
        <v>51957</v>
      </c>
      <c r="C239" s="18">
        <f t="shared" si="37"/>
        <v>432574.8364833162</v>
      </c>
      <c r="D239" s="18">
        <f t="shared" si="30"/>
        <v>4990.7212168886126</v>
      </c>
      <c r="E239" s="18">
        <f t="shared" si="31"/>
        <v>2215.0326827873337</v>
      </c>
      <c r="F239" s="16">
        <f t="shared" si="32"/>
        <v>6.1446921900352322E-2</v>
      </c>
      <c r="G239" s="18">
        <f t="shared" si="33"/>
        <v>2775.6885341012789</v>
      </c>
      <c r="H239" s="16">
        <f t="shared" si="34"/>
        <v>7.6999999999999999E-2</v>
      </c>
      <c r="I239" s="18">
        <f t="shared" si="38"/>
        <v>269640.19619947136</v>
      </c>
      <c r="J239" s="18">
        <f t="shared" si="39"/>
        <v>898188.56855246378</v>
      </c>
      <c r="K239" s="18">
        <f t="shared" si="35"/>
        <v>430359.80380052887</v>
      </c>
      <c r="L239" s="18">
        <f t="shared" si="36"/>
        <v>1167828.7647519351</v>
      </c>
    </row>
    <row r="240" spans="1:12" x14ac:dyDescent="0.3">
      <c r="A240">
        <v>235</v>
      </c>
      <c r="B240" s="17">
        <v>51987</v>
      </c>
      <c r="C240" s="18">
        <f t="shared" si="37"/>
        <v>430359.80380052887</v>
      </c>
      <c r="D240" s="18">
        <f t="shared" si="30"/>
        <v>4990.7212168886126</v>
      </c>
      <c r="E240" s="18">
        <f t="shared" si="31"/>
        <v>2229.2458091685521</v>
      </c>
      <c r="F240" s="16">
        <f t="shared" si="32"/>
        <v>6.2159498804915461E-2</v>
      </c>
      <c r="G240" s="18">
        <f t="shared" si="33"/>
        <v>2761.4754077200605</v>
      </c>
      <c r="H240" s="16">
        <f t="shared" si="34"/>
        <v>7.6999999999999999E-2</v>
      </c>
      <c r="I240" s="18">
        <f t="shared" si="38"/>
        <v>271869.44200863992</v>
      </c>
      <c r="J240" s="18">
        <f t="shared" si="39"/>
        <v>900950.04396018386</v>
      </c>
      <c r="K240" s="18">
        <f t="shared" si="35"/>
        <v>428130.55799136031</v>
      </c>
      <c r="L240" s="18">
        <f t="shared" si="36"/>
        <v>1172819.4859688238</v>
      </c>
    </row>
    <row r="241" spans="1:12" x14ac:dyDescent="0.3">
      <c r="A241">
        <v>236</v>
      </c>
      <c r="B241" s="17">
        <v>52018</v>
      </c>
      <c r="C241" s="18">
        <f t="shared" si="37"/>
        <v>428130.55799136031</v>
      </c>
      <c r="D241" s="18">
        <f t="shared" si="30"/>
        <v>4990.7212168886126</v>
      </c>
      <c r="E241" s="18">
        <f t="shared" si="31"/>
        <v>2243.5501364440506</v>
      </c>
      <c r="F241" s="16">
        <f t="shared" si="32"/>
        <v>6.2884092561951405E-2</v>
      </c>
      <c r="G241" s="18">
        <f t="shared" si="33"/>
        <v>2747.171080444562</v>
      </c>
      <c r="H241" s="16">
        <f t="shared" si="34"/>
        <v>7.6999999999999999E-2</v>
      </c>
      <c r="I241" s="18">
        <f t="shared" si="38"/>
        <v>274112.99214508396</v>
      </c>
      <c r="J241" s="18">
        <f t="shared" si="39"/>
        <v>903697.21504062845</v>
      </c>
      <c r="K241" s="18">
        <f t="shared" si="35"/>
        <v>425887.00785491627</v>
      </c>
      <c r="L241" s="18">
        <f t="shared" si="36"/>
        <v>1177810.2071857124</v>
      </c>
    </row>
    <row r="242" spans="1:12" x14ac:dyDescent="0.3">
      <c r="A242">
        <v>237</v>
      </c>
      <c r="B242" s="17">
        <v>52048</v>
      </c>
      <c r="C242" s="18">
        <f t="shared" si="37"/>
        <v>425887.00785491627</v>
      </c>
      <c r="D242" s="18">
        <f t="shared" si="30"/>
        <v>4990.7212168886126</v>
      </c>
      <c r="E242" s="18">
        <f t="shared" si="31"/>
        <v>2257.9462498195667</v>
      </c>
      <c r="F242" s="16">
        <f t="shared" si="32"/>
        <v>6.3620994531641523E-2</v>
      </c>
      <c r="G242" s="18">
        <f t="shared" si="33"/>
        <v>2732.7749670690459</v>
      </c>
      <c r="H242" s="16">
        <f t="shared" si="34"/>
        <v>7.6999999999999985E-2</v>
      </c>
      <c r="I242" s="18">
        <f t="shared" si="38"/>
        <v>276370.93839490355</v>
      </c>
      <c r="J242" s="18">
        <f t="shared" si="39"/>
        <v>906429.99000769749</v>
      </c>
      <c r="K242" s="18">
        <f t="shared" si="35"/>
        <v>423629.06160509668</v>
      </c>
      <c r="L242" s="18">
        <f t="shared" si="36"/>
        <v>1182800.928402601</v>
      </c>
    </row>
    <row r="243" spans="1:12" x14ac:dyDescent="0.3">
      <c r="A243">
        <v>238</v>
      </c>
      <c r="B243" s="17">
        <v>52079</v>
      </c>
      <c r="C243" s="18">
        <f t="shared" si="37"/>
        <v>423629.06160509668</v>
      </c>
      <c r="D243" s="18">
        <f t="shared" si="30"/>
        <v>4990.7212168886126</v>
      </c>
      <c r="E243" s="18">
        <f t="shared" si="31"/>
        <v>2272.434738255909</v>
      </c>
      <c r="F243" s="16">
        <f t="shared" si="32"/>
        <v>6.4370505544992643E-2</v>
      </c>
      <c r="G243" s="18">
        <f t="shared" si="33"/>
        <v>2718.2864786327036</v>
      </c>
      <c r="H243" s="16">
        <f t="shared" si="34"/>
        <v>7.6999999999999999E-2</v>
      </c>
      <c r="I243" s="18">
        <f t="shared" si="38"/>
        <v>278643.37313315948</v>
      </c>
      <c r="J243" s="18">
        <f t="shared" si="39"/>
        <v>909148.2764863302</v>
      </c>
      <c r="K243" s="18">
        <f t="shared" si="35"/>
        <v>421356.62686684076</v>
      </c>
      <c r="L243" s="18">
        <f t="shared" si="36"/>
        <v>1187791.6496194897</v>
      </c>
    </row>
    <row r="244" spans="1:12" x14ac:dyDescent="0.3">
      <c r="A244">
        <v>239</v>
      </c>
      <c r="B244" s="17">
        <v>52110</v>
      </c>
      <c r="C244" s="18">
        <f t="shared" si="37"/>
        <v>421356.62686684076</v>
      </c>
      <c r="D244" s="18">
        <f t="shared" si="30"/>
        <v>4990.7212168886126</v>
      </c>
      <c r="E244" s="18">
        <f t="shared" si="31"/>
        <v>2287.016194493051</v>
      </c>
      <c r="F244" s="16">
        <f t="shared" si="32"/>
        <v>6.5132936291968327E-2</v>
      </c>
      <c r="G244" s="18">
        <f t="shared" si="33"/>
        <v>2703.7050223955616</v>
      </c>
      <c r="H244" s="16">
        <f t="shared" si="34"/>
        <v>7.6999999999999999E-2</v>
      </c>
      <c r="I244" s="18">
        <f t="shared" si="38"/>
        <v>280930.38932765252</v>
      </c>
      <c r="J244" s="18">
        <f t="shared" si="39"/>
        <v>911851.98150872579</v>
      </c>
      <c r="K244" s="18">
        <f t="shared" si="35"/>
        <v>419069.61067234771</v>
      </c>
      <c r="L244" s="18">
        <f t="shared" si="36"/>
        <v>1192782.3708363783</v>
      </c>
    </row>
    <row r="245" spans="1:12" x14ac:dyDescent="0.3">
      <c r="A245">
        <v>240</v>
      </c>
      <c r="B245" s="17">
        <v>52140</v>
      </c>
      <c r="C245" s="18">
        <f t="shared" si="37"/>
        <v>419069.61067234771</v>
      </c>
      <c r="D245" s="18">
        <f t="shared" si="30"/>
        <v>4990.7212168886126</v>
      </c>
      <c r="E245" s="18">
        <f t="shared" si="31"/>
        <v>2301.6912150743815</v>
      </c>
      <c r="F245" s="16">
        <f t="shared" si="32"/>
        <v>6.5908607728866517E-2</v>
      </c>
      <c r="G245" s="18">
        <f t="shared" si="33"/>
        <v>2689.0300018142311</v>
      </c>
      <c r="H245" s="16">
        <f t="shared" si="34"/>
        <v>7.6999999999999999E-2</v>
      </c>
      <c r="I245" s="18">
        <f t="shared" si="38"/>
        <v>283232.08054272691</v>
      </c>
      <c r="J245" s="18">
        <f t="shared" si="39"/>
        <v>914541.01151054003</v>
      </c>
      <c r="K245" s="18">
        <f t="shared" si="35"/>
        <v>416767.91945727332</v>
      </c>
      <c r="L245" s="18">
        <f t="shared" si="36"/>
        <v>1197773.0920532669</v>
      </c>
    </row>
    <row r="246" spans="1:12" x14ac:dyDescent="0.3">
      <c r="A246">
        <v>241</v>
      </c>
      <c r="B246" s="17">
        <v>52171</v>
      </c>
      <c r="C246" s="18">
        <f t="shared" si="37"/>
        <v>416767.91945727332</v>
      </c>
      <c r="D246" s="18">
        <f t="shared" si="30"/>
        <v>4990.7212168886126</v>
      </c>
      <c r="E246" s="18">
        <f t="shared" si="31"/>
        <v>2316.4604003711088</v>
      </c>
      <c r="F246" s="16">
        <f t="shared" si="32"/>
        <v>6.6697851506066025E-2</v>
      </c>
      <c r="G246" s="18">
        <f t="shared" si="33"/>
        <v>2674.2608165175038</v>
      </c>
      <c r="H246" s="16">
        <f t="shared" si="34"/>
        <v>7.6999999999999999E-2</v>
      </c>
      <c r="I246" s="18">
        <f t="shared" si="38"/>
        <v>285548.54094309802</v>
      </c>
      <c r="J246" s="18">
        <f t="shared" si="39"/>
        <v>917215.27232705755</v>
      </c>
      <c r="K246" s="18">
        <f t="shared" si="35"/>
        <v>414451.45905690221</v>
      </c>
      <c r="L246" s="18">
        <f t="shared" si="36"/>
        <v>1202763.8132701556</v>
      </c>
    </row>
    <row r="247" spans="1:12" x14ac:dyDescent="0.3">
      <c r="A247">
        <v>242</v>
      </c>
      <c r="B247" s="17">
        <v>52201</v>
      </c>
      <c r="C247" s="18">
        <f t="shared" si="37"/>
        <v>414451.45905690221</v>
      </c>
      <c r="D247" s="18">
        <f t="shared" si="30"/>
        <v>4990.7212168886126</v>
      </c>
      <c r="E247" s="18">
        <f t="shared" si="31"/>
        <v>2331.3243546068234</v>
      </c>
      <c r="F247" s="16">
        <f t="shared" si="32"/>
        <v>6.7501010417340385E-2</v>
      </c>
      <c r="G247" s="18">
        <f t="shared" si="33"/>
        <v>2659.3968622817893</v>
      </c>
      <c r="H247" s="16">
        <f t="shared" si="34"/>
        <v>7.6999999999999999E-2</v>
      </c>
      <c r="I247" s="18">
        <f t="shared" si="38"/>
        <v>287879.86529770482</v>
      </c>
      <c r="J247" s="18">
        <f t="shared" si="39"/>
        <v>919874.66918933939</v>
      </c>
      <c r="K247" s="18">
        <f t="shared" si="35"/>
        <v>412120.13470229541</v>
      </c>
      <c r="L247" s="18">
        <f t="shared" si="36"/>
        <v>1207754.5344870442</v>
      </c>
    </row>
    <row r="248" spans="1:12" x14ac:dyDescent="0.3">
      <c r="A248">
        <v>243</v>
      </c>
      <c r="B248" s="17">
        <v>52232</v>
      </c>
      <c r="C248" s="18">
        <f t="shared" si="37"/>
        <v>412120.13470229541</v>
      </c>
      <c r="D248" s="18">
        <f t="shared" si="30"/>
        <v>4990.7212168886126</v>
      </c>
      <c r="E248" s="18">
        <f t="shared" si="31"/>
        <v>2346.283685882217</v>
      </c>
      <c r="F248" s="16">
        <f t="shared" si="32"/>
        <v>6.8318438872018022E-2</v>
      </c>
      <c r="G248" s="18">
        <f t="shared" si="33"/>
        <v>2644.4375310063956</v>
      </c>
      <c r="H248" s="16">
        <f t="shared" si="34"/>
        <v>7.6999999999999999E-2</v>
      </c>
      <c r="I248" s="18">
        <f t="shared" si="38"/>
        <v>290226.14898358705</v>
      </c>
      <c r="J248" s="18">
        <f t="shared" si="39"/>
        <v>922519.10672034579</v>
      </c>
      <c r="K248" s="18">
        <f t="shared" si="35"/>
        <v>409773.85101641319</v>
      </c>
      <c r="L248" s="18">
        <f t="shared" si="36"/>
        <v>1212745.2557039328</v>
      </c>
    </row>
    <row r="249" spans="1:12" x14ac:dyDescent="0.3">
      <c r="A249">
        <v>244</v>
      </c>
      <c r="B249" s="17">
        <v>52263</v>
      </c>
      <c r="C249" s="18">
        <f t="shared" si="37"/>
        <v>409773.85101641319</v>
      </c>
      <c r="D249" s="18">
        <f t="shared" si="30"/>
        <v>4990.7212168886126</v>
      </c>
      <c r="E249" s="18">
        <f t="shared" si="31"/>
        <v>2361.3390061999612</v>
      </c>
      <c r="F249" s="16">
        <f t="shared" si="32"/>
        <v>6.9150503391356116E-2</v>
      </c>
      <c r="G249" s="18">
        <f t="shared" si="33"/>
        <v>2629.3822106886514</v>
      </c>
      <c r="H249" s="16">
        <f t="shared" si="34"/>
        <v>7.6999999999999999E-2</v>
      </c>
      <c r="I249" s="18">
        <f t="shared" si="38"/>
        <v>292587.48798978701</v>
      </c>
      <c r="J249" s="18">
        <f t="shared" si="39"/>
        <v>925148.48893103446</v>
      </c>
      <c r="K249" s="18">
        <f t="shared" si="35"/>
        <v>407412.51201021322</v>
      </c>
      <c r="L249" s="18">
        <f t="shared" si="36"/>
        <v>1217735.9769208215</v>
      </c>
    </row>
    <row r="250" spans="1:12" x14ac:dyDescent="0.3">
      <c r="A250">
        <v>245</v>
      </c>
      <c r="B250" s="17">
        <v>52291</v>
      </c>
      <c r="C250" s="18">
        <f t="shared" si="37"/>
        <v>407412.51201021322</v>
      </c>
      <c r="D250" s="18">
        <f t="shared" si="30"/>
        <v>4990.7212168886126</v>
      </c>
      <c r="E250" s="18">
        <f t="shared" si="31"/>
        <v>2376.4909314897445</v>
      </c>
      <c r="F250" s="16">
        <f t="shared" si="32"/>
        <v>6.9997583130588875E-2</v>
      </c>
      <c r="G250" s="18">
        <f t="shared" si="33"/>
        <v>2614.2302853988681</v>
      </c>
      <c r="H250" s="16">
        <f t="shared" si="34"/>
        <v>7.6999999999999999E-2</v>
      </c>
      <c r="I250" s="18">
        <f t="shared" si="38"/>
        <v>294963.97892127675</v>
      </c>
      <c r="J250" s="18">
        <f t="shared" si="39"/>
        <v>927762.71921643335</v>
      </c>
      <c r="K250" s="18">
        <f t="shared" si="35"/>
        <v>405036.02107872348</v>
      </c>
      <c r="L250" s="18">
        <f t="shared" si="36"/>
        <v>1222726.6981377101</v>
      </c>
    </row>
    <row r="251" spans="1:12" x14ac:dyDescent="0.3">
      <c r="A251">
        <v>246</v>
      </c>
      <c r="B251" s="17">
        <v>52322</v>
      </c>
      <c r="C251" s="18">
        <f t="shared" si="37"/>
        <v>405036.02107872348</v>
      </c>
      <c r="D251" s="18">
        <f t="shared" si="30"/>
        <v>4990.7212168886126</v>
      </c>
      <c r="E251" s="18">
        <f t="shared" si="31"/>
        <v>2391.7400816334703</v>
      </c>
      <c r="F251" s="16">
        <f t="shared" si="32"/>
        <v>7.0860070428213323E-2</v>
      </c>
      <c r="G251" s="18">
        <f t="shared" si="33"/>
        <v>2598.9811352551424</v>
      </c>
      <c r="H251" s="16">
        <f t="shared" si="34"/>
        <v>7.6999999999999999E-2</v>
      </c>
      <c r="I251" s="18">
        <f t="shared" si="38"/>
        <v>297355.71900291019</v>
      </c>
      <c r="J251" s="18">
        <f t="shared" si="39"/>
        <v>930361.70035168855</v>
      </c>
      <c r="K251" s="18">
        <f t="shared" si="35"/>
        <v>402644.28099709004</v>
      </c>
      <c r="L251" s="18">
        <f t="shared" si="36"/>
        <v>1227717.4193545987</v>
      </c>
    </row>
    <row r="252" spans="1:12" x14ac:dyDescent="0.3">
      <c r="A252">
        <v>247</v>
      </c>
      <c r="B252" s="17">
        <v>52352</v>
      </c>
      <c r="C252" s="18">
        <f t="shared" si="37"/>
        <v>402644.28099709004</v>
      </c>
      <c r="D252" s="18">
        <f t="shared" si="30"/>
        <v>4990.7212168886126</v>
      </c>
      <c r="E252" s="18">
        <f t="shared" si="31"/>
        <v>2407.0870804906181</v>
      </c>
      <c r="F252" s="16">
        <f t="shared" si="32"/>
        <v>7.1738371384185068E-2</v>
      </c>
      <c r="G252" s="18">
        <f t="shared" si="33"/>
        <v>2583.6341363979946</v>
      </c>
      <c r="H252" s="16">
        <f t="shared" si="34"/>
        <v>7.6999999999999999E-2</v>
      </c>
      <c r="I252" s="18">
        <f t="shared" si="38"/>
        <v>299762.80608340079</v>
      </c>
      <c r="J252" s="18">
        <f t="shared" si="39"/>
        <v>932945.33448808652</v>
      </c>
      <c r="K252" s="18">
        <f t="shared" si="35"/>
        <v>400237.19391659944</v>
      </c>
      <c r="L252" s="18">
        <f t="shared" si="36"/>
        <v>1232708.1405714874</v>
      </c>
    </row>
    <row r="253" spans="1:12" x14ac:dyDescent="0.3">
      <c r="A253">
        <v>248</v>
      </c>
      <c r="B253" s="17">
        <v>52383</v>
      </c>
      <c r="C253" s="18">
        <f t="shared" si="37"/>
        <v>400237.19391659944</v>
      </c>
      <c r="D253" s="18">
        <f t="shared" si="30"/>
        <v>4990.7212168886126</v>
      </c>
      <c r="E253" s="18">
        <f t="shared" si="31"/>
        <v>2422.5325559237663</v>
      </c>
      <c r="F253" s="16">
        <f t="shared" si="32"/>
        <v>7.2632906468814637E-2</v>
      </c>
      <c r="G253" s="18">
        <f t="shared" si="33"/>
        <v>2568.1886609648463</v>
      </c>
      <c r="H253" s="16">
        <f t="shared" si="34"/>
        <v>7.6999999999999999E-2</v>
      </c>
      <c r="I253" s="18">
        <f t="shared" si="38"/>
        <v>302185.33863932453</v>
      </c>
      <c r="J253" s="18">
        <f t="shared" si="39"/>
        <v>935513.52314905135</v>
      </c>
      <c r="K253" s="18">
        <f t="shared" si="35"/>
        <v>397814.6613606757</v>
      </c>
      <c r="L253" s="18">
        <f t="shared" si="36"/>
        <v>1237698.8617883758</v>
      </c>
    </row>
    <row r="254" spans="1:12" x14ac:dyDescent="0.3">
      <c r="A254">
        <v>249</v>
      </c>
      <c r="B254" s="17">
        <v>52413</v>
      </c>
      <c r="C254" s="18">
        <f t="shared" si="37"/>
        <v>397814.6613606757</v>
      </c>
      <c r="D254" s="18">
        <f t="shared" si="30"/>
        <v>4990.7212168886126</v>
      </c>
      <c r="E254" s="18">
        <f t="shared" si="31"/>
        <v>2438.0771398242769</v>
      </c>
      <c r="F254" s="16">
        <f t="shared" si="32"/>
        <v>7.3544111164283471E-2</v>
      </c>
      <c r="G254" s="18">
        <f t="shared" si="33"/>
        <v>2552.6440770643358</v>
      </c>
      <c r="H254" s="16">
        <f t="shared" si="34"/>
        <v>7.6999999999999999E-2</v>
      </c>
      <c r="I254" s="18">
        <f t="shared" si="38"/>
        <v>304623.41577914881</v>
      </c>
      <c r="J254" s="18">
        <f t="shared" si="39"/>
        <v>938066.16722611571</v>
      </c>
      <c r="K254" s="18">
        <f t="shared" si="35"/>
        <v>395376.58422085142</v>
      </c>
      <c r="L254" s="18">
        <f t="shared" si="36"/>
        <v>1242689.5830052644</v>
      </c>
    </row>
    <row r="255" spans="1:12" x14ac:dyDescent="0.3">
      <c r="A255">
        <v>250</v>
      </c>
      <c r="B255" s="17">
        <v>52444</v>
      </c>
      <c r="C255" s="18">
        <f t="shared" si="37"/>
        <v>395376.58422085142</v>
      </c>
      <c r="D255" s="18">
        <f t="shared" si="30"/>
        <v>4990.7212168886126</v>
      </c>
      <c r="E255" s="18">
        <f t="shared" si="31"/>
        <v>2453.7214681381492</v>
      </c>
      <c r="F255" s="16">
        <f t="shared" si="32"/>
        <v>7.4472436640836692E-2</v>
      </c>
      <c r="G255" s="18">
        <f t="shared" si="33"/>
        <v>2536.9997487504634</v>
      </c>
      <c r="H255" s="16">
        <f t="shared" si="34"/>
        <v>7.6999999999999999E-2</v>
      </c>
      <c r="I255" s="18">
        <f t="shared" si="38"/>
        <v>307077.13724728697</v>
      </c>
      <c r="J255" s="18">
        <f t="shared" si="39"/>
        <v>940603.16697486618</v>
      </c>
      <c r="K255" s="18">
        <f t="shared" si="35"/>
        <v>392922.86275271326</v>
      </c>
      <c r="L255" s="18">
        <f t="shared" si="36"/>
        <v>1247680.304222153</v>
      </c>
    </row>
    <row r="256" spans="1:12" x14ac:dyDescent="0.3">
      <c r="A256">
        <v>251</v>
      </c>
      <c r="B256" s="17">
        <v>52475</v>
      </c>
      <c r="C256" s="18">
        <f t="shared" si="37"/>
        <v>392922.86275271326</v>
      </c>
      <c r="D256" s="18">
        <f t="shared" si="30"/>
        <v>4990.7212168886126</v>
      </c>
      <c r="E256" s="18">
        <f t="shared" si="31"/>
        <v>2469.4661808920359</v>
      </c>
      <c r="F256" s="16">
        <f t="shared" si="32"/>
        <v>7.541835046985898E-2</v>
      </c>
      <c r="G256" s="18">
        <f t="shared" si="33"/>
        <v>2521.2550359965767</v>
      </c>
      <c r="H256" s="16">
        <f t="shared" si="34"/>
        <v>7.6999999999999985E-2</v>
      </c>
      <c r="I256" s="18">
        <f t="shared" si="38"/>
        <v>309546.60342817899</v>
      </c>
      <c r="J256" s="18">
        <f t="shared" si="39"/>
        <v>943124.42201086273</v>
      </c>
      <c r="K256" s="18">
        <f t="shared" si="35"/>
        <v>390453.39657182124</v>
      </c>
      <c r="L256" s="18">
        <f t="shared" si="36"/>
        <v>1252671.0254390417</v>
      </c>
    </row>
    <row r="257" spans="1:12" x14ac:dyDescent="0.3">
      <c r="A257">
        <v>252</v>
      </c>
      <c r="B257" s="17">
        <v>52505</v>
      </c>
      <c r="C257" s="18">
        <f t="shared" si="37"/>
        <v>390453.39657182124</v>
      </c>
      <c r="D257" s="18">
        <f t="shared" si="30"/>
        <v>4990.7212168886126</v>
      </c>
      <c r="E257" s="18">
        <f t="shared" si="31"/>
        <v>2485.3119222194264</v>
      </c>
      <c r="F257" s="16">
        <f t="shared" si="32"/>
        <v>7.6382337376202702E-2</v>
      </c>
      <c r="G257" s="18">
        <f t="shared" si="33"/>
        <v>2505.4092946691862</v>
      </c>
      <c r="H257" s="16">
        <f t="shared" si="34"/>
        <v>7.6999999999999999E-2</v>
      </c>
      <c r="I257" s="18">
        <f t="shared" si="38"/>
        <v>312031.9153503984</v>
      </c>
      <c r="J257" s="18">
        <f t="shared" si="39"/>
        <v>945629.8313055319</v>
      </c>
      <c r="K257" s="18">
        <f t="shared" si="35"/>
        <v>387968.08464960183</v>
      </c>
      <c r="L257" s="18">
        <f t="shared" si="36"/>
        <v>1257661.7466559303</v>
      </c>
    </row>
    <row r="258" spans="1:12" x14ac:dyDescent="0.3">
      <c r="A258">
        <v>253</v>
      </c>
      <c r="B258" s="17">
        <v>52536</v>
      </c>
      <c r="C258" s="18">
        <f t="shared" si="37"/>
        <v>387968.08464960183</v>
      </c>
      <c r="D258" s="18">
        <f t="shared" si="30"/>
        <v>4990.7212168886126</v>
      </c>
      <c r="E258" s="18">
        <f t="shared" si="31"/>
        <v>2501.259340387001</v>
      </c>
      <c r="F258" s="16">
        <f t="shared" si="32"/>
        <v>7.7364900032312015E-2</v>
      </c>
      <c r="G258" s="18">
        <f t="shared" si="33"/>
        <v>2489.4618765016116</v>
      </c>
      <c r="H258" s="16">
        <f t="shared" si="34"/>
        <v>7.6999999999999985E-2</v>
      </c>
      <c r="I258" s="18">
        <f t="shared" si="38"/>
        <v>314533.17469078541</v>
      </c>
      <c r="J258" s="18">
        <f t="shared" si="39"/>
        <v>948119.29318203346</v>
      </c>
      <c r="K258" s="18">
        <f t="shared" si="35"/>
        <v>385466.82530921482</v>
      </c>
      <c r="L258" s="18">
        <f t="shared" si="36"/>
        <v>1262652.4678728189</v>
      </c>
    </row>
    <row r="259" spans="1:12" x14ac:dyDescent="0.3">
      <c r="A259">
        <v>254</v>
      </c>
      <c r="B259" s="17">
        <v>52566</v>
      </c>
      <c r="C259" s="18">
        <f t="shared" si="37"/>
        <v>385466.82530921482</v>
      </c>
      <c r="D259" s="18">
        <f t="shared" si="30"/>
        <v>4990.7212168886126</v>
      </c>
      <c r="E259" s="18">
        <f t="shared" si="31"/>
        <v>2517.3090878211506</v>
      </c>
      <c r="F259" s="16">
        <f t="shared" si="32"/>
        <v>7.8366559896877519E-2</v>
      </c>
      <c r="G259" s="18">
        <f t="shared" si="33"/>
        <v>2473.412129067462</v>
      </c>
      <c r="H259" s="16">
        <f t="shared" si="34"/>
        <v>7.7000000000000013E-2</v>
      </c>
      <c r="I259" s="18">
        <f t="shared" si="38"/>
        <v>317050.48377860658</v>
      </c>
      <c r="J259" s="18">
        <f t="shared" si="39"/>
        <v>950592.70531110093</v>
      </c>
      <c r="K259" s="18">
        <f t="shared" si="35"/>
        <v>382949.51622139366</v>
      </c>
      <c r="L259" s="18">
        <f t="shared" si="36"/>
        <v>1267643.1890897076</v>
      </c>
    </row>
    <row r="260" spans="1:12" x14ac:dyDescent="0.3">
      <c r="A260">
        <v>255</v>
      </c>
      <c r="B260" s="17">
        <v>52597</v>
      </c>
      <c r="C260" s="18">
        <f t="shared" si="37"/>
        <v>382949.51622139366</v>
      </c>
      <c r="D260" s="18">
        <f t="shared" si="30"/>
        <v>4990.7212168886126</v>
      </c>
      <c r="E260" s="18">
        <f t="shared" si="31"/>
        <v>2533.4618211346701</v>
      </c>
      <c r="F260" s="16">
        <f t="shared" si="32"/>
        <v>7.9387858100961994E-2</v>
      </c>
      <c r="G260" s="18">
        <f t="shared" si="33"/>
        <v>2457.2593957539425</v>
      </c>
      <c r="H260" s="16">
        <f t="shared" si="34"/>
        <v>7.6999999999999985E-2</v>
      </c>
      <c r="I260" s="18">
        <f t="shared" si="38"/>
        <v>319583.94559974124</v>
      </c>
      <c r="J260" s="18">
        <f t="shared" si="39"/>
        <v>953049.96470685489</v>
      </c>
      <c r="K260" s="18">
        <f t="shared" si="35"/>
        <v>380416.05440025899</v>
      </c>
      <c r="L260" s="18">
        <f t="shared" si="36"/>
        <v>1272633.9103065962</v>
      </c>
    </row>
    <row r="261" spans="1:12" x14ac:dyDescent="0.3">
      <c r="A261">
        <v>256</v>
      </c>
      <c r="B261" s="17">
        <v>52628</v>
      </c>
      <c r="C261" s="18">
        <f t="shared" si="37"/>
        <v>380416.05440025899</v>
      </c>
      <c r="D261" s="18">
        <f t="shared" si="30"/>
        <v>4990.7212168886126</v>
      </c>
      <c r="E261" s="18">
        <f t="shared" si="31"/>
        <v>2549.7182011536174</v>
      </c>
      <c r="F261" s="16">
        <f t="shared" si="32"/>
        <v>8.0429356384761924E-2</v>
      </c>
      <c r="G261" s="18">
        <f t="shared" si="33"/>
        <v>2441.0030157349952</v>
      </c>
      <c r="H261" s="16">
        <f t="shared" si="34"/>
        <v>7.6999999999999999E-2</v>
      </c>
      <c r="I261" s="18">
        <f t="shared" si="38"/>
        <v>322133.66380089486</v>
      </c>
      <c r="J261" s="18">
        <f t="shared" si="39"/>
        <v>955490.96772258985</v>
      </c>
      <c r="K261" s="18">
        <f t="shared" si="35"/>
        <v>377866.33619910537</v>
      </c>
      <c r="L261" s="18">
        <f t="shared" si="36"/>
        <v>1277624.6315234848</v>
      </c>
    </row>
    <row r="262" spans="1:12" x14ac:dyDescent="0.3">
      <c r="A262">
        <v>257</v>
      </c>
      <c r="B262" s="17">
        <v>52657</v>
      </c>
      <c r="C262" s="18">
        <f t="shared" si="37"/>
        <v>377866.33619910537</v>
      </c>
      <c r="D262" s="18">
        <f t="shared" si="30"/>
        <v>4990.7212168886126</v>
      </c>
      <c r="E262" s="18">
        <f t="shared" si="31"/>
        <v>2566.0788929443529</v>
      </c>
      <c r="F262" s="16">
        <f t="shared" si="32"/>
        <v>8.1491638088413393E-2</v>
      </c>
      <c r="G262" s="18">
        <f t="shared" si="33"/>
        <v>2424.6423239442597</v>
      </c>
      <c r="H262" s="16">
        <f t="shared" si="34"/>
        <v>7.7000000000000013E-2</v>
      </c>
      <c r="I262" s="18">
        <f t="shared" si="38"/>
        <v>324699.74269383925</v>
      </c>
      <c r="J262" s="18">
        <f t="shared" si="39"/>
        <v>957915.6100465341</v>
      </c>
      <c r="K262" s="18">
        <f t="shared" si="35"/>
        <v>375300.25730616099</v>
      </c>
      <c r="L262" s="18">
        <f t="shared" si="36"/>
        <v>1282615.3527403735</v>
      </c>
    </row>
    <row r="263" spans="1:12" x14ac:dyDescent="0.3">
      <c r="A263">
        <v>258</v>
      </c>
      <c r="B263" s="17">
        <v>52688</v>
      </c>
      <c r="C263" s="18">
        <f t="shared" si="37"/>
        <v>375300.25730616099</v>
      </c>
      <c r="D263" s="18">
        <f t="shared" ref="D263:D326" si="40">$C$6/((($E$2)-1)/($E$1*$E$2))</f>
        <v>4990.7212168886126</v>
      </c>
      <c r="E263" s="18">
        <f t="shared" ref="E263:E326" si="41">D263-G263</f>
        <v>2582.5445658407461</v>
      </c>
      <c r="F263" s="16">
        <f t="shared" ref="F263:F326" si="42">(E263/C263)*12</f>
        <v>8.2575309200514646E-2</v>
      </c>
      <c r="G263" s="18">
        <f t="shared" ref="G263:G326" si="43">C263*($B$1/12)</f>
        <v>2408.1766510478665</v>
      </c>
      <c r="H263" s="16">
        <f t="shared" ref="H263:H326" si="44">(G263/C263)*12</f>
        <v>7.6999999999999999E-2</v>
      </c>
      <c r="I263" s="18">
        <f t="shared" si="38"/>
        <v>327282.28725967999</v>
      </c>
      <c r="J263" s="18">
        <f t="shared" si="39"/>
        <v>960323.78669758199</v>
      </c>
      <c r="K263" s="18">
        <f t="shared" ref="K263:K326" si="45">C263-E263</f>
        <v>372717.71274032025</v>
      </c>
      <c r="L263" s="18">
        <f t="shared" ref="L263:L326" si="46">I263+J263</f>
        <v>1287606.0739572621</v>
      </c>
    </row>
    <row r="264" spans="1:12" x14ac:dyDescent="0.3">
      <c r="A264">
        <v>259</v>
      </c>
      <c r="B264" s="17">
        <v>52718</v>
      </c>
      <c r="C264" s="18">
        <f t="shared" ref="C264:C327" si="47">K263</f>
        <v>372717.71274032025</v>
      </c>
      <c r="D264" s="18">
        <f t="shared" si="40"/>
        <v>4990.7212168886126</v>
      </c>
      <c r="E264" s="18">
        <f t="shared" si="41"/>
        <v>2599.1158934715577</v>
      </c>
      <c r="F264" s="16">
        <f t="shared" si="42"/>
        <v>8.3680999468326717E-2</v>
      </c>
      <c r="G264" s="18">
        <f t="shared" si="43"/>
        <v>2391.6053234170549</v>
      </c>
      <c r="H264" s="16">
        <f t="shared" si="44"/>
        <v>7.6999999999999999E-2</v>
      </c>
      <c r="I264" s="18">
        <f t="shared" ref="I264:I327" si="48">I263+E264</f>
        <v>329881.40315315156</v>
      </c>
      <c r="J264" s="18">
        <f t="shared" ref="J264:J327" si="49">J263+G264</f>
        <v>962715.3920209991</v>
      </c>
      <c r="K264" s="18">
        <f t="shared" si="45"/>
        <v>370118.59684684867</v>
      </c>
      <c r="L264" s="18">
        <f t="shared" si="46"/>
        <v>1292596.7951741507</v>
      </c>
    </row>
    <row r="265" spans="1:12" x14ac:dyDescent="0.3">
      <c r="A265">
        <v>260</v>
      </c>
      <c r="B265" s="17">
        <v>52749</v>
      </c>
      <c r="C265" s="18">
        <f t="shared" si="47"/>
        <v>370118.59684684867</v>
      </c>
      <c r="D265" s="18">
        <f t="shared" si="40"/>
        <v>4990.7212168886126</v>
      </c>
      <c r="E265" s="18">
        <f t="shared" si="41"/>
        <v>2615.7935537880003</v>
      </c>
      <c r="F265" s="16">
        <f t="shared" si="42"/>
        <v>8.4809363573926738E-2</v>
      </c>
      <c r="G265" s="18">
        <f t="shared" si="43"/>
        <v>2374.9276631006123</v>
      </c>
      <c r="H265" s="16">
        <f t="shared" si="44"/>
        <v>7.6999999999999999E-2</v>
      </c>
      <c r="I265" s="18">
        <f t="shared" si="48"/>
        <v>332497.19670693955</v>
      </c>
      <c r="J265" s="18">
        <f t="shared" si="49"/>
        <v>965090.31968409976</v>
      </c>
      <c r="K265" s="18">
        <f t="shared" si="45"/>
        <v>367502.80329306069</v>
      </c>
      <c r="L265" s="18">
        <f t="shared" si="46"/>
        <v>1297587.5163910394</v>
      </c>
    </row>
    <row r="266" spans="1:12" x14ac:dyDescent="0.3">
      <c r="A266">
        <v>261</v>
      </c>
      <c r="B266" s="17">
        <v>52779</v>
      </c>
      <c r="C266" s="18">
        <f t="shared" si="47"/>
        <v>367502.80329306069</v>
      </c>
      <c r="D266" s="18">
        <f t="shared" si="40"/>
        <v>4990.7212168886126</v>
      </c>
      <c r="E266" s="18">
        <f t="shared" si="41"/>
        <v>2632.5782290914731</v>
      </c>
      <c r="F266" s="16">
        <f t="shared" si="42"/>
        <v>8.5961082380930476E-2</v>
      </c>
      <c r="G266" s="18">
        <f t="shared" si="43"/>
        <v>2358.1429877971395</v>
      </c>
      <c r="H266" s="16">
        <f t="shared" si="44"/>
        <v>7.6999999999999999E-2</v>
      </c>
      <c r="I266" s="18">
        <f t="shared" si="48"/>
        <v>335129.77493603103</v>
      </c>
      <c r="J266" s="18">
        <f t="shared" si="49"/>
        <v>967448.46267189691</v>
      </c>
      <c r="K266" s="18">
        <f t="shared" si="45"/>
        <v>364870.22506396921</v>
      </c>
      <c r="L266" s="18">
        <f t="shared" si="46"/>
        <v>1302578.237607928</v>
      </c>
    </row>
    <row r="267" spans="1:12" x14ac:dyDescent="0.3">
      <c r="A267">
        <v>262</v>
      </c>
      <c r="B267" s="17">
        <v>52810</v>
      </c>
      <c r="C267" s="18">
        <f t="shared" si="47"/>
        <v>364870.22506396921</v>
      </c>
      <c r="D267" s="18">
        <f t="shared" si="40"/>
        <v>4990.7212168886126</v>
      </c>
      <c r="E267" s="18">
        <f t="shared" si="41"/>
        <v>2649.4706060614767</v>
      </c>
      <c r="F267" s="16">
        <f t="shared" si="42"/>
        <v>8.7136864256774152E-2</v>
      </c>
      <c r="G267" s="18">
        <f t="shared" si="43"/>
        <v>2341.2506108271359</v>
      </c>
      <c r="H267" s="16">
        <f t="shared" si="44"/>
        <v>7.6999999999999999E-2</v>
      </c>
      <c r="I267" s="18">
        <f t="shared" si="48"/>
        <v>337779.24554209248</v>
      </c>
      <c r="J267" s="18">
        <f t="shared" si="49"/>
        <v>969789.71328272403</v>
      </c>
      <c r="K267" s="18">
        <f t="shared" si="45"/>
        <v>362220.75445790775</v>
      </c>
      <c r="L267" s="18">
        <f t="shared" si="46"/>
        <v>1307568.9588248166</v>
      </c>
    </row>
    <row r="268" spans="1:12" x14ac:dyDescent="0.3">
      <c r="A268">
        <v>263</v>
      </c>
      <c r="B268" s="17">
        <v>52841</v>
      </c>
      <c r="C268" s="18">
        <f t="shared" si="47"/>
        <v>362220.75445790775</v>
      </c>
      <c r="D268" s="18">
        <f t="shared" si="40"/>
        <v>4990.7212168886126</v>
      </c>
      <c r="E268" s="18">
        <f t="shared" si="41"/>
        <v>2666.4713757837044</v>
      </c>
      <c r="F268" s="16">
        <f t="shared" si="42"/>
        <v>8.8337446475952208E-2</v>
      </c>
      <c r="G268" s="18">
        <f t="shared" si="43"/>
        <v>2324.2498411049082</v>
      </c>
      <c r="H268" s="16">
        <f t="shared" si="44"/>
        <v>7.6999999999999999E-2</v>
      </c>
      <c r="I268" s="18">
        <f t="shared" si="48"/>
        <v>340445.71691787621</v>
      </c>
      <c r="J268" s="18">
        <f t="shared" si="49"/>
        <v>972113.96312382899</v>
      </c>
      <c r="K268" s="18">
        <f t="shared" si="45"/>
        <v>359554.28308212402</v>
      </c>
      <c r="L268" s="18">
        <f t="shared" si="46"/>
        <v>1312559.6800417053</v>
      </c>
    </row>
    <row r="269" spans="1:12" x14ac:dyDescent="0.3">
      <c r="A269">
        <v>264</v>
      </c>
      <c r="B269" s="17">
        <v>52871</v>
      </c>
      <c r="C269" s="18">
        <f t="shared" si="47"/>
        <v>359554.28308212402</v>
      </c>
      <c r="D269" s="18">
        <f t="shared" si="40"/>
        <v>4990.7212168886126</v>
      </c>
      <c r="E269" s="18">
        <f t="shared" si="41"/>
        <v>2683.5812337783168</v>
      </c>
      <c r="F269" s="16">
        <f t="shared" si="42"/>
        <v>8.9563596710053595E-2</v>
      </c>
      <c r="G269" s="18">
        <f t="shared" si="43"/>
        <v>2307.1399831102958</v>
      </c>
      <c r="H269" s="16">
        <f t="shared" si="44"/>
        <v>7.6999999999999999E-2</v>
      </c>
      <c r="I269" s="18">
        <f t="shared" si="48"/>
        <v>343129.29815165454</v>
      </c>
      <c r="J269" s="18">
        <f t="shared" si="49"/>
        <v>974421.10310693923</v>
      </c>
      <c r="K269" s="18">
        <f t="shared" si="45"/>
        <v>356870.70184834569</v>
      </c>
      <c r="L269" s="18">
        <f t="shared" si="46"/>
        <v>1317550.4012585939</v>
      </c>
    </row>
    <row r="270" spans="1:12" x14ac:dyDescent="0.3">
      <c r="A270">
        <v>265</v>
      </c>
      <c r="B270" s="17">
        <v>52902</v>
      </c>
      <c r="C270" s="18">
        <f t="shared" si="47"/>
        <v>356870.70184834569</v>
      </c>
      <c r="D270" s="18">
        <f t="shared" si="40"/>
        <v>4990.7212168886126</v>
      </c>
      <c r="E270" s="18">
        <f t="shared" si="41"/>
        <v>2700.8008800283942</v>
      </c>
      <c r="F270" s="16">
        <f t="shared" si="42"/>
        <v>9.0816114610925341E-2</v>
      </c>
      <c r="G270" s="18">
        <f t="shared" si="43"/>
        <v>2289.9203368602184</v>
      </c>
      <c r="H270" s="16">
        <f t="shared" si="44"/>
        <v>7.6999999999999999E-2</v>
      </c>
      <c r="I270" s="18">
        <f t="shared" si="48"/>
        <v>345830.09903168294</v>
      </c>
      <c r="J270" s="18">
        <f t="shared" si="49"/>
        <v>976711.02344379947</v>
      </c>
      <c r="K270" s="18">
        <f t="shared" si="45"/>
        <v>354169.90096831729</v>
      </c>
      <c r="L270" s="18">
        <f t="shared" si="46"/>
        <v>1322541.1224754825</v>
      </c>
    </row>
    <row r="271" spans="1:12" x14ac:dyDescent="0.3">
      <c r="A271">
        <v>266</v>
      </c>
      <c r="B271" s="17">
        <v>52932</v>
      </c>
      <c r="C271" s="18">
        <f t="shared" si="47"/>
        <v>354169.90096831729</v>
      </c>
      <c r="D271" s="18">
        <f t="shared" si="40"/>
        <v>4990.7212168886126</v>
      </c>
      <c r="E271" s="18">
        <f t="shared" si="41"/>
        <v>2718.1310190085765</v>
      </c>
      <c r="F271" s="16">
        <f t="shared" si="42"/>
        <v>9.2095833493825788E-2</v>
      </c>
      <c r="G271" s="18">
        <f t="shared" si="43"/>
        <v>2272.5901978800362</v>
      </c>
      <c r="H271" s="16">
        <f t="shared" si="44"/>
        <v>7.6999999999999999E-2</v>
      </c>
      <c r="I271" s="18">
        <f t="shared" si="48"/>
        <v>348548.23005069152</v>
      </c>
      <c r="J271" s="18">
        <f t="shared" si="49"/>
        <v>978983.61364167952</v>
      </c>
      <c r="K271" s="18">
        <f t="shared" si="45"/>
        <v>351451.76994930871</v>
      </c>
      <c r="L271" s="18">
        <f t="shared" si="46"/>
        <v>1327531.8436923712</v>
      </c>
    </row>
    <row r="272" spans="1:12" x14ac:dyDescent="0.3">
      <c r="A272">
        <v>267</v>
      </c>
      <c r="B272" s="17">
        <v>52963</v>
      </c>
      <c r="C272" s="18">
        <f t="shared" si="47"/>
        <v>351451.76994930871</v>
      </c>
      <c r="D272" s="18">
        <f t="shared" si="40"/>
        <v>4990.7212168886126</v>
      </c>
      <c r="E272" s="18">
        <f t="shared" si="41"/>
        <v>2735.5723597138817</v>
      </c>
      <c r="F272" s="16">
        <f t="shared" si="42"/>
        <v>9.3403622128012981E-2</v>
      </c>
      <c r="G272" s="18">
        <f t="shared" si="43"/>
        <v>2255.1488571747309</v>
      </c>
      <c r="H272" s="16">
        <f t="shared" si="44"/>
        <v>7.6999999999999999E-2</v>
      </c>
      <c r="I272" s="18">
        <f t="shared" si="48"/>
        <v>351283.80241040542</v>
      </c>
      <c r="J272" s="18">
        <f t="shared" si="49"/>
        <v>981238.76249885419</v>
      </c>
      <c r="K272" s="18">
        <f t="shared" si="45"/>
        <v>348716.19758959481</v>
      </c>
      <c r="L272" s="18">
        <f t="shared" si="46"/>
        <v>1332522.5649092596</v>
      </c>
    </row>
    <row r="273" spans="1:12" x14ac:dyDescent="0.3">
      <c r="A273">
        <v>268</v>
      </c>
      <c r="B273" s="17">
        <v>52994</v>
      </c>
      <c r="C273" s="18">
        <f t="shared" si="47"/>
        <v>348716.19758959481</v>
      </c>
      <c r="D273" s="18">
        <f t="shared" si="40"/>
        <v>4990.7212168886126</v>
      </c>
      <c r="E273" s="18">
        <f t="shared" si="41"/>
        <v>2753.1256156887125</v>
      </c>
      <c r="F273" s="16">
        <f t="shared" si="42"/>
        <v>9.4740386642855334E-2</v>
      </c>
      <c r="G273" s="18">
        <f t="shared" si="43"/>
        <v>2237.5956011999001</v>
      </c>
      <c r="H273" s="16">
        <f t="shared" si="44"/>
        <v>7.6999999999999999E-2</v>
      </c>
      <c r="I273" s="18">
        <f t="shared" si="48"/>
        <v>354036.92802609416</v>
      </c>
      <c r="J273" s="18">
        <f t="shared" si="49"/>
        <v>983476.35810005409</v>
      </c>
      <c r="K273" s="18">
        <f t="shared" si="45"/>
        <v>345963.07197390607</v>
      </c>
      <c r="L273" s="18">
        <f t="shared" si="46"/>
        <v>1337513.2861261482</v>
      </c>
    </row>
    <row r="274" spans="1:12" x14ac:dyDescent="0.3">
      <c r="A274">
        <v>269</v>
      </c>
      <c r="B274" s="17">
        <v>53022</v>
      </c>
      <c r="C274" s="18">
        <f t="shared" si="47"/>
        <v>345963.07197390607</v>
      </c>
      <c r="D274" s="18">
        <f t="shared" si="40"/>
        <v>4990.7212168886126</v>
      </c>
      <c r="E274" s="18">
        <f t="shared" si="41"/>
        <v>2770.7915050560487</v>
      </c>
      <c r="F274" s="16">
        <f t="shared" si="42"/>
        <v>9.6107072558253834E-2</v>
      </c>
      <c r="G274" s="18">
        <f t="shared" si="43"/>
        <v>2219.929711832564</v>
      </c>
      <c r="H274" s="16">
        <f t="shared" si="44"/>
        <v>7.6999999999999999E-2</v>
      </c>
      <c r="I274" s="18">
        <f t="shared" si="48"/>
        <v>356807.71953115019</v>
      </c>
      <c r="J274" s="18">
        <f t="shared" si="49"/>
        <v>985696.28781188664</v>
      </c>
      <c r="K274" s="18">
        <f t="shared" si="45"/>
        <v>343192.28046885005</v>
      </c>
      <c r="L274" s="18">
        <f t="shared" si="46"/>
        <v>1342504.0073430368</v>
      </c>
    </row>
    <row r="275" spans="1:12" x14ac:dyDescent="0.3">
      <c r="A275">
        <v>270</v>
      </c>
      <c r="B275" s="17">
        <v>53053</v>
      </c>
      <c r="C275" s="18">
        <f t="shared" si="47"/>
        <v>343192.28046885005</v>
      </c>
      <c r="D275" s="18">
        <f t="shared" si="40"/>
        <v>4990.7212168886126</v>
      </c>
      <c r="E275" s="18">
        <f t="shared" si="41"/>
        <v>2788.5707505468249</v>
      </c>
      <c r="F275" s="16">
        <f t="shared" si="42"/>
        <v>9.7504666948938445E-2</v>
      </c>
      <c r="G275" s="18">
        <f t="shared" si="43"/>
        <v>2202.1504663417877</v>
      </c>
      <c r="H275" s="16">
        <f t="shared" si="44"/>
        <v>7.6999999999999985E-2</v>
      </c>
      <c r="I275" s="18">
        <f t="shared" si="48"/>
        <v>359596.290281697</v>
      </c>
      <c r="J275" s="18">
        <f t="shared" si="49"/>
        <v>987898.43827822839</v>
      </c>
      <c r="K275" s="18">
        <f t="shared" si="45"/>
        <v>340403.70971830323</v>
      </c>
      <c r="L275" s="18">
        <f t="shared" si="46"/>
        <v>1347494.7285599255</v>
      </c>
    </row>
    <row r="276" spans="1:12" x14ac:dyDescent="0.3">
      <c r="A276">
        <v>271</v>
      </c>
      <c r="B276" s="17">
        <v>53083</v>
      </c>
      <c r="C276" s="18">
        <f t="shared" si="47"/>
        <v>340403.70971830323</v>
      </c>
      <c r="D276" s="18">
        <f t="shared" si="40"/>
        <v>4990.7212168886126</v>
      </c>
      <c r="E276" s="18">
        <f t="shared" si="41"/>
        <v>2806.4640795294999</v>
      </c>
      <c r="F276" s="16">
        <f t="shared" si="42"/>
        <v>9.893420075305126E-2</v>
      </c>
      <c r="G276" s="18">
        <f t="shared" si="43"/>
        <v>2184.2571373591127</v>
      </c>
      <c r="H276" s="16">
        <f t="shared" si="44"/>
        <v>7.7000000000000013E-2</v>
      </c>
      <c r="I276" s="18">
        <f t="shared" si="48"/>
        <v>362402.75436122651</v>
      </c>
      <c r="J276" s="18">
        <f t="shared" si="49"/>
        <v>990082.69541558751</v>
      </c>
      <c r="K276" s="18">
        <f t="shared" si="45"/>
        <v>337597.24563877372</v>
      </c>
      <c r="L276" s="18">
        <f t="shared" si="46"/>
        <v>1352485.4497768141</v>
      </c>
    </row>
    <row r="277" spans="1:12" x14ac:dyDescent="0.3">
      <c r="A277">
        <v>272</v>
      </c>
      <c r="B277" s="17">
        <v>53114</v>
      </c>
      <c r="C277" s="18">
        <f t="shared" si="47"/>
        <v>337597.24563877372</v>
      </c>
      <c r="D277" s="18">
        <f t="shared" si="40"/>
        <v>4990.7212168886126</v>
      </c>
      <c r="E277" s="18">
        <f t="shared" si="41"/>
        <v>2824.4722240398146</v>
      </c>
      <c r="F277" s="16">
        <f t="shared" si="42"/>
        <v>0.10039675123636441</v>
      </c>
      <c r="G277" s="18">
        <f t="shared" si="43"/>
        <v>2166.248992848798</v>
      </c>
      <c r="H277" s="16">
        <f t="shared" si="44"/>
        <v>7.6999999999999999E-2</v>
      </c>
      <c r="I277" s="18">
        <f t="shared" si="48"/>
        <v>365227.22658526635</v>
      </c>
      <c r="J277" s="18">
        <f t="shared" si="49"/>
        <v>992248.94440843631</v>
      </c>
      <c r="K277" s="18">
        <f t="shared" si="45"/>
        <v>334772.77341473388</v>
      </c>
      <c r="L277" s="18">
        <f t="shared" si="46"/>
        <v>1357476.1709937027</v>
      </c>
    </row>
    <row r="278" spans="1:12" x14ac:dyDescent="0.3">
      <c r="A278">
        <v>273</v>
      </c>
      <c r="B278" s="17">
        <v>53144</v>
      </c>
      <c r="C278" s="18">
        <f t="shared" si="47"/>
        <v>334772.77341473388</v>
      </c>
      <c r="D278" s="18">
        <f t="shared" si="40"/>
        <v>4990.7212168886126</v>
      </c>
      <c r="E278" s="18">
        <f t="shared" si="41"/>
        <v>2842.595920810737</v>
      </c>
      <c r="F278" s="16">
        <f t="shared" si="42"/>
        <v>0.10189344462451305</v>
      </c>
      <c r="G278" s="18">
        <f t="shared" si="43"/>
        <v>2148.1252960778756</v>
      </c>
      <c r="H278" s="16">
        <f t="shared" si="44"/>
        <v>7.6999999999999999E-2</v>
      </c>
      <c r="I278" s="18">
        <f t="shared" si="48"/>
        <v>368069.82250607706</v>
      </c>
      <c r="J278" s="18">
        <f t="shared" si="49"/>
        <v>994397.06970451423</v>
      </c>
      <c r="K278" s="18">
        <f t="shared" si="45"/>
        <v>331930.17749392317</v>
      </c>
      <c r="L278" s="18">
        <f t="shared" si="46"/>
        <v>1362466.8922105914</v>
      </c>
    </row>
    <row r="279" spans="1:12" x14ac:dyDescent="0.3">
      <c r="A279">
        <v>274</v>
      </c>
      <c r="B279" s="17">
        <v>53175</v>
      </c>
      <c r="C279" s="18">
        <f t="shared" si="47"/>
        <v>331930.17749392317</v>
      </c>
      <c r="D279" s="18">
        <f t="shared" si="40"/>
        <v>4990.7212168886126</v>
      </c>
      <c r="E279" s="18">
        <f t="shared" si="41"/>
        <v>2860.8359113026054</v>
      </c>
      <c r="F279" s="16">
        <f t="shared" si="42"/>
        <v>0.10342545891676198</v>
      </c>
      <c r="G279" s="18">
        <f t="shared" si="43"/>
        <v>2129.8853055860072</v>
      </c>
      <c r="H279" s="16">
        <f t="shared" si="44"/>
        <v>7.7000000000000013E-2</v>
      </c>
      <c r="I279" s="18">
        <f t="shared" si="48"/>
        <v>370930.65841737966</v>
      </c>
      <c r="J279" s="18">
        <f t="shared" si="49"/>
        <v>996526.95501010027</v>
      </c>
      <c r="K279" s="18">
        <f t="shared" si="45"/>
        <v>329069.34158262057</v>
      </c>
      <c r="L279" s="18">
        <f t="shared" si="46"/>
        <v>1367457.61342748</v>
      </c>
    </row>
    <row r="280" spans="1:12" x14ac:dyDescent="0.3">
      <c r="A280">
        <v>275</v>
      </c>
      <c r="B280" s="17">
        <v>53206</v>
      </c>
      <c r="C280" s="18">
        <f t="shared" si="47"/>
        <v>329069.34158262057</v>
      </c>
      <c r="D280" s="18">
        <f t="shared" si="40"/>
        <v>4990.7212168886126</v>
      </c>
      <c r="E280" s="18">
        <f t="shared" si="41"/>
        <v>2879.1929417334641</v>
      </c>
      <c r="F280" s="16">
        <f t="shared" si="42"/>
        <v>0.10499402689608173</v>
      </c>
      <c r="G280" s="18">
        <f t="shared" si="43"/>
        <v>2111.5282751551485</v>
      </c>
      <c r="H280" s="16">
        <f t="shared" si="44"/>
        <v>7.6999999999999985E-2</v>
      </c>
      <c r="I280" s="18">
        <f t="shared" si="48"/>
        <v>373809.85135911312</v>
      </c>
      <c r="J280" s="18">
        <f t="shared" si="49"/>
        <v>998638.48328525538</v>
      </c>
      <c r="K280" s="18">
        <f t="shared" si="45"/>
        <v>326190.14864088711</v>
      </c>
      <c r="L280" s="18">
        <f t="shared" si="46"/>
        <v>1372448.3346443684</v>
      </c>
    </row>
    <row r="281" spans="1:12" x14ac:dyDescent="0.3">
      <c r="A281">
        <v>276</v>
      </c>
      <c r="B281" s="17">
        <v>53236</v>
      </c>
      <c r="C281" s="18">
        <f t="shared" si="47"/>
        <v>326190.14864088711</v>
      </c>
      <c r="D281" s="18">
        <f t="shared" si="40"/>
        <v>4990.7212168886126</v>
      </c>
      <c r="E281" s="18">
        <f t="shared" si="41"/>
        <v>2897.6677631095868</v>
      </c>
      <c r="F281" s="16">
        <f t="shared" si="42"/>
        <v>0.10660043935170044</v>
      </c>
      <c r="G281" s="18">
        <f t="shared" si="43"/>
        <v>2093.0534537790259</v>
      </c>
      <c r="H281" s="16">
        <f t="shared" si="44"/>
        <v>7.7000000000000013E-2</v>
      </c>
      <c r="I281" s="18">
        <f t="shared" si="48"/>
        <v>376707.51912222273</v>
      </c>
      <c r="J281" s="18">
        <f t="shared" si="49"/>
        <v>1000731.5367390345</v>
      </c>
      <c r="K281" s="18">
        <f t="shared" si="45"/>
        <v>323292.4808777775</v>
      </c>
      <c r="L281" s="18">
        <f t="shared" si="46"/>
        <v>1377439.0558612572</v>
      </c>
    </row>
    <row r="282" spans="1:12" x14ac:dyDescent="0.3">
      <c r="A282">
        <v>277</v>
      </c>
      <c r="B282" s="17">
        <v>53267</v>
      </c>
      <c r="C282" s="18">
        <f t="shared" si="47"/>
        <v>323292.4808777775</v>
      </c>
      <c r="D282" s="18">
        <f t="shared" si="40"/>
        <v>4990.7212168886126</v>
      </c>
      <c r="E282" s="18">
        <f t="shared" si="41"/>
        <v>2916.2611312562067</v>
      </c>
      <c r="F282" s="16">
        <f t="shared" si="42"/>
        <v>0.10824604853183883</v>
      </c>
      <c r="G282" s="18">
        <f t="shared" si="43"/>
        <v>2074.4600856324059</v>
      </c>
      <c r="H282" s="16">
        <f t="shared" si="44"/>
        <v>7.7000000000000013E-2</v>
      </c>
      <c r="I282" s="18">
        <f t="shared" si="48"/>
        <v>379623.78025347891</v>
      </c>
      <c r="J282" s="18">
        <f t="shared" si="49"/>
        <v>1002805.9968246669</v>
      </c>
      <c r="K282" s="18">
        <f t="shared" si="45"/>
        <v>320376.21974652132</v>
      </c>
      <c r="L282" s="18">
        <f t="shared" si="46"/>
        <v>1382429.7770781456</v>
      </c>
    </row>
    <row r="283" spans="1:12" x14ac:dyDescent="0.3">
      <c r="A283">
        <v>278</v>
      </c>
      <c r="B283" s="17">
        <v>53297</v>
      </c>
      <c r="C283" s="18">
        <f t="shared" si="47"/>
        <v>320376.21974652132</v>
      </c>
      <c r="D283" s="18">
        <f t="shared" si="40"/>
        <v>4990.7212168886126</v>
      </c>
      <c r="E283" s="18">
        <f t="shared" si="41"/>
        <v>2934.9738068484339</v>
      </c>
      <c r="F283" s="16">
        <f t="shared" si="42"/>
        <v>0.10993227184603992</v>
      </c>
      <c r="G283" s="18">
        <f t="shared" si="43"/>
        <v>2055.7474100401787</v>
      </c>
      <c r="H283" s="16">
        <f t="shared" si="44"/>
        <v>7.6999999999999999E-2</v>
      </c>
      <c r="I283" s="18">
        <f t="shared" si="48"/>
        <v>382558.75406032737</v>
      </c>
      <c r="J283" s="18">
        <f t="shared" si="49"/>
        <v>1004861.7442347071</v>
      </c>
      <c r="K283" s="18">
        <f t="shared" si="45"/>
        <v>317441.24593967287</v>
      </c>
      <c r="L283" s="18">
        <f t="shared" si="46"/>
        <v>1387420.4982950345</v>
      </c>
    </row>
    <row r="284" spans="1:12" x14ac:dyDescent="0.3">
      <c r="A284">
        <v>279</v>
      </c>
      <c r="B284" s="17">
        <v>53328</v>
      </c>
      <c r="C284" s="18">
        <f t="shared" si="47"/>
        <v>317441.24593967287</v>
      </c>
      <c r="D284" s="18">
        <f t="shared" si="40"/>
        <v>4990.7212168886126</v>
      </c>
      <c r="E284" s="18">
        <f t="shared" si="41"/>
        <v>2953.8065554423783</v>
      </c>
      <c r="F284" s="16">
        <f t="shared" si="42"/>
        <v>0.11166059583840188</v>
      </c>
      <c r="G284" s="18">
        <f t="shared" si="43"/>
        <v>2036.9146614462343</v>
      </c>
      <c r="H284" s="16">
        <f t="shared" si="44"/>
        <v>7.6999999999999999E-2</v>
      </c>
      <c r="I284" s="18">
        <f t="shared" si="48"/>
        <v>385512.56061576976</v>
      </c>
      <c r="J284" s="18">
        <f t="shared" si="49"/>
        <v>1006898.6588961533</v>
      </c>
      <c r="K284" s="18">
        <f t="shared" si="45"/>
        <v>314487.43938423047</v>
      </c>
      <c r="L284" s="18">
        <f t="shared" si="46"/>
        <v>1392411.2195119231</v>
      </c>
    </row>
    <row r="285" spans="1:12" x14ac:dyDescent="0.3">
      <c r="A285">
        <v>280</v>
      </c>
      <c r="B285" s="17">
        <v>53359</v>
      </c>
      <c r="C285" s="18">
        <f t="shared" si="47"/>
        <v>314487.43938423047</v>
      </c>
      <c r="D285" s="18">
        <f t="shared" si="40"/>
        <v>4990.7212168886126</v>
      </c>
      <c r="E285" s="18">
        <f t="shared" si="41"/>
        <v>2972.7601475064671</v>
      </c>
      <c r="F285" s="16">
        <f t="shared" si="42"/>
        <v>0.11343258045512383</v>
      </c>
      <c r="G285" s="18">
        <f t="shared" si="43"/>
        <v>2017.9610693821455</v>
      </c>
      <c r="H285" s="16">
        <f t="shared" si="44"/>
        <v>7.6999999999999999E-2</v>
      </c>
      <c r="I285" s="18">
        <f t="shared" si="48"/>
        <v>388485.32076327625</v>
      </c>
      <c r="J285" s="18">
        <f t="shared" si="49"/>
        <v>1008916.6199655355</v>
      </c>
      <c r="K285" s="18">
        <f t="shared" si="45"/>
        <v>311514.67923672398</v>
      </c>
      <c r="L285" s="18">
        <f t="shared" si="46"/>
        <v>1397401.9407288118</v>
      </c>
    </row>
    <row r="286" spans="1:12" x14ac:dyDescent="0.3">
      <c r="A286">
        <v>281</v>
      </c>
      <c r="B286" s="17">
        <v>53387</v>
      </c>
      <c r="C286" s="18">
        <f t="shared" si="47"/>
        <v>311514.67923672398</v>
      </c>
      <c r="D286" s="18">
        <f t="shared" si="40"/>
        <v>4990.7212168886126</v>
      </c>
      <c r="E286" s="18">
        <f t="shared" si="41"/>
        <v>2991.8353584529668</v>
      </c>
      <c r="F286" s="16">
        <f t="shared" si="42"/>
        <v>0.11524986363211859</v>
      </c>
      <c r="G286" s="18">
        <f t="shared" si="43"/>
        <v>1998.8858584356456</v>
      </c>
      <c r="H286" s="16">
        <f t="shared" si="44"/>
        <v>7.6999999999999999E-2</v>
      </c>
      <c r="I286" s="18">
        <f t="shared" si="48"/>
        <v>391477.15612172923</v>
      </c>
      <c r="J286" s="18">
        <f t="shared" si="49"/>
        <v>1010915.5058239711</v>
      </c>
      <c r="K286" s="18">
        <f t="shared" si="45"/>
        <v>308522.843878271</v>
      </c>
      <c r="L286" s="18">
        <f t="shared" si="46"/>
        <v>1402392.6619457004</v>
      </c>
    </row>
    <row r="287" spans="1:12" x14ac:dyDescent="0.3">
      <c r="A287">
        <v>282</v>
      </c>
      <c r="B287" s="17">
        <v>53418</v>
      </c>
      <c r="C287" s="18">
        <f t="shared" si="47"/>
        <v>308522.843878271</v>
      </c>
      <c r="D287" s="18">
        <f t="shared" si="40"/>
        <v>4990.7212168886126</v>
      </c>
      <c r="E287" s="18">
        <f t="shared" si="41"/>
        <v>3011.0329686697069</v>
      </c>
      <c r="F287" s="16">
        <f t="shared" si="42"/>
        <v>0.11711416623105118</v>
      </c>
      <c r="G287" s="18">
        <f t="shared" si="43"/>
        <v>1979.6882482189058</v>
      </c>
      <c r="H287" s="16">
        <f t="shared" si="44"/>
        <v>7.6999999999999999E-2</v>
      </c>
      <c r="I287" s="18">
        <f t="shared" si="48"/>
        <v>394488.18909039896</v>
      </c>
      <c r="J287" s="18">
        <f t="shared" si="49"/>
        <v>1012895.19407219</v>
      </c>
      <c r="K287" s="18">
        <f t="shared" si="45"/>
        <v>305511.81090960128</v>
      </c>
      <c r="L287" s="18">
        <f t="shared" si="46"/>
        <v>1407383.3831625888</v>
      </c>
    </row>
    <row r="288" spans="1:12" x14ac:dyDescent="0.3">
      <c r="A288">
        <v>283</v>
      </c>
      <c r="B288" s="17">
        <v>53448</v>
      </c>
      <c r="C288" s="18">
        <f t="shared" si="47"/>
        <v>305511.81090960128</v>
      </c>
      <c r="D288" s="18">
        <f t="shared" si="40"/>
        <v>4990.7212168886126</v>
      </c>
      <c r="E288" s="18">
        <f t="shared" si="41"/>
        <v>3030.3537635520042</v>
      </c>
      <c r="F288" s="16">
        <f t="shared" si="42"/>
        <v>0.11902729735507335</v>
      </c>
      <c r="G288" s="18">
        <f t="shared" si="43"/>
        <v>1960.3674533366082</v>
      </c>
      <c r="H288" s="16">
        <f t="shared" si="44"/>
        <v>7.6999999999999999E-2</v>
      </c>
      <c r="I288" s="18">
        <f t="shared" si="48"/>
        <v>397518.54285395099</v>
      </c>
      <c r="J288" s="18">
        <f t="shared" si="49"/>
        <v>1014855.5615255266</v>
      </c>
      <c r="K288" s="18">
        <f t="shared" si="45"/>
        <v>302481.45714604924</v>
      </c>
      <c r="L288" s="18">
        <f t="shared" si="46"/>
        <v>1412374.1043794774</v>
      </c>
    </row>
    <row r="289" spans="1:12" x14ac:dyDescent="0.3">
      <c r="A289">
        <v>284</v>
      </c>
      <c r="B289" s="17">
        <v>53479</v>
      </c>
      <c r="C289" s="18">
        <f t="shared" si="47"/>
        <v>302481.45714604924</v>
      </c>
      <c r="D289" s="18">
        <f t="shared" si="40"/>
        <v>4990.7212168886126</v>
      </c>
      <c r="E289" s="18">
        <f t="shared" si="41"/>
        <v>3049.7985335347967</v>
      </c>
      <c r="F289" s="16">
        <f t="shared" si="42"/>
        <v>0.12099116007877102</v>
      </c>
      <c r="G289" s="18">
        <f t="shared" si="43"/>
        <v>1940.922683353816</v>
      </c>
      <c r="H289" s="16">
        <f t="shared" si="44"/>
        <v>7.6999999999999999E-2</v>
      </c>
      <c r="I289" s="18">
        <f t="shared" si="48"/>
        <v>400568.34138748579</v>
      </c>
      <c r="J289" s="18">
        <f t="shared" si="49"/>
        <v>1016796.4842088803</v>
      </c>
      <c r="K289" s="18">
        <f t="shared" si="45"/>
        <v>299431.65861251444</v>
      </c>
      <c r="L289" s="18">
        <f t="shared" si="46"/>
        <v>1417364.8255963661</v>
      </c>
    </row>
    <row r="290" spans="1:12" x14ac:dyDescent="0.3">
      <c r="A290">
        <v>285</v>
      </c>
      <c r="B290" s="17">
        <v>53509</v>
      </c>
      <c r="C290" s="18">
        <f t="shared" si="47"/>
        <v>299431.65861251444</v>
      </c>
      <c r="D290" s="18">
        <f t="shared" si="40"/>
        <v>4990.7212168886126</v>
      </c>
      <c r="E290" s="18">
        <f t="shared" si="41"/>
        <v>3069.3680741249782</v>
      </c>
      <c r="F290" s="16">
        <f t="shared" si="42"/>
        <v>0.12300775763047644</v>
      </c>
      <c r="G290" s="18">
        <f t="shared" si="43"/>
        <v>1921.3531427636344</v>
      </c>
      <c r="H290" s="16">
        <f t="shared" si="44"/>
        <v>7.6999999999999999E-2</v>
      </c>
      <c r="I290" s="18">
        <f t="shared" si="48"/>
        <v>403637.70946161076</v>
      </c>
      <c r="J290" s="18">
        <f t="shared" si="49"/>
        <v>1018717.8373516439</v>
      </c>
      <c r="K290" s="18">
        <f t="shared" si="45"/>
        <v>296362.29053838947</v>
      </c>
      <c r="L290" s="18">
        <f t="shared" si="46"/>
        <v>1422355.5468132547</v>
      </c>
    </row>
    <row r="291" spans="1:12" x14ac:dyDescent="0.3">
      <c r="A291">
        <v>286</v>
      </c>
      <c r="B291" s="17">
        <v>53540</v>
      </c>
      <c r="C291" s="18">
        <f t="shared" si="47"/>
        <v>296362.29053838947</v>
      </c>
      <c r="D291" s="18">
        <f t="shared" si="40"/>
        <v>4990.7212168886126</v>
      </c>
      <c r="E291" s="18">
        <f t="shared" si="41"/>
        <v>3089.0631859339469</v>
      </c>
      <c r="F291" s="16">
        <f t="shared" si="42"/>
        <v>0.12507920006916545</v>
      </c>
      <c r="G291" s="18">
        <f t="shared" si="43"/>
        <v>1901.6580309546657</v>
      </c>
      <c r="H291" s="16">
        <f t="shared" si="44"/>
        <v>7.6999999999999999E-2</v>
      </c>
      <c r="I291" s="18">
        <f t="shared" si="48"/>
        <v>406726.77264754468</v>
      </c>
      <c r="J291" s="18">
        <f t="shared" si="49"/>
        <v>1020619.4953825986</v>
      </c>
      <c r="K291" s="18">
        <f t="shared" si="45"/>
        <v>293273.22735245555</v>
      </c>
      <c r="L291" s="18">
        <f t="shared" si="46"/>
        <v>1427346.2680301433</v>
      </c>
    </row>
    <row r="292" spans="1:12" x14ac:dyDescent="0.3">
      <c r="A292">
        <v>287</v>
      </c>
      <c r="B292" s="17">
        <v>53571</v>
      </c>
      <c r="C292" s="18">
        <f t="shared" si="47"/>
        <v>293273.22735245555</v>
      </c>
      <c r="D292" s="18">
        <f t="shared" si="40"/>
        <v>4990.7212168886126</v>
      </c>
      <c r="E292" s="18">
        <f t="shared" si="41"/>
        <v>3108.8846747103562</v>
      </c>
      <c r="F292" s="16">
        <f t="shared" si="42"/>
        <v>0.12720771150272511</v>
      </c>
      <c r="G292" s="18">
        <f t="shared" si="43"/>
        <v>1881.8365421782564</v>
      </c>
      <c r="H292" s="16">
        <f t="shared" si="44"/>
        <v>7.6999999999999999E-2</v>
      </c>
      <c r="I292" s="18">
        <f t="shared" si="48"/>
        <v>409835.65732225502</v>
      </c>
      <c r="J292" s="18">
        <f t="shared" si="49"/>
        <v>1022501.3319247769</v>
      </c>
      <c r="K292" s="18">
        <f t="shared" si="45"/>
        <v>290164.34267774521</v>
      </c>
      <c r="L292" s="18">
        <f t="shared" si="46"/>
        <v>1432336.989247032</v>
      </c>
    </row>
    <row r="293" spans="1:12" x14ac:dyDescent="0.3">
      <c r="A293">
        <v>288</v>
      </c>
      <c r="B293" s="17">
        <v>53601</v>
      </c>
      <c r="C293" s="18">
        <f t="shared" si="47"/>
        <v>290164.34267774521</v>
      </c>
      <c r="D293" s="18">
        <f t="shared" si="40"/>
        <v>4990.7212168886126</v>
      </c>
      <c r="E293" s="18">
        <f t="shared" si="41"/>
        <v>3128.8333513730809</v>
      </c>
      <c r="F293" s="16">
        <f t="shared" si="42"/>
        <v>0.12939563789950351</v>
      </c>
      <c r="G293" s="18">
        <f t="shared" si="43"/>
        <v>1861.8878655155318</v>
      </c>
      <c r="H293" s="16">
        <f t="shared" si="44"/>
        <v>7.6999999999999999E-2</v>
      </c>
      <c r="I293" s="18">
        <f t="shared" si="48"/>
        <v>412964.49067362811</v>
      </c>
      <c r="J293" s="18">
        <f t="shared" si="49"/>
        <v>1024363.2197902924</v>
      </c>
      <c r="K293" s="18">
        <f t="shared" si="45"/>
        <v>287035.50932637212</v>
      </c>
      <c r="L293" s="18">
        <f t="shared" si="46"/>
        <v>1437327.7104639206</v>
      </c>
    </row>
    <row r="294" spans="1:12" x14ac:dyDescent="0.3">
      <c r="A294">
        <v>289</v>
      </c>
      <c r="B294" s="17">
        <v>53632</v>
      </c>
      <c r="C294" s="18">
        <f t="shared" si="47"/>
        <v>287035.50932637212</v>
      </c>
      <c r="D294" s="18">
        <f t="shared" si="40"/>
        <v>4990.7212168886126</v>
      </c>
      <c r="E294" s="18">
        <f t="shared" si="41"/>
        <v>3148.9100320443913</v>
      </c>
      <c r="F294" s="16">
        <f t="shared" si="42"/>
        <v>0.13164545555082277</v>
      </c>
      <c r="G294" s="18">
        <f t="shared" si="43"/>
        <v>1841.8111848442211</v>
      </c>
      <c r="H294" s="16">
        <f t="shared" si="44"/>
        <v>7.6999999999999999E-2</v>
      </c>
      <c r="I294" s="18">
        <f t="shared" si="48"/>
        <v>416113.40070567251</v>
      </c>
      <c r="J294" s="18">
        <f t="shared" si="49"/>
        <v>1026205.0309751367</v>
      </c>
      <c r="K294" s="18">
        <f t="shared" si="45"/>
        <v>283886.59929432772</v>
      </c>
      <c r="L294" s="18">
        <f t="shared" si="46"/>
        <v>1442318.4316808092</v>
      </c>
    </row>
    <row r="295" spans="1:12" x14ac:dyDescent="0.3">
      <c r="A295">
        <v>290</v>
      </c>
      <c r="B295" s="17">
        <v>53662</v>
      </c>
      <c r="C295" s="18">
        <f t="shared" si="47"/>
        <v>283886.59929432772</v>
      </c>
      <c r="D295" s="18">
        <f t="shared" si="40"/>
        <v>4990.7212168886126</v>
      </c>
      <c r="E295" s="18">
        <f t="shared" si="41"/>
        <v>3169.1155380833429</v>
      </c>
      <c r="F295" s="16">
        <f t="shared" si="42"/>
        <v>0.13395978024863384</v>
      </c>
      <c r="G295" s="18">
        <f t="shared" si="43"/>
        <v>1821.6056788052697</v>
      </c>
      <c r="H295" s="16">
        <f t="shared" si="44"/>
        <v>7.6999999999999999E-2</v>
      </c>
      <c r="I295" s="18">
        <f t="shared" si="48"/>
        <v>419282.51624375588</v>
      </c>
      <c r="J295" s="18">
        <f t="shared" si="49"/>
        <v>1028026.6366539419</v>
      </c>
      <c r="K295" s="18">
        <f t="shared" si="45"/>
        <v>280717.48375624436</v>
      </c>
      <c r="L295" s="18">
        <f t="shared" si="46"/>
        <v>1447309.1528976979</v>
      </c>
    </row>
    <row r="296" spans="1:12" x14ac:dyDescent="0.3">
      <c r="A296">
        <v>291</v>
      </c>
      <c r="B296" s="17">
        <v>53693</v>
      </c>
      <c r="C296" s="18">
        <f t="shared" si="47"/>
        <v>280717.48375624436</v>
      </c>
      <c r="D296" s="18">
        <f t="shared" si="40"/>
        <v>4990.7212168886126</v>
      </c>
      <c r="E296" s="18">
        <f t="shared" si="41"/>
        <v>3189.4506961193779</v>
      </c>
      <c r="F296" s="16">
        <f t="shared" si="42"/>
        <v>0.13634137724982787</v>
      </c>
      <c r="G296" s="18">
        <f t="shared" si="43"/>
        <v>1801.2705207692347</v>
      </c>
      <c r="H296" s="16">
        <f t="shared" si="44"/>
        <v>7.6999999999999999E-2</v>
      </c>
      <c r="I296" s="18">
        <f t="shared" si="48"/>
        <v>422471.96693987527</v>
      </c>
      <c r="J296" s="18">
        <f t="shared" si="49"/>
        <v>1029827.9071747112</v>
      </c>
      <c r="K296" s="18">
        <f t="shared" si="45"/>
        <v>277528.03306012496</v>
      </c>
      <c r="L296" s="18">
        <f t="shared" si="46"/>
        <v>1452299.8741145865</v>
      </c>
    </row>
    <row r="297" spans="1:12" x14ac:dyDescent="0.3">
      <c r="A297">
        <v>292</v>
      </c>
      <c r="B297" s="17">
        <v>53724</v>
      </c>
      <c r="C297" s="18">
        <f t="shared" si="47"/>
        <v>277528.03306012496</v>
      </c>
      <c r="D297" s="18">
        <f t="shared" si="40"/>
        <v>4990.7212168886126</v>
      </c>
      <c r="E297" s="18">
        <f t="shared" si="41"/>
        <v>3209.9163380861442</v>
      </c>
      <c r="F297" s="16">
        <f t="shared" si="42"/>
        <v>0.13879317210700945</v>
      </c>
      <c r="G297" s="18">
        <f t="shared" si="43"/>
        <v>1780.8048788024685</v>
      </c>
      <c r="H297" s="16">
        <f t="shared" si="44"/>
        <v>7.6999999999999999E-2</v>
      </c>
      <c r="I297" s="18">
        <f t="shared" si="48"/>
        <v>425681.8832779614</v>
      </c>
      <c r="J297" s="18">
        <f t="shared" si="49"/>
        <v>1031608.7120535137</v>
      </c>
      <c r="K297" s="18">
        <f t="shared" si="45"/>
        <v>274318.11672203883</v>
      </c>
      <c r="L297" s="18">
        <f t="shared" si="46"/>
        <v>1457290.5953314751</v>
      </c>
    </row>
    <row r="298" spans="1:12" x14ac:dyDescent="0.3">
      <c r="A298">
        <v>293</v>
      </c>
      <c r="B298" s="17">
        <v>53752</v>
      </c>
      <c r="C298" s="18">
        <f t="shared" si="47"/>
        <v>274318.11672203883</v>
      </c>
      <c r="D298" s="18">
        <f t="shared" si="40"/>
        <v>4990.7212168886126</v>
      </c>
      <c r="E298" s="18">
        <f t="shared" si="41"/>
        <v>3230.5133012555298</v>
      </c>
      <c r="F298" s="16">
        <f t="shared" si="42"/>
        <v>0.1413182624549269</v>
      </c>
      <c r="G298" s="18">
        <f t="shared" si="43"/>
        <v>1760.2079156330826</v>
      </c>
      <c r="H298" s="16">
        <f t="shared" si="44"/>
        <v>7.6999999999999999E-2</v>
      </c>
      <c r="I298" s="18">
        <f t="shared" si="48"/>
        <v>428912.39657921693</v>
      </c>
      <c r="J298" s="18">
        <f t="shared" si="49"/>
        <v>1033368.9199691468</v>
      </c>
      <c r="K298" s="18">
        <f t="shared" si="45"/>
        <v>271087.6034207833</v>
      </c>
      <c r="L298" s="18">
        <f t="shared" si="46"/>
        <v>1462281.3165483638</v>
      </c>
    </row>
    <row r="299" spans="1:12" x14ac:dyDescent="0.3">
      <c r="A299">
        <v>294</v>
      </c>
      <c r="B299" s="17">
        <v>53783</v>
      </c>
      <c r="C299" s="18">
        <f t="shared" si="47"/>
        <v>271087.6034207833</v>
      </c>
      <c r="D299" s="18">
        <f t="shared" si="40"/>
        <v>4990.7212168886126</v>
      </c>
      <c r="E299" s="18">
        <f t="shared" si="41"/>
        <v>3251.2424282719194</v>
      </c>
      <c r="F299" s="16">
        <f t="shared" si="42"/>
        <v>0.14391993085240393</v>
      </c>
      <c r="G299" s="18">
        <f t="shared" si="43"/>
        <v>1739.478788616693</v>
      </c>
      <c r="H299" s="16">
        <f t="shared" si="44"/>
        <v>7.6999999999999999E-2</v>
      </c>
      <c r="I299" s="18">
        <f t="shared" si="48"/>
        <v>432163.63900748885</v>
      </c>
      <c r="J299" s="18">
        <f t="shared" si="49"/>
        <v>1035108.3987577636</v>
      </c>
      <c r="K299" s="18">
        <f t="shared" si="45"/>
        <v>267836.36099251139</v>
      </c>
      <c r="L299" s="18">
        <f t="shared" si="46"/>
        <v>1467272.0377652524</v>
      </c>
    </row>
    <row r="300" spans="1:12" x14ac:dyDescent="0.3">
      <c r="A300">
        <v>295</v>
      </c>
      <c r="B300" s="17">
        <v>53813</v>
      </c>
      <c r="C300" s="18">
        <f t="shared" si="47"/>
        <v>267836.36099251139</v>
      </c>
      <c r="D300" s="18">
        <f t="shared" si="40"/>
        <v>4990.7212168886126</v>
      </c>
      <c r="E300" s="18">
        <f t="shared" si="41"/>
        <v>3272.1045671866646</v>
      </c>
      <c r="F300" s="16">
        <f t="shared" si="42"/>
        <v>0.14660165879171955</v>
      </c>
      <c r="G300" s="18">
        <f t="shared" si="43"/>
        <v>1718.6166497019481</v>
      </c>
      <c r="H300" s="16">
        <f t="shared" si="44"/>
        <v>7.6999999999999999E-2</v>
      </c>
      <c r="I300" s="18">
        <f t="shared" si="48"/>
        <v>435435.74357467552</v>
      </c>
      <c r="J300" s="18">
        <f t="shared" si="49"/>
        <v>1036827.0154074655</v>
      </c>
      <c r="K300" s="18">
        <f t="shared" si="45"/>
        <v>264564.25642532471</v>
      </c>
      <c r="L300" s="18">
        <f t="shared" si="46"/>
        <v>1472262.758982141</v>
      </c>
    </row>
    <row r="301" spans="1:12" x14ac:dyDescent="0.3">
      <c r="A301">
        <v>296</v>
      </c>
      <c r="B301" s="17">
        <v>53844</v>
      </c>
      <c r="C301" s="18">
        <f t="shared" si="47"/>
        <v>264564.25642532471</v>
      </c>
      <c r="D301" s="18">
        <f t="shared" si="40"/>
        <v>4990.7212168886126</v>
      </c>
      <c r="E301" s="18">
        <f t="shared" si="41"/>
        <v>3293.1005714927787</v>
      </c>
      <c r="F301" s="16">
        <f t="shared" si="42"/>
        <v>0.14936714200116213</v>
      </c>
      <c r="G301" s="18">
        <f t="shared" si="43"/>
        <v>1697.6206453958337</v>
      </c>
      <c r="H301" s="16">
        <f t="shared" si="44"/>
        <v>7.6999999999999999E-2</v>
      </c>
      <c r="I301" s="18">
        <f t="shared" si="48"/>
        <v>438728.84414616833</v>
      </c>
      <c r="J301" s="18">
        <f t="shared" si="49"/>
        <v>1038524.6360528613</v>
      </c>
      <c r="K301" s="18">
        <f t="shared" si="45"/>
        <v>261271.15585383194</v>
      </c>
      <c r="L301" s="18">
        <f t="shared" si="46"/>
        <v>1477253.4801990297</v>
      </c>
    </row>
    <row r="302" spans="1:12" x14ac:dyDescent="0.3">
      <c r="A302">
        <v>297</v>
      </c>
      <c r="B302" s="17">
        <v>53874</v>
      </c>
      <c r="C302" s="18">
        <f t="shared" si="47"/>
        <v>261271.15585383194</v>
      </c>
      <c r="D302" s="18">
        <f t="shared" si="40"/>
        <v>4990.7212168886126</v>
      </c>
      <c r="E302" s="18">
        <f t="shared" si="41"/>
        <v>3314.2313001598577</v>
      </c>
      <c r="F302" s="16">
        <f t="shared" si="42"/>
        <v>0.15222030718219826</v>
      </c>
      <c r="G302" s="18">
        <f t="shared" si="43"/>
        <v>1676.4899167287549</v>
      </c>
      <c r="H302" s="16">
        <f t="shared" si="44"/>
        <v>7.6999999999999999E-2</v>
      </c>
      <c r="I302" s="18">
        <f t="shared" si="48"/>
        <v>442043.07544632821</v>
      </c>
      <c r="J302" s="18">
        <f t="shared" si="49"/>
        <v>1040201.1259695902</v>
      </c>
      <c r="K302" s="18">
        <f t="shared" si="45"/>
        <v>257956.92455367208</v>
      </c>
      <c r="L302" s="18">
        <f t="shared" si="46"/>
        <v>1482244.2014159183</v>
      </c>
    </row>
    <row r="303" spans="1:12" x14ac:dyDescent="0.3">
      <c r="A303">
        <v>298</v>
      </c>
      <c r="B303" s="17">
        <v>53905</v>
      </c>
      <c r="C303" s="18">
        <f t="shared" si="47"/>
        <v>257956.92455367208</v>
      </c>
      <c r="D303" s="18">
        <f t="shared" si="40"/>
        <v>4990.7212168886126</v>
      </c>
      <c r="E303" s="18">
        <f t="shared" si="41"/>
        <v>3335.4976176692167</v>
      </c>
      <c r="F303" s="16">
        <f t="shared" si="42"/>
        <v>0.15516533034065755</v>
      </c>
      <c r="G303" s="18">
        <f t="shared" si="43"/>
        <v>1655.223599219396</v>
      </c>
      <c r="H303" s="16">
        <f t="shared" si="44"/>
        <v>7.6999999999999999E-2</v>
      </c>
      <c r="I303" s="18">
        <f t="shared" si="48"/>
        <v>445378.57306399744</v>
      </c>
      <c r="J303" s="18">
        <f t="shared" si="49"/>
        <v>1041856.3495688095</v>
      </c>
      <c r="K303" s="18">
        <f t="shared" si="45"/>
        <v>254621.42693600286</v>
      </c>
      <c r="L303" s="18">
        <f t="shared" si="46"/>
        <v>1487234.9226328069</v>
      </c>
    </row>
    <row r="304" spans="1:12" x14ac:dyDescent="0.3">
      <c r="A304">
        <v>299</v>
      </c>
      <c r="B304" s="17">
        <v>53936</v>
      </c>
      <c r="C304" s="18">
        <f t="shared" si="47"/>
        <v>254621.42693600286</v>
      </c>
      <c r="D304" s="18">
        <f t="shared" si="40"/>
        <v>4990.7212168886126</v>
      </c>
      <c r="E304" s="18">
        <f t="shared" si="41"/>
        <v>3356.9003940492612</v>
      </c>
      <c r="F304" s="16">
        <f t="shared" si="42"/>
        <v>0.15820665689190372</v>
      </c>
      <c r="G304" s="18">
        <f t="shared" si="43"/>
        <v>1633.8208228393516</v>
      </c>
      <c r="H304" s="16">
        <f t="shared" si="44"/>
        <v>7.6999999999999999E-2</v>
      </c>
      <c r="I304" s="18">
        <f t="shared" si="48"/>
        <v>448735.47345804668</v>
      </c>
      <c r="J304" s="18">
        <f t="shared" si="49"/>
        <v>1043490.1703916489</v>
      </c>
      <c r="K304" s="18">
        <f t="shared" si="45"/>
        <v>251264.52654195359</v>
      </c>
      <c r="L304" s="18">
        <f t="shared" si="46"/>
        <v>1492225.6438496956</v>
      </c>
    </row>
    <row r="305" spans="1:12" x14ac:dyDescent="0.3">
      <c r="A305">
        <v>300</v>
      </c>
      <c r="B305" s="17">
        <v>53966</v>
      </c>
      <c r="C305" s="18">
        <f t="shared" si="47"/>
        <v>251264.52654195359</v>
      </c>
      <c r="D305" s="18">
        <f t="shared" si="40"/>
        <v>4990.7212168886126</v>
      </c>
      <c r="E305" s="18">
        <f t="shared" si="41"/>
        <v>3378.4405049110774</v>
      </c>
      <c r="F305" s="16">
        <f t="shared" si="42"/>
        <v>0.16134902374356358</v>
      </c>
      <c r="G305" s="18">
        <f t="shared" si="43"/>
        <v>1612.2807119775355</v>
      </c>
      <c r="H305" s="16">
        <f t="shared" si="44"/>
        <v>7.6999999999999999E-2</v>
      </c>
      <c r="I305" s="18">
        <f t="shared" si="48"/>
        <v>452113.91396295774</v>
      </c>
      <c r="J305" s="18">
        <f t="shared" si="49"/>
        <v>1045102.4511036264</v>
      </c>
      <c r="K305" s="18">
        <f t="shared" si="45"/>
        <v>247886.08603704252</v>
      </c>
      <c r="L305" s="18">
        <f t="shared" si="46"/>
        <v>1497216.3650665842</v>
      </c>
    </row>
    <row r="306" spans="1:12" x14ac:dyDescent="0.3">
      <c r="A306">
        <v>301</v>
      </c>
      <c r="B306" s="17">
        <v>53997</v>
      </c>
      <c r="C306" s="18">
        <f t="shared" si="47"/>
        <v>247886.08603704252</v>
      </c>
      <c r="D306" s="18">
        <f t="shared" si="40"/>
        <v>4990.7212168886126</v>
      </c>
      <c r="E306" s="18">
        <f t="shared" si="41"/>
        <v>3400.1188314842566</v>
      </c>
      <c r="F306" s="16">
        <f t="shared" si="42"/>
        <v>0.16459748358652923</v>
      </c>
      <c r="G306" s="18">
        <f t="shared" si="43"/>
        <v>1590.6023854043563</v>
      </c>
      <c r="H306" s="16">
        <f t="shared" si="44"/>
        <v>7.6999999999999999E-2</v>
      </c>
      <c r="I306" s="18">
        <f t="shared" si="48"/>
        <v>455514.03279444197</v>
      </c>
      <c r="J306" s="18">
        <f t="shared" si="49"/>
        <v>1046693.0534890308</v>
      </c>
      <c r="K306" s="18">
        <f t="shared" si="45"/>
        <v>244485.96720555826</v>
      </c>
      <c r="L306" s="18">
        <f t="shared" si="46"/>
        <v>1502207.0862834728</v>
      </c>
    </row>
    <row r="307" spans="1:12" x14ac:dyDescent="0.3">
      <c r="A307">
        <v>302</v>
      </c>
      <c r="B307" s="17">
        <v>54027</v>
      </c>
      <c r="C307" s="18">
        <f t="shared" si="47"/>
        <v>244485.96720555826</v>
      </c>
      <c r="D307" s="18">
        <f t="shared" si="40"/>
        <v>4990.7212168886126</v>
      </c>
      <c r="E307" s="18">
        <f t="shared" si="41"/>
        <v>3421.9362606529471</v>
      </c>
      <c r="F307" s="16">
        <f t="shared" si="42"/>
        <v>0.16795743165623214</v>
      </c>
      <c r="G307" s="18">
        <f t="shared" si="43"/>
        <v>1568.7849562356655</v>
      </c>
      <c r="H307" s="16">
        <f t="shared" si="44"/>
        <v>7.6999999999999999E-2</v>
      </c>
      <c r="I307" s="18">
        <f t="shared" si="48"/>
        <v>458935.96905509493</v>
      </c>
      <c r="J307" s="18">
        <f t="shared" si="49"/>
        <v>1048261.8384452665</v>
      </c>
      <c r="K307" s="18">
        <f t="shared" si="45"/>
        <v>241064.0309449053</v>
      </c>
      <c r="L307" s="18">
        <f t="shared" si="46"/>
        <v>1507197.8075003615</v>
      </c>
    </row>
    <row r="308" spans="1:12" x14ac:dyDescent="0.3">
      <c r="A308">
        <v>303</v>
      </c>
      <c r="B308" s="17">
        <v>54058</v>
      </c>
      <c r="C308" s="18">
        <f t="shared" si="47"/>
        <v>241064.0309449053</v>
      </c>
      <c r="D308" s="18">
        <f t="shared" si="40"/>
        <v>4990.7212168886126</v>
      </c>
      <c r="E308" s="18">
        <f t="shared" si="41"/>
        <v>3443.893684992137</v>
      </c>
      <c r="F308" s="16">
        <f t="shared" si="42"/>
        <v>0.17143463526232489</v>
      </c>
      <c r="G308" s="18">
        <f t="shared" si="43"/>
        <v>1546.8275318964756</v>
      </c>
      <c r="H308" s="16">
        <f t="shared" si="44"/>
        <v>7.6999999999999999E-2</v>
      </c>
      <c r="I308" s="18">
        <f t="shared" si="48"/>
        <v>462379.86274008709</v>
      </c>
      <c r="J308" s="18">
        <f t="shared" si="49"/>
        <v>1049808.665977163</v>
      </c>
      <c r="K308" s="18">
        <f t="shared" si="45"/>
        <v>237620.13725991317</v>
      </c>
      <c r="L308" s="18">
        <f t="shared" si="46"/>
        <v>1512188.5287172501</v>
      </c>
    </row>
    <row r="309" spans="1:12" x14ac:dyDescent="0.3">
      <c r="A309">
        <v>304</v>
      </c>
      <c r="B309" s="17">
        <v>54089</v>
      </c>
      <c r="C309" s="18">
        <f t="shared" si="47"/>
        <v>237620.13725991317</v>
      </c>
      <c r="D309" s="18">
        <f t="shared" si="40"/>
        <v>4990.7212168886126</v>
      </c>
      <c r="E309" s="18">
        <f t="shared" si="41"/>
        <v>3465.9920028041697</v>
      </c>
      <c r="F309" s="16">
        <f t="shared" si="42"/>
        <v>0.17503526642675099</v>
      </c>
      <c r="G309" s="18">
        <f t="shared" si="43"/>
        <v>1524.7292140844429</v>
      </c>
      <c r="H309" s="16">
        <f t="shared" si="44"/>
        <v>7.6999999999999999E-2</v>
      </c>
      <c r="I309" s="18">
        <f t="shared" si="48"/>
        <v>465845.85474289127</v>
      </c>
      <c r="J309" s="18">
        <f t="shared" si="49"/>
        <v>1051333.3951912473</v>
      </c>
      <c r="K309" s="18">
        <f t="shared" si="45"/>
        <v>234154.14525710899</v>
      </c>
      <c r="L309" s="18">
        <f t="shared" si="46"/>
        <v>1517179.2499341387</v>
      </c>
    </row>
    <row r="310" spans="1:12" x14ac:dyDescent="0.3">
      <c r="A310">
        <v>305</v>
      </c>
      <c r="B310" s="17">
        <v>54118</v>
      </c>
      <c r="C310" s="18">
        <f t="shared" si="47"/>
        <v>234154.14525710899</v>
      </c>
      <c r="D310" s="18">
        <f t="shared" si="40"/>
        <v>4990.7212168886126</v>
      </c>
      <c r="E310" s="18">
        <f t="shared" si="41"/>
        <v>3488.2321181554962</v>
      </c>
      <c r="F310" s="16">
        <f t="shared" si="42"/>
        <v>0.17876593801875096</v>
      </c>
      <c r="G310" s="18">
        <f t="shared" si="43"/>
        <v>1502.4890987331162</v>
      </c>
      <c r="H310" s="16">
        <f t="shared" si="44"/>
        <v>7.7000000000000013E-2</v>
      </c>
      <c r="I310" s="18">
        <f t="shared" si="48"/>
        <v>469334.08686104679</v>
      </c>
      <c r="J310" s="18">
        <f t="shared" si="49"/>
        <v>1052835.8842899804</v>
      </c>
      <c r="K310" s="18">
        <f t="shared" si="45"/>
        <v>230665.9131389535</v>
      </c>
      <c r="L310" s="18">
        <f t="shared" si="46"/>
        <v>1522169.9711510271</v>
      </c>
    </row>
    <row r="311" spans="1:12" x14ac:dyDescent="0.3">
      <c r="A311">
        <v>306</v>
      </c>
      <c r="B311" s="17">
        <v>54149</v>
      </c>
      <c r="C311" s="18">
        <f t="shared" si="47"/>
        <v>230665.9131389535</v>
      </c>
      <c r="D311" s="18">
        <f t="shared" si="40"/>
        <v>4990.7212168886126</v>
      </c>
      <c r="E311" s="18">
        <f t="shared" si="41"/>
        <v>3510.614940913661</v>
      </c>
      <c r="F311" s="16">
        <f t="shared" si="42"/>
        <v>0.18263374383186964</v>
      </c>
      <c r="G311" s="18">
        <f t="shared" si="43"/>
        <v>1480.1062759749516</v>
      </c>
      <c r="H311" s="16">
        <f t="shared" si="44"/>
        <v>7.6999999999999985E-2</v>
      </c>
      <c r="I311" s="18">
        <f t="shared" si="48"/>
        <v>472844.70180196047</v>
      </c>
      <c r="J311" s="18">
        <f t="shared" si="49"/>
        <v>1054315.9905659554</v>
      </c>
      <c r="K311" s="18">
        <f t="shared" si="45"/>
        <v>227155.29819803985</v>
      </c>
      <c r="L311" s="18">
        <f t="shared" si="46"/>
        <v>1527160.692367916</v>
      </c>
    </row>
    <row r="312" spans="1:12" x14ac:dyDescent="0.3">
      <c r="A312">
        <v>307</v>
      </c>
      <c r="B312" s="17">
        <v>54179</v>
      </c>
      <c r="C312" s="18">
        <f t="shared" si="47"/>
        <v>227155.29819803985</v>
      </c>
      <c r="D312" s="18">
        <f t="shared" si="40"/>
        <v>4990.7212168886126</v>
      </c>
      <c r="E312" s="18">
        <f t="shared" si="41"/>
        <v>3533.1413867845235</v>
      </c>
      <c r="F312" s="16">
        <f t="shared" si="42"/>
        <v>0.18664630311396424</v>
      </c>
      <c r="G312" s="18">
        <f t="shared" si="43"/>
        <v>1457.5798301040891</v>
      </c>
      <c r="H312" s="16">
        <f t="shared" si="44"/>
        <v>7.6999999999999999E-2</v>
      </c>
      <c r="I312" s="18">
        <f t="shared" si="48"/>
        <v>476377.84318874497</v>
      </c>
      <c r="J312" s="18">
        <f t="shared" si="49"/>
        <v>1055773.5703960594</v>
      </c>
      <c r="K312" s="18">
        <f t="shared" si="45"/>
        <v>223622.15681125532</v>
      </c>
      <c r="L312" s="18">
        <f t="shared" si="46"/>
        <v>1532151.4135848044</v>
      </c>
    </row>
    <row r="313" spans="1:12" x14ac:dyDescent="0.3">
      <c r="A313">
        <v>308</v>
      </c>
      <c r="B313" s="17">
        <v>54210</v>
      </c>
      <c r="C313" s="18">
        <f t="shared" si="47"/>
        <v>223622.15681125532</v>
      </c>
      <c r="D313" s="18">
        <f t="shared" si="40"/>
        <v>4990.7212168886126</v>
      </c>
      <c r="E313" s="18">
        <f t="shared" si="41"/>
        <v>3555.8123773497246</v>
      </c>
      <c r="F313" s="16">
        <f t="shared" si="42"/>
        <v>0.19081181013834603</v>
      </c>
      <c r="G313" s="18">
        <f t="shared" si="43"/>
        <v>1434.9088395388883</v>
      </c>
      <c r="H313" s="16">
        <f t="shared" si="44"/>
        <v>7.6999999999999999E-2</v>
      </c>
      <c r="I313" s="18">
        <f t="shared" si="48"/>
        <v>479933.65556609468</v>
      </c>
      <c r="J313" s="18">
        <f t="shared" si="49"/>
        <v>1057208.4792355984</v>
      </c>
      <c r="K313" s="18">
        <f t="shared" si="45"/>
        <v>220066.34443390559</v>
      </c>
      <c r="L313" s="18">
        <f t="shared" si="46"/>
        <v>1537142.134801693</v>
      </c>
    </row>
    <row r="314" spans="1:12" x14ac:dyDescent="0.3">
      <c r="A314">
        <v>309</v>
      </c>
      <c r="B314" s="17">
        <v>54240</v>
      </c>
      <c r="C314" s="18">
        <f t="shared" si="47"/>
        <v>220066.34443390559</v>
      </c>
      <c r="D314" s="18">
        <f t="shared" si="40"/>
        <v>4990.7212168886126</v>
      </c>
      <c r="E314" s="18">
        <f t="shared" si="41"/>
        <v>3578.6288401043848</v>
      </c>
      <c r="F314" s="16">
        <f t="shared" si="42"/>
        <v>0.19513908949466929</v>
      </c>
      <c r="G314" s="18">
        <f t="shared" si="43"/>
        <v>1412.0923767842276</v>
      </c>
      <c r="H314" s="16">
        <f t="shared" si="44"/>
        <v>7.6999999999999999E-2</v>
      </c>
      <c r="I314" s="18">
        <f t="shared" si="48"/>
        <v>483512.28440619906</v>
      </c>
      <c r="J314" s="18">
        <f t="shared" si="49"/>
        <v>1058620.5716123825</v>
      </c>
      <c r="K314" s="18">
        <f t="shared" si="45"/>
        <v>216487.7155938012</v>
      </c>
      <c r="L314" s="18">
        <f t="shared" si="46"/>
        <v>1542132.8560185817</v>
      </c>
    </row>
    <row r="315" spans="1:12" x14ac:dyDescent="0.3">
      <c r="A315">
        <v>310</v>
      </c>
      <c r="B315" s="17">
        <v>54271</v>
      </c>
      <c r="C315" s="18">
        <f t="shared" si="47"/>
        <v>216487.7155938012</v>
      </c>
      <c r="D315" s="18">
        <f t="shared" si="40"/>
        <v>4990.7212168886126</v>
      </c>
      <c r="E315" s="18">
        <f t="shared" si="41"/>
        <v>3601.5917084950552</v>
      </c>
      <c r="F315" s="16">
        <f t="shared" si="42"/>
        <v>0.19963765788463136</v>
      </c>
      <c r="G315" s="18">
        <f t="shared" si="43"/>
        <v>1389.1295083935577</v>
      </c>
      <c r="H315" s="16">
        <f t="shared" si="44"/>
        <v>7.6999999999999999E-2</v>
      </c>
      <c r="I315" s="18">
        <f t="shared" si="48"/>
        <v>487113.87611469411</v>
      </c>
      <c r="J315" s="18">
        <f t="shared" si="49"/>
        <v>1060009.7011207761</v>
      </c>
      <c r="K315" s="18">
        <f t="shared" si="45"/>
        <v>212886.12388530615</v>
      </c>
      <c r="L315" s="18">
        <f t="shared" si="46"/>
        <v>1547123.5772354703</v>
      </c>
    </row>
    <row r="316" spans="1:12" x14ac:dyDescent="0.3">
      <c r="A316">
        <v>311</v>
      </c>
      <c r="B316" s="17">
        <v>54302</v>
      </c>
      <c r="C316" s="18">
        <f t="shared" si="47"/>
        <v>212886.12388530615</v>
      </c>
      <c r="D316" s="18">
        <f t="shared" si="40"/>
        <v>4990.7212168886126</v>
      </c>
      <c r="E316" s="18">
        <f t="shared" si="41"/>
        <v>3624.7019219578979</v>
      </c>
      <c r="F316" s="16">
        <f t="shared" si="42"/>
        <v>0.20431779333315669</v>
      </c>
      <c r="G316" s="18">
        <f t="shared" si="43"/>
        <v>1366.0192949307145</v>
      </c>
      <c r="H316" s="16">
        <f t="shared" si="44"/>
        <v>7.6999999999999999E-2</v>
      </c>
      <c r="I316" s="18">
        <f t="shared" si="48"/>
        <v>490738.578036652</v>
      </c>
      <c r="J316" s="18">
        <f t="shared" si="49"/>
        <v>1061375.7204157067</v>
      </c>
      <c r="K316" s="18">
        <f t="shared" si="45"/>
        <v>209261.42196334826</v>
      </c>
      <c r="L316" s="18">
        <f t="shared" si="46"/>
        <v>1552114.2984523587</v>
      </c>
    </row>
    <row r="317" spans="1:12" x14ac:dyDescent="0.3">
      <c r="A317">
        <v>312</v>
      </c>
      <c r="B317" s="17">
        <v>54332</v>
      </c>
      <c r="C317" s="18">
        <f t="shared" si="47"/>
        <v>209261.42196334826</v>
      </c>
      <c r="D317" s="18">
        <f t="shared" si="40"/>
        <v>4990.7212168886126</v>
      </c>
      <c r="E317" s="18">
        <f t="shared" si="41"/>
        <v>3647.9604259571279</v>
      </c>
      <c r="F317" s="16">
        <f t="shared" si="42"/>
        <v>0.20919061287442048</v>
      </c>
      <c r="G317" s="18">
        <f t="shared" si="43"/>
        <v>1342.7607909314847</v>
      </c>
      <c r="H317" s="16">
        <f t="shared" si="44"/>
        <v>7.6999999999999999E-2</v>
      </c>
      <c r="I317" s="18">
        <f t="shared" si="48"/>
        <v>494386.53846260911</v>
      </c>
      <c r="J317" s="18">
        <f t="shared" si="49"/>
        <v>1062718.4812066383</v>
      </c>
      <c r="K317" s="18">
        <f t="shared" si="45"/>
        <v>205613.46153739112</v>
      </c>
      <c r="L317" s="18">
        <f t="shared" si="46"/>
        <v>1557105.0196692473</v>
      </c>
    </row>
    <row r="318" spans="1:12" x14ac:dyDescent="0.3">
      <c r="A318">
        <v>313</v>
      </c>
      <c r="B318" s="17">
        <v>54363</v>
      </c>
      <c r="C318" s="18">
        <f t="shared" si="47"/>
        <v>205613.46153739112</v>
      </c>
      <c r="D318" s="18">
        <f t="shared" si="40"/>
        <v>4990.7212168886126</v>
      </c>
      <c r="E318" s="18">
        <f t="shared" si="41"/>
        <v>3671.3681720236864</v>
      </c>
      <c r="F318" s="16">
        <f t="shared" si="42"/>
        <v>0.2142681599486253</v>
      </c>
      <c r="G318" s="18">
        <f t="shared" si="43"/>
        <v>1319.3530448649265</v>
      </c>
      <c r="H318" s="16">
        <f t="shared" si="44"/>
        <v>7.6999999999999999E-2</v>
      </c>
      <c r="I318" s="18">
        <f t="shared" si="48"/>
        <v>498057.90663463279</v>
      </c>
      <c r="J318" s="18">
        <f t="shared" si="49"/>
        <v>1064037.8342515032</v>
      </c>
      <c r="K318" s="18">
        <f t="shared" si="45"/>
        <v>201942.09336536744</v>
      </c>
      <c r="L318" s="18">
        <f t="shared" si="46"/>
        <v>1562095.740886136</v>
      </c>
    </row>
    <row r="319" spans="1:12" x14ac:dyDescent="0.3">
      <c r="A319">
        <v>314</v>
      </c>
      <c r="B319" s="17">
        <v>54393</v>
      </c>
      <c r="C319" s="18">
        <f t="shared" si="47"/>
        <v>201942.09336536744</v>
      </c>
      <c r="D319" s="18">
        <f t="shared" si="40"/>
        <v>4990.7212168886126</v>
      </c>
      <c r="E319" s="18">
        <f t="shared" si="41"/>
        <v>3694.9261177941717</v>
      </c>
      <c r="F319" s="16">
        <f t="shared" si="42"/>
        <v>0.2195635029558137</v>
      </c>
      <c r="G319" s="18">
        <f t="shared" si="43"/>
        <v>1295.7950990944412</v>
      </c>
      <c r="H319" s="16">
        <f t="shared" si="44"/>
        <v>7.6999999999999999E-2</v>
      </c>
      <c r="I319" s="18">
        <f t="shared" si="48"/>
        <v>501752.83275242697</v>
      </c>
      <c r="J319" s="18">
        <f t="shared" si="49"/>
        <v>1065333.6293505977</v>
      </c>
      <c r="K319" s="18">
        <f t="shared" si="45"/>
        <v>198247.16724757326</v>
      </c>
      <c r="L319" s="18">
        <f t="shared" si="46"/>
        <v>1567086.4621030246</v>
      </c>
    </row>
    <row r="320" spans="1:12" x14ac:dyDescent="0.3">
      <c r="A320">
        <v>315</v>
      </c>
      <c r="B320" s="17">
        <v>54424</v>
      </c>
      <c r="C320" s="18">
        <f t="shared" si="47"/>
        <v>198247.16724757326</v>
      </c>
      <c r="D320" s="18">
        <f t="shared" si="40"/>
        <v>4990.7212168886126</v>
      </c>
      <c r="E320" s="18">
        <f t="shared" si="41"/>
        <v>3718.6352270500174</v>
      </c>
      <c r="F320" s="16">
        <f t="shared" si="42"/>
        <v>0.22509084666452628</v>
      </c>
      <c r="G320" s="18">
        <f t="shared" si="43"/>
        <v>1272.0859898385952</v>
      </c>
      <c r="H320" s="16">
        <f t="shared" si="44"/>
        <v>7.6999999999999999E-2</v>
      </c>
      <c r="I320" s="18">
        <f t="shared" si="48"/>
        <v>505471.46797947696</v>
      </c>
      <c r="J320" s="18">
        <f t="shared" si="49"/>
        <v>1066605.7153404364</v>
      </c>
      <c r="K320" s="18">
        <f t="shared" si="45"/>
        <v>194528.53202052324</v>
      </c>
      <c r="L320" s="18">
        <f t="shared" si="46"/>
        <v>1572077.1833199135</v>
      </c>
    </row>
    <row r="321" spans="1:12" x14ac:dyDescent="0.3">
      <c r="A321">
        <v>316</v>
      </c>
      <c r="B321" s="17">
        <v>54455</v>
      </c>
      <c r="C321" s="18">
        <f t="shared" si="47"/>
        <v>194528.53202052324</v>
      </c>
      <c r="D321" s="18">
        <f t="shared" si="40"/>
        <v>4990.7212168886126</v>
      </c>
      <c r="E321" s="18">
        <f t="shared" si="41"/>
        <v>3742.4964697569217</v>
      </c>
      <c r="F321" s="16">
        <f t="shared" si="42"/>
        <v>0.23086565847494778</v>
      </c>
      <c r="G321" s="18">
        <f t="shared" si="43"/>
        <v>1248.2247471316909</v>
      </c>
      <c r="H321" s="16">
        <f t="shared" si="44"/>
        <v>7.7000000000000013E-2</v>
      </c>
      <c r="I321" s="18">
        <f t="shared" si="48"/>
        <v>509213.9644492339</v>
      </c>
      <c r="J321" s="18">
        <f t="shared" si="49"/>
        <v>1067853.940087568</v>
      </c>
      <c r="K321" s="18">
        <f t="shared" si="45"/>
        <v>190786.03555076633</v>
      </c>
      <c r="L321" s="18">
        <f t="shared" si="46"/>
        <v>1577067.9045368019</v>
      </c>
    </row>
    <row r="322" spans="1:12" x14ac:dyDescent="0.3">
      <c r="A322">
        <v>317</v>
      </c>
      <c r="B322" s="17">
        <v>54483</v>
      </c>
      <c r="C322" s="18">
        <f t="shared" si="47"/>
        <v>190786.03555076633</v>
      </c>
      <c r="D322" s="18">
        <f t="shared" si="40"/>
        <v>4990.7212168886126</v>
      </c>
      <c r="E322" s="18">
        <f t="shared" si="41"/>
        <v>3766.5108221045284</v>
      </c>
      <c r="F322" s="16">
        <f t="shared" si="42"/>
        <v>0.23690481189975537</v>
      </c>
      <c r="G322" s="18">
        <f t="shared" si="43"/>
        <v>1224.210394784084</v>
      </c>
      <c r="H322" s="16">
        <f t="shared" si="44"/>
        <v>7.6999999999999999E-2</v>
      </c>
      <c r="I322" s="18">
        <f t="shared" si="48"/>
        <v>512980.47527133842</v>
      </c>
      <c r="J322" s="18">
        <f t="shared" si="49"/>
        <v>1069078.1504823521</v>
      </c>
      <c r="K322" s="18">
        <f t="shared" si="45"/>
        <v>187019.52472866181</v>
      </c>
      <c r="L322" s="18">
        <f t="shared" si="46"/>
        <v>1582058.6257536905</v>
      </c>
    </row>
    <row r="323" spans="1:12" x14ac:dyDescent="0.3">
      <c r="A323">
        <v>318</v>
      </c>
      <c r="B323" s="17">
        <v>54514</v>
      </c>
      <c r="C323" s="18">
        <f t="shared" si="47"/>
        <v>187019.52472866181</v>
      </c>
      <c r="D323" s="18">
        <f t="shared" si="40"/>
        <v>4990.7212168886126</v>
      </c>
      <c r="E323" s="18">
        <f t="shared" si="41"/>
        <v>3790.6792665463659</v>
      </c>
      <c r="F323" s="16">
        <f t="shared" si="42"/>
        <v>0.24322675006555117</v>
      </c>
      <c r="G323" s="18">
        <f t="shared" si="43"/>
        <v>1200.0419503422468</v>
      </c>
      <c r="H323" s="16">
        <f t="shared" si="44"/>
        <v>7.7000000000000013E-2</v>
      </c>
      <c r="I323" s="18">
        <f t="shared" si="48"/>
        <v>516771.15453788481</v>
      </c>
      <c r="J323" s="18">
        <f t="shared" si="49"/>
        <v>1070278.1924326944</v>
      </c>
      <c r="K323" s="18">
        <f t="shared" si="45"/>
        <v>183228.84546211545</v>
      </c>
      <c r="L323" s="18">
        <f t="shared" si="46"/>
        <v>1587049.3469705791</v>
      </c>
    </row>
    <row r="324" spans="1:12" x14ac:dyDescent="0.3">
      <c r="A324">
        <v>319</v>
      </c>
      <c r="B324" s="17">
        <v>54544</v>
      </c>
      <c r="C324" s="18">
        <f t="shared" si="47"/>
        <v>183228.84546211545</v>
      </c>
      <c r="D324" s="18">
        <f t="shared" si="40"/>
        <v>4990.7212168886126</v>
      </c>
      <c r="E324" s="18">
        <f t="shared" si="41"/>
        <v>3815.0027918400383</v>
      </c>
      <c r="F324" s="16">
        <f t="shared" si="42"/>
        <v>0.24985167257164198</v>
      </c>
      <c r="G324" s="18">
        <f t="shared" si="43"/>
        <v>1175.7184250485741</v>
      </c>
      <c r="H324" s="16">
        <f t="shared" si="44"/>
        <v>7.6999999999999985E-2</v>
      </c>
      <c r="I324" s="18">
        <f t="shared" si="48"/>
        <v>520586.15732972487</v>
      </c>
      <c r="J324" s="18">
        <f t="shared" si="49"/>
        <v>1071453.9108577429</v>
      </c>
      <c r="K324" s="18">
        <f t="shared" si="45"/>
        <v>179413.84267027542</v>
      </c>
      <c r="L324" s="18">
        <f t="shared" si="46"/>
        <v>1592040.0681874678</v>
      </c>
    </row>
    <row r="325" spans="1:12" x14ac:dyDescent="0.3">
      <c r="A325">
        <v>320</v>
      </c>
      <c r="B325" s="17">
        <v>54575</v>
      </c>
      <c r="C325" s="18">
        <f t="shared" si="47"/>
        <v>179413.84267027542</v>
      </c>
      <c r="D325" s="18">
        <f t="shared" si="40"/>
        <v>4990.7212168886126</v>
      </c>
      <c r="E325" s="18">
        <f t="shared" si="41"/>
        <v>3839.4823930876787</v>
      </c>
      <c r="F325" s="16">
        <f t="shared" si="42"/>
        <v>0.25680174969400765</v>
      </c>
      <c r="G325" s="18">
        <f t="shared" si="43"/>
        <v>1151.2388238009339</v>
      </c>
      <c r="H325" s="16">
        <f t="shared" si="44"/>
        <v>7.6999999999999985E-2</v>
      </c>
      <c r="I325" s="18">
        <f t="shared" si="48"/>
        <v>524425.63972281257</v>
      </c>
      <c r="J325" s="18">
        <f t="shared" si="49"/>
        <v>1072605.1496815439</v>
      </c>
      <c r="K325" s="18">
        <f t="shared" si="45"/>
        <v>175574.36027718775</v>
      </c>
      <c r="L325" s="18">
        <f t="shared" si="46"/>
        <v>1597030.7894043564</v>
      </c>
    </row>
    <row r="326" spans="1:12" x14ac:dyDescent="0.3">
      <c r="A326">
        <v>321</v>
      </c>
      <c r="B326" s="17">
        <v>54605</v>
      </c>
      <c r="C326" s="18">
        <f t="shared" si="47"/>
        <v>175574.36027718775</v>
      </c>
      <c r="D326" s="18">
        <f t="shared" si="40"/>
        <v>4990.7212168886126</v>
      </c>
      <c r="E326" s="18">
        <f t="shared" si="41"/>
        <v>3864.1190717766576</v>
      </c>
      <c r="F326" s="16">
        <f t="shared" si="42"/>
        <v>0.2641013687198645</v>
      </c>
      <c r="G326" s="18">
        <f t="shared" si="43"/>
        <v>1126.6021451119548</v>
      </c>
      <c r="H326" s="16">
        <f t="shared" si="44"/>
        <v>7.6999999999999999E-2</v>
      </c>
      <c r="I326" s="18">
        <f t="shared" si="48"/>
        <v>528289.7587945892</v>
      </c>
      <c r="J326" s="18">
        <f t="shared" si="49"/>
        <v>1073731.7518266558</v>
      </c>
      <c r="K326" s="18">
        <f t="shared" si="45"/>
        <v>171710.24120541109</v>
      </c>
      <c r="L326" s="18">
        <f t="shared" si="46"/>
        <v>1602021.510621245</v>
      </c>
    </row>
    <row r="327" spans="1:12" x14ac:dyDescent="0.3">
      <c r="A327">
        <v>322</v>
      </c>
      <c r="B327" s="17">
        <v>54636</v>
      </c>
      <c r="C327" s="18">
        <f t="shared" si="47"/>
        <v>171710.24120541109</v>
      </c>
      <c r="D327" s="18">
        <f t="shared" ref="D327:D365" si="50">$C$6/((($E$2)-1)/($E$1*$E$2))</f>
        <v>4990.7212168886126</v>
      </c>
      <c r="E327" s="18">
        <f t="shared" ref="E327:E365" si="51">D327-G327</f>
        <v>3888.9138358205582</v>
      </c>
      <c r="F327" s="16">
        <f t="shared" ref="F327:F365" si="52">(E327/C327)*12</f>
        <v>0.27177741817985451</v>
      </c>
      <c r="G327" s="18">
        <f t="shared" ref="G327:G365" si="53">C327*($B$1/12)</f>
        <v>1101.8073810680546</v>
      </c>
      <c r="H327" s="16">
        <f t="shared" ref="H327:H365" si="54">(G327/C327)*12</f>
        <v>7.7000000000000013E-2</v>
      </c>
      <c r="I327" s="18">
        <f t="shared" si="48"/>
        <v>532178.67263040971</v>
      </c>
      <c r="J327" s="18">
        <f t="shared" si="49"/>
        <v>1074833.5592077239</v>
      </c>
      <c r="K327" s="18">
        <f t="shared" ref="K327:K365" si="55">C327-E327</f>
        <v>167821.32736959052</v>
      </c>
      <c r="L327" s="18">
        <f t="shared" ref="L327:L365" si="56">I327+J327</f>
        <v>1607012.2318381337</v>
      </c>
    </row>
    <row r="328" spans="1:12" x14ac:dyDescent="0.3">
      <c r="A328">
        <v>323</v>
      </c>
      <c r="B328" s="17">
        <v>54667</v>
      </c>
      <c r="C328" s="18">
        <f t="shared" ref="C328:C365" si="57">K327</f>
        <v>167821.32736959052</v>
      </c>
      <c r="D328" s="18">
        <f t="shared" si="50"/>
        <v>4990.7212168886126</v>
      </c>
      <c r="E328" s="18">
        <f t="shared" si="51"/>
        <v>3913.8676996004069</v>
      </c>
      <c r="F328" s="16">
        <f t="shared" si="52"/>
        <v>0.27985961695900202</v>
      </c>
      <c r="G328" s="18">
        <f t="shared" si="53"/>
        <v>1076.8535172882059</v>
      </c>
      <c r="H328" s="16">
        <f t="shared" si="54"/>
        <v>7.6999999999999999E-2</v>
      </c>
      <c r="I328" s="18">
        <f t="shared" ref="I328:I365" si="58">I327+E328</f>
        <v>536092.54033001012</v>
      </c>
      <c r="J328" s="18">
        <f t="shared" ref="J328:J364" si="59">J327+G328</f>
        <v>1075910.4127250121</v>
      </c>
      <c r="K328" s="18">
        <f t="shared" si="55"/>
        <v>163907.45966999012</v>
      </c>
      <c r="L328" s="18">
        <f t="shared" si="56"/>
        <v>1612002.9530550223</v>
      </c>
    </row>
    <row r="329" spans="1:12" x14ac:dyDescent="0.3">
      <c r="A329">
        <v>324</v>
      </c>
      <c r="B329" s="17">
        <v>54697</v>
      </c>
      <c r="C329" s="18">
        <f t="shared" si="57"/>
        <v>163907.45966999012</v>
      </c>
      <c r="D329" s="18">
        <f t="shared" si="50"/>
        <v>4990.7212168886126</v>
      </c>
      <c r="E329" s="18">
        <f t="shared" si="51"/>
        <v>3938.9816840061758</v>
      </c>
      <c r="F329" s="16">
        <f t="shared" si="52"/>
        <v>0.28838089677701462</v>
      </c>
      <c r="G329" s="18">
        <f t="shared" si="53"/>
        <v>1051.7395328824366</v>
      </c>
      <c r="H329" s="16">
        <f t="shared" si="54"/>
        <v>7.6999999999999999E-2</v>
      </c>
      <c r="I329" s="18">
        <f t="shared" si="58"/>
        <v>540031.52201401629</v>
      </c>
      <c r="J329" s="18">
        <f t="shared" si="59"/>
        <v>1076962.1522578944</v>
      </c>
      <c r="K329" s="18">
        <f t="shared" si="55"/>
        <v>159968.47798598395</v>
      </c>
      <c r="L329" s="18">
        <f t="shared" si="56"/>
        <v>1616993.6742719107</v>
      </c>
    </row>
    <row r="330" spans="1:12" x14ac:dyDescent="0.3">
      <c r="A330">
        <v>325</v>
      </c>
      <c r="B330" s="17">
        <v>54728</v>
      </c>
      <c r="C330" s="18">
        <f t="shared" si="57"/>
        <v>159968.47798598395</v>
      </c>
      <c r="D330" s="18">
        <f t="shared" si="50"/>
        <v>4990.7212168886126</v>
      </c>
      <c r="E330" s="18">
        <f t="shared" si="51"/>
        <v>3964.2568164785489</v>
      </c>
      <c r="F330" s="16">
        <f t="shared" si="52"/>
        <v>0.29737784841530246</v>
      </c>
      <c r="G330" s="18">
        <f t="shared" si="53"/>
        <v>1026.4644004100637</v>
      </c>
      <c r="H330" s="16">
        <f t="shared" si="54"/>
        <v>7.6999999999999999E-2</v>
      </c>
      <c r="I330" s="18">
        <f t="shared" si="58"/>
        <v>543995.77883049485</v>
      </c>
      <c r="J330" s="18">
        <f t="shared" si="59"/>
        <v>1077988.6166583044</v>
      </c>
      <c r="K330" s="18">
        <f t="shared" si="55"/>
        <v>156004.22116950538</v>
      </c>
      <c r="L330" s="18">
        <f t="shared" si="56"/>
        <v>1621984.3954887991</v>
      </c>
    </row>
    <row r="331" spans="1:12" x14ac:dyDescent="0.3">
      <c r="A331">
        <v>326</v>
      </c>
      <c r="B331" s="17">
        <v>54758</v>
      </c>
      <c r="C331" s="18">
        <f t="shared" si="57"/>
        <v>156004.22116950538</v>
      </c>
      <c r="D331" s="18">
        <f t="shared" si="50"/>
        <v>4990.7212168886126</v>
      </c>
      <c r="E331" s="18">
        <f t="shared" si="51"/>
        <v>3989.6941310509528</v>
      </c>
      <c r="F331" s="16">
        <f t="shared" si="52"/>
        <v>0.30689124444005728</v>
      </c>
      <c r="G331" s="18">
        <f t="shared" si="53"/>
        <v>1001.0270858376596</v>
      </c>
      <c r="H331" s="16">
        <f t="shared" si="54"/>
        <v>7.6999999999999999E-2</v>
      </c>
      <c r="I331" s="18">
        <f t="shared" si="58"/>
        <v>547985.47296154581</v>
      </c>
      <c r="J331" s="18">
        <f t="shared" si="59"/>
        <v>1078989.643744142</v>
      </c>
      <c r="K331" s="18">
        <f t="shared" si="55"/>
        <v>152014.52703845443</v>
      </c>
      <c r="L331" s="18">
        <f t="shared" si="56"/>
        <v>1626975.1167056877</v>
      </c>
    </row>
    <row r="332" spans="1:12" x14ac:dyDescent="0.3">
      <c r="A332">
        <v>327</v>
      </c>
      <c r="B332" s="17">
        <v>54789</v>
      </c>
      <c r="C332" s="18">
        <f t="shared" si="57"/>
        <v>152014.52703845443</v>
      </c>
      <c r="D332" s="18">
        <f t="shared" si="50"/>
        <v>4990.7212168886126</v>
      </c>
      <c r="E332" s="18">
        <f t="shared" si="51"/>
        <v>4015.2946683918635</v>
      </c>
      <c r="F332" s="16">
        <f t="shared" si="52"/>
        <v>0.3169666541705819</v>
      </c>
      <c r="G332" s="18">
        <f t="shared" si="53"/>
        <v>975.42654849674932</v>
      </c>
      <c r="H332" s="16">
        <f t="shared" si="54"/>
        <v>7.6999999999999999E-2</v>
      </c>
      <c r="I332" s="18">
        <f t="shared" si="58"/>
        <v>552000.76762993762</v>
      </c>
      <c r="J332" s="18">
        <f t="shared" si="59"/>
        <v>1079965.0702926388</v>
      </c>
      <c r="K332" s="18">
        <f t="shared" si="55"/>
        <v>147999.23237006256</v>
      </c>
      <c r="L332" s="18">
        <f t="shared" si="56"/>
        <v>1631965.8379225763</v>
      </c>
    </row>
    <row r="333" spans="1:12" x14ac:dyDescent="0.3">
      <c r="A333">
        <v>328</v>
      </c>
      <c r="B333" s="17">
        <v>54820</v>
      </c>
      <c r="C333" s="18">
        <f t="shared" si="57"/>
        <v>147999.23237006256</v>
      </c>
      <c r="D333" s="18">
        <f t="shared" si="50"/>
        <v>4990.7212168886126</v>
      </c>
      <c r="E333" s="18">
        <f t="shared" si="51"/>
        <v>4041.0594758473781</v>
      </c>
      <c r="F333" s="16">
        <f t="shared" si="52"/>
        <v>0.32765517046004422</v>
      </c>
      <c r="G333" s="18">
        <f t="shared" si="53"/>
        <v>949.66174104123479</v>
      </c>
      <c r="H333" s="16">
        <f t="shared" si="54"/>
        <v>7.6999999999999999E-2</v>
      </c>
      <c r="I333" s="18">
        <f t="shared" si="58"/>
        <v>556041.82710578502</v>
      </c>
      <c r="J333" s="18">
        <f t="shared" si="59"/>
        <v>1080914.7320336802</v>
      </c>
      <c r="K333" s="18">
        <f t="shared" si="55"/>
        <v>143958.17289421518</v>
      </c>
      <c r="L333" s="18">
        <f t="shared" si="56"/>
        <v>1636956.5591394652</v>
      </c>
    </row>
    <row r="334" spans="1:12" x14ac:dyDescent="0.3">
      <c r="A334">
        <v>329</v>
      </c>
      <c r="B334" s="17">
        <v>54848</v>
      </c>
      <c r="C334" s="18">
        <f t="shared" si="57"/>
        <v>143958.17289421518</v>
      </c>
      <c r="D334" s="18">
        <f t="shared" si="50"/>
        <v>4990.7212168886126</v>
      </c>
      <c r="E334" s="18">
        <f t="shared" si="51"/>
        <v>4066.9896074840653</v>
      </c>
      <c r="F334" s="16">
        <f t="shared" si="52"/>
        <v>0.33901427274762197</v>
      </c>
      <c r="G334" s="18">
        <f t="shared" si="53"/>
        <v>923.7316094045475</v>
      </c>
      <c r="H334" s="16">
        <f t="shared" si="54"/>
        <v>7.6999999999999999E-2</v>
      </c>
      <c r="I334" s="18">
        <f t="shared" si="58"/>
        <v>560108.8167132691</v>
      </c>
      <c r="J334" s="18">
        <f t="shared" si="59"/>
        <v>1081838.4636430847</v>
      </c>
      <c r="K334" s="18">
        <f t="shared" si="55"/>
        <v>139891.18328673113</v>
      </c>
      <c r="L334" s="18">
        <f t="shared" si="56"/>
        <v>1641947.2803563538</v>
      </c>
    </row>
    <row r="335" spans="1:12" x14ac:dyDescent="0.3">
      <c r="A335">
        <v>330</v>
      </c>
      <c r="B335" s="17">
        <v>54879</v>
      </c>
      <c r="C335" s="18">
        <f t="shared" si="57"/>
        <v>139891.18328673113</v>
      </c>
      <c r="D335" s="18">
        <f t="shared" si="50"/>
        <v>4990.7212168886126</v>
      </c>
      <c r="E335" s="18">
        <f t="shared" si="51"/>
        <v>4093.0861241320877</v>
      </c>
      <c r="F335" s="16">
        <f t="shared" si="52"/>
        <v>0.35110885715300022</v>
      </c>
      <c r="G335" s="18">
        <f t="shared" si="53"/>
        <v>897.63509275652484</v>
      </c>
      <c r="H335" s="16">
        <f t="shared" si="54"/>
        <v>7.6999999999999999E-2</v>
      </c>
      <c r="I335" s="18">
        <f t="shared" si="58"/>
        <v>564201.90283740114</v>
      </c>
      <c r="J335" s="18">
        <f t="shared" si="59"/>
        <v>1082736.0987358412</v>
      </c>
      <c r="K335" s="18">
        <f t="shared" si="55"/>
        <v>135798.09716259904</v>
      </c>
      <c r="L335" s="18">
        <f t="shared" si="56"/>
        <v>1646938.0015732422</v>
      </c>
    </row>
    <row r="336" spans="1:12" x14ac:dyDescent="0.3">
      <c r="A336">
        <v>331</v>
      </c>
      <c r="B336" s="17">
        <v>54909</v>
      </c>
      <c r="C336" s="18">
        <f t="shared" si="57"/>
        <v>135798.09716259904</v>
      </c>
      <c r="D336" s="18">
        <f t="shared" si="50"/>
        <v>4990.7212168886126</v>
      </c>
      <c r="E336" s="18">
        <f t="shared" si="51"/>
        <v>4119.3500934286021</v>
      </c>
      <c r="F336" s="16">
        <f t="shared" si="52"/>
        <v>0.36401247258976799</v>
      </c>
      <c r="G336" s="18">
        <f t="shared" si="53"/>
        <v>871.37112346001049</v>
      </c>
      <c r="H336" s="16">
        <f t="shared" si="54"/>
        <v>7.6999999999999999E-2</v>
      </c>
      <c r="I336" s="18">
        <f t="shared" si="58"/>
        <v>568321.25293082977</v>
      </c>
      <c r="J336" s="18">
        <f t="shared" si="59"/>
        <v>1083607.4698593013</v>
      </c>
      <c r="K336" s="18">
        <f t="shared" si="55"/>
        <v>131678.74706917044</v>
      </c>
      <c r="L336" s="18">
        <f t="shared" si="56"/>
        <v>1651928.7227901311</v>
      </c>
    </row>
    <row r="337" spans="1:12" x14ac:dyDescent="0.3">
      <c r="A337">
        <v>332</v>
      </c>
      <c r="B337" s="17">
        <v>54940</v>
      </c>
      <c r="C337" s="18">
        <f t="shared" si="57"/>
        <v>131678.74706917044</v>
      </c>
      <c r="D337" s="18">
        <f t="shared" si="50"/>
        <v>4990.7212168886126</v>
      </c>
      <c r="E337" s="18">
        <f t="shared" si="51"/>
        <v>4145.7825898614356</v>
      </c>
      <c r="F337" s="16">
        <f t="shared" si="52"/>
        <v>0.37780881262641441</v>
      </c>
      <c r="G337" s="18">
        <f t="shared" si="53"/>
        <v>844.93862702717695</v>
      </c>
      <c r="H337" s="16">
        <f t="shared" si="54"/>
        <v>7.6999999999999999E-2</v>
      </c>
      <c r="I337" s="18">
        <f t="shared" si="58"/>
        <v>572467.03552069119</v>
      </c>
      <c r="J337" s="18">
        <f t="shared" si="59"/>
        <v>1084452.4084863286</v>
      </c>
      <c r="K337" s="18">
        <f t="shared" si="55"/>
        <v>127532.964479309</v>
      </c>
      <c r="L337" s="18">
        <f t="shared" si="56"/>
        <v>1656919.4440070197</v>
      </c>
    </row>
    <row r="338" spans="1:12" x14ac:dyDescent="0.3">
      <c r="A338">
        <v>333</v>
      </c>
      <c r="B338" s="17">
        <v>54970</v>
      </c>
      <c r="C338" s="18">
        <f t="shared" si="57"/>
        <v>127532.964479309</v>
      </c>
      <c r="D338" s="18">
        <f t="shared" si="50"/>
        <v>4990.7212168886126</v>
      </c>
      <c r="E338" s="18">
        <f t="shared" si="51"/>
        <v>4172.3846948130467</v>
      </c>
      <c r="F338" s="16">
        <f t="shared" si="52"/>
        <v>0.39259352703182643</v>
      </c>
      <c r="G338" s="18">
        <f t="shared" si="53"/>
        <v>818.33652207556611</v>
      </c>
      <c r="H338" s="16">
        <f t="shared" si="54"/>
        <v>7.6999999999999999E-2</v>
      </c>
      <c r="I338" s="18">
        <f t="shared" si="58"/>
        <v>576639.42021550424</v>
      </c>
      <c r="J338" s="18">
        <f t="shared" si="59"/>
        <v>1085270.7450084041</v>
      </c>
      <c r="K338" s="18">
        <f t="shared" si="55"/>
        <v>123360.57978449595</v>
      </c>
      <c r="L338" s="18">
        <f t="shared" si="56"/>
        <v>1661910.1652239084</v>
      </c>
    </row>
    <row r="339" spans="1:12" x14ac:dyDescent="0.3">
      <c r="A339">
        <v>334</v>
      </c>
      <c r="B339" s="17">
        <v>55001</v>
      </c>
      <c r="C339" s="18">
        <f t="shared" si="57"/>
        <v>123360.57978449595</v>
      </c>
      <c r="D339" s="18">
        <f t="shared" si="50"/>
        <v>4990.7212168886126</v>
      </c>
      <c r="E339" s="18">
        <f t="shared" si="51"/>
        <v>4199.1574966047638</v>
      </c>
      <c r="F339" s="16">
        <f t="shared" si="52"/>
        <v>0.40847643588645172</v>
      </c>
      <c r="G339" s="18">
        <f t="shared" si="53"/>
        <v>791.56372028384897</v>
      </c>
      <c r="H339" s="16">
        <f t="shared" si="54"/>
        <v>7.6999999999999999E-2</v>
      </c>
      <c r="I339" s="18">
        <f t="shared" si="58"/>
        <v>580838.57771210896</v>
      </c>
      <c r="J339" s="18">
        <f t="shared" si="59"/>
        <v>1086062.3087286879</v>
      </c>
      <c r="K339" s="18">
        <f t="shared" si="55"/>
        <v>119161.42228789118</v>
      </c>
      <c r="L339" s="18">
        <f t="shared" si="56"/>
        <v>1666900.8864407968</v>
      </c>
    </row>
    <row r="340" spans="1:12" x14ac:dyDescent="0.3">
      <c r="A340">
        <v>335</v>
      </c>
      <c r="B340" s="17">
        <v>55032</v>
      </c>
      <c r="C340" s="18">
        <f t="shared" si="57"/>
        <v>119161.42228789118</v>
      </c>
      <c r="D340" s="18">
        <f t="shared" si="50"/>
        <v>4990.7212168886126</v>
      </c>
      <c r="E340" s="18">
        <f t="shared" si="51"/>
        <v>4226.1020905413106</v>
      </c>
      <c r="F340" s="16">
        <f t="shared" si="52"/>
        <v>0.42558425464219263</v>
      </c>
      <c r="G340" s="18">
        <f t="shared" si="53"/>
        <v>764.61912634730174</v>
      </c>
      <c r="H340" s="16">
        <f t="shared" si="54"/>
        <v>7.6999999999999999E-2</v>
      </c>
      <c r="I340" s="18">
        <f t="shared" si="58"/>
        <v>585064.67980265024</v>
      </c>
      <c r="J340" s="18">
        <f t="shared" si="59"/>
        <v>1086826.9278550353</v>
      </c>
      <c r="K340" s="18">
        <f t="shared" si="55"/>
        <v>114935.32019734987</v>
      </c>
      <c r="L340" s="18">
        <f t="shared" si="56"/>
        <v>1671891.6076576854</v>
      </c>
    </row>
    <row r="341" spans="1:12" x14ac:dyDescent="0.3">
      <c r="A341">
        <f>A340+1</f>
        <v>336</v>
      </c>
      <c r="B341" s="17"/>
      <c r="C341" s="18">
        <f t="shared" si="57"/>
        <v>114935.32019734987</v>
      </c>
      <c r="D341" s="18">
        <f t="shared" si="50"/>
        <v>4990.7212168886126</v>
      </c>
      <c r="E341" s="18">
        <f t="shared" si="51"/>
        <v>4253.2195789556172</v>
      </c>
      <c r="F341" s="16">
        <f t="shared" si="52"/>
        <v>0.44406397319667656</v>
      </c>
      <c r="G341" s="18">
        <f t="shared" si="53"/>
        <v>737.50163793299498</v>
      </c>
      <c r="H341" s="16">
        <f t="shared" si="54"/>
        <v>7.6999999999999999E-2</v>
      </c>
      <c r="I341" s="18">
        <f t="shared" si="58"/>
        <v>589317.89938160591</v>
      </c>
      <c r="J341" s="18">
        <f t="shared" si="59"/>
        <v>1087564.4294929684</v>
      </c>
      <c r="K341" s="18">
        <f t="shared" si="55"/>
        <v>110682.10061839425</v>
      </c>
      <c r="L341" s="18">
        <f t="shared" si="56"/>
        <v>1676882.3288745743</v>
      </c>
    </row>
    <row r="342" spans="1:12" x14ac:dyDescent="0.3">
      <c r="A342">
        <f t="shared" ref="A342:A365" si="60">A341+1</f>
        <v>337</v>
      </c>
      <c r="B342" s="17"/>
      <c r="C342" s="18">
        <f t="shared" si="57"/>
        <v>110682.10061839425</v>
      </c>
      <c r="D342" s="18">
        <f t="shared" si="50"/>
        <v>4990.7212168886126</v>
      </c>
      <c r="E342" s="18">
        <f t="shared" si="51"/>
        <v>4280.5110712539163</v>
      </c>
      <c r="F342" s="16">
        <f t="shared" si="52"/>
        <v>0.46408707973609292</v>
      </c>
      <c r="G342" s="18">
        <f t="shared" si="53"/>
        <v>710.21014563469646</v>
      </c>
      <c r="H342" s="16">
        <f t="shared" si="54"/>
        <v>7.6999999999999999E-2</v>
      </c>
      <c r="I342" s="18">
        <f t="shared" si="58"/>
        <v>593598.41045285983</v>
      </c>
      <c r="J342" s="18">
        <f t="shared" si="59"/>
        <v>1088274.639638603</v>
      </c>
      <c r="K342" s="18">
        <f t="shared" si="55"/>
        <v>106401.58954714033</v>
      </c>
      <c r="L342" s="18">
        <f t="shared" si="56"/>
        <v>1681873.0500914627</v>
      </c>
    </row>
    <row r="343" spans="1:12" x14ac:dyDescent="0.3">
      <c r="A343">
        <f t="shared" si="60"/>
        <v>338</v>
      </c>
      <c r="B343" s="17"/>
      <c r="C343" s="18">
        <f t="shared" si="57"/>
        <v>106401.58954714033</v>
      </c>
      <c r="D343" s="18">
        <f t="shared" si="50"/>
        <v>4990.7212168886126</v>
      </c>
      <c r="E343" s="18">
        <f t="shared" si="51"/>
        <v>4307.9776839611286</v>
      </c>
      <c r="F343" s="16">
        <f t="shared" si="52"/>
        <v>0.48585488645007679</v>
      </c>
      <c r="G343" s="18">
        <f t="shared" si="53"/>
        <v>682.74353292748378</v>
      </c>
      <c r="H343" s="16">
        <f t="shared" si="54"/>
        <v>7.6999999999999985E-2</v>
      </c>
      <c r="I343" s="18">
        <f t="shared" si="58"/>
        <v>597906.38813682098</v>
      </c>
      <c r="J343" s="18">
        <f t="shared" si="59"/>
        <v>1088957.3831715304</v>
      </c>
      <c r="K343" s="18">
        <f t="shared" si="55"/>
        <v>102093.61186317921</v>
      </c>
      <c r="L343" s="18">
        <f t="shared" si="56"/>
        <v>1686863.7713083513</v>
      </c>
    </row>
    <row r="344" spans="1:12" x14ac:dyDescent="0.3">
      <c r="A344">
        <f t="shared" si="60"/>
        <v>339</v>
      </c>
      <c r="B344" s="17"/>
      <c r="C344" s="18">
        <f t="shared" si="57"/>
        <v>102093.61186317921</v>
      </c>
      <c r="D344" s="18">
        <f t="shared" si="50"/>
        <v>4990.7212168886126</v>
      </c>
      <c r="E344" s="18">
        <f t="shared" si="51"/>
        <v>4335.6205407665457</v>
      </c>
      <c r="F344" s="16">
        <f t="shared" si="52"/>
        <v>0.50960530771428825</v>
      </c>
      <c r="G344" s="18">
        <f t="shared" si="53"/>
        <v>655.1006761220666</v>
      </c>
      <c r="H344" s="16">
        <f t="shared" si="54"/>
        <v>7.6999999999999999E-2</v>
      </c>
      <c r="I344" s="18">
        <f t="shared" si="58"/>
        <v>602242.0086775875</v>
      </c>
      <c r="J344" s="18">
        <f t="shared" si="59"/>
        <v>1089612.4838476526</v>
      </c>
      <c r="K344" s="18">
        <f t="shared" si="55"/>
        <v>97757.991322412665</v>
      </c>
      <c r="L344" s="18">
        <f t="shared" si="56"/>
        <v>1691854.4925252399</v>
      </c>
    </row>
    <row r="345" spans="1:12" x14ac:dyDescent="0.3">
      <c r="A345">
        <f t="shared" si="60"/>
        <v>340</v>
      </c>
      <c r="B345" s="17"/>
      <c r="C345" s="18">
        <f t="shared" si="57"/>
        <v>97757.991322412665</v>
      </c>
      <c r="D345" s="18">
        <f t="shared" si="50"/>
        <v>4990.7212168886126</v>
      </c>
      <c r="E345" s="18">
        <f t="shared" si="51"/>
        <v>4363.4407725697984</v>
      </c>
      <c r="F345" s="16">
        <f t="shared" si="52"/>
        <v>0.53562157489658724</v>
      </c>
      <c r="G345" s="18">
        <f t="shared" si="53"/>
        <v>627.2804443188146</v>
      </c>
      <c r="H345" s="16">
        <f t="shared" si="54"/>
        <v>7.6999999999999999E-2</v>
      </c>
      <c r="I345" s="18">
        <f t="shared" si="58"/>
        <v>606605.44945015735</v>
      </c>
      <c r="J345" s="18">
        <f t="shared" si="59"/>
        <v>1090239.7642919715</v>
      </c>
      <c r="K345" s="18">
        <f t="shared" si="55"/>
        <v>93394.550549842868</v>
      </c>
      <c r="L345" s="18">
        <f t="shared" si="56"/>
        <v>1696845.2137421288</v>
      </c>
    </row>
    <row r="346" spans="1:12" x14ac:dyDescent="0.3">
      <c r="A346">
        <f t="shared" si="60"/>
        <v>341</v>
      </c>
      <c r="B346" s="17"/>
      <c r="C346" s="18">
        <f t="shared" si="57"/>
        <v>93394.550549842868</v>
      </c>
      <c r="D346" s="18">
        <f t="shared" si="50"/>
        <v>4990.7212168886126</v>
      </c>
      <c r="E346" s="18">
        <f t="shared" si="51"/>
        <v>4391.4395175271211</v>
      </c>
      <c r="F346" s="16">
        <f t="shared" si="52"/>
        <v>0.56424356560506106</v>
      </c>
      <c r="G346" s="18">
        <f t="shared" si="53"/>
        <v>599.28169936149175</v>
      </c>
      <c r="H346" s="16">
        <f t="shared" si="54"/>
        <v>7.6999999999999999E-2</v>
      </c>
      <c r="I346" s="18">
        <f t="shared" si="58"/>
        <v>610996.88896768447</v>
      </c>
      <c r="J346" s="18">
        <f t="shared" si="59"/>
        <v>1090839.045991333</v>
      </c>
      <c r="K346" s="18">
        <f t="shared" si="55"/>
        <v>89003.111032315748</v>
      </c>
      <c r="L346" s="18">
        <f t="shared" si="56"/>
        <v>1701835.9349590174</v>
      </c>
    </row>
    <row r="347" spans="1:12" x14ac:dyDescent="0.3">
      <c r="A347">
        <f t="shared" si="60"/>
        <v>342</v>
      </c>
      <c r="B347" s="17"/>
      <c r="C347" s="18">
        <f t="shared" si="57"/>
        <v>89003.111032315748</v>
      </c>
      <c r="D347" s="18">
        <f t="shared" si="50"/>
        <v>4990.7212168886126</v>
      </c>
      <c r="E347" s="18">
        <f t="shared" si="51"/>
        <v>4419.6179210979199</v>
      </c>
      <c r="F347" s="16">
        <f t="shared" si="52"/>
        <v>0.59588271059332576</v>
      </c>
      <c r="G347" s="18">
        <f t="shared" si="53"/>
        <v>571.10329579069275</v>
      </c>
      <c r="H347" s="16">
        <f t="shared" si="54"/>
        <v>7.6999999999999999E-2</v>
      </c>
      <c r="I347" s="18">
        <f t="shared" si="58"/>
        <v>615416.50688878237</v>
      </c>
      <c r="J347" s="18">
        <f t="shared" si="59"/>
        <v>1091410.1492871237</v>
      </c>
      <c r="K347" s="18">
        <f t="shared" si="55"/>
        <v>84583.493111217831</v>
      </c>
      <c r="L347" s="18">
        <f t="shared" si="56"/>
        <v>1706826.6561759061</v>
      </c>
    </row>
    <row r="348" spans="1:12" x14ac:dyDescent="0.3">
      <c r="A348">
        <f t="shared" si="60"/>
        <v>343</v>
      </c>
      <c r="B348" s="17"/>
      <c r="C348" s="18">
        <f t="shared" si="57"/>
        <v>84583.493111217831</v>
      </c>
      <c r="D348" s="18">
        <f t="shared" si="50"/>
        <v>4990.7212168886126</v>
      </c>
      <c r="E348" s="18">
        <f t="shared" si="51"/>
        <v>4447.9771360916311</v>
      </c>
      <c r="F348" s="16">
        <f t="shared" si="52"/>
        <v>0.63104186963426145</v>
      </c>
      <c r="G348" s="18">
        <f t="shared" si="53"/>
        <v>542.74408079698105</v>
      </c>
      <c r="H348" s="16">
        <f t="shared" si="54"/>
        <v>7.6999999999999985E-2</v>
      </c>
      <c r="I348" s="18">
        <f t="shared" si="58"/>
        <v>619864.48402487405</v>
      </c>
      <c r="J348" s="18">
        <f t="shared" si="59"/>
        <v>1091952.8933679208</v>
      </c>
      <c r="K348" s="18">
        <f t="shared" si="55"/>
        <v>80135.515975126196</v>
      </c>
      <c r="L348" s="18">
        <f t="shared" si="56"/>
        <v>1711817.3773927949</v>
      </c>
    </row>
    <row r="349" spans="1:12" x14ac:dyDescent="0.3">
      <c r="A349">
        <f t="shared" si="60"/>
        <v>344</v>
      </c>
      <c r="B349" s="17"/>
      <c r="C349" s="18">
        <f t="shared" si="57"/>
        <v>80135.515975126196</v>
      </c>
      <c r="D349" s="18">
        <f t="shared" si="50"/>
        <v>4990.7212168886126</v>
      </c>
      <c r="E349" s="18">
        <f t="shared" si="51"/>
        <v>4476.5183227148864</v>
      </c>
      <c r="F349" s="16">
        <f t="shared" si="52"/>
        <v>0.67034222240800945</v>
      </c>
      <c r="G349" s="18">
        <f t="shared" si="53"/>
        <v>514.20289417372646</v>
      </c>
      <c r="H349" s="16">
        <f t="shared" si="54"/>
        <v>7.6999999999999999E-2</v>
      </c>
      <c r="I349" s="18">
        <f t="shared" si="58"/>
        <v>624341.00234758889</v>
      </c>
      <c r="J349" s="18">
        <f t="shared" si="59"/>
        <v>1092467.0962620946</v>
      </c>
      <c r="K349" s="18">
        <f t="shared" si="55"/>
        <v>75658.997652411315</v>
      </c>
      <c r="L349" s="18">
        <f t="shared" si="56"/>
        <v>1716808.0986096836</v>
      </c>
    </row>
    <row r="350" spans="1:12" x14ac:dyDescent="0.3">
      <c r="A350">
        <f t="shared" si="60"/>
        <v>345</v>
      </c>
      <c r="B350" s="17"/>
      <c r="C350" s="18">
        <f t="shared" si="57"/>
        <v>75658.997652411315</v>
      </c>
      <c r="D350" s="18">
        <f t="shared" si="50"/>
        <v>4990.7212168886126</v>
      </c>
      <c r="E350" s="18">
        <f t="shared" si="51"/>
        <v>4505.2426486189734</v>
      </c>
      <c r="F350" s="16">
        <f t="shared" si="52"/>
        <v>0.7145602434729672</v>
      </c>
      <c r="G350" s="18">
        <f t="shared" si="53"/>
        <v>485.47856826963931</v>
      </c>
      <c r="H350" s="16">
        <f t="shared" si="54"/>
        <v>7.6999999999999999E-2</v>
      </c>
      <c r="I350" s="18">
        <f t="shared" si="58"/>
        <v>628846.24499620788</v>
      </c>
      <c r="J350" s="18">
        <f t="shared" si="59"/>
        <v>1092952.5748303642</v>
      </c>
      <c r="K350" s="18">
        <f t="shared" si="55"/>
        <v>71153.755003792336</v>
      </c>
      <c r="L350" s="18">
        <f t="shared" si="56"/>
        <v>1721798.8198265722</v>
      </c>
    </row>
    <row r="351" spans="1:12" x14ac:dyDescent="0.3">
      <c r="A351">
        <f t="shared" si="60"/>
        <v>346</v>
      </c>
      <c r="B351" s="17"/>
      <c r="C351" s="18">
        <f t="shared" si="57"/>
        <v>71153.755003792336</v>
      </c>
      <c r="D351" s="18">
        <f t="shared" si="50"/>
        <v>4990.7212168886126</v>
      </c>
      <c r="E351" s="18">
        <f t="shared" si="51"/>
        <v>4534.1512889476116</v>
      </c>
      <c r="F351" s="16">
        <f t="shared" si="52"/>
        <v>0.76467946722518598</v>
      </c>
      <c r="G351" s="18">
        <f t="shared" si="53"/>
        <v>456.56992794100086</v>
      </c>
      <c r="H351" s="16">
        <f t="shared" si="54"/>
        <v>7.6999999999999999E-2</v>
      </c>
      <c r="I351" s="18">
        <f t="shared" si="58"/>
        <v>633380.39628515544</v>
      </c>
      <c r="J351" s="18">
        <f t="shared" si="59"/>
        <v>1093409.1447583053</v>
      </c>
      <c r="K351" s="18">
        <f t="shared" si="55"/>
        <v>66619.603714844721</v>
      </c>
      <c r="L351" s="18">
        <f t="shared" si="56"/>
        <v>1726789.5410434608</v>
      </c>
    </row>
    <row r="352" spans="1:12" x14ac:dyDescent="0.3">
      <c r="A352">
        <f t="shared" si="60"/>
        <v>347</v>
      </c>
      <c r="B352" s="17"/>
      <c r="C352" s="18">
        <f t="shared" si="57"/>
        <v>66619.603714844721</v>
      </c>
      <c r="D352" s="18">
        <f t="shared" si="50"/>
        <v>4990.7212168886126</v>
      </c>
      <c r="E352" s="18">
        <f t="shared" si="51"/>
        <v>4563.2454263850259</v>
      </c>
      <c r="F352" s="16">
        <f t="shared" si="52"/>
        <v>0.8219644378403661</v>
      </c>
      <c r="G352" s="18">
        <f t="shared" si="53"/>
        <v>427.47579050358695</v>
      </c>
      <c r="H352" s="16">
        <f t="shared" si="54"/>
        <v>7.6999999999999999E-2</v>
      </c>
      <c r="I352" s="18">
        <f t="shared" si="58"/>
        <v>637943.64171154052</v>
      </c>
      <c r="J352" s="18">
        <f t="shared" si="59"/>
        <v>1093836.6205488089</v>
      </c>
      <c r="K352" s="18">
        <f t="shared" si="55"/>
        <v>62056.358288459698</v>
      </c>
      <c r="L352" s="18">
        <f t="shared" si="56"/>
        <v>1731780.2622603495</v>
      </c>
    </row>
    <row r="353" spans="1:12" x14ac:dyDescent="0.3">
      <c r="A353">
        <f t="shared" si="60"/>
        <v>348</v>
      </c>
      <c r="B353" s="17"/>
      <c r="C353" s="18">
        <f t="shared" si="57"/>
        <v>62056.358288459698</v>
      </c>
      <c r="D353" s="18">
        <f t="shared" si="50"/>
        <v>4990.7212168886126</v>
      </c>
      <c r="E353" s="18">
        <f t="shared" si="51"/>
        <v>4592.5262512043291</v>
      </c>
      <c r="F353" s="16">
        <f t="shared" si="52"/>
        <v>0.88806878995831329</v>
      </c>
      <c r="G353" s="18">
        <f t="shared" si="53"/>
        <v>398.19496568428309</v>
      </c>
      <c r="H353" s="16">
        <f t="shared" si="54"/>
        <v>7.6999999999999999E-2</v>
      </c>
      <c r="I353" s="18">
        <f t="shared" si="58"/>
        <v>642536.16796274483</v>
      </c>
      <c r="J353" s="18">
        <f t="shared" si="59"/>
        <v>1094234.8155144933</v>
      </c>
      <c r="K353" s="18">
        <f t="shared" si="55"/>
        <v>57463.832037255372</v>
      </c>
      <c r="L353" s="18">
        <f t="shared" si="56"/>
        <v>1736770.9834772381</v>
      </c>
    </row>
    <row r="354" spans="1:12" x14ac:dyDescent="0.3">
      <c r="A354">
        <f t="shared" si="60"/>
        <v>349</v>
      </c>
      <c r="B354" s="17"/>
      <c r="C354" s="18">
        <f t="shared" si="57"/>
        <v>57463.832037255372</v>
      </c>
      <c r="D354" s="18">
        <f t="shared" si="50"/>
        <v>4990.7212168886126</v>
      </c>
      <c r="E354" s="18">
        <f t="shared" si="51"/>
        <v>4621.9949613162244</v>
      </c>
      <c r="F354" s="16">
        <f t="shared" si="52"/>
        <v>0.96519736970962711</v>
      </c>
      <c r="G354" s="18">
        <f t="shared" si="53"/>
        <v>368.72625557238865</v>
      </c>
      <c r="H354" s="16">
        <f t="shared" si="54"/>
        <v>7.6999999999999999E-2</v>
      </c>
      <c r="I354" s="18">
        <f t="shared" si="58"/>
        <v>647158.16292406106</v>
      </c>
      <c r="J354" s="18">
        <f t="shared" si="59"/>
        <v>1094603.5417700657</v>
      </c>
      <c r="K354" s="18">
        <f t="shared" si="55"/>
        <v>52841.837075939147</v>
      </c>
      <c r="L354" s="18">
        <f t="shared" si="56"/>
        <v>1741761.7046941267</v>
      </c>
    </row>
    <row r="355" spans="1:12" x14ac:dyDescent="0.3">
      <c r="A355">
        <f t="shared" si="60"/>
        <v>350</v>
      </c>
      <c r="B355" s="17"/>
      <c r="C355" s="18">
        <f t="shared" si="57"/>
        <v>52841.837075939147</v>
      </c>
      <c r="D355" s="18">
        <f t="shared" si="50"/>
        <v>4990.7212168886126</v>
      </c>
      <c r="E355" s="18">
        <f t="shared" si="51"/>
        <v>4651.6527623180027</v>
      </c>
      <c r="F355" s="16">
        <f t="shared" si="52"/>
        <v>1.0563567853933087</v>
      </c>
      <c r="G355" s="18">
        <f t="shared" si="53"/>
        <v>339.06845457060956</v>
      </c>
      <c r="H355" s="16">
        <f t="shared" si="54"/>
        <v>7.6999999999999999E-2</v>
      </c>
      <c r="I355" s="18">
        <f t="shared" si="58"/>
        <v>651809.81568637909</v>
      </c>
      <c r="J355" s="18">
        <f t="shared" si="59"/>
        <v>1094942.6102246363</v>
      </c>
      <c r="K355" s="18">
        <f t="shared" si="55"/>
        <v>48190.184313621146</v>
      </c>
      <c r="L355" s="18">
        <f t="shared" si="56"/>
        <v>1746752.4259110154</v>
      </c>
    </row>
    <row r="356" spans="1:12" x14ac:dyDescent="0.3">
      <c r="A356">
        <f t="shared" si="60"/>
        <v>351</v>
      </c>
      <c r="B356" s="17"/>
      <c r="C356" s="18">
        <f t="shared" si="57"/>
        <v>48190.184313621146</v>
      </c>
      <c r="D356" s="18">
        <f t="shared" si="50"/>
        <v>4990.7212168886126</v>
      </c>
      <c r="E356" s="18">
        <f t="shared" si="51"/>
        <v>4681.5008675428771</v>
      </c>
      <c r="F356" s="16">
        <f t="shared" si="52"/>
        <v>1.1657562885609383</v>
      </c>
      <c r="G356" s="18">
        <f t="shared" si="53"/>
        <v>309.22034934573571</v>
      </c>
      <c r="H356" s="16">
        <f t="shared" si="54"/>
        <v>7.6999999999999999E-2</v>
      </c>
      <c r="I356" s="18">
        <f t="shared" si="58"/>
        <v>656491.31655392202</v>
      </c>
      <c r="J356" s="18">
        <f t="shared" si="59"/>
        <v>1095251.8305739821</v>
      </c>
      <c r="K356" s="18">
        <f t="shared" si="55"/>
        <v>43508.68344607827</v>
      </c>
      <c r="L356" s="18">
        <f t="shared" si="56"/>
        <v>1751743.147127904</v>
      </c>
    </row>
    <row r="357" spans="1:12" x14ac:dyDescent="0.3">
      <c r="A357">
        <f t="shared" si="60"/>
        <v>352</v>
      </c>
      <c r="B357" s="17"/>
      <c r="C357" s="18">
        <f t="shared" si="57"/>
        <v>43508.68344607827</v>
      </c>
      <c r="D357" s="18">
        <f t="shared" si="50"/>
        <v>4990.7212168886126</v>
      </c>
      <c r="E357" s="18">
        <f t="shared" si="51"/>
        <v>4711.5404981096108</v>
      </c>
      <c r="F357" s="16">
        <f t="shared" si="52"/>
        <v>1.299475909156969</v>
      </c>
      <c r="G357" s="18">
        <f t="shared" si="53"/>
        <v>279.18071877900223</v>
      </c>
      <c r="H357" s="16">
        <f t="shared" si="54"/>
        <v>7.6999999999999999E-2</v>
      </c>
      <c r="I357" s="18">
        <f t="shared" si="58"/>
        <v>661202.85705203167</v>
      </c>
      <c r="J357" s="18">
        <f t="shared" si="59"/>
        <v>1095531.0112927612</v>
      </c>
      <c r="K357" s="18">
        <f t="shared" si="55"/>
        <v>38797.142947968663</v>
      </c>
      <c r="L357" s="18">
        <f t="shared" si="56"/>
        <v>1756733.8683447929</v>
      </c>
    </row>
    <row r="358" spans="1:12" x14ac:dyDescent="0.3">
      <c r="A358">
        <f t="shared" si="60"/>
        <v>353</v>
      </c>
      <c r="B358" s="17"/>
      <c r="C358" s="18">
        <f t="shared" si="57"/>
        <v>38797.142947968663</v>
      </c>
      <c r="D358" s="18">
        <f t="shared" si="50"/>
        <v>4990.7212168886126</v>
      </c>
      <c r="E358" s="18">
        <f t="shared" si="51"/>
        <v>4741.7728829724801</v>
      </c>
      <c r="F358" s="16">
        <f t="shared" si="52"/>
        <v>1.4666356920142489</v>
      </c>
      <c r="G358" s="18">
        <f t="shared" si="53"/>
        <v>248.94833391613227</v>
      </c>
      <c r="H358" s="16">
        <f t="shared" si="54"/>
        <v>7.6999999999999999E-2</v>
      </c>
      <c r="I358" s="18">
        <f t="shared" si="58"/>
        <v>665944.62993500417</v>
      </c>
      <c r="J358" s="18">
        <f t="shared" si="59"/>
        <v>1095779.9596266772</v>
      </c>
      <c r="K358" s="18">
        <f t="shared" si="55"/>
        <v>34055.370064996183</v>
      </c>
      <c r="L358" s="18">
        <f t="shared" si="56"/>
        <v>1761724.5895616813</v>
      </c>
    </row>
    <row r="359" spans="1:12" x14ac:dyDescent="0.3">
      <c r="A359">
        <f t="shared" si="60"/>
        <v>354</v>
      </c>
      <c r="B359" s="17"/>
      <c r="C359" s="18">
        <f t="shared" si="57"/>
        <v>34055.370064996183</v>
      </c>
      <c r="D359" s="18">
        <f t="shared" si="50"/>
        <v>4990.7212168886126</v>
      </c>
      <c r="E359" s="18">
        <f t="shared" si="51"/>
        <v>4772.1992589715537</v>
      </c>
      <c r="F359" s="16">
        <f t="shared" si="52"/>
        <v>1.6815671360599871</v>
      </c>
      <c r="G359" s="18">
        <f t="shared" si="53"/>
        <v>218.52195791705884</v>
      </c>
      <c r="H359" s="16">
        <f t="shared" si="54"/>
        <v>7.6999999999999999E-2</v>
      </c>
      <c r="I359" s="18">
        <f t="shared" si="58"/>
        <v>670716.82919397578</v>
      </c>
      <c r="J359" s="18">
        <f t="shared" si="59"/>
        <v>1095998.4815845944</v>
      </c>
      <c r="K359" s="18">
        <f t="shared" si="55"/>
        <v>29283.170806024631</v>
      </c>
      <c r="L359" s="18">
        <f t="shared" si="56"/>
        <v>1766715.3107785701</v>
      </c>
    </row>
    <row r="360" spans="1:12" x14ac:dyDescent="0.3">
      <c r="A360">
        <f t="shared" si="60"/>
        <v>355</v>
      </c>
      <c r="B360" s="17"/>
      <c r="C360" s="18">
        <f t="shared" si="57"/>
        <v>29283.170806024631</v>
      </c>
      <c r="D360" s="18">
        <f t="shared" si="50"/>
        <v>4990.7212168886126</v>
      </c>
      <c r="E360" s="18">
        <f t="shared" si="51"/>
        <v>4802.8208708832881</v>
      </c>
      <c r="F360" s="16">
        <f t="shared" si="52"/>
        <v>1.9681560727276857</v>
      </c>
      <c r="G360" s="18">
        <f t="shared" si="53"/>
        <v>187.90034600532474</v>
      </c>
      <c r="H360" s="16">
        <f t="shared" si="54"/>
        <v>7.7000000000000013E-2</v>
      </c>
      <c r="I360" s="18">
        <f t="shared" si="58"/>
        <v>675519.65006485907</v>
      </c>
      <c r="J360" s="18">
        <f t="shared" si="59"/>
        <v>1096186.3819305997</v>
      </c>
      <c r="K360" s="18">
        <f t="shared" si="55"/>
        <v>24480.349935141341</v>
      </c>
      <c r="L360" s="18">
        <f t="shared" si="56"/>
        <v>1771706.0319954588</v>
      </c>
    </row>
    <row r="361" spans="1:12" x14ac:dyDescent="0.3">
      <c r="A361">
        <f t="shared" si="60"/>
        <v>356</v>
      </c>
      <c r="B361" s="17"/>
      <c r="C361" s="18">
        <f t="shared" si="57"/>
        <v>24480.349935141341</v>
      </c>
      <c r="D361" s="18">
        <f t="shared" si="50"/>
        <v>4990.7212168886126</v>
      </c>
      <c r="E361" s="18">
        <f t="shared" si="51"/>
        <v>4833.638971471456</v>
      </c>
      <c r="F361" s="16">
        <f t="shared" si="52"/>
        <v>2.3693969984633956</v>
      </c>
      <c r="G361" s="18">
        <f t="shared" si="53"/>
        <v>157.08224541715694</v>
      </c>
      <c r="H361" s="16">
        <f t="shared" si="54"/>
        <v>7.6999999999999999E-2</v>
      </c>
      <c r="I361" s="18">
        <f t="shared" si="58"/>
        <v>680353.28903633053</v>
      </c>
      <c r="J361" s="18">
        <f t="shared" si="59"/>
        <v>1096343.4641760169</v>
      </c>
      <c r="K361" s="18">
        <f t="shared" si="55"/>
        <v>19646.710963669884</v>
      </c>
      <c r="L361" s="18">
        <f t="shared" si="56"/>
        <v>1776696.7532123474</v>
      </c>
    </row>
    <row r="362" spans="1:12" x14ac:dyDescent="0.3">
      <c r="A362">
        <f t="shared" si="60"/>
        <v>357</v>
      </c>
      <c r="B362" s="17"/>
      <c r="C362" s="18">
        <f t="shared" si="57"/>
        <v>19646.710963669884</v>
      </c>
      <c r="D362" s="18">
        <f t="shared" si="50"/>
        <v>4990.7212168886126</v>
      </c>
      <c r="E362" s="18">
        <f t="shared" si="51"/>
        <v>4864.6548215383973</v>
      </c>
      <c r="F362" s="16">
        <f t="shared" si="52"/>
        <v>2.9712789059913218</v>
      </c>
      <c r="G362" s="18">
        <f t="shared" si="53"/>
        <v>126.06639535021509</v>
      </c>
      <c r="H362" s="16">
        <f t="shared" si="54"/>
        <v>7.6999999999999999E-2</v>
      </c>
      <c r="I362" s="18">
        <f t="shared" si="58"/>
        <v>685217.9438578689</v>
      </c>
      <c r="J362" s="18">
        <f t="shared" si="59"/>
        <v>1096469.5305713671</v>
      </c>
      <c r="K362" s="18">
        <f t="shared" si="55"/>
        <v>14782.056142131487</v>
      </c>
      <c r="L362" s="18">
        <f t="shared" si="56"/>
        <v>1781687.474429236</v>
      </c>
    </row>
    <row r="363" spans="1:12" x14ac:dyDescent="0.3">
      <c r="A363">
        <f t="shared" si="60"/>
        <v>358</v>
      </c>
      <c r="B363" s="17"/>
      <c r="C363" s="18">
        <f t="shared" si="57"/>
        <v>14782.056142131487</v>
      </c>
      <c r="D363" s="18">
        <f t="shared" si="50"/>
        <v>4990.7212168886126</v>
      </c>
      <c r="E363" s="18">
        <f t="shared" si="51"/>
        <v>4895.8696899766019</v>
      </c>
      <c r="F363" s="16">
        <f t="shared" si="52"/>
        <v>3.9744427781105527</v>
      </c>
      <c r="G363" s="18">
        <f t="shared" si="53"/>
        <v>94.851526912010371</v>
      </c>
      <c r="H363" s="16">
        <f t="shared" si="54"/>
        <v>7.6999999999999985E-2</v>
      </c>
      <c r="I363" s="18">
        <f t="shared" si="58"/>
        <v>690113.81354784546</v>
      </c>
      <c r="J363" s="18">
        <f t="shared" si="59"/>
        <v>1096564.3820982792</v>
      </c>
      <c r="K363" s="18">
        <f t="shared" si="55"/>
        <v>9886.186452154885</v>
      </c>
      <c r="L363" s="18">
        <f t="shared" si="56"/>
        <v>1786678.1956461247</v>
      </c>
    </row>
    <row r="364" spans="1:12" x14ac:dyDescent="0.3">
      <c r="A364">
        <f t="shared" si="60"/>
        <v>359</v>
      </c>
      <c r="B364" s="17"/>
      <c r="C364" s="18">
        <f t="shared" si="57"/>
        <v>9886.186452154885</v>
      </c>
      <c r="D364" s="18">
        <f t="shared" si="50"/>
        <v>4990.7212168886126</v>
      </c>
      <c r="E364" s="18">
        <f t="shared" si="51"/>
        <v>4927.284853820619</v>
      </c>
      <c r="F364" s="16">
        <f t="shared" si="52"/>
        <v>5.9808115628812022</v>
      </c>
      <c r="G364" s="18">
        <f t="shared" si="53"/>
        <v>63.436363067993845</v>
      </c>
      <c r="H364" s="16">
        <f t="shared" si="54"/>
        <v>7.6999999999999999E-2</v>
      </c>
      <c r="I364" s="18">
        <f t="shared" si="58"/>
        <v>695041.09840166604</v>
      </c>
      <c r="J364" s="18">
        <f t="shared" si="59"/>
        <v>1096627.8184613471</v>
      </c>
      <c r="K364" s="18">
        <f t="shared" si="55"/>
        <v>4958.9015983342661</v>
      </c>
      <c r="L364" s="18">
        <f t="shared" si="56"/>
        <v>1791668.9168630131</v>
      </c>
    </row>
    <row r="365" spans="1:12" x14ac:dyDescent="0.3">
      <c r="A365">
        <f t="shared" si="60"/>
        <v>360</v>
      </c>
      <c r="B365" s="17"/>
      <c r="C365" s="18">
        <f t="shared" si="57"/>
        <v>4958.9015983342661</v>
      </c>
      <c r="D365" s="18">
        <f t="shared" si="50"/>
        <v>4990.7212168886126</v>
      </c>
      <c r="E365" s="18">
        <f t="shared" si="51"/>
        <v>4958.9015982993014</v>
      </c>
      <c r="F365" s="16">
        <f t="shared" si="52"/>
        <v>11.999999999915389</v>
      </c>
      <c r="G365" s="18">
        <f t="shared" si="53"/>
        <v>31.819618589311542</v>
      </c>
      <c r="H365" s="16">
        <f t="shared" si="54"/>
        <v>7.6999999999999999E-2</v>
      </c>
      <c r="I365" s="18">
        <f t="shared" si="58"/>
        <v>699999.99999996531</v>
      </c>
      <c r="J365" s="62">
        <f>J364+G365</f>
        <v>1096659.6380799364</v>
      </c>
      <c r="K365" s="18">
        <f t="shared" si="55"/>
        <v>3.4964614314958453E-8</v>
      </c>
      <c r="L365" s="62">
        <f t="shared" si="56"/>
        <v>1796659.6380799017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0CCF-35A5-42F5-B4AB-19652E4D4348}">
  <dimension ref="A1:L336"/>
  <sheetViews>
    <sheetView workbookViewId="0">
      <selection activeCell="C2" sqref="C2"/>
    </sheetView>
  </sheetViews>
  <sheetFormatPr defaultRowHeight="14.4" x14ac:dyDescent="0.3"/>
  <cols>
    <col min="1" max="1" width="15.6640625" bestFit="1" customWidth="1"/>
    <col min="2" max="2" width="12.6640625" bestFit="1" customWidth="1"/>
    <col min="3" max="3" width="14.33203125" bestFit="1" customWidth="1"/>
    <col min="4" max="4" width="16.33203125" bestFit="1" customWidth="1"/>
    <col min="5" max="5" width="19.44140625" customWidth="1"/>
    <col min="6" max="6" width="15.5546875" bestFit="1" customWidth="1"/>
    <col min="7" max="7" width="15.5546875" customWidth="1"/>
    <col min="8" max="8" width="18.33203125" bestFit="1" customWidth="1"/>
    <col min="9" max="9" width="17.6640625" bestFit="1" customWidth="1"/>
    <col min="10" max="10" width="13.6640625" bestFit="1" customWidth="1"/>
    <col min="11" max="11" width="11.5546875" bestFit="1" customWidth="1"/>
  </cols>
  <sheetData>
    <row r="1" spans="1:12" x14ac:dyDescent="0.3">
      <c r="A1" t="s">
        <v>39</v>
      </c>
      <c r="B1" t="s">
        <v>40</v>
      </c>
      <c r="C1" t="s">
        <v>41</v>
      </c>
      <c r="D1" t="s">
        <v>42</v>
      </c>
      <c r="E1" t="s">
        <v>47</v>
      </c>
      <c r="F1" t="s">
        <v>43</v>
      </c>
      <c r="G1" t="s">
        <v>48</v>
      </c>
      <c r="H1" t="s">
        <v>44</v>
      </c>
      <c r="I1" t="s">
        <v>45</v>
      </c>
      <c r="J1" t="s">
        <v>46</v>
      </c>
      <c r="K1" s="8">
        <v>7.0000000000000007E-2</v>
      </c>
    </row>
    <row r="2" spans="1:12" x14ac:dyDescent="0.3">
      <c r="A2">
        <v>1</v>
      </c>
      <c r="B2" s="17">
        <v>44866</v>
      </c>
      <c r="C2" s="18">
        <v>371403.71</v>
      </c>
      <c r="D2" s="18">
        <v>726.19</v>
      </c>
      <c r="E2" s="16">
        <f>(D2/C2)*12</f>
        <v>2.3463093570066922E-2</v>
      </c>
      <c r="F2" s="18">
        <v>889.82</v>
      </c>
      <c r="G2" s="16">
        <f>(F2/C2)*12</f>
        <v>2.8749955136420154E-2</v>
      </c>
      <c r="H2" s="18">
        <v>726.19</v>
      </c>
      <c r="I2" s="18">
        <v>889.82</v>
      </c>
      <c r="J2" s="18">
        <v>370677.52</v>
      </c>
      <c r="K2" s="18">
        <f>C2*($K$1/12)</f>
        <v>2166.5216416666667</v>
      </c>
      <c r="L2" t="s">
        <v>71</v>
      </c>
    </row>
    <row r="3" spans="1:12" x14ac:dyDescent="0.3">
      <c r="A3">
        <v>2</v>
      </c>
      <c r="B3" s="17">
        <v>44896</v>
      </c>
      <c r="C3" s="18">
        <v>370677.52</v>
      </c>
      <c r="D3" s="18">
        <v>727.93</v>
      </c>
      <c r="E3" s="16">
        <f t="shared" ref="E3:E66" si="0">(D3/C3)*12</f>
        <v>2.3565389128534148E-2</v>
      </c>
      <c r="F3" s="18">
        <v>888.08</v>
      </c>
      <c r="G3" s="16">
        <f t="shared" ref="G3:G66" si="1">(F3/C3)*12</f>
        <v>2.8749949551836861E-2</v>
      </c>
      <c r="H3" s="18">
        <v>1454.12</v>
      </c>
      <c r="I3" s="18">
        <v>1777.9</v>
      </c>
      <c r="J3" s="18">
        <v>369949.59</v>
      </c>
    </row>
    <row r="4" spans="1:12" x14ac:dyDescent="0.3">
      <c r="A4">
        <v>3</v>
      </c>
      <c r="B4" s="17">
        <v>44927</v>
      </c>
      <c r="C4" s="18">
        <v>369949.59</v>
      </c>
      <c r="D4" s="18">
        <v>729.67</v>
      </c>
      <c r="E4" s="16">
        <f t="shared" si="0"/>
        <v>2.366819760497639E-2</v>
      </c>
      <c r="F4" s="18">
        <v>886.34</v>
      </c>
      <c r="G4" s="16">
        <f t="shared" si="1"/>
        <v>2.875007916619126E-2</v>
      </c>
      <c r="H4" s="18">
        <v>2183.79</v>
      </c>
      <c r="I4" s="18">
        <v>2664.24</v>
      </c>
      <c r="J4" s="18">
        <v>369219.92</v>
      </c>
    </row>
    <row r="5" spans="1:12" x14ac:dyDescent="0.3">
      <c r="A5">
        <v>4</v>
      </c>
      <c r="B5" s="17">
        <v>44958</v>
      </c>
      <c r="C5" s="18">
        <v>369219.92</v>
      </c>
      <c r="D5" s="18">
        <v>731.42</v>
      </c>
      <c r="E5" s="16">
        <f t="shared" si="0"/>
        <v>2.3771848496148315E-2</v>
      </c>
      <c r="F5" s="18">
        <v>884.59</v>
      </c>
      <c r="G5" s="16">
        <f t="shared" si="1"/>
        <v>2.8750019771414285E-2</v>
      </c>
      <c r="H5" s="18">
        <v>2915.21</v>
      </c>
      <c r="I5" s="18">
        <v>3548.83</v>
      </c>
      <c r="J5" s="18">
        <v>368488.5</v>
      </c>
    </row>
    <row r="6" spans="1:12" x14ac:dyDescent="0.3">
      <c r="A6">
        <v>5</v>
      </c>
      <c r="B6" s="17">
        <v>44986</v>
      </c>
      <c r="C6" s="18">
        <v>368488.5</v>
      </c>
      <c r="D6" s="18">
        <v>733.17</v>
      </c>
      <c r="E6" s="16">
        <f t="shared" si="0"/>
        <v>2.3876023268026004E-2</v>
      </c>
      <c r="F6" s="18">
        <v>882.84</v>
      </c>
      <c r="G6" s="16">
        <f t="shared" si="1"/>
        <v>2.8750096678729457E-2</v>
      </c>
      <c r="H6" s="18">
        <v>3648.38</v>
      </c>
      <c r="I6" s="18">
        <v>4431.67</v>
      </c>
      <c r="J6" s="18">
        <v>367755.33</v>
      </c>
    </row>
    <row r="7" spans="1:12" x14ac:dyDescent="0.3">
      <c r="A7">
        <v>6</v>
      </c>
      <c r="B7" s="17">
        <v>45017</v>
      </c>
      <c r="C7" s="18">
        <v>367755.33</v>
      </c>
      <c r="D7" s="18">
        <v>734.93</v>
      </c>
      <c r="E7" s="16">
        <f t="shared" si="0"/>
        <v>2.3981052837493883E-2</v>
      </c>
      <c r="F7" s="18">
        <v>881.08</v>
      </c>
      <c r="G7" s="16">
        <f t="shared" si="1"/>
        <v>2.8749984398594573E-2</v>
      </c>
      <c r="H7" s="18">
        <v>4383.3100000000004</v>
      </c>
      <c r="I7" s="18">
        <v>5312.75</v>
      </c>
      <c r="J7" s="18">
        <v>367020.4</v>
      </c>
    </row>
    <row r="8" spans="1:12" x14ac:dyDescent="0.3">
      <c r="A8">
        <v>7</v>
      </c>
      <c r="B8" s="17">
        <v>45047</v>
      </c>
      <c r="C8" s="18">
        <v>367020.4</v>
      </c>
      <c r="D8" s="18">
        <v>736.69</v>
      </c>
      <c r="E8" s="16">
        <f t="shared" si="0"/>
        <v>2.408661752861694E-2</v>
      </c>
      <c r="F8" s="18">
        <v>879.32</v>
      </c>
      <c r="G8" s="16">
        <f t="shared" si="1"/>
        <v>2.8750009536254659E-2</v>
      </c>
      <c r="H8" s="18">
        <v>5120</v>
      </c>
      <c r="I8" s="18">
        <v>6192.07</v>
      </c>
      <c r="J8" s="18">
        <v>366283.71</v>
      </c>
    </row>
    <row r="9" spans="1:12" x14ac:dyDescent="0.3">
      <c r="A9">
        <v>8</v>
      </c>
      <c r="B9" s="17">
        <v>45078</v>
      </c>
      <c r="C9" s="18">
        <v>366283.71</v>
      </c>
      <c r="D9" s="18">
        <v>738.46</v>
      </c>
      <c r="E9" s="16">
        <f t="shared" si="0"/>
        <v>2.4193049699098003E-2</v>
      </c>
      <c r="F9" s="18">
        <v>877.55</v>
      </c>
      <c r="G9" s="16">
        <f t="shared" si="1"/>
        <v>2.8749845304340722E-2</v>
      </c>
      <c r="H9" s="18">
        <v>5858.46</v>
      </c>
      <c r="I9" s="18">
        <v>7069.62</v>
      </c>
      <c r="J9" s="18">
        <v>365545.25</v>
      </c>
    </row>
    <row r="10" spans="1:12" x14ac:dyDescent="0.3">
      <c r="A10">
        <v>9</v>
      </c>
      <c r="B10" s="17">
        <v>45108</v>
      </c>
      <c r="C10" s="18">
        <v>365545.25</v>
      </c>
      <c r="D10" s="18">
        <v>740.22</v>
      </c>
      <c r="E10" s="16">
        <f t="shared" si="0"/>
        <v>2.4299700242309263E-2</v>
      </c>
      <c r="F10" s="18">
        <v>875.79</v>
      </c>
      <c r="G10" s="16">
        <f t="shared" si="1"/>
        <v>2.8750147895506784E-2</v>
      </c>
      <c r="H10" s="18">
        <v>6598.68</v>
      </c>
      <c r="I10" s="18">
        <v>7945.41</v>
      </c>
      <c r="J10" s="18">
        <v>364805.03</v>
      </c>
    </row>
    <row r="11" spans="1:12" x14ac:dyDescent="0.3">
      <c r="A11">
        <v>10</v>
      </c>
      <c r="B11" s="17">
        <v>45139</v>
      </c>
      <c r="C11" s="18">
        <v>364805.03</v>
      </c>
      <c r="D11" s="18">
        <v>742</v>
      </c>
      <c r="E11" s="16">
        <f t="shared" si="0"/>
        <v>2.4407558196223336E-2</v>
      </c>
      <c r="F11" s="18">
        <v>874.01</v>
      </c>
      <c r="G11" s="16">
        <f t="shared" si="1"/>
        <v>2.8749932532454392E-2</v>
      </c>
      <c r="H11" s="18">
        <v>7340.68</v>
      </c>
      <c r="I11" s="18">
        <v>8819.42</v>
      </c>
      <c r="J11" s="18">
        <v>364063.03</v>
      </c>
    </row>
    <row r="12" spans="1:12" x14ac:dyDescent="0.3">
      <c r="A12">
        <v>11</v>
      </c>
      <c r="B12" s="17">
        <v>45170</v>
      </c>
      <c r="C12" s="18">
        <v>364063.03</v>
      </c>
      <c r="D12" s="18">
        <v>743.78</v>
      </c>
      <c r="E12" s="16">
        <f t="shared" si="0"/>
        <v>2.4515974610220648E-2</v>
      </c>
      <c r="F12" s="18">
        <v>872.23</v>
      </c>
      <c r="G12" s="16">
        <f t="shared" si="1"/>
        <v>2.8749856858577481E-2</v>
      </c>
      <c r="H12" s="18">
        <v>8084.46</v>
      </c>
      <c r="I12" s="18">
        <v>9691.65</v>
      </c>
      <c r="J12" s="18">
        <v>363319.25</v>
      </c>
    </row>
    <row r="13" spans="1:12" x14ac:dyDescent="0.3">
      <c r="A13">
        <v>12</v>
      </c>
      <c r="B13" s="17">
        <v>45200</v>
      </c>
      <c r="C13" s="18">
        <v>363319.25</v>
      </c>
      <c r="D13" s="18">
        <v>745.56</v>
      </c>
      <c r="E13" s="16">
        <f t="shared" si="0"/>
        <v>2.4624954499383116E-2</v>
      </c>
      <c r="F13" s="18">
        <v>870.45</v>
      </c>
      <c r="G13" s="16">
        <f t="shared" si="1"/>
        <v>2.8749921728617466E-2</v>
      </c>
      <c r="H13" s="18">
        <v>8830.01</v>
      </c>
      <c r="I13" s="18">
        <v>10562.11</v>
      </c>
      <c r="J13" s="18">
        <v>362573.7</v>
      </c>
    </row>
    <row r="14" spans="1:12" x14ac:dyDescent="0.3">
      <c r="A14">
        <v>13</v>
      </c>
      <c r="B14" s="17">
        <v>45231</v>
      </c>
      <c r="C14" s="18">
        <v>362573.7</v>
      </c>
      <c r="D14" s="18">
        <v>747.34</v>
      </c>
      <c r="E14" s="16">
        <f t="shared" si="0"/>
        <v>2.4734502254300298E-2</v>
      </c>
      <c r="F14" s="18">
        <v>868.67</v>
      </c>
      <c r="G14" s="16">
        <f t="shared" si="1"/>
        <v>2.8750127215515078E-2</v>
      </c>
      <c r="H14" s="18">
        <v>9577.36</v>
      </c>
      <c r="I14" s="18">
        <v>11430.77</v>
      </c>
      <c r="J14" s="18">
        <v>361826.35</v>
      </c>
    </row>
    <row r="15" spans="1:12" x14ac:dyDescent="0.3">
      <c r="A15">
        <v>14</v>
      </c>
      <c r="B15" s="17">
        <v>45261</v>
      </c>
      <c r="C15" s="18">
        <v>361826.35</v>
      </c>
      <c r="D15" s="18">
        <v>749.13</v>
      </c>
      <c r="E15" s="16">
        <f t="shared" si="0"/>
        <v>2.484495670367844E-2</v>
      </c>
      <c r="F15" s="18">
        <v>866.88</v>
      </c>
      <c r="G15" s="16">
        <f t="shared" si="1"/>
        <v>2.8750144924492099E-2</v>
      </c>
      <c r="H15" s="18">
        <v>10326.49</v>
      </c>
      <c r="I15" s="18">
        <v>12297.65</v>
      </c>
      <c r="J15" s="18">
        <v>361077.22</v>
      </c>
    </row>
    <row r="16" spans="1:12" x14ac:dyDescent="0.3">
      <c r="A16">
        <v>15</v>
      </c>
      <c r="B16" s="17">
        <v>45292</v>
      </c>
      <c r="C16" s="18">
        <v>361077.22</v>
      </c>
      <c r="D16" s="18">
        <v>750.93</v>
      </c>
      <c r="E16" s="16">
        <f t="shared" si="0"/>
        <v>2.4956323747036716E-2</v>
      </c>
      <c r="F16" s="18">
        <v>865.08</v>
      </c>
      <c r="G16" s="16">
        <f t="shared" si="1"/>
        <v>2.8749972097381275E-2</v>
      </c>
      <c r="H16" s="18">
        <v>11077.42</v>
      </c>
      <c r="I16" s="18">
        <v>13162.73</v>
      </c>
      <c r="J16" s="18">
        <v>360326.29</v>
      </c>
    </row>
    <row r="17" spans="1:10" x14ac:dyDescent="0.3">
      <c r="A17">
        <v>16</v>
      </c>
      <c r="B17" s="17">
        <v>45323</v>
      </c>
      <c r="C17" s="18">
        <v>360326.29</v>
      </c>
      <c r="D17" s="18">
        <v>752.73</v>
      </c>
      <c r="E17" s="16">
        <f t="shared" si="0"/>
        <v>2.5068279086713323E-2</v>
      </c>
      <c r="F17" s="18">
        <v>863.28</v>
      </c>
      <c r="G17" s="16">
        <f t="shared" si="1"/>
        <v>2.8749942170469993E-2</v>
      </c>
      <c r="H17" s="18">
        <v>11830.15</v>
      </c>
      <c r="I17" s="18">
        <v>14026.01</v>
      </c>
      <c r="J17" s="18">
        <v>359573.56</v>
      </c>
    </row>
    <row r="18" spans="1:10" x14ac:dyDescent="0.3">
      <c r="A18">
        <v>17</v>
      </c>
      <c r="B18" s="17">
        <v>45352</v>
      </c>
      <c r="C18" s="18">
        <v>359573.56</v>
      </c>
      <c r="D18" s="18">
        <v>754.53</v>
      </c>
      <c r="E18" s="16">
        <f t="shared" si="0"/>
        <v>2.5180828089807268E-2</v>
      </c>
      <c r="F18" s="18">
        <v>861.48</v>
      </c>
      <c r="G18" s="16">
        <f t="shared" si="1"/>
        <v>2.8750056038603061E-2</v>
      </c>
      <c r="H18" s="18">
        <v>12584.68</v>
      </c>
      <c r="I18" s="18">
        <v>14887.49</v>
      </c>
      <c r="J18" s="18">
        <v>358819.03</v>
      </c>
    </row>
    <row r="19" spans="1:10" x14ac:dyDescent="0.3">
      <c r="A19">
        <v>18</v>
      </c>
      <c r="B19" s="17">
        <v>45383</v>
      </c>
      <c r="C19" s="18">
        <v>358819.03</v>
      </c>
      <c r="D19" s="18">
        <v>756.34</v>
      </c>
      <c r="E19" s="16">
        <f t="shared" si="0"/>
        <v>2.529431061669165E-2</v>
      </c>
      <c r="F19" s="18">
        <v>859.67</v>
      </c>
      <c r="G19" s="16">
        <f t="shared" si="1"/>
        <v>2.874998017803013E-2</v>
      </c>
      <c r="H19" s="18">
        <v>13341.02</v>
      </c>
      <c r="I19" s="18">
        <v>15747.16</v>
      </c>
      <c r="J19" s="18">
        <v>358062.69</v>
      </c>
    </row>
    <row r="20" spans="1:10" x14ac:dyDescent="0.3">
      <c r="A20">
        <v>19</v>
      </c>
      <c r="B20" s="17">
        <v>45413</v>
      </c>
      <c r="C20" s="18">
        <v>358062.69</v>
      </c>
      <c r="D20" s="18">
        <v>758.15</v>
      </c>
      <c r="E20" s="16">
        <f t="shared" si="0"/>
        <v>2.5408399853109519E-2</v>
      </c>
      <c r="F20" s="18">
        <v>857.86</v>
      </c>
      <c r="G20" s="16">
        <f t="shared" si="1"/>
        <v>2.8750049327954275E-2</v>
      </c>
      <c r="H20" s="18">
        <v>14099.17</v>
      </c>
      <c r="I20" s="18">
        <v>16605.02</v>
      </c>
      <c r="J20" s="18">
        <v>357304.54</v>
      </c>
    </row>
    <row r="21" spans="1:10" x14ac:dyDescent="0.3">
      <c r="A21">
        <v>20</v>
      </c>
      <c r="B21" s="17">
        <v>45444</v>
      </c>
      <c r="C21" s="18">
        <v>357304.54</v>
      </c>
      <c r="D21" s="18">
        <v>759.97</v>
      </c>
      <c r="E21" s="16">
        <f t="shared" si="0"/>
        <v>2.5523437233683069E-2</v>
      </c>
      <c r="F21" s="18">
        <v>856.04</v>
      </c>
      <c r="G21" s="16">
        <f t="shared" si="1"/>
        <v>2.8749928562340682E-2</v>
      </c>
      <c r="H21" s="18">
        <v>14859.14</v>
      </c>
      <c r="I21" s="18">
        <v>17461.060000000001</v>
      </c>
      <c r="J21" s="18">
        <v>356544.57</v>
      </c>
    </row>
    <row r="22" spans="1:10" x14ac:dyDescent="0.3">
      <c r="A22">
        <v>21</v>
      </c>
      <c r="B22" s="17">
        <v>45474</v>
      </c>
      <c r="C22" s="18">
        <v>356544.57</v>
      </c>
      <c r="D22" s="18">
        <v>761.79</v>
      </c>
      <c r="E22" s="16">
        <f t="shared" si="0"/>
        <v>2.5639094714021309E-2</v>
      </c>
      <c r="F22" s="18">
        <v>854.22</v>
      </c>
      <c r="G22" s="16">
        <f t="shared" si="1"/>
        <v>2.8749954038004281E-2</v>
      </c>
      <c r="H22" s="18">
        <v>15620.93</v>
      </c>
      <c r="I22" s="18">
        <v>18315.28</v>
      </c>
      <c r="J22" s="18">
        <v>355782.78</v>
      </c>
    </row>
    <row r="23" spans="1:10" x14ac:dyDescent="0.3">
      <c r="A23">
        <v>22</v>
      </c>
      <c r="B23" s="17">
        <v>45505</v>
      </c>
      <c r="C23" s="18">
        <v>355782.78</v>
      </c>
      <c r="D23" s="18">
        <v>763.61</v>
      </c>
      <c r="E23" s="16">
        <f t="shared" si="0"/>
        <v>2.5755378042748439E-2</v>
      </c>
      <c r="F23" s="18">
        <v>852.4</v>
      </c>
      <c r="G23" s="16">
        <f t="shared" si="1"/>
        <v>2.8750126692472296E-2</v>
      </c>
      <c r="H23" s="18">
        <v>16384.54</v>
      </c>
      <c r="I23" s="18">
        <v>19167.68</v>
      </c>
      <c r="J23" s="18">
        <v>355019.17</v>
      </c>
    </row>
    <row r="24" spans="1:10" x14ac:dyDescent="0.3">
      <c r="A24">
        <v>23</v>
      </c>
      <c r="B24" s="17">
        <v>45536</v>
      </c>
      <c r="C24" s="18">
        <v>355019.17</v>
      </c>
      <c r="D24" s="18">
        <v>765.44</v>
      </c>
      <c r="E24" s="16">
        <f t="shared" si="0"/>
        <v>2.5872631046937551E-2</v>
      </c>
      <c r="F24" s="18">
        <v>850.57</v>
      </c>
      <c r="G24" s="16">
        <f t="shared" si="1"/>
        <v>2.8750109465919833E-2</v>
      </c>
      <c r="H24" s="18">
        <v>17149.990000000002</v>
      </c>
      <c r="I24" s="18">
        <v>20018.240000000002</v>
      </c>
      <c r="J24" s="18">
        <v>354253.72</v>
      </c>
    </row>
    <row r="25" spans="1:10" x14ac:dyDescent="0.3">
      <c r="A25">
        <v>24</v>
      </c>
      <c r="B25" s="17">
        <v>45566</v>
      </c>
      <c r="C25" s="18">
        <v>354253.72</v>
      </c>
      <c r="D25" s="18">
        <v>767.28</v>
      </c>
      <c r="E25" s="16">
        <f t="shared" si="0"/>
        <v>2.5990863271668684E-2</v>
      </c>
      <c r="F25" s="18">
        <v>848.73</v>
      </c>
      <c r="G25" s="16">
        <f t="shared" si="1"/>
        <v>2.8749902753314772E-2</v>
      </c>
      <c r="H25" s="18">
        <v>17917.259999999998</v>
      </c>
      <c r="I25" s="18">
        <v>20866.98</v>
      </c>
      <c r="J25" s="18">
        <v>353486.45</v>
      </c>
    </row>
    <row r="26" spans="1:10" x14ac:dyDescent="0.3">
      <c r="A26">
        <v>25</v>
      </c>
      <c r="B26" s="17">
        <v>45597</v>
      </c>
      <c r="C26" s="18">
        <v>353486.45</v>
      </c>
      <c r="D26" s="18">
        <v>769.12</v>
      </c>
      <c r="E26" s="16">
        <f t="shared" si="0"/>
        <v>2.6109741971721973E-2</v>
      </c>
      <c r="F26" s="18">
        <v>846.89</v>
      </c>
      <c r="G26" s="16">
        <f t="shared" si="1"/>
        <v>2.8749843169377495E-2</v>
      </c>
      <c r="H26" s="18">
        <v>18686.38</v>
      </c>
      <c r="I26" s="18">
        <v>21713.87</v>
      </c>
      <c r="J26" s="18">
        <v>352717.33</v>
      </c>
    </row>
    <row r="27" spans="1:10" x14ac:dyDescent="0.3">
      <c r="A27">
        <v>26</v>
      </c>
      <c r="B27" s="17">
        <v>45627</v>
      </c>
      <c r="C27" s="18">
        <v>352717.33</v>
      </c>
      <c r="D27" s="18">
        <v>770.96</v>
      </c>
      <c r="E27" s="16">
        <f t="shared" si="0"/>
        <v>2.6229275437075913E-2</v>
      </c>
      <c r="F27" s="18">
        <v>845.05</v>
      </c>
      <c r="G27" s="16">
        <f t="shared" si="1"/>
        <v>2.8749934118632615E-2</v>
      </c>
      <c r="H27" s="18">
        <v>19457.34</v>
      </c>
      <c r="I27" s="18">
        <v>22558.92</v>
      </c>
      <c r="J27" s="18">
        <v>351946.37</v>
      </c>
    </row>
    <row r="28" spans="1:10" x14ac:dyDescent="0.3">
      <c r="A28">
        <v>27</v>
      </c>
      <c r="B28" s="17">
        <v>45658</v>
      </c>
      <c r="C28" s="18">
        <v>351946.37</v>
      </c>
      <c r="D28" s="18">
        <v>772.81</v>
      </c>
      <c r="E28" s="16">
        <f t="shared" si="0"/>
        <v>2.6349810057708506E-2</v>
      </c>
      <c r="F28" s="18">
        <v>843.2</v>
      </c>
      <c r="G28" s="16">
        <f t="shared" si="1"/>
        <v>2.8749834811479941E-2</v>
      </c>
      <c r="H28" s="18">
        <v>20230.14</v>
      </c>
      <c r="I28" s="18">
        <v>23402.13</v>
      </c>
      <c r="J28" s="18">
        <v>351173.57</v>
      </c>
    </row>
    <row r="29" spans="1:10" x14ac:dyDescent="0.3">
      <c r="A29">
        <v>28</v>
      </c>
      <c r="B29" s="17">
        <v>45689</v>
      </c>
      <c r="C29" s="18">
        <v>351173.57</v>
      </c>
      <c r="D29" s="18">
        <v>774.66</v>
      </c>
      <c r="E29" s="16">
        <f t="shared" si="0"/>
        <v>2.6471012610658595E-2</v>
      </c>
      <c r="F29" s="18">
        <v>841.35</v>
      </c>
      <c r="G29" s="16">
        <f t="shared" si="1"/>
        <v>2.8749885704667352E-2</v>
      </c>
      <c r="H29" s="18">
        <v>21004.799999999999</v>
      </c>
      <c r="I29" s="18">
        <v>24243.48</v>
      </c>
      <c r="J29" s="18">
        <v>350398.91</v>
      </c>
    </row>
    <row r="30" spans="1:10" x14ac:dyDescent="0.3">
      <c r="A30">
        <v>29</v>
      </c>
      <c r="B30" s="17">
        <v>45717</v>
      </c>
      <c r="C30" s="18">
        <v>350398.91</v>
      </c>
      <c r="D30" s="18">
        <v>776.51</v>
      </c>
      <c r="E30" s="16">
        <f t="shared" si="0"/>
        <v>2.6592890942497512E-2</v>
      </c>
      <c r="F30" s="18">
        <v>839.5</v>
      </c>
      <c r="G30" s="16">
        <f t="shared" si="1"/>
        <v>2.8750089433782773E-2</v>
      </c>
      <c r="H30" s="18">
        <v>21781.31</v>
      </c>
      <c r="I30" s="18">
        <v>25082.98</v>
      </c>
      <c r="J30" s="18">
        <v>349622.4</v>
      </c>
    </row>
    <row r="31" spans="1:10" x14ac:dyDescent="0.3">
      <c r="A31">
        <v>30</v>
      </c>
      <c r="B31" s="17">
        <v>45748</v>
      </c>
      <c r="C31" s="18">
        <v>349622.4</v>
      </c>
      <c r="D31" s="18">
        <v>778.37</v>
      </c>
      <c r="E31" s="16">
        <f t="shared" si="0"/>
        <v>2.6715793953705484E-2</v>
      </c>
      <c r="F31" s="18">
        <v>837.64</v>
      </c>
      <c r="G31" s="16">
        <f t="shared" si="1"/>
        <v>2.8750102968230867E-2</v>
      </c>
      <c r="H31" s="18">
        <v>22559.68</v>
      </c>
      <c r="I31" s="18">
        <v>25920.62</v>
      </c>
      <c r="J31" s="18">
        <v>348844.03</v>
      </c>
    </row>
    <row r="32" spans="1:10" x14ac:dyDescent="0.3">
      <c r="A32">
        <v>31</v>
      </c>
      <c r="B32" s="17">
        <v>45778</v>
      </c>
      <c r="C32" s="18">
        <v>348844.03</v>
      </c>
      <c r="D32" s="18">
        <v>780.24</v>
      </c>
      <c r="E32" s="16">
        <f t="shared" si="0"/>
        <v>2.6839731211682195E-2</v>
      </c>
      <c r="F32" s="18">
        <v>835.77</v>
      </c>
      <c r="G32" s="16">
        <f t="shared" si="1"/>
        <v>2.8749925862282921E-2</v>
      </c>
      <c r="H32" s="18">
        <v>23339.919999999998</v>
      </c>
      <c r="I32" s="18">
        <v>26756.39</v>
      </c>
      <c r="J32" s="18">
        <v>348063.79</v>
      </c>
    </row>
    <row r="33" spans="1:10" x14ac:dyDescent="0.3">
      <c r="A33">
        <v>32</v>
      </c>
      <c r="B33" s="17">
        <v>45809</v>
      </c>
      <c r="C33" s="18">
        <v>348063.79</v>
      </c>
      <c r="D33" s="18">
        <v>782.11</v>
      </c>
      <c r="E33" s="16">
        <f t="shared" si="0"/>
        <v>2.6964367652262823E-2</v>
      </c>
      <c r="F33" s="18">
        <v>833.9</v>
      </c>
      <c r="G33" s="16">
        <f t="shared" si="1"/>
        <v>2.8749902424495231E-2</v>
      </c>
      <c r="H33" s="18">
        <v>24122.03</v>
      </c>
      <c r="I33" s="18">
        <v>27590.29</v>
      </c>
      <c r="J33" s="18">
        <v>347281.68</v>
      </c>
    </row>
    <row r="34" spans="1:10" x14ac:dyDescent="0.3">
      <c r="A34">
        <v>33</v>
      </c>
      <c r="B34" s="17">
        <v>45839</v>
      </c>
      <c r="C34" s="18">
        <v>347281.68</v>
      </c>
      <c r="D34" s="18">
        <v>783.98</v>
      </c>
      <c r="E34" s="16">
        <f t="shared" si="0"/>
        <v>2.7089710001402895E-2</v>
      </c>
      <c r="F34" s="18">
        <v>832.03</v>
      </c>
      <c r="G34" s="16">
        <f t="shared" si="1"/>
        <v>2.8750033690230936E-2</v>
      </c>
      <c r="H34" s="18">
        <v>24906.01</v>
      </c>
      <c r="I34" s="18">
        <v>28422.32</v>
      </c>
      <c r="J34" s="18">
        <v>346497.7</v>
      </c>
    </row>
    <row r="35" spans="1:10" x14ac:dyDescent="0.3">
      <c r="A35">
        <v>34</v>
      </c>
      <c r="B35" s="17">
        <v>45870</v>
      </c>
      <c r="C35" s="18">
        <v>346497.7</v>
      </c>
      <c r="D35" s="18">
        <v>785.86</v>
      </c>
      <c r="E35" s="16">
        <f t="shared" si="0"/>
        <v>2.7216111391215585E-2</v>
      </c>
      <c r="F35" s="18">
        <v>830.15</v>
      </c>
      <c r="G35" s="16">
        <f t="shared" si="1"/>
        <v>2.8749974386554369E-2</v>
      </c>
      <c r="H35" s="18">
        <v>25691.87</v>
      </c>
      <c r="I35" s="18">
        <v>29252.47</v>
      </c>
      <c r="J35" s="18">
        <v>345711.84</v>
      </c>
    </row>
    <row r="36" spans="1:10" x14ac:dyDescent="0.3">
      <c r="A36">
        <v>35</v>
      </c>
      <c r="B36" s="17">
        <v>45901</v>
      </c>
      <c r="C36" s="18">
        <v>345711.84</v>
      </c>
      <c r="D36" s="18">
        <v>787.74</v>
      </c>
      <c r="E36" s="16">
        <f t="shared" si="0"/>
        <v>2.7343234758751681E-2</v>
      </c>
      <c r="F36" s="18">
        <v>828.27</v>
      </c>
      <c r="G36" s="16">
        <f t="shared" si="1"/>
        <v>2.8750071157528187E-2</v>
      </c>
      <c r="H36" s="18">
        <v>26479.61</v>
      </c>
      <c r="I36" s="18">
        <v>30080.74</v>
      </c>
      <c r="J36" s="18">
        <v>344924.1</v>
      </c>
    </row>
    <row r="37" spans="1:10" x14ac:dyDescent="0.3">
      <c r="A37">
        <v>36</v>
      </c>
      <c r="B37" s="17">
        <v>45931</v>
      </c>
      <c r="C37" s="18">
        <v>344924.1</v>
      </c>
      <c r="D37" s="18">
        <v>789.63</v>
      </c>
      <c r="E37" s="16">
        <f t="shared" si="0"/>
        <v>2.747143502005224E-2</v>
      </c>
      <c r="F37" s="18">
        <v>826.38</v>
      </c>
      <c r="G37" s="16">
        <f t="shared" si="1"/>
        <v>2.8749977168890203E-2</v>
      </c>
      <c r="H37" s="18">
        <v>27269.24</v>
      </c>
      <c r="I37" s="18">
        <v>30907.119999999999</v>
      </c>
      <c r="J37" s="18">
        <v>344134.47</v>
      </c>
    </row>
    <row r="38" spans="1:10" x14ac:dyDescent="0.3">
      <c r="A38">
        <v>37</v>
      </c>
      <c r="B38" s="17">
        <v>45962</v>
      </c>
      <c r="C38" s="18">
        <v>344134.47</v>
      </c>
      <c r="D38" s="18">
        <v>791.52</v>
      </c>
      <c r="E38" s="16">
        <f t="shared" si="0"/>
        <v>2.7600373772496547E-2</v>
      </c>
      <c r="F38" s="18">
        <v>824.49</v>
      </c>
      <c r="G38" s="16">
        <f t="shared" si="1"/>
        <v>2.8750040645448859E-2</v>
      </c>
      <c r="H38" s="18">
        <v>28060.76</v>
      </c>
      <c r="I38" s="18">
        <v>31731.61</v>
      </c>
      <c r="J38" s="18">
        <v>343342.95</v>
      </c>
    </row>
    <row r="39" spans="1:10" x14ac:dyDescent="0.3">
      <c r="A39">
        <v>38</v>
      </c>
      <c r="B39" s="17">
        <v>45992</v>
      </c>
      <c r="C39" s="18">
        <v>343342.95</v>
      </c>
      <c r="D39" s="18">
        <v>793.42</v>
      </c>
      <c r="E39" s="16">
        <f t="shared" si="0"/>
        <v>2.7730407745375284E-2</v>
      </c>
      <c r="F39" s="18">
        <v>822.59</v>
      </c>
      <c r="G39" s="16">
        <f t="shared" si="1"/>
        <v>2.8749913169907812E-2</v>
      </c>
      <c r="H39" s="18">
        <v>28854.18</v>
      </c>
      <c r="I39" s="18">
        <v>32554.2</v>
      </c>
      <c r="J39" s="18">
        <v>342549.53</v>
      </c>
    </row>
    <row r="40" spans="1:10" x14ac:dyDescent="0.3">
      <c r="A40">
        <v>39</v>
      </c>
      <c r="B40" s="17">
        <v>46023</v>
      </c>
      <c r="C40" s="18">
        <v>342549.53</v>
      </c>
      <c r="D40" s="18">
        <v>795.32</v>
      </c>
      <c r="E40" s="16">
        <f t="shared" si="0"/>
        <v>2.7861197182200193E-2</v>
      </c>
      <c r="F40" s="18">
        <v>820.69</v>
      </c>
      <c r="G40" s="16">
        <f t="shared" si="1"/>
        <v>2.8749944570059693E-2</v>
      </c>
      <c r="H40" s="18">
        <v>29649.5</v>
      </c>
      <c r="I40" s="18">
        <v>33374.89</v>
      </c>
      <c r="J40" s="18">
        <v>341754.21</v>
      </c>
    </row>
    <row r="41" spans="1:10" x14ac:dyDescent="0.3">
      <c r="A41">
        <v>40</v>
      </c>
      <c r="B41" s="17">
        <v>46054</v>
      </c>
      <c r="C41" s="18">
        <v>341754.21</v>
      </c>
      <c r="D41" s="18">
        <v>797.22</v>
      </c>
      <c r="E41" s="16">
        <f t="shared" si="0"/>
        <v>2.7992749526040951E-2</v>
      </c>
      <c r="F41" s="18">
        <v>818.79</v>
      </c>
      <c r="G41" s="16">
        <f t="shared" si="1"/>
        <v>2.875013595297041E-2</v>
      </c>
      <c r="H41" s="18">
        <v>30446.720000000001</v>
      </c>
      <c r="I41" s="18">
        <v>34193.68</v>
      </c>
      <c r="J41" s="18">
        <v>340956.99</v>
      </c>
    </row>
    <row r="42" spans="1:10" x14ac:dyDescent="0.3">
      <c r="A42">
        <v>41</v>
      </c>
      <c r="B42" s="17">
        <v>46082</v>
      </c>
      <c r="C42" s="18">
        <v>340956.99</v>
      </c>
      <c r="D42" s="18">
        <v>799.13</v>
      </c>
      <c r="E42" s="16">
        <f t="shared" si="0"/>
        <v>2.8125424265389019E-2</v>
      </c>
      <c r="F42" s="18">
        <v>816.88</v>
      </c>
      <c r="G42" s="16">
        <f t="shared" si="1"/>
        <v>2.8750136490822496E-2</v>
      </c>
      <c r="H42" s="18">
        <v>31245.86</v>
      </c>
      <c r="I42" s="18">
        <v>35010.550000000003</v>
      </c>
      <c r="J42" s="18">
        <v>340157.85</v>
      </c>
    </row>
    <row r="43" spans="1:10" x14ac:dyDescent="0.3">
      <c r="A43">
        <v>42</v>
      </c>
      <c r="B43" s="17">
        <v>46113</v>
      </c>
      <c r="C43" s="18">
        <v>340157.85</v>
      </c>
      <c r="D43" s="18">
        <v>801.05</v>
      </c>
      <c r="E43" s="16">
        <f t="shared" si="0"/>
        <v>2.8259233176597273E-2</v>
      </c>
      <c r="F43" s="18">
        <v>814.96</v>
      </c>
      <c r="G43" s="16">
        <f t="shared" si="1"/>
        <v>2.874994653217617E-2</v>
      </c>
      <c r="H43" s="18">
        <v>32046.9</v>
      </c>
      <c r="I43" s="18">
        <v>35825.519999999997</v>
      </c>
      <c r="J43" s="18">
        <v>339356.81</v>
      </c>
    </row>
    <row r="44" spans="1:10" x14ac:dyDescent="0.3">
      <c r="A44">
        <v>43</v>
      </c>
      <c r="B44" s="17">
        <v>46143</v>
      </c>
      <c r="C44" s="18">
        <v>339356.81</v>
      </c>
      <c r="D44" s="18">
        <v>802.97</v>
      </c>
      <c r="E44" s="16">
        <f t="shared" si="0"/>
        <v>2.8393831259788185E-2</v>
      </c>
      <c r="F44" s="18">
        <v>813.04</v>
      </c>
      <c r="G44" s="16">
        <f t="shared" si="1"/>
        <v>2.8749916643782687E-2</v>
      </c>
      <c r="H44" s="18">
        <v>32849.870000000003</v>
      </c>
      <c r="I44" s="18">
        <v>36638.559999999998</v>
      </c>
      <c r="J44" s="18">
        <v>338553.84</v>
      </c>
    </row>
    <row r="45" spans="1:10" x14ac:dyDescent="0.3">
      <c r="A45">
        <v>44</v>
      </c>
      <c r="B45" s="17">
        <v>46174</v>
      </c>
      <c r="C45" s="18">
        <v>338553.84</v>
      </c>
      <c r="D45" s="18">
        <v>804.89</v>
      </c>
      <c r="E45" s="16">
        <f t="shared" si="0"/>
        <v>2.8529228910828479E-2</v>
      </c>
      <c r="F45" s="18">
        <v>811.12</v>
      </c>
      <c r="G45" s="16">
        <f t="shared" si="1"/>
        <v>2.8750050508953018E-2</v>
      </c>
      <c r="H45" s="18">
        <v>33654.76</v>
      </c>
      <c r="I45" s="18">
        <v>37449.68</v>
      </c>
      <c r="J45" s="18">
        <v>337748.95</v>
      </c>
    </row>
    <row r="46" spans="1:10" x14ac:dyDescent="0.3">
      <c r="A46">
        <v>45</v>
      </c>
      <c r="B46" s="17">
        <v>46204</v>
      </c>
      <c r="C46" s="18">
        <v>337748.95</v>
      </c>
      <c r="D46" s="18">
        <v>806.82</v>
      </c>
      <c r="E46" s="16">
        <f t="shared" si="0"/>
        <v>2.8665788598306523E-2</v>
      </c>
      <c r="F46" s="18">
        <v>809.19</v>
      </c>
      <c r="G46" s="16">
        <f t="shared" si="1"/>
        <v>2.8749993153198553E-2</v>
      </c>
      <c r="H46" s="18">
        <v>34461.58</v>
      </c>
      <c r="I46" s="18">
        <v>38258.870000000003</v>
      </c>
      <c r="J46" s="18">
        <v>336942.13</v>
      </c>
    </row>
    <row r="47" spans="1:10" x14ac:dyDescent="0.3">
      <c r="A47">
        <v>46</v>
      </c>
      <c r="B47" s="17">
        <v>46235</v>
      </c>
      <c r="C47" s="18">
        <v>336942.13</v>
      </c>
      <c r="D47" s="18">
        <v>808.75</v>
      </c>
      <c r="E47" s="16">
        <f t="shared" si="0"/>
        <v>2.8803165694951831E-2</v>
      </c>
      <c r="F47" s="18">
        <v>807.26</v>
      </c>
      <c r="G47" s="16">
        <f t="shared" si="1"/>
        <v>2.8750100202666849E-2</v>
      </c>
      <c r="H47" s="18">
        <v>35270.339999999997</v>
      </c>
      <c r="I47" s="18">
        <v>39066.120000000003</v>
      </c>
      <c r="J47" s="18">
        <v>336133.37</v>
      </c>
    </row>
    <row r="48" spans="1:10" x14ac:dyDescent="0.3">
      <c r="A48">
        <v>47</v>
      </c>
      <c r="B48" s="17">
        <v>46266</v>
      </c>
      <c r="C48" s="18">
        <v>336133.37</v>
      </c>
      <c r="D48" s="18">
        <v>810.69</v>
      </c>
      <c r="E48" s="16">
        <f t="shared" si="0"/>
        <v>2.8941726315361078E-2</v>
      </c>
      <c r="F48" s="18">
        <v>805.32</v>
      </c>
      <c r="G48" s="16">
        <f t="shared" si="1"/>
        <v>2.8750016697241337E-2</v>
      </c>
      <c r="H48" s="18">
        <v>36081.03</v>
      </c>
      <c r="I48" s="18">
        <v>39871.440000000002</v>
      </c>
      <c r="J48" s="18">
        <v>335322.68</v>
      </c>
    </row>
    <row r="49" spans="1:10" x14ac:dyDescent="0.3">
      <c r="A49">
        <v>48</v>
      </c>
      <c r="B49" s="17">
        <v>46296</v>
      </c>
      <c r="C49" s="18">
        <v>335322.68</v>
      </c>
      <c r="D49" s="18">
        <v>812.63</v>
      </c>
      <c r="E49" s="16">
        <f t="shared" si="0"/>
        <v>2.9081122696502371E-2</v>
      </c>
      <c r="F49" s="18">
        <v>803.38</v>
      </c>
      <c r="G49" s="16">
        <f t="shared" si="1"/>
        <v>2.8750098263559148E-2</v>
      </c>
      <c r="H49" s="18">
        <v>36893.660000000003</v>
      </c>
      <c r="I49" s="18">
        <v>40674.82</v>
      </c>
      <c r="J49" s="18">
        <v>334510.05</v>
      </c>
    </row>
    <row r="50" spans="1:10" x14ac:dyDescent="0.3">
      <c r="A50">
        <v>49</v>
      </c>
      <c r="B50" s="17">
        <v>46327</v>
      </c>
      <c r="C50" s="18">
        <v>334510.05</v>
      </c>
      <c r="D50" s="18">
        <v>814.58</v>
      </c>
      <c r="E50" s="16">
        <f t="shared" si="0"/>
        <v>2.9221722934781785E-2</v>
      </c>
      <c r="F50" s="18">
        <v>801.43</v>
      </c>
      <c r="G50" s="16">
        <f t="shared" si="1"/>
        <v>2.8749988229053208E-2</v>
      </c>
      <c r="H50" s="18">
        <v>37708.239999999998</v>
      </c>
      <c r="I50" s="18">
        <v>41476.25</v>
      </c>
      <c r="J50" s="18">
        <v>333695.46999999997</v>
      </c>
    </row>
    <row r="51" spans="1:10" x14ac:dyDescent="0.3">
      <c r="A51">
        <v>50</v>
      </c>
      <c r="B51" s="17">
        <v>46357</v>
      </c>
      <c r="C51" s="18">
        <v>333695.46999999997</v>
      </c>
      <c r="D51" s="18">
        <v>816.53</v>
      </c>
      <c r="E51" s="16">
        <f t="shared" si="0"/>
        <v>2.9363179548107143E-2</v>
      </c>
      <c r="F51" s="18">
        <v>799.48</v>
      </c>
      <c r="G51" s="16">
        <f t="shared" si="1"/>
        <v>2.8750045662891383E-2</v>
      </c>
      <c r="H51" s="18">
        <v>38524.769999999997</v>
      </c>
      <c r="I51" s="18">
        <v>42275.73</v>
      </c>
      <c r="J51" s="18">
        <v>332878.94</v>
      </c>
    </row>
    <row r="52" spans="1:10" x14ac:dyDescent="0.3">
      <c r="A52">
        <v>51</v>
      </c>
      <c r="B52" s="17">
        <v>46388</v>
      </c>
      <c r="C52" s="18">
        <v>332878.94</v>
      </c>
      <c r="D52" s="18">
        <v>818.49</v>
      </c>
      <c r="E52" s="16">
        <f t="shared" si="0"/>
        <v>2.950586180068946E-2</v>
      </c>
      <c r="F52" s="18">
        <v>797.52</v>
      </c>
      <c r="G52" s="16">
        <f t="shared" si="1"/>
        <v>2.8749911304091512E-2</v>
      </c>
      <c r="H52" s="18">
        <v>39343.26</v>
      </c>
      <c r="I52" s="18">
        <v>43073.25</v>
      </c>
      <c r="J52" s="18">
        <v>332060.45</v>
      </c>
    </row>
    <row r="53" spans="1:10" x14ac:dyDescent="0.3">
      <c r="A53">
        <v>52</v>
      </c>
      <c r="B53" s="17">
        <v>46419</v>
      </c>
      <c r="C53" s="18">
        <v>332060.45</v>
      </c>
      <c r="D53" s="18">
        <v>820.45</v>
      </c>
      <c r="E53" s="16">
        <f t="shared" si="0"/>
        <v>2.9649420760587415E-2</v>
      </c>
      <c r="F53" s="18">
        <v>795.56</v>
      </c>
      <c r="G53" s="16">
        <f t="shared" si="1"/>
        <v>2.8749945981221187E-2</v>
      </c>
      <c r="H53" s="18">
        <v>40163.71</v>
      </c>
      <c r="I53" s="18">
        <v>43868.81</v>
      </c>
      <c r="J53" s="18">
        <v>331240</v>
      </c>
    </row>
    <row r="54" spans="1:10" x14ac:dyDescent="0.3">
      <c r="A54">
        <v>53</v>
      </c>
      <c r="B54" s="17">
        <v>46447</v>
      </c>
      <c r="C54" s="18">
        <v>331240</v>
      </c>
      <c r="D54" s="18">
        <v>822.41</v>
      </c>
      <c r="E54" s="16">
        <f t="shared" si="0"/>
        <v>2.9793865475184159E-2</v>
      </c>
      <c r="F54" s="18">
        <v>793.6</v>
      </c>
      <c r="G54" s="16">
        <f t="shared" si="1"/>
        <v>2.8750150947953145E-2</v>
      </c>
      <c r="H54" s="18">
        <v>40986.120000000003</v>
      </c>
      <c r="I54" s="18">
        <v>44662.41</v>
      </c>
      <c r="J54" s="18">
        <v>330417.59000000003</v>
      </c>
    </row>
    <row r="55" spans="1:10" x14ac:dyDescent="0.3">
      <c r="A55">
        <v>54</v>
      </c>
      <c r="B55" s="17">
        <v>46478</v>
      </c>
      <c r="C55" s="18">
        <v>330417.59000000003</v>
      </c>
      <c r="D55" s="18">
        <v>824.38</v>
      </c>
      <c r="E55" s="16">
        <f t="shared" si="0"/>
        <v>2.9939568289932744E-2</v>
      </c>
      <c r="F55" s="18">
        <v>791.63</v>
      </c>
      <c r="G55" s="16">
        <f t="shared" si="1"/>
        <v>2.8750164299666973E-2</v>
      </c>
      <c r="H55" s="18">
        <v>41810.5</v>
      </c>
      <c r="I55" s="18">
        <v>45454.04</v>
      </c>
      <c r="J55" s="18">
        <v>329593.21000000002</v>
      </c>
    </row>
    <row r="56" spans="1:10" x14ac:dyDescent="0.3">
      <c r="A56">
        <v>55</v>
      </c>
      <c r="B56" s="17">
        <v>46508</v>
      </c>
      <c r="C56" s="18">
        <v>329593.21000000002</v>
      </c>
      <c r="D56" s="18">
        <v>826.36</v>
      </c>
      <c r="E56" s="16">
        <f t="shared" si="0"/>
        <v>3.0086542134772742E-2</v>
      </c>
      <c r="F56" s="18">
        <v>789.65</v>
      </c>
      <c r="G56" s="16">
        <f t="shared" si="1"/>
        <v>2.8749985474518722E-2</v>
      </c>
      <c r="H56" s="18">
        <v>42636.86</v>
      </c>
      <c r="I56" s="18">
        <v>46243.69</v>
      </c>
      <c r="J56" s="18">
        <v>328766.84999999998</v>
      </c>
    </row>
    <row r="57" spans="1:10" x14ac:dyDescent="0.3">
      <c r="A57">
        <v>56</v>
      </c>
      <c r="B57" s="17">
        <v>46539</v>
      </c>
      <c r="C57" s="18">
        <v>328766.84999999998</v>
      </c>
      <c r="D57" s="18">
        <v>828.34</v>
      </c>
      <c r="E57" s="16">
        <f t="shared" si="0"/>
        <v>3.0234435132374206E-2</v>
      </c>
      <c r="F57" s="18">
        <v>787.67</v>
      </c>
      <c r="G57" s="16">
        <f t="shared" si="1"/>
        <v>2.8749978898419962E-2</v>
      </c>
      <c r="H57" s="18">
        <v>43465.2</v>
      </c>
      <c r="I57" s="18">
        <v>47031.360000000001</v>
      </c>
      <c r="J57" s="18">
        <v>327938.51</v>
      </c>
    </row>
    <row r="58" spans="1:10" x14ac:dyDescent="0.3">
      <c r="A58">
        <v>57</v>
      </c>
      <c r="B58" s="17">
        <v>46569</v>
      </c>
      <c r="C58" s="18">
        <v>327938.51</v>
      </c>
      <c r="D58" s="18">
        <v>830.32</v>
      </c>
      <c r="E58" s="16">
        <f t="shared" si="0"/>
        <v>3.0383256909961565E-2</v>
      </c>
      <c r="F58" s="18">
        <v>785.69</v>
      </c>
      <c r="G58" s="16">
        <f t="shared" si="1"/>
        <v>2.8750145873383398E-2</v>
      </c>
      <c r="H58" s="18">
        <v>44295.53</v>
      </c>
      <c r="I58" s="18">
        <v>47817.04</v>
      </c>
      <c r="J58" s="18">
        <v>327108.18</v>
      </c>
    </row>
    <row r="59" spans="1:10" x14ac:dyDescent="0.3">
      <c r="A59">
        <v>58</v>
      </c>
      <c r="B59" s="17">
        <v>46600</v>
      </c>
      <c r="C59" s="18">
        <v>327108.18</v>
      </c>
      <c r="D59" s="18">
        <v>832.31</v>
      </c>
      <c r="E59" s="16">
        <f t="shared" si="0"/>
        <v>3.0533385010426826E-2</v>
      </c>
      <c r="F59" s="18">
        <v>783.7</v>
      </c>
      <c r="G59" s="16">
        <f t="shared" si="1"/>
        <v>2.8750121748713227E-2</v>
      </c>
      <c r="H59" s="18">
        <v>45127.839999999997</v>
      </c>
      <c r="I59" s="18">
        <v>48600.74</v>
      </c>
      <c r="J59" s="18">
        <v>326275.87</v>
      </c>
    </row>
    <row r="60" spans="1:10" x14ac:dyDescent="0.3">
      <c r="A60">
        <v>59</v>
      </c>
      <c r="B60" s="17">
        <v>46631</v>
      </c>
      <c r="C60" s="18">
        <v>326275.87</v>
      </c>
      <c r="D60" s="18">
        <v>834.31</v>
      </c>
      <c r="E60" s="16">
        <f t="shared" si="0"/>
        <v>3.068483121353718E-2</v>
      </c>
      <c r="F60" s="18">
        <v>781.7</v>
      </c>
      <c r="G60" s="16">
        <f t="shared" si="1"/>
        <v>2.8749904183842958E-2</v>
      </c>
      <c r="H60" s="18">
        <v>45962.15</v>
      </c>
      <c r="I60" s="18">
        <v>49382.44</v>
      </c>
      <c r="J60" s="18">
        <v>325441.56</v>
      </c>
    </row>
    <row r="61" spans="1:10" x14ac:dyDescent="0.3">
      <c r="A61">
        <v>60</v>
      </c>
      <c r="B61" s="17">
        <v>46661</v>
      </c>
      <c r="C61" s="18">
        <v>325441.56</v>
      </c>
      <c r="D61" s="18">
        <v>836.31</v>
      </c>
      <c r="E61" s="16">
        <f t="shared" si="0"/>
        <v>3.0837241561895164E-2</v>
      </c>
      <c r="F61" s="18">
        <v>779.7</v>
      </c>
      <c r="G61" s="16">
        <f t="shared" si="1"/>
        <v>2.8749862187238781E-2</v>
      </c>
      <c r="H61" s="18">
        <v>46798.45</v>
      </c>
      <c r="I61" s="18">
        <v>50162.15</v>
      </c>
      <c r="J61" s="18">
        <v>324605.26</v>
      </c>
    </row>
    <row r="62" spans="1:10" x14ac:dyDescent="0.3">
      <c r="A62">
        <v>61</v>
      </c>
      <c r="B62" s="17">
        <v>46692</v>
      </c>
      <c r="C62" s="18">
        <v>324605.26</v>
      </c>
      <c r="D62" s="18">
        <v>838.31</v>
      </c>
      <c r="E62" s="16">
        <f t="shared" si="0"/>
        <v>3.0990625352158491E-2</v>
      </c>
      <c r="F62" s="18">
        <v>777.7</v>
      </c>
      <c r="G62" s="16">
        <f t="shared" si="1"/>
        <v>2.8749996226185619E-2</v>
      </c>
      <c r="H62" s="18">
        <v>47636.76</v>
      </c>
      <c r="I62" s="18">
        <v>50939.85</v>
      </c>
      <c r="J62" s="18">
        <v>323766.95</v>
      </c>
    </row>
    <row r="63" spans="1:10" x14ac:dyDescent="0.3">
      <c r="A63">
        <v>62</v>
      </c>
      <c r="B63" s="17">
        <v>46722</v>
      </c>
      <c r="C63" s="18">
        <v>323766.95</v>
      </c>
      <c r="D63" s="18">
        <v>840.32</v>
      </c>
      <c r="E63" s="16">
        <f t="shared" si="0"/>
        <v>3.1145365516770628E-2</v>
      </c>
      <c r="F63" s="18">
        <v>775.69</v>
      </c>
      <c r="G63" s="16">
        <f t="shared" si="1"/>
        <v>2.8749938806292615E-2</v>
      </c>
      <c r="H63" s="18">
        <v>48477.08</v>
      </c>
      <c r="I63" s="18">
        <v>51715.54</v>
      </c>
      <c r="J63" s="18">
        <v>322926.63</v>
      </c>
    </row>
    <row r="64" spans="1:10" x14ac:dyDescent="0.3">
      <c r="A64">
        <v>63</v>
      </c>
      <c r="B64" s="17">
        <v>46753</v>
      </c>
      <c r="C64" s="18">
        <v>322926.63</v>
      </c>
      <c r="D64" s="18">
        <v>842.33</v>
      </c>
      <c r="E64" s="16">
        <f t="shared" si="0"/>
        <v>3.1301103907101127E-2</v>
      </c>
      <c r="F64" s="18">
        <v>773.68</v>
      </c>
      <c r="G64" s="16">
        <f t="shared" si="1"/>
        <v>2.8750060036857285E-2</v>
      </c>
      <c r="H64" s="18">
        <v>49319.41</v>
      </c>
      <c r="I64" s="18">
        <v>52489.22</v>
      </c>
      <c r="J64" s="18">
        <v>322084.3</v>
      </c>
    </row>
    <row r="65" spans="1:10" x14ac:dyDescent="0.3">
      <c r="A65">
        <v>64</v>
      </c>
      <c r="B65" s="17">
        <v>46784</v>
      </c>
      <c r="C65" s="18">
        <v>322084.3</v>
      </c>
      <c r="D65" s="18">
        <v>844.35</v>
      </c>
      <c r="E65" s="16">
        <f t="shared" si="0"/>
        <v>3.1458223825253206E-2</v>
      </c>
      <c r="F65" s="18">
        <v>771.66</v>
      </c>
      <c r="G65" s="16">
        <f t="shared" si="1"/>
        <v>2.8749988745182552E-2</v>
      </c>
      <c r="H65" s="18">
        <v>50163.76</v>
      </c>
      <c r="I65" s="18">
        <v>53260.88</v>
      </c>
      <c r="J65" s="18">
        <v>321239.95</v>
      </c>
    </row>
    <row r="66" spans="1:10" x14ac:dyDescent="0.3">
      <c r="A66">
        <v>65</v>
      </c>
      <c r="B66" s="17">
        <v>46813</v>
      </c>
      <c r="C66" s="18">
        <v>321239.95</v>
      </c>
      <c r="D66" s="18">
        <v>846.37</v>
      </c>
      <c r="E66" s="16">
        <f t="shared" si="0"/>
        <v>3.161636651979307E-2</v>
      </c>
      <c r="F66" s="18">
        <v>769.64</v>
      </c>
      <c r="G66" s="16">
        <f t="shared" si="1"/>
        <v>2.8750097862983728E-2</v>
      </c>
      <c r="H66" s="18">
        <v>51010.14</v>
      </c>
      <c r="I66" s="18">
        <v>54030.51</v>
      </c>
      <c r="J66" s="18">
        <v>320393.57</v>
      </c>
    </row>
    <row r="67" spans="1:10" x14ac:dyDescent="0.3">
      <c r="A67">
        <v>66</v>
      </c>
      <c r="B67" s="17">
        <v>46844</v>
      </c>
      <c r="C67" s="18">
        <v>320393.57</v>
      </c>
      <c r="D67" s="18">
        <v>848.4</v>
      </c>
      <c r="E67" s="16">
        <f t="shared" ref="E67:E130" si="2">(D67/C67)*12</f>
        <v>3.1775918599115452E-2</v>
      </c>
      <c r="F67" s="18">
        <v>767.61</v>
      </c>
      <c r="G67" s="16">
        <f t="shared" ref="G67:G130" si="3">(F67/C67)*12</f>
        <v>2.8750015176646646E-2</v>
      </c>
      <c r="H67" s="18">
        <v>51858.54</v>
      </c>
      <c r="I67" s="18">
        <v>54798.12</v>
      </c>
      <c r="J67" s="18">
        <v>319545.17</v>
      </c>
    </row>
    <row r="68" spans="1:10" x14ac:dyDescent="0.3">
      <c r="A68">
        <v>67</v>
      </c>
      <c r="B68" s="17">
        <v>46874</v>
      </c>
      <c r="C68" s="18">
        <v>319545.17</v>
      </c>
      <c r="D68" s="18">
        <v>850.43</v>
      </c>
      <c r="E68" s="16">
        <f t="shared" si="2"/>
        <v>3.1936517769929049E-2</v>
      </c>
      <c r="F68" s="18">
        <v>765.58</v>
      </c>
      <c r="G68" s="16">
        <f t="shared" si="3"/>
        <v>2.8750113794553681E-2</v>
      </c>
      <c r="H68" s="18">
        <v>52708.97</v>
      </c>
      <c r="I68" s="18">
        <v>55563.7</v>
      </c>
      <c r="J68" s="18">
        <v>318694.74</v>
      </c>
    </row>
    <row r="69" spans="1:10" x14ac:dyDescent="0.3">
      <c r="A69">
        <v>68</v>
      </c>
      <c r="B69" s="17">
        <v>46905</v>
      </c>
      <c r="C69" s="18">
        <v>318694.74</v>
      </c>
      <c r="D69" s="18">
        <v>852.47</v>
      </c>
      <c r="E69" s="16">
        <f t="shared" si="2"/>
        <v>3.2098552991492738E-2</v>
      </c>
      <c r="F69" s="18">
        <v>763.54</v>
      </c>
      <c r="G69" s="16">
        <f t="shared" si="3"/>
        <v>2.8750019532798064E-2</v>
      </c>
      <c r="H69" s="18">
        <v>53561.440000000002</v>
      </c>
      <c r="I69" s="18">
        <v>56327.24</v>
      </c>
      <c r="J69" s="18">
        <v>317842.27</v>
      </c>
    </row>
    <row r="70" spans="1:10" x14ac:dyDescent="0.3">
      <c r="A70">
        <v>69</v>
      </c>
      <c r="B70" s="17">
        <v>46935</v>
      </c>
      <c r="C70" s="18">
        <v>317842.27</v>
      </c>
      <c r="D70" s="18">
        <v>854.51</v>
      </c>
      <c r="E70" s="16">
        <f t="shared" si="2"/>
        <v>3.2261662364794969E-2</v>
      </c>
      <c r="F70" s="18">
        <v>761.5</v>
      </c>
      <c r="G70" s="16">
        <f t="shared" si="3"/>
        <v>2.8750109291630715E-2</v>
      </c>
      <c r="H70" s="18">
        <v>54415.95</v>
      </c>
      <c r="I70" s="18">
        <v>57088.74</v>
      </c>
      <c r="J70" s="18">
        <v>316987.76</v>
      </c>
    </row>
    <row r="71" spans="1:10" x14ac:dyDescent="0.3">
      <c r="A71">
        <v>70</v>
      </c>
      <c r="B71" s="17">
        <v>46966</v>
      </c>
      <c r="C71" s="18">
        <v>316987.76</v>
      </c>
      <c r="D71" s="18">
        <v>856.56</v>
      </c>
      <c r="E71" s="16">
        <f t="shared" si="2"/>
        <v>3.2426236268554974E-2</v>
      </c>
      <c r="F71" s="18">
        <v>759.45</v>
      </c>
      <c r="G71" s="16">
        <f t="shared" si="3"/>
        <v>2.8750005993922287E-2</v>
      </c>
      <c r="H71" s="18">
        <v>55272.51</v>
      </c>
      <c r="I71" s="18">
        <v>57848.19</v>
      </c>
      <c r="J71" s="18">
        <v>316131.20000000001</v>
      </c>
    </row>
    <row r="72" spans="1:10" x14ac:dyDescent="0.3">
      <c r="A72">
        <v>71</v>
      </c>
      <c r="B72" s="17">
        <v>46997</v>
      </c>
      <c r="C72" s="18">
        <v>316131.20000000001</v>
      </c>
      <c r="D72" s="18">
        <v>858.61</v>
      </c>
      <c r="E72" s="16">
        <f t="shared" si="2"/>
        <v>3.2591911206486419E-2</v>
      </c>
      <c r="F72" s="18">
        <v>757.4</v>
      </c>
      <c r="G72" s="16">
        <f t="shared" si="3"/>
        <v>2.8750088570821227E-2</v>
      </c>
      <c r="H72" s="18">
        <v>56131.13</v>
      </c>
      <c r="I72" s="18">
        <v>58605.58</v>
      </c>
      <c r="J72" s="18">
        <v>315272.58</v>
      </c>
    </row>
    <row r="73" spans="1:10" x14ac:dyDescent="0.3">
      <c r="A73">
        <v>72</v>
      </c>
      <c r="B73" s="17">
        <v>47027</v>
      </c>
      <c r="C73" s="18">
        <v>315272.58</v>
      </c>
      <c r="D73" s="18">
        <v>860.67</v>
      </c>
      <c r="E73" s="16">
        <f t="shared" si="2"/>
        <v>3.275908104662955E-2</v>
      </c>
      <c r="F73" s="18">
        <v>755.34</v>
      </c>
      <c r="G73" s="16">
        <f t="shared" si="3"/>
        <v>2.8749978827844781E-2</v>
      </c>
      <c r="H73" s="18">
        <v>56991.8</v>
      </c>
      <c r="I73" s="18">
        <v>59360.92</v>
      </c>
      <c r="J73" s="18">
        <v>314411.90999999997</v>
      </c>
    </row>
    <row r="74" spans="1:10" x14ac:dyDescent="0.3">
      <c r="A74">
        <v>73</v>
      </c>
      <c r="B74" s="17">
        <v>47058</v>
      </c>
      <c r="C74" s="18">
        <v>314411.90999999997</v>
      </c>
      <c r="D74" s="18">
        <v>862.73</v>
      </c>
      <c r="E74" s="16">
        <f t="shared" si="2"/>
        <v>3.2927378609798851E-2</v>
      </c>
      <c r="F74" s="18">
        <v>753.28</v>
      </c>
      <c r="G74" s="16">
        <f t="shared" si="3"/>
        <v>2.8750055937766479E-2</v>
      </c>
      <c r="H74" s="18">
        <v>57854.53</v>
      </c>
      <c r="I74" s="18">
        <v>60114.2</v>
      </c>
      <c r="J74" s="18">
        <v>313549.18</v>
      </c>
    </row>
    <row r="75" spans="1:10" x14ac:dyDescent="0.3">
      <c r="A75">
        <v>74</v>
      </c>
      <c r="B75" s="17">
        <v>47088</v>
      </c>
      <c r="C75" s="18">
        <v>313549.18</v>
      </c>
      <c r="D75" s="18">
        <v>864.8</v>
      </c>
      <c r="E75" s="16">
        <f t="shared" si="2"/>
        <v>3.3097200254199356E-2</v>
      </c>
      <c r="F75" s="18">
        <v>751.21</v>
      </c>
      <c r="G75" s="16">
        <f t="shared" si="3"/>
        <v>2.8749939642642344E-2</v>
      </c>
      <c r="H75" s="18">
        <v>58719.32</v>
      </c>
      <c r="I75" s="18">
        <v>60865.42</v>
      </c>
      <c r="J75" s="18">
        <v>312684.39</v>
      </c>
    </row>
    <row r="76" spans="1:10" x14ac:dyDescent="0.3">
      <c r="A76">
        <v>75</v>
      </c>
      <c r="B76" s="17">
        <v>47119</v>
      </c>
      <c r="C76" s="18">
        <v>312684.39</v>
      </c>
      <c r="D76" s="18">
        <v>866.87</v>
      </c>
      <c r="E76" s="16">
        <f t="shared" si="2"/>
        <v>3.3268178178002428E-2</v>
      </c>
      <c r="F76" s="18">
        <v>749.14</v>
      </c>
      <c r="G76" s="16">
        <f t="shared" si="3"/>
        <v>2.8750012112852833E-2</v>
      </c>
      <c r="H76" s="18">
        <v>59586.2</v>
      </c>
      <c r="I76" s="18">
        <v>61614.55</v>
      </c>
      <c r="J76" s="18">
        <v>311817.51</v>
      </c>
    </row>
    <row r="77" spans="1:10" x14ac:dyDescent="0.3">
      <c r="A77">
        <v>76</v>
      </c>
      <c r="B77" s="17">
        <v>47150</v>
      </c>
      <c r="C77" s="18">
        <v>311817.51</v>
      </c>
      <c r="D77" s="18">
        <v>868.95</v>
      </c>
      <c r="E77" s="16">
        <f t="shared" si="2"/>
        <v>3.3440713448067753E-2</v>
      </c>
      <c r="F77" s="18">
        <v>747.06</v>
      </c>
      <c r="G77" s="16">
        <f t="shared" si="3"/>
        <v>2.8749892845979043E-2</v>
      </c>
      <c r="H77" s="18">
        <v>60455.14</v>
      </c>
      <c r="I77" s="18">
        <v>62361.62</v>
      </c>
      <c r="J77" s="18">
        <v>310948.57</v>
      </c>
    </row>
    <row r="78" spans="1:10" x14ac:dyDescent="0.3">
      <c r="A78">
        <v>77</v>
      </c>
      <c r="B78" s="17">
        <v>47178</v>
      </c>
      <c r="C78" s="18">
        <v>310948.57</v>
      </c>
      <c r="D78" s="18">
        <v>871.03</v>
      </c>
      <c r="E78" s="16">
        <f t="shared" si="2"/>
        <v>3.3614433409357693E-2</v>
      </c>
      <c r="F78" s="18">
        <v>744.98</v>
      </c>
      <c r="G78" s="16">
        <f t="shared" si="3"/>
        <v>2.8749963378188234E-2</v>
      </c>
      <c r="H78" s="18">
        <v>61326.17</v>
      </c>
      <c r="I78" s="18">
        <v>63106.6</v>
      </c>
      <c r="J78" s="18">
        <v>310077.53999999998</v>
      </c>
    </row>
    <row r="79" spans="1:10" x14ac:dyDescent="0.3">
      <c r="A79">
        <v>78</v>
      </c>
      <c r="B79" s="17">
        <v>47209</v>
      </c>
      <c r="C79" s="18">
        <v>310077.53999999998</v>
      </c>
      <c r="D79" s="18">
        <v>873.12</v>
      </c>
      <c r="E79" s="16">
        <f t="shared" si="2"/>
        <v>3.3789741752982175E-2</v>
      </c>
      <c r="F79" s="18">
        <v>742.89</v>
      </c>
      <c r="G79" s="16">
        <f t="shared" si="3"/>
        <v>2.874984108813557E-2</v>
      </c>
      <c r="H79" s="18">
        <v>62199.29</v>
      </c>
      <c r="I79" s="18">
        <v>63849.49</v>
      </c>
      <c r="J79" s="18">
        <v>309204.42</v>
      </c>
    </row>
    <row r="80" spans="1:10" x14ac:dyDescent="0.3">
      <c r="A80">
        <v>79</v>
      </c>
      <c r="B80" s="17">
        <v>47239</v>
      </c>
      <c r="C80" s="18">
        <v>309204.42</v>
      </c>
      <c r="D80" s="18">
        <v>875.21</v>
      </c>
      <c r="E80" s="16">
        <f t="shared" si="2"/>
        <v>3.3966267364483348E-2</v>
      </c>
      <c r="F80" s="18">
        <v>740.8</v>
      </c>
      <c r="G80" s="16">
        <f t="shared" si="3"/>
        <v>2.8749912436568666E-2</v>
      </c>
      <c r="H80" s="18">
        <v>63074.5</v>
      </c>
      <c r="I80" s="18">
        <v>64590.29</v>
      </c>
      <c r="J80" s="18">
        <v>308329.21000000002</v>
      </c>
    </row>
    <row r="81" spans="1:10" x14ac:dyDescent="0.3">
      <c r="A81">
        <v>80</v>
      </c>
      <c r="B81" s="17">
        <v>47270</v>
      </c>
      <c r="C81" s="18">
        <v>308329.21000000002</v>
      </c>
      <c r="D81" s="18">
        <v>877.3</v>
      </c>
      <c r="E81" s="16">
        <f t="shared" si="2"/>
        <v>3.4144024174680043E-2</v>
      </c>
      <c r="F81" s="18">
        <v>738.71</v>
      </c>
      <c r="G81" s="16">
        <f t="shared" si="3"/>
        <v>2.8750179069962262E-2</v>
      </c>
      <c r="H81" s="18">
        <v>63951.8</v>
      </c>
      <c r="I81" s="18">
        <v>65329</v>
      </c>
      <c r="J81" s="18">
        <v>307451.90999999997</v>
      </c>
    </row>
    <row r="82" spans="1:10" x14ac:dyDescent="0.3">
      <c r="A82">
        <v>81</v>
      </c>
      <c r="B82" s="17">
        <v>47300</v>
      </c>
      <c r="C82" s="18">
        <v>307451.90999999997</v>
      </c>
      <c r="D82" s="18">
        <v>879.41</v>
      </c>
      <c r="E82" s="16">
        <f t="shared" si="2"/>
        <v>3.432380693292815E-2</v>
      </c>
      <c r="F82" s="18">
        <v>736.6</v>
      </c>
      <c r="G82" s="16">
        <f t="shared" si="3"/>
        <v>2.874986205159695E-2</v>
      </c>
      <c r="H82" s="18">
        <v>64831.21</v>
      </c>
      <c r="I82" s="18">
        <v>66065.600000000006</v>
      </c>
      <c r="J82" s="18">
        <v>306572.5</v>
      </c>
    </row>
    <row r="83" spans="1:10" x14ac:dyDescent="0.3">
      <c r="A83">
        <v>82</v>
      </c>
      <c r="B83" s="17">
        <v>47331</v>
      </c>
      <c r="C83" s="18">
        <v>306572.5</v>
      </c>
      <c r="D83" s="18">
        <v>881.51</v>
      </c>
      <c r="E83" s="16">
        <f t="shared" si="2"/>
        <v>3.4504464686167219E-2</v>
      </c>
      <c r="F83" s="18">
        <v>734.5</v>
      </c>
      <c r="G83" s="16">
        <f t="shared" si="3"/>
        <v>2.8750132513516376E-2</v>
      </c>
      <c r="H83" s="18">
        <v>65712.72</v>
      </c>
      <c r="I83" s="18">
        <v>66800.100000000006</v>
      </c>
      <c r="J83" s="18">
        <v>305690.99</v>
      </c>
    </row>
    <row r="84" spans="1:10" x14ac:dyDescent="0.3">
      <c r="A84">
        <v>83</v>
      </c>
      <c r="B84" s="17">
        <v>47362</v>
      </c>
      <c r="C84" s="18">
        <v>305690.99</v>
      </c>
      <c r="D84" s="18">
        <v>883.63</v>
      </c>
      <c r="E84" s="16">
        <f t="shared" si="2"/>
        <v>3.4687185252008902E-2</v>
      </c>
      <c r="F84" s="18">
        <v>732.38</v>
      </c>
      <c r="G84" s="16">
        <f t="shared" si="3"/>
        <v>2.8749816931143438E-2</v>
      </c>
      <c r="H84" s="18">
        <v>66596.34</v>
      </c>
      <c r="I84" s="18">
        <v>67532.490000000005</v>
      </c>
      <c r="J84" s="18">
        <v>304807.37</v>
      </c>
    </row>
    <row r="85" spans="1:10" x14ac:dyDescent="0.3">
      <c r="A85">
        <v>84</v>
      </c>
      <c r="B85" s="17">
        <v>47392</v>
      </c>
      <c r="C85" s="18">
        <v>304807.37</v>
      </c>
      <c r="D85" s="18">
        <v>885.74</v>
      </c>
      <c r="E85" s="16">
        <f t="shared" si="2"/>
        <v>3.4870810374434194E-2</v>
      </c>
      <c r="F85" s="18">
        <v>730.27</v>
      </c>
      <c r="G85" s="16">
        <f t="shared" si="3"/>
        <v>2.8750092230381441E-2</v>
      </c>
      <c r="H85" s="18">
        <v>67482.09</v>
      </c>
      <c r="I85" s="18">
        <v>68262.75</v>
      </c>
      <c r="J85" s="18">
        <v>303921.62</v>
      </c>
    </row>
    <row r="86" spans="1:10" x14ac:dyDescent="0.3">
      <c r="A86">
        <v>85</v>
      </c>
      <c r="B86" s="17">
        <v>47423</v>
      </c>
      <c r="C86" s="18">
        <v>303921.62</v>
      </c>
      <c r="D86" s="18">
        <v>887.86</v>
      </c>
      <c r="E86" s="16">
        <f t="shared" si="2"/>
        <v>3.5056143751800217E-2</v>
      </c>
      <c r="F86" s="18">
        <v>728.15</v>
      </c>
      <c r="G86" s="16">
        <f t="shared" si="3"/>
        <v>2.8750175785454159E-2</v>
      </c>
      <c r="H86" s="18">
        <v>68369.95</v>
      </c>
      <c r="I86" s="18">
        <v>68990.899999999994</v>
      </c>
      <c r="J86" s="18">
        <v>303033.76</v>
      </c>
    </row>
    <row r="87" spans="1:10" x14ac:dyDescent="0.3">
      <c r="A87">
        <v>86</v>
      </c>
      <c r="B87" s="17">
        <v>47453</v>
      </c>
      <c r="C87" s="18">
        <v>303033.76</v>
      </c>
      <c r="D87" s="18">
        <v>889.99</v>
      </c>
      <c r="E87" s="16">
        <f t="shared" si="2"/>
        <v>3.5243201945552201E-2</v>
      </c>
      <c r="F87" s="18">
        <v>726.02</v>
      </c>
      <c r="G87" s="16">
        <f t="shared" si="3"/>
        <v>2.8750064019269665E-2</v>
      </c>
      <c r="H87" s="18">
        <v>69259.94</v>
      </c>
      <c r="I87" s="18">
        <v>69716.92</v>
      </c>
      <c r="J87" s="18">
        <v>302143.77</v>
      </c>
    </row>
    <row r="88" spans="1:10" x14ac:dyDescent="0.3">
      <c r="A88">
        <v>87</v>
      </c>
      <c r="B88" s="17">
        <v>47484</v>
      </c>
      <c r="C88" s="18">
        <v>302143.77</v>
      </c>
      <c r="D88" s="18">
        <v>892.12</v>
      </c>
      <c r="E88" s="16">
        <f t="shared" si="2"/>
        <v>3.5431609263364916E-2</v>
      </c>
      <c r="F88" s="18">
        <v>723.89</v>
      </c>
      <c r="G88" s="16">
        <f t="shared" si="3"/>
        <v>2.8750154272583546E-2</v>
      </c>
      <c r="H88" s="18">
        <v>70152.070000000007</v>
      </c>
      <c r="I88" s="18">
        <v>70440.800000000003</v>
      </c>
      <c r="J88" s="18">
        <v>301251.64</v>
      </c>
    </row>
    <row r="89" spans="1:10" x14ac:dyDescent="0.3">
      <c r="A89">
        <v>88</v>
      </c>
      <c r="B89" s="17">
        <v>47515</v>
      </c>
      <c r="C89" s="18">
        <v>301251.64</v>
      </c>
      <c r="D89" s="18">
        <v>894.26</v>
      </c>
      <c r="E89" s="16">
        <f t="shared" si="2"/>
        <v>3.562178117934893E-2</v>
      </c>
      <c r="F89" s="18">
        <v>721.75</v>
      </c>
      <c r="G89" s="16">
        <f t="shared" si="3"/>
        <v>2.8750050954079454E-2</v>
      </c>
      <c r="H89" s="18">
        <v>71046.33</v>
      </c>
      <c r="I89" s="18">
        <v>71162.55</v>
      </c>
      <c r="J89" s="18">
        <v>300357.38</v>
      </c>
    </row>
    <row r="90" spans="1:10" x14ac:dyDescent="0.3">
      <c r="A90">
        <v>89</v>
      </c>
      <c r="B90" s="17">
        <v>47543</v>
      </c>
      <c r="C90" s="18">
        <v>300357.38</v>
      </c>
      <c r="D90" s="18">
        <v>896.4</v>
      </c>
      <c r="E90" s="16">
        <f t="shared" si="2"/>
        <v>3.581333676568893E-2</v>
      </c>
      <c r="F90" s="18">
        <v>719.61</v>
      </c>
      <c r="G90" s="16">
        <f t="shared" si="3"/>
        <v>2.8750150903566942E-2</v>
      </c>
      <c r="H90" s="18">
        <v>71942.73</v>
      </c>
      <c r="I90" s="18">
        <v>71882.16</v>
      </c>
      <c r="J90" s="18">
        <v>299460.98</v>
      </c>
    </row>
    <row r="91" spans="1:10" x14ac:dyDescent="0.3">
      <c r="A91">
        <v>90</v>
      </c>
      <c r="B91" s="17">
        <v>47574</v>
      </c>
      <c r="C91" s="18">
        <v>299460.98</v>
      </c>
      <c r="D91" s="18">
        <v>898.55</v>
      </c>
      <c r="E91" s="16">
        <f t="shared" si="2"/>
        <v>3.6006694428102115E-2</v>
      </c>
      <c r="F91" s="18">
        <v>717.46</v>
      </c>
      <c r="G91" s="16">
        <f t="shared" si="3"/>
        <v>2.8750056184281506E-2</v>
      </c>
      <c r="H91" s="18">
        <v>72841.279999999999</v>
      </c>
      <c r="I91" s="18">
        <v>72599.62</v>
      </c>
      <c r="J91" s="18">
        <v>298562.43</v>
      </c>
    </row>
    <row r="92" spans="1:10" x14ac:dyDescent="0.3">
      <c r="A92">
        <v>91</v>
      </c>
      <c r="B92" s="17">
        <v>47604</v>
      </c>
      <c r="C92" s="18">
        <v>298562.43</v>
      </c>
      <c r="D92" s="18">
        <v>900.7</v>
      </c>
      <c r="E92" s="16">
        <f t="shared" si="2"/>
        <v>3.620147384250591E-2</v>
      </c>
      <c r="F92" s="18">
        <v>715.31</v>
      </c>
      <c r="G92" s="16">
        <f t="shared" si="3"/>
        <v>2.875016792970234E-2</v>
      </c>
      <c r="H92" s="18">
        <v>73741.990000000005</v>
      </c>
      <c r="I92" s="18">
        <v>73314.92</v>
      </c>
      <c r="J92" s="18">
        <v>297661.71999999997</v>
      </c>
    </row>
    <row r="93" spans="1:10" x14ac:dyDescent="0.3">
      <c r="A93">
        <v>92</v>
      </c>
      <c r="B93" s="17">
        <v>47635</v>
      </c>
      <c r="C93" s="18">
        <v>297661.71999999997</v>
      </c>
      <c r="D93" s="18">
        <v>902.86</v>
      </c>
      <c r="E93" s="16">
        <f t="shared" si="2"/>
        <v>3.6398096470046604E-2</v>
      </c>
      <c r="F93" s="18">
        <v>713.15</v>
      </c>
      <c r="G93" s="16">
        <f t="shared" si="3"/>
        <v>2.8750085835692947E-2</v>
      </c>
      <c r="H93" s="18">
        <v>74644.850000000006</v>
      </c>
      <c r="I93" s="18">
        <v>74028.070000000007</v>
      </c>
      <c r="J93" s="18">
        <v>296758.86</v>
      </c>
    </row>
    <row r="94" spans="1:10" x14ac:dyDescent="0.3">
      <c r="A94">
        <v>93</v>
      </c>
      <c r="B94" s="17">
        <v>47665</v>
      </c>
      <c r="C94" s="18">
        <v>296758.86</v>
      </c>
      <c r="D94" s="18">
        <v>905.03</v>
      </c>
      <c r="E94" s="16">
        <f t="shared" si="2"/>
        <v>3.6596582154278391E-2</v>
      </c>
      <c r="F94" s="18">
        <v>710.98</v>
      </c>
      <c r="G94" s="16">
        <f t="shared" si="3"/>
        <v>2.8749807166667245E-2</v>
      </c>
      <c r="H94" s="18">
        <v>75549.88</v>
      </c>
      <c r="I94" s="18">
        <v>74739.05</v>
      </c>
      <c r="J94" s="18">
        <v>295853.83</v>
      </c>
    </row>
    <row r="95" spans="1:10" x14ac:dyDescent="0.3">
      <c r="A95">
        <v>94</v>
      </c>
      <c r="B95" s="17">
        <v>47696</v>
      </c>
      <c r="C95" s="18">
        <v>295853.83</v>
      </c>
      <c r="D95" s="18">
        <v>907.19</v>
      </c>
      <c r="E95" s="16">
        <f t="shared" si="2"/>
        <v>3.6796143555079208E-2</v>
      </c>
      <c r="F95" s="18">
        <v>708.82</v>
      </c>
      <c r="G95" s="16">
        <f t="shared" si="3"/>
        <v>2.8750143271763628E-2</v>
      </c>
      <c r="H95" s="18">
        <v>76457.070000000007</v>
      </c>
      <c r="I95" s="18">
        <v>75447.87</v>
      </c>
      <c r="J95" s="18">
        <v>294946.64</v>
      </c>
    </row>
    <row r="96" spans="1:10" x14ac:dyDescent="0.3">
      <c r="A96">
        <v>95</v>
      </c>
      <c r="B96" s="17">
        <v>47727</v>
      </c>
      <c r="C96" s="18">
        <v>294946.64</v>
      </c>
      <c r="D96" s="18">
        <v>909.37</v>
      </c>
      <c r="E96" s="16">
        <f t="shared" si="2"/>
        <v>3.6998014284888955E-2</v>
      </c>
      <c r="F96" s="18">
        <v>706.64</v>
      </c>
      <c r="G96" s="16">
        <f t="shared" si="3"/>
        <v>2.8749878283068422E-2</v>
      </c>
      <c r="H96" s="18">
        <v>77366.44</v>
      </c>
      <c r="I96" s="18">
        <v>76154.509999999995</v>
      </c>
      <c r="J96" s="18">
        <v>294037.27</v>
      </c>
    </row>
    <row r="97" spans="1:10" x14ac:dyDescent="0.3">
      <c r="A97">
        <v>96</v>
      </c>
      <c r="B97" s="17">
        <v>47757</v>
      </c>
      <c r="C97" s="18">
        <v>294037.27</v>
      </c>
      <c r="D97" s="18">
        <v>911.55</v>
      </c>
      <c r="E97" s="16">
        <f t="shared" si="2"/>
        <v>3.7201406474764234E-2</v>
      </c>
      <c r="F97" s="18">
        <v>704.46</v>
      </c>
      <c r="G97" s="16">
        <f t="shared" si="3"/>
        <v>2.8749824809623625E-2</v>
      </c>
      <c r="H97" s="18">
        <v>78277.98</v>
      </c>
      <c r="I97" s="18">
        <v>76858.98</v>
      </c>
      <c r="J97" s="18">
        <v>293125.73</v>
      </c>
    </row>
    <row r="98" spans="1:10" x14ac:dyDescent="0.3">
      <c r="A98">
        <v>97</v>
      </c>
      <c r="B98" s="17">
        <v>47788</v>
      </c>
      <c r="C98" s="18">
        <v>293125.73</v>
      </c>
      <c r="D98" s="18">
        <v>913.73</v>
      </c>
      <c r="E98" s="16">
        <f t="shared" si="2"/>
        <v>3.7406337546690288E-2</v>
      </c>
      <c r="F98" s="18">
        <v>702.28</v>
      </c>
      <c r="G98" s="16">
        <f t="shared" si="3"/>
        <v>2.8749983837993341E-2</v>
      </c>
      <c r="H98" s="18">
        <v>79191.710000000006</v>
      </c>
      <c r="I98" s="18">
        <v>77561.259999999995</v>
      </c>
      <c r="J98" s="18">
        <v>292212</v>
      </c>
    </row>
    <row r="99" spans="1:10" x14ac:dyDescent="0.3">
      <c r="A99">
        <v>98</v>
      </c>
      <c r="B99" s="17">
        <v>47818</v>
      </c>
      <c r="C99" s="18">
        <v>292212</v>
      </c>
      <c r="D99" s="18">
        <v>915.92</v>
      </c>
      <c r="E99" s="16">
        <f t="shared" si="2"/>
        <v>3.7613239702681614E-2</v>
      </c>
      <c r="F99" s="18">
        <v>700.09</v>
      </c>
      <c r="G99" s="16">
        <f t="shared" si="3"/>
        <v>2.8749948667405857E-2</v>
      </c>
      <c r="H99" s="18">
        <v>80107.63</v>
      </c>
      <c r="I99" s="18">
        <v>78261.350000000006</v>
      </c>
      <c r="J99" s="18">
        <v>291296.08</v>
      </c>
    </row>
    <row r="100" spans="1:10" x14ac:dyDescent="0.3">
      <c r="A100">
        <v>99</v>
      </c>
      <c r="B100" s="17">
        <v>47849</v>
      </c>
      <c r="C100" s="18">
        <v>291296.08</v>
      </c>
      <c r="D100" s="18">
        <v>918.11</v>
      </c>
      <c r="E100" s="16">
        <f t="shared" si="2"/>
        <v>3.7821724205832088E-2</v>
      </c>
      <c r="F100" s="18">
        <v>697.9</v>
      </c>
      <c r="G100" s="16">
        <f t="shared" si="3"/>
        <v>2.8750129421583698E-2</v>
      </c>
      <c r="H100" s="18">
        <v>81025.740000000005</v>
      </c>
      <c r="I100" s="18">
        <v>78959.25</v>
      </c>
      <c r="J100" s="18">
        <v>290377.96999999997</v>
      </c>
    </row>
    <row r="101" spans="1:10" x14ac:dyDescent="0.3">
      <c r="A101">
        <v>100</v>
      </c>
      <c r="B101" s="17">
        <v>47880</v>
      </c>
      <c r="C101" s="18">
        <v>290377.96999999997</v>
      </c>
      <c r="D101" s="18">
        <v>920.31</v>
      </c>
      <c r="E101" s="16">
        <f t="shared" si="2"/>
        <v>3.8032224001014955E-2</v>
      </c>
      <c r="F101" s="18">
        <v>695.7</v>
      </c>
      <c r="G101" s="16">
        <f t="shared" si="3"/>
        <v>2.8750114893357791E-2</v>
      </c>
      <c r="H101" s="18">
        <v>81946.06</v>
      </c>
      <c r="I101" s="18">
        <v>79654.94</v>
      </c>
      <c r="J101" s="18">
        <v>289457.65000000002</v>
      </c>
    </row>
    <row r="102" spans="1:10" x14ac:dyDescent="0.3">
      <c r="A102">
        <v>101</v>
      </c>
      <c r="B102" s="17">
        <v>47908</v>
      </c>
      <c r="C102" s="18">
        <v>289457.65000000002</v>
      </c>
      <c r="D102" s="18">
        <v>922.52</v>
      </c>
      <c r="E102" s="16">
        <f t="shared" si="2"/>
        <v>3.8244765685066531E-2</v>
      </c>
      <c r="F102" s="18">
        <v>693.49</v>
      </c>
      <c r="G102" s="16">
        <f t="shared" si="3"/>
        <v>2.8749905210658622E-2</v>
      </c>
      <c r="H102" s="18">
        <v>82868.570000000007</v>
      </c>
      <c r="I102" s="18">
        <v>80348.44</v>
      </c>
      <c r="J102" s="18">
        <v>288535.14</v>
      </c>
    </row>
    <row r="103" spans="1:10" x14ac:dyDescent="0.3">
      <c r="A103">
        <v>102</v>
      </c>
      <c r="B103" s="17">
        <v>47939</v>
      </c>
      <c r="C103" s="18">
        <v>288535.14</v>
      </c>
      <c r="D103" s="18">
        <v>924.73</v>
      </c>
      <c r="E103" s="16">
        <f t="shared" si="2"/>
        <v>3.8458955120683043E-2</v>
      </c>
      <c r="F103" s="18">
        <v>691.28</v>
      </c>
      <c r="G103" s="16">
        <f t="shared" si="3"/>
        <v>2.8749912402350711E-2</v>
      </c>
      <c r="H103" s="18">
        <v>83793.3</v>
      </c>
      <c r="I103" s="18">
        <v>81039.72</v>
      </c>
      <c r="J103" s="18">
        <v>287610.40999999997</v>
      </c>
    </row>
    <row r="104" spans="1:10" x14ac:dyDescent="0.3">
      <c r="A104">
        <v>103</v>
      </c>
      <c r="B104" s="17">
        <v>47969</v>
      </c>
      <c r="C104" s="18">
        <v>287610.40999999997</v>
      </c>
      <c r="D104" s="18">
        <v>926.94</v>
      </c>
      <c r="E104" s="16">
        <f t="shared" si="2"/>
        <v>3.8674817090243716E-2</v>
      </c>
      <c r="F104" s="18">
        <v>689.07</v>
      </c>
      <c r="G104" s="16">
        <f t="shared" si="3"/>
        <v>2.8750141554333867E-2</v>
      </c>
      <c r="H104" s="18">
        <v>84720.24</v>
      </c>
      <c r="I104" s="18">
        <v>81728.789999999994</v>
      </c>
      <c r="J104" s="18">
        <v>286683.46999999997</v>
      </c>
    </row>
    <row r="105" spans="1:10" x14ac:dyDescent="0.3">
      <c r="A105">
        <v>104</v>
      </c>
      <c r="B105" s="17">
        <v>48000</v>
      </c>
      <c r="C105" s="18">
        <v>286683.46999999997</v>
      </c>
      <c r="D105" s="18">
        <v>929.16</v>
      </c>
      <c r="E105" s="16">
        <f t="shared" si="2"/>
        <v>3.8892790016808433E-2</v>
      </c>
      <c r="F105" s="18">
        <v>686.85</v>
      </c>
      <c r="G105" s="16">
        <f t="shared" si="3"/>
        <v>2.8750175236821295E-2</v>
      </c>
      <c r="H105" s="18">
        <v>85649.41</v>
      </c>
      <c r="I105" s="18">
        <v>82415.63</v>
      </c>
      <c r="J105" s="18">
        <v>285754.3</v>
      </c>
    </row>
    <row r="106" spans="1:10" x14ac:dyDescent="0.3">
      <c r="A106">
        <v>105</v>
      </c>
      <c r="B106" s="17">
        <v>48030</v>
      </c>
      <c r="C106" s="18">
        <v>285754.3</v>
      </c>
      <c r="D106" s="18">
        <v>931.39</v>
      </c>
      <c r="E106" s="16">
        <f t="shared" si="2"/>
        <v>3.9112902238041564E-2</v>
      </c>
      <c r="F106" s="18">
        <v>684.62</v>
      </c>
      <c r="G106" s="16">
        <f t="shared" si="3"/>
        <v>2.8750013560600838E-2</v>
      </c>
      <c r="H106" s="18">
        <v>86580.800000000003</v>
      </c>
      <c r="I106" s="18">
        <v>83100.25</v>
      </c>
      <c r="J106" s="18">
        <v>284822.90999999997</v>
      </c>
    </row>
    <row r="107" spans="1:10" x14ac:dyDescent="0.3">
      <c r="A107">
        <v>106</v>
      </c>
      <c r="B107" s="17">
        <v>48061</v>
      </c>
      <c r="C107" s="18">
        <v>284822.90999999997</v>
      </c>
      <c r="D107" s="18">
        <v>933.62</v>
      </c>
      <c r="E107" s="16">
        <f t="shared" si="2"/>
        <v>3.933475716542606E-2</v>
      </c>
      <c r="F107" s="18">
        <v>682.39</v>
      </c>
      <c r="G107" s="16">
        <f t="shared" si="3"/>
        <v>2.875007491497085E-2</v>
      </c>
      <c r="H107" s="18">
        <v>87514.42</v>
      </c>
      <c r="I107" s="18">
        <v>83782.64</v>
      </c>
      <c r="J107" s="18">
        <v>283889.28999999998</v>
      </c>
    </row>
    <row r="108" spans="1:10" x14ac:dyDescent="0.3">
      <c r="A108">
        <v>107</v>
      </c>
      <c r="B108" s="17">
        <v>48092</v>
      </c>
      <c r="C108" s="18">
        <v>283889.28999999998</v>
      </c>
      <c r="D108" s="18">
        <v>935.86</v>
      </c>
      <c r="E108" s="16">
        <f t="shared" si="2"/>
        <v>3.9558801249599804E-2</v>
      </c>
      <c r="F108" s="18">
        <v>680.15</v>
      </c>
      <c r="G108" s="16">
        <f t="shared" si="3"/>
        <v>2.8749939809282699E-2</v>
      </c>
      <c r="H108" s="18">
        <v>88450.28</v>
      </c>
      <c r="I108" s="18">
        <v>84462.79</v>
      </c>
      <c r="J108" s="18">
        <v>282953.43</v>
      </c>
    </row>
    <row r="109" spans="1:10" x14ac:dyDescent="0.3">
      <c r="A109">
        <v>108</v>
      </c>
      <c r="B109" s="17">
        <v>48122</v>
      </c>
      <c r="C109" s="18">
        <v>282953.43</v>
      </c>
      <c r="D109" s="18">
        <v>938.1</v>
      </c>
      <c r="E109" s="16">
        <f t="shared" si="2"/>
        <v>3.978463876546752E-2</v>
      </c>
      <c r="F109" s="18">
        <v>677.91</v>
      </c>
      <c r="G109" s="16">
        <f t="shared" si="3"/>
        <v>2.8750031409762379E-2</v>
      </c>
      <c r="H109" s="18">
        <v>89388.38</v>
      </c>
      <c r="I109" s="18">
        <v>85140.7</v>
      </c>
      <c r="J109" s="18">
        <v>282015.33</v>
      </c>
    </row>
    <row r="110" spans="1:10" x14ac:dyDescent="0.3">
      <c r="A110">
        <v>109</v>
      </c>
      <c r="B110" s="17">
        <v>48153</v>
      </c>
      <c r="C110" s="18">
        <v>282015.33</v>
      </c>
      <c r="D110" s="18">
        <v>940.35</v>
      </c>
      <c r="E110" s="16">
        <f t="shared" si="2"/>
        <v>4.0012718457539169E-2</v>
      </c>
      <c r="F110" s="18">
        <v>675.66</v>
      </c>
      <c r="G110" s="16">
        <f t="shared" si="3"/>
        <v>2.8749926466763345E-2</v>
      </c>
      <c r="H110" s="18">
        <v>90328.73</v>
      </c>
      <c r="I110" s="18">
        <v>85816.36</v>
      </c>
      <c r="J110" s="18">
        <v>281074.98</v>
      </c>
    </row>
    <row r="111" spans="1:10" x14ac:dyDescent="0.3">
      <c r="A111">
        <v>110</v>
      </c>
      <c r="B111" s="17">
        <v>48183</v>
      </c>
      <c r="C111" s="18">
        <v>281074.98</v>
      </c>
      <c r="D111" s="18">
        <v>942.6</v>
      </c>
      <c r="E111" s="16">
        <f t="shared" si="2"/>
        <v>4.0242642728285531E-2</v>
      </c>
      <c r="F111" s="18">
        <v>673.41</v>
      </c>
      <c r="G111" s="16">
        <f t="shared" si="3"/>
        <v>2.8750050965048544E-2</v>
      </c>
      <c r="H111" s="18">
        <v>91271.33</v>
      </c>
      <c r="I111" s="18">
        <v>86489.77</v>
      </c>
      <c r="J111" s="18">
        <v>280132.38</v>
      </c>
    </row>
    <row r="112" spans="1:10" x14ac:dyDescent="0.3">
      <c r="A112">
        <v>111</v>
      </c>
      <c r="B112" s="17">
        <v>48214</v>
      </c>
      <c r="C112" s="18">
        <v>280132.38</v>
      </c>
      <c r="D112" s="18">
        <v>944.86</v>
      </c>
      <c r="E112" s="16">
        <f t="shared" si="2"/>
        <v>4.0474864062483601E-2</v>
      </c>
      <c r="F112" s="18">
        <v>671.15</v>
      </c>
      <c r="G112" s="16">
        <f t="shared" si="3"/>
        <v>2.8749978849285471E-2</v>
      </c>
      <c r="H112" s="18">
        <v>92216.19</v>
      </c>
      <c r="I112" s="18">
        <v>87160.92</v>
      </c>
      <c r="J112" s="18">
        <v>279187.52</v>
      </c>
    </row>
    <row r="113" spans="1:10" x14ac:dyDescent="0.3">
      <c r="A113">
        <v>112</v>
      </c>
      <c r="B113" s="17">
        <v>48245</v>
      </c>
      <c r="C113" s="18">
        <v>279187.52</v>
      </c>
      <c r="D113" s="18">
        <v>947.12</v>
      </c>
      <c r="E113" s="16">
        <f t="shared" si="2"/>
        <v>4.070898298032806E-2</v>
      </c>
      <c r="F113" s="18">
        <v>668.89</v>
      </c>
      <c r="G113" s="16">
        <f t="shared" si="3"/>
        <v>2.8750138974693425E-2</v>
      </c>
      <c r="H113" s="18">
        <v>93163.31</v>
      </c>
      <c r="I113" s="18">
        <v>87829.81</v>
      </c>
      <c r="J113" s="18">
        <v>278240.40000000002</v>
      </c>
    </row>
    <row r="114" spans="1:10" x14ac:dyDescent="0.3">
      <c r="A114">
        <v>113</v>
      </c>
      <c r="B114" s="17">
        <v>48274</v>
      </c>
      <c r="C114" s="18">
        <v>278240.40000000002</v>
      </c>
      <c r="D114" s="18">
        <v>949.39</v>
      </c>
      <c r="E114" s="16">
        <f t="shared" si="2"/>
        <v>4.094545580009229E-2</v>
      </c>
      <c r="F114" s="18">
        <v>666.62</v>
      </c>
      <c r="G114" s="16">
        <f t="shared" si="3"/>
        <v>2.8750102429409962E-2</v>
      </c>
      <c r="H114" s="18">
        <v>94112.71</v>
      </c>
      <c r="I114" s="18">
        <v>88496.42</v>
      </c>
      <c r="J114" s="18">
        <v>277291</v>
      </c>
    </row>
    <row r="115" spans="1:10" x14ac:dyDescent="0.3">
      <c r="A115">
        <v>114</v>
      </c>
      <c r="B115" s="17">
        <v>48305</v>
      </c>
      <c r="C115" s="18">
        <v>277291</v>
      </c>
      <c r="D115" s="18">
        <v>951.67</v>
      </c>
      <c r="E115" s="16">
        <f t="shared" si="2"/>
        <v>4.1184315394296962E-2</v>
      </c>
      <c r="F115" s="18">
        <v>664.34</v>
      </c>
      <c r="G115" s="16">
        <f t="shared" si="3"/>
        <v>2.8749869270910347E-2</v>
      </c>
      <c r="H115" s="18">
        <v>95064.37</v>
      </c>
      <c r="I115" s="18">
        <v>89160.77</v>
      </c>
      <c r="J115" s="18">
        <v>276339.34000000003</v>
      </c>
    </row>
    <row r="116" spans="1:10" x14ac:dyDescent="0.3">
      <c r="A116">
        <v>115</v>
      </c>
      <c r="B116" s="17">
        <v>48335</v>
      </c>
      <c r="C116" s="18">
        <v>276339.34000000003</v>
      </c>
      <c r="D116" s="18">
        <v>953.95</v>
      </c>
      <c r="E116" s="16">
        <f t="shared" si="2"/>
        <v>4.1425155028596367E-2</v>
      </c>
      <c r="F116" s="18">
        <v>662.06</v>
      </c>
      <c r="G116" s="16">
        <f t="shared" si="3"/>
        <v>2.8749869634920593E-2</v>
      </c>
      <c r="H116" s="18">
        <v>96018.32</v>
      </c>
      <c r="I116" s="18">
        <v>89822.83</v>
      </c>
      <c r="J116" s="18">
        <v>275385.39</v>
      </c>
    </row>
    <row r="117" spans="1:10" x14ac:dyDescent="0.3">
      <c r="A117">
        <v>116</v>
      </c>
      <c r="B117" s="17">
        <v>48366</v>
      </c>
      <c r="C117" s="18">
        <v>275385.39</v>
      </c>
      <c r="D117" s="18">
        <v>956.23</v>
      </c>
      <c r="E117" s="16">
        <f t="shared" si="2"/>
        <v>4.1668005699213015E-2</v>
      </c>
      <c r="F117" s="18">
        <v>659.78</v>
      </c>
      <c r="G117" s="16">
        <f t="shared" si="3"/>
        <v>2.875010907441386E-2</v>
      </c>
      <c r="H117" s="18">
        <v>96974.55</v>
      </c>
      <c r="I117" s="18">
        <v>90482.61</v>
      </c>
      <c r="J117" s="18">
        <v>274429.15999999997</v>
      </c>
    </row>
    <row r="118" spans="1:10" x14ac:dyDescent="0.3">
      <c r="A118">
        <v>117</v>
      </c>
      <c r="B118" s="17">
        <v>48396</v>
      </c>
      <c r="C118" s="18">
        <v>274429.15999999997</v>
      </c>
      <c r="D118" s="18">
        <v>958.52</v>
      </c>
      <c r="E118" s="16">
        <f t="shared" si="2"/>
        <v>4.1913330201498997E-2</v>
      </c>
      <c r="F118" s="18">
        <v>657.49</v>
      </c>
      <c r="G118" s="16">
        <f t="shared" si="3"/>
        <v>2.8750151769586008E-2</v>
      </c>
      <c r="H118" s="18">
        <v>97933.07</v>
      </c>
      <c r="I118" s="18">
        <v>91140.1</v>
      </c>
      <c r="J118" s="18">
        <v>273470.64</v>
      </c>
    </row>
    <row r="119" spans="1:10" x14ac:dyDescent="0.3">
      <c r="A119">
        <v>118</v>
      </c>
      <c r="B119" s="17">
        <v>48427</v>
      </c>
      <c r="C119" s="18">
        <v>273470.64</v>
      </c>
      <c r="D119" s="18">
        <v>960.82</v>
      </c>
      <c r="E119" s="16">
        <f t="shared" si="2"/>
        <v>4.2161162163514149E-2</v>
      </c>
      <c r="F119" s="18">
        <v>655.19000000000005</v>
      </c>
      <c r="G119" s="16">
        <f t="shared" si="3"/>
        <v>2.8749996708970292E-2</v>
      </c>
      <c r="H119" s="18">
        <v>98893.89</v>
      </c>
      <c r="I119" s="18">
        <v>91795.29</v>
      </c>
      <c r="J119" s="18">
        <v>272509.82</v>
      </c>
    </row>
    <row r="120" spans="1:10" x14ac:dyDescent="0.3">
      <c r="A120">
        <v>119</v>
      </c>
      <c r="B120" s="17">
        <v>48458</v>
      </c>
      <c r="C120" s="18">
        <v>272509.82</v>
      </c>
      <c r="D120" s="18">
        <v>963.12</v>
      </c>
      <c r="E120" s="16">
        <f t="shared" si="2"/>
        <v>4.2411095497402629E-2</v>
      </c>
      <c r="F120" s="18">
        <v>652.89</v>
      </c>
      <c r="G120" s="16">
        <f t="shared" si="3"/>
        <v>2.8750083208010632E-2</v>
      </c>
      <c r="H120" s="18">
        <v>99857.02</v>
      </c>
      <c r="I120" s="18">
        <v>92448.17</v>
      </c>
      <c r="J120" s="18">
        <v>271546.69</v>
      </c>
    </row>
    <row r="121" spans="1:10" x14ac:dyDescent="0.3">
      <c r="A121">
        <v>120</v>
      </c>
      <c r="B121" s="17">
        <v>48488</v>
      </c>
      <c r="C121" s="18">
        <v>271546.69</v>
      </c>
      <c r="D121" s="18">
        <v>965.43</v>
      </c>
      <c r="E121" s="16">
        <f t="shared" si="2"/>
        <v>4.2663602344038876E-2</v>
      </c>
      <c r="F121" s="18">
        <v>650.58000000000004</v>
      </c>
      <c r="G121" s="16">
        <f t="shared" si="3"/>
        <v>2.8749972978864155E-2</v>
      </c>
      <c r="H121" s="18">
        <v>100822.45</v>
      </c>
      <c r="I121" s="18">
        <v>93098.75</v>
      </c>
      <c r="J121" s="18">
        <v>270581.26</v>
      </c>
    </row>
    <row r="122" spans="1:10" x14ac:dyDescent="0.3">
      <c r="A122">
        <v>121</v>
      </c>
      <c r="B122" s="17">
        <v>48519</v>
      </c>
      <c r="C122" s="18">
        <v>270581.26</v>
      </c>
      <c r="D122" s="18">
        <v>967.74</v>
      </c>
      <c r="E122" s="16">
        <f t="shared" si="2"/>
        <v>4.2918271575792054E-2</v>
      </c>
      <c r="F122" s="18">
        <v>648.27</v>
      </c>
      <c r="G122" s="16">
        <f t="shared" si="3"/>
        <v>2.8750106345132698E-2</v>
      </c>
      <c r="H122" s="18">
        <v>101790.19</v>
      </c>
      <c r="I122" s="18">
        <v>93747.02</v>
      </c>
      <c r="J122" s="18">
        <v>269613.52</v>
      </c>
    </row>
    <row r="123" spans="1:10" x14ac:dyDescent="0.3">
      <c r="A123">
        <v>122</v>
      </c>
      <c r="B123" s="17">
        <v>48549</v>
      </c>
      <c r="C123" s="18">
        <v>269613.52</v>
      </c>
      <c r="D123" s="18">
        <v>970.06</v>
      </c>
      <c r="E123" s="16">
        <f t="shared" si="2"/>
        <v>4.3175579622268194E-2</v>
      </c>
      <c r="F123" s="18">
        <v>645.95000000000005</v>
      </c>
      <c r="G123" s="16">
        <f t="shared" si="3"/>
        <v>2.8750041911844777E-2</v>
      </c>
      <c r="H123" s="18">
        <v>102760.25</v>
      </c>
      <c r="I123" s="18">
        <v>94392.97</v>
      </c>
      <c r="J123" s="18">
        <v>268643.46000000002</v>
      </c>
    </row>
    <row r="124" spans="1:10" x14ac:dyDescent="0.3">
      <c r="A124">
        <v>123</v>
      </c>
      <c r="B124" s="17">
        <v>48580</v>
      </c>
      <c r="C124" s="18">
        <v>268643.46000000002</v>
      </c>
      <c r="D124" s="18">
        <v>972.39</v>
      </c>
      <c r="E124" s="16">
        <f t="shared" si="2"/>
        <v>4.3435563255476234E-2</v>
      </c>
      <c r="F124" s="18">
        <v>643.62</v>
      </c>
      <c r="G124" s="16">
        <f t="shared" si="3"/>
        <v>2.8749778609909207E-2</v>
      </c>
      <c r="H124" s="18">
        <v>103732.63</v>
      </c>
      <c r="I124" s="18">
        <v>95036.6</v>
      </c>
      <c r="J124" s="18">
        <v>267671.08</v>
      </c>
    </row>
    <row r="125" spans="1:10" x14ac:dyDescent="0.3">
      <c r="A125">
        <v>124</v>
      </c>
      <c r="B125" s="17">
        <v>48611</v>
      </c>
      <c r="C125" s="18">
        <v>267671.08</v>
      </c>
      <c r="D125" s="18">
        <v>974.71</v>
      </c>
      <c r="E125" s="16">
        <f t="shared" si="2"/>
        <v>4.369736170228028E-2</v>
      </c>
      <c r="F125" s="18">
        <v>641.29999999999995</v>
      </c>
      <c r="G125" s="16">
        <f t="shared" si="3"/>
        <v>2.8750210893160363E-2</v>
      </c>
      <c r="H125" s="18">
        <v>104707.35</v>
      </c>
      <c r="I125" s="18">
        <v>95677.89</v>
      </c>
      <c r="J125" s="18">
        <v>266696.36</v>
      </c>
    </row>
    <row r="126" spans="1:10" x14ac:dyDescent="0.3">
      <c r="A126">
        <v>125</v>
      </c>
      <c r="B126" s="17">
        <v>48639</v>
      </c>
      <c r="C126" s="18">
        <v>266696.36</v>
      </c>
      <c r="D126" s="18">
        <v>977.05</v>
      </c>
      <c r="E126" s="16">
        <f t="shared" si="2"/>
        <v>4.3962354791793931E-2</v>
      </c>
      <c r="F126" s="18">
        <v>638.96</v>
      </c>
      <c r="G126" s="16">
        <f t="shared" si="3"/>
        <v>2.8749998687646133E-2</v>
      </c>
      <c r="H126" s="18">
        <v>105684.4</v>
      </c>
      <c r="I126" s="18">
        <v>96316.85</v>
      </c>
      <c r="J126" s="18">
        <v>265719.31</v>
      </c>
    </row>
    <row r="127" spans="1:10" x14ac:dyDescent="0.3">
      <c r="A127">
        <v>126</v>
      </c>
      <c r="B127" s="17">
        <v>48670</v>
      </c>
      <c r="C127" s="18">
        <v>265719.31</v>
      </c>
      <c r="D127" s="18">
        <v>979.39</v>
      </c>
      <c r="E127" s="16">
        <f t="shared" si="2"/>
        <v>4.4229679807613533E-2</v>
      </c>
      <c r="F127" s="18">
        <v>636.62</v>
      </c>
      <c r="G127" s="16">
        <f t="shared" si="3"/>
        <v>2.8750037022149427E-2</v>
      </c>
      <c r="H127" s="18">
        <v>106663.79</v>
      </c>
      <c r="I127" s="18">
        <v>96953.47</v>
      </c>
      <c r="J127" s="18">
        <v>264739.92</v>
      </c>
    </row>
    <row r="128" spans="1:10" x14ac:dyDescent="0.3">
      <c r="A128">
        <v>127</v>
      </c>
      <c r="B128" s="17">
        <v>48700</v>
      </c>
      <c r="C128" s="18">
        <v>264739.92</v>
      </c>
      <c r="D128" s="18">
        <v>981.74</v>
      </c>
      <c r="E128" s="16">
        <f t="shared" si="2"/>
        <v>4.4499824582556344E-2</v>
      </c>
      <c r="F128" s="18">
        <v>634.27</v>
      </c>
      <c r="G128" s="16">
        <f t="shared" si="3"/>
        <v>2.8749876482549366E-2</v>
      </c>
      <c r="H128" s="18">
        <v>107645.53</v>
      </c>
      <c r="I128" s="18">
        <v>97587.74</v>
      </c>
      <c r="J128" s="18">
        <v>263758.18</v>
      </c>
    </row>
    <row r="129" spans="1:10" x14ac:dyDescent="0.3">
      <c r="A129">
        <v>128</v>
      </c>
      <c r="B129" s="17">
        <v>48731</v>
      </c>
      <c r="C129" s="18">
        <v>263758.18</v>
      </c>
      <c r="D129" s="18">
        <v>984.09</v>
      </c>
      <c r="E129" s="16">
        <f t="shared" si="2"/>
        <v>4.4772374452993272E-2</v>
      </c>
      <c r="F129" s="18">
        <v>631.91999999999996</v>
      </c>
      <c r="G129" s="16">
        <f t="shared" si="3"/>
        <v>2.8749970901376404E-2</v>
      </c>
      <c r="H129" s="18">
        <v>108629.62</v>
      </c>
      <c r="I129" s="18">
        <v>98219.66</v>
      </c>
      <c r="J129" s="18">
        <v>262774.09000000003</v>
      </c>
    </row>
    <row r="130" spans="1:10" x14ac:dyDescent="0.3">
      <c r="A130">
        <v>129</v>
      </c>
      <c r="B130" s="17">
        <v>48761</v>
      </c>
      <c r="C130" s="18">
        <v>262774.09000000003</v>
      </c>
      <c r="D130" s="18">
        <v>986.45</v>
      </c>
      <c r="E130" s="16">
        <f t="shared" si="2"/>
        <v>4.5047820353977822E-2</v>
      </c>
      <c r="F130" s="18">
        <v>629.55999999999995</v>
      </c>
      <c r="G130" s="16">
        <f t="shared" si="3"/>
        <v>2.8749866472756118E-2</v>
      </c>
      <c r="H130" s="18">
        <v>109616.06</v>
      </c>
      <c r="I130" s="18">
        <v>98849.23</v>
      </c>
      <c r="J130" s="18">
        <v>261787.65</v>
      </c>
    </row>
    <row r="131" spans="1:10" x14ac:dyDescent="0.3">
      <c r="A131">
        <v>130</v>
      </c>
      <c r="B131" s="17">
        <v>48792</v>
      </c>
      <c r="C131" s="18">
        <v>261787.65</v>
      </c>
      <c r="D131" s="18">
        <v>988.81</v>
      </c>
      <c r="E131" s="16">
        <f t="shared" ref="E131:E194" si="4">(D131/C131)*12</f>
        <v>4.5325743976081377E-2</v>
      </c>
      <c r="F131" s="18">
        <v>627.20000000000005</v>
      </c>
      <c r="G131" s="16">
        <f t="shared" ref="G131:G194" si="5">(F131/C131)*12</f>
        <v>2.8750019338192618E-2</v>
      </c>
      <c r="H131" s="18">
        <v>110604.87</v>
      </c>
      <c r="I131" s="18">
        <v>99476.43</v>
      </c>
      <c r="J131" s="18">
        <v>260798.84</v>
      </c>
    </row>
    <row r="132" spans="1:10" x14ac:dyDescent="0.3">
      <c r="A132">
        <v>131</v>
      </c>
      <c r="B132" s="17">
        <v>48823</v>
      </c>
      <c r="C132" s="18">
        <v>260798.84</v>
      </c>
      <c r="D132" s="18">
        <v>991.18</v>
      </c>
      <c r="E132" s="16">
        <f t="shared" si="4"/>
        <v>4.5606644569431365E-2</v>
      </c>
      <c r="F132" s="18">
        <v>624.83000000000004</v>
      </c>
      <c r="G132" s="16">
        <f t="shared" si="5"/>
        <v>2.8749974501420326E-2</v>
      </c>
      <c r="H132" s="18">
        <v>111596.05</v>
      </c>
      <c r="I132" s="18">
        <v>100101.26</v>
      </c>
      <c r="J132" s="18">
        <v>259807.66</v>
      </c>
    </row>
    <row r="133" spans="1:10" x14ac:dyDescent="0.3">
      <c r="A133">
        <v>132</v>
      </c>
      <c r="B133" s="17">
        <v>48853</v>
      </c>
      <c r="C133" s="18">
        <v>259807.66</v>
      </c>
      <c r="D133" s="18">
        <v>993.55</v>
      </c>
      <c r="E133" s="16">
        <f t="shared" si="4"/>
        <v>4.5890101931559679E-2</v>
      </c>
      <c r="F133" s="18">
        <v>622.46</v>
      </c>
      <c r="G133" s="16">
        <f t="shared" si="5"/>
        <v>2.8750191584035668E-2</v>
      </c>
      <c r="H133" s="18">
        <v>112589.61</v>
      </c>
      <c r="I133" s="18">
        <v>100723.71</v>
      </c>
      <c r="J133" s="18">
        <v>258814.1</v>
      </c>
    </row>
    <row r="134" spans="1:10" x14ac:dyDescent="0.3">
      <c r="A134">
        <v>133</v>
      </c>
      <c r="B134" s="17">
        <v>48884</v>
      </c>
      <c r="C134" s="18">
        <v>258814.1</v>
      </c>
      <c r="D134" s="18">
        <v>995.93</v>
      </c>
      <c r="E134" s="16">
        <f t="shared" si="4"/>
        <v>4.6176618661811698E-2</v>
      </c>
      <c r="F134" s="18">
        <v>620.08000000000004</v>
      </c>
      <c r="G134" s="16">
        <f t="shared" si="5"/>
        <v>2.8750211058825623E-2</v>
      </c>
      <c r="H134" s="18">
        <v>113585.54</v>
      </c>
      <c r="I134" s="18">
        <v>101343.79</v>
      </c>
      <c r="J134" s="18">
        <v>257818.17</v>
      </c>
    </row>
    <row r="135" spans="1:10" x14ac:dyDescent="0.3">
      <c r="A135">
        <v>134</v>
      </c>
      <c r="B135" s="17">
        <v>48914</v>
      </c>
      <c r="C135" s="18">
        <v>257818.17</v>
      </c>
      <c r="D135" s="18">
        <v>998.32</v>
      </c>
      <c r="E135" s="16">
        <f t="shared" si="4"/>
        <v>4.6466236262556665E-2</v>
      </c>
      <c r="F135" s="18">
        <v>617.69000000000005</v>
      </c>
      <c r="G135" s="16">
        <f t="shared" si="5"/>
        <v>2.8750029526623359E-2</v>
      </c>
      <c r="H135" s="18">
        <v>114583.86</v>
      </c>
      <c r="I135" s="18">
        <v>101961.48</v>
      </c>
      <c r="J135" s="18">
        <v>256819.85</v>
      </c>
    </row>
    <row r="136" spans="1:10" x14ac:dyDescent="0.3">
      <c r="A136">
        <v>135</v>
      </c>
      <c r="B136" s="17">
        <v>48945</v>
      </c>
      <c r="C136" s="18">
        <v>256819.85</v>
      </c>
      <c r="D136" s="18">
        <v>1000.71</v>
      </c>
      <c r="E136" s="16">
        <f t="shared" si="4"/>
        <v>4.6758535214470376E-2</v>
      </c>
      <c r="F136" s="18">
        <v>615.29999999999995</v>
      </c>
      <c r="G136" s="16">
        <f t="shared" si="5"/>
        <v>2.8750114136426756E-2</v>
      </c>
      <c r="H136" s="18">
        <v>115584.58</v>
      </c>
      <c r="I136" s="18">
        <v>102576.77</v>
      </c>
      <c r="J136" s="18">
        <v>255819.13</v>
      </c>
    </row>
    <row r="137" spans="1:10" x14ac:dyDescent="0.3">
      <c r="A137">
        <v>136</v>
      </c>
      <c r="B137" s="17">
        <v>48976</v>
      </c>
      <c r="C137" s="18">
        <v>255819.13</v>
      </c>
      <c r="D137" s="18">
        <v>1003.11</v>
      </c>
      <c r="E137" s="16">
        <f t="shared" si="4"/>
        <v>4.7054026022213424E-2</v>
      </c>
      <c r="F137" s="18">
        <v>612.9</v>
      </c>
      <c r="G137" s="16">
        <f t="shared" si="5"/>
        <v>2.8750000048862648E-2</v>
      </c>
      <c r="H137" s="18">
        <v>116587.69</v>
      </c>
      <c r="I137" s="18">
        <v>103189.67</v>
      </c>
      <c r="J137" s="18">
        <v>254816.02</v>
      </c>
    </row>
    <row r="138" spans="1:10" x14ac:dyDescent="0.3">
      <c r="A138">
        <v>137</v>
      </c>
      <c r="B138" s="17">
        <v>49004</v>
      </c>
      <c r="C138" s="18">
        <v>254816.02</v>
      </c>
      <c r="D138" s="18">
        <v>1005.51</v>
      </c>
      <c r="E138" s="16">
        <f t="shared" si="4"/>
        <v>4.7352281854178557E-2</v>
      </c>
      <c r="F138" s="18">
        <v>610.5</v>
      </c>
      <c r="G138" s="16">
        <f t="shared" si="5"/>
        <v>2.8750154719471722E-2</v>
      </c>
      <c r="H138" s="18">
        <v>117593.2</v>
      </c>
      <c r="I138" s="18">
        <v>103800.17</v>
      </c>
      <c r="J138" s="18">
        <v>253810.51</v>
      </c>
    </row>
    <row r="139" spans="1:10" x14ac:dyDescent="0.3">
      <c r="A139">
        <v>138</v>
      </c>
      <c r="B139" s="17">
        <v>49035</v>
      </c>
      <c r="C139" s="18">
        <v>253810.51</v>
      </c>
      <c r="D139" s="18">
        <v>1007.92</v>
      </c>
      <c r="E139" s="16">
        <f t="shared" si="4"/>
        <v>4.765381859088498E-2</v>
      </c>
      <c r="F139" s="18">
        <v>608.09</v>
      </c>
      <c r="G139" s="16">
        <f t="shared" si="5"/>
        <v>2.8750109678279279E-2</v>
      </c>
      <c r="H139" s="18">
        <v>118601.12</v>
      </c>
      <c r="I139" s="18">
        <v>104408.26</v>
      </c>
      <c r="J139" s="18">
        <v>252802.59</v>
      </c>
    </row>
    <row r="140" spans="1:10" x14ac:dyDescent="0.3">
      <c r="A140">
        <v>139</v>
      </c>
      <c r="B140" s="17">
        <v>49065</v>
      </c>
      <c r="C140" s="18">
        <v>252802.59</v>
      </c>
      <c r="D140" s="18">
        <v>1010.34</v>
      </c>
      <c r="E140" s="16">
        <f t="shared" si="4"/>
        <v>4.7958685866311732E-2</v>
      </c>
      <c r="F140" s="18">
        <v>605.66999999999996</v>
      </c>
      <c r="G140" s="16">
        <f t="shared" si="5"/>
        <v>2.8749863678216272E-2</v>
      </c>
      <c r="H140" s="18">
        <v>119611.46</v>
      </c>
      <c r="I140" s="18">
        <v>105013.93</v>
      </c>
      <c r="J140" s="18">
        <v>251792.25</v>
      </c>
    </row>
    <row r="141" spans="1:10" x14ac:dyDescent="0.3">
      <c r="A141">
        <v>140</v>
      </c>
      <c r="B141" s="17">
        <v>49096</v>
      </c>
      <c r="C141" s="18">
        <v>251792.25</v>
      </c>
      <c r="D141" s="18">
        <v>1012.76</v>
      </c>
      <c r="E141" s="16">
        <f t="shared" si="4"/>
        <v>4.8266457764287826E-2</v>
      </c>
      <c r="F141" s="18">
        <v>603.25</v>
      </c>
      <c r="G141" s="16">
        <f t="shared" si="5"/>
        <v>2.8749892024079376E-2</v>
      </c>
      <c r="H141" s="18">
        <v>120624.22</v>
      </c>
      <c r="I141" s="18">
        <v>105617.18</v>
      </c>
      <c r="J141" s="18">
        <v>250779.49</v>
      </c>
    </row>
    <row r="142" spans="1:10" x14ac:dyDescent="0.3">
      <c r="A142">
        <v>141</v>
      </c>
      <c r="B142" s="17">
        <v>49126</v>
      </c>
      <c r="C142" s="18">
        <v>250779.49</v>
      </c>
      <c r="D142" s="18">
        <v>1015.18</v>
      </c>
      <c r="E142" s="16">
        <f t="shared" si="4"/>
        <v>4.8577178301144164E-2</v>
      </c>
      <c r="F142" s="18">
        <v>600.83000000000004</v>
      </c>
      <c r="G142" s="16">
        <f t="shared" si="5"/>
        <v>2.8750198032542456E-2</v>
      </c>
      <c r="H142" s="18">
        <v>121639.4</v>
      </c>
      <c r="I142" s="18">
        <v>106218.01</v>
      </c>
      <c r="J142" s="18">
        <v>249764.31</v>
      </c>
    </row>
    <row r="143" spans="1:10" x14ac:dyDescent="0.3">
      <c r="A143">
        <v>142</v>
      </c>
      <c r="B143" s="17">
        <v>49157</v>
      </c>
      <c r="C143" s="18">
        <v>249764.31</v>
      </c>
      <c r="D143" s="18">
        <v>1017.62</v>
      </c>
      <c r="E143" s="16">
        <f t="shared" si="4"/>
        <v>4.8891853283601648E-2</v>
      </c>
      <c r="F143" s="18">
        <v>598.39</v>
      </c>
      <c r="G143" s="16">
        <f t="shared" si="5"/>
        <v>2.8749824184247944E-2</v>
      </c>
      <c r="H143" s="18">
        <v>122657.02</v>
      </c>
      <c r="I143" s="18">
        <v>106816.4</v>
      </c>
      <c r="J143" s="18">
        <v>248746.69</v>
      </c>
    </row>
    <row r="144" spans="1:10" x14ac:dyDescent="0.3">
      <c r="A144">
        <v>143</v>
      </c>
      <c r="B144" s="17">
        <v>49188</v>
      </c>
      <c r="C144" s="18">
        <v>248746.69</v>
      </c>
      <c r="D144" s="18">
        <v>1020.05</v>
      </c>
      <c r="E144" s="16">
        <f t="shared" si="4"/>
        <v>4.9209097013512018E-2</v>
      </c>
      <c r="F144" s="18">
        <v>595.96</v>
      </c>
      <c r="G144" s="16">
        <f t="shared" si="5"/>
        <v>2.8750211711359858E-2</v>
      </c>
      <c r="H144" s="18">
        <v>123677.07</v>
      </c>
      <c r="I144" s="18">
        <v>107412.36</v>
      </c>
      <c r="J144" s="18">
        <v>247726.64</v>
      </c>
    </row>
    <row r="145" spans="1:10" x14ac:dyDescent="0.3">
      <c r="A145">
        <v>144</v>
      </c>
      <c r="B145" s="17">
        <v>49218</v>
      </c>
      <c r="C145" s="18">
        <v>247726.64</v>
      </c>
      <c r="D145" s="18">
        <v>1022.5</v>
      </c>
      <c r="E145" s="16">
        <f t="shared" si="4"/>
        <v>4.9530401736365526E-2</v>
      </c>
      <c r="F145" s="18">
        <v>593.51</v>
      </c>
      <c r="G145" s="16">
        <f t="shared" si="5"/>
        <v>2.874991563281204E-2</v>
      </c>
      <c r="H145" s="18">
        <v>124699.57</v>
      </c>
      <c r="I145" s="18">
        <v>108005.87</v>
      </c>
      <c r="J145" s="18">
        <v>246704.14</v>
      </c>
    </row>
    <row r="146" spans="1:10" x14ac:dyDescent="0.3">
      <c r="A146">
        <v>145</v>
      </c>
      <c r="B146" s="17">
        <v>49249</v>
      </c>
      <c r="C146" s="18">
        <v>246704.14</v>
      </c>
      <c r="D146" s="18">
        <v>1024.95</v>
      </c>
      <c r="E146" s="16">
        <f t="shared" si="4"/>
        <v>4.985485853622075E-2</v>
      </c>
      <c r="F146" s="18">
        <v>591.05999999999995</v>
      </c>
      <c r="G146" s="16">
        <f t="shared" si="5"/>
        <v>2.8749902616145798E-2</v>
      </c>
      <c r="H146" s="18">
        <v>125724.52</v>
      </c>
      <c r="I146" s="18">
        <v>108596.93</v>
      </c>
      <c r="J146" s="18">
        <v>245679.19</v>
      </c>
    </row>
    <row r="147" spans="1:10" x14ac:dyDescent="0.3">
      <c r="A147">
        <v>146</v>
      </c>
      <c r="B147" s="17">
        <v>49279</v>
      </c>
      <c r="C147" s="18">
        <v>245679.19</v>
      </c>
      <c r="D147" s="18">
        <v>1027.4000000000001</v>
      </c>
      <c r="E147" s="16">
        <f t="shared" si="4"/>
        <v>5.0182516476059702E-2</v>
      </c>
      <c r="F147" s="18">
        <v>588.61</v>
      </c>
      <c r="G147" s="16">
        <f t="shared" si="5"/>
        <v>2.8750176195224353E-2</v>
      </c>
      <c r="H147" s="18">
        <v>126751.92</v>
      </c>
      <c r="I147" s="18">
        <v>109185.54</v>
      </c>
      <c r="J147" s="18">
        <v>244651.79</v>
      </c>
    </row>
    <row r="148" spans="1:10" x14ac:dyDescent="0.3">
      <c r="A148">
        <v>147</v>
      </c>
      <c r="B148" s="17">
        <v>49310</v>
      </c>
      <c r="C148" s="18">
        <v>244651.79</v>
      </c>
      <c r="D148" s="18">
        <v>1029.8699999999999</v>
      </c>
      <c r="E148" s="16">
        <f t="shared" si="4"/>
        <v>5.0514406618484164E-2</v>
      </c>
      <c r="F148" s="18">
        <v>586.14</v>
      </c>
      <c r="G148" s="16">
        <f t="shared" si="5"/>
        <v>2.8749758994201513E-2</v>
      </c>
      <c r="H148" s="18">
        <v>127781.79</v>
      </c>
      <c r="I148" s="18">
        <v>109771.68</v>
      </c>
      <c r="J148" s="18">
        <v>243621.92</v>
      </c>
    </row>
    <row r="149" spans="1:10" x14ac:dyDescent="0.3">
      <c r="A149">
        <v>148</v>
      </c>
      <c r="B149" s="17">
        <v>49341</v>
      </c>
      <c r="C149" s="18">
        <v>243621.92</v>
      </c>
      <c r="D149" s="18">
        <v>1032.33</v>
      </c>
      <c r="E149" s="16">
        <f t="shared" si="4"/>
        <v>5.0849118995532086E-2</v>
      </c>
      <c r="F149" s="18">
        <v>583.67999999999995</v>
      </c>
      <c r="G149" s="16">
        <f t="shared" si="5"/>
        <v>2.875012232068444E-2</v>
      </c>
      <c r="H149" s="18">
        <v>128814.12</v>
      </c>
      <c r="I149" s="18">
        <v>110355.36</v>
      </c>
      <c r="J149" s="18">
        <v>242589.59</v>
      </c>
    </row>
    <row r="150" spans="1:10" x14ac:dyDescent="0.3">
      <c r="A150">
        <v>149</v>
      </c>
      <c r="B150" s="17">
        <v>49369</v>
      </c>
      <c r="C150" s="18">
        <v>242589.59</v>
      </c>
      <c r="D150" s="18">
        <v>1034.81</v>
      </c>
      <c r="E150" s="16">
        <f t="shared" si="4"/>
        <v>5.1188181652807113E-2</v>
      </c>
      <c r="F150" s="18">
        <v>581.20000000000005</v>
      </c>
      <c r="G150" s="16">
        <f t="shared" si="5"/>
        <v>2.8749790953519486E-2</v>
      </c>
      <c r="H150" s="18">
        <v>129848.92</v>
      </c>
      <c r="I150" s="18">
        <v>110936.57</v>
      </c>
      <c r="J150" s="18">
        <v>241554.79</v>
      </c>
    </row>
    <row r="151" spans="1:10" x14ac:dyDescent="0.3">
      <c r="A151">
        <v>150</v>
      </c>
      <c r="B151" s="17">
        <v>49400</v>
      </c>
      <c r="C151" s="18">
        <v>241554.79</v>
      </c>
      <c r="D151" s="18">
        <v>1037.28</v>
      </c>
      <c r="E151" s="16">
        <f t="shared" si="4"/>
        <v>5.1530172512828237E-2</v>
      </c>
      <c r="F151" s="18">
        <v>578.73</v>
      </c>
      <c r="G151" s="16">
        <f t="shared" si="5"/>
        <v>2.8750247511134017E-2</v>
      </c>
      <c r="H151" s="18">
        <v>130886.21</v>
      </c>
      <c r="I151" s="18">
        <v>111515.29</v>
      </c>
      <c r="J151" s="18">
        <v>240517.5</v>
      </c>
    </row>
    <row r="152" spans="1:10" x14ac:dyDescent="0.3">
      <c r="A152">
        <v>151</v>
      </c>
      <c r="B152" s="17">
        <v>49430</v>
      </c>
      <c r="C152" s="18">
        <v>240517.5</v>
      </c>
      <c r="D152" s="18">
        <v>1039.77</v>
      </c>
      <c r="E152" s="16">
        <f t="shared" si="4"/>
        <v>5.1876640992859151E-2</v>
      </c>
      <c r="F152" s="18">
        <v>576.24</v>
      </c>
      <c r="G152" s="16">
        <f t="shared" si="5"/>
        <v>2.8750007795690542E-2</v>
      </c>
      <c r="H152" s="18">
        <v>131925.98000000001</v>
      </c>
      <c r="I152" s="18">
        <v>112091.53</v>
      </c>
      <c r="J152" s="18">
        <v>239477.73</v>
      </c>
    </row>
    <row r="153" spans="1:10" x14ac:dyDescent="0.3">
      <c r="A153">
        <v>152</v>
      </c>
      <c r="B153" s="17">
        <v>49461</v>
      </c>
      <c r="C153" s="18">
        <v>239477.73</v>
      </c>
      <c r="D153" s="18">
        <v>1042.26</v>
      </c>
      <c r="E153" s="16">
        <f t="shared" si="4"/>
        <v>5.2226651722479575E-2</v>
      </c>
      <c r="F153" s="18">
        <v>573.75</v>
      </c>
      <c r="G153" s="16">
        <f t="shared" si="5"/>
        <v>2.8750063732439754E-2</v>
      </c>
      <c r="H153" s="18">
        <v>132968.24</v>
      </c>
      <c r="I153" s="18">
        <v>112665.28</v>
      </c>
      <c r="J153" s="18">
        <v>238435.47</v>
      </c>
    </row>
    <row r="154" spans="1:10" x14ac:dyDescent="0.3">
      <c r="A154">
        <v>153</v>
      </c>
      <c r="B154" s="17">
        <v>49491</v>
      </c>
      <c r="C154" s="18">
        <v>238435.47</v>
      </c>
      <c r="D154" s="18">
        <v>1044.76</v>
      </c>
      <c r="E154" s="16">
        <f t="shared" si="4"/>
        <v>5.2580767450413311E-2</v>
      </c>
      <c r="F154" s="18">
        <v>571.25</v>
      </c>
      <c r="G154" s="16">
        <f t="shared" si="5"/>
        <v>2.8749917115939168E-2</v>
      </c>
      <c r="H154" s="18">
        <v>134013</v>
      </c>
      <c r="I154" s="18">
        <v>113236.53</v>
      </c>
      <c r="J154" s="18">
        <v>237390.71</v>
      </c>
    </row>
    <row r="155" spans="1:10" x14ac:dyDescent="0.3">
      <c r="A155">
        <v>154</v>
      </c>
      <c r="B155" s="17">
        <v>49522</v>
      </c>
      <c r="C155" s="18">
        <v>237390.71</v>
      </c>
      <c r="D155" s="18">
        <v>1047.26</v>
      </c>
      <c r="E155" s="16">
        <f t="shared" si="4"/>
        <v>5.2938550122706998E-2</v>
      </c>
      <c r="F155" s="18">
        <v>568.75</v>
      </c>
      <c r="G155" s="16">
        <f t="shared" si="5"/>
        <v>2.8750071980491572E-2</v>
      </c>
      <c r="H155" s="18">
        <v>135060.26</v>
      </c>
      <c r="I155" s="18">
        <v>113805.28</v>
      </c>
      <c r="J155" s="18">
        <v>236343.45</v>
      </c>
    </row>
    <row r="156" spans="1:10" x14ac:dyDescent="0.3">
      <c r="A156">
        <v>155</v>
      </c>
      <c r="B156" s="17">
        <v>49553</v>
      </c>
      <c r="C156" s="18">
        <v>236343.45</v>
      </c>
      <c r="D156" s="18">
        <v>1049.77</v>
      </c>
      <c r="E156" s="16">
        <f t="shared" si="4"/>
        <v>5.3300567458078485E-2</v>
      </c>
      <c r="F156" s="18">
        <v>566.24</v>
      </c>
      <c r="G156" s="16">
        <f t="shared" si="5"/>
        <v>2.8750024593446527E-2</v>
      </c>
      <c r="H156" s="18">
        <v>136110.03</v>
      </c>
      <c r="I156" s="18">
        <v>114371.52</v>
      </c>
      <c r="J156" s="18">
        <v>235293.68</v>
      </c>
    </row>
    <row r="157" spans="1:10" x14ac:dyDescent="0.3">
      <c r="A157">
        <v>156</v>
      </c>
      <c r="B157" s="17">
        <v>49583</v>
      </c>
      <c r="C157" s="18">
        <v>235293.68</v>
      </c>
      <c r="D157" s="18">
        <v>1052.29</v>
      </c>
      <c r="E157" s="16">
        <f t="shared" si="4"/>
        <v>5.3666889820415065E-2</v>
      </c>
      <c r="F157" s="18">
        <v>563.72</v>
      </c>
      <c r="G157" s="16">
        <f t="shared" si="5"/>
        <v>2.8749773474578667E-2</v>
      </c>
      <c r="H157" s="18">
        <v>137162.32</v>
      </c>
      <c r="I157" s="18">
        <v>114935.24</v>
      </c>
      <c r="J157" s="18">
        <v>234241.39</v>
      </c>
    </row>
    <row r="158" spans="1:10" x14ac:dyDescent="0.3">
      <c r="A158">
        <v>157</v>
      </c>
      <c r="B158" s="17">
        <v>49614</v>
      </c>
      <c r="C158" s="18">
        <v>234241.39</v>
      </c>
      <c r="D158" s="18">
        <v>1054.81</v>
      </c>
      <c r="E158" s="16">
        <f t="shared" si="4"/>
        <v>5.4037076880392484E-2</v>
      </c>
      <c r="F158" s="18">
        <v>561.20000000000005</v>
      </c>
      <c r="G158" s="16">
        <f t="shared" si="5"/>
        <v>2.8749829396077269E-2</v>
      </c>
      <c r="H158" s="18">
        <v>138217.12</v>
      </c>
      <c r="I158" s="18">
        <v>115496.45</v>
      </c>
      <c r="J158" s="18">
        <v>233186.59</v>
      </c>
    </row>
    <row r="159" spans="1:10" x14ac:dyDescent="0.3">
      <c r="A159">
        <v>158</v>
      </c>
      <c r="B159" s="17">
        <v>49644</v>
      </c>
      <c r="C159" s="18">
        <v>233186.59</v>
      </c>
      <c r="D159" s="18">
        <v>1057.33</v>
      </c>
      <c r="E159" s="16">
        <f t="shared" si="4"/>
        <v>5.441119062635634E-2</v>
      </c>
      <c r="F159" s="18">
        <v>558.67999999999995</v>
      </c>
      <c r="G159" s="16">
        <f t="shared" si="5"/>
        <v>2.8750195283528096E-2</v>
      </c>
      <c r="H159" s="18">
        <v>139274.46</v>
      </c>
      <c r="I159" s="18">
        <v>116055.12</v>
      </c>
      <c r="J159" s="18">
        <v>232129.25</v>
      </c>
    </row>
    <row r="160" spans="1:10" x14ac:dyDescent="0.3">
      <c r="A160">
        <v>159</v>
      </c>
      <c r="B160" s="17">
        <v>49675</v>
      </c>
      <c r="C160" s="18">
        <v>232129.25</v>
      </c>
      <c r="D160" s="18">
        <v>1059.8699999999999</v>
      </c>
      <c r="E160" s="16">
        <f t="shared" si="4"/>
        <v>5.4790337710564262E-2</v>
      </c>
      <c r="F160" s="18">
        <v>556.14</v>
      </c>
      <c r="G160" s="16">
        <f t="shared" si="5"/>
        <v>2.874984518323305E-2</v>
      </c>
      <c r="H160" s="18">
        <v>140334.32</v>
      </c>
      <c r="I160" s="18">
        <v>116611.27</v>
      </c>
      <c r="J160" s="18">
        <v>231069.39</v>
      </c>
    </row>
    <row r="161" spans="1:10" x14ac:dyDescent="0.3">
      <c r="A161">
        <v>160</v>
      </c>
      <c r="B161" s="17">
        <v>49706</v>
      </c>
      <c r="C161" s="18">
        <v>231069.39</v>
      </c>
      <c r="D161" s="18">
        <v>1062.4100000000001</v>
      </c>
      <c r="E161" s="16">
        <f t="shared" si="4"/>
        <v>5.5173556307046984E-2</v>
      </c>
      <c r="F161" s="18">
        <v>553.6</v>
      </c>
      <c r="G161" s="16">
        <f t="shared" si="5"/>
        <v>2.8749805415593993E-2</v>
      </c>
      <c r="H161" s="18">
        <v>141396.73000000001</v>
      </c>
      <c r="I161" s="18">
        <v>117164.87</v>
      </c>
      <c r="J161" s="18">
        <v>230006.98</v>
      </c>
    </row>
    <row r="162" spans="1:10" x14ac:dyDescent="0.3">
      <c r="A162">
        <v>161</v>
      </c>
      <c r="B162" s="17">
        <v>49735</v>
      </c>
      <c r="C162" s="18">
        <v>230006.98</v>
      </c>
      <c r="D162" s="18">
        <v>1064.95</v>
      </c>
      <c r="E162" s="16">
        <f t="shared" si="4"/>
        <v>5.5560922542437621E-2</v>
      </c>
      <c r="F162" s="18">
        <v>551.05999999999995</v>
      </c>
      <c r="G162" s="16">
        <f t="shared" si="5"/>
        <v>2.8750084019189326E-2</v>
      </c>
      <c r="H162" s="18">
        <v>142461.68</v>
      </c>
      <c r="I162" s="18">
        <v>117715.93</v>
      </c>
      <c r="J162" s="18">
        <v>228942.03</v>
      </c>
    </row>
    <row r="163" spans="1:10" x14ac:dyDescent="0.3">
      <c r="A163">
        <v>162</v>
      </c>
      <c r="B163" s="17">
        <v>49766</v>
      </c>
      <c r="C163" s="18">
        <v>228942.03</v>
      </c>
      <c r="D163" s="18">
        <v>1067.5</v>
      </c>
      <c r="E163" s="16">
        <f t="shared" si="4"/>
        <v>5.5953028808209668E-2</v>
      </c>
      <c r="F163" s="18">
        <v>548.51</v>
      </c>
      <c r="G163" s="16">
        <f t="shared" si="5"/>
        <v>2.8750160029593519E-2</v>
      </c>
      <c r="H163" s="18">
        <v>143529.18</v>
      </c>
      <c r="I163" s="18">
        <v>118264.44</v>
      </c>
      <c r="J163" s="18">
        <v>227874.53</v>
      </c>
    </row>
    <row r="164" spans="1:10" x14ac:dyDescent="0.3">
      <c r="A164">
        <v>163</v>
      </c>
      <c r="B164" s="17">
        <v>49796</v>
      </c>
      <c r="C164" s="18">
        <v>227874.53</v>
      </c>
      <c r="D164" s="18">
        <v>1070.06</v>
      </c>
      <c r="E164" s="16">
        <f t="shared" si="4"/>
        <v>5.6349957145276394E-2</v>
      </c>
      <c r="F164" s="18">
        <v>545.95000000000005</v>
      </c>
      <c r="G164" s="16">
        <f t="shared" si="5"/>
        <v>2.8750031870608796E-2</v>
      </c>
      <c r="H164" s="18">
        <v>144599.25</v>
      </c>
      <c r="I164" s="18">
        <v>118810.38</v>
      </c>
      <c r="J164" s="18">
        <v>226804.46</v>
      </c>
    </row>
    <row r="165" spans="1:10" x14ac:dyDescent="0.3">
      <c r="A165">
        <v>164</v>
      </c>
      <c r="B165" s="17">
        <v>49827</v>
      </c>
      <c r="C165" s="18">
        <v>226804.46</v>
      </c>
      <c r="D165" s="18">
        <v>1072.6199999999999</v>
      </c>
      <c r="E165" s="16">
        <f t="shared" si="4"/>
        <v>5.675126494426079E-2</v>
      </c>
      <c r="F165" s="18">
        <v>543.39</v>
      </c>
      <c r="G165" s="16">
        <f t="shared" si="5"/>
        <v>2.8750228280343341E-2</v>
      </c>
      <c r="H165" s="18">
        <v>145671.87</v>
      </c>
      <c r="I165" s="18">
        <v>119353.77</v>
      </c>
      <c r="J165" s="18">
        <v>225731.84</v>
      </c>
    </row>
    <row r="166" spans="1:10" x14ac:dyDescent="0.3">
      <c r="A166">
        <v>165</v>
      </c>
      <c r="B166" s="17">
        <v>49857</v>
      </c>
      <c r="C166" s="18">
        <v>225731.84</v>
      </c>
      <c r="D166" s="18">
        <v>1075.19</v>
      </c>
      <c r="E166" s="16">
        <f t="shared" si="4"/>
        <v>5.7157554733971078E-2</v>
      </c>
      <c r="F166" s="18">
        <v>540.82000000000005</v>
      </c>
      <c r="G166" s="16">
        <f t="shared" si="5"/>
        <v>2.8750219729746593E-2</v>
      </c>
      <c r="H166" s="18">
        <v>146747.06</v>
      </c>
      <c r="I166" s="18">
        <v>119894.59</v>
      </c>
      <c r="J166" s="18">
        <v>224656.65</v>
      </c>
    </row>
    <row r="167" spans="1:10" x14ac:dyDescent="0.3">
      <c r="A167">
        <v>166</v>
      </c>
      <c r="B167" s="17">
        <v>49888</v>
      </c>
      <c r="C167" s="18">
        <v>224656.65</v>
      </c>
      <c r="D167" s="18">
        <v>1077.77</v>
      </c>
      <c r="E167" s="16">
        <f t="shared" si="4"/>
        <v>5.7568916833754979E-2</v>
      </c>
      <c r="F167" s="18">
        <v>538.24</v>
      </c>
      <c r="G167" s="16">
        <f t="shared" si="5"/>
        <v>2.8750005842248606E-2</v>
      </c>
      <c r="H167" s="18">
        <v>147824.82999999999</v>
      </c>
      <c r="I167" s="18">
        <v>120432.83</v>
      </c>
      <c r="J167" s="18">
        <v>223578.88</v>
      </c>
    </row>
    <row r="168" spans="1:10" x14ac:dyDescent="0.3">
      <c r="A168">
        <v>167</v>
      </c>
      <c r="B168" s="17">
        <v>49919</v>
      </c>
      <c r="C168" s="18">
        <v>223578.88</v>
      </c>
      <c r="D168" s="18">
        <v>1080.3499999999999</v>
      </c>
      <c r="E168" s="16">
        <f t="shared" si="4"/>
        <v>5.7984904477560661E-2</v>
      </c>
      <c r="F168" s="18">
        <v>535.66</v>
      </c>
      <c r="G168" s="16">
        <f t="shared" si="5"/>
        <v>2.8750121657287128E-2</v>
      </c>
      <c r="H168" s="18">
        <v>148905.19</v>
      </c>
      <c r="I168" s="18">
        <v>120968.48</v>
      </c>
      <c r="J168" s="18">
        <v>222498.52</v>
      </c>
    </row>
    <row r="169" spans="1:10" x14ac:dyDescent="0.3">
      <c r="A169">
        <v>168</v>
      </c>
      <c r="B169" s="17">
        <v>49949</v>
      </c>
      <c r="C169" s="18">
        <v>222498.52</v>
      </c>
      <c r="D169" s="18">
        <v>1082.94</v>
      </c>
      <c r="E169" s="16">
        <f t="shared" si="4"/>
        <v>5.8406141308265783E-2</v>
      </c>
      <c r="F169" s="18">
        <v>533.07000000000005</v>
      </c>
      <c r="G169" s="16">
        <f t="shared" si="5"/>
        <v>2.8750033932809983E-2</v>
      </c>
      <c r="H169" s="18">
        <v>149988.13</v>
      </c>
      <c r="I169" s="18">
        <v>121501.55</v>
      </c>
      <c r="J169" s="18">
        <v>221415.58</v>
      </c>
    </row>
    <row r="170" spans="1:10" x14ac:dyDescent="0.3">
      <c r="A170">
        <v>169</v>
      </c>
      <c r="B170" s="17">
        <v>49980</v>
      </c>
      <c r="C170" s="18">
        <v>221415.58</v>
      </c>
      <c r="D170" s="18">
        <v>1085.54</v>
      </c>
      <c r="E170" s="16">
        <f t="shared" si="4"/>
        <v>5.8832716288528569E-2</v>
      </c>
      <c r="F170" s="18">
        <v>530.47</v>
      </c>
      <c r="G170" s="16">
        <f t="shared" si="5"/>
        <v>2.8749738387876773E-2</v>
      </c>
      <c r="H170" s="18">
        <v>151073.66</v>
      </c>
      <c r="I170" s="18">
        <v>122032.03</v>
      </c>
      <c r="J170" s="18">
        <v>220330.05</v>
      </c>
    </row>
    <row r="171" spans="1:10" x14ac:dyDescent="0.3">
      <c r="A171">
        <v>170</v>
      </c>
      <c r="B171" s="17">
        <v>50010</v>
      </c>
      <c r="C171" s="18">
        <v>220330.05</v>
      </c>
      <c r="D171" s="18">
        <v>1088.1400000000001</v>
      </c>
      <c r="E171" s="16">
        <f t="shared" si="4"/>
        <v>5.9264181168206517E-2</v>
      </c>
      <c r="F171" s="18">
        <v>527.87</v>
      </c>
      <c r="G171" s="16">
        <f t="shared" si="5"/>
        <v>2.8749777890033613E-2</v>
      </c>
      <c r="H171" s="18">
        <v>152161.79999999999</v>
      </c>
      <c r="I171" s="18">
        <v>122559.9</v>
      </c>
      <c r="J171" s="18">
        <v>219241.91</v>
      </c>
    </row>
    <row r="172" spans="1:10" x14ac:dyDescent="0.3">
      <c r="A172">
        <v>171</v>
      </c>
      <c r="B172" s="17">
        <v>50041</v>
      </c>
      <c r="C172" s="18">
        <v>219241.91</v>
      </c>
      <c r="D172" s="18">
        <v>1090.74</v>
      </c>
      <c r="E172" s="16">
        <f t="shared" si="4"/>
        <v>5.9700629318545889E-2</v>
      </c>
      <c r="F172" s="18">
        <v>525.27</v>
      </c>
      <c r="G172" s="16">
        <f t="shared" si="5"/>
        <v>2.8750160040112771E-2</v>
      </c>
      <c r="H172" s="18">
        <v>153252.54</v>
      </c>
      <c r="I172" s="18">
        <v>123085.17</v>
      </c>
      <c r="J172" s="18">
        <v>218151.17</v>
      </c>
    </row>
    <row r="173" spans="1:10" x14ac:dyDescent="0.3">
      <c r="A173">
        <v>172</v>
      </c>
      <c r="B173" s="17">
        <v>50072</v>
      </c>
      <c r="C173" s="18">
        <v>218151.17</v>
      </c>
      <c r="D173" s="18">
        <v>1093.3599999999999</v>
      </c>
      <c r="E173" s="16">
        <f t="shared" si="4"/>
        <v>6.0143248372218211E-2</v>
      </c>
      <c r="F173" s="18">
        <v>522.65</v>
      </c>
      <c r="G173" s="16">
        <f t="shared" si="5"/>
        <v>2.87497885067497E-2</v>
      </c>
      <c r="H173" s="18">
        <v>154345.9</v>
      </c>
      <c r="I173" s="18">
        <v>123607.82</v>
      </c>
      <c r="J173" s="18">
        <v>217057.81</v>
      </c>
    </row>
    <row r="174" spans="1:10" x14ac:dyDescent="0.3">
      <c r="A174">
        <v>173</v>
      </c>
      <c r="B174" s="17">
        <v>50100</v>
      </c>
      <c r="C174" s="18">
        <v>217057.81</v>
      </c>
      <c r="D174" s="18">
        <v>1095.98</v>
      </c>
      <c r="E174" s="16">
        <f t="shared" si="4"/>
        <v>6.0591047150065691E-2</v>
      </c>
      <c r="F174" s="18">
        <v>520.03</v>
      </c>
      <c r="G174" s="16">
        <f t="shared" si="5"/>
        <v>2.8749760259720671E-2</v>
      </c>
      <c r="H174" s="18">
        <v>155441.87</v>
      </c>
      <c r="I174" s="18">
        <v>124127.86</v>
      </c>
      <c r="J174" s="18">
        <v>215961.84</v>
      </c>
    </row>
    <row r="175" spans="1:10" x14ac:dyDescent="0.3">
      <c r="A175">
        <v>174</v>
      </c>
      <c r="B175" s="17">
        <v>50131</v>
      </c>
      <c r="C175" s="18">
        <v>215961.84</v>
      </c>
      <c r="D175" s="18">
        <v>1098.5999999999999</v>
      </c>
      <c r="E175" s="16">
        <f t="shared" si="4"/>
        <v>6.1044117794143635E-2</v>
      </c>
      <c r="F175" s="18">
        <v>517.41</v>
      </c>
      <c r="G175" s="16">
        <f t="shared" si="5"/>
        <v>2.8750079180655249E-2</v>
      </c>
      <c r="H175" s="18">
        <v>156540.47</v>
      </c>
      <c r="I175" s="18">
        <v>124645.27</v>
      </c>
      <c r="J175" s="18">
        <v>214863.24</v>
      </c>
    </row>
    <row r="176" spans="1:10" x14ac:dyDescent="0.3">
      <c r="A176">
        <v>175</v>
      </c>
      <c r="B176" s="17">
        <v>50161</v>
      </c>
      <c r="C176" s="18">
        <v>214863.24</v>
      </c>
      <c r="D176" s="18">
        <v>1101.23</v>
      </c>
      <c r="E176" s="16">
        <f t="shared" si="4"/>
        <v>6.1503121706626043E-2</v>
      </c>
      <c r="F176" s="18">
        <v>514.78</v>
      </c>
      <c r="G176" s="16">
        <f t="shared" si="5"/>
        <v>2.8750194775057844E-2</v>
      </c>
      <c r="H176" s="18">
        <v>157641.71</v>
      </c>
      <c r="I176" s="18">
        <v>125160.04</v>
      </c>
      <c r="J176" s="18">
        <v>213762</v>
      </c>
    </row>
    <row r="177" spans="1:10" x14ac:dyDescent="0.3">
      <c r="A177">
        <v>176</v>
      </c>
      <c r="B177" s="17">
        <v>50192</v>
      </c>
      <c r="C177" s="18">
        <v>213762</v>
      </c>
      <c r="D177" s="18">
        <v>1103.8699999999999</v>
      </c>
      <c r="E177" s="16">
        <f t="shared" si="4"/>
        <v>6.1968170207988324E-2</v>
      </c>
      <c r="F177" s="18">
        <v>512.14</v>
      </c>
      <c r="G177" s="16">
        <f t="shared" si="5"/>
        <v>2.8750105257248717E-2</v>
      </c>
      <c r="H177" s="18">
        <v>158745.57999999999</v>
      </c>
      <c r="I177" s="18">
        <v>125672.18</v>
      </c>
      <c r="J177" s="18">
        <v>212658.13</v>
      </c>
    </row>
    <row r="178" spans="1:10" x14ac:dyDescent="0.3">
      <c r="A178">
        <v>177</v>
      </c>
      <c r="B178" s="17">
        <v>50222</v>
      </c>
      <c r="C178" s="18">
        <v>212658.13</v>
      </c>
      <c r="D178" s="18">
        <v>1106.52</v>
      </c>
      <c r="E178" s="16">
        <f t="shared" si="4"/>
        <v>6.243937158668704E-2</v>
      </c>
      <c r="F178" s="18">
        <v>509.49</v>
      </c>
      <c r="G178" s="16">
        <f t="shared" si="5"/>
        <v>2.8749806085476254E-2</v>
      </c>
      <c r="H178" s="18">
        <v>159852.1</v>
      </c>
      <c r="I178" s="18">
        <v>126181.67</v>
      </c>
      <c r="J178" s="18">
        <v>211551.61</v>
      </c>
    </row>
    <row r="179" spans="1:10" x14ac:dyDescent="0.3">
      <c r="A179">
        <v>178</v>
      </c>
      <c r="B179" s="17">
        <v>50253</v>
      </c>
      <c r="C179" s="18">
        <v>211551.61</v>
      </c>
      <c r="D179" s="18">
        <v>1109.17</v>
      </c>
      <c r="E179" s="16">
        <f t="shared" si="4"/>
        <v>6.2916278443827495E-2</v>
      </c>
      <c r="F179" s="18">
        <v>506.84</v>
      </c>
      <c r="G179" s="16">
        <f t="shared" si="5"/>
        <v>2.8749863922094471E-2</v>
      </c>
      <c r="H179" s="18">
        <v>160961.26</v>
      </c>
      <c r="I179" s="18">
        <v>126688.52</v>
      </c>
      <c r="J179" s="18">
        <v>210442.45</v>
      </c>
    </row>
    <row r="180" spans="1:10" x14ac:dyDescent="0.3">
      <c r="A180">
        <v>179</v>
      </c>
      <c r="B180" s="17">
        <v>50284</v>
      </c>
      <c r="C180" s="18">
        <v>210442.45</v>
      </c>
      <c r="D180" s="18">
        <v>1111.82</v>
      </c>
      <c r="E180" s="16">
        <f t="shared" si="4"/>
        <v>6.3398995782457376E-2</v>
      </c>
      <c r="F180" s="18">
        <v>504.19</v>
      </c>
      <c r="G180" s="16">
        <f t="shared" si="5"/>
        <v>2.875028303462538E-2</v>
      </c>
      <c r="H180" s="18">
        <v>162073.09</v>
      </c>
      <c r="I180" s="18">
        <v>127192.7</v>
      </c>
      <c r="J180" s="18">
        <v>209330.62</v>
      </c>
    </row>
    <row r="181" spans="1:10" x14ac:dyDescent="0.3">
      <c r="A181">
        <v>180</v>
      </c>
      <c r="B181" s="17">
        <v>50314</v>
      </c>
      <c r="C181" s="18">
        <v>209330.62</v>
      </c>
      <c r="D181" s="18">
        <v>1114.49</v>
      </c>
      <c r="E181" s="16">
        <f t="shared" si="4"/>
        <v>6.3888789896098336E-2</v>
      </c>
      <c r="F181" s="18">
        <v>501.52</v>
      </c>
      <c r="G181" s="16">
        <f t="shared" si="5"/>
        <v>2.8749926790452351E-2</v>
      </c>
      <c r="H181" s="18">
        <v>163187.57999999999</v>
      </c>
      <c r="I181" s="18">
        <v>127694.22</v>
      </c>
      <c r="J181" s="18">
        <v>208216.13</v>
      </c>
    </row>
    <row r="182" spans="1:10" x14ac:dyDescent="0.3">
      <c r="A182">
        <v>181</v>
      </c>
      <c r="B182" s="17">
        <v>50345</v>
      </c>
      <c r="C182" s="18">
        <v>208216.13</v>
      </c>
      <c r="D182" s="18">
        <v>1117.1600000000001</v>
      </c>
      <c r="E182" s="16">
        <f t="shared" si="4"/>
        <v>6.4384637251686513E-2</v>
      </c>
      <c r="F182" s="18">
        <v>498.85</v>
      </c>
      <c r="G182" s="16">
        <f t="shared" si="5"/>
        <v>2.874993402288286E-2</v>
      </c>
      <c r="H182" s="18">
        <v>164304.74</v>
      </c>
      <c r="I182" s="18">
        <v>128193.07</v>
      </c>
      <c r="J182" s="18">
        <v>207098.97</v>
      </c>
    </row>
    <row r="183" spans="1:10" x14ac:dyDescent="0.3">
      <c r="A183">
        <v>182</v>
      </c>
      <c r="B183" s="17">
        <v>50375</v>
      </c>
      <c r="C183" s="18">
        <v>207098.97</v>
      </c>
      <c r="D183" s="18">
        <v>1119.8399999999999</v>
      </c>
      <c r="E183" s="16">
        <f t="shared" si="4"/>
        <v>6.488723724700321E-2</v>
      </c>
      <c r="F183" s="18">
        <v>496.17</v>
      </c>
      <c r="G183" s="16">
        <f t="shared" si="5"/>
        <v>2.8749732555405756E-2</v>
      </c>
      <c r="H183" s="18">
        <v>165424.57</v>
      </c>
      <c r="I183" s="18">
        <v>128689.25</v>
      </c>
      <c r="J183" s="18">
        <v>205979.14</v>
      </c>
    </row>
    <row r="184" spans="1:10" x14ac:dyDescent="0.3">
      <c r="A184">
        <v>183</v>
      </c>
      <c r="B184" s="17">
        <v>50406</v>
      </c>
      <c r="C184" s="18">
        <v>205979.14</v>
      </c>
      <c r="D184" s="18">
        <v>1122.52</v>
      </c>
      <c r="E184" s="16">
        <f t="shared" si="4"/>
        <v>6.5396136715591691E-2</v>
      </c>
      <c r="F184" s="18">
        <v>493.49</v>
      </c>
      <c r="G184" s="16">
        <f t="shared" si="5"/>
        <v>2.8749901567702435E-2</v>
      </c>
      <c r="H184" s="18">
        <v>166547.09</v>
      </c>
      <c r="I184" s="18">
        <v>129182.74</v>
      </c>
      <c r="J184" s="18">
        <v>204856.62</v>
      </c>
    </row>
    <row r="185" spans="1:10" x14ac:dyDescent="0.3">
      <c r="A185">
        <v>184</v>
      </c>
      <c r="B185" s="17">
        <v>50437</v>
      </c>
      <c r="C185" s="18">
        <v>204856.62</v>
      </c>
      <c r="D185" s="18">
        <v>1125.21</v>
      </c>
      <c r="E185" s="16">
        <f t="shared" si="4"/>
        <v>6.5912051072598968E-2</v>
      </c>
      <c r="F185" s="18">
        <v>490.8</v>
      </c>
      <c r="G185" s="16">
        <f t="shared" si="5"/>
        <v>2.8749864173293498E-2</v>
      </c>
      <c r="H185" s="18">
        <v>167672.29999999999</v>
      </c>
      <c r="I185" s="18">
        <v>129673.54</v>
      </c>
      <c r="J185" s="18">
        <v>203731.41</v>
      </c>
    </row>
    <row r="186" spans="1:10" x14ac:dyDescent="0.3">
      <c r="A186">
        <v>185</v>
      </c>
      <c r="B186" s="17">
        <v>50465</v>
      </c>
      <c r="C186" s="18">
        <v>203731.41</v>
      </c>
      <c r="D186" s="18">
        <v>1127.9000000000001</v>
      </c>
      <c r="E186" s="16">
        <f t="shared" si="4"/>
        <v>6.6434527695066761E-2</v>
      </c>
      <c r="F186" s="18">
        <v>488.11</v>
      </c>
      <c r="G186" s="16">
        <f t="shared" si="5"/>
        <v>2.8750205969712773E-2</v>
      </c>
      <c r="H186" s="18">
        <v>168800.2</v>
      </c>
      <c r="I186" s="18">
        <v>130161.65</v>
      </c>
      <c r="J186" s="18">
        <v>202603.51</v>
      </c>
    </row>
    <row r="187" spans="1:10" x14ac:dyDescent="0.3">
      <c r="A187">
        <v>186</v>
      </c>
      <c r="B187" s="17">
        <v>50496</v>
      </c>
      <c r="C187" s="18">
        <v>202603.51</v>
      </c>
      <c r="D187" s="18">
        <v>1130.6099999999999</v>
      </c>
      <c r="E187" s="16">
        <f t="shared" si="4"/>
        <v>6.6964881309311969E-2</v>
      </c>
      <c r="F187" s="18">
        <v>485.4</v>
      </c>
      <c r="G187" s="16">
        <f t="shared" si="5"/>
        <v>2.8749748708697096E-2</v>
      </c>
      <c r="H187" s="18">
        <v>169930.81</v>
      </c>
      <c r="I187" s="18">
        <v>130647.05</v>
      </c>
      <c r="J187" s="18">
        <v>201472.9</v>
      </c>
    </row>
    <row r="188" spans="1:10" x14ac:dyDescent="0.3">
      <c r="A188">
        <v>187</v>
      </c>
      <c r="B188" s="17">
        <v>50526</v>
      </c>
      <c r="C188" s="18">
        <v>201472.9</v>
      </c>
      <c r="D188" s="18">
        <v>1133.31</v>
      </c>
      <c r="E188" s="16">
        <f t="shared" si="4"/>
        <v>6.7501485311424025E-2</v>
      </c>
      <c r="F188" s="18">
        <v>482.7</v>
      </c>
      <c r="G188" s="16">
        <f t="shared" si="5"/>
        <v>2.8750268646552467E-2</v>
      </c>
      <c r="H188" s="18">
        <v>171064.12</v>
      </c>
      <c r="I188" s="18">
        <v>131129.75</v>
      </c>
      <c r="J188" s="18">
        <v>200339.59</v>
      </c>
    </row>
    <row r="189" spans="1:10" x14ac:dyDescent="0.3">
      <c r="A189">
        <v>188</v>
      </c>
      <c r="B189" s="17">
        <v>50557</v>
      </c>
      <c r="C189" s="18">
        <v>200339.59</v>
      </c>
      <c r="D189" s="18">
        <v>1136.03</v>
      </c>
      <c r="E189" s="16">
        <f t="shared" si="4"/>
        <v>6.8046260851387388E-2</v>
      </c>
      <c r="F189" s="18">
        <v>479.98</v>
      </c>
      <c r="G189" s="16">
        <f t="shared" si="5"/>
        <v>2.874998396472709E-2</v>
      </c>
      <c r="H189" s="18">
        <v>172200.15</v>
      </c>
      <c r="I189" s="18">
        <v>131609.73000000001</v>
      </c>
      <c r="J189" s="18">
        <v>199203.56</v>
      </c>
    </row>
    <row r="190" spans="1:10" x14ac:dyDescent="0.3">
      <c r="A190">
        <v>189</v>
      </c>
      <c r="B190" s="17">
        <v>50587</v>
      </c>
      <c r="C190" s="18">
        <v>199203.56</v>
      </c>
      <c r="D190" s="18">
        <v>1138.75</v>
      </c>
      <c r="E190" s="16">
        <f t="shared" si="4"/>
        <v>6.859817163910123E-2</v>
      </c>
      <c r="F190" s="18">
        <v>477.26</v>
      </c>
      <c r="G190" s="16">
        <f t="shared" si="5"/>
        <v>2.8750088602834206E-2</v>
      </c>
      <c r="H190" s="18">
        <v>173338.9</v>
      </c>
      <c r="I190" s="18">
        <v>132086.99</v>
      </c>
      <c r="J190" s="18">
        <v>198064.81</v>
      </c>
    </row>
    <row r="191" spans="1:10" x14ac:dyDescent="0.3">
      <c r="A191">
        <v>190</v>
      </c>
      <c r="B191" s="17">
        <v>50618</v>
      </c>
      <c r="C191" s="18">
        <v>198064.81</v>
      </c>
      <c r="D191" s="18">
        <v>1141.48</v>
      </c>
      <c r="E191" s="16">
        <f t="shared" si="4"/>
        <v>6.9157969050635495E-2</v>
      </c>
      <c r="F191" s="18">
        <v>474.53</v>
      </c>
      <c r="G191" s="16">
        <f t="shared" si="5"/>
        <v>2.8749983401897591E-2</v>
      </c>
      <c r="H191" s="18">
        <v>174480.38</v>
      </c>
      <c r="I191" s="18">
        <v>132561.51999999999</v>
      </c>
      <c r="J191" s="18">
        <v>196923.33</v>
      </c>
    </row>
    <row r="192" spans="1:10" x14ac:dyDescent="0.3">
      <c r="A192">
        <v>191</v>
      </c>
      <c r="B192" s="17">
        <v>50649</v>
      </c>
      <c r="C192" s="18">
        <v>196923.33</v>
      </c>
      <c r="D192" s="18">
        <v>1144.21</v>
      </c>
      <c r="E192" s="16">
        <f t="shared" si="4"/>
        <v>6.9725207267214095E-2</v>
      </c>
      <c r="F192" s="18">
        <v>471.8</v>
      </c>
      <c r="G192" s="16">
        <f t="shared" si="5"/>
        <v>2.8750275551403685E-2</v>
      </c>
      <c r="H192" s="18">
        <v>175624.6</v>
      </c>
      <c r="I192" s="18">
        <v>133033.31</v>
      </c>
      <c r="J192" s="18">
        <v>195779.11</v>
      </c>
    </row>
    <row r="193" spans="1:10" x14ac:dyDescent="0.3">
      <c r="A193">
        <v>192</v>
      </c>
      <c r="B193" s="17">
        <v>50679</v>
      </c>
      <c r="C193" s="18">
        <v>195779.11</v>
      </c>
      <c r="D193" s="18">
        <v>1146.96</v>
      </c>
      <c r="E193" s="16">
        <f t="shared" si="4"/>
        <v>7.0301269629839472E-2</v>
      </c>
      <c r="F193" s="18">
        <v>469.05</v>
      </c>
      <c r="G193" s="16">
        <f t="shared" si="5"/>
        <v>2.8749747610968303E-2</v>
      </c>
      <c r="H193" s="18">
        <v>176771.55</v>
      </c>
      <c r="I193" s="18">
        <v>133502.37</v>
      </c>
      <c r="J193" s="18">
        <v>194632.16</v>
      </c>
    </row>
    <row r="194" spans="1:10" x14ac:dyDescent="0.3">
      <c r="A194">
        <v>193</v>
      </c>
      <c r="B194" s="17">
        <v>50710</v>
      </c>
      <c r="C194" s="18">
        <v>194632.16</v>
      </c>
      <c r="D194" s="18">
        <v>1149.7</v>
      </c>
      <c r="E194" s="16">
        <f t="shared" si="4"/>
        <v>7.0884482811062674E-2</v>
      </c>
      <c r="F194" s="18">
        <v>466.31</v>
      </c>
      <c r="G194" s="16">
        <f t="shared" si="5"/>
        <v>2.8750233260525906E-2</v>
      </c>
      <c r="H194" s="18">
        <v>177921.26</v>
      </c>
      <c r="I194" s="18">
        <v>133968.67000000001</v>
      </c>
      <c r="J194" s="18">
        <v>193482.45</v>
      </c>
    </row>
    <row r="195" spans="1:10" x14ac:dyDescent="0.3">
      <c r="A195">
        <v>194</v>
      </c>
      <c r="B195" s="17">
        <v>50740</v>
      </c>
      <c r="C195" s="18">
        <v>193482.45</v>
      </c>
      <c r="D195" s="18">
        <v>1152.46</v>
      </c>
      <c r="E195" s="16">
        <f t="shared" ref="E195:E258" si="6">(D195/C195)*12</f>
        <v>7.1476870382817664E-2</v>
      </c>
      <c r="F195" s="18">
        <v>463.55</v>
      </c>
      <c r="G195" s="16">
        <f t="shared" ref="G195:G258" si="7">(F195/C195)*12</f>
        <v>2.8749894370264591E-2</v>
      </c>
      <c r="H195" s="18">
        <v>179073.71</v>
      </c>
      <c r="I195" s="18">
        <v>134432.23000000001</v>
      </c>
      <c r="J195" s="18">
        <v>192330</v>
      </c>
    </row>
    <row r="196" spans="1:10" x14ac:dyDescent="0.3">
      <c r="A196">
        <v>195</v>
      </c>
      <c r="B196" s="17">
        <v>50771</v>
      </c>
      <c r="C196" s="18">
        <v>192330</v>
      </c>
      <c r="D196" s="18">
        <v>1155.22</v>
      </c>
      <c r="E196" s="16">
        <f t="shared" si="6"/>
        <v>7.2077367025425054E-2</v>
      </c>
      <c r="F196" s="18">
        <v>460.79</v>
      </c>
      <c r="G196" s="16">
        <f t="shared" si="7"/>
        <v>2.8749961004523476E-2</v>
      </c>
      <c r="H196" s="18">
        <v>180228.93</v>
      </c>
      <c r="I196" s="18">
        <v>134893.01999999999</v>
      </c>
      <c r="J196" s="18">
        <v>191174.78</v>
      </c>
    </row>
    <row r="197" spans="1:10" x14ac:dyDescent="0.3">
      <c r="A197">
        <v>196</v>
      </c>
      <c r="B197" s="17">
        <v>50802</v>
      </c>
      <c r="C197" s="18">
        <v>191174.78</v>
      </c>
      <c r="D197" s="18">
        <v>1157.99</v>
      </c>
      <c r="E197" s="16">
        <f t="shared" si="6"/>
        <v>7.2686784313286512E-2</v>
      </c>
      <c r="F197" s="18">
        <v>458.02</v>
      </c>
      <c r="G197" s="16">
        <f t="shared" si="7"/>
        <v>2.8749817313769105E-2</v>
      </c>
      <c r="H197" s="18">
        <v>181386.92</v>
      </c>
      <c r="I197" s="18">
        <v>135351.04000000001</v>
      </c>
      <c r="J197" s="18">
        <v>190016.79</v>
      </c>
    </row>
    <row r="198" spans="1:10" x14ac:dyDescent="0.3">
      <c r="A198">
        <v>197</v>
      </c>
      <c r="B198" s="17">
        <v>50830</v>
      </c>
      <c r="C198" s="18">
        <v>190016.79</v>
      </c>
      <c r="D198" s="18">
        <v>1160.76</v>
      </c>
      <c r="E198" s="16">
        <f t="shared" si="6"/>
        <v>7.3304680075902767E-2</v>
      </c>
      <c r="F198" s="18">
        <v>455.25</v>
      </c>
      <c r="G198" s="16">
        <f t="shared" si="7"/>
        <v>2.8750090978802455E-2</v>
      </c>
      <c r="H198" s="18">
        <v>182547.68</v>
      </c>
      <c r="I198" s="18">
        <v>135806.29</v>
      </c>
      <c r="J198" s="18">
        <v>188856.03</v>
      </c>
    </row>
    <row r="199" spans="1:10" x14ac:dyDescent="0.3">
      <c r="A199">
        <v>198</v>
      </c>
      <c r="B199" s="17">
        <v>50861</v>
      </c>
      <c r="C199" s="18">
        <v>188856.03</v>
      </c>
      <c r="D199" s="18">
        <v>1163.54</v>
      </c>
      <c r="E199" s="16">
        <f t="shared" si="6"/>
        <v>7.393187286633103E-2</v>
      </c>
      <c r="F199" s="18">
        <v>452.47</v>
      </c>
      <c r="G199" s="16">
        <f t="shared" si="7"/>
        <v>2.8750154284192038E-2</v>
      </c>
      <c r="H199" s="18">
        <v>183711.22</v>
      </c>
      <c r="I199" s="18">
        <v>136258.76</v>
      </c>
      <c r="J199" s="18">
        <v>187692.49</v>
      </c>
    </row>
    <row r="200" spans="1:10" x14ac:dyDescent="0.3">
      <c r="A200">
        <v>199</v>
      </c>
      <c r="B200" s="17">
        <v>50891</v>
      </c>
      <c r="C200" s="18">
        <v>187692.49</v>
      </c>
      <c r="D200" s="18">
        <v>1166.33</v>
      </c>
      <c r="E200" s="16">
        <f t="shared" si="6"/>
        <v>7.4568566914957543E-2</v>
      </c>
      <c r="F200" s="18">
        <v>449.68</v>
      </c>
      <c r="G200" s="16">
        <f t="shared" si="7"/>
        <v>2.8750004861675608E-2</v>
      </c>
      <c r="H200" s="18">
        <v>184877.55</v>
      </c>
      <c r="I200" s="18">
        <v>136708.44</v>
      </c>
      <c r="J200" s="18">
        <v>186526.16</v>
      </c>
    </row>
    <row r="201" spans="1:10" x14ac:dyDescent="0.3">
      <c r="A201">
        <v>200</v>
      </c>
      <c r="B201" s="17">
        <v>50922</v>
      </c>
      <c r="C201" s="18">
        <v>186526.16</v>
      </c>
      <c r="D201" s="18">
        <v>1169.1199999999999</v>
      </c>
      <c r="E201" s="16">
        <f t="shared" si="6"/>
        <v>7.521432918578283E-2</v>
      </c>
      <c r="F201" s="18">
        <v>446.89</v>
      </c>
      <c r="G201" s="16">
        <f t="shared" si="7"/>
        <v>2.8750283606331677E-2</v>
      </c>
      <c r="H201" s="18">
        <v>186046.68</v>
      </c>
      <c r="I201" s="18">
        <v>137155.32</v>
      </c>
      <c r="J201" s="18">
        <v>185357.03</v>
      </c>
    </row>
    <row r="202" spans="1:10" x14ac:dyDescent="0.3">
      <c r="A202">
        <v>201</v>
      </c>
      <c r="B202" s="17">
        <v>50952</v>
      </c>
      <c r="C202" s="18">
        <v>185357.03</v>
      </c>
      <c r="D202" s="18">
        <v>1171.93</v>
      </c>
      <c r="E202" s="16">
        <f t="shared" si="6"/>
        <v>7.5870658911615069E-2</v>
      </c>
      <c r="F202" s="18">
        <v>444.08</v>
      </c>
      <c r="G202" s="16">
        <f t="shared" si="7"/>
        <v>2.8749705365909237E-2</v>
      </c>
      <c r="H202" s="18">
        <v>187218.6</v>
      </c>
      <c r="I202" s="18">
        <v>137599.41</v>
      </c>
      <c r="J202" s="18">
        <v>184185.11</v>
      </c>
    </row>
    <row r="203" spans="1:10" x14ac:dyDescent="0.3">
      <c r="A203">
        <v>202</v>
      </c>
      <c r="B203" s="17">
        <v>50983</v>
      </c>
      <c r="C203" s="18">
        <v>184185.11</v>
      </c>
      <c r="D203" s="18">
        <v>1174.73</v>
      </c>
      <c r="E203" s="16">
        <f t="shared" si="6"/>
        <v>7.6535828547704007E-2</v>
      </c>
      <c r="F203" s="18">
        <v>441.28</v>
      </c>
      <c r="G203" s="16">
        <f t="shared" si="7"/>
        <v>2.8750206789245884E-2</v>
      </c>
      <c r="H203" s="18">
        <v>188393.34</v>
      </c>
      <c r="I203" s="18">
        <v>138040.68</v>
      </c>
      <c r="J203" s="18">
        <v>183010.37</v>
      </c>
    </row>
    <row r="204" spans="1:10" x14ac:dyDescent="0.3">
      <c r="A204">
        <v>203</v>
      </c>
      <c r="B204" s="17">
        <v>51014</v>
      </c>
      <c r="C204" s="18">
        <v>183010.37</v>
      </c>
      <c r="D204" s="18">
        <v>1177.55</v>
      </c>
      <c r="E204" s="16">
        <f t="shared" si="6"/>
        <v>7.7212018094930904E-2</v>
      </c>
      <c r="F204" s="18">
        <v>438.46</v>
      </c>
      <c r="G204" s="16">
        <f t="shared" si="7"/>
        <v>2.8749846251881792E-2</v>
      </c>
      <c r="H204" s="18">
        <v>189570.89</v>
      </c>
      <c r="I204" s="18">
        <v>138479.14000000001</v>
      </c>
      <c r="J204" s="18">
        <v>181832.82</v>
      </c>
    </row>
    <row r="205" spans="1:10" x14ac:dyDescent="0.3">
      <c r="A205">
        <v>204</v>
      </c>
      <c r="B205" s="17">
        <v>51044</v>
      </c>
      <c r="C205" s="18">
        <v>181832.82</v>
      </c>
      <c r="D205" s="18">
        <v>1180.3699999999999</v>
      </c>
      <c r="E205" s="16">
        <f t="shared" si="6"/>
        <v>7.7898148420070687E-2</v>
      </c>
      <c r="F205" s="18">
        <v>435.64</v>
      </c>
      <c r="G205" s="16">
        <f t="shared" si="7"/>
        <v>2.8749925343510591E-2</v>
      </c>
      <c r="H205" s="18">
        <v>190751.25</v>
      </c>
      <c r="I205" s="18">
        <v>138914.79</v>
      </c>
      <c r="J205" s="18">
        <v>180652.46</v>
      </c>
    </row>
    <row r="206" spans="1:10" x14ac:dyDescent="0.3">
      <c r="A206">
        <v>205</v>
      </c>
      <c r="B206" s="17">
        <v>51075</v>
      </c>
      <c r="C206" s="18">
        <v>180652.46</v>
      </c>
      <c r="D206" s="18">
        <v>1183.2</v>
      </c>
      <c r="E206" s="16">
        <f t="shared" si="6"/>
        <v>7.8595110191137171E-2</v>
      </c>
      <c r="F206" s="18">
        <v>432.81</v>
      </c>
      <c r="G206" s="16">
        <f t="shared" si="7"/>
        <v>2.8749788405870585E-2</v>
      </c>
      <c r="H206" s="18">
        <v>191934.45</v>
      </c>
      <c r="I206" s="18">
        <v>139347.6</v>
      </c>
      <c r="J206" s="18">
        <v>179469.26</v>
      </c>
    </row>
    <row r="207" spans="1:10" x14ac:dyDescent="0.3">
      <c r="A207">
        <v>206</v>
      </c>
      <c r="B207" s="17">
        <v>51105</v>
      </c>
      <c r="C207" s="18">
        <v>179469.26</v>
      </c>
      <c r="D207" s="18">
        <v>1186.03</v>
      </c>
      <c r="E207" s="16">
        <f t="shared" si="6"/>
        <v>7.9302494477327193E-2</v>
      </c>
      <c r="F207" s="18">
        <v>429.98</v>
      </c>
      <c r="G207" s="16">
        <f t="shared" si="7"/>
        <v>2.8750104614015792E-2</v>
      </c>
      <c r="H207" s="18">
        <v>193120.48</v>
      </c>
      <c r="I207" s="18">
        <v>139777.57999999999</v>
      </c>
      <c r="J207" s="18">
        <v>178283.23</v>
      </c>
    </row>
    <row r="208" spans="1:10" x14ac:dyDescent="0.3">
      <c r="A208">
        <v>207</v>
      </c>
      <c r="B208" s="17">
        <v>51136</v>
      </c>
      <c r="C208" s="18">
        <v>178283.23</v>
      </c>
      <c r="D208" s="18">
        <v>1188.8699999999999</v>
      </c>
      <c r="E208" s="16">
        <f t="shared" si="6"/>
        <v>8.0021211192998903E-2</v>
      </c>
      <c r="F208" s="18">
        <v>427.14</v>
      </c>
      <c r="G208" s="16">
        <f t="shared" si="7"/>
        <v>2.8750208306187852E-2</v>
      </c>
      <c r="H208" s="18">
        <v>194309.36</v>
      </c>
      <c r="I208" s="18">
        <v>140204.71</v>
      </c>
      <c r="J208" s="18">
        <v>177094.35</v>
      </c>
    </row>
    <row r="209" spans="1:10" x14ac:dyDescent="0.3">
      <c r="A209">
        <v>208</v>
      </c>
      <c r="B209" s="17">
        <v>51167</v>
      </c>
      <c r="C209" s="18">
        <v>177094.35</v>
      </c>
      <c r="D209" s="18">
        <v>1191.72</v>
      </c>
      <c r="E209" s="16">
        <f t="shared" si="6"/>
        <v>8.0751531598834178E-2</v>
      </c>
      <c r="F209" s="18">
        <v>424.29</v>
      </c>
      <c r="G209" s="16">
        <f t="shared" si="7"/>
        <v>2.8750098464462588E-2</v>
      </c>
      <c r="H209" s="18">
        <v>195501.08</v>
      </c>
      <c r="I209" s="18">
        <v>140629</v>
      </c>
      <c r="J209" s="18">
        <v>175902.63</v>
      </c>
    </row>
    <row r="210" spans="1:10" x14ac:dyDescent="0.3">
      <c r="A210">
        <v>209</v>
      </c>
      <c r="B210" s="17">
        <v>51196</v>
      </c>
      <c r="C210" s="18">
        <v>175902.63</v>
      </c>
      <c r="D210" s="18">
        <v>1194.58</v>
      </c>
      <c r="E210" s="16">
        <f t="shared" si="6"/>
        <v>8.1493721839178856E-2</v>
      </c>
      <c r="F210" s="18">
        <v>421.43</v>
      </c>
      <c r="G210" s="16">
        <f t="shared" si="7"/>
        <v>2.8749769119427036E-2</v>
      </c>
      <c r="H210" s="18">
        <v>196695.65</v>
      </c>
      <c r="I210" s="18">
        <v>141050.44</v>
      </c>
      <c r="J210" s="18">
        <v>174708.06</v>
      </c>
    </row>
    <row r="211" spans="1:10" x14ac:dyDescent="0.3">
      <c r="A211">
        <v>210</v>
      </c>
      <c r="B211" s="17">
        <v>51227</v>
      </c>
      <c r="C211" s="18">
        <v>174708.06</v>
      </c>
      <c r="D211" s="18">
        <v>1197.44</v>
      </c>
      <c r="E211" s="16">
        <f t="shared" si="6"/>
        <v>8.2247378855903969E-2</v>
      </c>
      <c r="F211" s="18">
        <v>418.57</v>
      </c>
      <c r="G211" s="16">
        <f t="shared" si="7"/>
        <v>2.8749904268870023E-2</v>
      </c>
      <c r="H211" s="18">
        <v>197893.09</v>
      </c>
      <c r="I211" s="18">
        <v>141469.01</v>
      </c>
      <c r="J211" s="18">
        <v>173510.62</v>
      </c>
    </row>
    <row r="212" spans="1:10" x14ac:dyDescent="0.3">
      <c r="A212">
        <v>211</v>
      </c>
      <c r="B212" s="17">
        <v>51257</v>
      </c>
      <c r="C212" s="18">
        <v>173510.62</v>
      </c>
      <c r="D212" s="18">
        <v>1200.31</v>
      </c>
      <c r="E212" s="16">
        <f t="shared" si="6"/>
        <v>8.3013477791734014E-2</v>
      </c>
      <c r="F212" s="18">
        <v>415.7</v>
      </c>
      <c r="G212" s="16">
        <f t="shared" si="7"/>
        <v>2.8749825226836258E-2</v>
      </c>
      <c r="H212" s="18">
        <v>199093.4</v>
      </c>
      <c r="I212" s="18">
        <v>141884.71</v>
      </c>
      <c r="J212" s="18">
        <v>172310.31</v>
      </c>
    </row>
    <row r="213" spans="1:10" x14ac:dyDescent="0.3">
      <c r="A213">
        <v>212</v>
      </c>
      <c r="B213" s="17">
        <v>51288</v>
      </c>
      <c r="C213" s="18">
        <v>172310.31</v>
      </c>
      <c r="D213" s="18">
        <v>1203.18</v>
      </c>
      <c r="E213" s="16">
        <f t="shared" si="6"/>
        <v>8.3791619897845934E-2</v>
      </c>
      <c r="F213" s="18">
        <v>412.83</v>
      </c>
      <c r="G213" s="16">
        <f t="shared" si="7"/>
        <v>2.8750223941910381E-2</v>
      </c>
      <c r="H213" s="18">
        <v>200296.58</v>
      </c>
      <c r="I213" s="18">
        <v>142297.54</v>
      </c>
      <c r="J213" s="18">
        <v>171107.13</v>
      </c>
    </row>
    <row r="214" spans="1:10" x14ac:dyDescent="0.3">
      <c r="A214">
        <v>213</v>
      </c>
      <c r="B214" s="17">
        <v>51318</v>
      </c>
      <c r="C214" s="18">
        <v>171107.13</v>
      </c>
      <c r="D214" s="18">
        <v>1206.07</v>
      </c>
      <c r="E214" s="16">
        <f t="shared" si="6"/>
        <v>8.4583500407025697E-2</v>
      </c>
      <c r="F214" s="18">
        <v>409.94</v>
      </c>
      <c r="G214" s="16">
        <f t="shared" si="7"/>
        <v>2.874970785846271E-2</v>
      </c>
      <c r="H214" s="18">
        <v>201502.65</v>
      </c>
      <c r="I214" s="18">
        <v>142707.48000000001</v>
      </c>
      <c r="J214" s="18">
        <v>169901.06</v>
      </c>
    </row>
    <row r="215" spans="1:10" x14ac:dyDescent="0.3">
      <c r="A215">
        <v>214</v>
      </c>
      <c r="B215" s="17">
        <v>51349</v>
      </c>
      <c r="C215" s="18">
        <v>169901.06</v>
      </c>
      <c r="D215" s="18">
        <v>1208.96</v>
      </c>
      <c r="E215" s="16">
        <f t="shared" si="6"/>
        <v>8.5388048785569687E-2</v>
      </c>
      <c r="F215" s="18">
        <v>407.05</v>
      </c>
      <c r="G215" s="16">
        <f t="shared" si="7"/>
        <v>2.8749673486439697E-2</v>
      </c>
      <c r="H215" s="18">
        <v>202711.6</v>
      </c>
      <c r="I215" s="18">
        <v>143114.54</v>
      </c>
      <c r="J215" s="18">
        <v>168692.11</v>
      </c>
    </row>
    <row r="216" spans="1:10" x14ac:dyDescent="0.3">
      <c r="A216">
        <v>215</v>
      </c>
      <c r="B216" s="17">
        <v>51380</v>
      </c>
      <c r="C216" s="18">
        <v>168692.11</v>
      </c>
      <c r="D216" s="18">
        <v>1211.8499999999999</v>
      </c>
      <c r="E216" s="16">
        <f t="shared" si="6"/>
        <v>8.6205572981451234E-2</v>
      </c>
      <c r="F216" s="18">
        <v>404.16</v>
      </c>
      <c r="G216" s="16">
        <f t="shared" si="7"/>
        <v>2.8750129451816098E-2</v>
      </c>
      <c r="H216" s="18">
        <v>203923.46</v>
      </c>
      <c r="I216" s="18">
        <v>143518.69</v>
      </c>
      <c r="J216" s="18">
        <v>167480.25</v>
      </c>
    </row>
    <row r="217" spans="1:10" x14ac:dyDescent="0.3">
      <c r="A217">
        <v>216</v>
      </c>
      <c r="B217" s="17">
        <v>51410</v>
      </c>
      <c r="C217" s="18">
        <v>167480.25</v>
      </c>
      <c r="D217" s="18">
        <v>1214.76</v>
      </c>
      <c r="E217" s="16">
        <f t="shared" si="6"/>
        <v>8.7037844760800148E-2</v>
      </c>
      <c r="F217" s="18">
        <v>401.25</v>
      </c>
      <c r="G217" s="16">
        <f t="shared" si="7"/>
        <v>2.8749658541828066E-2</v>
      </c>
      <c r="H217" s="18">
        <v>205138.21</v>
      </c>
      <c r="I217" s="18">
        <v>143919.95000000001</v>
      </c>
      <c r="J217" s="18">
        <v>166265.5</v>
      </c>
    </row>
    <row r="218" spans="1:10" x14ac:dyDescent="0.3">
      <c r="A218">
        <v>217</v>
      </c>
      <c r="B218" s="17">
        <v>51441</v>
      </c>
      <c r="C218" s="18">
        <v>166265.5</v>
      </c>
      <c r="D218" s="18">
        <v>1217.67</v>
      </c>
      <c r="E218" s="16">
        <f t="shared" si="6"/>
        <v>8.7883776249432388E-2</v>
      </c>
      <c r="F218" s="18">
        <v>398.34</v>
      </c>
      <c r="G218" s="16">
        <f t="shared" si="7"/>
        <v>2.8749680480917566E-2</v>
      </c>
      <c r="H218" s="18">
        <v>206355.88</v>
      </c>
      <c r="I218" s="18">
        <v>144318.29</v>
      </c>
      <c r="J218" s="18">
        <v>165047.82999999999</v>
      </c>
    </row>
    <row r="219" spans="1:10" x14ac:dyDescent="0.3">
      <c r="A219">
        <v>218</v>
      </c>
      <c r="B219" s="17">
        <v>51471</v>
      </c>
      <c r="C219" s="18">
        <v>165047.82999999999</v>
      </c>
      <c r="D219" s="18">
        <v>1220.58</v>
      </c>
      <c r="E219" s="16">
        <f t="shared" si="6"/>
        <v>8.8743729620680251E-2</v>
      </c>
      <c r="F219" s="18">
        <v>395.43</v>
      </c>
      <c r="G219" s="16">
        <f t="shared" si="7"/>
        <v>2.8750211378119908E-2</v>
      </c>
      <c r="H219" s="18">
        <v>207576.46</v>
      </c>
      <c r="I219" s="18">
        <v>144713.72</v>
      </c>
      <c r="J219" s="18">
        <v>163827.25</v>
      </c>
    </row>
    <row r="220" spans="1:10" x14ac:dyDescent="0.3">
      <c r="A220">
        <v>219</v>
      </c>
      <c r="B220" s="17">
        <v>51502</v>
      </c>
      <c r="C220" s="18">
        <v>163827.25</v>
      </c>
      <c r="D220" s="18">
        <v>1223.51</v>
      </c>
      <c r="E220" s="16">
        <f t="shared" si="6"/>
        <v>8.961952300365171E-2</v>
      </c>
      <c r="F220" s="18">
        <v>392.5</v>
      </c>
      <c r="G220" s="16">
        <f t="shared" si="7"/>
        <v>2.8749795897813089E-2</v>
      </c>
      <c r="H220" s="18">
        <v>208799.97</v>
      </c>
      <c r="I220" s="18">
        <v>145106.22</v>
      </c>
      <c r="J220" s="18">
        <v>162603.74</v>
      </c>
    </row>
    <row r="221" spans="1:10" x14ac:dyDescent="0.3">
      <c r="A221">
        <v>220</v>
      </c>
      <c r="B221" s="17">
        <v>51533</v>
      </c>
      <c r="C221" s="18">
        <v>162603.74</v>
      </c>
      <c r="D221" s="18">
        <v>1226.44</v>
      </c>
      <c r="E221" s="16">
        <f t="shared" si="6"/>
        <v>9.0510095278251296E-2</v>
      </c>
      <c r="F221" s="18">
        <v>389.57</v>
      </c>
      <c r="G221" s="16">
        <f t="shared" si="7"/>
        <v>2.8749892222651213E-2</v>
      </c>
      <c r="H221" s="18">
        <v>210026.41</v>
      </c>
      <c r="I221" s="18">
        <v>145495.79</v>
      </c>
      <c r="J221" s="18">
        <v>161377.29999999999</v>
      </c>
    </row>
    <row r="222" spans="1:10" x14ac:dyDescent="0.3">
      <c r="A222">
        <v>221</v>
      </c>
      <c r="B222" s="17">
        <v>51561</v>
      </c>
      <c r="C222" s="18">
        <v>161377.29999999999</v>
      </c>
      <c r="D222" s="18">
        <v>1229.3800000000001</v>
      </c>
      <c r="E222" s="16">
        <f t="shared" si="6"/>
        <v>9.141657469792841E-2</v>
      </c>
      <c r="F222" s="18">
        <v>386.63</v>
      </c>
      <c r="G222" s="16">
        <f t="shared" si="7"/>
        <v>2.8749768399892676E-2</v>
      </c>
      <c r="H222" s="18">
        <v>211255.78</v>
      </c>
      <c r="I222" s="18">
        <v>145882.43</v>
      </c>
      <c r="J222" s="18">
        <v>160147.93</v>
      </c>
    </row>
    <row r="223" spans="1:10" x14ac:dyDescent="0.3">
      <c r="A223">
        <v>222</v>
      </c>
      <c r="B223" s="17">
        <v>51592</v>
      </c>
      <c r="C223" s="18">
        <v>160147.93</v>
      </c>
      <c r="D223" s="18">
        <v>1232.32</v>
      </c>
      <c r="E223" s="16">
        <f t="shared" si="6"/>
        <v>9.2338627168018966E-2</v>
      </c>
      <c r="F223" s="18">
        <v>383.69</v>
      </c>
      <c r="G223" s="16">
        <f t="shared" si="7"/>
        <v>2.8750168672177029E-2</v>
      </c>
      <c r="H223" s="18">
        <v>212488.1</v>
      </c>
      <c r="I223" s="18">
        <v>146266.12</v>
      </c>
      <c r="J223" s="18">
        <v>158915.60999999999</v>
      </c>
    </row>
    <row r="224" spans="1:10" x14ac:dyDescent="0.3">
      <c r="A224">
        <v>223</v>
      </c>
      <c r="B224" s="17">
        <v>51622</v>
      </c>
      <c r="C224" s="18">
        <v>158915.60999999999</v>
      </c>
      <c r="D224" s="18">
        <v>1235.27</v>
      </c>
      <c r="E224" s="16">
        <f t="shared" si="6"/>
        <v>9.3277431965305371E-2</v>
      </c>
      <c r="F224" s="18">
        <v>380.74</v>
      </c>
      <c r="G224" s="16">
        <f t="shared" si="7"/>
        <v>2.8750353725477316E-2</v>
      </c>
      <c r="H224" s="18">
        <v>213723.38</v>
      </c>
      <c r="I224" s="18">
        <v>146646.85</v>
      </c>
      <c r="J224" s="18">
        <v>157680.32999999999</v>
      </c>
    </row>
    <row r="225" spans="1:10" x14ac:dyDescent="0.3">
      <c r="A225">
        <v>224</v>
      </c>
      <c r="B225" s="17">
        <v>51653</v>
      </c>
      <c r="C225" s="18">
        <v>157680.32999999999</v>
      </c>
      <c r="D225" s="18">
        <v>1238.23</v>
      </c>
      <c r="E225" s="16">
        <f t="shared" si="6"/>
        <v>9.4233440531231769E-2</v>
      </c>
      <c r="F225" s="18">
        <v>377.78</v>
      </c>
      <c r="G225" s="16">
        <f t="shared" si="7"/>
        <v>2.8750320347503078E-2</v>
      </c>
      <c r="H225" s="18">
        <v>214961.61</v>
      </c>
      <c r="I225" s="18">
        <v>147024.63</v>
      </c>
      <c r="J225" s="18">
        <v>156442.1</v>
      </c>
    </row>
    <row r="226" spans="1:10" x14ac:dyDescent="0.3">
      <c r="A226">
        <v>225</v>
      </c>
      <c r="B226" s="17">
        <v>51683</v>
      </c>
      <c r="C226" s="18">
        <v>156442.1</v>
      </c>
      <c r="D226" s="18">
        <v>1241.2</v>
      </c>
      <c r="E226" s="16">
        <f t="shared" si="6"/>
        <v>9.5207108572436694E-2</v>
      </c>
      <c r="F226" s="18">
        <v>374.81</v>
      </c>
      <c r="G226" s="16">
        <f t="shared" si="7"/>
        <v>2.875006152435949E-2</v>
      </c>
      <c r="H226" s="18">
        <v>216202.81</v>
      </c>
      <c r="I226" s="18">
        <v>147399.44</v>
      </c>
      <c r="J226" s="18">
        <v>155200.9</v>
      </c>
    </row>
    <row r="227" spans="1:10" x14ac:dyDescent="0.3">
      <c r="A227">
        <v>226</v>
      </c>
      <c r="B227" s="17">
        <v>51714</v>
      </c>
      <c r="C227" s="18">
        <v>155200.9</v>
      </c>
      <c r="D227" s="18">
        <v>1244.17</v>
      </c>
      <c r="E227" s="16">
        <f t="shared" si="6"/>
        <v>9.6198153490089297E-2</v>
      </c>
      <c r="F227" s="18">
        <v>371.84</v>
      </c>
      <c r="G227" s="16">
        <f t="shared" si="7"/>
        <v>2.8750348741534357E-2</v>
      </c>
      <c r="H227" s="18">
        <v>217446.99</v>
      </c>
      <c r="I227" s="18">
        <v>147771.26999999999</v>
      </c>
      <c r="J227" s="18">
        <v>153956.72</v>
      </c>
    </row>
    <row r="228" spans="1:10" x14ac:dyDescent="0.3">
      <c r="A228">
        <v>227</v>
      </c>
      <c r="B228" s="17">
        <v>51745</v>
      </c>
      <c r="C228" s="18">
        <v>153956.72</v>
      </c>
      <c r="D228" s="18">
        <v>1247.1600000000001</v>
      </c>
      <c r="E228" s="16">
        <f t="shared" si="6"/>
        <v>9.7208618110336459E-2</v>
      </c>
      <c r="F228" s="18">
        <v>368.85</v>
      </c>
      <c r="G228" s="16">
        <f t="shared" si="7"/>
        <v>2.8749638210011228E-2</v>
      </c>
      <c r="H228" s="18">
        <v>218694.14</v>
      </c>
      <c r="I228" s="18">
        <v>148140.13</v>
      </c>
      <c r="J228" s="18">
        <v>152709.57</v>
      </c>
    </row>
    <row r="229" spans="1:10" x14ac:dyDescent="0.3">
      <c r="A229">
        <v>228</v>
      </c>
      <c r="B229" s="17">
        <v>51775</v>
      </c>
      <c r="C229" s="18">
        <v>152709.57</v>
      </c>
      <c r="D229" s="18">
        <v>1250.1400000000001</v>
      </c>
      <c r="E229" s="16">
        <f t="shared" si="6"/>
        <v>9.8236672397152308E-2</v>
      </c>
      <c r="F229" s="18">
        <v>365.87</v>
      </c>
      <c r="G229" s="16">
        <f t="shared" si="7"/>
        <v>2.875026103472101E-2</v>
      </c>
      <c r="H229" s="18">
        <v>219944.29</v>
      </c>
      <c r="I229" s="18">
        <v>148505.99</v>
      </c>
      <c r="J229" s="18">
        <v>151459.42000000001</v>
      </c>
    </row>
    <row r="230" spans="1:10" x14ac:dyDescent="0.3">
      <c r="A230">
        <v>229</v>
      </c>
      <c r="B230" s="17">
        <v>51806</v>
      </c>
      <c r="C230" s="18">
        <v>151459.42000000001</v>
      </c>
      <c r="D230" s="18">
        <v>1253.1400000000001</v>
      </c>
      <c r="E230" s="16">
        <f t="shared" si="6"/>
        <v>9.9285207879443893E-2</v>
      </c>
      <c r="F230" s="18">
        <v>362.87</v>
      </c>
      <c r="G230" s="16">
        <f t="shared" si="7"/>
        <v>2.8749879010496672E-2</v>
      </c>
      <c r="H230" s="18">
        <v>221197.43</v>
      </c>
      <c r="I230" s="18">
        <v>148868.85999999999</v>
      </c>
      <c r="J230" s="18">
        <v>150206.28</v>
      </c>
    </row>
    <row r="231" spans="1:10" x14ac:dyDescent="0.3">
      <c r="A231">
        <v>230</v>
      </c>
      <c r="B231" s="17">
        <v>51836</v>
      </c>
      <c r="C231" s="18">
        <v>150206.28</v>
      </c>
      <c r="D231" s="18">
        <v>1256.1400000000001</v>
      </c>
      <c r="E231" s="16">
        <f t="shared" si="6"/>
        <v>0.10035319428721623</v>
      </c>
      <c r="F231" s="18">
        <v>359.87</v>
      </c>
      <c r="G231" s="16">
        <f t="shared" si="7"/>
        <v>2.8750062913481381E-2</v>
      </c>
      <c r="H231" s="18">
        <v>222453.57</v>
      </c>
      <c r="I231" s="18">
        <v>149228.73000000001</v>
      </c>
      <c r="J231" s="18">
        <v>148950.14000000001</v>
      </c>
    </row>
    <row r="232" spans="1:10" x14ac:dyDescent="0.3">
      <c r="A232">
        <v>231</v>
      </c>
      <c r="B232" s="17">
        <v>51867</v>
      </c>
      <c r="C232" s="18">
        <v>148950.14000000001</v>
      </c>
      <c r="D232" s="18">
        <v>1259.1500000000001</v>
      </c>
      <c r="E232" s="16">
        <f t="shared" si="6"/>
        <v>0.10144199931601272</v>
      </c>
      <c r="F232" s="18">
        <v>356.86</v>
      </c>
      <c r="G232" s="16">
        <f t="shared" si="7"/>
        <v>2.875002332995457E-2</v>
      </c>
      <c r="H232" s="18">
        <v>223712.72</v>
      </c>
      <c r="I232" s="18">
        <v>149585.59</v>
      </c>
      <c r="J232" s="18">
        <v>147690.99</v>
      </c>
    </row>
    <row r="233" spans="1:10" x14ac:dyDescent="0.3">
      <c r="A233">
        <v>232</v>
      </c>
      <c r="B233" s="17">
        <v>51898</v>
      </c>
      <c r="C233" s="18">
        <v>147690.99</v>
      </c>
      <c r="D233" s="18">
        <v>1262.17</v>
      </c>
      <c r="E233" s="16">
        <f t="shared" si="6"/>
        <v>0.10255222745815437</v>
      </c>
      <c r="F233" s="18">
        <v>353.84</v>
      </c>
      <c r="G233" s="16">
        <f t="shared" si="7"/>
        <v>2.8749756501733791E-2</v>
      </c>
      <c r="H233" s="18">
        <v>224974.88</v>
      </c>
      <c r="I233" s="18">
        <v>149939.44</v>
      </c>
      <c r="J233" s="18">
        <v>146428.82999999999</v>
      </c>
    </row>
    <row r="234" spans="1:10" x14ac:dyDescent="0.3">
      <c r="A234">
        <v>233</v>
      </c>
      <c r="B234" s="17">
        <v>51926</v>
      </c>
      <c r="C234" s="18">
        <v>146428.82999999999</v>
      </c>
      <c r="D234" s="18">
        <v>1265.19</v>
      </c>
      <c r="E234" s="16">
        <f t="shared" si="6"/>
        <v>0.10368368032442793</v>
      </c>
      <c r="F234" s="18">
        <v>350.82</v>
      </c>
      <c r="G234" s="16">
        <f t="shared" si="7"/>
        <v>2.87500760608413E-2</v>
      </c>
      <c r="H234" s="18">
        <v>226240.08</v>
      </c>
      <c r="I234" s="18">
        <v>150290.25</v>
      </c>
      <c r="J234" s="18">
        <v>145163.63</v>
      </c>
    </row>
    <row r="235" spans="1:10" x14ac:dyDescent="0.3">
      <c r="A235">
        <v>234</v>
      </c>
      <c r="B235" s="17">
        <v>51957</v>
      </c>
      <c r="C235" s="18">
        <v>145163.63</v>
      </c>
      <c r="D235" s="18">
        <v>1268.22</v>
      </c>
      <c r="E235" s="16">
        <f t="shared" si="6"/>
        <v>0.10483783024714936</v>
      </c>
      <c r="F235" s="18">
        <v>347.79</v>
      </c>
      <c r="G235" s="16">
        <f t="shared" si="7"/>
        <v>2.8750176611042316E-2</v>
      </c>
      <c r="H235" s="18">
        <v>227508.3</v>
      </c>
      <c r="I235" s="18">
        <v>150638.04</v>
      </c>
      <c r="J235" s="18">
        <v>143895.41</v>
      </c>
    </row>
    <row r="236" spans="1:10" x14ac:dyDescent="0.3">
      <c r="A236">
        <v>235</v>
      </c>
      <c r="B236" s="17">
        <v>51987</v>
      </c>
      <c r="C236" s="18">
        <v>143895.41</v>
      </c>
      <c r="D236" s="18">
        <v>1271.26</v>
      </c>
      <c r="E236" s="16">
        <f t="shared" si="6"/>
        <v>0.10601533433206799</v>
      </c>
      <c r="F236" s="18">
        <v>344.75</v>
      </c>
      <c r="G236" s="16">
        <f t="shared" si="7"/>
        <v>2.8750048385838015E-2</v>
      </c>
      <c r="H236" s="18">
        <v>228779.56</v>
      </c>
      <c r="I236" s="18">
        <v>150982.79</v>
      </c>
      <c r="J236" s="18">
        <v>142624.15</v>
      </c>
    </row>
    <row r="237" spans="1:10" x14ac:dyDescent="0.3">
      <c r="A237">
        <v>236</v>
      </c>
      <c r="B237" s="17">
        <v>52018</v>
      </c>
      <c r="C237" s="18">
        <v>142624.15</v>
      </c>
      <c r="D237" s="18">
        <v>1274.31</v>
      </c>
      <c r="E237" s="16">
        <f t="shared" si="6"/>
        <v>0.10721690541188152</v>
      </c>
      <c r="F237" s="18">
        <v>341.7</v>
      </c>
      <c r="G237" s="16">
        <f t="shared" si="7"/>
        <v>2.8749689305773249E-2</v>
      </c>
      <c r="H237" s="18">
        <v>230053.86</v>
      </c>
      <c r="I237" s="18">
        <v>151324.5</v>
      </c>
      <c r="J237" s="18">
        <v>141349.85</v>
      </c>
    </row>
    <row r="238" spans="1:10" x14ac:dyDescent="0.3">
      <c r="A238">
        <v>237</v>
      </c>
      <c r="B238" s="17">
        <v>52048</v>
      </c>
      <c r="C238" s="18">
        <v>141349.85</v>
      </c>
      <c r="D238" s="18">
        <v>1277.3599999999999</v>
      </c>
      <c r="E238" s="16">
        <f t="shared" si="6"/>
        <v>0.10844242141042243</v>
      </c>
      <c r="F238" s="18">
        <v>338.65</v>
      </c>
      <c r="G238" s="16">
        <f t="shared" si="7"/>
        <v>2.8749942076344615E-2</v>
      </c>
      <c r="H238" s="18">
        <v>231331.22</v>
      </c>
      <c r="I238" s="18">
        <v>151663.15</v>
      </c>
      <c r="J238" s="18">
        <v>140072.49</v>
      </c>
    </row>
    <row r="239" spans="1:10" x14ac:dyDescent="0.3">
      <c r="A239">
        <v>238</v>
      </c>
      <c r="B239" s="17">
        <v>52079</v>
      </c>
      <c r="C239" s="18">
        <v>140072.49</v>
      </c>
      <c r="D239" s="18">
        <v>1280.42</v>
      </c>
      <c r="E239" s="16">
        <f t="shared" si="6"/>
        <v>0.10969348799325265</v>
      </c>
      <c r="F239" s="18">
        <v>335.59</v>
      </c>
      <c r="G239" s="16">
        <f t="shared" si="7"/>
        <v>2.8749970818681102E-2</v>
      </c>
      <c r="H239" s="18">
        <v>232611.64</v>
      </c>
      <c r="I239" s="18">
        <v>151998.74</v>
      </c>
      <c r="J239" s="18">
        <v>138792.07</v>
      </c>
    </row>
    <row r="240" spans="1:10" x14ac:dyDescent="0.3">
      <c r="A240">
        <v>239</v>
      </c>
      <c r="B240" s="17">
        <v>52110</v>
      </c>
      <c r="C240" s="18">
        <v>138792.07</v>
      </c>
      <c r="D240" s="18">
        <v>1283.49</v>
      </c>
      <c r="E240" s="16">
        <f t="shared" si="6"/>
        <v>0.11097089336588178</v>
      </c>
      <c r="F240" s="18">
        <v>332.52</v>
      </c>
      <c r="G240" s="16">
        <f t="shared" si="7"/>
        <v>2.8749769349214256E-2</v>
      </c>
      <c r="H240" s="18">
        <v>233895.13</v>
      </c>
      <c r="I240" s="18">
        <v>152331.26</v>
      </c>
      <c r="J240" s="18">
        <v>137508.57999999999</v>
      </c>
    </row>
    <row r="241" spans="1:10" x14ac:dyDescent="0.3">
      <c r="A241">
        <v>240</v>
      </c>
      <c r="B241" s="17">
        <v>52140</v>
      </c>
      <c r="C241" s="18">
        <v>137508.57999999999</v>
      </c>
      <c r="D241" s="18">
        <v>1286.56</v>
      </c>
      <c r="E241" s="16">
        <f t="shared" si="6"/>
        <v>0.11227459406533033</v>
      </c>
      <c r="F241" s="18">
        <v>329.45</v>
      </c>
      <c r="G241" s="16">
        <f t="shared" si="7"/>
        <v>2.8750205987146407E-2</v>
      </c>
      <c r="H241" s="18">
        <v>235181.69</v>
      </c>
      <c r="I241" s="18">
        <v>152660.71</v>
      </c>
      <c r="J241" s="18">
        <v>136222.01999999999</v>
      </c>
    </row>
    <row r="242" spans="1:10" x14ac:dyDescent="0.3">
      <c r="A242">
        <v>241</v>
      </c>
      <c r="B242" s="17">
        <v>52171</v>
      </c>
      <c r="C242" s="18">
        <v>136222.01999999999</v>
      </c>
      <c r="D242" s="18">
        <v>1289.6400000000001</v>
      </c>
      <c r="E242" s="16">
        <f t="shared" si="6"/>
        <v>0.11360630241718632</v>
      </c>
      <c r="F242" s="18">
        <v>326.37</v>
      </c>
      <c r="G242" s="16">
        <f t="shared" si="7"/>
        <v>2.8750417883980875E-2</v>
      </c>
      <c r="H242" s="18">
        <v>236471.34</v>
      </c>
      <c r="I242" s="18">
        <v>152987.07</v>
      </c>
      <c r="J242" s="18">
        <v>134932.37</v>
      </c>
    </row>
    <row r="243" spans="1:10" x14ac:dyDescent="0.3">
      <c r="A243">
        <v>242</v>
      </c>
      <c r="B243" s="17">
        <v>52201</v>
      </c>
      <c r="C243" s="18">
        <v>134932.37</v>
      </c>
      <c r="D243" s="18">
        <v>1292.73</v>
      </c>
      <c r="E243" s="16">
        <f t="shared" si="6"/>
        <v>0.11496692750597948</v>
      </c>
      <c r="F243" s="18">
        <v>323.27999999999997</v>
      </c>
      <c r="G243" s="16">
        <f t="shared" si="7"/>
        <v>2.8750402887016656E-2</v>
      </c>
      <c r="H243" s="18">
        <v>237764.07</v>
      </c>
      <c r="I243" s="18">
        <v>153310.35</v>
      </c>
      <c r="J243" s="18">
        <v>133639.64000000001</v>
      </c>
    </row>
    <row r="244" spans="1:10" x14ac:dyDescent="0.3">
      <c r="A244">
        <v>243</v>
      </c>
      <c r="B244" s="17">
        <v>52232</v>
      </c>
      <c r="C244" s="18">
        <v>133639.64000000001</v>
      </c>
      <c r="D244" s="18">
        <v>1295.83</v>
      </c>
      <c r="E244" s="16">
        <f t="shared" si="6"/>
        <v>0.11635739216298395</v>
      </c>
      <c r="F244" s="18">
        <v>320.18</v>
      </c>
      <c r="G244" s="16">
        <f t="shared" si="7"/>
        <v>2.8750152275178228E-2</v>
      </c>
      <c r="H244" s="18">
        <v>239059.9</v>
      </c>
      <c r="I244" s="18">
        <v>153630.53</v>
      </c>
      <c r="J244" s="18">
        <v>132343.81</v>
      </c>
    </row>
    <row r="245" spans="1:10" x14ac:dyDescent="0.3">
      <c r="A245">
        <v>244</v>
      </c>
      <c r="B245" s="17">
        <v>52263</v>
      </c>
      <c r="C245" s="18">
        <v>132343.81</v>
      </c>
      <c r="D245" s="18">
        <v>1298.94</v>
      </c>
      <c r="E245" s="16">
        <f t="shared" si="6"/>
        <v>0.11777868568239044</v>
      </c>
      <c r="F245" s="18">
        <v>317.07</v>
      </c>
      <c r="G245" s="16">
        <f t="shared" si="7"/>
        <v>2.8749663471226952E-2</v>
      </c>
      <c r="H245" s="18">
        <v>240358.84</v>
      </c>
      <c r="I245" s="18">
        <v>153947.6</v>
      </c>
      <c r="J245" s="18">
        <v>131044.87</v>
      </c>
    </row>
    <row r="246" spans="1:10" x14ac:dyDescent="0.3">
      <c r="A246">
        <v>245</v>
      </c>
      <c r="B246" s="17">
        <v>52291</v>
      </c>
      <c r="C246" s="18">
        <v>131044.87</v>
      </c>
      <c r="D246" s="18">
        <v>1302.05</v>
      </c>
      <c r="E246" s="16">
        <f t="shared" si="6"/>
        <v>0.11923091686076684</v>
      </c>
      <c r="F246" s="18">
        <v>313.95999999999998</v>
      </c>
      <c r="G246" s="16">
        <f t="shared" si="7"/>
        <v>2.8749847285132184E-2</v>
      </c>
      <c r="H246" s="18">
        <v>241660.89</v>
      </c>
      <c r="I246" s="18">
        <v>154261.56</v>
      </c>
      <c r="J246" s="18">
        <v>129742.82</v>
      </c>
    </row>
    <row r="247" spans="1:10" x14ac:dyDescent="0.3">
      <c r="A247">
        <v>246</v>
      </c>
      <c r="B247" s="17">
        <v>52322</v>
      </c>
      <c r="C247" s="18">
        <v>129742.82</v>
      </c>
      <c r="D247" s="18">
        <v>1305.17</v>
      </c>
      <c r="E247" s="16">
        <f t="shared" si="6"/>
        <v>0.12071604424815185</v>
      </c>
      <c r="F247" s="18">
        <v>310.83999999999997</v>
      </c>
      <c r="G247" s="16">
        <f t="shared" si="7"/>
        <v>2.8749799025487497E-2</v>
      </c>
      <c r="H247" s="18">
        <v>242966.06</v>
      </c>
      <c r="I247" s="18">
        <v>154572.4</v>
      </c>
      <c r="J247" s="18">
        <v>128437.65</v>
      </c>
    </row>
    <row r="248" spans="1:10" x14ac:dyDescent="0.3">
      <c r="A248">
        <v>247</v>
      </c>
      <c r="B248" s="17">
        <v>52352</v>
      </c>
      <c r="C248" s="18">
        <v>128437.65</v>
      </c>
      <c r="D248" s="18">
        <v>1308.29</v>
      </c>
      <c r="E248" s="16">
        <f t="shared" si="6"/>
        <v>0.12223425140525385</v>
      </c>
      <c r="F248" s="18">
        <v>307.72000000000003</v>
      </c>
      <c r="G248" s="16">
        <f t="shared" si="7"/>
        <v>2.875044817465907E-2</v>
      </c>
      <c r="H248" s="18">
        <v>244274.35</v>
      </c>
      <c r="I248" s="18">
        <v>154880.12</v>
      </c>
      <c r="J248" s="18">
        <v>127129.36</v>
      </c>
    </row>
    <row r="249" spans="1:10" x14ac:dyDescent="0.3">
      <c r="A249">
        <v>248</v>
      </c>
      <c r="B249" s="17">
        <v>52383</v>
      </c>
      <c r="C249" s="18">
        <v>127129.36</v>
      </c>
      <c r="D249" s="18">
        <v>1311.43</v>
      </c>
      <c r="E249" s="16">
        <f t="shared" si="6"/>
        <v>0.12378855678971404</v>
      </c>
      <c r="F249" s="18">
        <v>304.58</v>
      </c>
      <c r="G249" s="16">
        <f t="shared" si="7"/>
        <v>2.8749928419367483E-2</v>
      </c>
      <c r="H249" s="18">
        <v>245585.78</v>
      </c>
      <c r="I249" s="18">
        <v>155184.70000000001</v>
      </c>
      <c r="J249" s="18">
        <v>125817.93</v>
      </c>
    </row>
    <row r="250" spans="1:10" x14ac:dyDescent="0.3">
      <c r="A250">
        <v>249</v>
      </c>
      <c r="B250" s="17">
        <v>52413</v>
      </c>
      <c r="C250" s="18">
        <v>125817.93</v>
      </c>
      <c r="D250" s="18">
        <v>1314.57</v>
      </c>
      <c r="E250" s="16">
        <f t="shared" si="6"/>
        <v>0.12537831452162662</v>
      </c>
      <c r="F250" s="18">
        <v>301.44</v>
      </c>
      <c r="G250" s="16">
        <f t="shared" si="7"/>
        <v>2.8750115345245311E-2</v>
      </c>
      <c r="H250" s="18">
        <v>246900.35</v>
      </c>
      <c r="I250" s="18">
        <v>155486.14000000001</v>
      </c>
      <c r="J250" s="18">
        <v>124503.36</v>
      </c>
    </row>
    <row r="251" spans="1:10" x14ac:dyDescent="0.3">
      <c r="A251">
        <v>250</v>
      </c>
      <c r="B251" s="17">
        <v>52444</v>
      </c>
      <c r="C251" s="18">
        <v>124503.36</v>
      </c>
      <c r="D251" s="18">
        <v>1317.72</v>
      </c>
      <c r="E251" s="16">
        <f t="shared" si="6"/>
        <v>0.12700572900201249</v>
      </c>
      <c r="F251" s="18">
        <v>298.29000000000002</v>
      </c>
      <c r="G251" s="16">
        <f t="shared" si="7"/>
        <v>2.8750067468058693E-2</v>
      </c>
      <c r="H251" s="18">
        <v>248218.07</v>
      </c>
      <c r="I251" s="18">
        <v>155784.43</v>
      </c>
      <c r="J251" s="18">
        <v>123185.64</v>
      </c>
    </row>
    <row r="252" spans="1:10" x14ac:dyDescent="0.3">
      <c r="A252">
        <v>251</v>
      </c>
      <c r="B252" s="17">
        <v>52475</v>
      </c>
      <c r="C252" s="18">
        <v>123185.64</v>
      </c>
      <c r="D252" s="18">
        <v>1320.88</v>
      </c>
      <c r="E252" s="16">
        <f t="shared" si="6"/>
        <v>0.12867214068133268</v>
      </c>
      <c r="F252" s="18">
        <v>295.13</v>
      </c>
      <c r="G252" s="16">
        <f t="shared" si="7"/>
        <v>2.8749779600934007E-2</v>
      </c>
      <c r="H252" s="18">
        <v>249538.95</v>
      </c>
      <c r="I252" s="18">
        <v>156079.56</v>
      </c>
      <c r="J252" s="18">
        <v>121864.76</v>
      </c>
    </row>
    <row r="253" spans="1:10" x14ac:dyDescent="0.3">
      <c r="A253">
        <v>252</v>
      </c>
      <c r="B253" s="17">
        <v>52505</v>
      </c>
      <c r="C253" s="18">
        <v>121864.76</v>
      </c>
      <c r="D253" s="18">
        <v>1324.04</v>
      </c>
      <c r="E253" s="16">
        <f t="shared" si="6"/>
        <v>0.13037796980849919</v>
      </c>
      <c r="F253" s="18">
        <v>291.97000000000003</v>
      </c>
      <c r="G253" s="16">
        <f t="shared" si="7"/>
        <v>2.8750230993767195E-2</v>
      </c>
      <c r="H253" s="18">
        <v>250862.99</v>
      </c>
      <c r="I253" s="18">
        <v>156371.53</v>
      </c>
      <c r="J253" s="18">
        <v>120540.72</v>
      </c>
    </row>
    <row r="254" spans="1:10" x14ac:dyDescent="0.3">
      <c r="A254">
        <v>253</v>
      </c>
      <c r="B254" s="17">
        <v>52536</v>
      </c>
      <c r="C254" s="18">
        <v>120540.72</v>
      </c>
      <c r="D254" s="18">
        <v>1327.21</v>
      </c>
      <c r="E254" s="16">
        <f t="shared" si="6"/>
        <v>0.1321256418577888</v>
      </c>
      <c r="F254" s="18">
        <v>288.8</v>
      </c>
      <c r="G254" s="16">
        <f t="shared" si="7"/>
        <v>2.8750450470181363E-2</v>
      </c>
      <c r="H254" s="18">
        <v>252190.21</v>
      </c>
      <c r="I254" s="18">
        <v>156660.32</v>
      </c>
      <c r="J254" s="18">
        <v>119213.5</v>
      </c>
    </row>
    <row r="255" spans="1:10" x14ac:dyDescent="0.3">
      <c r="A255">
        <v>254</v>
      </c>
      <c r="B255" s="17">
        <v>52566</v>
      </c>
      <c r="C255" s="18">
        <v>119213.5</v>
      </c>
      <c r="D255" s="18">
        <v>1330.39</v>
      </c>
      <c r="E255" s="16">
        <f t="shared" si="6"/>
        <v>0.13391671245286818</v>
      </c>
      <c r="F255" s="18">
        <v>285.62</v>
      </c>
      <c r="G255" s="16">
        <f t="shared" si="7"/>
        <v>2.8750435143670809E-2</v>
      </c>
      <c r="H255" s="18">
        <v>253520.6</v>
      </c>
      <c r="I255" s="18">
        <v>156945.94</v>
      </c>
      <c r="J255" s="18">
        <v>117883.11</v>
      </c>
    </row>
    <row r="256" spans="1:10" x14ac:dyDescent="0.3">
      <c r="A256">
        <v>255</v>
      </c>
      <c r="B256" s="17">
        <v>52597</v>
      </c>
      <c r="C256" s="18">
        <v>117883.11</v>
      </c>
      <c r="D256" s="18">
        <v>1333.58</v>
      </c>
      <c r="E256" s="16">
        <f t="shared" si="6"/>
        <v>0.13575278086911688</v>
      </c>
      <c r="F256" s="18">
        <v>282.43</v>
      </c>
      <c r="G256" s="16">
        <f t="shared" si="7"/>
        <v>2.8750174643339489E-2</v>
      </c>
      <c r="H256" s="18">
        <v>254854.18</v>
      </c>
      <c r="I256" s="18">
        <v>157228.37</v>
      </c>
      <c r="J256" s="18">
        <v>116549.53</v>
      </c>
    </row>
    <row r="257" spans="1:10" x14ac:dyDescent="0.3">
      <c r="A257">
        <v>256</v>
      </c>
      <c r="B257" s="17">
        <v>52628</v>
      </c>
      <c r="C257" s="18">
        <v>116549.53</v>
      </c>
      <c r="D257" s="18">
        <v>1336.78</v>
      </c>
      <c r="E257" s="16">
        <f t="shared" si="6"/>
        <v>0.13763556146472664</v>
      </c>
      <c r="F257" s="18">
        <v>279.23</v>
      </c>
      <c r="G257" s="16">
        <f t="shared" si="7"/>
        <v>2.8749665485566525E-2</v>
      </c>
      <c r="H257" s="18">
        <v>256190.96</v>
      </c>
      <c r="I257" s="18">
        <v>157507.6</v>
      </c>
      <c r="J257" s="18">
        <v>115212.75</v>
      </c>
    </row>
    <row r="258" spans="1:10" x14ac:dyDescent="0.3">
      <c r="A258">
        <v>257</v>
      </c>
      <c r="B258" s="17">
        <v>52657</v>
      </c>
      <c r="C258" s="18">
        <v>115212.75</v>
      </c>
      <c r="D258" s="18">
        <v>1339.98</v>
      </c>
      <c r="E258" s="16">
        <f t="shared" si="6"/>
        <v>0.13956580326396167</v>
      </c>
      <c r="F258" s="18">
        <v>276.02999999999997</v>
      </c>
      <c r="G258" s="16">
        <f t="shared" si="7"/>
        <v>2.8749943040158311E-2</v>
      </c>
      <c r="H258" s="18">
        <v>257530.94</v>
      </c>
      <c r="I258" s="18">
        <v>157783.63</v>
      </c>
      <c r="J258" s="18">
        <v>113872.77</v>
      </c>
    </row>
    <row r="259" spans="1:10" x14ac:dyDescent="0.3">
      <c r="A259">
        <v>258</v>
      </c>
      <c r="B259" s="17">
        <v>52688</v>
      </c>
      <c r="C259" s="18">
        <v>113872.77</v>
      </c>
      <c r="D259" s="18">
        <v>1343.19</v>
      </c>
      <c r="E259" s="16">
        <f t="shared" ref="E259:E322" si="8">(D259/C259)*12</f>
        <v>0.14154639427845656</v>
      </c>
      <c r="F259" s="18">
        <v>272.82</v>
      </c>
      <c r="G259" s="16">
        <f t="shared" ref="G259:G322" si="9">(F259/C259)*12</f>
        <v>2.874998122905063E-2</v>
      </c>
      <c r="H259" s="18">
        <v>258874.13</v>
      </c>
      <c r="I259" s="18">
        <v>158056.45000000001</v>
      </c>
      <c r="J259" s="18">
        <v>112529.58</v>
      </c>
    </row>
    <row r="260" spans="1:10" x14ac:dyDescent="0.3">
      <c r="A260">
        <v>259</v>
      </c>
      <c r="B260" s="17">
        <v>52718</v>
      </c>
      <c r="C260" s="18">
        <v>112529.58</v>
      </c>
      <c r="D260" s="18">
        <v>1346.41</v>
      </c>
      <c r="E260" s="16">
        <f t="shared" si="8"/>
        <v>0.14357931487880787</v>
      </c>
      <c r="F260" s="18">
        <v>269.60000000000002</v>
      </c>
      <c r="G260" s="16">
        <f t="shared" si="9"/>
        <v>2.8749774059407315E-2</v>
      </c>
      <c r="H260" s="18">
        <v>260220.54</v>
      </c>
      <c r="I260" s="18">
        <v>158326.04999999999</v>
      </c>
      <c r="J260" s="18">
        <v>111183.17</v>
      </c>
    </row>
    <row r="261" spans="1:10" x14ac:dyDescent="0.3">
      <c r="A261">
        <v>260</v>
      </c>
      <c r="B261" s="17">
        <v>52749</v>
      </c>
      <c r="C261" s="18">
        <v>111183.17</v>
      </c>
      <c r="D261" s="18">
        <v>1349.63</v>
      </c>
      <c r="E261" s="16">
        <f t="shared" si="8"/>
        <v>0.14566557150691062</v>
      </c>
      <c r="F261" s="18">
        <v>266.38</v>
      </c>
      <c r="G261" s="16">
        <f t="shared" si="9"/>
        <v>2.8750394506650602E-2</v>
      </c>
      <c r="H261" s="18">
        <v>261570.17</v>
      </c>
      <c r="I261" s="18">
        <v>158592.43</v>
      </c>
      <c r="J261" s="18">
        <v>109833.54</v>
      </c>
    </row>
    <row r="262" spans="1:10" x14ac:dyDescent="0.3">
      <c r="A262">
        <v>261</v>
      </c>
      <c r="B262" s="17">
        <v>52779</v>
      </c>
      <c r="C262" s="18">
        <v>109833.54</v>
      </c>
      <c r="D262" s="18">
        <v>1352.87</v>
      </c>
      <c r="E262" s="16">
        <f t="shared" si="8"/>
        <v>0.14780949425831125</v>
      </c>
      <c r="F262" s="18">
        <v>263.14</v>
      </c>
      <c r="G262" s="16">
        <f t="shared" si="9"/>
        <v>2.8749687936854264E-2</v>
      </c>
      <c r="H262" s="18">
        <v>262923.03999999998</v>
      </c>
      <c r="I262" s="18">
        <v>158855.57</v>
      </c>
      <c r="J262" s="18">
        <v>108480.67</v>
      </c>
    </row>
    <row r="263" spans="1:10" x14ac:dyDescent="0.3">
      <c r="A263">
        <v>262</v>
      </c>
      <c r="B263" s="17">
        <v>52810</v>
      </c>
      <c r="C263" s="18">
        <v>108480.67</v>
      </c>
      <c r="D263" s="18">
        <v>1356.11</v>
      </c>
      <c r="E263" s="16">
        <f t="shared" si="8"/>
        <v>0.15001124163410862</v>
      </c>
      <c r="F263" s="18">
        <v>259.89999999999998</v>
      </c>
      <c r="G263" s="16">
        <f t="shared" si="9"/>
        <v>2.8749822433803182E-2</v>
      </c>
      <c r="H263" s="18">
        <v>264279.15000000002</v>
      </c>
      <c r="I263" s="18">
        <v>159115.47</v>
      </c>
      <c r="J263" s="18">
        <v>107124.56</v>
      </c>
    </row>
    <row r="264" spans="1:10" x14ac:dyDescent="0.3">
      <c r="A264">
        <v>263</v>
      </c>
      <c r="B264" s="17">
        <v>52841</v>
      </c>
      <c r="C264" s="18">
        <v>107124.56</v>
      </c>
      <c r="D264" s="18">
        <v>1359.36</v>
      </c>
      <c r="E264" s="16">
        <f t="shared" si="8"/>
        <v>0.15227432439395783</v>
      </c>
      <c r="F264" s="18">
        <v>256.64999999999998</v>
      </c>
      <c r="G264" s="16">
        <f t="shared" si="9"/>
        <v>2.8749709683755058E-2</v>
      </c>
      <c r="H264" s="18">
        <v>265638.5</v>
      </c>
      <c r="I264" s="18">
        <v>159372.13</v>
      </c>
      <c r="J264" s="18">
        <v>105765.21</v>
      </c>
    </row>
    <row r="265" spans="1:10" x14ac:dyDescent="0.3">
      <c r="A265">
        <v>264</v>
      </c>
      <c r="B265" s="17">
        <v>52871</v>
      </c>
      <c r="C265" s="18">
        <v>105765.21</v>
      </c>
      <c r="D265" s="18">
        <v>1362.61</v>
      </c>
      <c r="E265" s="16">
        <f t="shared" si="8"/>
        <v>0.15460017523720698</v>
      </c>
      <c r="F265" s="18">
        <v>253.4</v>
      </c>
      <c r="G265" s="16">
        <f t="shared" si="9"/>
        <v>2.8750474754411209E-2</v>
      </c>
      <c r="H265" s="18">
        <v>267001.12</v>
      </c>
      <c r="I265" s="18">
        <v>159625.51999999999</v>
      </c>
      <c r="J265" s="18">
        <v>104402.59</v>
      </c>
    </row>
    <row r="266" spans="1:10" x14ac:dyDescent="0.3">
      <c r="A266">
        <v>265</v>
      </c>
      <c r="B266" s="17">
        <v>52902</v>
      </c>
      <c r="C266" s="18">
        <v>104402.59</v>
      </c>
      <c r="D266" s="18">
        <v>1365.88</v>
      </c>
      <c r="E266" s="16">
        <f t="shared" si="8"/>
        <v>0.15699380637970764</v>
      </c>
      <c r="F266" s="18">
        <v>250.13</v>
      </c>
      <c r="G266" s="16">
        <f t="shared" si="9"/>
        <v>2.874986147374313E-2</v>
      </c>
      <c r="H266" s="18">
        <v>268367</v>
      </c>
      <c r="I266" s="18">
        <v>159875.65</v>
      </c>
      <c r="J266" s="18">
        <v>103036.71</v>
      </c>
    </row>
    <row r="267" spans="1:10" x14ac:dyDescent="0.3">
      <c r="A267">
        <v>266</v>
      </c>
      <c r="B267" s="17">
        <v>52932</v>
      </c>
      <c r="C267" s="18">
        <v>103036.71</v>
      </c>
      <c r="D267" s="18">
        <v>1369.15</v>
      </c>
      <c r="E267" s="16">
        <f t="shared" si="8"/>
        <v>0.15945579007714822</v>
      </c>
      <c r="F267" s="18">
        <v>246.86</v>
      </c>
      <c r="G267" s="16">
        <f t="shared" si="9"/>
        <v>2.8750141575754895E-2</v>
      </c>
      <c r="H267" s="18">
        <v>269736.15000000002</v>
      </c>
      <c r="I267" s="18">
        <v>160122.51</v>
      </c>
      <c r="J267" s="18">
        <v>101667.56</v>
      </c>
    </row>
    <row r="268" spans="1:10" x14ac:dyDescent="0.3">
      <c r="A268">
        <v>267</v>
      </c>
      <c r="B268" s="17">
        <v>52963</v>
      </c>
      <c r="C268" s="18">
        <v>101667.56</v>
      </c>
      <c r="D268" s="18">
        <v>1372.43</v>
      </c>
      <c r="E268" s="16">
        <f t="shared" si="8"/>
        <v>0.16199031431461519</v>
      </c>
      <c r="F268" s="18">
        <v>243.58</v>
      </c>
      <c r="G268" s="16">
        <f t="shared" si="9"/>
        <v>2.8750173605031931E-2</v>
      </c>
      <c r="H268" s="18">
        <v>271108.58</v>
      </c>
      <c r="I268" s="18">
        <v>160366.09</v>
      </c>
      <c r="J268" s="18">
        <v>100295.13</v>
      </c>
    </row>
    <row r="269" spans="1:10" x14ac:dyDescent="0.3">
      <c r="A269">
        <v>268</v>
      </c>
      <c r="B269" s="17">
        <v>52994</v>
      </c>
      <c r="C269" s="18">
        <v>100295.13</v>
      </c>
      <c r="D269" s="18">
        <v>1375.72</v>
      </c>
      <c r="E269" s="16">
        <f t="shared" si="8"/>
        <v>0.16460061420729</v>
      </c>
      <c r="F269" s="18">
        <v>240.29</v>
      </c>
      <c r="G269" s="16">
        <f t="shared" si="9"/>
        <v>2.8749950271762942E-2</v>
      </c>
      <c r="H269" s="18">
        <v>272484.3</v>
      </c>
      <c r="I269" s="18">
        <v>160606.38</v>
      </c>
      <c r="J269" s="18">
        <v>98919.41</v>
      </c>
    </row>
    <row r="270" spans="1:10" x14ac:dyDescent="0.3">
      <c r="A270">
        <v>269</v>
      </c>
      <c r="B270" s="17">
        <v>53022</v>
      </c>
      <c r="C270" s="18">
        <v>98919.41</v>
      </c>
      <c r="D270" s="18">
        <v>1379.02</v>
      </c>
      <c r="E270" s="16">
        <f t="shared" si="8"/>
        <v>0.16729012031106938</v>
      </c>
      <c r="F270" s="18">
        <v>236.99</v>
      </c>
      <c r="G270" s="16">
        <f t="shared" si="9"/>
        <v>2.8749463831213712E-2</v>
      </c>
      <c r="H270" s="18">
        <v>273863.31</v>
      </c>
      <c r="I270" s="18">
        <v>160843.38</v>
      </c>
      <c r="J270" s="18">
        <v>97540.4</v>
      </c>
    </row>
    <row r="271" spans="1:10" x14ac:dyDescent="0.3">
      <c r="A271">
        <v>270</v>
      </c>
      <c r="B271" s="17">
        <v>53053</v>
      </c>
      <c r="C271" s="18">
        <v>97540.4</v>
      </c>
      <c r="D271" s="18">
        <v>1382.32</v>
      </c>
      <c r="E271" s="16">
        <f t="shared" si="8"/>
        <v>0.17006122591254497</v>
      </c>
      <c r="F271" s="18">
        <v>233.69</v>
      </c>
      <c r="G271" s="16">
        <f t="shared" si="9"/>
        <v>2.8749933360945827E-2</v>
      </c>
      <c r="H271" s="18">
        <v>275245.63</v>
      </c>
      <c r="I271" s="18">
        <v>161077.07</v>
      </c>
      <c r="J271" s="18">
        <v>96158.080000000002</v>
      </c>
    </row>
    <row r="272" spans="1:10" x14ac:dyDescent="0.3">
      <c r="A272">
        <v>271</v>
      </c>
      <c r="B272" s="17">
        <v>53083</v>
      </c>
      <c r="C272" s="18">
        <v>96158.080000000002</v>
      </c>
      <c r="D272" s="18">
        <v>1385.63</v>
      </c>
      <c r="E272" s="16">
        <f t="shared" si="8"/>
        <v>0.17291901003015037</v>
      </c>
      <c r="F272" s="18">
        <v>230.38</v>
      </c>
      <c r="G272" s="16">
        <f t="shared" si="9"/>
        <v>2.8750158073039728E-2</v>
      </c>
      <c r="H272" s="18">
        <v>276631.27</v>
      </c>
      <c r="I272" s="18">
        <v>161307.44</v>
      </c>
      <c r="J272" s="18">
        <v>94772.44</v>
      </c>
    </row>
    <row r="273" spans="1:10" x14ac:dyDescent="0.3">
      <c r="A273">
        <v>272</v>
      </c>
      <c r="B273" s="17">
        <v>53114</v>
      </c>
      <c r="C273" s="18">
        <v>94772.44</v>
      </c>
      <c r="D273" s="18">
        <v>1388.95</v>
      </c>
      <c r="E273" s="16">
        <f t="shared" si="8"/>
        <v>0.17586758344514503</v>
      </c>
      <c r="F273" s="18">
        <v>227.06</v>
      </c>
      <c r="G273" s="16">
        <f t="shared" si="9"/>
        <v>2.87501303121456E-2</v>
      </c>
      <c r="H273" s="18">
        <v>278020.21999999997</v>
      </c>
      <c r="I273" s="18">
        <v>161534.5</v>
      </c>
      <c r="J273" s="18">
        <v>93383.49</v>
      </c>
    </row>
    <row r="274" spans="1:10" x14ac:dyDescent="0.3">
      <c r="A274">
        <v>273</v>
      </c>
      <c r="B274" s="17">
        <v>53144</v>
      </c>
      <c r="C274" s="18">
        <v>93383.49</v>
      </c>
      <c r="D274" s="18">
        <v>1392.28</v>
      </c>
      <c r="E274" s="16">
        <f t="shared" si="8"/>
        <v>0.1789112829259219</v>
      </c>
      <c r="F274" s="18">
        <v>223.73</v>
      </c>
      <c r="G274" s="16">
        <f t="shared" si="9"/>
        <v>2.8749835757905379E-2</v>
      </c>
      <c r="H274" s="18">
        <v>279412.49</v>
      </c>
      <c r="I274" s="18">
        <v>161758.24</v>
      </c>
      <c r="J274" s="18">
        <v>91991.22</v>
      </c>
    </row>
    <row r="275" spans="1:10" x14ac:dyDescent="0.3">
      <c r="A275">
        <v>274</v>
      </c>
      <c r="B275" s="17">
        <v>53175</v>
      </c>
      <c r="C275" s="18">
        <v>91991.22</v>
      </c>
      <c r="D275" s="18">
        <v>1395.61</v>
      </c>
      <c r="E275" s="16">
        <f t="shared" si="8"/>
        <v>0.18205346118901344</v>
      </c>
      <c r="F275" s="18">
        <v>220.4</v>
      </c>
      <c r="G275" s="16">
        <f t="shared" si="9"/>
        <v>2.8750569891343978E-2</v>
      </c>
      <c r="H275" s="18">
        <v>280808.11</v>
      </c>
      <c r="I275" s="18">
        <v>161978.63</v>
      </c>
      <c r="J275" s="18">
        <v>90595.6</v>
      </c>
    </row>
    <row r="276" spans="1:10" x14ac:dyDescent="0.3">
      <c r="A276">
        <v>275</v>
      </c>
      <c r="B276" s="17">
        <v>53206</v>
      </c>
      <c r="C276" s="18">
        <v>90595.6</v>
      </c>
      <c r="D276" s="18">
        <v>1398.96</v>
      </c>
      <c r="E276" s="16">
        <f t="shared" si="8"/>
        <v>0.18530171443204746</v>
      </c>
      <c r="F276" s="18">
        <v>217.05</v>
      </c>
      <c r="G276" s="16">
        <f t="shared" si="9"/>
        <v>2.8749740605504021E-2</v>
      </c>
      <c r="H276" s="18">
        <v>282207.07</v>
      </c>
      <c r="I276" s="18">
        <v>162195.68</v>
      </c>
      <c r="J276" s="18">
        <v>89196.64</v>
      </c>
    </row>
    <row r="277" spans="1:10" x14ac:dyDescent="0.3">
      <c r="A277">
        <v>276</v>
      </c>
      <c r="B277" s="17">
        <v>53236</v>
      </c>
      <c r="C277" s="18">
        <v>89196.64</v>
      </c>
      <c r="D277" s="18">
        <v>1402.31</v>
      </c>
      <c r="E277" s="16">
        <f t="shared" si="8"/>
        <v>0.1886586759321876</v>
      </c>
      <c r="F277" s="18">
        <v>213.7</v>
      </c>
      <c r="G277" s="16">
        <f t="shared" si="9"/>
        <v>2.8749961881972232E-2</v>
      </c>
      <c r="H277" s="18">
        <v>283609.38</v>
      </c>
      <c r="I277" s="18">
        <v>162409.38</v>
      </c>
      <c r="J277" s="18">
        <v>87794.33</v>
      </c>
    </row>
    <row r="278" spans="1:10" x14ac:dyDescent="0.3">
      <c r="A278">
        <v>277</v>
      </c>
      <c r="B278" s="17">
        <v>53267</v>
      </c>
      <c r="C278" s="18">
        <v>87794.33</v>
      </c>
      <c r="D278" s="18">
        <v>1405.67</v>
      </c>
      <c r="E278" s="16">
        <f t="shared" si="8"/>
        <v>0.1921313141748448</v>
      </c>
      <c r="F278" s="18">
        <v>210.34</v>
      </c>
      <c r="G278" s="16">
        <f t="shared" si="9"/>
        <v>2.8749920410577768E-2</v>
      </c>
      <c r="H278" s="18">
        <v>285015.05</v>
      </c>
      <c r="I278" s="18">
        <v>162619.72</v>
      </c>
      <c r="J278" s="18">
        <v>86388.66</v>
      </c>
    </row>
    <row r="279" spans="1:10" x14ac:dyDescent="0.3">
      <c r="A279">
        <v>278</v>
      </c>
      <c r="B279" s="17">
        <v>53297</v>
      </c>
      <c r="C279" s="18">
        <v>86388.66</v>
      </c>
      <c r="D279" s="18">
        <v>1409.04</v>
      </c>
      <c r="E279" s="16">
        <f t="shared" si="8"/>
        <v>0.1957256889966808</v>
      </c>
      <c r="F279" s="18">
        <v>206.97</v>
      </c>
      <c r="G279" s="16">
        <f t="shared" si="9"/>
        <v>2.8749606719215233E-2</v>
      </c>
      <c r="H279" s="18">
        <v>286424.08</v>
      </c>
      <c r="I279" s="18">
        <v>162826.70000000001</v>
      </c>
      <c r="J279" s="18">
        <v>84979.63</v>
      </c>
    </row>
    <row r="280" spans="1:10" x14ac:dyDescent="0.3">
      <c r="A280">
        <v>279</v>
      </c>
      <c r="B280" s="17">
        <v>53328</v>
      </c>
      <c r="C280" s="18">
        <v>84979.63</v>
      </c>
      <c r="D280" s="18">
        <v>1412.41</v>
      </c>
      <c r="E280" s="16">
        <f t="shared" si="8"/>
        <v>0.19944685567588372</v>
      </c>
      <c r="F280" s="18">
        <v>203.6</v>
      </c>
      <c r="G280" s="16">
        <f t="shared" si="9"/>
        <v>2.8750419365205518E-2</v>
      </c>
      <c r="H280" s="18">
        <v>287836.5</v>
      </c>
      <c r="I280" s="18">
        <v>163030.29</v>
      </c>
      <c r="J280" s="18">
        <v>83567.210000000006</v>
      </c>
    </row>
    <row r="281" spans="1:10" x14ac:dyDescent="0.3">
      <c r="A281">
        <v>280</v>
      </c>
      <c r="B281" s="17">
        <v>53359</v>
      </c>
      <c r="C281" s="18">
        <v>83567.210000000006</v>
      </c>
      <c r="D281" s="18">
        <v>1415.8</v>
      </c>
      <c r="E281" s="16">
        <f t="shared" si="8"/>
        <v>0.20330462151362955</v>
      </c>
      <c r="F281" s="18">
        <v>200.21</v>
      </c>
      <c r="G281" s="16">
        <f t="shared" si="9"/>
        <v>2.8749553802262871E-2</v>
      </c>
      <c r="H281" s="18">
        <v>289252.28999999998</v>
      </c>
      <c r="I281" s="18">
        <v>163230.51</v>
      </c>
      <c r="J281" s="18">
        <v>82151.42</v>
      </c>
    </row>
    <row r="282" spans="1:10" x14ac:dyDescent="0.3">
      <c r="A282">
        <v>281</v>
      </c>
      <c r="B282" s="17">
        <v>53387</v>
      </c>
      <c r="C282" s="18">
        <v>82151.42</v>
      </c>
      <c r="D282" s="18">
        <v>1419.19</v>
      </c>
      <c r="E282" s="16">
        <f t="shared" si="8"/>
        <v>0.20730353778425259</v>
      </c>
      <c r="F282" s="18">
        <v>196.82</v>
      </c>
      <c r="G282" s="16">
        <f t="shared" si="9"/>
        <v>2.8749837799517036E-2</v>
      </c>
      <c r="H282" s="18">
        <v>290671.48</v>
      </c>
      <c r="I282" s="18">
        <v>163427.32999999999</v>
      </c>
      <c r="J282" s="18">
        <v>80732.23</v>
      </c>
    </row>
    <row r="283" spans="1:10" x14ac:dyDescent="0.3">
      <c r="A283">
        <v>282</v>
      </c>
      <c r="B283" s="17">
        <v>53418</v>
      </c>
      <c r="C283" s="18">
        <v>80732.23</v>
      </c>
      <c r="D283" s="18">
        <v>1422.59</v>
      </c>
      <c r="E283" s="16">
        <f t="shared" si="8"/>
        <v>0.21145309624173642</v>
      </c>
      <c r="F283" s="18">
        <v>193.42</v>
      </c>
      <c r="G283" s="16">
        <f t="shared" si="9"/>
        <v>2.8749856160296822E-2</v>
      </c>
      <c r="H283" s="18">
        <v>292094.07</v>
      </c>
      <c r="I283" s="18">
        <v>163620.75</v>
      </c>
      <c r="J283" s="18">
        <v>79309.64</v>
      </c>
    </row>
    <row r="284" spans="1:10" x14ac:dyDescent="0.3">
      <c r="A284">
        <v>283</v>
      </c>
      <c r="B284" s="17">
        <v>53448</v>
      </c>
      <c r="C284" s="18">
        <v>79309.64</v>
      </c>
      <c r="D284" s="18">
        <v>1426</v>
      </c>
      <c r="E284" s="16">
        <f t="shared" si="8"/>
        <v>0.21576191746677956</v>
      </c>
      <c r="F284" s="18">
        <v>190.01</v>
      </c>
      <c r="G284" s="16">
        <f t="shared" si="9"/>
        <v>2.8749594626832246E-2</v>
      </c>
      <c r="H284" s="18">
        <v>293520.07</v>
      </c>
      <c r="I284" s="18">
        <v>163810.76</v>
      </c>
      <c r="J284" s="18">
        <v>77883.64</v>
      </c>
    </row>
    <row r="285" spans="1:10" x14ac:dyDescent="0.3">
      <c r="A285">
        <v>284</v>
      </c>
      <c r="B285" s="17">
        <v>53479</v>
      </c>
      <c r="C285" s="18">
        <v>77883.64</v>
      </c>
      <c r="D285" s="18">
        <v>1429.41</v>
      </c>
      <c r="E285" s="16">
        <f t="shared" si="8"/>
        <v>0.22023778036054814</v>
      </c>
      <c r="F285" s="18">
        <v>186.6</v>
      </c>
      <c r="G285" s="16">
        <f t="shared" si="9"/>
        <v>2.8750582278897083E-2</v>
      </c>
      <c r="H285" s="18">
        <v>294949.48</v>
      </c>
      <c r="I285" s="18">
        <v>163997.35999999999</v>
      </c>
      <c r="J285" s="18">
        <v>76454.23</v>
      </c>
    </row>
    <row r="286" spans="1:10" x14ac:dyDescent="0.3">
      <c r="A286">
        <v>285</v>
      </c>
      <c r="B286" s="17">
        <v>53509</v>
      </c>
      <c r="C286" s="18">
        <v>76454.23</v>
      </c>
      <c r="D286" s="18">
        <v>1432.84</v>
      </c>
      <c r="E286" s="16">
        <f t="shared" si="8"/>
        <v>0.22489376977572073</v>
      </c>
      <c r="F286" s="18">
        <v>183.17</v>
      </c>
      <c r="G286" s="16">
        <f t="shared" si="9"/>
        <v>2.8749750013831805E-2</v>
      </c>
      <c r="H286" s="18">
        <v>296382.32</v>
      </c>
      <c r="I286" s="18">
        <v>164180.53</v>
      </c>
      <c r="J286" s="18">
        <v>75021.39</v>
      </c>
    </row>
    <row r="287" spans="1:10" x14ac:dyDescent="0.3">
      <c r="A287">
        <v>286</v>
      </c>
      <c r="B287" s="17">
        <v>53540</v>
      </c>
      <c r="C287" s="18">
        <v>75021.39</v>
      </c>
      <c r="D287" s="18">
        <v>1436.27</v>
      </c>
      <c r="E287" s="16">
        <f t="shared" si="8"/>
        <v>0.22973767881400226</v>
      </c>
      <c r="F287" s="18">
        <v>179.74</v>
      </c>
      <c r="G287" s="16">
        <f t="shared" si="9"/>
        <v>2.8750200442833704E-2</v>
      </c>
      <c r="H287" s="18">
        <v>297818.59000000003</v>
      </c>
      <c r="I287" s="18">
        <v>164360.26999999999</v>
      </c>
      <c r="J287" s="18">
        <v>73585.119999999995</v>
      </c>
    </row>
    <row r="288" spans="1:10" x14ac:dyDescent="0.3">
      <c r="A288">
        <v>287</v>
      </c>
      <c r="B288" s="17">
        <v>53571</v>
      </c>
      <c r="C288" s="18">
        <v>73585.119999999995</v>
      </c>
      <c r="D288" s="18">
        <v>1439.71</v>
      </c>
      <c r="E288" s="16">
        <f t="shared" si="8"/>
        <v>0.23478279304294131</v>
      </c>
      <c r="F288" s="18">
        <v>176.3</v>
      </c>
      <c r="G288" s="16">
        <f t="shared" si="9"/>
        <v>2.8750377793771355E-2</v>
      </c>
      <c r="H288" s="18">
        <v>299258.3</v>
      </c>
      <c r="I288" s="18">
        <v>164536.57</v>
      </c>
      <c r="J288" s="18">
        <v>72145.41</v>
      </c>
    </row>
    <row r="289" spans="1:10" x14ac:dyDescent="0.3">
      <c r="A289">
        <v>288</v>
      </c>
      <c r="B289" s="17">
        <v>53601</v>
      </c>
      <c r="C289" s="18">
        <v>72145.41</v>
      </c>
      <c r="D289" s="18">
        <v>1443.16</v>
      </c>
      <c r="E289" s="16">
        <f t="shared" si="8"/>
        <v>0.24004188208231125</v>
      </c>
      <c r="F289" s="18">
        <v>172.85</v>
      </c>
      <c r="G289" s="16">
        <f t="shared" si="9"/>
        <v>2.8750269767681684E-2</v>
      </c>
      <c r="H289" s="18">
        <v>300701.46999999997</v>
      </c>
      <c r="I289" s="18">
        <v>164709.41</v>
      </c>
      <c r="J289" s="18">
        <v>70702.240000000005</v>
      </c>
    </row>
    <row r="290" spans="1:10" x14ac:dyDescent="0.3">
      <c r="A290">
        <v>289</v>
      </c>
      <c r="B290" s="17">
        <v>53632</v>
      </c>
      <c r="C290" s="18">
        <v>70702.240000000005</v>
      </c>
      <c r="D290" s="18">
        <v>1446.62</v>
      </c>
      <c r="E290" s="16">
        <f t="shared" si="8"/>
        <v>0.24552885453134154</v>
      </c>
      <c r="F290" s="18">
        <v>169.39</v>
      </c>
      <c r="G290" s="16">
        <f t="shared" si="9"/>
        <v>2.8749867048059576E-2</v>
      </c>
      <c r="H290" s="18">
        <v>302148.09000000003</v>
      </c>
      <c r="I290" s="18">
        <v>164878.79999999999</v>
      </c>
      <c r="J290" s="18">
        <v>69255.62</v>
      </c>
    </row>
    <row r="291" spans="1:10" x14ac:dyDescent="0.3">
      <c r="A291">
        <v>290</v>
      </c>
      <c r="B291" s="17">
        <v>53662</v>
      </c>
      <c r="C291" s="18">
        <v>69255.62</v>
      </c>
      <c r="D291" s="18">
        <v>1450.09</v>
      </c>
      <c r="E291" s="16">
        <f t="shared" si="8"/>
        <v>0.25125874261179093</v>
      </c>
      <c r="F291" s="18">
        <v>165.92</v>
      </c>
      <c r="G291" s="16">
        <f t="shared" si="9"/>
        <v>2.8749147000633305E-2</v>
      </c>
      <c r="H291" s="18">
        <v>303598.17</v>
      </c>
      <c r="I291" s="18">
        <v>165044.73000000001</v>
      </c>
      <c r="J291" s="18">
        <v>67805.539999999994</v>
      </c>
    </row>
    <row r="292" spans="1:10" x14ac:dyDescent="0.3">
      <c r="A292">
        <v>291</v>
      </c>
      <c r="B292" s="17">
        <v>53693</v>
      </c>
      <c r="C292" s="18">
        <v>67805.539999999994</v>
      </c>
      <c r="D292" s="18">
        <v>1453.56</v>
      </c>
      <c r="E292" s="16">
        <f t="shared" si="8"/>
        <v>0.25724623681191833</v>
      </c>
      <c r="F292" s="18">
        <v>162.44999999999999</v>
      </c>
      <c r="G292" s="16">
        <f t="shared" si="9"/>
        <v>2.8749863211767063E-2</v>
      </c>
      <c r="H292" s="18">
        <v>305051.73</v>
      </c>
      <c r="I292" s="18">
        <v>165207.18</v>
      </c>
      <c r="J292" s="18">
        <v>66351.98</v>
      </c>
    </row>
    <row r="293" spans="1:10" x14ac:dyDescent="0.3">
      <c r="A293">
        <v>292</v>
      </c>
      <c r="B293" s="17">
        <v>53724</v>
      </c>
      <c r="C293" s="18">
        <v>66351.98</v>
      </c>
      <c r="D293" s="18">
        <v>1457.04</v>
      </c>
      <c r="E293" s="16">
        <f t="shared" si="8"/>
        <v>0.26351105121505042</v>
      </c>
      <c r="F293" s="18">
        <v>158.97</v>
      </c>
      <c r="G293" s="16">
        <f t="shared" si="9"/>
        <v>2.8750310088711747E-2</v>
      </c>
      <c r="H293" s="18">
        <v>306508.77</v>
      </c>
      <c r="I293" s="18">
        <v>165366.15</v>
      </c>
      <c r="J293" s="18">
        <v>64894.94</v>
      </c>
    </row>
    <row r="294" spans="1:10" x14ac:dyDescent="0.3">
      <c r="A294">
        <v>293</v>
      </c>
      <c r="B294" s="17">
        <v>53752</v>
      </c>
      <c r="C294" s="18">
        <v>64894.94</v>
      </c>
      <c r="D294" s="18">
        <v>1460.53</v>
      </c>
      <c r="E294" s="16">
        <f t="shared" si="8"/>
        <v>0.27007282848246716</v>
      </c>
      <c r="F294" s="18">
        <v>155.47999999999999</v>
      </c>
      <c r="G294" s="16">
        <f t="shared" si="9"/>
        <v>2.8750469605180309E-2</v>
      </c>
      <c r="H294" s="18">
        <v>307969.3</v>
      </c>
      <c r="I294" s="18">
        <v>165521.63</v>
      </c>
      <c r="J294" s="18">
        <v>63434.41</v>
      </c>
    </row>
    <row r="295" spans="1:10" x14ac:dyDescent="0.3">
      <c r="A295">
        <v>294</v>
      </c>
      <c r="B295" s="17">
        <v>53783</v>
      </c>
      <c r="C295" s="18">
        <v>63434.41</v>
      </c>
      <c r="D295" s="18">
        <v>1464.03</v>
      </c>
      <c r="E295" s="16">
        <f t="shared" si="8"/>
        <v>0.27695315523546288</v>
      </c>
      <c r="F295" s="18">
        <v>151.97999999999999</v>
      </c>
      <c r="G295" s="16">
        <f t="shared" si="9"/>
        <v>2.875032651836755E-2</v>
      </c>
      <c r="H295" s="18">
        <v>309433.34000000003</v>
      </c>
      <c r="I295" s="18">
        <v>165673.60000000001</v>
      </c>
      <c r="J295" s="18">
        <v>61970.37</v>
      </c>
    </row>
    <row r="296" spans="1:10" x14ac:dyDescent="0.3">
      <c r="A296">
        <v>295</v>
      </c>
      <c r="B296" s="17">
        <v>53813</v>
      </c>
      <c r="C296" s="18">
        <v>61970.37</v>
      </c>
      <c r="D296" s="18">
        <v>1467.54</v>
      </c>
      <c r="E296" s="16">
        <f t="shared" si="8"/>
        <v>0.28417580853559526</v>
      </c>
      <c r="F296" s="18">
        <v>148.47</v>
      </c>
      <c r="G296" s="16">
        <f t="shared" si="9"/>
        <v>2.874986868724521E-2</v>
      </c>
      <c r="H296" s="18">
        <v>310900.87</v>
      </c>
      <c r="I296" s="18">
        <v>165822.07999999999</v>
      </c>
      <c r="J296" s="18">
        <v>60502.84</v>
      </c>
    </row>
    <row r="297" spans="1:10" x14ac:dyDescent="0.3">
      <c r="A297">
        <v>296</v>
      </c>
      <c r="B297" s="17">
        <v>53844</v>
      </c>
      <c r="C297" s="18">
        <v>60502.84</v>
      </c>
      <c r="D297" s="18">
        <v>1471.06</v>
      </c>
      <c r="E297" s="16">
        <f t="shared" si="8"/>
        <v>0.29176679970725339</v>
      </c>
      <c r="F297" s="18">
        <v>144.94999999999999</v>
      </c>
      <c r="G297" s="16">
        <f t="shared" si="9"/>
        <v>2.8749063680316492E-2</v>
      </c>
      <c r="H297" s="18">
        <v>312371.93</v>
      </c>
      <c r="I297" s="18">
        <v>165967.03</v>
      </c>
      <c r="J297" s="18">
        <v>59031.78</v>
      </c>
    </row>
    <row r="298" spans="1:10" x14ac:dyDescent="0.3">
      <c r="A298">
        <v>297</v>
      </c>
      <c r="B298" s="17">
        <v>53874</v>
      </c>
      <c r="C298" s="18">
        <v>59031.78</v>
      </c>
      <c r="D298" s="18">
        <v>1474.58</v>
      </c>
      <c r="E298" s="16">
        <f t="shared" si="8"/>
        <v>0.29975311603343147</v>
      </c>
      <c r="F298" s="18">
        <v>141.43</v>
      </c>
      <c r="G298" s="16">
        <f t="shared" si="9"/>
        <v>2.8749937745397483E-2</v>
      </c>
      <c r="H298" s="18">
        <v>313846.51</v>
      </c>
      <c r="I298" s="18">
        <v>166108.46</v>
      </c>
      <c r="J298" s="18">
        <v>57557.2</v>
      </c>
    </row>
    <row r="299" spans="1:10" x14ac:dyDescent="0.3">
      <c r="A299">
        <v>298</v>
      </c>
      <c r="B299" s="17">
        <v>53905</v>
      </c>
      <c r="C299" s="18">
        <v>57557.2</v>
      </c>
      <c r="D299" s="18">
        <v>1478.11</v>
      </c>
      <c r="E299" s="16">
        <f t="shared" si="8"/>
        <v>0.30816856970109735</v>
      </c>
      <c r="F299" s="18">
        <v>137.9</v>
      </c>
      <c r="G299" s="16">
        <f t="shared" si="9"/>
        <v>2.875052990763971E-2</v>
      </c>
      <c r="H299" s="18">
        <v>315324.62</v>
      </c>
      <c r="I299" s="18">
        <v>166246.35999999999</v>
      </c>
      <c r="J299" s="18">
        <v>56079.09</v>
      </c>
    </row>
    <row r="300" spans="1:10" x14ac:dyDescent="0.3">
      <c r="A300">
        <v>299</v>
      </c>
      <c r="B300" s="17">
        <v>53936</v>
      </c>
      <c r="C300" s="18">
        <v>56079.09</v>
      </c>
      <c r="D300" s="18">
        <v>1481.65</v>
      </c>
      <c r="E300" s="16">
        <f t="shared" si="8"/>
        <v>0.31704865396353621</v>
      </c>
      <c r="F300" s="18">
        <v>134.36000000000001</v>
      </c>
      <c r="G300" s="16">
        <f t="shared" si="9"/>
        <v>2.8750823167779653E-2</v>
      </c>
      <c r="H300" s="18">
        <v>316806.28000000003</v>
      </c>
      <c r="I300" s="18">
        <v>166380.71</v>
      </c>
      <c r="J300" s="18">
        <v>54597.43</v>
      </c>
    </row>
    <row r="301" spans="1:10" x14ac:dyDescent="0.3">
      <c r="A301">
        <v>300</v>
      </c>
      <c r="B301" s="17">
        <v>53966</v>
      </c>
      <c r="C301" s="18">
        <v>54597.43</v>
      </c>
      <c r="D301" s="18">
        <v>1485.2</v>
      </c>
      <c r="E301" s="16">
        <f t="shared" si="8"/>
        <v>0.32643294748489082</v>
      </c>
      <c r="F301" s="18">
        <v>130.81</v>
      </c>
      <c r="G301" s="16">
        <f t="shared" si="9"/>
        <v>2.8750803838202638E-2</v>
      </c>
      <c r="H301" s="18">
        <v>318291.48</v>
      </c>
      <c r="I301" s="18">
        <v>166511.51999999999</v>
      </c>
      <c r="J301" s="18">
        <v>53112.23</v>
      </c>
    </row>
    <row r="302" spans="1:10" x14ac:dyDescent="0.3">
      <c r="A302">
        <v>301</v>
      </c>
      <c r="B302" s="17">
        <v>53997</v>
      </c>
      <c r="C302" s="18">
        <v>53112.23</v>
      </c>
      <c r="D302" s="18">
        <v>1488.76</v>
      </c>
      <c r="E302" s="16">
        <f t="shared" si="8"/>
        <v>0.33636546610827678</v>
      </c>
      <c r="F302" s="18">
        <v>127.25</v>
      </c>
      <c r="G302" s="16">
        <f t="shared" si="9"/>
        <v>2.8750440341141766E-2</v>
      </c>
      <c r="H302" s="18">
        <v>319780.24</v>
      </c>
      <c r="I302" s="18">
        <v>166638.76999999999</v>
      </c>
      <c r="J302" s="18">
        <v>51623.47</v>
      </c>
    </row>
    <row r="303" spans="1:10" x14ac:dyDescent="0.3">
      <c r="A303">
        <v>302</v>
      </c>
      <c r="B303" s="17">
        <v>54027</v>
      </c>
      <c r="C303" s="18">
        <v>51623.47</v>
      </c>
      <c r="D303" s="18">
        <v>1492.33</v>
      </c>
      <c r="E303" s="16">
        <f t="shared" si="8"/>
        <v>0.34689570460877583</v>
      </c>
      <c r="F303" s="18">
        <v>123.68</v>
      </c>
      <c r="G303" s="16">
        <f t="shared" si="9"/>
        <v>2.874971403510845E-2</v>
      </c>
      <c r="H303" s="18">
        <v>321272.57</v>
      </c>
      <c r="I303" s="18">
        <v>166762.45000000001</v>
      </c>
      <c r="J303" s="18">
        <v>50131.14</v>
      </c>
    </row>
    <row r="304" spans="1:10" x14ac:dyDescent="0.3">
      <c r="A304">
        <v>303</v>
      </c>
      <c r="B304" s="17">
        <v>54058</v>
      </c>
      <c r="C304" s="18">
        <v>50131.14</v>
      </c>
      <c r="D304" s="18">
        <v>1495.9</v>
      </c>
      <c r="E304" s="16">
        <f t="shared" si="8"/>
        <v>0.35807683607434421</v>
      </c>
      <c r="F304" s="18">
        <v>120.11</v>
      </c>
      <c r="G304" s="16">
        <f t="shared" si="9"/>
        <v>2.8750991898448749E-2</v>
      </c>
      <c r="H304" s="18">
        <v>322768.46999999997</v>
      </c>
      <c r="I304" s="18">
        <v>166882.56</v>
      </c>
      <c r="J304" s="18">
        <v>48635.24</v>
      </c>
    </row>
    <row r="305" spans="1:10" x14ac:dyDescent="0.3">
      <c r="A305">
        <v>304</v>
      </c>
      <c r="B305" s="17">
        <v>54089</v>
      </c>
      <c r="C305" s="18">
        <v>48635.24</v>
      </c>
      <c r="D305" s="18">
        <v>1499.49</v>
      </c>
      <c r="E305" s="16">
        <f t="shared" si="8"/>
        <v>0.36997617365515212</v>
      </c>
      <c r="F305" s="18">
        <v>116.52</v>
      </c>
      <c r="G305" s="16">
        <f t="shared" si="9"/>
        <v>2.8749524007694833E-2</v>
      </c>
      <c r="H305" s="18">
        <v>324267.96000000002</v>
      </c>
      <c r="I305" s="18">
        <v>166999.07999999999</v>
      </c>
      <c r="J305" s="18">
        <v>47135.75</v>
      </c>
    </row>
    <row r="306" spans="1:10" x14ac:dyDescent="0.3">
      <c r="A306">
        <v>305</v>
      </c>
      <c r="B306" s="17">
        <v>54118</v>
      </c>
      <c r="C306" s="18">
        <v>47135.75</v>
      </c>
      <c r="D306" s="18">
        <v>1503.08</v>
      </c>
      <c r="E306" s="16">
        <f t="shared" si="8"/>
        <v>0.38265987069262719</v>
      </c>
      <c r="F306" s="18">
        <v>112.93</v>
      </c>
      <c r="G306" s="16">
        <f t="shared" si="9"/>
        <v>2.8750152485109502E-2</v>
      </c>
      <c r="H306" s="18">
        <v>325771.03999999998</v>
      </c>
      <c r="I306" s="18">
        <v>167112.01</v>
      </c>
      <c r="J306" s="18">
        <v>45632.67</v>
      </c>
    </row>
    <row r="307" spans="1:10" x14ac:dyDescent="0.3">
      <c r="A307">
        <v>306</v>
      </c>
      <c r="B307" s="17">
        <v>54149</v>
      </c>
      <c r="C307" s="18">
        <v>45632.67</v>
      </c>
      <c r="D307" s="18">
        <v>1506.68</v>
      </c>
      <c r="E307" s="16">
        <f t="shared" si="8"/>
        <v>0.39621087260508758</v>
      </c>
      <c r="F307" s="18">
        <v>109.33</v>
      </c>
      <c r="G307" s="16">
        <f t="shared" si="9"/>
        <v>2.8750454444151526E-2</v>
      </c>
      <c r="H307" s="18">
        <v>327277.73</v>
      </c>
      <c r="I307" s="18">
        <v>167221.32999999999</v>
      </c>
      <c r="J307" s="18">
        <v>44125.98</v>
      </c>
    </row>
    <row r="308" spans="1:10" x14ac:dyDescent="0.3">
      <c r="A308">
        <v>307</v>
      </c>
      <c r="B308" s="17">
        <v>54179</v>
      </c>
      <c r="C308" s="18">
        <v>44125.98</v>
      </c>
      <c r="D308" s="18">
        <v>1510.29</v>
      </c>
      <c r="E308" s="16">
        <f t="shared" si="8"/>
        <v>0.41072130296029685</v>
      </c>
      <c r="F308" s="18">
        <v>105.72</v>
      </c>
      <c r="G308" s="16">
        <f t="shared" si="9"/>
        <v>2.8750409622630473E-2</v>
      </c>
      <c r="H308" s="18">
        <v>328788.02</v>
      </c>
      <c r="I308" s="18">
        <v>167327.04999999999</v>
      </c>
      <c r="J308" s="18">
        <v>42615.69</v>
      </c>
    </row>
    <row r="309" spans="1:10" x14ac:dyDescent="0.3">
      <c r="A309">
        <v>308</v>
      </c>
      <c r="B309" s="17">
        <v>54210</v>
      </c>
      <c r="C309" s="18">
        <v>42615.69</v>
      </c>
      <c r="D309" s="18">
        <v>1513.91</v>
      </c>
      <c r="E309" s="16">
        <f t="shared" si="8"/>
        <v>0.4262965119184976</v>
      </c>
      <c r="F309" s="18">
        <v>102.1</v>
      </c>
      <c r="G309" s="16">
        <f t="shared" si="9"/>
        <v>2.8749974481229797E-2</v>
      </c>
      <c r="H309" s="18">
        <v>330301.93</v>
      </c>
      <c r="I309" s="18">
        <v>167429.15</v>
      </c>
      <c r="J309" s="18">
        <v>41101.78</v>
      </c>
    </row>
    <row r="310" spans="1:10" x14ac:dyDescent="0.3">
      <c r="A310">
        <v>309</v>
      </c>
      <c r="B310" s="17">
        <v>54240</v>
      </c>
      <c r="C310" s="18">
        <v>41101.78</v>
      </c>
      <c r="D310" s="18">
        <v>1517.54</v>
      </c>
      <c r="E310" s="16">
        <f t="shared" si="8"/>
        <v>0.44305818385481116</v>
      </c>
      <c r="F310" s="18">
        <v>98.47</v>
      </c>
      <c r="G310" s="16">
        <f t="shared" si="9"/>
        <v>2.8749119867801345E-2</v>
      </c>
      <c r="H310" s="18">
        <v>331819.46000000002</v>
      </c>
      <c r="I310" s="18">
        <v>167527.63</v>
      </c>
      <c r="J310" s="18">
        <v>39584.25</v>
      </c>
    </row>
    <row r="311" spans="1:10" x14ac:dyDescent="0.3">
      <c r="A311">
        <v>310</v>
      </c>
      <c r="B311" s="17">
        <v>54271</v>
      </c>
      <c r="C311" s="18">
        <v>39584.25</v>
      </c>
      <c r="D311" s="18">
        <v>1521.17</v>
      </c>
      <c r="E311" s="16">
        <f t="shared" si="8"/>
        <v>0.46114401561227003</v>
      </c>
      <c r="F311" s="18">
        <v>94.84</v>
      </c>
      <c r="G311" s="16">
        <f t="shared" si="9"/>
        <v>2.8750828928172191E-2</v>
      </c>
      <c r="H311" s="18">
        <v>333340.64</v>
      </c>
      <c r="I311" s="18">
        <v>167622.46</v>
      </c>
      <c r="J311" s="18">
        <v>38063.07</v>
      </c>
    </row>
    <row r="312" spans="1:10" x14ac:dyDescent="0.3">
      <c r="A312">
        <v>311</v>
      </c>
      <c r="B312" s="17">
        <v>54302</v>
      </c>
      <c r="C312" s="18">
        <v>38063.07</v>
      </c>
      <c r="D312" s="18">
        <v>1524.82</v>
      </c>
      <c r="E312" s="16">
        <f t="shared" si="8"/>
        <v>0.48072422954848359</v>
      </c>
      <c r="F312" s="18">
        <v>91.19</v>
      </c>
      <c r="G312" s="16">
        <f t="shared" si="9"/>
        <v>2.8749126121461039E-2</v>
      </c>
      <c r="H312" s="18">
        <v>334865.45</v>
      </c>
      <c r="I312" s="18">
        <v>167713.66</v>
      </c>
      <c r="J312" s="18">
        <v>36538.26</v>
      </c>
    </row>
    <row r="313" spans="1:10" x14ac:dyDescent="0.3">
      <c r="A313">
        <v>312</v>
      </c>
      <c r="B313" s="17">
        <v>54332</v>
      </c>
      <c r="C313" s="18">
        <v>36538.26</v>
      </c>
      <c r="D313" s="18">
        <v>1528.47</v>
      </c>
      <c r="E313" s="16">
        <f t="shared" si="8"/>
        <v>0.50198449515658383</v>
      </c>
      <c r="F313" s="18">
        <v>87.54</v>
      </c>
      <c r="G313" s="16">
        <f t="shared" si="9"/>
        <v>2.8750137527074362E-2</v>
      </c>
      <c r="H313" s="18">
        <v>336393.92</v>
      </c>
      <c r="I313" s="18">
        <v>167801.2</v>
      </c>
      <c r="J313" s="18">
        <v>35009.79</v>
      </c>
    </row>
    <row r="314" spans="1:10" x14ac:dyDescent="0.3">
      <c r="A314">
        <v>313</v>
      </c>
      <c r="B314" s="17">
        <v>54363</v>
      </c>
      <c r="C314" s="18">
        <v>35009.79</v>
      </c>
      <c r="D314" s="18">
        <v>1532.13</v>
      </c>
      <c r="E314" s="16">
        <f t="shared" si="8"/>
        <v>0.52515482098007449</v>
      </c>
      <c r="F314" s="18">
        <v>83.88</v>
      </c>
      <c r="G314" s="16">
        <f t="shared" si="9"/>
        <v>2.875081512913959E-2</v>
      </c>
      <c r="H314" s="18">
        <v>337926.06</v>
      </c>
      <c r="I314" s="18">
        <v>167885.07</v>
      </c>
      <c r="J314" s="18">
        <v>33477.65</v>
      </c>
    </row>
    <row r="315" spans="1:10" x14ac:dyDescent="0.3">
      <c r="A315">
        <v>314</v>
      </c>
      <c r="B315" s="17">
        <v>54393</v>
      </c>
      <c r="C315" s="18">
        <v>33477.65</v>
      </c>
      <c r="D315" s="18">
        <v>1535.8</v>
      </c>
      <c r="E315" s="16">
        <f t="shared" si="8"/>
        <v>0.55050459037596722</v>
      </c>
      <c r="F315" s="18">
        <v>80.209999999999994</v>
      </c>
      <c r="G315" s="16">
        <f t="shared" si="9"/>
        <v>2.8751122017226412E-2</v>
      </c>
      <c r="H315" s="18">
        <v>339461.86</v>
      </c>
      <c r="I315" s="18">
        <v>167965.28</v>
      </c>
      <c r="J315" s="18">
        <v>31941.85</v>
      </c>
    </row>
    <row r="316" spans="1:10" x14ac:dyDescent="0.3">
      <c r="A316">
        <v>315</v>
      </c>
      <c r="B316" s="17">
        <v>54424</v>
      </c>
      <c r="C316" s="18">
        <v>31941.85</v>
      </c>
      <c r="D316" s="18">
        <v>1539.48</v>
      </c>
      <c r="E316" s="16">
        <f t="shared" si="8"/>
        <v>0.57835598125969534</v>
      </c>
      <c r="F316" s="18">
        <v>76.53</v>
      </c>
      <c r="G316" s="16">
        <f t="shared" si="9"/>
        <v>2.8750995950453717E-2</v>
      </c>
      <c r="H316" s="18">
        <v>341001.34</v>
      </c>
      <c r="I316" s="18">
        <v>168041.81</v>
      </c>
      <c r="J316" s="18">
        <v>30402.37</v>
      </c>
    </row>
    <row r="317" spans="1:10" x14ac:dyDescent="0.3">
      <c r="A317">
        <v>316</v>
      </c>
      <c r="B317" s="17">
        <v>54455</v>
      </c>
      <c r="C317" s="18">
        <v>30402.37</v>
      </c>
      <c r="D317" s="18">
        <v>1543.17</v>
      </c>
      <c r="E317" s="16">
        <f t="shared" si="8"/>
        <v>0.60909856698671849</v>
      </c>
      <c r="F317" s="18">
        <v>72.84</v>
      </c>
      <c r="G317" s="16">
        <f t="shared" si="9"/>
        <v>2.8750390183396889E-2</v>
      </c>
      <c r="H317" s="18">
        <v>342544.51</v>
      </c>
      <c r="I317" s="18">
        <v>168114.65</v>
      </c>
      <c r="J317" s="18">
        <v>28859.200000000001</v>
      </c>
    </row>
    <row r="318" spans="1:10" x14ac:dyDescent="0.3">
      <c r="A318">
        <v>317</v>
      </c>
      <c r="B318" s="17">
        <v>54483</v>
      </c>
      <c r="C318" s="18">
        <v>28859.200000000001</v>
      </c>
      <c r="D318" s="18">
        <v>1546.87</v>
      </c>
      <c r="E318" s="16">
        <f t="shared" si="8"/>
        <v>0.64320701890558296</v>
      </c>
      <c r="F318" s="18">
        <v>69.14</v>
      </c>
      <c r="G318" s="16">
        <f t="shared" si="9"/>
        <v>2.8749237678106117E-2</v>
      </c>
      <c r="H318" s="18">
        <v>344091.38</v>
      </c>
      <c r="I318" s="18">
        <v>168183.79</v>
      </c>
      <c r="J318" s="18">
        <v>27312.33</v>
      </c>
    </row>
    <row r="319" spans="1:10" x14ac:dyDescent="0.3">
      <c r="A319">
        <v>318</v>
      </c>
      <c r="B319" s="17">
        <v>54514</v>
      </c>
      <c r="C319" s="18">
        <v>27312.33</v>
      </c>
      <c r="D319" s="18">
        <v>1550.57</v>
      </c>
      <c r="E319" s="16">
        <f t="shared" si="8"/>
        <v>0.68126154011759521</v>
      </c>
      <c r="F319" s="18">
        <v>65.44</v>
      </c>
      <c r="G319" s="16">
        <f t="shared" si="9"/>
        <v>2.8751849439429003E-2</v>
      </c>
      <c r="H319" s="18">
        <v>345641.96</v>
      </c>
      <c r="I319" s="18">
        <v>168249.22</v>
      </c>
      <c r="J319" s="18">
        <v>25761.75</v>
      </c>
    </row>
    <row r="320" spans="1:10" x14ac:dyDescent="0.3">
      <c r="A320">
        <v>319</v>
      </c>
      <c r="B320" s="17">
        <v>54544</v>
      </c>
      <c r="C320" s="18">
        <v>25761.75</v>
      </c>
      <c r="D320" s="18">
        <v>1554.29</v>
      </c>
      <c r="E320" s="16">
        <f t="shared" si="8"/>
        <v>0.7239989519345541</v>
      </c>
      <c r="F320" s="18">
        <v>61.72</v>
      </c>
      <c r="G320" s="16">
        <f t="shared" si="9"/>
        <v>2.8749599697225538E-2</v>
      </c>
      <c r="H320" s="18">
        <v>347196.24</v>
      </c>
      <c r="I320" s="18">
        <v>168310.95</v>
      </c>
      <c r="J320" s="18">
        <v>24207.47</v>
      </c>
    </row>
    <row r="321" spans="1:10" x14ac:dyDescent="0.3">
      <c r="A321">
        <v>320</v>
      </c>
      <c r="B321" s="17">
        <v>54575</v>
      </c>
      <c r="C321" s="18">
        <v>24207.47</v>
      </c>
      <c r="D321" s="18">
        <v>1558.01</v>
      </c>
      <c r="E321" s="16">
        <f t="shared" si="8"/>
        <v>0.77232854156175756</v>
      </c>
      <c r="F321" s="18">
        <v>58</v>
      </c>
      <c r="G321" s="16">
        <f t="shared" si="9"/>
        <v>2.8751455645715969E-2</v>
      </c>
      <c r="H321" s="18">
        <v>348754.26</v>
      </c>
      <c r="I321" s="18">
        <v>168368.94</v>
      </c>
      <c r="J321" s="18">
        <v>22649.45</v>
      </c>
    </row>
    <row r="322" spans="1:10" x14ac:dyDescent="0.3">
      <c r="A322">
        <v>321</v>
      </c>
      <c r="B322" s="17">
        <v>54605</v>
      </c>
      <c r="C322" s="18">
        <v>22649.45</v>
      </c>
      <c r="D322" s="18">
        <v>1561.75</v>
      </c>
      <c r="E322" s="16">
        <f t="shared" si="8"/>
        <v>0.82743731083977756</v>
      </c>
      <c r="F322" s="18">
        <v>54.26</v>
      </c>
      <c r="G322" s="16">
        <f t="shared" si="9"/>
        <v>2.8747717935755611E-2</v>
      </c>
      <c r="H322" s="18">
        <v>350316</v>
      </c>
      <c r="I322" s="18">
        <v>168423.21</v>
      </c>
      <c r="J322" s="18">
        <v>21087.71</v>
      </c>
    </row>
    <row r="323" spans="1:10" x14ac:dyDescent="0.3">
      <c r="A323">
        <v>322</v>
      </c>
      <c r="B323" s="17">
        <v>54636</v>
      </c>
      <c r="C323" s="18">
        <v>21087.71</v>
      </c>
      <c r="D323" s="18">
        <v>1565.49</v>
      </c>
      <c r="E323" s="16">
        <f t="shared" ref="E323:E336" si="10">(D323/C323)*12</f>
        <v>0.8908449518700704</v>
      </c>
      <c r="F323" s="18">
        <v>50.52</v>
      </c>
      <c r="G323" s="16">
        <f t="shared" ref="G323:G336" si="11">(F323/C323)*12</f>
        <v>2.8748498533031804E-2</v>
      </c>
      <c r="H323" s="18">
        <v>351881.49</v>
      </c>
      <c r="I323" s="18">
        <v>168473.73</v>
      </c>
      <c r="J323" s="18">
        <v>19522.22</v>
      </c>
    </row>
    <row r="324" spans="1:10" x14ac:dyDescent="0.3">
      <c r="A324">
        <v>323</v>
      </c>
      <c r="B324" s="17">
        <v>54667</v>
      </c>
      <c r="C324" s="18">
        <v>19522.22</v>
      </c>
      <c r="D324" s="18">
        <v>1569.24</v>
      </c>
      <c r="E324" s="16">
        <f t="shared" si="10"/>
        <v>0.96458701930415702</v>
      </c>
      <c r="F324" s="18">
        <v>46.77</v>
      </c>
      <c r="G324" s="16">
        <f t="shared" si="11"/>
        <v>2.8748779595763191E-2</v>
      </c>
      <c r="H324" s="18">
        <v>353450.73</v>
      </c>
      <c r="I324" s="18">
        <v>168520.5</v>
      </c>
      <c r="J324" s="18">
        <v>17952.98</v>
      </c>
    </row>
    <row r="325" spans="1:10" x14ac:dyDescent="0.3">
      <c r="A325">
        <v>324</v>
      </c>
      <c r="B325" s="17">
        <v>54697</v>
      </c>
      <c r="C325" s="18">
        <v>17952.98</v>
      </c>
      <c r="D325" s="18">
        <v>1573</v>
      </c>
      <c r="E325" s="16">
        <f t="shared" si="10"/>
        <v>1.0514131915704246</v>
      </c>
      <c r="F325" s="18">
        <v>43.01</v>
      </c>
      <c r="G325" s="16">
        <f t="shared" si="11"/>
        <v>2.874843062265986E-2</v>
      </c>
      <c r="H325" s="18">
        <v>355023.73</v>
      </c>
      <c r="I325" s="18">
        <v>168563.51</v>
      </c>
      <c r="J325" s="18">
        <v>16379.98</v>
      </c>
    </row>
    <row r="326" spans="1:10" x14ac:dyDescent="0.3">
      <c r="A326">
        <v>325</v>
      </c>
      <c r="B326" s="17">
        <v>54728</v>
      </c>
      <c r="C326" s="18">
        <v>16379.98</v>
      </c>
      <c r="D326" s="18">
        <v>1576.77</v>
      </c>
      <c r="E326" s="16">
        <f t="shared" si="10"/>
        <v>1.1551442675754182</v>
      </c>
      <c r="F326" s="18">
        <v>39.24</v>
      </c>
      <c r="G326" s="16">
        <f t="shared" si="11"/>
        <v>2.8747287847726309E-2</v>
      </c>
      <c r="H326" s="18">
        <v>356600.49</v>
      </c>
      <c r="I326" s="18">
        <v>168602.76</v>
      </c>
      <c r="J326" s="18">
        <v>14803.22</v>
      </c>
    </row>
    <row r="327" spans="1:10" x14ac:dyDescent="0.3">
      <c r="A327">
        <v>326</v>
      </c>
      <c r="B327" s="17">
        <v>54758</v>
      </c>
      <c r="C327" s="18">
        <v>14803.22</v>
      </c>
      <c r="D327" s="18">
        <v>1580.54</v>
      </c>
      <c r="E327" s="16">
        <f t="shared" si="10"/>
        <v>1.2812401626132692</v>
      </c>
      <c r="F327" s="18">
        <v>35.47</v>
      </c>
      <c r="G327" s="16">
        <f t="shared" si="11"/>
        <v>2.8753203694871794E-2</v>
      </c>
      <c r="H327" s="18">
        <v>358181.04</v>
      </c>
      <c r="I327" s="18">
        <v>168638.22</v>
      </c>
      <c r="J327" s="18">
        <v>13222.67</v>
      </c>
    </row>
    <row r="328" spans="1:10" x14ac:dyDescent="0.3">
      <c r="A328">
        <v>327</v>
      </c>
      <c r="B328" s="17">
        <v>54789</v>
      </c>
      <c r="C328" s="18">
        <v>13222.67</v>
      </c>
      <c r="D328" s="18">
        <v>1584.33</v>
      </c>
      <c r="E328" s="16">
        <f t="shared" si="10"/>
        <v>1.4378306348112748</v>
      </c>
      <c r="F328" s="18">
        <v>31.68</v>
      </c>
      <c r="G328" s="16">
        <f t="shared" si="11"/>
        <v>2.8750622983104018E-2</v>
      </c>
      <c r="H328" s="18">
        <v>359765.37</v>
      </c>
      <c r="I328" s="18">
        <v>168669.9</v>
      </c>
      <c r="J328" s="18">
        <v>11638.34</v>
      </c>
    </row>
    <row r="329" spans="1:10" x14ac:dyDescent="0.3">
      <c r="A329">
        <v>328</v>
      </c>
      <c r="B329" s="17">
        <v>54820</v>
      </c>
      <c r="C329" s="18">
        <v>11638.34</v>
      </c>
      <c r="D329" s="18">
        <v>1588.13</v>
      </c>
      <c r="E329" s="16">
        <f t="shared" si="10"/>
        <v>1.6374809465954767</v>
      </c>
      <c r="F329" s="18">
        <v>27.88</v>
      </c>
      <c r="G329" s="16">
        <f t="shared" si="11"/>
        <v>2.8746367609126383E-2</v>
      </c>
      <c r="H329" s="18">
        <v>361353.49</v>
      </c>
      <c r="I329" s="18">
        <v>168697.79</v>
      </c>
      <c r="J329" s="18">
        <v>10050.219999999999</v>
      </c>
    </row>
    <row r="330" spans="1:10" x14ac:dyDescent="0.3">
      <c r="A330">
        <v>329</v>
      </c>
      <c r="B330" s="17">
        <v>54848</v>
      </c>
      <c r="C330" s="18">
        <v>10050.219999999999</v>
      </c>
      <c r="D330" s="18">
        <v>1591.93</v>
      </c>
      <c r="E330" s="16">
        <f t="shared" si="10"/>
        <v>1.9007703313957309</v>
      </c>
      <c r="F330" s="18">
        <v>24.08</v>
      </c>
      <c r="G330" s="16">
        <f t="shared" si="11"/>
        <v>2.8751609417505292E-2</v>
      </c>
      <c r="H330" s="18">
        <v>362945.43</v>
      </c>
      <c r="I330" s="18">
        <v>168721.86</v>
      </c>
      <c r="J330" s="18">
        <v>8458.2800000000007</v>
      </c>
    </row>
    <row r="331" spans="1:10" x14ac:dyDescent="0.3">
      <c r="A331">
        <v>330</v>
      </c>
      <c r="B331" s="17">
        <v>54879</v>
      </c>
      <c r="C331" s="18">
        <v>8458.2800000000007</v>
      </c>
      <c r="D331" s="18">
        <v>1595.75</v>
      </c>
      <c r="E331" s="16">
        <f t="shared" si="10"/>
        <v>2.2639354573270212</v>
      </c>
      <c r="F331" s="18">
        <v>20.260000000000002</v>
      </c>
      <c r="G331" s="16">
        <f t="shared" si="11"/>
        <v>2.8743432470904252E-2</v>
      </c>
      <c r="H331" s="18">
        <v>364541.17</v>
      </c>
      <c r="I331" s="18">
        <v>168742.13</v>
      </c>
      <c r="J331" s="18">
        <v>6862.54</v>
      </c>
    </row>
    <row r="332" spans="1:10" x14ac:dyDescent="0.3">
      <c r="A332">
        <v>331</v>
      </c>
      <c r="B332" s="17">
        <v>54909</v>
      </c>
      <c r="C332" s="18">
        <v>6862.54</v>
      </c>
      <c r="D332" s="18">
        <v>1599.57</v>
      </c>
      <c r="E332" s="16">
        <f t="shared" si="10"/>
        <v>2.7970459917173525</v>
      </c>
      <c r="F332" s="18">
        <v>16.440000000000001</v>
      </c>
      <c r="G332" s="16">
        <f t="shared" si="11"/>
        <v>2.8747373421502829E-2</v>
      </c>
      <c r="H332" s="18">
        <v>366140.74</v>
      </c>
      <c r="I332" s="18">
        <v>168758.57</v>
      </c>
      <c r="J332" s="18">
        <v>5262.97</v>
      </c>
    </row>
    <row r="333" spans="1:10" x14ac:dyDescent="0.3">
      <c r="A333">
        <v>332</v>
      </c>
      <c r="B333" s="17">
        <v>54940</v>
      </c>
      <c r="C333" s="18">
        <v>5262.97</v>
      </c>
      <c r="D333" s="18">
        <v>1603.4</v>
      </c>
      <c r="E333" s="16">
        <f t="shared" si="10"/>
        <v>3.6558825150057856</v>
      </c>
      <c r="F333" s="18">
        <v>12.61</v>
      </c>
      <c r="G333" s="16">
        <f t="shared" si="11"/>
        <v>2.8751826440203916E-2</v>
      </c>
      <c r="H333" s="18">
        <v>367744.14</v>
      </c>
      <c r="I333" s="18">
        <v>168771.18</v>
      </c>
      <c r="J333" s="18">
        <v>3659.57</v>
      </c>
    </row>
    <row r="334" spans="1:10" x14ac:dyDescent="0.3">
      <c r="A334">
        <v>333</v>
      </c>
      <c r="B334" s="17">
        <v>54970</v>
      </c>
      <c r="C334" s="18">
        <v>3659.57</v>
      </c>
      <c r="D334" s="18">
        <v>1607.24</v>
      </c>
      <c r="E334" s="16">
        <f t="shared" si="10"/>
        <v>5.270258527641225</v>
      </c>
      <c r="F334" s="18">
        <v>8.77</v>
      </c>
      <c r="G334" s="16">
        <f t="shared" si="11"/>
        <v>2.875747697133816E-2</v>
      </c>
      <c r="H334" s="18">
        <v>369351.38</v>
      </c>
      <c r="I334" s="18">
        <v>168779.95</v>
      </c>
      <c r="J334" s="18">
        <v>2052.33</v>
      </c>
    </row>
    <row r="335" spans="1:10" x14ac:dyDescent="0.3">
      <c r="A335">
        <v>334</v>
      </c>
      <c r="B335" s="17">
        <v>55001</v>
      </c>
      <c r="C335" s="18">
        <v>2052.33</v>
      </c>
      <c r="D335" s="18">
        <v>1611.09</v>
      </c>
      <c r="E335" s="16">
        <f t="shared" si="10"/>
        <v>9.4200640247913334</v>
      </c>
      <c r="F335" s="18">
        <v>4.92</v>
      </c>
      <c r="G335" s="16">
        <f t="shared" si="11"/>
        <v>2.8767303503822485E-2</v>
      </c>
      <c r="H335" s="18">
        <v>370962.47</v>
      </c>
      <c r="I335" s="18">
        <v>168784.87</v>
      </c>
      <c r="J335" s="18">
        <v>441.24</v>
      </c>
    </row>
    <row r="336" spans="1:10" x14ac:dyDescent="0.3">
      <c r="A336">
        <v>335</v>
      </c>
      <c r="B336" s="17">
        <v>55032</v>
      </c>
      <c r="C336" s="18">
        <v>441.24</v>
      </c>
      <c r="D336" s="18">
        <v>1614.95</v>
      </c>
      <c r="E336" s="16">
        <f t="shared" si="10"/>
        <v>43.920315474571666</v>
      </c>
      <c r="F336" s="18">
        <v>1.06</v>
      </c>
      <c r="G336" s="16">
        <f t="shared" si="11"/>
        <v>2.882784878977427E-2</v>
      </c>
      <c r="H336" s="18">
        <v>372577.43</v>
      </c>
      <c r="I336" s="18">
        <v>168785.92000000001</v>
      </c>
      <c r="J336" s="18">
        <v>-1173.72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E2E6-ACCC-47B7-8361-CFEF045A3C36}">
  <dimension ref="A1:L41"/>
  <sheetViews>
    <sheetView zoomScale="96" zoomScaleNormal="96" workbookViewId="0">
      <selection activeCell="D16" sqref="D16"/>
    </sheetView>
  </sheetViews>
  <sheetFormatPr defaultRowHeight="14.4" x14ac:dyDescent="0.3"/>
  <cols>
    <col min="1" max="1" width="33.5546875" bestFit="1" customWidth="1"/>
    <col min="2" max="2" width="16.6640625" customWidth="1"/>
    <col min="3" max="3" width="10.5546875" bestFit="1" customWidth="1"/>
    <col min="4" max="4" width="25.6640625" customWidth="1"/>
    <col min="5" max="5" width="9.6640625" customWidth="1"/>
    <col min="6" max="6" width="38" bestFit="1" customWidth="1"/>
    <col min="7" max="7" width="10.33203125" bestFit="1" customWidth="1"/>
    <col min="9" max="9" width="10.109375" bestFit="1" customWidth="1"/>
    <col min="10" max="10" width="39.33203125" bestFit="1" customWidth="1"/>
    <col min="11" max="11" width="12.109375" bestFit="1" customWidth="1"/>
    <col min="12" max="12" width="11.33203125" bestFit="1" customWidth="1"/>
  </cols>
  <sheetData>
    <row r="1" spans="1:12" ht="15" thickBot="1" x14ac:dyDescent="0.35">
      <c r="A1" s="26" t="s">
        <v>58</v>
      </c>
      <c r="B1" t="s">
        <v>77</v>
      </c>
    </row>
    <row r="2" spans="1:12" x14ac:dyDescent="0.3">
      <c r="A2" s="36">
        <v>2418</v>
      </c>
      <c r="B2" s="54" t="s">
        <v>22</v>
      </c>
      <c r="C2" s="55"/>
    </row>
    <row r="3" spans="1:12" ht="15" thickBot="1" x14ac:dyDescent="0.35">
      <c r="A3" s="56">
        <v>479000</v>
      </c>
      <c r="B3" s="57" t="s">
        <v>59</v>
      </c>
      <c r="C3" s="53">
        <f>A3/A2</f>
        <v>198.09760132340779</v>
      </c>
    </row>
    <row r="4" spans="1:12" ht="15" thickBot="1" x14ac:dyDescent="0.35"/>
    <row r="5" spans="1:12" x14ac:dyDescent="0.3">
      <c r="A5" s="36" t="s">
        <v>0</v>
      </c>
      <c r="B5" s="51">
        <v>400000</v>
      </c>
      <c r="C5" s="10">
        <f>B5/A2</f>
        <v>165.42597187758477</v>
      </c>
      <c r="F5" t="s">
        <v>12</v>
      </c>
      <c r="G5" s="8">
        <v>7.0000000000000007E-2</v>
      </c>
      <c r="J5" t="s">
        <v>14</v>
      </c>
      <c r="K5">
        <v>4</v>
      </c>
      <c r="L5" s="10">
        <f>B5*(K5/100)</f>
        <v>16000</v>
      </c>
    </row>
    <row r="6" spans="1:12" x14ac:dyDescent="0.3">
      <c r="A6" s="1" t="s">
        <v>55</v>
      </c>
      <c r="B6" s="52">
        <f>B5*0.03</f>
        <v>12000</v>
      </c>
      <c r="F6" t="s">
        <v>72</v>
      </c>
      <c r="G6" s="9">
        <f>((B5-B7)*($G$5/12))</f>
        <v>1866.6666666666667</v>
      </c>
      <c r="J6" t="s">
        <v>15</v>
      </c>
      <c r="K6">
        <v>24</v>
      </c>
    </row>
    <row r="7" spans="1:12" ht="15" thickBot="1" x14ac:dyDescent="0.35">
      <c r="A7" s="39" t="s">
        <v>31</v>
      </c>
      <c r="B7" s="53">
        <f>B5*0.2</f>
        <v>80000</v>
      </c>
      <c r="G7" s="9"/>
      <c r="J7" t="s">
        <v>16</v>
      </c>
      <c r="K7" s="8">
        <v>0.12</v>
      </c>
    </row>
    <row r="8" spans="1:12" ht="15" thickBot="1" x14ac:dyDescent="0.35">
      <c r="B8" s="9"/>
      <c r="F8" t="s">
        <v>51</v>
      </c>
      <c r="G8" s="9">
        <f>G6+C28+C29+C30+C32</f>
        <v>3425</v>
      </c>
      <c r="J8" t="s">
        <v>17</v>
      </c>
      <c r="K8" s="10">
        <f>(B5*K7)/12</f>
        <v>4000</v>
      </c>
    </row>
    <row r="9" spans="1:12" x14ac:dyDescent="0.3">
      <c r="A9" s="36" t="s">
        <v>79</v>
      </c>
      <c r="B9" s="38">
        <f>SUM(B5,B6,B26,B40)</f>
        <v>562228</v>
      </c>
      <c r="F9" t="s">
        <v>50</v>
      </c>
      <c r="G9" s="12">
        <f>SUM(C33:C35)</f>
        <v>513</v>
      </c>
    </row>
    <row r="10" spans="1:12" x14ac:dyDescent="0.3">
      <c r="A10" s="1" t="s">
        <v>13</v>
      </c>
      <c r="B10" s="22">
        <v>550000</v>
      </c>
      <c r="C10" s="10">
        <f>B10/A2</f>
        <v>227.46071133167908</v>
      </c>
      <c r="F10" t="s">
        <v>52</v>
      </c>
      <c r="G10" s="10">
        <f>G9+G8</f>
        <v>3938</v>
      </c>
    </row>
    <row r="11" spans="1:12" ht="15" thickBot="1" x14ac:dyDescent="0.35">
      <c r="A11" s="39" t="s">
        <v>18</v>
      </c>
      <c r="B11" s="40">
        <f>B10*0.8</f>
        <v>440000</v>
      </c>
    </row>
    <row r="12" spans="1:12" ht="15" thickBot="1" x14ac:dyDescent="0.35"/>
    <row r="13" spans="1:12" ht="15" thickBot="1" x14ac:dyDescent="0.35">
      <c r="A13" s="6" t="s">
        <v>11</v>
      </c>
      <c r="B13" s="50">
        <f>B10-B9</f>
        <v>-12228</v>
      </c>
    </row>
    <row r="14" spans="1:12" ht="15" thickBot="1" x14ac:dyDescent="0.35">
      <c r="J14" t="s">
        <v>56</v>
      </c>
      <c r="K14" s="10">
        <f>SUM(L5+B6+B7)</f>
        <v>108000</v>
      </c>
    </row>
    <row r="15" spans="1:12" ht="15" thickBot="1" x14ac:dyDescent="0.35">
      <c r="A15" s="4" t="s">
        <v>1</v>
      </c>
      <c r="B15" s="5"/>
      <c r="J15" t="s">
        <v>57</v>
      </c>
      <c r="K15" s="24">
        <f>B26</f>
        <v>131000</v>
      </c>
    </row>
    <row r="16" spans="1:12" x14ac:dyDescent="0.3">
      <c r="A16" s="3" t="s">
        <v>2</v>
      </c>
      <c r="B16" s="21">
        <v>25000</v>
      </c>
    </row>
    <row r="17" spans="1:10" x14ac:dyDescent="0.3">
      <c r="A17" s="1" t="s">
        <v>3</v>
      </c>
      <c r="B17" s="22">
        <v>25000</v>
      </c>
    </row>
    <row r="18" spans="1:10" ht="15" thickBot="1" x14ac:dyDescent="0.35">
      <c r="A18" s="1" t="s">
        <v>8</v>
      </c>
      <c r="B18" s="22">
        <v>20000</v>
      </c>
    </row>
    <row r="19" spans="1:10" ht="15" thickBot="1" x14ac:dyDescent="0.35">
      <c r="A19" s="1" t="s">
        <v>76</v>
      </c>
      <c r="B19" s="22">
        <v>15000</v>
      </c>
      <c r="F19" s="105" t="s">
        <v>63</v>
      </c>
      <c r="G19" s="106"/>
    </row>
    <row r="20" spans="1:10" x14ac:dyDescent="0.3">
      <c r="A20" s="1" t="s">
        <v>6</v>
      </c>
      <c r="B20" s="22">
        <v>15000</v>
      </c>
      <c r="F20" s="29" t="s">
        <v>64</v>
      </c>
      <c r="G20" s="30"/>
    </row>
    <row r="21" spans="1:10" x14ac:dyDescent="0.3">
      <c r="A21" s="1" t="s">
        <v>7</v>
      </c>
      <c r="B21" s="22">
        <v>10000</v>
      </c>
      <c r="F21" s="29" t="s">
        <v>66</v>
      </c>
      <c r="G21" s="30"/>
    </row>
    <row r="22" spans="1:10" x14ac:dyDescent="0.3">
      <c r="A22" s="1" t="s">
        <v>9</v>
      </c>
      <c r="B22" s="22">
        <v>5000</v>
      </c>
      <c r="F22" s="29" t="s">
        <v>65</v>
      </c>
      <c r="G22" s="30"/>
    </row>
    <row r="23" spans="1:10" ht="15" thickBot="1" x14ac:dyDescent="0.35">
      <c r="A23" s="1" t="s">
        <v>53</v>
      </c>
      <c r="B23" s="22">
        <v>7000</v>
      </c>
      <c r="F23" s="31" t="s">
        <v>67</v>
      </c>
      <c r="G23" s="32"/>
    </row>
    <row r="24" spans="1:10" x14ac:dyDescent="0.3">
      <c r="A24" s="7" t="s">
        <v>61</v>
      </c>
      <c r="B24" s="23">
        <v>4000</v>
      </c>
    </row>
    <row r="25" spans="1:10" ht="29.4" thickBot="1" x14ac:dyDescent="0.35">
      <c r="A25" s="44" t="s">
        <v>78</v>
      </c>
      <c r="B25" s="23">
        <v>5000</v>
      </c>
    </row>
    <row r="26" spans="1:10" ht="15" thickBot="1" x14ac:dyDescent="0.35">
      <c r="A26" s="19" t="s">
        <v>5</v>
      </c>
      <c r="B26" s="15">
        <f>SUM(B16:B25)</f>
        <v>131000</v>
      </c>
    </row>
    <row r="27" spans="1:10" ht="15" thickBot="1" x14ac:dyDescent="0.35">
      <c r="C27">
        <v>12</v>
      </c>
      <c r="D27" t="s">
        <v>75</v>
      </c>
    </row>
    <row r="28" spans="1:10" x14ac:dyDescent="0.3">
      <c r="A28" s="36" t="s">
        <v>30</v>
      </c>
      <c r="B28" s="37">
        <f>B5*0.018</f>
        <v>7199.9999999999991</v>
      </c>
      <c r="C28" s="38">
        <f>B28/$C$27</f>
        <v>599.99999999999989</v>
      </c>
      <c r="D28" s="12"/>
      <c r="G28" t="s">
        <v>36</v>
      </c>
      <c r="H28">
        <v>16.399999999999999</v>
      </c>
      <c r="I28" s="10">
        <f>(B5/1000)*H28</f>
        <v>6559.9999999999991</v>
      </c>
    </row>
    <row r="29" spans="1:10" x14ac:dyDescent="0.3">
      <c r="A29" s="1" t="s">
        <v>29</v>
      </c>
      <c r="B29" s="34">
        <v>2400</v>
      </c>
      <c r="C29" s="22">
        <f>B29/$C$27</f>
        <v>200</v>
      </c>
      <c r="D29" s="12"/>
      <c r="I29" s="16">
        <f>I28/B5</f>
        <v>1.6399999999999998E-2</v>
      </c>
      <c r="J29" t="s">
        <v>37</v>
      </c>
    </row>
    <row r="30" spans="1:10" ht="29.4" thickBot="1" x14ac:dyDescent="0.35">
      <c r="A30" s="44" t="s">
        <v>49</v>
      </c>
      <c r="B30" s="45">
        <v>8800</v>
      </c>
      <c r="C30" s="23">
        <f>B30/$C$27</f>
        <v>733.33333333333337</v>
      </c>
      <c r="D30" s="12"/>
      <c r="E30" s="12"/>
      <c r="I30" s="16"/>
    </row>
    <row r="31" spans="1:10" ht="15" thickBot="1" x14ac:dyDescent="0.35">
      <c r="A31" s="47" t="s">
        <v>73</v>
      </c>
      <c r="B31" s="48">
        <f>C31*$C$27</f>
        <v>22400</v>
      </c>
      <c r="C31" s="49">
        <f>G6</f>
        <v>1866.6666666666667</v>
      </c>
      <c r="D31" s="12" t="str">
        <f>"7% Interest on $" &amp; (B5-B7) &amp;" loan"</f>
        <v>7% Interest on $320000 loan</v>
      </c>
      <c r="E31" s="12"/>
      <c r="I31" s="16"/>
    </row>
    <row r="32" spans="1:10" x14ac:dyDescent="0.3">
      <c r="A32" s="3" t="s">
        <v>32</v>
      </c>
      <c r="B32" s="46">
        <v>300</v>
      </c>
      <c r="C32" s="21">
        <f>B32/$C$27</f>
        <v>25</v>
      </c>
      <c r="D32" s="12"/>
      <c r="E32" s="12"/>
    </row>
    <row r="33" spans="1:5" x14ac:dyDescent="0.3">
      <c r="A33" s="1" t="s">
        <v>33</v>
      </c>
      <c r="B33" s="35">
        <f>C33*$C$27</f>
        <v>2400</v>
      </c>
      <c r="C33" s="22">
        <v>200</v>
      </c>
      <c r="D33" s="12"/>
      <c r="E33" s="12"/>
    </row>
    <row r="34" spans="1:5" x14ac:dyDescent="0.3">
      <c r="A34" s="1" t="s">
        <v>34</v>
      </c>
      <c r="B34" s="35">
        <f>C34*$C$27</f>
        <v>2400</v>
      </c>
      <c r="C34" s="22">
        <v>200</v>
      </c>
      <c r="D34" s="12"/>
      <c r="E34" s="12"/>
    </row>
    <row r="35" spans="1:5" ht="15" thickBot="1" x14ac:dyDescent="0.35">
      <c r="A35" s="7" t="s">
        <v>35</v>
      </c>
      <c r="B35" s="41">
        <f>C35*$C$27</f>
        <v>1356</v>
      </c>
      <c r="C35" s="23">
        <v>113</v>
      </c>
      <c r="D35" s="12"/>
      <c r="E35" s="12"/>
    </row>
    <row r="36" spans="1:5" ht="15" thickBot="1" x14ac:dyDescent="0.35">
      <c r="A36" s="4" t="s">
        <v>70</v>
      </c>
      <c r="B36" s="42">
        <f>SUM(B28:B35)</f>
        <v>47256</v>
      </c>
      <c r="C36" s="43">
        <f>B36/$C$27</f>
        <v>3938</v>
      </c>
    </row>
    <row r="37" spans="1:5" ht="15" thickBot="1" x14ac:dyDescent="0.35">
      <c r="A37" s="4" t="s">
        <v>74</v>
      </c>
      <c r="B37" s="42">
        <f>SUM(B28:B29,B31,B32:B35)</f>
        <v>38456</v>
      </c>
      <c r="C37" s="43">
        <f>B37/C27</f>
        <v>3204.6666666666665</v>
      </c>
    </row>
    <row r="38" spans="1:5" ht="15" thickBot="1" x14ac:dyDescent="0.35"/>
    <row r="39" spans="1:5" ht="15" thickBot="1" x14ac:dyDescent="0.35">
      <c r="A39" s="4" t="s">
        <v>80</v>
      </c>
      <c r="B39" s="58">
        <v>6</v>
      </c>
      <c r="C39" s="43" t="s">
        <v>75</v>
      </c>
    </row>
    <row r="40" spans="1:5" ht="15" thickBot="1" x14ac:dyDescent="0.35">
      <c r="A40" s="4" t="s">
        <v>81</v>
      </c>
      <c r="B40" s="59">
        <f>C37*B39</f>
        <v>19228</v>
      </c>
      <c r="C40" s="43"/>
    </row>
    <row r="41" spans="1:5" ht="15" thickBot="1" x14ac:dyDescent="0.35">
      <c r="A41" s="4" t="s">
        <v>82</v>
      </c>
      <c r="B41" s="59">
        <f>C36*B39</f>
        <v>23628</v>
      </c>
      <c r="C41" s="43"/>
    </row>
  </sheetData>
  <mergeCells count="1">
    <mergeCell ref="F19:G19"/>
  </mergeCells>
  <conditionalFormatting sqref="B13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18D5-A9CF-4360-AD37-DB9E614FA2FE}">
  <dimension ref="A1:L35"/>
  <sheetViews>
    <sheetView topLeftCell="A21" zoomScale="105" workbookViewId="0">
      <selection activeCell="B27" sqref="B27"/>
    </sheetView>
  </sheetViews>
  <sheetFormatPr defaultRowHeight="14.4" x14ac:dyDescent="0.3"/>
  <cols>
    <col min="1" max="1" width="29.33203125" customWidth="1"/>
    <col min="2" max="2" width="12.33203125" bestFit="1" customWidth="1"/>
    <col min="3" max="3" width="9.6640625" bestFit="1" customWidth="1"/>
    <col min="4" max="5" width="9.6640625" customWidth="1"/>
    <col min="6" max="6" width="38" bestFit="1" customWidth="1"/>
    <col min="7" max="7" width="10.33203125" bestFit="1" customWidth="1"/>
    <col min="9" max="9" width="10.109375" bestFit="1" customWidth="1"/>
    <col min="10" max="10" width="39.33203125" bestFit="1" customWidth="1"/>
    <col min="11" max="11" width="12.109375" bestFit="1" customWidth="1"/>
    <col min="12" max="12" width="11.33203125" bestFit="1" customWidth="1"/>
  </cols>
  <sheetData>
    <row r="1" spans="1:12" x14ac:dyDescent="0.3">
      <c r="A1" s="26" t="s">
        <v>58</v>
      </c>
      <c r="B1" t="s">
        <v>60</v>
      </c>
    </row>
    <row r="2" spans="1:12" x14ac:dyDescent="0.3">
      <c r="A2">
        <v>2418</v>
      </c>
      <c r="B2" t="s">
        <v>22</v>
      </c>
    </row>
    <row r="3" spans="1:12" x14ac:dyDescent="0.3">
      <c r="A3" s="25">
        <v>479000</v>
      </c>
      <c r="B3" t="s">
        <v>59</v>
      </c>
      <c r="C3" s="9">
        <f>A3/A2</f>
        <v>198.09760132340779</v>
      </c>
    </row>
    <row r="5" spans="1:12" x14ac:dyDescent="0.3">
      <c r="A5" t="s">
        <v>0</v>
      </c>
      <c r="B5" s="9">
        <v>400000</v>
      </c>
      <c r="C5" s="10">
        <f>B5/A2</f>
        <v>165.42597187758477</v>
      </c>
      <c r="F5" t="s">
        <v>12</v>
      </c>
      <c r="G5" s="8">
        <v>7.0000000000000007E-2</v>
      </c>
      <c r="J5" t="s">
        <v>14</v>
      </c>
      <c r="K5">
        <v>4</v>
      </c>
      <c r="L5" s="10">
        <f>B5*(K5/100)</f>
        <v>16000</v>
      </c>
    </row>
    <row r="6" spans="1:12" ht="15" thickBot="1" x14ac:dyDescent="0.35">
      <c r="A6" t="s">
        <v>55</v>
      </c>
      <c r="B6" s="9">
        <f>B5*0.03</f>
        <v>12000</v>
      </c>
      <c r="F6" t="s">
        <v>38</v>
      </c>
      <c r="G6" s="9">
        <f>(B5*G5)/12</f>
        <v>2333.3333333333335</v>
      </c>
      <c r="J6" t="s">
        <v>15</v>
      </c>
      <c r="K6">
        <v>24</v>
      </c>
    </row>
    <row r="7" spans="1:12" ht="15" thickBot="1" x14ac:dyDescent="0.35">
      <c r="A7" s="6" t="s">
        <v>31</v>
      </c>
      <c r="B7" s="20">
        <f>B5*0.2</f>
        <v>80000</v>
      </c>
      <c r="G7" s="9"/>
      <c r="J7" t="s">
        <v>16</v>
      </c>
      <c r="K7" s="8">
        <v>0.12</v>
      </c>
    </row>
    <row r="8" spans="1:12" x14ac:dyDescent="0.3">
      <c r="B8" s="9"/>
      <c r="F8" t="s">
        <v>51</v>
      </c>
      <c r="G8" s="9">
        <f>G6+C29+C30+C31+C32</f>
        <v>3891.666666666667</v>
      </c>
      <c r="J8" t="s">
        <v>17</v>
      </c>
      <c r="K8" s="10">
        <f>(B5*K7)/12</f>
        <v>4000</v>
      </c>
    </row>
    <row r="9" spans="1:12" x14ac:dyDescent="0.3">
      <c r="A9" t="s">
        <v>10</v>
      </c>
      <c r="B9" s="12">
        <f>SUM(B5,B27)</f>
        <v>536000</v>
      </c>
      <c r="F9" t="s">
        <v>50</v>
      </c>
      <c r="G9" s="12">
        <f>SUM(C33:C35)</f>
        <v>513</v>
      </c>
    </row>
    <row r="10" spans="1:12" x14ac:dyDescent="0.3">
      <c r="A10" t="s">
        <v>13</v>
      </c>
      <c r="B10" s="12">
        <v>550000</v>
      </c>
      <c r="C10" s="10">
        <f>B10/A2</f>
        <v>227.46071133167908</v>
      </c>
      <c r="F10" t="s">
        <v>52</v>
      </c>
      <c r="G10" s="10">
        <f>G9+G8</f>
        <v>4404.666666666667</v>
      </c>
    </row>
    <row r="11" spans="1:12" x14ac:dyDescent="0.3">
      <c r="A11" t="s">
        <v>69</v>
      </c>
      <c r="B11" s="12">
        <f>B10*0.8</f>
        <v>440000</v>
      </c>
    </row>
    <row r="12" spans="1:12" x14ac:dyDescent="0.3">
      <c r="A12" t="s">
        <v>68</v>
      </c>
      <c r="B12" s="12">
        <f>B10*0.7</f>
        <v>385000</v>
      </c>
    </row>
    <row r="14" spans="1:12" x14ac:dyDescent="0.3">
      <c r="A14" t="s">
        <v>11</v>
      </c>
      <c r="B14" s="12">
        <f>B10-B9</f>
        <v>14000</v>
      </c>
    </row>
    <row r="15" spans="1:12" ht="15" thickBot="1" x14ac:dyDescent="0.35">
      <c r="J15" t="s">
        <v>56</v>
      </c>
      <c r="K15" s="10">
        <f>SUM(L5+B6+B7)</f>
        <v>108000</v>
      </c>
    </row>
    <row r="16" spans="1:12" ht="15" thickBot="1" x14ac:dyDescent="0.35">
      <c r="A16" s="4" t="s">
        <v>1</v>
      </c>
      <c r="B16" s="5"/>
      <c r="J16" t="s">
        <v>57</v>
      </c>
      <c r="K16" s="24">
        <f>B27</f>
        <v>136000</v>
      </c>
    </row>
    <row r="17" spans="1:9" x14ac:dyDescent="0.3">
      <c r="A17" s="3" t="s">
        <v>2</v>
      </c>
      <c r="B17" s="21">
        <v>25000</v>
      </c>
    </row>
    <row r="18" spans="1:9" ht="15" thickBot="1" x14ac:dyDescent="0.35">
      <c r="A18" s="1" t="s">
        <v>3</v>
      </c>
      <c r="B18" s="22">
        <v>25000</v>
      </c>
    </row>
    <row r="19" spans="1:9" ht="15" thickBot="1" x14ac:dyDescent="0.35">
      <c r="A19" s="1" t="s">
        <v>8</v>
      </c>
      <c r="B19" s="22">
        <v>20000</v>
      </c>
      <c r="F19" s="105" t="s">
        <v>63</v>
      </c>
      <c r="G19" s="106"/>
    </row>
    <row r="20" spans="1:9" x14ac:dyDescent="0.3">
      <c r="A20" s="1" t="s">
        <v>4</v>
      </c>
      <c r="B20" s="22">
        <v>20000</v>
      </c>
      <c r="F20" s="29" t="s">
        <v>64</v>
      </c>
      <c r="G20" s="30"/>
    </row>
    <row r="21" spans="1:9" x14ac:dyDescent="0.3">
      <c r="A21" s="1" t="s">
        <v>6</v>
      </c>
      <c r="B21" s="22">
        <v>15000</v>
      </c>
      <c r="F21" s="29" t="s">
        <v>66</v>
      </c>
      <c r="G21" s="30"/>
    </row>
    <row r="22" spans="1:9" x14ac:dyDescent="0.3">
      <c r="A22" s="1" t="s">
        <v>7</v>
      </c>
      <c r="B22" s="22">
        <v>10000</v>
      </c>
      <c r="F22" s="29" t="s">
        <v>65</v>
      </c>
      <c r="G22" s="30"/>
    </row>
    <row r="23" spans="1:9" ht="15" thickBot="1" x14ac:dyDescent="0.35">
      <c r="A23" s="1" t="s">
        <v>9</v>
      </c>
      <c r="B23" s="22">
        <v>5000</v>
      </c>
      <c r="F23" s="31" t="s">
        <v>67</v>
      </c>
      <c r="G23" s="32"/>
    </row>
    <row r="24" spans="1:9" x14ac:dyDescent="0.3">
      <c r="A24" s="1" t="s">
        <v>53</v>
      </c>
      <c r="B24" s="22">
        <v>7000</v>
      </c>
    </row>
    <row r="25" spans="1:9" x14ac:dyDescent="0.3">
      <c r="A25" s="7" t="s">
        <v>61</v>
      </c>
      <c r="B25" s="23">
        <v>4000</v>
      </c>
    </row>
    <row r="26" spans="1:9" ht="15" thickBot="1" x14ac:dyDescent="0.35">
      <c r="A26" s="7" t="s">
        <v>54</v>
      </c>
      <c r="B26" s="23">
        <v>5000</v>
      </c>
    </row>
    <row r="27" spans="1:9" ht="15" thickBot="1" x14ac:dyDescent="0.35">
      <c r="A27" s="19" t="s">
        <v>5</v>
      </c>
      <c r="B27" s="15">
        <f>SUM(B17:B26)</f>
        <v>136000</v>
      </c>
    </row>
    <row r="28" spans="1:9" x14ac:dyDescent="0.3">
      <c r="C28">
        <v>12</v>
      </c>
    </row>
    <row r="29" spans="1:9" x14ac:dyDescent="0.3">
      <c r="A29" t="s">
        <v>30</v>
      </c>
      <c r="B29" s="12">
        <f>B5*0.018</f>
        <v>7199.9999999999991</v>
      </c>
      <c r="C29" s="12">
        <f>B29/$C$28</f>
        <v>599.99999999999989</v>
      </c>
      <c r="D29" s="12"/>
      <c r="E29" t="s">
        <v>36</v>
      </c>
      <c r="F29">
        <v>16.399999999999999</v>
      </c>
      <c r="G29" s="10">
        <f>(B5/1000)*F29</f>
        <v>6559.9999999999991</v>
      </c>
    </row>
    <row r="30" spans="1:9" x14ac:dyDescent="0.3">
      <c r="A30" t="s">
        <v>29</v>
      </c>
      <c r="B30" s="12">
        <v>2400</v>
      </c>
      <c r="C30" s="12">
        <f>B30/$C$28</f>
        <v>200</v>
      </c>
      <c r="D30" s="12"/>
      <c r="G30" s="16">
        <f>G29/B5</f>
        <v>1.6399999999999998E-2</v>
      </c>
      <c r="H30" t="s">
        <v>37</v>
      </c>
    </row>
    <row r="31" spans="1:9" ht="28.8" x14ac:dyDescent="0.3">
      <c r="A31" s="13" t="s">
        <v>49</v>
      </c>
      <c r="B31" s="12">
        <v>8800</v>
      </c>
      <c r="C31" s="12">
        <f>B31/$C$28</f>
        <v>733.33333333333337</v>
      </c>
      <c r="D31" s="12"/>
      <c r="E31" s="12"/>
      <c r="I31" s="16"/>
    </row>
    <row r="32" spans="1:9" x14ac:dyDescent="0.3">
      <c r="A32" t="s">
        <v>32</v>
      </c>
      <c r="B32" s="12">
        <v>300</v>
      </c>
      <c r="C32" s="12">
        <f>B32/$C$28</f>
        <v>25</v>
      </c>
      <c r="D32" s="12"/>
      <c r="E32" s="12"/>
    </row>
    <row r="33" spans="1:5" x14ac:dyDescent="0.3">
      <c r="A33" t="s">
        <v>33</v>
      </c>
      <c r="C33" s="12">
        <v>200</v>
      </c>
      <c r="D33" s="12"/>
      <c r="E33" s="12"/>
    </row>
    <row r="34" spans="1:5" x14ac:dyDescent="0.3">
      <c r="A34" t="s">
        <v>34</v>
      </c>
      <c r="C34" s="12">
        <v>200</v>
      </c>
      <c r="D34" s="12"/>
      <c r="E34" s="12"/>
    </row>
    <row r="35" spans="1:5" x14ac:dyDescent="0.3">
      <c r="A35" t="s">
        <v>35</v>
      </c>
      <c r="C35" s="12">
        <v>113</v>
      </c>
      <c r="D35" s="12"/>
      <c r="E35" s="12"/>
    </row>
  </sheetData>
  <mergeCells count="1">
    <mergeCell ref="F19:G19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AC12-4215-421F-92AE-E9C0960A0D71}">
  <dimension ref="A1:L365"/>
  <sheetViews>
    <sheetView workbookViewId="0">
      <selection activeCell="D6" sqref="D6"/>
    </sheetView>
  </sheetViews>
  <sheetFormatPr defaultRowHeight="14.4" x14ac:dyDescent="0.3"/>
  <cols>
    <col min="1" max="1" width="15.6640625" bestFit="1" customWidth="1"/>
    <col min="2" max="2" width="12.6640625" bestFit="1" customWidth="1"/>
    <col min="3" max="3" width="14.33203125" bestFit="1" customWidth="1"/>
    <col min="4" max="4" width="16.44140625" customWidth="1"/>
    <col min="5" max="5" width="16.33203125" bestFit="1" customWidth="1"/>
    <col min="6" max="6" width="19.44140625" customWidth="1"/>
    <col min="7" max="7" width="15.5546875" bestFit="1" customWidth="1"/>
    <col min="8" max="8" width="15.5546875" customWidth="1"/>
    <col min="9" max="9" width="18.33203125" bestFit="1" customWidth="1"/>
    <col min="10" max="10" width="17.6640625" bestFit="1" customWidth="1"/>
    <col min="11" max="11" width="13.6640625" bestFit="1" customWidth="1"/>
    <col min="12" max="12" width="19.44140625" bestFit="1" customWidth="1"/>
  </cols>
  <sheetData>
    <row r="1" spans="1:12" x14ac:dyDescent="0.3">
      <c r="A1" t="s">
        <v>106</v>
      </c>
      <c r="B1" s="60">
        <v>7.0000000000000007E-2</v>
      </c>
      <c r="E1">
        <f>B1/12</f>
        <v>5.8333333333333336E-3</v>
      </c>
      <c r="F1" t="s">
        <v>87</v>
      </c>
    </row>
    <row r="2" spans="1:12" x14ac:dyDescent="0.3">
      <c r="A2" t="s">
        <v>84</v>
      </c>
      <c r="B2">
        <f>30*12</f>
        <v>360</v>
      </c>
      <c r="C2" t="s">
        <v>85</v>
      </c>
      <c r="E2">
        <f>(1+E1)^B2</f>
        <v>8.1164974753596617</v>
      </c>
      <c r="F2" t="s">
        <v>88</v>
      </c>
    </row>
    <row r="5" spans="1:12" x14ac:dyDescent="0.3">
      <c r="A5" t="s">
        <v>39</v>
      </c>
      <c r="B5" t="s">
        <v>40</v>
      </c>
      <c r="C5" t="s">
        <v>41</v>
      </c>
      <c r="D5" t="s">
        <v>86</v>
      </c>
      <c r="E5" t="s">
        <v>42</v>
      </c>
      <c r="F5" t="s">
        <v>47</v>
      </c>
      <c r="G5" t="s">
        <v>43</v>
      </c>
      <c r="H5" t="s">
        <v>48</v>
      </c>
      <c r="I5" t="s">
        <v>44</v>
      </c>
      <c r="J5" t="s">
        <v>45</v>
      </c>
      <c r="K5" t="s">
        <v>46</v>
      </c>
      <c r="L5" s="8" t="s">
        <v>89</v>
      </c>
    </row>
    <row r="6" spans="1:12" x14ac:dyDescent="0.3">
      <c r="A6">
        <v>1</v>
      </c>
      <c r="B6" s="17">
        <v>44866</v>
      </c>
      <c r="C6" s="10">
        <f>'McRae Road Condos'!B5-'McRae Road Condos'!B7</f>
        <v>1200000</v>
      </c>
      <c r="D6" s="61">
        <f>$C$6/((($E$2)-1)/($E$1*$E$2))</f>
        <v>7983.6299421501908</v>
      </c>
      <c r="E6" s="18">
        <f>D6-G6</f>
        <v>983.6299421501908</v>
      </c>
      <c r="F6" s="16">
        <f>(E6/C6)*12</f>
        <v>9.8362994215019078E-3</v>
      </c>
      <c r="G6" s="18">
        <f>C6*($B$1/12)</f>
        <v>7000</v>
      </c>
      <c r="H6" s="16">
        <f>(G6/C6)*12</f>
        <v>7.0000000000000007E-2</v>
      </c>
      <c r="I6" s="18">
        <f>E6</f>
        <v>983.6299421501908</v>
      </c>
      <c r="J6" s="18">
        <f>G6</f>
        <v>7000</v>
      </c>
      <c r="K6" s="18">
        <f>C6-E6</f>
        <v>1199016.3700578499</v>
      </c>
      <c r="L6" s="18">
        <f>I6+J6</f>
        <v>7983.6299421501908</v>
      </c>
    </row>
    <row r="7" spans="1:12" x14ac:dyDescent="0.3">
      <c r="A7">
        <v>2</v>
      </c>
      <c r="B7" s="17">
        <v>44896</v>
      </c>
      <c r="C7" s="18">
        <f>K6</f>
        <v>1199016.3700578499</v>
      </c>
      <c r="D7" s="18">
        <f t="shared" ref="D7:D70" si="0">$C$6/((($E$2)-1)/($E$1*$E$2))</f>
        <v>7983.6299421501908</v>
      </c>
      <c r="E7" s="18">
        <f t="shared" ref="E7:E70" si="1">D7-G7</f>
        <v>989.36778347939889</v>
      </c>
      <c r="F7" s="16">
        <f t="shared" ref="F7:F70" si="2">(E7/C7)*12</f>
        <v>9.9017942525505033E-3</v>
      </c>
      <c r="G7" s="18">
        <f t="shared" ref="G7:G70" si="3">C7*($B$1/12)</f>
        <v>6994.2621586707919</v>
      </c>
      <c r="H7" s="16">
        <f t="shared" ref="H7:H70" si="4">(G7/C7)*12</f>
        <v>7.0000000000000007E-2</v>
      </c>
      <c r="I7" s="18">
        <f>I6+E7</f>
        <v>1972.9977256295897</v>
      </c>
      <c r="J7" s="18">
        <f>J6+G7</f>
        <v>13994.262158670792</v>
      </c>
      <c r="K7" s="18">
        <f t="shared" ref="K7:K70" si="5">C7-E7</f>
        <v>1198027.0022743705</v>
      </c>
      <c r="L7" s="18">
        <f t="shared" ref="L7:L70" si="6">I7+J7</f>
        <v>15967.259884300382</v>
      </c>
    </row>
    <row r="8" spans="1:12" x14ac:dyDescent="0.3">
      <c r="A8">
        <v>3</v>
      </c>
      <c r="B8" s="17">
        <v>44927</v>
      </c>
      <c r="C8" s="18">
        <f t="shared" ref="C8:C71" si="7">K7</f>
        <v>1198027.0022743705</v>
      </c>
      <c r="D8" s="18">
        <f t="shared" si="0"/>
        <v>7983.6299421501908</v>
      </c>
      <c r="E8" s="18">
        <f t="shared" si="1"/>
        <v>995.13909554969541</v>
      </c>
      <c r="F8" s="16">
        <f t="shared" si="2"/>
        <v>9.9677796276093286E-3</v>
      </c>
      <c r="G8" s="18">
        <f t="shared" si="3"/>
        <v>6988.4908466004954</v>
      </c>
      <c r="H8" s="16">
        <f t="shared" si="4"/>
        <v>7.0000000000000007E-2</v>
      </c>
      <c r="I8" s="18">
        <f t="shared" ref="I8:I71" si="8">I7+E8</f>
        <v>2968.1368211792851</v>
      </c>
      <c r="J8" s="18">
        <f t="shared" ref="J8:J71" si="9">J7+G8</f>
        <v>20982.753005271286</v>
      </c>
      <c r="K8" s="18">
        <f t="shared" si="5"/>
        <v>1197031.8631788208</v>
      </c>
      <c r="L8" s="18">
        <f t="shared" si="6"/>
        <v>23950.88982645057</v>
      </c>
    </row>
    <row r="9" spans="1:12" x14ac:dyDescent="0.3">
      <c r="A9">
        <v>4</v>
      </c>
      <c r="B9" s="17">
        <v>44958</v>
      </c>
      <c r="C9" s="18">
        <f t="shared" si="7"/>
        <v>1197031.8631788208</v>
      </c>
      <c r="D9" s="18">
        <f t="shared" si="0"/>
        <v>7983.6299421501908</v>
      </c>
      <c r="E9" s="18">
        <f t="shared" si="1"/>
        <v>1000.9440736070692</v>
      </c>
      <c r="F9" s="16">
        <f t="shared" si="2"/>
        <v>1.0034259949762503E-2</v>
      </c>
      <c r="G9" s="18">
        <f t="shared" si="3"/>
        <v>6982.6858685431216</v>
      </c>
      <c r="H9" s="16">
        <f t="shared" si="4"/>
        <v>7.0000000000000007E-2</v>
      </c>
      <c r="I9" s="18">
        <f t="shared" si="8"/>
        <v>3969.0808947863543</v>
      </c>
      <c r="J9" s="18">
        <f t="shared" si="9"/>
        <v>27965.438873814408</v>
      </c>
      <c r="K9" s="18">
        <f t="shared" si="5"/>
        <v>1196030.9191052138</v>
      </c>
      <c r="L9" s="18">
        <f t="shared" si="6"/>
        <v>31934.519768600763</v>
      </c>
    </row>
    <row r="10" spans="1:12" x14ac:dyDescent="0.3">
      <c r="A10">
        <v>5</v>
      </c>
      <c r="B10" s="17">
        <v>44986</v>
      </c>
      <c r="C10" s="18">
        <f t="shared" si="7"/>
        <v>1196030.9191052138</v>
      </c>
      <c r="D10" s="18">
        <f t="shared" si="0"/>
        <v>7983.6299421501908</v>
      </c>
      <c r="E10" s="18">
        <f t="shared" si="1"/>
        <v>1006.7829140364429</v>
      </c>
      <c r="F10" s="16">
        <f t="shared" si="2"/>
        <v>1.010123967152602E-2</v>
      </c>
      <c r="G10" s="18">
        <f t="shared" si="3"/>
        <v>6976.8470281137479</v>
      </c>
      <c r="H10" s="16">
        <f t="shared" si="4"/>
        <v>7.0000000000000007E-2</v>
      </c>
      <c r="I10" s="18">
        <f t="shared" si="8"/>
        <v>4975.8638088227972</v>
      </c>
      <c r="J10" s="18">
        <f t="shared" si="9"/>
        <v>34942.285901928153</v>
      </c>
      <c r="K10" s="18">
        <f t="shared" si="5"/>
        <v>1195024.1361911774</v>
      </c>
      <c r="L10" s="18">
        <f t="shared" si="6"/>
        <v>39918.149710750949</v>
      </c>
    </row>
    <row r="11" spans="1:12" x14ac:dyDescent="0.3">
      <c r="A11">
        <v>6</v>
      </c>
      <c r="B11" s="17">
        <v>45017</v>
      </c>
      <c r="C11" s="18">
        <f t="shared" si="7"/>
        <v>1195024.1361911774</v>
      </c>
      <c r="D11" s="18">
        <f t="shared" si="0"/>
        <v>7983.6299421501908</v>
      </c>
      <c r="E11" s="18">
        <f t="shared" si="1"/>
        <v>1012.6558143683224</v>
      </c>
      <c r="F11" s="16">
        <f t="shared" si="2"/>
        <v>1.0168723295540064E-2</v>
      </c>
      <c r="G11" s="18">
        <f t="shared" si="3"/>
        <v>6970.9741277818684</v>
      </c>
      <c r="H11" s="16">
        <f t="shared" si="4"/>
        <v>7.0000000000000007E-2</v>
      </c>
      <c r="I11" s="18">
        <f t="shared" si="8"/>
        <v>5988.5196231911195</v>
      </c>
      <c r="J11" s="18">
        <f t="shared" si="9"/>
        <v>41913.260029710022</v>
      </c>
      <c r="K11" s="18">
        <f t="shared" si="5"/>
        <v>1194011.4803768091</v>
      </c>
      <c r="L11" s="18">
        <f t="shared" si="6"/>
        <v>47901.779652901139</v>
      </c>
    </row>
    <row r="12" spans="1:12" x14ac:dyDescent="0.3">
      <c r="A12">
        <v>7</v>
      </c>
      <c r="B12" s="17">
        <v>45047</v>
      </c>
      <c r="C12" s="18">
        <f t="shared" si="7"/>
        <v>1194011.4803768091</v>
      </c>
      <c r="D12" s="18">
        <f t="shared" si="0"/>
        <v>7983.6299421501908</v>
      </c>
      <c r="E12" s="18">
        <f t="shared" si="1"/>
        <v>1018.5629732854704</v>
      </c>
      <c r="F12" s="16">
        <f t="shared" si="2"/>
        <v>1.0236715375272905E-2</v>
      </c>
      <c r="G12" s="18">
        <f t="shared" si="3"/>
        <v>6965.0669688647204</v>
      </c>
      <c r="H12" s="16">
        <f t="shared" si="4"/>
        <v>7.0000000000000007E-2</v>
      </c>
      <c r="I12" s="18">
        <f t="shared" si="8"/>
        <v>7007.08259647659</v>
      </c>
      <c r="J12" s="18">
        <f t="shared" si="9"/>
        <v>48878.326998574739</v>
      </c>
      <c r="K12" s="18">
        <f t="shared" si="5"/>
        <v>1192992.9174035236</v>
      </c>
      <c r="L12" s="18">
        <f t="shared" si="6"/>
        <v>55885.409595051329</v>
      </c>
    </row>
    <row r="13" spans="1:12" x14ac:dyDescent="0.3">
      <c r="A13">
        <v>8</v>
      </c>
      <c r="B13" s="17">
        <v>45078</v>
      </c>
      <c r="C13" s="18">
        <f t="shared" si="7"/>
        <v>1192992.9174035236</v>
      </c>
      <c r="D13" s="18">
        <f t="shared" si="0"/>
        <v>7983.6299421501908</v>
      </c>
      <c r="E13" s="18">
        <f t="shared" si="1"/>
        <v>1024.5045906296364</v>
      </c>
      <c r="F13" s="16">
        <f t="shared" si="2"/>
        <v>1.0305220515736924E-2</v>
      </c>
      <c r="G13" s="18">
        <f t="shared" si="3"/>
        <v>6959.1253515205544</v>
      </c>
      <c r="H13" s="16">
        <f t="shared" si="4"/>
        <v>7.0000000000000007E-2</v>
      </c>
      <c r="I13" s="18">
        <f t="shared" si="8"/>
        <v>8031.5871871062263</v>
      </c>
      <c r="J13" s="18">
        <f t="shared" si="9"/>
        <v>55837.452350095293</v>
      </c>
      <c r="K13" s="18">
        <f t="shared" si="5"/>
        <v>1191968.412812894</v>
      </c>
      <c r="L13" s="18">
        <f t="shared" si="6"/>
        <v>63869.039537201519</v>
      </c>
    </row>
    <row r="14" spans="1:12" x14ac:dyDescent="0.3">
      <c r="A14">
        <v>9</v>
      </c>
      <c r="B14" s="17">
        <v>45108</v>
      </c>
      <c r="C14" s="18">
        <f t="shared" si="7"/>
        <v>1191968.412812894</v>
      </c>
      <c r="D14" s="18">
        <f t="shared" si="0"/>
        <v>7983.6299421501908</v>
      </c>
      <c r="E14" s="18">
        <f t="shared" si="1"/>
        <v>1030.4808674083088</v>
      </c>
      <c r="F14" s="16">
        <f t="shared" si="2"/>
        <v>1.0374243374216652E-2</v>
      </c>
      <c r="G14" s="18">
        <f t="shared" si="3"/>
        <v>6953.149074741882</v>
      </c>
      <c r="H14" s="16">
        <f t="shared" si="4"/>
        <v>7.0000000000000007E-2</v>
      </c>
      <c r="I14" s="18">
        <f t="shared" si="8"/>
        <v>9062.0680545145351</v>
      </c>
      <c r="J14" s="18">
        <f t="shared" si="9"/>
        <v>62790.601424837172</v>
      </c>
      <c r="K14" s="18">
        <f t="shared" si="5"/>
        <v>1190937.9319454858</v>
      </c>
      <c r="L14" s="18">
        <f t="shared" si="6"/>
        <v>71852.669479351709</v>
      </c>
    </row>
    <row r="15" spans="1:12" x14ac:dyDescent="0.3">
      <c r="A15">
        <v>10</v>
      </c>
      <c r="B15" s="17">
        <v>45139</v>
      </c>
      <c r="C15" s="18">
        <f t="shared" si="7"/>
        <v>1190937.9319454858</v>
      </c>
      <c r="D15" s="18">
        <f t="shared" si="0"/>
        <v>7983.6299421501908</v>
      </c>
      <c r="E15" s="18">
        <f t="shared" si="1"/>
        <v>1036.4920058015232</v>
      </c>
      <c r="F15" s="16">
        <f t="shared" si="2"/>
        <v>1.0443788661009425E-2</v>
      </c>
      <c r="G15" s="18">
        <f t="shared" si="3"/>
        <v>6947.1379363486676</v>
      </c>
      <c r="H15" s="16">
        <f t="shared" si="4"/>
        <v>7.0000000000000007E-2</v>
      </c>
      <c r="I15" s="18">
        <f t="shared" si="8"/>
        <v>10098.560060316058</v>
      </c>
      <c r="J15" s="18">
        <f t="shared" si="9"/>
        <v>69737.739361185842</v>
      </c>
      <c r="K15" s="18">
        <f t="shared" si="5"/>
        <v>1189901.4399396842</v>
      </c>
      <c r="L15" s="18">
        <f t="shared" si="6"/>
        <v>79836.299421501899</v>
      </c>
    </row>
    <row r="16" spans="1:12" x14ac:dyDescent="0.3">
      <c r="A16">
        <v>11</v>
      </c>
      <c r="B16" s="17">
        <v>45170</v>
      </c>
      <c r="C16" s="18">
        <f t="shared" si="7"/>
        <v>1189901.4399396842</v>
      </c>
      <c r="D16" s="18">
        <f t="shared" si="0"/>
        <v>7983.6299421501908</v>
      </c>
      <c r="E16" s="18">
        <f t="shared" si="1"/>
        <v>1042.5382091686988</v>
      </c>
      <c r="F16" s="16">
        <f t="shared" si="2"/>
        <v>1.0513861140178583E-2</v>
      </c>
      <c r="G16" s="18">
        <f t="shared" si="3"/>
        <v>6941.091732981492</v>
      </c>
      <c r="H16" s="16">
        <f t="shared" si="4"/>
        <v>7.0000000000000007E-2</v>
      </c>
      <c r="I16" s="18">
        <f t="shared" si="8"/>
        <v>11141.098269484757</v>
      </c>
      <c r="J16" s="18">
        <f t="shared" si="9"/>
        <v>76678.831094167341</v>
      </c>
      <c r="K16" s="18">
        <f t="shared" si="5"/>
        <v>1188858.9017305155</v>
      </c>
      <c r="L16" s="18">
        <f t="shared" si="6"/>
        <v>87819.929363652103</v>
      </c>
    </row>
    <row r="17" spans="1:12" x14ac:dyDescent="0.3">
      <c r="A17">
        <v>12</v>
      </c>
      <c r="B17" s="17">
        <v>45200</v>
      </c>
      <c r="C17" s="18">
        <f t="shared" si="7"/>
        <v>1188858.9017305155</v>
      </c>
      <c r="D17" s="18">
        <f t="shared" si="0"/>
        <v>7983.6299421501908</v>
      </c>
      <c r="E17" s="18">
        <f t="shared" si="1"/>
        <v>1048.6196820555169</v>
      </c>
      <c r="F17" s="16">
        <f t="shared" si="2"/>
        <v>1.0584465630319647E-2</v>
      </c>
      <c r="G17" s="18">
        <f t="shared" si="3"/>
        <v>6935.0102600946739</v>
      </c>
      <c r="H17" s="16">
        <f t="shared" si="4"/>
        <v>7.0000000000000007E-2</v>
      </c>
      <c r="I17" s="18">
        <f t="shared" si="8"/>
        <v>12189.717951540275</v>
      </c>
      <c r="J17" s="18">
        <f t="shared" si="9"/>
        <v>83613.841354262011</v>
      </c>
      <c r="K17" s="18">
        <f t="shared" si="5"/>
        <v>1187810.2820484601</v>
      </c>
      <c r="L17" s="18">
        <f t="shared" si="6"/>
        <v>95803.559305802279</v>
      </c>
    </row>
    <row r="18" spans="1:12" x14ac:dyDescent="0.3">
      <c r="A18">
        <v>13</v>
      </c>
      <c r="B18" s="17">
        <v>45231</v>
      </c>
      <c r="C18" s="18">
        <f t="shared" si="7"/>
        <v>1187810.2820484601</v>
      </c>
      <c r="D18" s="18">
        <f t="shared" si="0"/>
        <v>7983.6299421501908</v>
      </c>
      <c r="E18" s="18">
        <f t="shared" si="1"/>
        <v>1054.7366302008395</v>
      </c>
      <c r="F18" s="16">
        <f t="shared" si="2"/>
        <v>1.0655607005339681E-2</v>
      </c>
      <c r="G18" s="18">
        <f t="shared" si="3"/>
        <v>6928.8933119493513</v>
      </c>
      <c r="H18" s="16">
        <f t="shared" si="4"/>
        <v>7.0000000000000007E-2</v>
      </c>
      <c r="I18" s="18">
        <f t="shared" si="8"/>
        <v>13244.454581741114</v>
      </c>
      <c r="J18" s="18">
        <f t="shared" si="9"/>
        <v>90542.734666211356</v>
      </c>
      <c r="K18" s="18">
        <f t="shared" si="5"/>
        <v>1186755.5454182592</v>
      </c>
      <c r="L18" s="18">
        <f t="shared" si="6"/>
        <v>103787.18924795247</v>
      </c>
    </row>
    <row r="19" spans="1:12" x14ac:dyDescent="0.3">
      <c r="A19">
        <v>14</v>
      </c>
      <c r="B19" s="17">
        <v>45261</v>
      </c>
      <c r="C19" s="18">
        <f t="shared" si="7"/>
        <v>1186755.5454182592</v>
      </c>
      <c r="D19" s="18">
        <f t="shared" si="0"/>
        <v>7983.6299421501908</v>
      </c>
      <c r="E19" s="18">
        <f t="shared" si="1"/>
        <v>1060.8892605436786</v>
      </c>
      <c r="F19" s="16">
        <f t="shared" si="2"/>
        <v>1.072729019525024E-2</v>
      </c>
      <c r="G19" s="18">
        <f t="shared" si="3"/>
        <v>6922.7406816065122</v>
      </c>
      <c r="H19" s="16">
        <f t="shared" si="4"/>
        <v>7.0000000000000007E-2</v>
      </c>
      <c r="I19" s="18">
        <f t="shared" si="8"/>
        <v>14305.343842284794</v>
      </c>
      <c r="J19" s="18">
        <f t="shared" si="9"/>
        <v>97465.475347817875</v>
      </c>
      <c r="K19" s="18">
        <f t="shared" si="5"/>
        <v>1185694.6561577155</v>
      </c>
      <c r="L19" s="18">
        <f t="shared" si="6"/>
        <v>111770.81919010267</v>
      </c>
    </row>
    <row r="20" spans="1:12" x14ac:dyDescent="0.3">
      <c r="A20">
        <v>15</v>
      </c>
      <c r="B20" s="17">
        <v>45292</v>
      </c>
      <c r="C20" s="18">
        <f t="shared" si="7"/>
        <v>1185694.6561577155</v>
      </c>
      <c r="D20" s="18">
        <f t="shared" si="0"/>
        <v>7983.6299421501908</v>
      </c>
      <c r="E20" s="18">
        <f t="shared" si="1"/>
        <v>1067.077781230184</v>
      </c>
      <c r="F20" s="16">
        <f t="shared" si="2"/>
        <v>1.0799520186973801E-2</v>
      </c>
      <c r="G20" s="18">
        <f t="shared" si="3"/>
        <v>6916.5521609200068</v>
      </c>
      <c r="H20" s="16">
        <f t="shared" si="4"/>
        <v>7.0000000000000007E-2</v>
      </c>
      <c r="I20" s="18">
        <f t="shared" si="8"/>
        <v>15372.421623514978</v>
      </c>
      <c r="J20" s="18">
        <f t="shared" si="9"/>
        <v>104382.02750873788</v>
      </c>
      <c r="K20" s="18">
        <f t="shared" si="5"/>
        <v>1184627.5783764853</v>
      </c>
      <c r="L20" s="18">
        <f t="shared" si="6"/>
        <v>119754.44913225286</v>
      </c>
    </row>
    <row r="21" spans="1:12" x14ac:dyDescent="0.3">
      <c r="A21">
        <v>16</v>
      </c>
      <c r="B21" s="17">
        <v>45323</v>
      </c>
      <c r="C21" s="18">
        <f t="shared" si="7"/>
        <v>1184627.5783764853</v>
      </c>
      <c r="D21" s="18">
        <f t="shared" si="0"/>
        <v>7983.6299421501908</v>
      </c>
      <c r="E21" s="18">
        <f t="shared" si="1"/>
        <v>1073.3024016206928</v>
      </c>
      <c r="F21" s="16">
        <f t="shared" si="2"/>
        <v>1.0872302025164444E-2</v>
      </c>
      <c r="G21" s="18">
        <f t="shared" si="3"/>
        <v>6910.327540529498</v>
      </c>
      <c r="H21" s="16">
        <f t="shared" si="4"/>
        <v>7.0000000000000007E-2</v>
      </c>
      <c r="I21" s="18">
        <f t="shared" si="8"/>
        <v>16445.724025135671</v>
      </c>
      <c r="J21" s="18">
        <f t="shared" si="9"/>
        <v>111292.35504926738</v>
      </c>
      <c r="K21" s="18">
        <f t="shared" si="5"/>
        <v>1183554.2759748646</v>
      </c>
      <c r="L21" s="18">
        <f t="shared" si="6"/>
        <v>127738.07907440305</v>
      </c>
    </row>
    <row r="22" spans="1:12" x14ac:dyDescent="0.3">
      <c r="A22">
        <v>17</v>
      </c>
      <c r="B22" s="17">
        <v>45352</v>
      </c>
      <c r="C22" s="18">
        <f t="shared" si="7"/>
        <v>1183554.2759748646</v>
      </c>
      <c r="D22" s="18">
        <f t="shared" si="0"/>
        <v>7983.6299421501908</v>
      </c>
      <c r="E22" s="18">
        <f t="shared" si="1"/>
        <v>1079.5633322968133</v>
      </c>
      <c r="F22" s="16">
        <f t="shared" si="2"/>
        <v>1.0945640813042766E-2</v>
      </c>
      <c r="G22" s="18">
        <f t="shared" si="3"/>
        <v>6904.0666098533775</v>
      </c>
      <c r="H22" s="16">
        <f t="shared" si="4"/>
        <v>7.0000000000000007E-2</v>
      </c>
      <c r="I22" s="18">
        <f t="shared" si="8"/>
        <v>17525.287357432484</v>
      </c>
      <c r="J22" s="18">
        <f t="shared" si="9"/>
        <v>118196.42165912077</v>
      </c>
      <c r="K22" s="18">
        <f t="shared" si="5"/>
        <v>1182474.7126425677</v>
      </c>
      <c r="L22" s="18">
        <f t="shared" si="6"/>
        <v>135721.70901655324</v>
      </c>
    </row>
    <row r="23" spans="1:12" x14ac:dyDescent="0.3">
      <c r="A23">
        <v>18</v>
      </c>
      <c r="B23" s="17">
        <v>45383</v>
      </c>
      <c r="C23" s="18">
        <f t="shared" si="7"/>
        <v>1182474.7126425677</v>
      </c>
      <c r="D23" s="18">
        <f t="shared" si="0"/>
        <v>7983.6299421501908</v>
      </c>
      <c r="E23" s="18">
        <f t="shared" si="1"/>
        <v>1085.8607850685457</v>
      </c>
      <c r="F23" s="16">
        <f t="shared" si="2"/>
        <v>1.1019541713245321E-2</v>
      </c>
      <c r="G23" s="18">
        <f t="shared" si="3"/>
        <v>6897.7691570816451</v>
      </c>
      <c r="H23" s="16">
        <f t="shared" si="4"/>
        <v>7.0000000000000007E-2</v>
      </c>
      <c r="I23" s="18">
        <f t="shared" si="8"/>
        <v>18611.148142501028</v>
      </c>
      <c r="J23" s="18">
        <f t="shared" si="9"/>
        <v>125094.1908162024</v>
      </c>
      <c r="K23" s="18">
        <f t="shared" si="5"/>
        <v>1181388.8518574992</v>
      </c>
      <c r="L23" s="18">
        <f t="shared" si="6"/>
        <v>143705.33895870345</v>
      </c>
    </row>
    <row r="24" spans="1:12" x14ac:dyDescent="0.3">
      <c r="A24">
        <v>19</v>
      </c>
      <c r="B24" s="17">
        <v>45413</v>
      </c>
      <c r="C24" s="18">
        <f t="shared" si="7"/>
        <v>1181388.8518574992</v>
      </c>
      <c r="D24" s="18">
        <f t="shared" si="0"/>
        <v>7983.6299421501908</v>
      </c>
      <c r="E24" s="18">
        <f t="shared" si="1"/>
        <v>1092.1949729814451</v>
      </c>
      <c r="F24" s="16">
        <f t="shared" si="2"/>
        <v>1.1094009948688973E-2</v>
      </c>
      <c r="G24" s="18">
        <f t="shared" si="3"/>
        <v>6891.4349691687457</v>
      </c>
      <c r="H24" s="16">
        <f t="shared" si="4"/>
        <v>7.0000000000000007E-2</v>
      </c>
      <c r="I24" s="18">
        <f t="shared" si="8"/>
        <v>19703.343115482472</v>
      </c>
      <c r="J24" s="18">
        <f t="shared" si="9"/>
        <v>131985.62578537114</v>
      </c>
      <c r="K24" s="18">
        <f t="shared" si="5"/>
        <v>1180296.6568845178</v>
      </c>
      <c r="L24" s="18">
        <f t="shared" si="6"/>
        <v>151688.96890085362</v>
      </c>
    </row>
    <row r="25" spans="1:12" x14ac:dyDescent="0.3">
      <c r="A25">
        <v>20</v>
      </c>
      <c r="B25" s="17">
        <v>45444</v>
      </c>
      <c r="C25" s="18">
        <f t="shared" si="7"/>
        <v>1180296.6568845178</v>
      </c>
      <c r="D25" s="18">
        <f t="shared" si="0"/>
        <v>7983.6299421501908</v>
      </c>
      <c r="E25" s="18">
        <f t="shared" si="1"/>
        <v>1098.5661103238372</v>
      </c>
      <c r="F25" s="16">
        <f t="shared" si="2"/>
        <v>1.116905080345057E-2</v>
      </c>
      <c r="G25" s="18">
        <f t="shared" si="3"/>
        <v>6885.0638318263536</v>
      </c>
      <c r="H25" s="16">
        <f t="shared" si="4"/>
        <v>7.0000000000000007E-2</v>
      </c>
      <c r="I25" s="18">
        <f t="shared" si="8"/>
        <v>20801.90922580631</v>
      </c>
      <c r="J25" s="18">
        <f t="shared" si="9"/>
        <v>138870.68961719749</v>
      </c>
      <c r="K25" s="18">
        <f t="shared" si="5"/>
        <v>1179198.0907741939</v>
      </c>
      <c r="L25" s="18">
        <f t="shared" si="6"/>
        <v>159672.5988430038</v>
      </c>
    </row>
    <row r="26" spans="1:12" x14ac:dyDescent="0.3">
      <c r="A26">
        <v>21</v>
      </c>
      <c r="B26" s="17">
        <v>45474</v>
      </c>
      <c r="C26" s="18">
        <f t="shared" si="7"/>
        <v>1179198.0907741939</v>
      </c>
      <c r="D26" s="18">
        <f t="shared" si="0"/>
        <v>7983.6299421501908</v>
      </c>
      <c r="E26" s="18">
        <f t="shared" si="1"/>
        <v>1104.9744126340593</v>
      </c>
      <c r="F26" s="16">
        <f t="shared" si="2"/>
        <v>1.1244669623661923E-2</v>
      </c>
      <c r="G26" s="18">
        <f t="shared" si="3"/>
        <v>6878.6555295161315</v>
      </c>
      <c r="H26" s="16">
        <f t="shared" si="4"/>
        <v>7.0000000000000007E-2</v>
      </c>
      <c r="I26" s="18">
        <f t="shared" si="8"/>
        <v>21906.883638440369</v>
      </c>
      <c r="J26" s="18">
        <f t="shared" si="9"/>
        <v>145749.34514671363</v>
      </c>
      <c r="K26" s="18">
        <f t="shared" si="5"/>
        <v>1178093.1163615598</v>
      </c>
      <c r="L26" s="18">
        <f t="shared" si="6"/>
        <v>167656.228785154</v>
      </c>
    </row>
    <row r="27" spans="1:12" x14ac:dyDescent="0.3">
      <c r="A27">
        <v>22</v>
      </c>
      <c r="B27" s="17">
        <v>45505</v>
      </c>
      <c r="C27" s="18">
        <f t="shared" si="7"/>
        <v>1178093.1163615598</v>
      </c>
      <c r="D27" s="18">
        <f t="shared" si="0"/>
        <v>7983.6299421501908</v>
      </c>
      <c r="E27" s="18">
        <f t="shared" si="1"/>
        <v>1111.4200967077577</v>
      </c>
      <c r="F27" s="16">
        <f t="shared" si="2"/>
        <v>1.1320871818420777E-2</v>
      </c>
      <c r="G27" s="18">
        <f t="shared" si="3"/>
        <v>6872.2098454424331</v>
      </c>
      <c r="H27" s="16">
        <f t="shared" si="4"/>
        <v>7.0000000000000007E-2</v>
      </c>
      <c r="I27" s="18">
        <f t="shared" si="8"/>
        <v>23018.303735148125</v>
      </c>
      <c r="J27" s="18">
        <f t="shared" si="9"/>
        <v>152621.55499215607</v>
      </c>
      <c r="K27" s="18">
        <f t="shared" si="5"/>
        <v>1176981.6962648521</v>
      </c>
      <c r="L27" s="18">
        <f t="shared" si="6"/>
        <v>175639.85872730421</v>
      </c>
    </row>
    <row r="28" spans="1:12" x14ac:dyDescent="0.3">
      <c r="A28">
        <v>23</v>
      </c>
      <c r="B28" s="17">
        <v>45536</v>
      </c>
      <c r="C28" s="18">
        <f t="shared" si="7"/>
        <v>1176981.6962648521</v>
      </c>
      <c r="D28" s="18">
        <f t="shared" si="0"/>
        <v>7983.6299421501908</v>
      </c>
      <c r="E28" s="18">
        <f t="shared" si="1"/>
        <v>1117.9033806052203</v>
      </c>
      <c r="F28" s="16">
        <f t="shared" si="2"/>
        <v>1.1397662860717885E-2</v>
      </c>
      <c r="G28" s="18">
        <f t="shared" si="3"/>
        <v>6865.7265615449705</v>
      </c>
      <c r="H28" s="16">
        <f t="shared" si="4"/>
        <v>7.0000000000000007E-2</v>
      </c>
      <c r="I28" s="18">
        <f t="shared" si="8"/>
        <v>24136.207115753346</v>
      </c>
      <c r="J28" s="18">
        <f t="shared" si="9"/>
        <v>159487.28155370103</v>
      </c>
      <c r="K28" s="18">
        <f t="shared" si="5"/>
        <v>1175863.7928842469</v>
      </c>
      <c r="L28" s="18">
        <f t="shared" si="6"/>
        <v>183623.48866945438</v>
      </c>
    </row>
    <row r="29" spans="1:12" x14ac:dyDescent="0.3">
      <c r="A29">
        <v>24</v>
      </c>
      <c r="B29" s="17">
        <v>45566</v>
      </c>
      <c r="C29" s="18">
        <f t="shared" si="7"/>
        <v>1175863.7928842469</v>
      </c>
      <c r="D29" s="18">
        <f t="shared" si="0"/>
        <v>7983.6299421501908</v>
      </c>
      <c r="E29" s="18">
        <f t="shared" si="1"/>
        <v>1124.4244836587504</v>
      </c>
      <c r="F29" s="16">
        <f t="shared" si="2"/>
        <v>1.1475048288380522E-2</v>
      </c>
      <c r="G29" s="18">
        <f t="shared" si="3"/>
        <v>6859.2054584914404</v>
      </c>
      <c r="H29" s="16">
        <f t="shared" si="4"/>
        <v>7.0000000000000007E-2</v>
      </c>
      <c r="I29" s="18">
        <f t="shared" si="8"/>
        <v>25260.631599412096</v>
      </c>
      <c r="J29" s="18">
        <f t="shared" si="9"/>
        <v>166346.48701219246</v>
      </c>
      <c r="K29" s="18">
        <f t="shared" si="5"/>
        <v>1174739.3684005882</v>
      </c>
      <c r="L29" s="18">
        <f t="shared" si="6"/>
        <v>191607.11861160456</v>
      </c>
    </row>
    <row r="30" spans="1:12" x14ac:dyDescent="0.3">
      <c r="A30">
        <v>25</v>
      </c>
      <c r="B30" s="17">
        <v>45597</v>
      </c>
      <c r="C30" s="18">
        <f t="shared" si="7"/>
        <v>1174739.3684005882</v>
      </c>
      <c r="D30" s="18">
        <f t="shared" si="0"/>
        <v>7983.6299421501908</v>
      </c>
      <c r="E30" s="18">
        <f t="shared" si="1"/>
        <v>1130.9836264800924</v>
      </c>
      <c r="F30" s="16">
        <f t="shared" si="2"/>
        <v>1.1553033705032946E-2</v>
      </c>
      <c r="G30" s="18">
        <f t="shared" si="3"/>
        <v>6852.6463156700984</v>
      </c>
      <c r="H30" s="16">
        <f t="shared" si="4"/>
        <v>7.0000000000000007E-2</v>
      </c>
      <c r="I30" s="18">
        <f t="shared" si="8"/>
        <v>26391.615225892187</v>
      </c>
      <c r="J30" s="18">
        <f t="shared" si="9"/>
        <v>173199.13332786257</v>
      </c>
      <c r="K30" s="18">
        <f t="shared" si="5"/>
        <v>1173608.3847741082</v>
      </c>
      <c r="L30" s="18">
        <f t="shared" si="6"/>
        <v>199590.74855375476</v>
      </c>
    </row>
    <row r="31" spans="1:12" x14ac:dyDescent="0.3">
      <c r="A31">
        <v>26</v>
      </c>
      <c r="B31" s="17">
        <v>45627</v>
      </c>
      <c r="C31" s="18">
        <f t="shared" si="7"/>
        <v>1173608.3847741082</v>
      </c>
      <c r="D31" s="18">
        <f t="shared" si="0"/>
        <v>7983.6299421501908</v>
      </c>
      <c r="E31" s="18">
        <f t="shared" si="1"/>
        <v>1137.5810309678927</v>
      </c>
      <c r="F31" s="16">
        <f t="shared" si="2"/>
        <v>1.1631624781073971E-2</v>
      </c>
      <c r="G31" s="18">
        <f t="shared" si="3"/>
        <v>6846.0489111822981</v>
      </c>
      <c r="H31" s="16">
        <f t="shared" si="4"/>
        <v>7.0000000000000007E-2</v>
      </c>
      <c r="I31" s="18">
        <f t="shared" si="8"/>
        <v>27529.196256860079</v>
      </c>
      <c r="J31" s="18">
        <f t="shared" si="9"/>
        <v>180045.18223904487</v>
      </c>
      <c r="K31" s="18">
        <f t="shared" si="5"/>
        <v>1172470.8037431403</v>
      </c>
      <c r="L31" s="18">
        <f t="shared" si="6"/>
        <v>207574.37849590494</v>
      </c>
    </row>
    <row r="32" spans="1:12" x14ac:dyDescent="0.3">
      <c r="A32">
        <v>27</v>
      </c>
      <c r="B32" s="17">
        <v>45658</v>
      </c>
      <c r="C32" s="18">
        <f t="shared" si="7"/>
        <v>1172470.8037431403</v>
      </c>
      <c r="D32" s="18">
        <f t="shared" si="0"/>
        <v>7983.6299421501908</v>
      </c>
      <c r="E32" s="18">
        <f t="shared" si="1"/>
        <v>1144.2169203152052</v>
      </c>
      <c r="F32" s="16">
        <f t="shared" si="2"/>
        <v>1.1710827254672094E-2</v>
      </c>
      <c r="G32" s="18">
        <f t="shared" si="3"/>
        <v>6839.4130218349856</v>
      </c>
      <c r="H32" s="16">
        <f t="shared" si="4"/>
        <v>7.0000000000000007E-2</v>
      </c>
      <c r="I32" s="18">
        <f t="shared" si="8"/>
        <v>28673.413177175284</v>
      </c>
      <c r="J32" s="18">
        <f t="shared" si="9"/>
        <v>186884.59526087984</v>
      </c>
      <c r="K32" s="18">
        <f t="shared" si="5"/>
        <v>1171326.586822825</v>
      </c>
      <c r="L32" s="18">
        <f t="shared" si="6"/>
        <v>215558.00843805511</v>
      </c>
    </row>
    <row r="33" spans="1:12" x14ac:dyDescent="0.3">
      <c r="A33">
        <v>28</v>
      </c>
      <c r="B33" s="17">
        <v>45689</v>
      </c>
      <c r="C33" s="18">
        <f t="shared" si="7"/>
        <v>1171326.586822825</v>
      </c>
      <c r="D33" s="18">
        <f t="shared" si="0"/>
        <v>7983.6299421501908</v>
      </c>
      <c r="E33" s="18">
        <f t="shared" si="1"/>
        <v>1150.8915190170446</v>
      </c>
      <c r="F33" s="16">
        <f t="shared" si="2"/>
        <v>1.1790646932778572E-2</v>
      </c>
      <c r="G33" s="18">
        <f t="shared" si="3"/>
        <v>6832.7384231331462</v>
      </c>
      <c r="H33" s="16">
        <f t="shared" si="4"/>
        <v>7.0000000000000007E-2</v>
      </c>
      <c r="I33" s="18">
        <f t="shared" si="8"/>
        <v>29824.304696192328</v>
      </c>
      <c r="J33" s="18">
        <f t="shared" si="9"/>
        <v>193717.33368401299</v>
      </c>
      <c r="K33" s="18">
        <f t="shared" si="5"/>
        <v>1170175.695303808</v>
      </c>
      <c r="L33" s="18">
        <f t="shared" si="6"/>
        <v>223541.63838020532</v>
      </c>
    </row>
    <row r="34" spans="1:12" x14ac:dyDescent="0.3">
      <c r="A34">
        <v>29</v>
      </c>
      <c r="B34" s="17">
        <v>45717</v>
      </c>
      <c r="C34" s="18">
        <f t="shared" si="7"/>
        <v>1170175.695303808</v>
      </c>
      <c r="D34" s="18">
        <f t="shared" si="0"/>
        <v>7983.6299421501908</v>
      </c>
      <c r="E34" s="18">
        <f t="shared" si="1"/>
        <v>1157.605052877977</v>
      </c>
      <c r="F34" s="16">
        <f t="shared" si="2"/>
        <v>1.1871089692158743E-2</v>
      </c>
      <c r="G34" s="18">
        <f t="shared" si="3"/>
        <v>6826.0248892722138</v>
      </c>
      <c r="H34" s="16">
        <f t="shared" si="4"/>
        <v>7.0000000000000007E-2</v>
      </c>
      <c r="I34" s="18">
        <f t="shared" si="8"/>
        <v>30981.909749070306</v>
      </c>
      <c r="J34" s="18">
        <f t="shared" si="9"/>
        <v>200543.35857328519</v>
      </c>
      <c r="K34" s="18">
        <f t="shared" si="5"/>
        <v>1169018.0902509301</v>
      </c>
      <c r="L34" s="18">
        <f t="shared" si="6"/>
        <v>231525.26832235549</v>
      </c>
    </row>
    <row r="35" spans="1:12" x14ac:dyDescent="0.3">
      <c r="A35">
        <v>30</v>
      </c>
      <c r="B35" s="17">
        <v>45748</v>
      </c>
      <c r="C35" s="18">
        <f t="shared" si="7"/>
        <v>1169018.0902509301</v>
      </c>
      <c r="D35" s="18">
        <f t="shared" si="0"/>
        <v>7983.6299421501908</v>
      </c>
      <c r="E35" s="18">
        <f t="shared" si="1"/>
        <v>1164.3577490197649</v>
      </c>
      <c r="F35" s="16">
        <f t="shared" si="2"/>
        <v>1.1952161480442123E-2</v>
      </c>
      <c r="G35" s="18">
        <f t="shared" si="3"/>
        <v>6819.2721931304259</v>
      </c>
      <c r="H35" s="16">
        <f t="shared" si="4"/>
        <v>7.0000000000000007E-2</v>
      </c>
      <c r="I35" s="18">
        <f t="shared" si="8"/>
        <v>32146.26749809007</v>
      </c>
      <c r="J35" s="18">
        <f t="shared" si="9"/>
        <v>207362.63076641562</v>
      </c>
      <c r="K35" s="18">
        <f t="shared" si="5"/>
        <v>1167853.7325019103</v>
      </c>
      <c r="L35" s="18">
        <f t="shared" si="6"/>
        <v>239508.8982645057</v>
      </c>
    </row>
    <row r="36" spans="1:12" x14ac:dyDescent="0.3">
      <c r="A36">
        <v>31</v>
      </c>
      <c r="B36" s="17">
        <v>45778</v>
      </c>
      <c r="C36" s="18">
        <f t="shared" si="7"/>
        <v>1167853.7325019103</v>
      </c>
      <c r="D36" s="18">
        <f t="shared" si="0"/>
        <v>7983.6299421501908</v>
      </c>
      <c r="E36" s="18">
        <f t="shared" si="1"/>
        <v>1171.1498358890467</v>
      </c>
      <c r="F36" s="16">
        <f t="shared" si="2"/>
        <v>1.2033868317191488E-2</v>
      </c>
      <c r="G36" s="18">
        <f t="shared" si="3"/>
        <v>6812.4801062611441</v>
      </c>
      <c r="H36" s="16">
        <f t="shared" si="4"/>
        <v>7.0000000000000007E-2</v>
      </c>
      <c r="I36" s="18">
        <f t="shared" si="8"/>
        <v>33317.417333979116</v>
      </c>
      <c r="J36" s="18">
        <f t="shared" si="9"/>
        <v>214175.11087267677</v>
      </c>
      <c r="K36" s="18">
        <f t="shared" si="5"/>
        <v>1166682.5826660213</v>
      </c>
      <c r="L36" s="18">
        <f t="shared" si="6"/>
        <v>247492.52820665587</v>
      </c>
    </row>
    <row r="37" spans="1:12" x14ac:dyDescent="0.3">
      <c r="A37">
        <v>32</v>
      </c>
      <c r="B37" s="17">
        <v>45809</v>
      </c>
      <c r="C37" s="18">
        <f t="shared" si="7"/>
        <v>1166682.5826660213</v>
      </c>
      <c r="D37" s="18">
        <f t="shared" si="0"/>
        <v>7983.6299421501908</v>
      </c>
      <c r="E37" s="18">
        <f t="shared" si="1"/>
        <v>1177.9815432650666</v>
      </c>
      <c r="F37" s="16">
        <f t="shared" si="2"/>
        <v>1.2116216294991485E-2</v>
      </c>
      <c r="G37" s="18">
        <f t="shared" si="3"/>
        <v>6805.6483988851242</v>
      </c>
      <c r="H37" s="16">
        <f t="shared" si="4"/>
        <v>7.0000000000000007E-2</v>
      </c>
      <c r="I37" s="18">
        <f t="shared" si="8"/>
        <v>34495.398877244181</v>
      </c>
      <c r="J37" s="18">
        <f t="shared" si="9"/>
        <v>220980.7592715619</v>
      </c>
      <c r="K37" s="18">
        <f t="shared" si="5"/>
        <v>1165504.6011227563</v>
      </c>
      <c r="L37" s="18">
        <f t="shared" si="6"/>
        <v>255476.15814880608</v>
      </c>
    </row>
    <row r="38" spans="1:12" x14ac:dyDescent="0.3">
      <c r="A38">
        <v>33</v>
      </c>
      <c r="B38" s="17">
        <v>45839</v>
      </c>
      <c r="C38" s="18">
        <f t="shared" si="7"/>
        <v>1165504.6011227563</v>
      </c>
      <c r="D38" s="18">
        <f t="shared" si="0"/>
        <v>7983.6299421501908</v>
      </c>
      <c r="E38" s="18">
        <f t="shared" si="1"/>
        <v>1184.853102267446</v>
      </c>
      <c r="F38" s="16">
        <f t="shared" si="2"/>
        <v>1.2199211580557135E-2</v>
      </c>
      <c r="G38" s="18">
        <f t="shared" si="3"/>
        <v>6798.7768398827448</v>
      </c>
      <c r="H38" s="16">
        <f t="shared" si="4"/>
        <v>7.0000000000000007E-2</v>
      </c>
      <c r="I38" s="18">
        <f t="shared" si="8"/>
        <v>35680.251979511624</v>
      </c>
      <c r="J38" s="18">
        <f t="shared" si="9"/>
        <v>227779.53611144464</v>
      </c>
      <c r="K38" s="18">
        <f t="shared" si="5"/>
        <v>1164319.7480204888</v>
      </c>
      <c r="L38" s="18">
        <f t="shared" si="6"/>
        <v>263459.78809095628</v>
      </c>
    </row>
    <row r="39" spans="1:12" x14ac:dyDescent="0.3">
      <c r="A39">
        <v>34</v>
      </c>
      <c r="B39" s="17">
        <v>45870</v>
      </c>
      <c r="C39" s="18">
        <f t="shared" si="7"/>
        <v>1164319.7480204888</v>
      </c>
      <c r="D39" s="18">
        <f t="shared" si="0"/>
        <v>7983.6299421501908</v>
      </c>
      <c r="E39" s="18">
        <f t="shared" si="1"/>
        <v>1191.7647453640056</v>
      </c>
      <c r="F39" s="16">
        <f t="shared" si="2"/>
        <v>1.2282860415862677E-2</v>
      </c>
      <c r="G39" s="18">
        <f t="shared" si="3"/>
        <v>6791.8651967861852</v>
      </c>
      <c r="H39" s="16">
        <f t="shared" si="4"/>
        <v>7.0000000000000007E-2</v>
      </c>
      <c r="I39" s="18">
        <f t="shared" si="8"/>
        <v>36872.016724875633</v>
      </c>
      <c r="J39" s="18">
        <f t="shared" si="9"/>
        <v>234571.40130823082</v>
      </c>
      <c r="K39" s="18">
        <f t="shared" si="5"/>
        <v>1163127.9832751248</v>
      </c>
      <c r="L39" s="18">
        <f t="shared" si="6"/>
        <v>271443.41803310649</v>
      </c>
    </row>
    <row r="40" spans="1:12" x14ac:dyDescent="0.3">
      <c r="A40">
        <v>35</v>
      </c>
      <c r="B40" s="17">
        <v>45901</v>
      </c>
      <c r="C40" s="18">
        <f t="shared" si="7"/>
        <v>1163127.9832751248</v>
      </c>
      <c r="D40" s="18">
        <f t="shared" si="0"/>
        <v>7983.6299421501908</v>
      </c>
      <c r="E40" s="18">
        <f t="shared" si="1"/>
        <v>1198.7167063786292</v>
      </c>
      <c r="F40" s="16">
        <f t="shared" si="2"/>
        <v>1.2367169119291178E-2</v>
      </c>
      <c r="G40" s="18">
        <f t="shared" si="3"/>
        <v>6784.9132357715616</v>
      </c>
      <c r="H40" s="16">
        <f t="shared" si="4"/>
        <v>7.0000000000000007E-2</v>
      </c>
      <c r="I40" s="18">
        <f t="shared" si="8"/>
        <v>38070.733431254266</v>
      </c>
      <c r="J40" s="18">
        <f t="shared" si="9"/>
        <v>241356.31454400238</v>
      </c>
      <c r="K40" s="18">
        <f t="shared" si="5"/>
        <v>1161929.2665687462</v>
      </c>
      <c r="L40" s="18">
        <f t="shared" si="6"/>
        <v>279427.04797525663</v>
      </c>
    </row>
    <row r="41" spans="1:12" x14ac:dyDescent="0.3">
      <c r="A41">
        <v>36</v>
      </c>
      <c r="B41" s="17">
        <v>45931</v>
      </c>
      <c r="C41" s="18">
        <f t="shared" si="7"/>
        <v>1161929.2665687462</v>
      </c>
      <c r="D41" s="18">
        <f t="shared" si="0"/>
        <v>7983.6299421501908</v>
      </c>
      <c r="E41" s="18">
        <f t="shared" si="1"/>
        <v>1205.7092204991714</v>
      </c>
      <c r="F41" s="16">
        <f t="shared" si="2"/>
        <v>1.2452144086805322E-2</v>
      </c>
      <c r="G41" s="18">
        <f t="shared" si="3"/>
        <v>6777.9207216510194</v>
      </c>
      <c r="H41" s="16">
        <f t="shared" si="4"/>
        <v>7.0000000000000007E-2</v>
      </c>
      <c r="I41" s="18">
        <f t="shared" si="8"/>
        <v>39276.442651753438</v>
      </c>
      <c r="J41" s="18">
        <f t="shared" si="9"/>
        <v>248134.23526565341</v>
      </c>
      <c r="K41" s="18">
        <f t="shared" si="5"/>
        <v>1160723.5573482469</v>
      </c>
      <c r="L41" s="18">
        <f t="shared" si="6"/>
        <v>287410.67791740684</v>
      </c>
    </row>
    <row r="42" spans="1:12" x14ac:dyDescent="0.3">
      <c r="A42">
        <v>37</v>
      </c>
      <c r="B42" s="17">
        <v>45962</v>
      </c>
      <c r="C42" s="18">
        <f t="shared" si="7"/>
        <v>1160723.5573482469</v>
      </c>
      <c r="D42" s="18">
        <f t="shared" si="0"/>
        <v>7983.6299421501908</v>
      </c>
      <c r="E42" s="18">
        <f t="shared" si="1"/>
        <v>1212.7425242854169</v>
      </c>
      <c r="F42" s="16">
        <f t="shared" si="2"/>
        <v>1.25377917931399E-2</v>
      </c>
      <c r="G42" s="18">
        <f t="shared" si="3"/>
        <v>6770.8874178647739</v>
      </c>
      <c r="H42" s="16">
        <f t="shared" si="4"/>
        <v>7.0000000000000007E-2</v>
      </c>
      <c r="I42" s="18">
        <f t="shared" si="8"/>
        <v>40489.185176038853</v>
      </c>
      <c r="J42" s="18">
        <f t="shared" si="9"/>
        <v>254905.12268351819</v>
      </c>
      <c r="K42" s="18">
        <f t="shared" si="5"/>
        <v>1159510.8148239616</v>
      </c>
      <c r="L42" s="18">
        <f t="shared" si="6"/>
        <v>295394.30785955704</v>
      </c>
    </row>
    <row r="43" spans="1:12" x14ac:dyDescent="0.3">
      <c r="A43">
        <v>38</v>
      </c>
      <c r="B43" s="17">
        <v>45992</v>
      </c>
      <c r="C43" s="18">
        <f t="shared" si="7"/>
        <v>1159510.8148239616</v>
      </c>
      <c r="D43" s="18">
        <f t="shared" si="0"/>
        <v>7983.6299421501908</v>
      </c>
      <c r="E43" s="18">
        <f t="shared" si="1"/>
        <v>1219.8168556770815</v>
      </c>
      <c r="F43" s="16">
        <f t="shared" si="2"/>
        <v>1.2624118793016439E-2</v>
      </c>
      <c r="G43" s="18">
        <f t="shared" si="3"/>
        <v>6763.8130864731093</v>
      </c>
      <c r="H43" s="16">
        <f t="shared" si="4"/>
        <v>7.0000000000000007E-2</v>
      </c>
      <c r="I43" s="18">
        <f t="shared" si="8"/>
        <v>41709.002031715936</v>
      </c>
      <c r="J43" s="18">
        <f t="shared" si="9"/>
        <v>261668.93576999131</v>
      </c>
      <c r="K43" s="18">
        <f t="shared" si="5"/>
        <v>1158290.9979682844</v>
      </c>
      <c r="L43" s="18">
        <f t="shared" si="6"/>
        <v>303377.93780170724</v>
      </c>
    </row>
    <row r="44" spans="1:12" x14ac:dyDescent="0.3">
      <c r="A44">
        <v>39</v>
      </c>
      <c r="B44" s="17">
        <v>46023</v>
      </c>
      <c r="C44" s="18">
        <f t="shared" si="7"/>
        <v>1158290.9979682844</v>
      </c>
      <c r="D44" s="18">
        <f t="shared" si="0"/>
        <v>7983.6299421501908</v>
      </c>
      <c r="E44" s="18">
        <f t="shared" si="1"/>
        <v>1226.9324540018652</v>
      </c>
      <c r="F44" s="16">
        <f t="shared" si="2"/>
        <v>1.271113172238046E-2</v>
      </c>
      <c r="G44" s="18">
        <f t="shared" si="3"/>
        <v>6756.6974881483256</v>
      </c>
      <c r="H44" s="16">
        <f t="shared" si="4"/>
        <v>7.0000000000000007E-2</v>
      </c>
      <c r="I44" s="18">
        <f t="shared" si="8"/>
        <v>42935.9344857178</v>
      </c>
      <c r="J44" s="18">
        <f t="shared" si="9"/>
        <v>268425.63325813966</v>
      </c>
      <c r="K44" s="18">
        <f t="shared" si="5"/>
        <v>1157064.0655142826</v>
      </c>
      <c r="L44" s="18">
        <f t="shared" si="6"/>
        <v>311361.56774385745</v>
      </c>
    </row>
    <row r="45" spans="1:12" x14ac:dyDescent="0.3">
      <c r="A45">
        <v>40</v>
      </c>
      <c r="B45" s="17">
        <v>46054</v>
      </c>
      <c r="C45" s="18">
        <f t="shared" si="7"/>
        <v>1157064.0655142826</v>
      </c>
      <c r="D45" s="18">
        <f t="shared" si="0"/>
        <v>7983.6299421501908</v>
      </c>
      <c r="E45" s="18">
        <f t="shared" si="1"/>
        <v>1234.0895599835421</v>
      </c>
      <c r="F45" s="16">
        <f t="shared" si="2"/>
        <v>1.2798837299661784E-2</v>
      </c>
      <c r="G45" s="18">
        <f t="shared" si="3"/>
        <v>6749.5403821666487</v>
      </c>
      <c r="H45" s="16">
        <f t="shared" si="4"/>
        <v>7.0000000000000007E-2</v>
      </c>
      <c r="I45" s="18">
        <f t="shared" si="8"/>
        <v>44170.024045701342</v>
      </c>
      <c r="J45" s="18">
        <f t="shared" si="9"/>
        <v>275175.17364030628</v>
      </c>
      <c r="K45" s="18">
        <f t="shared" si="5"/>
        <v>1155829.9759542991</v>
      </c>
      <c r="L45" s="18">
        <f t="shared" si="6"/>
        <v>319345.1976860076</v>
      </c>
    </row>
    <row r="46" spans="1:12" x14ac:dyDescent="0.3">
      <c r="A46">
        <v>41</v>
      </c>
      <c r="B46" s="17">
        <v>46082</v>
      </c>
      <c r="C46" s="18">
        <f t="shared" si="7"/>
        <v>1155829.9759542991</v>
      </c>
      <c r="D46" s="18">
        <f t="shared" si="0"/>
        <v>7983.6299421501908</v>
      </c>
      <c r="E46" s="18">
        <f t="shared" si="1"/>
        <v>1241.2884157501121</v>
      </c>
      <c r="F46" s="16">
        <f t="shared" si="2"/>
        <v>1.288724232705858E-2</v>
      </c>
      <c r="G46" s="18">
        <f t="shared" si="3"/>
        <v>6742.3415264000787</v>
      </c>
      <c r="H46" s="16">
        <f t="shared" si="4"/>
        <v>7.0000000000000007E-2</v>
      </c>
      <c r="I46" s="18">
        <f t="shared" si="8"/>
        <v>45411.312461451453</v>
      </c>
      <c r="J46" s="18">
        <f t="shared" si="9"/>
        <v>281917.51516670635</v>
      </c>
      <c r="K46" s="18">
        <f t="shared" si="5"/>
        <v>1154588.6875385491</v>
      </c>
      <c r="L46" s="18">
        <f t="shared" si="6"/>
        <v>327328.8276281578</v>
      </c>
    </row>
    <row r="47" spans="1:12" x14ac:dyDescent="0.3">
      <c r="A47">
        <v>42</v>
      </c>
      <c r="B47" s="17">
        <v>46113</v>
      </c>
      <c r="C47" s="18">
        <f t="shared" si="7"/>
        <v>1154588.6875385491</v>
      </c>
      <c r="D47" s="18">
        <f t="shared" si="0"/>
        <v>7983.6299421501908</v>
      </c>
      <c r="E47" s="18">
        <f t="shared" si="1"/>
        <v>1248.5292648419872</v>
      </c>
      <c r="F47" s="16">
        <f t="shared" si="2"/>
        <v>1.2976353691845454E-2</v>
      </c>
      <c r="G47" s="18">
        <f t="shared" si="3"/>
        <v>6735.1006773082036</v>
      </c>
      <c r="H47" s="16">
        <f t="shared" si="4"/>
        <v>7.0000000000000007E-2</v>
      </c>
      <c r="I47" s="18">
        <f t="shared" si="8"/>
        <v>46659.841726293438</v>
      </c>
      <c r="J47" s="18">
        <f t="shared" si="9"/>
        <v>288652.61584401457</v>
      </c>
      <c r="K47" s="18">
        <f t="shared" si="5"/>
        <v>1153340.1582737071</v>
      </c>
      <c r="L47" s="18">
        <f t="shared" si="6"/>
        <v>335312.457570308</v>
      </c>
    </row>
    <row r="48" spans="1:12" x14ac:dyDescent="0.3">
      <c r="A48">
        <v>43</v>
      </c>
      <c r="B48" s="17">
        <v>46143</v>
      </c>
      <c r="C48" s="18">
        <f t="shared" si="7"/>
        <v>1153340.1582737071</v>
      </c>
      <c r="D48" s="18">
        <f t="shared" si="0"/>
        <v>7983.6299421501908</v>
      </c>
      <c r="E48" s="18">
        <f t="shared" si="1"/>
        <v>1255.8123522202322</v>
      </c>
      <c r="F48" s="16">
        <f t="shared" si="2"/>
        <v>1.3066178367706224E-2</v>
      </c>
      <c r="G48" s="18">
        <f t="shared" si="3"/>
        <v>6727.8175899299586</v>
      </c>
      <c r="H48" s="16">
        <f t="shared" si="4"/>
        <v>7.0000000000000007E-2</v>
      </c>
      <c r="I48" s="18">
        <f t="shared" si="8"/>
        <v>47915.654078513668</v>
      </c>
      <c r="J48" s="18">
        <f t="shared" si="9"/>
        <v>295380.43343394453</v>
      </c>
      <c r="K48" s="18">
        <f t="shared" si="5"/>
        <v>1152084.3459214868</v>
      </c>
      <c r="L48" s="18">
        <f t="shared" si="6"/>
        <v>343296.08751245821</v>
      </c>
    </row>
    <row r="49" spans="1:12" x14ac:dyDescent="0.3">
      <c r="A49">
        <v>44</v>
      </c>
      <c r="B49" s="17">
        <v>46174</v>
      </c>
      <c r="C49" s="18">
        <f t="shared" si="7"/>
        <v>1152084.3459214868</v>
      </c>
      <c r="D49" s="18">
        <f t="shared" si="0"/>
        <v>7983.6299421501908</v>
      </c>
      <c r="E49" s="18">
        <f t="shared" si="1"/>
        <v>1263.1379242748508</v>
      </c>
      <c r="F49" s="16">
        <f t="shared" si="2"/>
        <v>1.3156723416091955E-2</v>
      </c>
      <c r="G49" s="18">
        <f t="shared" si="3"/>
        <v>6720.49201787534</v>
      </c>
      <c r="H49" s="16">
        <f t="shared" si="4"/>
        <v>7.0000000000000007E-2</v>
      </c>
      <c r="I49" s="18">
        <f t="shared" si="8"/>
        <v>49178.792002788519</v>
      </c>
      <c r="J49" s="18">
        <f t="shared" si="9"/>
        <v>302100.9254518199</v>
      </c>
      <c r="K49" s="18">
        <f t="shared" si="5"/>
        <v>1150821.207997212</v>
      </c>
      <c r="L49" s="18">
        <f t="shared" si="6"/>
        <v>351279.71745460841</v>
      </c>
    </row>
    <row r="50" spans="1:12" x14ac:dyDescent="0.3">
      <c r="A50">
        <v>45</v>
      </c>
      <c r="B50" s="17">
        <v>46204</v>
      </c>
      <c r="C50" s="18">
        <f t="shared" si="7"/>
        <v>1150821.207997212</v>
      </c>
      <c r="D50" s="18">
        <f t="shared" si="0"/>
        <v>7983.6299421501908</v>
      </c>
      <c r="E50" s="18">
        <f t="shared" si="1"/>
        <v>1270.506228833121</v>
      </c>
      <c r="F50" s="16">
        <f t="shared" si="2"/>
        <v>1.3247995987604694E-2</v>
      </c>
      <c r="G50" s="18">
        <f t="shared" si="3"/>
        <v>6713.1237133170698</v>
      </c>
      <c r="H50" s="16">
        <f t="shared" si="4"/>
        <v>7.0000000000000007E-2</v>
      </c>
      <c r="I50" s="18">
        <f t="shared" si="8"/>
        <v>50449.298231621637</v>
      </c>
      <c r="J50" s="18">
        <f t="shared" si="9"/>
        <v>308814.049165137</v>
      </c>
      <c r="K50" s="18">
        <f t="shared" si="5"/>
        <v>1149550.7017683787</v>
      </c>
      <c r="L50" s="18">
        <f t="shared" si="6"/>
        <v>359263.34739675862</v>
      </c>
    </row>
    <row r="51" spans="1:12" x14ac:dyDescent="0.3">
      <c r="A51">
        <v>46</v>
      </c>
      <c r="B51" s="17">
        <v>46235</v>
      </c>
      <c r="C51" s="18">
        <f t="shared" si="7"/>
        <v>1149550.7017683787</v>
      </c>
      <c r="D51" s="18">
        <f t="shared" si="0"/>
        <v>7983.6299421501908</v>
      </c>
      <c r="E51" s="18">
        <f t="shared" si="1"/>
        <v>1277.917515167981</v>
      </c>
      <c r="F51" s="16">
        <f t="shared" si="2"/>
        <v>1.3340003323407653E-2</v>
      </c>
      <c r="G51" s="18">
        <f t="shared" si="3"/>
        <v>6705.7124269822098</v>
      </c>
      <c r="H51" s="16">
        <f t="shared" si="4"/>
        <v>7.0000000000000007E-2</v>
      </c>
      <c r="I51" s="18">
        <f t="shared" si="8"/>
        <v>51727.215746789618</v>
      </c>
      <c r="J51" s="18">
        <f t="shared" si="9"/>
        <v>315519.76159211923</v>
      </c>
      <c r="K51" s="18">
        <f t="shared" si="5"/>
        <v>1148272.7842532108</v>
      </c>
      <c r="L51" s="18">
        <f t="shared" si="6"/>
        <v>367246.97733890882</v>
      </c>
    </row>
    <row r="52" spans="1:12" x14ac:dyDescent="0.3">
      <c r="A52">
        <v>47</v>
      </c>
      <c r="B52" s="17">
        <v>46266</v>
      </c>
      <c r="C52" s="18">
        <f t="shared" si="7"/>
        <v>1148272.7842532108</v>
      </c>
      <c r="D52" s="18">
        <f t="shared" si="0"/>
        <v>7983.6299421501908</v>
      </c>
      <c r="E52" s="18">
        <f t="shared" si="1"/>
        <v>1285.372034006461</v>
      </c>
      <c r="F52" s="16">
        <f t="shared" si="2"/>
        <v>1.3432752756662232E-2</v>
      </c>
      <c r="G52" s="18">
        <f t="shared" si="3"/>
        <v>6698.2579081437298</v>
      </c>
      <c r="H52" s="16">
        <f t="shared" si="4"/>
        <v>7.0000000000000007E-2</v>
      </c>
      <c r="I52" s="18">
        <f t="shared" si="8"/>
        <v>53012.587780796079</v>
      </c>
      <c r="J52" s="18">
        <f t="shared" si="9"/>
        <v>322218.01950026298</v>
      </c>
      <c r="K52" s="18">
        <f t="shared" si="5"/>
        <v>1146987.4122192042</v>
      </c>
      <c r="L52" s="18">
        <f t="shared" si="6"/>
        <v>375230.60728105903</v>
      </c>
    </row>
    <row r="53" spans="1:12" x14ac:dyDescent="0.3">
      <c r="A53">
        <v>48</v>
      </c>
      <c r="B53" s="17">
        <v>46296</v>
      </c>
      <c r="C53" s="18">
        <f t="shared" si="7"/>
        <v>1146987.4122192042</v>
      </c>
      <c r="D53" s="18">
        <f t="shared" si="0"/>
        <v>7983.6299421501908</v>
      </c>
      <c r="E53" s="18">
        <f t="shared" si="1"/>
        <v>1292.8700375381659</v>
      </c>
      <c r="F53" s="16">
        <f t="shared" si="2"/>
        <v>1.3526251713992637E-2</v>
      </c>
      <c r="G53" s="18">
        <f t="shared" si="3"/>
        <v>6690.7599046120249</v>
      </c>
      <c r="H53" s="16">
        <f t="shared" si="4"/>
        <v>7.0000000000000007E-2</v>
      </c>
      <c r="I53" s="18">
        <f t="shared" si="8"/>
        <v>54305.457818334246</v>
      </c>
      <c r="J53" s="18">
        <f t="shared" si="9"/>
        <v>328908.77940487501</v>
      </c>
      <c r="K53" s="18">
        <f t="shared" si="5"/>
        <v>1145694.542181666</v>
      </c>
      <c r="L53" s="18">
        <f t="shared" si="6"/>
        <v>383214.23722320923</v>
      </c>
    </row>
    <row r="54" spans="1:12" x14ac:dyDescent="0.3">
      <c r="A54">
        <v>49</v>
      </c>
      <c r="B54" s="17">
        <v>46327</v>
      </c>
      <c r="C54" s="18">
        <f t="shared" si="7"/>
        <v>1145694.542181666</v>
      </c>
      <c r="D54" s="18">
        <f t="shared" si="0"/>
        <v>7983.6299421501908</v>
      </c>
      <c r="E54" s="18">
        <f t="shared" si="1"/>
        <v>1300.4117794238055</v>
      </c>
      <c r="F54" s="16">
        <f t="shared" si="2"/>
        <v>1.3620507716978618E-2</v>
      </c>
      <c r="G54" s="18">
        <f t="shared" si="3"/>
        <v>6683.2181627263853</v>
      </c>
      <c r="H54" s="16">
        <f t="shared" si="4"/>
        <v>7.0000000000000007E-2</v>
      </c>
      <c r="I54" s="18">
        <f t="shared" si="8"/>
        <v>55605.86959775805</v>
      </c>
      <c r="J54" s="18">
        <f t="shared" si="9"/>
        <v>335591.99756760139</v>
      </c>
      <c r="K54" s="18">
        <f t="shared" si="5"/>
        <v>1144394.1304022423</v>
      </c>
      <c r="L54" s="18">
        <f t="shared" si="6"/>
        <v>391197.86716535944</v>
      </c>
    </row>
    <row r="55" spans="1:12" x14ac:dyDescent="0.3">
      <c r="A55">
        <v>50</v>
      </c>
      <c r="B55" s="17">
        <v>46357</v>
      </c>
      <c r="C55" s="18">
        <f t="shared" si="7"/>
        <v>1144394.1304022423</v>
      </c>
      <c r="D55" s="18">
        <f t="shared" si="0"/>
        <v>7983.6299421501908</v>
      </c>
      <c r="E55" s="18">
        <f t="shared" si="1"/>
        <v>1307.9975148037774</v>
      </c>
      <c r="F55" s="16">
        <f t="shared" si="2"/>
        <v>1.3715528383677015E-2</v>
      </c>
      <c r="G55" s="18">
        <f t="shared" si="3"/>
        <v>6675.6324273464134</v>
      </c>
      <c r="H55" s="16">
        <f t="shared" si="4"/>
        <v>7.0000000000000007E-2</v>
      </c>
      <c r="I55" s="18">
        <f t="shared" si="8"/>
        <v>56913.867112561828</v>
      </c>
      <c r="J55" s="18">
        <f t="shared" si="9"/>
        <v>342267.62999494781</v>
      </c>
      <c r="K55" s="18">
        <f t="shared" si="5"/>
        <v>1143086.1328874384</v>
      </c>
      <c r="L55" s="18">
        <f t="shared" si="6"/>
        <v>399181.49710750964</v>
      </c>
    </row>
    <row r="56" spans="1:12" x14ac:dyDescent="0.3">
      <c r="A56">
        <v>51</v>
      </c>
      <c r="B56" s="17">
        <v>46388</v>
      </c>
      <c r="C56" s="18">
        <f t="shared" si="7"/>
        <v>1143086.1328874384</v>
      </c>
      <c r="D56" s="18">
        <f t="shared" si="0"/>
        <v>7983.6299421501908</v>
      </c>
      <c r="E56" s="18">
        <f t="shared" si="1"/>
        <v>1315.6275003067994</v>
      </c>
      <c r="F56" s="16">
        <f t="shared" si="2"/>
        <v>1.3811321430172767E-2</v>
      </c>
      <c r="G56" s="18">
        <f t="shared" si="3"/>
        <v>6668.0024418433914</v>
      </c>
      <c r="H56" s="16">
        <f t="shared" si="4"/>
        <v>7.0000000000000007E-2</v>
      </c>
      <c r="I56" s="18">
        <f t="shared" si="8"/>
        <v>58229.494612868628</v>
      </c>
      <c r="J56" s="18">
        <f t="shared" si="9"/>
        <v>348935.6324367912</v>
      </c>
      <c r="K56" s="18">
        <f t="shared" si="5"/>
        <v>1141770.5053871316</v>
      </c>
      <c r="L56" s="18">
        <f t="shared" si="6"/>
        <v>407165.12704965984</v>
      </c>
    </row>
    <row r="57" spans="1:12" x14ac:dyDescent="0.3">
      <c r="A57">
        <v>52</v>
      </c>
      <c r="B57" s="17">
        <v>46419</v>
      </c>
      <c r="C57" s="18">
        <f t="shared" si="7"/>
        <v>1141770.5053871316</v>
      </c>
      <c r="D57" s="18">
        <f t="shared" si="0"/>
        <v>7983.6299421501908</v>
      </c>
      <c r="E57" s="18">
        <f t="shared" si="1"/>
        <v>1323.3019940585891</v>
      </c>
      <c r="F57" s="16">
        <f t="shared" si="2"/>
        <v>1.3907894672159957E-2</v>
      </c>
      <c r="G57" s="18">
        <f t="shared" si="3"/>
        <v>6660.3279480916017</v>
      </c>
      <c r="H57" s="16">
        <f t="shared" si="4"/>
        <v>7.0000000000000007E-2</v>
      </c>
      <c r="I57" s="18">
        <f t="shared" si="8"/>
        <v>59552.796606927215</v>
      </c>
      <c r="J57" s="18">
        <f t="shared" si="9"/>
        <v>355595.96038488281</v>
      </c>
      <c r="K57" s="18">
        <f t="shared" si="5"/>
        <v>1140447.2033930731</v>
      </c>
      <c r="L57" s="18">
        <f t="shared" si="6"/>
        <v>415148.75699181005</v>
      </c>
    </row>
    <row r="58" spans="1:12" x14ac:dyDescent="0.3">
      <c r="A58">
        <v>53</v>
      </c>
      <c r="B58" s="17">
        <v>46447</v>
      </c>
      <c r="C58" s="18">
        <f t="shared" si="7"/>
        <v>1140447.2033930731</v>
      </c>
      <c r="D58" s="18">
        <f t="shared" si="0"/>
        <v>7983.6299421501908</v>
      </c>
      <c r="E58" s="18">
        <f t="shared" si="1"/>
        <v>1331.0212556905981</v>
      </c>
      <c r="F58" s="16">
        <f t="shared" si="2"/>
        <v>1.4005256026553723E-2</v>
      </c>
      <c r="G58" s="18">
        <f t="shared" si="3"/>
        <v>6652.6086864595927</v>
      </c>
      <c r="H58" s="16">
        <f t="shared" si="4"/>
        <v>7.0000000000000007E-2</v>
      </c>
      <c r="I58" s="18">
        <f t="shared" si="8"/>
        <v>60883.817862617812</v>
      </c>
      <c r="J58" s="18">
        <f t="shared" si="9"/>
        <v>362248.56907134241</v>
      </c>
      <c r="K58" s="18">
        <f t="shared" si="5"/>
        <v>1139116.1821373824</v>
      </c>
      <c r="L58" s="18">
        <f t="shared" si="6"/>
        <v>423132.38693396025</v>
      </c>
    </row>
    <row r="59" spans="1:12" x14ac:dyDescent="0.3">
      <c r="A59">
        <v>54</v>
      </c>
      <c r="B59" s="17">
        <v>46478</v>
      </c>
      <c r="C59" s="18">
        <f t="shared" si="7"/>
        <v>1139116.1821373824</v>
      </c>
      <c r="D59" s="18">
        <f t="shared" si="0"/>
        <v>7983.6299421501908</v>
      </c>
      <c r="E59" s="18">
        <f t="shared" si="1"/>
        <v>1338.7855463487931</v>
      </c>
      <c r="F59" s="16">
        <f t="shared" si="2"/>
        <v>1.4103413513133604E-2</v>
      </c>
      <c r="G59" s="18">
        <f t="shared" si="3"/>
        <v>6644.8443958013977</v>
      </c>
      <c r="H59" s="16">
        <f t="shared" si="4"/>
        <v>7.0000000000000007E-2</v>
      </c>
      <c r="I59" s="18">
        <f t="shared" si="8"/>
        <v>62222.603408966606</v>
      </c>
      <c r="J59" s="18">
        <f t="shared" si="9"/>
        <v>368893.41346714384</v>
      </c>
      <c r="K59" s="18">
        <f t="shared" si="5"/>
        <v>1137777.3965910336</v>
      </c>
      <c r="L59" s="18">
        <f t="shared" si="6"/>
        <v>431116.01687611046</v>
      </c>
    </row>
    <row r="60" spans="1:12" x14ac:dyDescent="0.3">
      <c r="A60">
        <v>55</v>
      </c>
      <c r="B60" s="17">
        <v>46508</v>
      </c>
      <c r="C60" s="18">
        <f t="shared" si="7"/>
        <v>1137777.3965910336</v>
      </c>
      <c r="D60" s="18">
        <f t="shared" si="0"/>
        <v>7983.6299421501908</v>
      </c>
      <c r="E60" s="18">
        <f t="shared" si="1"/>
        <v>1346.5951287024945</v>
      </c>
      <c r="F60" s="16">
        <f t="shared" si="2"/>
        <v>1.4202375256219146E-2</v>
      </c>
      <c r="G60" s="18">
        <f t="shared" si="3"/>
        <v>6637.0348134476963</v>
      </c>
      <c r="H60" s="16">
        <f t="shared" si="4"/>
        <v>7.0000000000000007E-2</v>
      </c>
      <c r="I60" s="18">
        <f t="shared" si="8"/>
        <v>63569.198537669101</v>
      </c>
      <c r="J60" s="18">
        <f t="shared" si="9"/>
        <v>375530.44828059152</v>
      </c>
      <c r="K60" s="18">
        <f t="shared" si="5"/>
        <v>1136430.8014623311</v>
      </c>
      <c r="L60" s="18">
        <f t="shared" si="6"/>
        <v>439099.6468182606</v>
      </c>
    </row>
    <row r="61" spans="1:12" x14ac:dyDescent="0.3">
      <c r="A61">
        <v>56</v>
      </c>
      <c r="B61" s="17">
        <v>46539</v>
      </c>
      <c r="C61" s="18">
        <f t="shared" si="7"/>
        <v>1136430.8014623311</v>
      </c>
      <c r="D61" s="18">
        <f t="shared" si="0"/>
        <v>7983.6299421501908</v>
      </c>
      <c r="E61" s="18">
        <f t="shared" si="1"/>
        <v>1354.4502669532594</v>
      </c>
      <c r="F61" s="16">
        <f t="shared" si="2"/>
        <v>1.4302149486378434E-2</v>
      </c>
      <c r="G61" s="18">
        <f t="shared" si="3"/>
        <v>6629.1796751969314</v>
      </c>
      <c r="H61" s="16">
        <f t="shared" si="4"/>
        <v>7.0000000000000007E-2</v>
      </c>
      <c r="I61" s="18">
        <f t="shared" si="8"/>
        <v>64923.64880462236</v>
      </c>
      <c r="J61" s="18">
        <f t="shared" si="9"/>
        <v>382159.62795578846</v>
      </c>
      <c r="K61" s="18">
        <f t="shared" si="5"/>
        <v>1135076.3511953778</v>
      </c>
      <c r="L61" s="18">
        <f t="shared" si="6"/>
        <v>447083.27676041081</v>
      </c>
    </row>
    <row r="62" spans="1:12" x14ac:dyDescent="0.3">
      <c r="A62">
        <v>57</v>
      </c>
      <c r="B62" s="17">
        <v>46569</v>
      </c>
      <c r="C62" s="18">
        <f t="shared" si="7"/>
        <v>1135076.3511953778</v>
      </c>
      <c r="D62" s="18">
        <f t="shared" si="0"/>
        <v>7983.6299421501908</v>
      </c>
      <c r="E62" s="18">
        <f t="shared" si="1"/>
        <v>1362.3512268438199</v>
      </c>
      <c r="F62" s="16">
        <f t="shared" si="2"/>
        <v>1.4402744542170328E-2</v>
      </c>
      <c r="G62" s="18">
        <f t="shared" si="3"/>
        <v>6621.2787153063709</v>
      </c>
      <c r="H62" s="16">
        <f t="shared" si="4"/>
        <v>7.0000000000000007E-2</v>
      </c>
      <c r="I62" s="18">
        <f t="shared" si="8"/>
        <v>66286.000031466174</v>
      </c>
      <c r="J62" s="18">
        <f t="shared" si="9"/>
        <v>388780.90667109482</v>
      </c>
      <c r="K62" s="18">
        <f t="shared" si="5"/>
        <v>1133713.9999685339</v>
      </c>
      <c r="L62" s="18">
        <f t="shared" si="6"/>
        <v>455066.90670256101</v>
      </c>
    </row>
    <row r="63" spans="1:12" x14ac:dyDescent="0.3">
      <c r="A63">
        <v>58</v>
      </c>
      <c r="B63" s="17">
        <v>46600</v>
      </c>
      <c r="C63" s="18">
        <f t="shared" si="7"/>
        <v>1133713.9999685339</v>
      </c>
      <c r="D63" s="18">
        <f t="shared" si="0"/>
        <v>7983.6299421501908</v>
      </c>
      <c r="E63" s="18">
        <f t="shared" si="1"/>
        <v>1370.2982756670763</v>
      </c>
      <c r="F63" s="16">
        <f t="shared" si="2"/>
        <v>1.4504168871921231E-2</v>
      </c>
      <c r="G63" s="18">
        <f t="shared" si="3"/>
        <v>6613.3316664831145</v>
      </c>
      <c r="H63" s="16">
        <f t="shared" si="4"/>
        <v>7.0000000000000007E-2</v>
      </c>
      <c r="I63" s="18">
        <f t="shared" si="8"/>
        <v>67656.298307133256</v>
      </c>
      <c r="J63" s="18">
        <f t="shared" si="9"/>
        <v>395394.23833757796</v>
      </c>
      <c r="K63" s="18">
        <f t="shared" si="5"/>
        <v>1132343.7016928669</v>
      </c>
      <c r="L63" s="18">
        <f t="shared" si="6"/>
        <v>463050.53664471122</v>
      </c>
    </row>
    <row r="64" spans="1:12" x14ac:dyDescent="0.3">
      <c r="A64">
        <v>59</v>
      </c>
      <c r="B64" s="17">
        <v>46631</v>
      </c>
      <c r="C64" s="18">
        <f t="shared" si="7"/>
        <v>1132343.7016928669</v>
      </c>
      <c r="D64" s="18">
        <f t="shared" si="0"/>
        <v>7983.6299421501908</v>
      </c>
      <c r="E64" s="18">
        <f t="shared" si="1"/>
        <v>1378.291682275134</v>
      </c>
      <c r="F64" s="16">
        <f t="shared" si="2"/>
        <v>1.4606431035537059E-2</v>
      </c>
      <c r="G64" s="18">
        <f t="shared" si="3"/>
        <v>6605.3382598750568</v>
      </c>
      <c r="H64" s="16">
        <f t="shared" si="4"/>
        <v>7.0000000000000007E-2</v>
      </c>
      <c r="I64" s="18">
        <f t="shared" si="8"/>
        <v>69034.589989408385</v>
      </c>
      <c r="J64" s="18">
        <f t="shared" si="9"/>
        <v>401999.57659745304</v>
      </c>
      <c r="K64" s="18">
        <f t="shared" si="5"/>
        <v>1130965.4100105916</v>
      </c>
      <c r="L64" s="18">
        <f t="shared" si="6"/>
        <v>471034.16658686142</v>
      </c>
    </row>
    <row r="65" spans="1:12" x14ac:dyDescent="0.3">
      <c r="A65">
        <v>60</v>
      </c>
      <c r="B65" s="17">
        <v>46661</v>
      </c>
      <c r="C65" s="18">
        <f t="shared" si="7"/>
        <v>1130965.4100105916</v>
      </c>
      <c r="D65" s="18">
        <f t="shared" si="0"/>
        <v>7983.6299421501908</v>
      </c>
      <c r="E65" s="18">
        <f t="shared" si="1"/>
        <v>1386.3317170884056</v>
      </c>
      <c r="F65" s="16">
        <f t="shared" si="2"/>
        <v>1.4709539706351471E-2</v>
      </c>
      <c r="G65" s="18">
        <f t="shared" si="3"/>
        <v>6597.2982250617852</v>
      </c>
      <c r="H65" s="16">
        <f t="shared" si="4"/>
        <v>7.0000000000000007E-2</v>
      </c>
      <c r="I65" s="18">
        <f t="shared" si="8"/>
        <v>70420.921706496796</v>
      </c>
      <c r="J65" s="18">
        <f t="shared" si="9"/>
        <v>408596.87482251483</v>
      </c>
      <c r="K65" s="18">
        <f t="shared" si="5"/>
        <v>1129579.0782935033</v>
      </c>
      <c r="L65" s="18">
        <f t="shared" si="6"/>
        <v>479017.79652901163</v>
      </c>
    </row>
    <row r="66" spans="1:12" x14ac:dyDescent="0.3">
      <c r="A66">
        <v>61</v>
      </c>
      <c r="B66" s="17">
        <v>46692</v>
      </c>
      <c r="C66" s="18">
        <f t="shared" si="7"/>
        <v>1129579.0782935033</v>
      </c>
      <c r="D66" s="18">
        <f t="shared" si="0"/>
        <v>7983.6299421501908</v>
      </c>
      <c r="E66" s="18">
        <f t="shared" si="1"/>
        <v>1394.418652104755</v>
      </c>
      <c r="F66" s="16">
        <f t="shared" si="2"/>
        <v>1.4813503673010885E-2</v>
      </c>
      <c r="G66" s="18">
        <f t="shared" si="3"/>
        <v>6589.2112900454358</v>
      </c>
      <c r="H66" s="16">
        <f t="shared" si="4"/>
        <v>7.0000000000000007E-2</v>
      </c>
      <c r="I66" s="18">
        <f t="shared" si="8"/>
        <v>71815.340358601548</v>
      </c>
      <c r="J66" s="18">
        <f t="shared" si="9"/>
        <v>415186.08611256024</v>
      </c>
      <c r="K66" s="18">
        <f t="shared" si="5"/>
        <v>1128184.6596413986</v>
      </c>
      <c r="L66" s="18">
        <f t="shared" si="6"/>
        <v>487001.42647116177</v>
      </c>
    </row>
    <row r="67" spans="1:12" x14ac:dyDescent="0.3">
      <c r="A67">
        <v>62</v>
      </c>
      <c r="B67" s="17">
        <v>46722</v>
      </c>
      <c r="C67" s="18">
        <f t="shared" si="7"/>
        <v>1128184.6596413986</v>
      </c>
      <c r="D67" s="18">
        <f t="shared" si="0"/>
        <v>7983.6299421501908</v>
      </c>
      <c r="E67" s="18">
        <f t="shared" si="1"/>
        <v>1402.5527609086985</v>
      </c>
      <c r="F67" s="16">
        <f t="shared" si="2"/>
        <v>1.4918331841397417E-2</v>
      </c>
      <c r="G67" s="18">
        <f t="shared" si="3"/>
        <v>6581.0771812414923</v>
      </c>
      <c r="H67" s="16">
        <f t="shared" si="4"/>
        <v>7.0000000000000007E-2</v>
      </c>
      <c r="I67" s="18">
        <f t="shared" si="8"/>
        <v>73217.893119510249</v>
      </c>
      <c r="J67" s="18">
        <f t="shared" si="9"/>
        <v>421767.16329380171</v>
      </c>
      <c r="K67" s="18">
        <f t="shared" si="5"/>
        <v>1126782.10688049</v>
      </c>
      <c r="L67" s="18">
        <f t="shared" si="6"/>
        <v>494985.05641331198</v>
      </c>
    </row>
    <row r="68" spans="1:12" x14ac:dyDescent="0.3">
      <c r="A68">
        <v>63</v>
      </c>
      <c r="B68" s="17">
        <v>46753</v>
      </c>
      <c r="C68" s="18">
        <f t="shared" si="7"/>
        <v>1126782.10688049</v>
      </c>
      <c r="D68" s="18">
        <f t="shared" si="0"/>
        <v>7983.6299421501908</v>
      </c>
      <c r="E68" s="18">
        <f t="shared" si="1"/>
        <v>1410.7343186806656</v>
      </c>
      <c r="F68" s="16">
        <f t="shared" si="2"/>
        <v>1.5024033236590533E-2</v>
      </c>
      <c r="G68" s="18">
        <f t="shared" si="3"/>
        <v>6572.8956234695252</v>
      </c>
      <c r="H68" s="16">
        <f t="shared" si="4"/>
        <v>7.0000000000000007E-2</v>
      </c>
      <c r="I68" s="18">
        <f t="shared" si="8"/>
        <v>74628.627438190917</v>
      </c>
      <c r="J68" s="18">
        <f t="shared" si="9"/>
        <v>428340.05891727126</v>
      </c>
      <c r="K68" s="18">
        <f t="shared" si="5"/>
        <v>1125371.3725618094</v>
      </c>
      <c r="L68" s="18">
        <f t="shared" si="6"/>
        <v>502968.68635546218</v>
      </c>
    </row>
    <row r="69" spans="1:12" x14ac:dyDescent="0.3">
      <c r="A69">
        <v>64</v>
      </c>
      <c r="B69" s="17">
        <v>46784</v>
      </c>
      <c r="C69" s="18">
        <f t="shared" si="7"/>
        <v>1125371.3725618094</v>
      </c>
      <c r="D69" s="18">
        <f t="shared" si="0"/>
        <v>7983.6299421501908</v>
      </c>
      <c r="E69" s="18">
        <f t="shared" si="1"/>
        <v>1418.9636022063023</v>
      </c>
      <c r="F69" s="16">
        <f t="shared" si="2"/>
        <v>1.5130617004868244E-2</v>
      </c>
      <c r="G69" s="18">
        <f t="shared" si="3"/>
        <v>6564.6663399438885</v>
      </c>
      <c r="H69" s="16">
        <f t="shared" si="4"/>
        <v>7.0000000000000007E-2</v>
      </c>
      <c r="I69" s="18">
        <f t="shared" si="8"/>
        <v>76047.591040397223</v>
      </c>
      <c r="J69" s="18">
        <f t="shared" si="9"/>
        <v>434904.72525721515</v>
      </c>
      <c r="K69" s="18">
        <f t="shared" si="5"/>
        <v>1123952.4089596032</v>
      </c>
      <c r="L69" s="18">
        <f t="shared" si="6"/>
        <v>510952.31629761239</v>
      </c>
    </row>
    <row r="70" spans="1:12" x14ac:dyDescent="0.3">
      <c r="A70">
        <v>65</v>
      </c>
      <c r="B70" s="17">
        <v>46813</v>
      </c>
      <c r="C70" s="18">
        <f t="shared" si="7"/>
        <v>1123952.4089596032</v>
      </c>
      <c r="D70" s="18">
        <f t="shared" si="0"/>
        <v>7983.6299421501908</v>
      </c>
      <c r="E70" s="18">
        <f t="shared" si="1"/>
        <v>1427.2408898858384</v>
      </c>
      <c r="F70" s="16">
        <f t="shared" si="2"/>
        <v>1.5238092415748923E-2</v>
      </c>
      <c r="G70" s="18">
        <f t="shared" si="3"/>
        <v>6556.3890522643524</v>
      </c>
      <c r="H70" s="16">
        <f t="shared" si="4"/>
        <v>7.0000000000000007E-2</v>
      </c>
      <c r="I70" s="18">
        <f t="shared" si="8"/>
        <v>77474.831930283064</v>
      </c>
      <c r="J70" s="18">
        <f t="shared" si="9"/>
        <v>441461.11430947948</v>
      </c>
      <c r="K70" s="18">
        <f t="shared" si="5"/>
        <v>1122525.1680697172</v>
      </c>
      <c r="L70" s="18">
        <f t="shared" si="6"/>
        <v>518935.94623976253</v>
      </c>
    </row>
    <row r="71" spans="1:12" x14ac:dyDescent="0.3">
      <c r="A71">
        <v>66</v>
      </c>
      <c r="B71" s="17">
        <v>46844</v>
      </c>
      <c r="C71" s="18">
        <f t="shared" si="7"/>
        <v>1122525.1680697172</v>
      </c>
      <c r="D71" s="18">
        <f t="shared" ref="D71:D134" si="10">$C$6/((($E$2)-1)/($E$1*$E$2))</f>
        <v>7983.6299421501908</v>
      </c>
      <c r="E71" s="18">
        <f t="shared" ref="E71:E134" si="11">D71-G71</f>
        <v>1435.5664617435068</v>
      </c>
      <c r="F71" s="16">
        <f t="shared" ref="F71:F134" si="12">(E71/C71)*12</f>
        <v>1.5346468864074652E-2</v>
      </c>
      <c r="G71" s="18">
        <f t="shared" ref="G71:G134" si="13">C71*($B$1/12)</f>
        <v>6548.063480406684</v>
      </c>
      <c r="H71" s="16">
        <f t="shared" ref="H71:H134" si="14">(G71/C71)*12</f>
        <v>7.0000000000000007E-2</v>
      </c>
      <c r="I71" s="18">
        <f t="shared" si="8"/>
        <v>78910.398392026575</v>
      </c>
      <c r="J71" s="18">
        <f t="shared" si="9"/>
        <v>448009.17778988619</v>
      </c>
      <c r="K71" s="18">
        <f t="shared" ref="K71:K134" si="15">C71-E71</f>
        <v>1121089.6016079737</v>
      </c>
      <c r="L71" s="18">
        <f t="shared" ref="L71:L134" si="16">I71+J71</f>
        <v>526919.57618191279</v>
      </c>
    </row>
    <row r="72" spans="1:12" x14ac:dyDescent="0.3">
      <c r="A72">
        <v>67</v>
      </c>
      <c r="B72" s="17">
        <v>46874</v>
      </c>
      <c r="C72" s="18">
        <f t="shared" ref="C72:C135" si="17">K71</f>
        <v>1121089.6016079737</v>
      </c>
      <c r="D72" s="18">
        <f t="shared" si="10"/>
        <v>7983.6299421501908</v>
      </c>
      <c r="E72" s="18">
        <f t="shared" si="11"/>
        <v>1443.9405994370109</v>
      </c>
      <c r="F72" s="16">
        <f t="shared" si="12"/>
        <v>1.5455755872136965E-2</v>
      </c>
      <c r="G72" s="18">
        <f t="shared" si="13"/>
        <v>6539.6893427131799</v>
      </c>
      <c r="H72" s="16">
        <f t="shared" si="14"/>
        <v>7.0000000000000007E-2</v>
      </c>
      <c r="I72" s="18">
        <f t="shared" ref="I72:I135" si="18">I71+E72</f>
        <v>80354.338991463592</v>
      </c>
      <c r="J72" s="18">
        <f t="shared" ref="J72:J135" si="19">J71+G72</f>
        <v>454548.86713259935</v>
      </c>
      <c r="K72" s="18">
        <f t="shared" si="15"/>
        <v>1119645.6610085366</v>
      </c>
      <c r="L72" s="18">
        <f t="shared" si="16"/>
        <v>534903.20612406288</v>
      </c>
    </row>
    <row r="73" spans="1:12" x14ac:dyDescent="0.3">
      <c r="A73">
        <v>68</v>
      </c>
      <c r="B73" s="17">
        <v>46905</v>
      </c>
      <c r="C73" s="18">
        <f t="shared" si="17"/>
        <v>1119645.6610085366</v>
      </c>
      <c r="D73" s="18">
        <f t="shared" si="10"/>
        <v>7983.6299421501908</v>
      </c>
      <c r="E73" s="18">
        <f t="shared" si="11"/>
        <v>1452.3635862670608</v>
      </c>
      <c r="F73" s="16">
        <f t="shared" si="12"/>
        <v>1.5565963091846297E-2</v>
      </c>
      <c r="G73" s="18">
        <f t="shared" si="13"/>
        <v>6531.26635588313</v>
      </c>
      <c r="H73" s="16">
        <f t="shared" si="14"/>
        <v>7.0000000000000007E-2</v>
      </c>
      <c r="I73" s="18">
        <f t="shared" si="18"/>
        <v>81806.702577730655</v>
      </c>
      <c r="J73" s="18">
        <f t="shared" si="19"/>
        <v>461080.1334884825</v>
      </c>
      <c r="K73" s="18">
        <f t="shared" si="15"/>
        <v>1118193.2974222696</v>
      </c>
      <c r="L73" s="18">
        <f t="shared" si="16"/>
        <v>542886.8360662132</v>
      </c>
    </row>
    <row r="74" spans="1:12" x14ac:dyDescent="0.3">
      <c r="A74">
        <v>69</v>
      </c>
      <c r="B74" s="17">
        <v>46935</v>
      </c>
      <c r="C74" s="18">
        <f t="shared" si="17"/>
        <v>1118193.2974222696</v>
      </c>
      <c r="D74" s="18">
        <f t="shared" si="10"/>
        <v>7983.6299421501908</v>
      </c>
      <c r="E74" s="18">
        <f t="shared" si="11"/>
        <v>1460.8357071869514</v>
      </c>
      <c r="F74" s="16">
        <f t="shared" si="12"/>
        <v>1.5677100306945815E-2</v>
      </c>
      <c r="G74" s="18">
        <f t="shared" si="13"/>
        <v>6522.7942349632394</v>
      </c>
      <c r="H74" s="16">
        <f t="shared" si="14"/>
        <v>7.0000000000000007E-2</v>
      </c>
      <c r="I74" s="18">
        <f t="shared" si="18"/>
        <v>83267.538284917609</v>
      </c>
      <c r="J74" s="18">
        <f t="shared" si="19"/>
        <v>467602.92772344575</v>
      </c>
      <c r="K74" s="18">
        <f t="shared" si="15"/>
        <v>1116732.4617150826</v>
      </c>
      <c r="L74" s="18">
        <f t="shared" si="16"/>
        <v>550870.46600836341</v>
      </c>
    </row>
    <row r="75" spans="1:12" x14ac:dyDescent="0.3">
      <c r="A75">
        <v>70</v>
      </c>
      <c r="B75" s="17">
        <v>46966</v>
      </c>
      <c r="C75" s="18">
        <f t="shared" si="17"/>
        <v>1116732.4617150826</v>
      </c>
      <c r="D75" s="18">
        <f t="shared" si="10"/>
        <v>7983.6299421501908</v>
      </c>
      <c r="E75" s="18">
        <f t="shared" si="11"/>
        <v>1469.3572488122081</v>
      </c>
      <c r="F75" s="16">
        <f t="shared" si="12"/>
        <v>1.5789177435271071E-2</v>
      </c>
      <c r="G75" s="18">
        <f t="shared" si="13"/>
        <v>6514.2726933379827</v>
      </c>
      <c r="H75" s="16">
        <f t="shared" si="14"/>
        <v>7.0000000000000007E-2</v>
      </c>
      <c r="I75" s="18">
        <f t="shared" si="18"/>
        <v>84736.89553372981</v>
      </c>
      <c r="J75" s="18">
        <f t="shared" si="19"/>
        <v>474117.20041678374</v>
      </c>
      <c r="K75" s="18">
        <f t="shared" si="15"/>
        <v>1115263.1044662704</v>
      </c>
      <c r="L75" s="18">
        <f t="shared" si="16"/>
        <v>558854.09595051361</v>
      </c>
    </row>
    <row r="76" spans="1:12" x14ac:dyDescent="0.3">
      <c r="A76">
        <v>71</v>
      </c>
      <c r="B76" s="17">
        <v>46997</v>
      </c>
      <c r="C76" s="18">
        <f t="shared" si="17"/>
        <v>1115263.1044662704</v>
      </c>
      <c r="D76" s="18">
        <f t="shared" si="10"/>
        <v>7983.6299421501908</v>
      </c>
      <c r="E76" s="18">
        <f t="shared" si="11"/>
        <v>1477.9284994302798</v>
      </c>
      <c r="F76" s="16">
        <f t="shared" si="12"/>
        <v>1.5902204531056226E-2</v>
      </c>
      <c r="G76" s="18">
        <f t="shared" si="13"/>
        <v>6505.701442719911</v>
      </c>
      <c r="H76" s="16">
        <f t="shared" si="14"/>
        <v>7.0000000000000007E-2</v>
      </c>
      <c r="I76" s="18">
        <f t="shared" si="18"/>
        <v>86214.824033160083</v>
      </c>
      <c r="J76" s="18">
        <f t="shared" si="19"/>
        <v>480622.90185950365</v>
      </c>
      <c r="K76" s="18">
        <f t="shared" si="15"/>
        <v>1113785.1759668402</v>
      </c>
      <c r="L76" s="18">
        <f t="shared" si="16"/>
        <v>566837.7258926637</v>
      </c>
    </row>
    <row r="77" spans="1:12" x14ac:dyDescent="0.3">
      <c r="A77">
        <v>72</v>
      </c>
      <c r="B77" s="17">
        <v>47027</v>
      </c>
      <c r="C77" s="18">
        <f t="shared" si="17"/>
        <v>1113785.1759668402</v>
      </c>
      <c r="D77" s="18">
        <f t="shared" si="10"/>
        <v>7983.6299421501908</v>
      </c>
      <c r="E77" s="18">
        <f t="shared" si="11"/>
        <v>1486.5497490102889</v>
      </c>
      <c r="F77" s="16">
        <f t="shared" si="12"/>
        <v>1.6016191787288216E-2</v>
      </c>
      <c r="G77" s="18">
        <f t="shared" si="13"/>
        <v>6497.0801931399019</v>
      </c>
      <c r="H77" s="16">
        <f t="shared" si="14"/>
        <v>7.0000000000000007E-2</v>
      </c>
      <c r="I77" s="18">
        <f t="shared" si="18"/>
        <v>87701.373782170369</v>
      </c>
      <c r="J77" s="18">
        <f t="shared" si="19"/>
        <v>487119.98205264355</v>
      </c>
      <c r="K77" s="18">
        <f t="shared" si="15"/>
        <v>1112298.62621783</v>
      </c>
      <c r="L77" s="18">
        <f t="shared" si="16"/>
        <v>574821.3558348139</v>
      </c>
    </row>
    <row r="78" spans="1:12" x14ac:dyDescent="0.3">
      <c r="A78">
        <v>73</v>
      </c>
      <c r="B78" s="17">
        <v>47058</v>
      </c>
      <c r="C78" s="18">
        <f t="shared" si="17"/>
        <v>1112298.62621783</v>
      </c>
      <c r="D78" s="18">
        <f t="shared" si="10"/>
        <v>7983.6299421501908</v>
      </c>
      <c r="E78" s="18">
        <f t="shared" si="11"/>
        <v>1495.2212892128491</v>
      </c>
      <c r="F78" s="16">
        <f t="shared" si="12"/>
        <v>1.6131149538110047E-2</v>
      </c>
      <c r="G78" s="18">
        <f t="shared" si="13"/>
        <v>6488.4086529373417</v>
      </c>
      <c r="H78" s="16">
        <f t="shared" si="14"/>
        <v>7.0000000000000007E-2</v>
      </c>
      <c r="I78" s="18">
        <f t="shared" si="18"/>
        <v>89196.595071383214</v>
      </c>
      <c r="J78" s="18">
        <f t="shared" si="19"/>
        <v>493608.39070558088</v>
      </c>
      <c r="K78" s="18">
        <f t="shared" si="15"/>
        <v>1110803.4049286172</v>
      </c>
      <c r="L78" s="18">
        <f t="shared" si="16"/>
        <v>582804.98577696411</v>
      </c>
    </row>
    <row r="79" spans="1:12" x14ac:dyDescent="0.3">
      <c r="A79">
        <v>74</v>
      </c>
      <c r="B79" s="17">
        <v>47088</v>
      </c>
      <c r="C79" s="18">
        <f t="shared" si="17"/>
        <v>1110803.4049286172</v>
      </c>
      <c r="D79" s="18">
        <f t="shared" si="10"/>
        <v>7983.6299421501908</v>
      </c>
      <c r="E79" s="18">
        <f t="shared" si="11"/>
        <v>1503.9434133999239</v>
      </c>
      <c r="F79" s="16">
        <f t="shared" si="12"/>
        <v>1.6247088261274144E-2</v>
      </c>
      <c r="G79" s="18">
        <f t="shared" si="13"/>
        <v>6479.6865287502669</v>
      </c>
      <c r="H79" s="16">
        <f t="shared" si="14"/>
        <v>7.0000000000000007E-2</v>
      </c>
      <c r="I79" s="18">
        <f t="shared" si="18"/>
        <v>90700.538484783145</v>
      </c>
      <c r="J79" s="18">
        <f t="shared" si="19"/>
        <v>500088.07723433117</v>
      </c>
      <c r="K79" s="18">
        <f t="shared" si="15"/>
        <v>1109299.4615152173</v>
      </c>
      <c r="L79" s="18">
        <f t="shared" si="16"/>
        <v>590788.61571911431</v>
      </c>
    </row>
    <row r="80" spans="1:12" x14ac:dyDescent="0.3">
      <c r="A80">
        <v>75</v>
      </c>
      <c r="B80" s="17">
        <v>47119</v>
      </c>
      <c r="C80" s="18">
        <f t="shared" si="17"/>
        <v>1109299.4615152173</v>
      </c>
      <c r="D80" s="18">
        <f t="shared" si="10"/>
        <v>7983.6299421501908</v>
      </c>
      <c r="E80" s="18">
        <f t="shared" si="11"/>
        <v>1512.7164166447565</v>
      </c>
      <c r="F80" s="16">
        <f t="shared" si="12"/>
        <v>1.6364018580647316E-2</v>
      </c>
      <c r="G80" s="18">
        <f t="shared" si="13"/>
        <v>6470.9135255054343</v>
      </c>
      <c r="H80" s="16">
        <f t="shared" si="14"/>
        <v>7.0000000000000007E-2</v>
      </c>
      <c r="I80" s="18">
        <f t="shared" si="18"/>
        <v>92213.254901427907</v>
      </c>
      <c r="J80" s="18">
        <f t="shared" si="19"/>
        <v>506558.99075983663</v>
      </c>
      <c r="K80" s="18">
        <f t="shared" si="15"/>
        <v>1107786.7450985725</v>
      </c>
      <c r="L80" s="18">
        <f t="shared" si="16"/>
        <v>598772.24566126452</v>
      </c>
    </row>
    <row r="81" spans="1:12" x14ac:dyDescent="0.3">
      <c r="A81">
        <v>76</v>
      </c>
      <c r="B81" s="17">
        <v>47150</v>
      </c>
      <c r="C81" s="18">
        <f t="shared" si="17"/>
        <v>1107786.7450985725</v>
      </c>
      <c r="D81" s="18">
        <f t="shared" si="10"/>
        <v>7983.6299421501908</v>
      </c>
      <c r="E81" s="18">
        <f t="shared" si="11"/>
        <v>1521.5405957418516</v>
      </c>
      <c r="F81" s="16">
        <f t="shared" si="12"/>
        <v>1.6481951268768388E-2</v>
      </c>
      <c r="G81" s="18">
        <f t="shared" si="13"/>
        <v>6462.0893464083392</v>
      </c>
      <c r="H81" s="16">
        <f t="shared" si="14"/>
        <v>7.0000000000000007E-2</v>
      </c>
      <c r="I81" s="18">
        <f t="shared" si="18"/>
        <v>93734.795497169762</v>
      </c>
      <c r="J81" s="18">
        <f t="shared" si="19"/>
        <v>513021.08010624495</v>
      </c>
      <c r="K81" s="18">
        <f t="shared" si="15"/>
        <v>1106265.2045028305</v>
      </c>
      <c r="L81" s="18">
        <f t="shared" si="16"/>
        <v>606755.87560341472</v>
      </c>
    </row>
    <row r="82" spans="1:12" x14ac:dyDescent="0.3">
      <c r="A82">
        <v>77</v>
      </c>
      <c r="B82" s="17">
        <v>47178</v>
      </c>
      <c r="C82" s="18">
        <f t="shared" si="17"/>
        <v>1106265.2045028305</v>
      </c>
      <c r="D82" s="18">
        <f t="shared" si="10"/>
        <v>7983.6299421501908</v>
      </c>
      <c r="E82" s="18">
        <f t="shared" si="11"/>
        <v>1530.4162492170126</v>
      </c>
      <c r="F82" s="16">
        <f t="shared" si="12"/>
        <v>1.6600897249459824E-2</v>
      </c>
      <c r="G82" s="18">
        <f t="shared" si="13"/>
        <v>6453.2136929331782</v>
      </c>
      <c r="H82" s="16">
        <f t="shared" si="14"/>
        <v>7.0000000000000007E-2</v>
      </c>
      <c r="I82" s="18">
        <f t="shared" si="18"/>
        <v>95265.211746386776</v>
      </c>
      <c r="J82" s="18">
        <f t="shared" si="19"/>
        <v>519474.29379917815</v>
      </c>
      <c r="K82" s="18">
        <f t="shared" si="15"/>
        <v>1104734.7882536135</v>
      </c>
      <c r="L82" s="18">
        <f t="shared" si="16"/>
        <v>614739.50554556493</v>
      </c>
    </row>
    <row r="83" spans="1:12" x14ac:dyDescent="0.3">
      <c r="A83">
        <v>78</v>
      </c>
      <c r="B83" s="17">
        <v>47209</v>
      </c>
      <c r="C83" s="18">
        <f t="shared" si="17"/>
        <v>1104734.7882536135</v>
      </c>
      <c r="D83" s="18">
        <f t="shared" si="10"/>
        <v>7983.6299421501908</v>
      </c>
      <c r="E83" s="18">
        <f t="shared" si="11"/>
        <v>1539.3436773374451</v>
      </c>
      <c r="F83" s="16">
        <f t="shared" si="12"/>
        <v>1.672086760049481E-2</v>
      </c>
      <c r="G83" s="18">
        <f t="shared" si="13"/>
        <v>6444.2862648127457</v>
      </c>
      <c r="H83" s="16">
        <f t="shared" si="14"/>
        <v>7.0000000000000007E-2</v>
      </c>
      <c r="I83" s="18">
        <f t="shared" si="18"/>
        <v>96804.555423724218</v>
      </c>
      <c r="J83" s="18">
        <f t="shared" si="19"/>
        <v>525918.5800639909</v>
      </c>
      <c r="K83" s="18">
        <f t="shared" si="15"/>
        <v>1103195.444576276</v>
      </c>
      <c r="L83" s="18">
        <f t="shared" si="16"/>
        <v>622723.13548771513</v>
      </c>
    </row>
    <row r="84" spans="1:12" x14ac:dyDescent="0.3">
      <c r="A84">
        <v>79</v>
      </c>
      <c r="B84" s="17">
        <v>47239</v>
      </c>
      <c r="C84" s="18">
        <f t="shared" si="17"/>
        <v>1103195.444576276</v>
      </c>
      <c r="D84" s="18">
        <f t="shared" si="10"/>
        <v>7983.6299421501908</v>
      </c>
      <c r="E84" s="18">
        <f t="shared" si="11"/>
        <v>1548.3231821219142</v>
      </c>
      <c r="F84" s="16">
        <f t="shared" si="12"/>
        <v>1.6841873556321E-2</v>
      </c>
      <c r="G84" s="18">
        <f t="shared" si="13"/>
        <v>6435.3067600282766</v>
      </c>
      <c r="H84" s="16">
        <f t="shared" si="14"/>
        <v>7.0000000000000007E-2</v>
      </c>
      <c r="I84" s="18">
        <f t="shared" si="18"/>
        <v>98352.878605846126</v>
      </c>
      <c r="J84" s="18">
        <f t="shared" si="19"/>
        <v>532353.88682401914</v>
      </c>
      <c r="K84" s="18">
        <f t="shared" si="15"/>
        <v>1101647.1213941542</v>
      </c>
      <c r="L84" s="18">
        <f t="shared" si="16"/>
        <v>630706.76542986522</v>
      </c>
    </row>
    <row r="85" spans="1:12" x14ac:dyDescent="0.3">
      <c r="A85">
        <v>80</v>
      </c>
      <c r="B85" s="17">
        <v>47270</v>
      </c>
      <c r="C85" s="18">
        <f t="shared" si="17"/>
        <v>1101647.1213941542</v>
      </c>
      <c r="D85" s="18">
        <f t="shared" si="10"/>
        <v>7983.6299421501908</v>
      </c>
      <c r="E85" s="18">
        <f t="shared" si="11"/>
        <v>1557.3550673509581</v>
      </c>
      <c r="F85" s="16">
        <f t="shared" si="12"/>
        <v>1.696392651084239E-2</v>
      </c>
      <c r="G85" s="18">
        <f t="shared" si="13"/>
        <v>6426.2748747992327</v>
      </c>
      <c r="H85" s="16">
        <f t="shared" si="14"/>
        <v>7.0000000000000007E-2</v>
      </c>
      <c r="I85" s="18">
        <f t="shared" si="18"/>
        <v>99910.233673197086</v>
      </c>
      <c r="J85" s="18">
        <f t="shared" si="19"/>
        <v>538780.16169881832</v>
      </c>
      <c r="K85" s="18">
        <f t="shared" si="15"/>
        <v>1100089.7663268032</v>
      </c>
      <c r="L85" s="18">
        <f t="shared" si="16"/>
        <v>638690.39537201542</v>
      </c>
    </row>
    <row r="86" spans="1:12" x14ac:dyDescent="0.3">
      <c r="A86">
        <v>81</v>
      </c>
      <c r="B86" s="17">
        <v>47300</v>
      </c>
      <c r="C86" s="18">
        <f t="shared" si="17"/>
        <v>1100089.7663268032</v>
      </c>
      <c r="D86" s="18">
        <f t="shared" si="10"/>
        <v>7983.6299421501908</v>
      </c>
      <c r="E86" s="18">
        <f t="shared" si="11"/>
        <v>1566.4396385771715</v>
      </c>
      <c r="F86" s="16">
        <f t="shared" si="12"/>
        <v>1.7087038020260938E-2</v>
      </c>
      <c r="G86" s="18">
        <f t="shared" si="13"/>
        <v>6417.1903035730193</v>
      </c>
      <c r="H86" s="16">
        <f t="shared" si="14"/>
        <v>7.0000000000000007E-2</v>
      </c>
      <c r="I86" s="18">
        <f t="shared" si="18"/>
        <v>101476.67331177426</v>
      </c>
      <c r="J86" s="18">
        <f t="shared" si="19"/>
        <v>545197.35200239136</v>
      </c>
      <c r="K86" s="18">
        <f t="shared" si="15"/>
        <v>1098523.3266882261</v>
      </c>
      <c r="L86" s="18">
        <f t="shared" si="16"/>
        <v>646674.02531416563</v>
      </c>
    </row>
    <row r="87" spans="1:12" x14ac:dyDescent="0.3">
      <c r="A87">
        <v>82</v>
      </c>
      <c r="B87" s="17">
        <v>47331</v>
      </c>
      <c r="C87" s="18">
        <f t="shared" si="17"/>
        <v>1098523.3266882261</v>
      </c>
      <c r="D87" s="18">
        <f t="shared" si="10"/>
        <v>7983.6299421501908</v>
      </c>
      <c r="E87" s="18">
        <f t="shared" si="11"/>
        <v>1575.5772031355382</v>
      </c>
      <c r="F87" s="16">
        <f t="shared" si="12"/>
        <v>1.721121980597911E-2</v>
      </c>
      <c r="G87" s="18">
        <f t="shared" si="13"/>
        <v>6408.0527390146526</v>
      </c>
      <c r="H87" s="16">
        <f t="shared" si="14"/>
        <v>7.0000000000000007E-2</v>
      </c>
      <c r="I87" s="18">
        <f t="shared" si="18"/>
        <v>103052.2505149098</v>
      </c>
      <c r="J87" s="18">
        <f t="shared" si="19"/>
        <v>551605.40474140598</v>
      </c>
      <c r="K87" s="18">
        <f t="shared" si="15"/>
        <v>1096947.7494850906</v>
      </c>
      <c r="L87" s="18">
        <f t="shared" si="16"/>
        <v>654657.65525631583</v>
      </c>
    </row>
    <row r="88" spans="1:12" x14ac:dyDescent="0.3">
      <c r="A88">
        <v>83</v>
      </c>
      <c r="B88" s="17">
        <v>47362</v>
      </c>
      <c r="C88" s="18">
        <f t="shared" si="17"/>
        <v>1096947.7494850906</v>
      </c>
      <c r="D88" s="18">
        <f t="shared" si="10"/>
        <v>7983.6299421501908</v>
      </c>
      <c r="E88" s="18">
        <f t="shared" si="11"/>
        <v>1584.7680701538284</v>
      </c>
      <c r="F88" s="16">
        <f t="shared" si="12"/>
        <v>1.733648375756517E-2</v>
      </c>
      <c r="G88" s="18">
        <f t="shared" si="13"/>
        <v>6398.8618719963624</v>
      </c>
      <c r="H88" s="16">
        <f t="shared" si="14"/>
        <v>7.0000000000000007E-2</v>
      </c>
      <c r="I88" s="18">
        <f t="shared" si="18"/>
        <v>104637.01858506363</v>
      </c>
      <c r="J88" s="18">
        <f t="shared" si="19"/>
        <v>558004.26661340229</v>
      </c>
      <c r="K88" s="18">
        <f t="shared" si="15"/>
        <v>1095362.9814149367</v>
      </c>
      <c r="L88" s="18">
        <f t="shared" si="16"/>
        <v>662641.28519846592</v>
      </c>
    </row>
    <row r="89" spans="1:12" x14ac:dyDescent="0.3">
      <c r="A89">
        <v>84</v>
      </c>
      <c r="B89" s="17">
        <v>47392</v>
      </c>
      <c r="C89" s="18">
        <f t="shared" si="17"/>
        <v>1095362.9814149367</v>
      </c>
      <c r="D89" s="18">
        <f t="shared" si="10"/>
        <v>7983.6299421501908</v>
      </c>
      <c r="E89" s="18">
        <f t="shared" si="11"/>
        <v>1594.0125505630594</v>
      </c>
      <c r="F89" s="16">
        <f t="shared" si="12"/>
        <v>1.7462841935782691E-2</v>
      </c>
      <c r="G89" s="18">
        <f t="shared" si="13"/>
        <v>6389.6173915871314</v>
      </c>
      <c r="H89" s="16">
        <f t="shared" si="14"/>
        <v>7.0000000000000007E-2</v>
      </c>
      <c r="I89" s="18">
        <f t="shared" si="18"/>
        <v>106231.03113562669</v>
      </c>
      <c r="J89" s="18">
        <f t="shared" si="19"/>
        <v>564393.88400498941</v>
      </c>
      <c r="K89" s="18">
        <f t="shared" si="15"/>
        <v>1093768.9688643736</v>
      </c>
      <c r="L89" s="18">
        <f t="shared" si="16"/>
        <v>670624.91514061613</v>
      </c>
    </row>
    <row r="90" spans="1:12" x14ac:dyDescent="0.3">
      <c r="A90">
        <v>85</v>
      </c>
      <c r="B90" s="17">
        <v>47423</v>
      </c>
      <c r="C90" s="18">
        <f t="shared" si="17"/>
        <v>1093768.9688643736</v>
      </c>
      <c r="D90" s="18">
        <f t="shared" si="10"/>
        <v>7983.6299421501908</v>
      </c>
      <c r="E90" s="18">
        <f t="shared" si="11"/>
        <v>1603.3109571080113</v>
      </c>
      <c r="F90" s="16">
        <f t="shared" si="12"/>
        <v>1.759030657568586E-2</v>
      </c>
      <c r="G90" s="18">
        <f t="shared" si="13"/>
        <v>6380.3189850421795</v>
      </c>
      <c r="H90" s="16">
        <f t="shared" si="14"/>
        <v>7.0000000000000007E-2</v>
      </c>
      <c r="I90" s="18">
        <f t="shared" si="18"/>
        <v>107834.3420927347</v>
      </c>
      <c r="J90" s="18">
        <f t="shared" si="19"/>
        <v>570774.20299003157</v>
      </c>
      <c r="K90" s="18">
        <f t="shared" si="15"/>
        <v>1092165.6579072657</v>
      </c>
      <c r="L90" s="18">
        <f t="shared" si="16"/>
        <v>678608.54508276633</v>
      </c>
    </row>
    <row r="91" spans="1:12" x14ac:dyDescent="0.3">
      <c r="A91">
        <v>86</v>
      </c>
      <c r="B91" s="17">
        <v>47453</v>
      </c>
      <c r="C91" s="18">
        <f t="shared" si="17"/>
        <v>1092165.6579072657</v>
      </c>
      <c r="D91" s="18">
        <f t="shared" si="10"/>
        <v>7983.6299421501908</v>
      </c>
      <c r="E91" s="18">
        <f t="shared" si="11"/>
        <v>1612.6636043578073</v>
      </c>
      <c r="F91" s="16">
        <f t="shared" si="12"/>
        <v>1.7718890089782367E-2</v>
      </c>
      <c r="G91" s="18">
        <f t="shared" si="13"/>
        <v>6370.9663377923835</v>
      </c>
      <c r="H91" s="16">
        <f t="shared" si="14"/>
        <v>7.0000000000000007E-2</v>
      </c>
      <c r="I91" s="18">
        <f t="shared" si="18"/>
        <v>109447.00569709251</v>
      </c>
      <c r="J91" s="18">
        <f t="shared" si="19"/>
        <v>577145.16932782391</v>
      </c>
      <c r="K91" s="18">
        <f t="shared" si="15"/>
        <v>1090552.994302908</v>
      </c>
      <c r="L91" s="18">
        <f t="shared" si="16"/>
        <v>686592.17502491642</v>
      </c>
    </row>
    <row r="92" spans="1:12" x14ac:dyDescent="0.3">
      <c r="A92">
        <v>87</v>
      </c>
      <c r="B92" s="17">
        <v>47484</v>
      </c>
      <c r="C92" s="18">
        <f t="shared" si="17"/>
        <v>1090552.994302908</v>
      </c>
      <c r="D92" s="18">
        <f t="shared" si="10"/>
        <v>7983.6299421501908</v>
      </c>
      <c r="E92" s="18">
        <f t="shared" si="11"/>
        <v>1622.0708087165604</v>
      </c>
      <c r="F92" s="16">
        <f t="shared" si="12"/>
        <v>1.7848605071265559E-2</v>
      </c>
      <c r="G92" s="18">
        <f t="shared" si="13"/>
        <v>6361.5591334336304</v>
      </c>
      <c r="H92" s="16">
        <f t="shared" si="14"/>
        <v>7.0000000000000007E-2</v>
      </c>
      <c r="I92" s="18">
        <f t="shared" si="18"/>
        <v>111069.07650580906</v>
      </c>
      <c r="J92" s="18">
        <f t="shared" si="19"/>
        <v>583506.72846125753</v>
      </c>
      <c r="K92" s="18">
        <f t="shared" si="15"/>
        <v>1088930.9234941914</v>
      </c>
      <c r="L92" s="18">
        <f t="shared" si="16"/>
        <v>694575.80496706662</v>
      </c>
    </row>
    <row r="93" spans="1:12" x14ac:dyDescent="0.3">
      <c r="A93">
        <v>88</v>
      </c>
      <c r="B93" s="17">
        <v>47515</v>
      </c>
      <c r="C93" s="18">
        <f t="shared" si="17"/>
        <v>1088930.9234941914</v>
      </c>
      <c r="D93" s="18">
        <f t="shared" si="10"/>
        <v>7983.6299421501908</v>
      </c>
      <c r="E93" s="18">
        <f t="shared" si="11"/>
        <v>1631.5328884340743</v>
      </c>
      <c r="F93" s="16">
        <f t="shared" si="12"/>
        <v>1.7979464297317595E-2</v>
      </c>
      <c r="G93" s="18">
        <f t="shared" si="13"/>
        <v>6352.0970537161165</v>
      </c>
      <c r="H93" s="16">
        <f t="shared" si="14"/>
        <v>7.0000000000000007E-2</v>
      </c>
      <c r="I93" s="18">
        <f t="shared" si="18"/>
        <v>112700.60939424313</v>
      </c>
      <c r="J93" s="18">
        <f t="shared" si="19"/>
        <v>589858.82551497361</v>
      </c>
      <c r="K93" s="18">
        <f t="shared" si="15"/>
        <v>1087299.3906057572</v>
      </c>
      <c r="L93" s="18">
        <f t="shared" si="16"/>
        <v>702559.43490921671</v>
      </c>
    </row>
    <row r="94" spans="1:12" x14ac:dyDescent="0.3">
      <c r="A94">
        <v>89</v>
      </c>
      <c r="B94" s="17">
        <v>47543</v>
      </c>
      <c r="C94" s="18">
        <f t="shared" si="17"/>
        <v>1087299.3906057572</v>
      </c>
      <c r="D94" s="18">
        <f t="shared" si="10"/>
        <v>7983.6299421501908</v>
      </c>
      <c r="E94" s="18">
        <f t="shared" si="11"/>
        <v>1641.0501636166064</v>
      </c>
      <c r="F94" s="16">
        <f t="shared" si="12"/>
        <v>1.8111480732485391E-2</v>
      </c>
      <c r="G94" s="18">
        <f t="shared" si="13"/>
        <v>6342.5797785335844</v>
      </c>
      <c r="H94" s="16">
        <f t="shared" si="14"/>
        <v>7.0000000000000007E-2</v>
      </c>
      <c r="I94" s="18">
        <f t="shared" si="18"/>
        <v>114341.65955785973</v>
      </c>
      <c r="J94" s="18">
        <f t="shared" si="19"/>
        <v>596201.40529350715</v>
      </c>
      <c r="K94" s="18">
        <f t="shared" si="15"/>
        <v>1085658.3404421406</v>
      </c>
      <c r="L94" s="18">
        <f t="shared" si="16"/>
        <v>710543.06485136691</v>
      </c>
    </row>
    <row r="95" spans="1:12" x14ac:dyDescent="0.3">
      <c r="A95">
        <v>90</v>
      </c>
      <c r="B95" s="17">
        <v>47574</v>
      </c>
      <c r="C95" s="18">
        <f t="shared" si="17"/>
        <v>1085658.3404421406</v>
      </c>
      <c r="D95" s="18">
        <f t="shared" si="10"/>
        <v>7983.6299421501908</v>
      </c>
      <c r="E95" s="18">
        <f t="shared" si="11"/>
        <v>1650.6229562377039</v>
      </c>
      <c r="F95" s="16">
        <f t="shared" si="12"/>
        <v>1.8244667532131463E-2</v>
      </c>
      <c r="G95" s="18">
        <f t="shared" si="13"/>
        <v>6333.0069859124869</v>
      </c>
      <c r="H95" s="16">
        <f t="shared" si="14"/>
        <v>7.0000000000000007E-2</v>
      </c>
      <c r="I95" s="18">
        <f t="shared" si="18"/>
        <v>115992.28251409743</v>
      </c>
      <c r="J95" s="18">
        <f t="shared" si="19"/>
        <v>602534.4122794196</v>
      </c>
      <c r="K95" s="18">
        <f t="shared" si="15"/>
        <v>1084007.7174859028</v>
      </c>
      <c r="L95" s="18">
        <f t="shared" si="16"/>
        <v>718526.694793517</v>
      </c>
    </row>
    <row r="96" spans="1:12" x14ac:dyDescent="0.3">
      <c r="A96">
        <v>91</v>
      </c>
      <c r="B96" s="17">
        <v>47604</v>
      </c>
      <c r="C96" s="18">
        <f t="shared" si="17"/>
        <v>1084007.7174859028</v>
      </c>
      <c r="D96" s="18">
        <f t="shared" si="10"/>
        <v>7983.6299421501908</v>
      </c>
      <c r="E96" s="18">
        <f t="shared" si="11"/>
        <v>1660.2515901490906</v>
      </c>
      <c r="F96" s="16">
        <f t="shared" si="12"/>
        <v>1.8379038045961308E-2</v>
      </c>
      <c r="G96" s="18">
        <f t="shared" si="13"/>
        <v>6323.3783520011002</v>
      </c>
      <c r="H96" s="16">
        <f t="shared" si="14"/>
        <v>7.0000000000000007E-2</v>
      </c>
      <c r="I96" s="18">
        <f t="shared" si="18"/>
        <v>117652.53410424652</v>
      </c>
      <c r="J96" s="18">
        <f t="shared" si="19"/>
        <v>608857.79063142068</v>
      </c>
      <c r="K96" s="18">
        <f t="shared" si="15"/>
        <v>1082347.4658957538</v>
      </c>
      <c r="L96" s="18">
        <f t="shared" si="16"/>
        <v>726510.32473566721</v>
      </c>
    </row>
    <row r="97" spans="1:12" x14ac:dyDescent="0.3">
      <c r="A97">
        <v>92</v>
      </c>
      <c r="B97" s="17">
        <v>47635</v>
      </c>
      <c r="C97" s="18">
        <f t="shared" si="17"/>
        <v>1082347.4658957538</v>
      </c>
      <c r="D97" s="18">
        <f t="shared" si="10"/>
        <v>7983.6299421501908</v>
      </c>
      <c r="E97" s="18">
        <f t="shared" si="11"/>
        <v>1669.9363910916263</v>
      </c>
      <c r="F97" s="16">
        <f t="shared" si="12"/>
        <v>1.8514605821629549E-2</v>
      </c>
      <c r="G97" s="18">
        <f t="shared" si="13"/>
        <v>6313.6935510585645</v>
      </c>
      <c r="H97" s="16">
        <f t="shared" si="14"/>
        <v>7.0000000000000007E-2</v>
      </c>
      <c r="I97" s="18">
        <f t="shared" si="18"/>
        <v>119322.47049533814</v>
      </c>
      <c r="J97" s="18">
        <f t="shared" si="19"/>
        <v>615171.48418247921</v>
      </c>
      <c r="K97" s="18">
        <f t="shared" si="15"/>
        <v>1080677.5295046621</v>
      </c>
      <c r="L97" s="18">
        <f t="shared" si="16"/>
        <v>734493.95467781741</v>
      </c>
    </row>
    <row r="98" spans="1:12" x14ac:dyDescent="0.3">
      <c r="A98">
        <v>93</v>
      </c>
      <c r="B98" s="17">
        <v>47665</v>
      </c>
      <c r="C98" s="18">
        <f t="shared" si="17"/>
        <v>1080677.5295046621</v>
      </c>
      <c r="D98" s="18">
        <f t="shared" si="10"/>
        <v>7983.6299421501908</v>
      </c>
      <c r="E98" s="18">
        <f t="shared" si="11"/>
        <v>1679.6776867063281</v>
      </c>
      <c r="F98" s="16">
        <f t="shared" si="12"/>
        <v>1.8651384608426785E-2</v>
      </c>
      <c r="G98" s="18">
        <f t="shared" si="13"/>
        <v>6303.9522554438627</v>
      </c>
      <c r="H98" s="16">
        <f t="shared" si="14"/>
        <v>7.0000000000000007E-2</v>
      </c>
      <c r="I98" s="18">
        <f t="shared" si="18"/>
        <v>121002.14818204448</v>
      </c>
      <c r="J98" s="18">
        <f t="shared" si="19"/>
        <v>621475.43643792311</v>
      </c>
      <c r="K98" s="18">
        <f t="shared" si="15"/>
        <v>1078997.8518179557</v>
      </c>
      <c r="L98" s="18">
        <f t="shared" si="16"/>
        <v>742477.58461996762</v>
      </c>
    </row>
    <row r="99" spans="1:12" x14ac:dyDescent="0.3">
      <c r="A99">
        <v>94</v>
      </c>
      <c r="B99" s="17">
        <v>47696</v>
      </c>
      <c r="C99" s="18">
        <f t="shared" si="17"/>
        <v>1078997.8518179557</v>
      </c>
      <c r="D99" s="18">
        <f t="shared" si="10"/>
        <v>7983.6299421501908</v>
      </c>
      <c r="E99" s="18">
        <f t="shared" si="11"/>
        <v>1689.4758065454489</v>
      </c>
      <c r="F99" s="16">
        <f t="shared" si="12"/>
        <v>1.8789388361049202E-2</v>
      </c>
      <c r="G99" s="18">
        <f t="shared" si="13"/>
        <v>6294.1541356047419</v>
      </c>
      <c r="H99" s="16">
        <f t="shared" si="14"/>
        <v>7.0000000000000007E-2</v>
      </c>
      <c r="I99" s="18">
        <f t="shared" si="18"/>
        <v>122691.62398858993</v>
      </c>
      <c r="J99" s="18">
        <f t="shared" si="19"/>
        <v>627769.59057352785</v>
      </c>
      <c r="K99" s="18">
        <f t="shared" si="15"/>
        <v>1077308.3760114103</v>
      </c>
      <c r="L99" s="18">
        <f t="shared" si="16"/>
        <v>750461.21456211782</v>
      </c>
    </row>
    <row r="100" spans="1:12" x14ac:dyDescent="0.3">
      <c r="A100">
        <v>95</v>
      </c>
      <c r="B100" s="17">
        <v>47727</v>
      </c>
      <c r="C100" s="18">
        <f t="shared" si="17"/>
        <v>1077308.3760114103</v>
      </c>
      <c r="D100" s="18">
        <f t="shared" si="10"/>
        <v>7983.6299421501908</v>
      </c>
      <c r="E100" s="18">
        <f t="shared" si="11"/>
        <v>1699.3310820836305</v>
      </c>
      <c r="F100" s="16">
        <f t="shared" si="12"/>
        <v>1.8928631243453349E-2</v>
      </c>
      <c r="G100" s="18">
        <f t="shared" si="13"/>
        <v>6284.2988600665603</v>
      </c>
      <c r="H100" s="16">
        <f t="shared" si="14"/>
        <v>7.0000000000000007E-2</v>
      </c>
      <c r="I100" s="18">
        <f t="shared" si="18"/>
        <v>124390.95507067356</v>
      </c>
      <c r="J100" s="18">
        <f t="shared" si="19"/>
        <v>634053.88943359442</v>
      </c>
      <c r="K100" s="18">
        <f t="shared" si="15"/>
        <v>1075609.0449293267</v>
      </c>
      <c r="L100" s="18">
        <f t="shared" si="16"/>
        <v>758444.84450426803</v>
      </c>
    </row>
    <row r="101" spans="1:12" x14ac:dyDescent="0.3">
      <c r="A101">
        <v>96</v>
      </c>
      <c r="B101" s="17">
        <v>47757</v>
      </c>
      <c r="C101" s="18">
        <f t="shared" si="17"/>
        <v>1075609.0449293267</v>
      </c>
      <c r="D101" s="18">
        <f t="shared" si="10"/>
        <v>7983.6299421501908</v>
      </c>
      <c r="E101" s="18">
        <f t="shared" si="11"/>
        <v>1709.2438467291176</v>
      </c>
      <c r="F101" s="16">
        <f t="shared" si="12"/>
        <v>1.9069127632798111E-2</v>
      </c>
      <c r="G101" s="18">
        <f t="shared" si="13"/>
        <v>6274.3860954210732</v>
      </c>
      <c r="H101" s="16">
        <f t="shared" si="14"/>
        <v>7.0000000000000007E-2</v>
      </c>
      <c r="I101" s="18">
        <f t="shared" si="18"/>
        <v>126100.19891740268</v>
      </c>
      <c r="J101" s="18">
        <f t="shared" si="19"/>
        <v>640328.27552901546</v>
      </c>
      <c r="K101" s="18">
        <f t="shared" si="15"/>
        <v>1073899.8010825976</v>
      </c>
      <c r="L101" s="18">
        <f t="shared" si="16"/>
        <v>766428.47444641811</v>
      </c>
    </row>
    <row r="102" spans="1:12" x14ac:dyDescent="0.3">
      <c r="A102">
        <v>97</v>
      </c>
      <c r="B102" s="17">
        <v>47788</v>
      </c>
      <c r="C102" s="18">
        <f t="shared" si="17"/>
        <v>1073899.8010825976</v>
      </c>
      <c r="D102" s="18">
        <f t="shared" si="10"/>
        <v>7983.6299421501908</v>
      </c>
      <c r="E102" s="18">
        <f t="shared" si="11"/>
        <v>1719.2144358350379</v>
      </c>
      <c r="F102" s="16">
        <f t="shared" si="12"/>
        <v>1.9210892123476316E-2</v>
      </c>
      <c r="G102" s="18">
        <f t="shared" si="13"/>
        <v>6264.4155063151529</v>
      </c>
      <c r="H102" s="16">
        <f t="shared" si="14"/>
        <v>7.0000000000000007E-2</v>
      </c>
      <c r="I102" s="18">
        <f t="shared" si="18"/>
        <v>127819.41335323772</v>
      </c>
      <c r="J102" s="18">
        <f t="shared" si="19"/>
        <v>646592.69103533064</v>
      </c>
      <c r="K102" s="18">
        <f t="shared" si="15"/>
        <v>1072180.5866467624</v>
      </c>
      <c r="L102" s="18">
        <f t="shared" si="16"/>
        <v>774412.10438856832</v>
      </c>
    </row>
    <row r="103" spans="1:12" x14ac:dyDescent="0.3">
      <c r="A103">
        <v>98</v>
      </c>
      <c r="B103" s="17">
        <v>47818</v>
      </c>
      <c r="C103" s="18">
        <f t="shared" si="17"/>
        <v>1072180.5866467624</v>
      </c>
      <c r="D103" s="18">
        <f t="shared" si="10"/>
        <v>7983.6299421501908</v>
      </c>
      <c r="E103" s="18">
        <f t="shared" si="11"/>
        <v>1729.2431867107425</v>
      </c>
      <c r="F103" s="16">
        <f t="shared" si="12"/>
        <v>1.9353939531238172E-2</v>
      </c>
      <c r="G103" s="18">
        <f t="shared" si="13"/>
        <v>6254.3867554394483</v>
      </c>
      <c r="H103" s="16">
        <f t="shared" si="14"/>
        <v>7.0000000000000007E-2</v>
      </c>
      <c r="I103" s="18">
        <f t="shared" si="18"/>
        <v>129548.65653994845</v>
      </c>
      <c r="J103" s="18">
        <f t="shared" si="19"/>
        <v>652847.0777907701</v>
      </c>
      <c r="K103" s="18">
        <f t="shared" si="15"/>
        <v>1070451.3434600518</v>
      </c>
      <c r="L103" s="18">
        <f t="shared" si="16"/>
        <v>782395.73433071852</v>
      </c>
    </row>
    <row r="104" spans="1:12" x14ac:dyDescent="0.3">
      <c r="A104">
        <v>99</v>
      </c>
      <c r="B104" s="17">
        <v>47849</v>
      </c>
      <c r="C104" s="18">
        <f t="shared" si="17"/>
        <v>1070451.3434600518</v>
      </c>
      <c r="D104" s="18">
        <f t="shared" si="10"/>
        <v>7983.6299421501908</v>
      </c>
      <c r="E104" s="18">
        <f t="shared" si="11"/>
        <v>1739.330438633222</v>
      </c>
      <c r="F104" s="16">
        <f t="shared" si="12"/>
        <v>1.9498284897409339E-2</v>
      </c>
      <c r="G104" s="18">
        <f t="shared" si="13"/>
        <v>6244.2995035169688</v>
      </c>
      <c r="H104" s="16">
        <f t="shared" si="14"/>
        <v>7.0000000000000007E-2</v>
      </c>
      <c r="I104" s="18">
        <f t="shared" si="18"/>
        <v>131287.98697858167</v>
      </c>
      <c r="J104" s="18">
        <f t="shared" si="19"/>
        <v>659091.37729428709</v>
      </c>
      <c r="K104" s="18">
        <f t="shared" si="15"/>
        <v>1068712.0130214186</v>
      </c>
      <c r="L104" s="18">
        <f t="shared" si="16"/>
        <v>790379.36427286873</v>
      </c>
    </row>
    <row r="105" spans="1:12" x14ac:dyDescent="0.3">
      <c r="A105">
        <v>100</v>
      </c>
      <c r="B105" s="17">
        <v>47880</v>
      </c>
      <c r="C105" s="18">
        <f t="shared" si="17"/>
        <v>1068712.0130214186</v>
      </c>
      <c r="D105" s="18">
        <f t="shared" si="10"/>
        <v>7983.6299421501908</v>
      </c>
      <c r="E105" s="18">
        <f t="shared" si="11"/>
        <v>1749.4765328585818</v>
      </c>
      <c r="F105" s="16">
        <f t="shared" si="12"/>
        <v>1.9643943493205814E-2</v>
      </c>
      <c r="G105" s="18">
        <f t="shared" si="13"/>
        <v>6234.153409291609</v>
      </c>
      <c r="H105" s="16">
        <f t="shared" si="14"/>
        <v>7.0000000000000007E-2</v>
      </c>
      <c r="I105" s="18">
        <f t="shared" si="18"/>
        <v>133037.46351144026</v>
      </c>
      <c r="J105" s="18">
        <f t="shared" si="19"/>
        <v>665325.53070357873</v>
      </c>
      <c r="K105" s="18">
        <f t="shared" si="15"/>
        <v>1066962.53648856</v>
      </c>
      <c r="L105" s="18">
        <f t="shared" si="16"/>
        <v>798362.99421501905</v>
      </c>
    </row>
    <row r="106" spans="1:12" x14ac:dyDescent="0.3">
      <c r="A106">
        <v>101</v>
      </c>
      <c r="B106" s="17">
        <v>47908</v>
      </c>
      <c r="C106" s="18">
        <f t="shared" si="17"/>
        <v>1066962.53648856</v>
      </c>
      <c r="D106" s="18">
        <f t="shared" si="10"/>
        <v>7983.6299421501908</v>
      </c>
      <c r="E106" s="18">
        <f t="shared" si="11"/>
        <v>1759.6818126335902</v>
      </c>
      <c r="F106" s="16">
        <f t="shared" si="12"/>
        <v>1.9790930824148473E-2</v>
      </c>
      <c r="G106" s="18">
        <f t="shared" si="13"/>
        <v>6223.9481295166006</v>
      </c>
      <c r="H106" s="16">
        <f t="shared" si="14"/>
        <v>7.0000000000000007E-2</v>
      </c>
      <c r="I106" s="18">
        <f t="shared" si="18"/>
        <v>134797.14532407385</v>
      </c>
      <c r="J106" s="18">
        <f t="shared" si="19"/>
        <v>671549.47883309529</v>
      </c>
      <c r="K106" s="18">
        <f t="shared" si="15"/>
        <v>1065202.8546759265</v>
      </c>
      <c r="L106" s="18">
        <f t="shared" si="16"/>
        <v>806346.62415716914</v>
      </c>
    </row>
    <row r="107" spans="1:12" x14ac:dyDescent="0.3">
      <c r="A107">
        <v>102</v>
      </c>
      <c r="B107" s="17">
        <v>47939</v>
      </c>
      <c r="C107" s="18">
        <f t="shared" si="17"/>
        <v>1065202.8546759265</v>
      </c>
      <c r="D107" s="18">
        <f t="shared" si="10"/>
        <v>7983.6299421501908</v>
      </c>
      <c r="E107" s="18">
        <f t="shared" si="11"/>
        <v>1769.9466232072855</v>
      </c>
      <c r="F107" s="16">
        <f t="shared" si="12"/>
        <v>1.9939262634579791E-2</v>
      </c>
      <c r="G107" s="18">
        <f t="shared" si="13"/>
        <v>6213.6833189429053</v>
      </c>
      <c r="H107" s="16">
        <f t="shared" si="14"/>
        <v>7.0000000000000007E-2</v>
      </c>
      <c r="I107" s="18">
        <f t="shared" si="18"/>
        <v>136567.09194728112</v>
      </c>
      <c r="J107" s="18">
        <f t="shared" si="19"/>
        <v>677763.16215203819</v>
      </c>
      <c r="K107" s="18">
        <f t="shared" si="15"/>
        <v>1063432.9080527192</v>
      </c>
      <c r="L107" s="18">
        <f t="shared" si="16"/>
        <v>814330.25409931934</v>
      </c>
    </row>
    <row r="108" spans="1:12" x14ac:dyDescent="0.3">
      <c r="A108">
        <v>103</v>
      </c>
      <c r="B108" s="17">
        <v>47969</v>
      </c>
      <c r="C108" s="18">
        <f t="shared" si="17"/>
        <v>1063432.9080527192</v>
      </c>
      <c r="D108" s="18">
        <f t="shared" si="10"/>
        <v>7983.6299421501908</v>
      </c>
      <c r="E108" s="18">
        <f t="shared" si="11"/>
        <v>1780.2713118426618</v>
      </c>
      <c r="F108" s="16">
        <f t="shared" si="12"/>
        <v>2.0088954912285701E-2</v>
      </c>
      <c r="G108" s="18">
        <f t="shared" si="13"/>
        <v>6203.358630307529</v>
      </c>
      <c r="H108" s="16">
        <f t="shared" si="14"/>
        <v>7.0000000000000007E-2</v>
      </c>
      <c r="I108" s="18">
        <f t="shared" si="18"/>
        <v>138347.36325912378</v>
      </c>
      <c r="J108" s="18">
        <f t="shared" si="19"/>
        <v>683966.52078234567</v>
      </c>
      <c r="K108" s="18">
        <f t="shared" si="15"/>
        <v>1061652.6367408766</v>
      </c>
      <c r="L108" s="18">
        <f t="shared" si="16"/>
        <v>822313.88404146943</v>
      </c>
    </row>
    <row r="109" spans="1:12" x14ac:dyDescent="0.3">
      <c r="A109">
        <v>104</v>
      </c>
      <c r="B109" s="17">
        <v>48000</v>
      </c>
      <c r="C109" s="18">
        <f t="shared" si="17"/>
        <v>1061652.6367408766</v>
      </c>
      <c r="D109" s="18">
        <f t="shared" si="10"/>
        <v>7983.6299421501908</v>
      </c>
      <c r="E109" s="18">
        <f t="shared" si="11"/>
        <v>1790.65622782841</v>
      </c>
      <c r="F109" s="16">
        <f t="shared" si="12"/>
        <v>2.024002389322524E-2</v>
      </c>
      <c r="G109" s="18">
        <f t="shared" si="13"/>
        <v>6192.9737143217808</v>
      </c>
      <c r="H109" s="16">
        <f t="shared" si="14"/>
        <v>7.0000000000000007E-2</v>
      </c>
      <c r="I109" s="18">
        <f t="shared" si="18"/>
        <v>140138.01948695219</v>
      </c>
      <c r="J109" s="18">
        <f t="shared" si="19"/>
        <v>690159.49449666741</v>
      </c>
      <c r="K109" s="18">
        <f t="shared" si="15"/>
        <v>1059861.9805130481</v>
      </c>
      <c r="L109" s="18">
        <f t="shared" si="16"/>
        <v>830297.51398361963</v>
      </c>
    </row>
    <row r="110" spans="1:12" x14ac:dyDescent="0.3">
      <c r="A110">
        <v>105</v>
      </c>
      <c r="B110" s="17">
        <v>48030</v>
      </c>
      <c r="C110" s="18">
        <f t="shared" si="17"/>
        <v>1059861.9805130481</v>
      </c>
      <c r="D110" s="18">
        <f t="shared" si="10"/>
        <v>7983.6299421501908</v>
      </c>
      <c r="E110" s="18">
        <f t="shared" si="11"/>
        <v>1801.1017224907428</v>
      </c>
      <c r="F110" s="16">
        <f t="shared" si="12"/>
        <v>2.0392486066371195E-2</v>
      </c>
      <c r="G110" s="18">
        <f t="shared" si="13"/>
        <v>6182.528219659448</v>
      </c>
      <c r="H110" s="16">
        <f t="shared" si="14"/>
        <v>7.0000000000000007E-2</v>
      </c>
      <c r="I110" s="18">
        <f t="shared" si="18"/>
        <v>141939.12120944294</v>
      </c>
      <c r="J110" s="18">
        <f t="shared" si="19"/>
        <v>696342.02271632687</v>
      </c>
      <c r="K110" s="18">
        <f t="shared" si="15"/>
        <v>1058060.8787905574</v>
      </c>
      <c r="L110" s="18">
        <f t="shared" si="16"/>
        <v>838281.14392576984</v>
      </c>
    </row>
    <row r="111" spans="1:12" x14ac:dyDescent="0.3">
      <c r="A111">
        <v>106</v>
      </c>
      <c r="B111" s="17">
        <v>48061</v>
      </c>
      <c r="C111" s="18">
        <f t="shared" si="17"/>
        <v>1058060.8787905574</v>
      </c>
      <c r="D111" s="18">
        <f t="shared" si="10"/>
        <v>7983.6299421501908</v>
      </c>
      <c r="E111" s="18">
        <f t="shared" si="11"/>
        <v>1811.6081492052726</v>
      </c>
      <c r="F111" s="16">
        <f t="shared" si="12"/>
        <v>2.0546358178664459E-2</v>
      </c>
      <c r="G111" s="18">
        <f t="shared" si="13"/>
        <v>6172.0217929449182</v>
      </c>
      <c r="H111" s="16">
        <f t="shared" si="14"/>
        <v>7.0000000000000007E-2</v>
      </c>
      <c r="I111" s="18">
        <f t="shared" si="18"/>
        <v>143750.72935864821</v>
      </c>
      <c r="J111" s="18">
        <f t="shared" si="19"/>
        <v>702514.04450927174</v>
      </c>
      <c r="K111" s="18">
        <f t="shared" si="15"/>
        <v>1056249.2706413521</v>
      </c>
      <c r="L111" s="18">
        <f t="shared" si="16"/>
        <v>846264.77386791992</v>
      </c>
    </row>
    <row r="112" spans="1:12" x14ac:dyDescent="0.3">
      <c r="A112">
        <v>107</v>
      </c>
      <c r="B112" s="17">
        <v>48092</v>
      </c>
      <c r="C112" s="18">
        <f t="shared" si="17"/>
        <v>1056249.2706413521</v>
      </c>
      <c r="D112" s="18">
        <f t="shared" si="10"/>
        <v>7983.6299421501908</v>
      </c>
      <c r="E112" s="18">
        <f t="shared" si="11"/>
        <v>1822.1758634089701</v>
      </c>
      <c r="F112" s="16">
        <f t="shared" si="12"/>
        <v>2.0701657240085561E-2</v>
      </c>
      <c r="G112" s="18">
        <f t="shared" si="13"/>
        <v>6161.4540787412207</v>
      </c>
      <c r="H112" s="16">
        <f t="shared" si="14"/>
        <v>7.0000000000000007E-2</v>
      </c>
      <c r="I112" s="18">
        <f t="shared" si="18"/>
        <v>145572.90522205719</v>
      </c>
      <c r="J112" s="18">
        <f t="shared" si="19"/>
        <v>708675.498588013</v>
      </c>
      <c r="K112" s="18">
        <f t="shared" si="15"/>
        <v>1054427.0947779431</v>
      </c>
      <c r="L112" s="18">
        <f t="shared" si="16"/>
        <v>854248.40381007013</v>
      </c>
    </row>
    <row r="113" spans="1:12" x14ac:dyDescent="0.3">
      <c r="A113">
        <v>108</v>
      </c>
      <c r="B113" s="17">
        <v>48122</v>
      </c>
      <c r="C113" s="18">
        <f t="shared" si="17"/>
        <v>1054427.0947779431</v>
      </c>
      <c r="D113" s="18">
        <f t="shared" si="10"/>
        <v>7983.6299421501908</v>
      </c>
      <c r="E113" s="18">
        <f t="shared" si="11"/>
        <v>1832.805222612189</v>
      </c>
      <c r="F113" s="16">
        <f t="shared" si="12"/>
        <v>2.0858400528846445E-2</v>
      </c>
      <c r="G113" s="18">
        <f t="shared" si="13"/>
        <v>6150.8247195380018</v>
      </c>
      <c r="H113" s="16">
        <f t="shared" si="14"/>
        <v>7.0000000000000007E-2</v>
      </c>
      <c r="I113" s="18">
        <f t="shared" si="18"/>
        <v>147405.71044466938</v>
      </c>
      <c r="J113" s="18">
        <f t="shared" si="19"/>
        <v>714826.32330755098</v>
      </c>
      <c r="K113" s="18">
        <f t="shared" si="15"/>
        <v>1052594.289555331</v>
      </c>
      <c r="L113" s="18">
        <f t="shared" si="16"/>
        <v>862232.03375222033</v>
      </c>
    </row>
    <row r="114" spans="1:12" x14ac:dyDescent="0.3">
      <c r="A114">
        <v>109</v>
      </c>
      <c r="B114" s="17">
        <v>48153</v>
      </c>
      <c r="C114" s="18">
        <f t="shared" si="17"/>
        <v>1052594.289555331</v>
      </c>
      <c r="D114" s="18">
        <f t="shared" si="10"/>
        <v>7983.6299421501908</v>
      </c>
      <c r="E114" s="18">
        <f t="shared" si="11"/>
        <v>1843.4965864107598</v>
      </c>
      <c r="F114" s="16">
        <f t="shared" si="12"/>
        <v>2.1016605596705783E-2</v>
      </c>
      <c r="G114" s="18">
        <f t="shared" si="13"/>
        <v>6140.133355739431</v>
      </c>
      <c r="H114" s="16">
        <f t="shared" si="14"/>
        <v>7.0000000000000007E-2</v>
      </c>
      <c r="I114" s="18">
        <f t="shared" si="18"/>
        <v>149249.20703108015</v>
      </c>
      <c r="J114" s="18">
        <f t="shared" si="19"/>
        <v>720966.45666329039</v>
      </c>
      <c r="K114" s="18">
        <f t="shared" si="15"/>
        <v>1050750.7929689202</v>
      </c>
      <c r="L114" s="18">
        <f t="shared" si="16"/>
        <v>870215.66369437054</v>
      </c>
    </row>
    <row r="115" spans="1:12" x14ac:dyDescent="0.3">
      <c r="A115">
        <v>110</v>
      </c>
      <c r="B115" s="17">
        <v>48183</v>
      </c>
      <c r="C115" s="18">
        <f t="shared" si="17"/>
        <v>1050750.7929689202</v>
      </c>
      <c r="D115" s="18">
        <f t="shared" si="10"/>
        <v>7983.6299421501908</v>
      </c>
      <c r="E115" s="18">
        <f t="shared" si="11"/>
        <v>1854.2503164981563</v>
      </c>
      <c r="F115" s="16">
        <f t="shared" si="12"/>
        <v>2.1176290274411463E-2</v>
      </c>
      <c r="G115" s="18">
        <f t="shared" si="13"/>
        <v>6129.3796256520345</v>
      </c>
      <c r="H115" s="16">
        <f t="shared" si="14"/>
        <v>7.0000000000000007E-2</v>
      </c>
      <c r="I115" s="18">
        <f t="shared" si="18"/>
        <v>151103.45734757831</v>
      </c>
      <c r="J115" s="18">
        <f t="shared" si="19"/>
        <v>727095.83628894237</v>
      </c>
      <c r="K115" s="18">
        <f t="shared" si="15"/>
        <v>1048896.5426524221</v>
      </c>
      <c r="L115" s="18">
        <f t="shared" si="16"/>
        <v>878199.29363652063</v>
      </c>
    </row>
    <row r="116" spans="1:12" x14ac:dyDescent="0.3">
      <c r="A116">
        <v>111</v>
      </c>
      <c r="B116" s="17">
        <v>48214</v>
      </c>
      <c r="C116" s="18">
        <f t="shared" si="17"/>
        <v>1048896.5426524221</v>
      </c>
      <c r="D116" s="18">
        <f t="shared" si="10"/>
        <v>7983.6299421501908</v>
      </c>
      <c r="E116" s="18">
        <f t="shared" si="11"/>
        <v>1865.0667766777287</v>
      </c>
      <c r="F116" s="16">
        <f t="shared" si="12"/>
        <v>2.1337472677273549E-2</v>
      </c>
      <c r="G116" s="18">
        <f t="shared" si="13"/>
        <v>6118.5631654724621</v>
      </c>
      <c r="H116" s="16">
        <f t="shared" si="14"/>
        <v>7.0000000000000007E-2</v>
      </c>
      <c r="I116" s="18">
        <f t="shared" si="18"/>
        <v>152968.52412425604</v>
      </c>
      <c r="J116" s="18">
        <f t="shared" si="19"/>
        <v>733214.39945441484</v>
      </c>
      <c r="K116" s="18">
        <f t="shared" si="15"/>
        <v>1047031.4758757444</v>
      </c>
      <c r="L116" s="18">
        <f t="shared" si="16"/>
        <v>886182.92357867095</v>
      </c>
    </row>
    <row r="117" spans="1:12" x14ac:dyDescent="0.3">
      <c r="A117">
        <v>112</v>
      </c>
      <c r="B117" s="17">
        <v>48245</v>
      </c>
      <c r="C117" s="18">
        <f t="shared" si="17"/>
        <v>1047031.4758757444</v>
      </c>
      <c r="D117" s="18">
        <f t="shared" si="10"/>
        <v>7983.6299421501908</v>
      </c>
      <c r="E117" s="18">
        <f t="shared" si="11"/>
        <v>1875.9463328750153</v>
      </c>
      <c r="F117" s="16">
        <f t="shared" si="12"/>
        <v>2.1500171210871701E-2</v>
      </c>
      <c r="G117" s="18">
        <f t="shared" si="13"/>
        <v>6107.6836092751755</v>
      </c>
      <c r="H117" s="16">
        <f t="shared" si="14"/>
        <v>7.0000000000000007E-2</v>
      </c>
      <c r="I117" s="18">
        <f t="shared" si="18"/>
        <v>154844.47045713107</v>
      </c>
      <c r="J117" s="18">
        <f t="shared" si="19"/>
        <v>739322.08306368999</v>
      </c>
      <c r="K117" s="18">
        <f t="shared" si="15"/>
        <v>1045155.5295428693</v>
      </c>
      <c r="L117" s="18">
        <f t="shared" si="16"/>
        <v>894166.55352082103</v>
      </c>
    </row>
    <row r="118" spans="1:12" x14ac:dyDescent="0.3">
      <c r="A118">
        <v>113</v>
      </c>
      <c r="B118" s="17">
        <v>48274</v>
      </c>
      <c r="C118" s="18">
        <f t="shared" si="17"/>
        <v>1045155.5295428693</v>
      </c>
      <c r="D118" s="18">
        <f t="shared" si="10"/>
        <v>7983.6299421501908</v>
      </c>
      <c r="E118" s="18">
        <f t="shared" si="11"/>
        <v>1886.8893531501199</v>
      </c>
      <c r="F118" s="16">
        <f t="shared" si="12"/>
        <v>2.1664404576900533E-2</v>
      </c>
      <c r="G118" s="18">
        <f t="shared" si="13"/>
        <v>6096.7405890000709</v>
      </c>
      <c r="H118" s="16">
        <f t="shared" si="14"/>
        <v>7.0000000000000007E-2</v>
      </c>
      <c r="I118" s="18">
        <f t="shared" si="18"/>
        <v>156731.3598102812</v>
      </c>
      <c r="J118" s="18">
        <f t="shared" si="19"/>
        <v>745418.82365269004</v>
      </c>
      <c r="K118" s="18">
        <f t="shared" si="15"/>
        <v>1043268.6401897192</v>
      </c>
      <c r="L118" s="18">
        <f t="shared" si="16"/>
        <v>902150.18346297124</v>
      </c>
    </row>
    <row r="119" spans="1:12" x14ac:dyDescent="0.3">
      <c r="A119">
        <v>114</v>
      </c>
      <c r="B119" s="17">
        <v>48305</v>
      </c>
      <c r="C119" s="18">
        <f t="shared" si="17"/>
        <v>1043268.6401897192</v>
      </c>
      <c r="D119" s="18">
        <f t="shared" si="10"/>
        <v>7983.6299421501908</v>
      </c>
      <c r="E119" s="18">
        <f t="shared" si="11"/>
        <v>1897.8962077101623</v>
      </c>
      <c r="F119" s="16">
        <f t="shared" si="12"/>
        <v>2.1830191779157036E-2</v>
      </c>
      <c r="G119" s="18">
        <f t="shared" si="13"/>
        <v>6085.7337344400285</v>
      </c>
      <c r="H119" s="16">
        <f t="shared" si="14"/>
        <v>7.0000000000000007E-2</v>
      </c>
      <c r="I119" s="18">
        <f t="shared" si="18"/>
        <v>158629.25601799137</v>
      </c>
      <c r="J119" s="18">
        <f t="shared" si="19"/>
        <v>751504.5573871301</v>
      </c>
      <c r="K119" s="18">
        <f t="shared" si="15"/>
        <v>1041370.743982009</v>
      </c>
      <c r="L119" s="18">
        <f t="shared" si="16"/>
        <v>910133.81340512144</v>
      </c>
    </row>
    <row r="120" spans="1:12" x14ac:dyDescent="0.3">
      <c r="A120">
        <v>115</v>
      </c>
      <c r="B120" s="17">
        <v>48335</v>
      </c>
      <c r="C120" s="18">
        <f t="shared" si="17"/>
        <v>1041370.743982009</v>
      </c>
      <c r="D120" s="18">
        <f t="shared" si="10"/>
        <v>7983.6299421501908</v>
      </c>
      <c r="E120" s="18">
        <f t="shared" si="11"/>
        <v>1908.967268921805</v>
      </c>
      <c r="F120" s="16">
        <f t="shared" si="12"/>
        <v>2.1997552129674018E-2</v>
      </c>
      <c r="G120" s="18">
        <f t="shared" si="13"/>
        <v>6074.6626732283858</v>
      </c>
      <c r="H120" s="16">
        <f t="shared" si="14"/>
        <v>7.0000000000000007E-2</v>
      </c>
      <c r="I120" s="18">
        <f t="shared" si="18"/>
        <v>160538.22328691318</v>
      </c>
      <c r="J120" s="18">
        <f t="shared" si="19"/>
        <v>757579.22006035852</v>
      </c>
      <c r="K120" s="18">
        <f t="shared" si="15"/>
        <v>1039461.7767130872</v>
      </c>
      <c r="L120" s="18">
        <f t="shared" si="16"/>
        <v>918117.44334727176</v>
      </c>
    </row>
    <row r="121" spans="1:12" x14ac:dyDescent="0.3">
      <c r="A121">
        <v>116</v>
      </c>
      <c r="B121" s="17">
        <v>48366</v>
      </c>
      <c r="C121" s="18">
        <f t="shared" si="17"/>
        <v>1039461.7767130872</v>
      </c>
      <c r="D121" s="18">
        <f t="shared" si="10"/>
        <v>7983.6299421501908</v>
      </c>
      <c r="E121" s="18">
        <f t="shared" si="11"/>
        <v>1920.1029113238483</v>
      </c>
      <c r="F121" s="16">
        <f t="shared" si="12"/>
        <v>2.2166505255003747E-2</v>
      </c>
      <c r="G121" s="18">
        <f t="shared" si="13"/>
        <v>6063.5270308263425</v>
      </c>
      <c r="H121" s="16">
        <f t="shared" si="14"/>
        <v>7.0000000000000007E-2</v>
      </c>
      <c r="I121" s="18">
        <f t="shared" si="18"/>
        <v>162458.32619823705</v>
      </c>
      <c r="J121" s="18">
        <f t="shared" si="19"/>
        <v>763642.74709118484</v>
      </c>
      <c r="K121" s="18">
        <f t="shared" si="15"/>
        <v>1037541.6738017633</v>
      </c>
      <c r="L121" s="18">
        <f t="shared" si="16"/>
        <v>926101.07328942185</v>
      </c>
    </row>
    <row r="122" spans="1:12" x14ac:dyDescent="0.3">
      <c r="A122">
        <v>117</v>
      </c>
      <c r="B122" s="17">
        <v>48396</v>
      </c>
      <c r="C122" s="18">
        <f t="shared" si="17"/>
        <v>1037541.6738017633</v>
      </c>
      <c r="D122" s="18">
        <f t="shared" si="10"/>
        <v>7983.6299421501908</v>
      </c>
      <c r="E122" s="18">
        <f t="shared" si="11"/>
        <v>1931.3035116399042</v>
      </c>
      <c r="F122" s="16">
        <f t="shared" si="12"/>
        <v>2.2337071102656141E-2</v>
      </c>
      <c r="G122" s="18">
        <f t="shared" si="13"/>
        <v>6052.3264305102866</v>
      </c>
      <c r="H122" s="16">
        <f t="shared" si="14"/>
        <v>7.0000000000000007E-2</v>
      </c>
      <c r="I122" s="18">
        <f t="shared" si="18"/>
        <v>164389.62970987696</v>
      </c>
      <c r="J122" s="18">
        <f t="shared" si="19"/>
        <v>769695.0735216951</v>
      </c>
      <c r="K122" s="18">
        <f t="shared" si="15"/>
        <v>1035610.3702901234</v>
      </c>
      <c r="L122" s="18">
        <f t="shared" si="16"/>
        <v>934084.70323157206</v>
      </c>
    </row>
    <row r="123" spans="1:12" x14ac:dyDescent="0.3">
      <c r="A123">
        <v>118</v>
      </c>
      <c r="B123" s="17">
        <v>48427</v>
      </c>
      <c r="C123" s="18">
        <f t="shared" si="17"/>
        <v>1035610.3702901234</v>
      </c>
      <c r="D123" s="18">
        <f t="shared" si="10"/>
        <v>7983.6299421501908</v>
      </c>
      <c r="E123" s="18">
        <f t="shared" si="11"/>
        <v>1942.5694487911378</v>
      </c>
      <c r="F123" s="16">
        <f t="shared" si="12"/>
        <v>2.2509269947695858E-2</v>
      </c>
      <c r="G123" s="18">
        <f t="shared" si="13"/>
        <v>6041.060493359053</v>
      </c>
      <c r="H123" s="16">
        <f t="shared" si="14"/>
        <v>7.0000000000000007E-2</v>
      </c>
      <c r="I123" s="18">
        <f t="shared" si="18"/>
        <v>166332.19915866808</v>
      </c>
      <c r="J123" s="18">
        <f t="shared" si="19"/>
        <v>775736.13401505421</v>
      </c>
      <c r="K123" s="18">
        <f t="shared" si="15"/>
        <v>1033667.8008413323</v>
      </c>
      <c r="L123" s="18">
        <f t="shared" si="16"/>
        <v>942068.33317372226</v>
      </c>
    </row>
    <row r="124" spans="1:12" x14ac:dyDescent="0.3">
      <c r="A124">
        <v>119</v>
      </c>
      <c r="B124" s="17">
        <v>48458</v>
      </c>
      <c r="C124" s="18">
        <f t="shared" si="17"/>
        <v>1033667.8008413323</v>
      </c>
      <c r="D124" s="18">
        <f t="shared" si="10"/>
        <v>7983.6299421501908</v>
      </c>
      <c r="E124" s="18">
        <f t="shared" si="11"/>
        <v>1953.9011039090856</v>
      </c>
      <c r="F124" s="16">
        <f t="shared" si="12"/>
        <v>2.2683122399502997E-2</v>
      </c>
      <c r="G124" s="18">
        <f t="shared" si="13"/>
        <v>6029.7288382411052</v>
      </c>
      <c r="H124" s="16">
        <f t="shared" si="14"/>
        <v>7.0000000000000007E-2</v>
      </c>
      <c r="I124" s="18">
        <f t="shared" si="18"/>
        <v>168286.10026257718</v>
      </c>
      <c r="J124" s="18">
        <f t="shared" si="19"/>
        <v>781765.86285329529</v>
      </c>
      <c r="K124" s="18">
        <f t="shared" si="15"/>
        <v>1031713.8997374232</v>
      </c>
      <c r="L124" s="18">
        <f t="shared" si="16"/>
        <v>950051.96311587247</v>
      </c>
    </row>
    <row r="125" spans="1:12" x14ac:dyDescent="0.3">
      <c r="A125">
        <v>120</v>
      </c>
      <c r="B125" s="17">
        <v>48488</v>
      </c>
      <c r="C125" s="18">
        <f t="shared" si="17"/>
        <v>1031713.8997374232</v>
      </c>
      <c r="D125" s="18">
        <f t="shared" si="10"/>
        <v>7983.6299421501908</v>
      </c>
      <c r="E125" s="18">
        <f t="shared" si="11"/>
        <v>1965.2988603485555</v>
      </c>
      <c r="F125" s="16">
        <f t="shared" si="12"/>
        <v>2.2858649408702178E-2</v>
      </c>
      <c r="G125" s="18">
        <f t="shared" si="13"/>
        <v>6018.3310818016353</v>
      </c>
      <c r="H125" s="16">
        <f t="shared" si="14"/>
        <v>7.0000000000000007E-2</v>
      </c>
      <c r="I125" s="18">
        <f t="shared" si="18"/>
        <v>170251.39912292574</v>
      </c>
      <c r="J125" s="18">
        <f t="shared" si="19"/>
        <v>787784.19393509696</v>
      </c>
      <c r="K125" s="18">
        <f t="shared" si="15"/>
        <v>1029748.6008770746</v>
      </c>
      <c r="L125" s="18">
        <f t="shared" si="16"/>
        <v>958035.59305802267</v>
      </c>
    </row>
    <row r="126" spans="1:12" x14ac:dyDescent="0.3">
      <c r="A126">
        <v>121</v>
      </c>
      <c r="B126" s="17">
        <v>48519</v>
      </c>
      <c r="C126" s="18">
        <f t="shared" si="17"/>
        <v>1029748.6008770746</v>
      </c>
      <c r="D126" s="18">
        <f t="shared" si="10"/>
        <v>7983.6299421501908</v>
      </c>
      <c r="E126" s="18">
        <f t="shared" si="11"/>
        <v>1976.7631037005885</v>
      </c>
      <c r="F126" s="16">
        <f t="shared" si="12"/>
        <v>2.3035872274264693E-2</v>
      </c>
      <c r="G126" s="18">
        <f t="shared" si="13"/>
        <v>6006.8668384496023</v>
      </c>
      <c r="H126" s="16">
        <f t="shared" si="14"/>
        <v>7.0000000000000007E-2</v>
      </c>
      <c r="I126" s="18">
        <f t="shared" si="18"/>
        <v>172228.16222662633</v>
      </c>
      <c r="J126" s="18">
        <f t="shared" si="19"/>
        <v>793791.06077354657</v>
      </c>
      <c r="K126" s="18">
        <f t="shared" si="15"/>
        <v>1027771.837773374</v>
      </c>
      <c r="L126" s="18">
        <f t="shared" si="16"/>
        <v>966019.22300017287</v>
      </c>
    </row>
    <row r="127" spans="1:12" x14ac:dyDescent="0.3">
      <c r="A127">
        <v>122</v>
      </c>
      <c r="B127" s="17">
        <v>48549</v>
      </c>
      <c r="C127" s="18">
        <f t="shared" si="17"/>
        <v>1027771.837773374</v>
      </c>
      <c r="D127" s="18">
        <f t="shared" si="10"/>
        <v>7983.6299421501908</v>
      </c>
      <c r="E127" s="18">
        <f t="shared" si="11"/>
        <v>1988.2942218055086</v>
      </c>
      <c r="F127" s="16">
        <f t="shared" si="12"/>
        <v>2.3214812650789118E-2</v>
      </c>
      <c r="G127" s="18">
        <f t="shared" si="13"/>
        <v>5995.3357203446822</v>
      </c>
      <c r="H127" s="16">
        <f t="shared" si="14"/>
        <v>7.0000000000000007E-2</v>
      </c>
      <c r="I127" s="18">
        <f t="shared" si="18"/>
        <v>174216.45644843183</v>
      </c>
      <c r="J127" s="18">
        <f t="shared" si="19"/>
        <v>799786.39649389125</v>
      </c>
      <c r="K127" s="18">
        <f t="shared" si="15"/>
        <v>1025783.5435515685</v>
      </c>
      <c r="L127" s="18">
        <f t="shared" si="16"/>
        <v>974002.85294232308</v>
      </c>
    </row>
    <row r="128" spans="1:12" x14ac:dyDescent="0.3">
      <c r="A128">
        <v>123</v>
      </c>
      <c r="B128" s="17">
        <v>48580</v>
      </c>
      <c r="C128" s="18">
        <f t="shared" si="17"/>
        <v>1025783.5435515685</v>
      </c>
      <c r="D128" s="18">
        <f t="shared" si="10"/>
        <v>7983.6299421501908</v>
      </c>
      <c r="E128" s="18">
        <f t="shared" si="11"/>
        <v>1999.8926047660407</v>
      </c>
      <c r="F128" s="16">
        <f t="shared" si="12"/>
        <v>2.3395492555965357E-2</v>
      </c>
      <c r="G128" s="18">
        <f t="shared" si="13"/>
        <v>5983.7373373841501</v>
      </c>
      <c r="H128" s="16">
        <f t="shared" si="14"/>
        <v>7.0000000000000007E-2</v>
      </c>
      <c r="I128" s="18">
        <f t="shared" si="18"/>
        <v>176216.34905319786</v>
      </c>
      <c r="J128" s="18">
        <f t="shared" si="19"/>
        <v>805770.13383127539</v>
      </c>
      <c r="K128" s="18">
        <f t="shared" si="15"/>
        <v>1023783.6509468025</v>
      </c>
      <c r="L128" s="18">
        <f t="shared" si="16"/>
        <v>981986.48288447328</v>
      </c>
    </row>
    <row r="129" spans="1:12" x14ac:dyDescent="0.3">
      <c r="A129">
        <v>124</v>
      </c>
      <c r="B129" s="17">
        <v>48611</v>
      </c>
      <c r="C129" s="18">
        <f t="shared" si="17"/>
        <v>1023783.6509468025</v>
      </c>
      <c r="D129" s="18">
        <f t="shared" si="10"/>
        <v>7983.6299421501908</v>
      </c>
      <c r="E129" s="18">
        <f t="shared" si="11"/>
        <v>2011.5586449605098</v>
      </c>
      <c r="F129" s="16">
        <f t="shared" si="12"/>
        <v>2.3577934378227736E-2</v>
      </c>
      <c r="G129" s="18">
        <f t="shared" si="13"/>
        <v>5972.071297189681</v>
      </c>
      <c r="H129" s="16">
        <f t="shared" si="14"/>
        <v>7.0000000000000007E-2</v>
      </c>
      <c r="I129" s="18">
        <f t="shared" si="18"/>
        <v>178227.90769815838</v>
      </c>
      <c r="J129" s="18">
        <f t="shared" si="19"/>
        <v>811742.20512846508</v>
      </c>
      <c r="K129" s="18">
        <f t="shared" si="15"/>
        <v>1021772.0923018419</v>
      </c>
      <c r="L129" s="18">
        <f t="shared" si="16"/>
        <v>989970.11282662349</v>
      </c>
    </row>
    <row r="130" spans="1:12" x14ac:dyDescent="0.3">
      <c r="A130">
        <v>125</v>
      </c>
      <c r="B130" s="17">
        <v>48639</v>
      </c>
      <c r="C130" s="18">
        <f t="shared" si="17"/>
        <v>1021772.0923018419</v>
      </c>
      <c r="D130" s="18">
        <f t="shared" si="10"/>
        <v>7983.6299421501908</v>
      </c>
      <c r="E130" s="18">
        <f t="shared" si="11"/>
        <v>2023.2927370561129</v>
      </c>
      <c r="F130" s="16">
        <f t="shared" si="12"/>
        <v>2.3762160884602569E-2</v>
      </c>
      <c r="G130" s="18">
        <f t="shared" si="13"/>
        <v>5960.3372050940779</v>
      </c>
      <c r="H130" s="16">
        <f t="shared" si="14"/>
        <v>7.0000000000000007E-2</v>
      </c>
      <c r="I130" s="18">
        <f t="shared" si="18"/>
        <v>180251.2004352145</v>
      </c>
      <c r="J130" s="18">
        <f t="shared" si="19"/>
        <v>817702.54233355913</v>
      </c>
      <c r="K130" s="18">
        <f t="shared" si="15"/>
        <v>1019748.7995647858</v>
      </c>
      <c r="L130" s="18">
        <f t="shared" si="16"/>
        <v>997953.74276877358</v>
      </c>
    </row>
    <row r="131" spans="1:12" x14ac:dyDescent="0.3">
      <c r="A131">
        <v>126</v>
      </c>
      <c r="B131" s="17">
        <v>48670</v>
      </c>
      <c r="C131" s="18">
        <f t="shared" si="17"/>
        <v>1019748.7995647858</v>
      </c>
      <c r="D131" s="18">
        <f t="shared" si="10"/>
        <v>7983.6299421501908</v>
      </c>
      <c r="E131" s="18">
        <f t="shared" si="11"/>
        <v>2035.0952780222733</v>
      </c>
      <c r="F131" s="16">
        <f t="shared" si="12"/>
        <v>2.3948195228756214E-2</v>
      </c>
      <c r="G131" s="18">
        <f t="shared" si="13"/>
        <v>5948.5346641279175</v>
      </c>
      <c r="H131" s="16">
        <f t="shared" si="14"/>
        <v>7.0000000000000007E-2</v>
      </c>
      <c r="I131" s="18">
        <f t="shared" si="18"/>
        <v>182286.29571323679</v>
      </c>
      <c r="J131" s="18">
        <f t="shared" si="19"/>
        <v>823651.07699768711</v>
      </c>
      <c r="K131" s="18">
        <f t="shared" si="15"/>
        <v>1017713.7042867636</v>
      </c>
      <c r="L131" s="18">
        <f t="shared" si="16"/>
        <v>1005937.3727109239</v>
      </c>
    </row>
    <row r="132" spans="1:12" x14ac:dyDescent="0.3">
      <c r="A132">
        <v>127</v>
      </c>
      <c r="B132" s="17">
        <v>48700</v>
      </c>
      <c r="C132" s="18">
        <f t="shared" si="17"/>
        <v>1017713.7042867636</v>
      </c>
      <c r="D132" s="18">
        <f t="shared" si="10"/>
        <v>7983.6299421501908</v>
      </c>
      <c r="E132" s="18">
        <f t="shared" si="11"/>
        <v>2046.96666714407</v>
      </c>
      <c r="F132" s="16">
        <f t="shared" si="12"/>
        <v>2.4136060959249396E-2</v>
      </c>
      <c r="G132" s="18">
        <f t="shared" si="13"/>
        <v>5936.6632750061208</v>
      </c>
      <c r="H132" s="16">
        <f t="shared" si="14"/>
        <v>7.0000000000000007E-2</v>
      </c>
      <c r="I132" s="18">
        <f t="shared" si="18"/>
        <v>184333.26238038085</v>
      </c>
      <c r="J132" s="18">
        <f t="shared" si="19"/>
        <v>829587.74027269322</v>
      </c>
      <c r="K132" s="18">
        <f t="shared" si="15"/>
        <v>1015666.7376196195</v>
      </c>
      <c r="L132" s="18">
        <f t="shared" si="16"/>
        <v>1013921.0026530741</v>
      </c>
    </row>
    <row r="133" spans="1:12" x14ac:dyDescent="0.3">
      <c r="A133">
        <v>128</v>
      </c>
      <c r="B133" s="17">
        <v>48731</v>
      </c>
      <c r="C133" s="18">
        <f t="shared" si="17"/>
        <v>1015666.7376196195</v>
      </c>
      <c r="D133" s="18">
        <f t="shared" si="10"/>
        <v>7983.6299421501908</v>
      </c>
      <c r="E133" s="18">
        <f t="shared" si="11"/>
        <v>2058.9073060357432</v>
      </c>
      <c r="F133" s="16">
        <f t="shared" si="12"/>
        <v>2.4325782028004124E-2</v>
      </c>
      <c r="G133" s="18">
        <f t="shared" si="13"/>
        <v>5924.7226361144476</v>
      </c>
      <c r="H133" s="16">
        <f t="shared" si="14"/>
        <v>7.0000000000000007E-2</v>
      </c>
      <c r="I133" s="18">
        <f t="shared" si="18"/>
        <v>186392.1696864166</v>
      </c>
      <c r="J133" s="18">
        <f t="shared" si="19"/>
        <v>835512.46290880768</v>
      </c>
      <c r="K133" s="18">
        <f t="shared" si="15"/>
        <v>1013607.8303135837</v>
      </c>
      <c r="L133" s="18">
        <f t="shared" si="16"/>
        <v>1021904.6325952243</v>
      </c>
    </row>
    <row r="134" spans="1:12" x14ac:dyDescent="0.3">
      <c r="A134">
        <v>129</v>
      </c>
      <c r="B134" s="17">
        <v>48761</v>
      </c>
      <c r="C134" s="18">
        <f t="shared" si="17"/>
        <v>1013607.8303135837</v>
      </c>
      <c r="D134" s="18">
        <f t="shared" si="10"/>
        <v>7983.6299421501908</v>
      </c>
      <c r="E134" s="18">
        <f t="shared" si="11"/>
        <v>2070.9175986542859</v>
      </c>
      <c r="F134" s="16">
        <f t="shared" si="12"/>
        <v>2.4517382798989608E-2</v>
      </c>
      <c r="G134" s="18">
        <f t="shared" si="13"/>
        <v>5912.7123434959049</v>
      </c>
      <c r="H134" s="16">
        <f t="shared" si="14"/>
        <v>6.9999999999999993E-2</v>
      </c>
      <c r="I134" s="18">
        <f t="shared" si="18"/>
        <v>188463.08728507088</v>
      </c>
      <c r="J134" s="18">
        <f t="shared" si="19"/>
        <v>841425.1752523036</v>
      </c>
      <c r="K134" s="18">
        <f t="shared" si="15"/>
        <v>1011536.9127149294</v>
      </c>
      <c r="L134" s="18">
        <f t="shared" si="16"/>
        <v>1029888.2625373745</v>
      </c>
    </row>
    <row r="135" spans="1:12" x14ac:dyDescent="0.3">
      <c r="A135">
        <v>130</v>
      </c>
      <c r="B135" s="17">
        <v>48792</v>
      </c>
      <c r="C135" s="18">
        <f t="shared" si="17"/>
        <v>1011536.9127149294</v>
      </c>
      <c r="D135" s="18">
        <f t="shared" ref="D135:D198" si="20">$C$6/((($E$2)-1)/($E$1*$E$2))</f>
        <v>7983.6299421501908</v>
      </c>
      <c r="E135" s="18">
        <f t="shared" ref="E135:E198" si="21">D135-G135</f>
        <v>2082.997951313102</v>
      </c>
      <c r="F135" s="16">
        <f t="shared" ref="F135:F198" si="22">(E135/C135)*12</f>
        <v>2.471088805713368E-2</v>
      </c>
      <c r="G135" s="18">
        <f t="shared" ref="G135:G198" si="23">C135*($B$1/12)</f>
        <v>5900.6319908370888</v>
      </c>
      <c r="H135" s="16">
        <f t="shared" ref="H135:H198" si="24">(G135/C135)*12</f>
        <v>7.0000000000000007E-2</v>
      </c>
      <c r="I135" s="18">
        <f t="shared" si="18"/>
        <v>190546.08523638398</v>
      </c>
      <c r="J135" s="18">
        <f t="shared" si="19"/>
        <v>847325.80724314065</v>
      </c>
      <c r="K135" s="18">
        <f t="shared" ref="K135:K198" si="25">C135-E135</f>
        <v>1009453.9147636163</v>
      </c>
      <c r="L135" s="18">
        <f t="shared" ref="L135:L198" si="26">I135+J135</f>
        <v>1037871.8924795246</v>
      </c>
    </row>
    <row r="136" spans="1:12" x14ac:dyDescent="0.3">
      <c r="A136">
        <v>131</v>
      </c>
      <c r="B136" s="17">
        <v>48823</v>
      </c>
      <c r="C136" s="18">
        <f t="shared" ref="C136:C199" si="27">K135</f>
        <v>1009453.9147636163</v>
      </c>
      <c r="D136" s="18">
        <f t="shared" si="20"/>
        <v>7983.6299421501908</v>
      </c>
      <c r="E136" s="18">
        <f t="shared" si="21"/>
        <v>2095.1487726957621</v>
      </c>
      <c r="F136" s="16">
        <f t="shared" si="22"/>
        <v>2.4906323017466918E-2</v>
      </c>
      <c r="G136" s="18">
        <f t="shared" si="23"/>
        <v>5888.4811694544287</v>
      </c>
      <c r="H136" s="16">
        <f t="shared" si="24"/>
        <v>7.0000000000000007E-2</v>
      </c>
      <c r="I136" s="18">
        <f t="shared" ref="I136:I199" si="28">I135+E136</f>
        <v>192641.23400907975</v>
      </c>
      <c r="J136" s="18">
        <f t="shared" ref="J136:J199" si="29">J135+G136</f>
        <v>853214.28841259505</v>
      </c>
      <c r="K136" s="18">
        <f t="shared" si="25"/>
        <v>1007358.7659909205</v>
      </c>
      <c r="L136" s="18">
        <f t="shared" si="26"/>
        <v>1045855.5224216748</v>
      </c>
    </row>
    <row r="137" spans="1:12" x14ac:dyDescent="0.3">
      <c r="A137">
        <v>132</v>
      </c>
      <c r="B137" s="17">
        <v>48853</v>
      </c>
      <c r="C137" s="18">
        <f t="shared" si="27"/>
        <v>1007358.7659909205</v>
      </c>
      <c r="D137" s="18">
        <f t="shared" si="20"/>
        <v>7983.6299421501908</v>
      </c>
      <c r="E137" s="18">
        <f t="shared" si="21"/>
        <v>2107.3704738698207</v>
      </c>
      <c r="F137" s="16">
        <f t="shared" si="22"/>
        <v>2.5103713334506068E-2</v>
      </c>
      <c r="G137" s="18">
        <f t="shared" si="23"/>
        <v>5876.2594682803701</v>
      </c>
      <c r="H137" s="16">
        <f t="shared" si="24"/>
        <v>7.0000000000000007E-2</v>
      </c>
      <c r="I137" s="18">
        <f t="shared" si="28"/>
        <v>194748.60448294957</v>
      </c>
      <c r="J137" s="18">
        <f t="shared" si="29"/>
        <v>859090.54788087541</v>
      </c>
      <c r="K137" s="18">
        <f t="shared" si="25"/>
        <v>1005251.3955170506</v>
      </c>
      <c r="L137" s="18">
        <f t="shared" si="26"/>
        <v>1053839.1523638249</v>
      </c>
    </row>
    <row r="138" spans="1:12" x14ac:dyDescent="0.3">
      <c r="A138">
        <v>133</v>
      </c>
      <c r="B138" s="17">
        <v>48884</v>
      </c>
      <c r="C138" s="18">
        <f t="shared" si="27"/>
        <v>1005251.3955170506</v>
      </c>
      <c r="D138" s="18">
        <f t="shared" si="20"/>
        <v>7983.6299421501908</v>
      </c>
      <c r="E138" s="18">
        <f t="shared" si="21"/>
        <v>2119.6634683007287</v>
      </c>
      <c r="F138" s="16">
        <f t="shared" si="22"/>
        <v>2.5303085111884643E-2</v>
      </c>
      <c r="G138" s="18">
        <f t="shared" si="23"/>
        <v>5863.9664738494621</v>
      </c>
      <c r="H138" s="16">
        <f t="shared" si="24"/>
        <v>7.0000000000000007E-2</v>
      </c>
      <c r="I138" s="18">
        <f t="shared" si="28"/>
        <v>196868.26795125031</v>
      </c>
      <c r="J138" s="18">
        <f t="shared" si="29"/>
        <v>864954.5143547249</v>
      </c>
      <c r="K138" s="18">
        <f t="shared" si="25"/>
        <v>1003131.7320487499</v>
      </c>
      <c r="L138" s="18">
        <f t="shared" si="26"/>
        <v>1061822.7823059752</v>
      </c>
    </row>
    <row r="139" spans="1:12" x14ac:dyDescent="0.3">
      <c r="A139">
        <v>134</v>
      </c>
      <c r="B139" s="17">
        <v>48914</v>
      </c>
      <c r="C139" s="18">
        <f t="shared" si="27"/>
        <v>1003131.7320487499</v>
      </c>
      <c r="D139" s="18">
        <f t="shared" si="20"/>
        <v>7983.6299421501908</v>
      </c>
      <c r="E139" s="18">
        <f t="shared" si="21"/>
        <v>2132.0281718658161</v>
      </c>
      <c r="F139" s="16">
        <f t="shared" si="22"/>
        <v>2.5504464912237922E-2</v>
      </c>
      <c r="G139" s="18">
        <f t="shared" si="23"/>
        <v>5851.6017702843747</v>
      </c>
      <c r="H139" s="16">
        <f t="shared" si="24"/>
        <v>7.0000000000000007E-2</v>
      </c>
      <c r="I139" s="18">
        <f t="shared" si="28"/>
        <v>199000.29612311613</v>
      </c>
      <c r="J139" s="18">
        <f t="shared" si="29"/>
        <v>870806.11612500926</v>
      </c>
      <c r="K139" s="18">
        <f t="shared" si="25"/>
        <v>1000999.7038768841</v>
      </c>
      <c r="L139" s="18">
        <f t="shared" si="26"/>
        <v>1069806.4122481253</v>
      </c>
    </row>
    <row r="140" spans="1:12" x14ac:dyDescent="0.3">
      <c r="A140">
        <v>135</v>
      </c>
      <c r="B140" s="17">
        <v>48945</v>
      </c>
      <c r="C140" s="18">
        <f t="shared" si="27"/>
        <v>1000999.7038768841</v>
      </c>
      <c r="D140" s="18">
        <f t="shared" si="20"/>
        <v>7983.6299421501908</v>
      </c>
      <c r="E140" s="18">
        <f t="shared" si="21"/>
        <v>2144.4650028683664</v>
      </c>
      <c r="F140" s="16">
        <f t="shared" si="22"/>
        <v>2.5707879767350506E-2</v>
      </c>
      <c r="G140" s="18">
        <f t="shared" si="23"/>
        <v>5839.1649392818244</v>
      </c>
      <c r="H140" s="16">
        <f t="shared" si="24"/>
        <v>7.0000000000000007E-2</v>
      </c>
      <c r="I140" s="18">
        <f t="shared" si="28"/>
        <v>201144.76112598449</v>
      </c>
      <c r="J140" s="18">
        <f t="shared" si="29"/>
        <v>876645.28106429114</v>
      </c>
      <c r="K140" s="18">
        <f t="shared" si="25"/>
        <v>998855.23887401575</v>
      </c>
      <c r="L140" s="18">
        <f t="shared" si="26"/>
        <v>1077790.0421902756</v>
      </c>
    </row>
    <row r="141" spans="1:12" x14ac:dyDescent="0.3">
      <c r="A141">
        <v>136</v>
      </c>
      <c r="B141" s="17">
        <v>48976</v>
      </c>
      <c r="C141" s="18">
        <f t="shared" si="27"/>
        <v>998855.23887401575</v>
      </c>
      <c r="D141" s="18">
        <f t="shared" si="20"/>
        <v>7983.6299421501908</v>
      </c>
      <c r="E141" s="18">
        <f t="shared" si="21"/>
        <v>2156.9743820517651</v>
      </c>
      <c r="F141" s="16">
        <f t="shared" si="22"/>
        <v>2.5913357188574404E-2</v>
      </c>
      <c r="G141" s="18">
        <f t="shared" si="23"/>
        <v>5826.6555600984257</v>
      </c>
      <c r="H141" s="16">
        <f t="shared" si="24"/>
        <v>7.0000000000000007E-2</v>
      </c>
      <c r="I141" s="18">
        <f t="shared" si="28"/>
        <v>203301.73550803625</v>
      </c>
      <c r="J141" s="18">
        <f t="shared" si="29"/>
        <v>882471.93662438961</v>
      </c>
      <c r="K141" s="18">
        <f t="shared" si="25"/>
        <v>996698.26449196402</v>
      </c>
      <c r="L141" s="18">
        <f t="shared" si="26"/>
        <v>1085773.6721324259</v>
      </c>
    </row>
    <row r="142" spans="1:12" x14ac:dyDescent="0.3">
      <c r="A142">
        <v>137</v>
      </c>
      <c r="B142" s="17">
        <v>49004</v>
      </c>
      <c r="C142" s="18">
        <f t="shared" si="27"/>
        <v>996698.26449196402</v>
      </c>
      <c r="D142" s="18">
        <f t="shared" si="20"/>
        <v>7983.6299421501908</v>
      </c>
      <c r="E142" s="18">
        <f t="shared" si="21"/>
        <v>2169.5567326137334</v>
      </c>
      <c r="F142" s="16">
        <f t="shared" si="22"/>
        <v>2.6120925177526188E-2</v>
      </c>
      <c r="G142" s="18">
        <f t="shared" si="23"/>
        <v>5814.0732095364574</v>
      </c>
      <c r="H142" s="16">
        <f t="shared" si="24"/>
        <v>7.0000000000000007E-2</v>
      </c>
      <c r="I142" s="18">
        <f t="shared" si="28"/>
        <v>205471.29224064999</v>
      </c>
      <c r="J142" s="18">
        <f t="shared" si="29"/>
        <v>888286.0098339261</v>
      </c>
      <c r="K142" s="18">
        <f t="shared" si="25"/>
        <v>994528.70775935031</v>
      </c>
      <c r="L142" s="18">
        <f t="shared" si="26"/>
        <v>1093757.302074576</v>
      </c>
    </row>
    <row r="143" spans="1:12" x14ac:dyDescent="0.3">
      <c r="A143">
        <v>138</v>
      </c>
      <c r="B143" s="17">
        <v>49035</v>
      </c>
      <c r="C143" s="18">
        <f t="shared" si="27"/>
        <v>994528.70775935031</v>
      </c>
      <c r="D143" s="18">
        <f t="shared" si="20"/>
        <v>7983.6299421501908</v>
      </c>
      <c r="E143" s="18">
        <f t="shared" si="21"/>
        <v>2182.2124802206472</v>
      </c>
      <c r="F143" s="16">
        <f t="shared" si="22"/>
        <v>2.6330612237072015E-2</v>
      </c>
      <c r="G143" s="18">
        <f t="shared" si="23"/>
        <v>5801.4174619295436</v>
      </c>
      <c r="H143" s="16">
        <f t="shared" si="24"/>
        <v>7.0000000000000007E-2</v>
      </c>
      <c r="I143" s="18">
        <f t="shared" si="28"/>
        <v>207653.50472087064</v>
      </c>
      <c r="J143" s="18">
        <f t="shared" si="29"/>
        <v>894087.4272958556</v>
      </c>
      <c r="K143" s="18">
        <f t="shared" si="25"/>
        <v>992346.49527912971</v>
      </c>
      <c r="L143" s="18">
        <f t="shared" si="26"/>
        <v>1101740.9320167261</v>
      </c>
    </row>
    <row r="144" spans="1:12" x14ac:dyDescent="0.3">
      <c r="A144">
        <v>139</v>
      </c>
      <c r="B144" s="17">
        <v>49065</v>
      </c>
      <c r="C144" s="18">
        <f t="shared" si="27"/>
        <v>992346.49527912971</v>
      </c>
      <c r="D144" s="18">
        <f t="shared" si="20"/>
        <v>7983.6299421501908</v>
      </c>
      <c r="E144" s="18">
        <f t="shared" si="21"/>
        <v>2194.942053021934</v>
      </c>
      <c r="F144" s="16">
        <f t="shared" si="22"/>
        <v>2.6542447382609462E-2</v>
      </c>
      <c r="G144" s="18">
        <f t="shared" si="23"/>
        <v>5788.6878891282568</v>
      </c>
      <c r="H144" s="16">
        <f t="shared" si="24"/>
        <v>7.0000000000000007E-2</v>
      </c>
      <c r="I144" s="18">
        <f t="shared" si="28"/>
        <v>209848.44677389256</v>
      </c>
      <c r="J144" s="18">
        <f t="shared" si="29"/>
        <v>899876.11518498382</v>
      </c>
      <c r="K144" s="18">
        <f t="shared" si="25"/>
        <v>990151.55322610773</v>
      </c>
      <c r="L144" s="18">
        <f t="shared" si="26"/>
        <v>1109724.5619588764</v>
      </c>
    </row>
    <row r="145" spans="1:12" x14ac:dyDescent="0.3">
      <c r="A145">
        <v>140</v>
      </c>
      <c r="B145" s="17">
        <v>49096</v>
      </c>
      <c r="C145" s="18">
        <f t="shared" si="27"/>
        <v>990151.55322610773</v>
      </c>
      <c r="D145" s="18">
        <f t="shared" si="20"/>
        <v>7983.6299421501908</v>
      </c>
      <c r="E145" s="18">
        <f t="shared" si="21"/>
        <v>2207.7458816645621</v>
      </c>
      <c r="F145" s="16">
        <f t="shared" si="22"/>
        <v>2.6756460153655792E-2</v>
      </c>
      <c r="G145" s="18">
        <f t="shared" si="23"/>
        <v>5775.8840604856287</v>
      </c>
      <c r="H145" s="16">
        <f t="shared" si="24"/>
        <v>7.0000000000000007E-2</v>
      </c>
      <c r="I145" s="18">
        <f t="shared" si="28"/>
        <v>212056.19265555713</v>
      </c>
      <c r="J145" s="18">
        <f t="shared" si="29"/>
        <v>905651.99924546946</v>
      </c>
      <c r="K145" s="18">
        <f t="shared" si="25"/>
        <v>987943.80734444316</v>
      </c>
      <c r="L145" s="18">
        <f t="shared" si="26"/>
        <v>1117708.1919010265</v>
      </c>
    </row>
    <row r="146" spans="1:12" x14ac:dyDescent="0.3">
      <c r="A146">
        <v>141</v>
      </c>
      <c r="B146" s="17">
        <v>49126</v>
      </c>
      <c r="C146" s="18">
        <f t="shared" si="27"/>
        <v>987943.80734444316</v>
      </c>
      <c r="D146" s="18">
        <f t="shared" si="20"/>
        <v>7983.6299421501908</v>
      </c>
      <c r="E146" s="18">
        <f t="shared" si="21"/>
        <v>2220.624399307605</v>
      </c>
      <c r="F146" s="16">
        <f t="shared" si="22"/>
        <v>2.697268062575213E-2</v>
      </c>
      <c r="G146" s="18">
        <f t="shared" si="23"/>
        <v>5763.0055428425858</v>
      </c>
      <c r="H146" s="16">
        <f t="shared" si="24"/>
        <v>7.0000000000000007E-2</v>
      </c>
      <c r="I146" s="18">
        <f t="shared" si="28"/>
        <v>214276.81705486472</v>
      </c>
      <c r="J146" s="18">
        <f t="shared" si="29"/>
        <v>911415.00478831201</v>
      </c>
      <c r="K146" s="18">
        <f t="shared" si="25"/>
        <v>985723.18294513552</v>
      </c>
      <c r="L146" s="18">
        <f t="shared" si="26"/>
        <v>1125691.8218431766</v>
      </c>
    </row>
    <row r="147" spans="1:12" x14ac:dyDescent="0.3">
      <c r="A147">
        <v>142</v>
      </c>
      <c r="B147" s="17">
        <v>49157</v>
      </c>
      <c r="C147" s="18">
        <f t="shared" si="27"/>
        <v>985723.18294513552</v>
      </c>
      <c r="D147" s="18">
        <f t="shared" si="20"/>
        <v>7983.6299421501908</v>
      </c>
      <c r="E147" s="18">
        <f t="shared" si="21"/>
        <v>2233.5780416368998</v>
      </c>
      <c r="F147" s="16">
        <f t="shared" si="22"/>
        <v>2.7191139422693914E-2</v>
      </c>
      <c r="G147" s="18">
        <f t="shared" si="23"/>
        <v>5750.051900513291</v>
      </c>
      <c r="H147" s="16">
        <f t="shared" si="24"/>
        <v>7.0000000000000007E-2</v>
      </c>
      <c r="I147" s="18">
        <f t="shared" si="28"/>
        <v>216510.39509650163</v>
      </c>
      <c r="J147" s="18">
        <f t="shared" si="29"/>
        <v>917165.05668882525</v>
      </c>
      <c r="K147" s="18">
        <f t="shared" si="25"/>
        <v>983489.60490349866</v>
      </c>
      <c r="L147" s="18">
        <f t="shared" si="26"/>
        <v>1133675.4517853269</v>
      </c>
    </row>
    <row r="148" spans="1:12" x14ac:dyDescent="0.3">
      <c r="A148">
        <v>143</v>
      </c>
      <c r="B148" s="17">
        <v>49188</v>
      </c>
      <c r="C148" s="18">
        <f t="shared" si="27"/>
        <v>983489.60490349866</v>
      </c>
      <c r="D148" s="18">
        <f t="shared" si="20"/>
        <v>7983.6299421501908</v>
      </c>
      <c r="E148" s="18">
        <f t="shared" si="21"/>
        <v>2246.607246879782</v>
      </c>
      <c r="F148" s="16">
        <f t="shared" si="22"/>
        <v>2.7411867729097823E-2</v>
      </c>
      <c r="G148" s="18">
        <f t="shared" si="23"/>
        <v>5737.0226952704088</v>
      </c>
      <c r="H148" s="16">
        <f t="shared" si="24"/>
        <v>7.0000000000000007E-2</v>
      </c>
      <c r="I148" s="18">
        <f t="shared" si="28"/>
        <v>218757.00234338141</v>
      </c>
      <c r="J148" s="18">
        <f t="shared" si="29"/>
        <v>922902.07938409562</v>
      </c>
      <c r="K148" s="18">
        <f t="shared" si="25"/>
        <v>981242.99765661883</v>
      </c>
      <c r="L148" s="18">
        <f t="shared" si="26"/>
        <v>1141659.081727477</v>
      </c>
    </row>
    <row r="149" spans="1:12" x14ac:dyDescent="0.3">
      <c r="A149">
        <v>144</v>
      </c>
      <c r="B149" s="17">
        <v>49218</v>
      </c>
      <c r="C149" s="18">
        <f t="shared" si="27"/>
        <v>981242.99765661883</v>
      </c>
      <c r="D149" s="18">
        <f t="shared" si="20"/>
        <v>7983.6299421501908</v>
      </c>
      <c r="E149" s="18">
        <f t="shared" si="21"/>
        <v>2259.7124558199139</v>
      </c>
      <c r="F149" s="16">
        <f t="shared" si="22"/>
        <v>2.7634897303316371E-2</v>
      </c>
      <c r="G149" s="18">
        <f t="shared" si="23"/>
        <v>5723.9174863302769</v>
      </c>
      <c r="H149" s="16">
        <f t="shared" si="24"/>
        <v>7.0000000000000007E-2</v>
      </c>
      <c r="I149" s="18">
        <f t="shared" si="28"/>
        <v>221016.71479920132</v>
      </c>
      <c r="J149" s="18">
        <f t="shared" si="29"/>
        <v>928625.99687042588</v>
      </c>
      <c r="K149" s="18">
        <f t="shared" si="25"/>
        <v>978983.28520079888</v>
      </c>
      <c r="L149" s="18">
        <f t="shared" si="26"/>
        <v>1149642.7116696271</v>
      </c>
    </row>
    <row r="150" spans="1:12" x14ac:dyDescent="0.3">
      <c r="A150">
        <v>145</v>
      </c>
      <c r="B150" s="17">
        <v>49249</v>
      </c>
      <c r="C150" s="18">
        <f t="shared" si="27"/>
        <v>978983.28520079888</v>
      </c>
      <c r="D150" s="18">
        <f t="shared" si="20"/>
        <v>7983.6299421501908</v>
      </c>
      <c r="E150" s="18">
        <f t="shared" si="21"/>
        <v>2272.8941118121975</v>
      </c>
      <c r="F150" s="16">
        <f t="shared" si="22"/>
        <v>2.7860260490711095E-2</v>
      </c>
      <c r="G150" s="18">
        <f t="shared" si="23"/>
        <v>5710.7358303379933</v>
      </c>
      <c r="H150" s="16">
        <f t="shared" si="24"/>
        <v>6.9999999999999993E-2</v>
      </c>
      <c r="I150" s="18">
        <f t="shared" si="28"/>
        <v>223289.60891101352</v>
      </c>
      <c r="J150" s="18">
        <f t="shared" si="29"/>
        <v>934336.73270076385</v>
      </c>
      <c r="K150" s="18">
        <f t="shared" si="25"/>
        <v>976710.39108898665</v>
      </c>
      <c r="L150" s="18">
        <f t="shared" si="26"/>
        <v>1157626.3416117774</v>
      </c>
    </row>
    <row r="151" spans="1:12" x14ac:dyDescent="0.3">
      <c r="A151">
        <v>146</v>
      </c>
      <c r="B151" s="17">
        <v>49279</v>
      </c>
      <c r="C151" s="18">
        <f t="shared" si="27"/>
        <v>976710.39108898665</v>
      </c>
      <c r="D151" s="18">
        <f t="shared" si="20"/>
        <v>7983.6299421501908</v>
      </c>
      <c r="E151" s="18">
        <f t="shared" si="21"/>
        <v>2286.1526607977685</v>
      </c>
      <c r="F151" s="16">
        <f t="shared" si="22"/>
        <v>2.8087990237296211E-2</v>
      </c>
      <c r="G151" s="18">
        <f t="shared" si="23"/>
        <v>5697.4772813524223</v>
      </c>
      <c r="H151" s="16">
        <f t="shared" si="24"/>
        <v>7.0000000000000007E-2</v>
      </c>
      <c r="I151" s="18">
        <f t="shared" si="28"/>
        <v>225575.76157181128</v>
      </c>
      <c r="J151" s="18">
        <f t="shared" si="29"/>
        <v>940034.20998211624</v>
      </c>
      <c r="K151" s="18">
        <f t="shared" si="25"/>
        <v>974424.23842818884</v>
      </c>
      <c r="L151" s="18">
        <f t="shared" si="26"/>
        <v>1165609.9715539275</v>
      </c>
    </row>
    <row r="152" spans="1:12" x14ac:dyDescent="0.3">
      <c r="A152">
        <v>147</v>
      </c>
      <c r="B152" s="17">
        <v>49310</v>
      </c>
      <c r="C152" s="18">
        <f t="shared" si="27"/>
        <v>974424.23842818884</v>
      </c>
      <c r="D152" s="18">
        <f t="shared" si="20"/>
        <v>7983.6299421501908</v>
      </c>
      <c r="E152" s="18">
        <f t="shared" si="21"/>
        <v>2299.4885513190893</v>
      </c>
      <c r="F152" s="16">
        <f t="shared" si="22"/>
        <v>2.8318120103764874E-2</v>
      </c>
      <c r="G152" s="18">
        <f t="shared" si="23"/>
        <v>5684.1413908311015</v>
      </c>
      <c r="H152" s="16">
        <f t="shared" si="24"/>
        <v>7.0000000000000007E-2</v>
      </c>
      <c r="I152" s="18">
        <f t="shared" si="28"/>
        <v>227875.25012313036</v>
      </c>
      <c r="J152" s="18">
        <f t="shared" si="29"/>
        <v>945718.35137294733</v>
      </c>
      <c r="K152" s="18">
        <f t="shared" si="25"/>
        <v>972124.74987686973</v>
      </c>
      <c r="L152" s="18">
        <f t="shared" si="26"/>
        <v>1173593.6014960776</v>
      </c>
    </row>
    <row r="153" spans="1:12" x14ac:dyDescent="0.3">
      <c r="A153">
        <v>148</v>
      </c>
      <c r="B153" s="17">
        <v>49341</v>
      </c>
      <c r="C153" s="18">
        <f t="shared" si="27"/>
        <v>972124.74987686973</v>
      </c>
      <c r="D153" s="18">
        <f t="shared" si="20"/>
        <v>7983.6299421501908</v>
      </c>
      <c r="E153" s="18">
        <f t="shared" si="21"/>
        <v>2312.9022345351168</v>
      </c>
      <c r="F153" s="16">
        <f t="shared" si="22"/>
        <v>2.8550684279910428E-2</v>
      </c>
      <c r="G153" s="18">
        <f t="shared" si="23"/>
        <v>5670.727707615074</v>
      </c>
      <c r="H153" s="16">
        <f t="shared" si="24"/>
        <v>7.0000000000000007E-2</v>
      </c>
      <c r="I153" s="18">
        <f t="shared" si="28"/>
        <v>230188.15235766547</v>
      </c>
      <c r="J153" s="18">
        <f t="shared" si="29"/>
        <v>951389.07908056246</v>
      </c>
      <c r="K153" s="18">
        <f t="shared" si="25"/>
        <v>969811.84764233464</v>
      </c>
      <c r="L153" s="18">
        <f t="shared" si="26"/>
        <v>1181577.2314382279</v>
      </c>
    </row>
    <row r="154" spans="1:12" x14ac:dyDescent="0.3">
      <c r="A154">
        <v>149</v>
      </c>
      <c r="B154" s="17">
        <v>49369</v>
      </c>
      <c r="C154" s="18">
        <f t="shared" si="27"/>
        <v>969811.84764233464</v>
      </c>
      <c r="D154" s="18">
        <f t="shared" si="20"/>
        <v>7983.6299421501908</v>
      </c>
      <c r="E154" s="18">
        <f t="shared" si="21"/>
        <v>2326.3941642365717</v>
      </c>
      <c r="F154" s="16">
        <f t="shared" si="22"/>
        <v>2.8785717599455966E-2</v>
      </c>
      <c r="G154" s="18">
        <f t="shared" si="23"/>
        <v>5657.2357779136191</v>
      </c>
      <c r="H154" s="16">
        <f t="shared" si="24"/>
        <v>7.0000000000000007E-2</v>
      </c>
      <c r="I154" s="18">
        <f t="shared" si="28"/>
        <v>232514.54652190206</v>
      </c>
      <c r="J154" s="18">
        <f t="shared" si="29"/>
        <v>957046.31485847605</v>
      </c>
      <c r="K154" s="18">
        <f t="shared" si="25"/>
        <v>967485.45347809803</v>
      </c>
      <c r="L154" s="18">
        <f t="shared" si="26"/>
        <v>1189560.861380378</v>
      </c>
    </row>
    <row r="155" spans="1:12" x14ac:dyDescent="0.3">
      <c r="A155">
        <v>150</v>
      </c>
      <c r="B155" s="17">
        <v>49400</v>
      </c>
      <c r="C155" s="18">
        <f t="shared" si="27"/>
        <v>967485.45347809803</v>
      </c>
      <c r="D155" s="18">
        <f t="shared" si="20"/>
        <v>7983.6299421501908</v>
      </c>
      <c r="E155" s="18">
        <f t="shared" si="21"/>
        <v>2339.9647968612853</v>
      </c>
      <c r="F155" s="16">
        <f t="shared" si="22"/>
        <v>2.9023255555305452E-2</v>
      </c>
      <c r="G155" s="18">
        <f t="shared" si="23"/>
        <v>5643.6651452889055</v>
      </c>
      <c r="H155" s="16">
        <f t="shared" si="24"/>
        <v>7.0000000000000007E-2</v>
      </c>
      <c r="I155" s="18">
        <f t="shared" si="28"/>
        <v>234854.51131876334</v>
      </c>
      <c r="J155" s="18">
        <f t="shared" si="29"/>
        <v>962689.98000376497</v>
      </c>
      <c r="K155" s="18">
        <f t="shared" si="25"/>
        <v>965145.48868123675</v>
      </c>
      <c r="L155" s="18">
        <f t="shared" si="26"/>
        <v>1197544.4913225283</v>
      </c>
    </row>
    <row r="156" spans="1:12" x14ac:dyDescent="0.3">
      <c r="A156">
        <v>151</v>
      </c>
      <c r="B156" s="17">
        <v>49430</v>
      </c>
      <c r="C156" s="18">
        <f t="shared" si="27"/>
        <v>965145.48868123675</v>
      </c>
      <c r="D156" s="18">
        <f t="shared" si="20"/>
        <v>7983.6299421501908</v>
      </c>
      <c r="E156" s="18">
        <f t="shared" si="21"/>
        <v>2353.6145915096431</v>
      </c>
      <c r="F156" s="16">
        <f t="shared" si="22"/>
        <v>2.9263334315230677E-2</v>
      </c>
      <c r="G156" s="18">
        <f t="shared" si="23"/>
        <v>5630.0153506405477</v>
      </c>
      <c r="H156" s="16">
        <f t="shared" si="24"/>
        <v>7.0000000000000007E-2</v>
      </c>
      <c r="I156" s="18">
        <f t="shared" si="28"/>
        <v>237208.125910273</v>
      </c>
      <c r="J156" s="18">
        <f t="shared" si="29"/>
        <v>968319.99535440549</v>
      </c>
      <c r="K156" s="18">
        <f t="shared" si="25"/>
        <v>962791.87408972706</v>
      </c>
      <c r="L156" s="18">
        <f t="shared" si="26"/>
        <v>1205528.1212646784</v>
      </c>
    </row>
    <row r="157" spans="1:12" x14ac:dyDescent="0.3">
      <c r="A157">
        <v>152</v>
      </c>
      <c r="B157" s="17">
        <v>49461</v>
      </c>
      <c r="C157" s="18">
        <f t="shared" si="27"/>
        <v>962791.87408972706</v>
      </c>
      <c r="D157" s="18">
        <f t="shared" si="20"/>
        <v>7983.6299421501908</v>
      </c>
      <c r="E157" s="18">
        <f t="shared" si="21"/>
        <v>2367.3440099601157</v>
      </c>
      <c r="F157" s="16">
        <f t="shared" si="22"/>
        <v>2.950599073800856E-2</v>
      </c>
      <c r="G157" s="18">
        <f t="shared" si="23"/>
        <v>5616.2859321900751</v>
      </c>
      <c r="H157" s="16">
        <f t="shared" si="24"/>
        <v>7.0000000000000007E-2</v>
      </c>
      <c r="I157" s="18">
        <f t="shared" si="28"/>
        <v>239575.46992023312</v>
      </c>
      <c r="J157" s="18">
        <f t="shared" si="29"/>
        <v>973936.28128659551</v>
      </c>
      <c r="K157" s="18">
        <f t="shared" si="25"/>
        <v>960424.53007976699</v>
      </c>
      <c r="L157" s="18">
        <f t="shared" si="26"/>
        <v>1213511.7512068287</v>
      </c>
    </row>
    <row r="158" spans="1:12" x14ac:dyDescent="0.3">
      <c r="A158">
        <v>153</v>
      </c>
      <c r="B158" s="17">
        <v>49491</v>
      </c>
      <c r="C158" s="18">
        <f t="shared" si="27"/>
        <v>960424.53007976699</v>
      </c>
      <c r="D158" s="18">
        <f t="shared" si="20"/>
        <v>7983.6299421501908</v>
      </c>
      <c r="E158" s="18">
        <f t="shared" si="21"/>
        <v>2381.1535166848835</v>
      </c>
      <c r="F158" s="16">
        <f t="shared" si="22"/>
        <v>2.9751262390023955E-2</v>
      </c>
      <c r="G158" s="18">
        <f t="shared" si="23"/>
        <v>5602.4764254653073</v>
      </c>
      <c r="H158" s="16">
        <f t="shared" si="24"/>
        <v>7.0000000000000007E-2</v>
      </c>
      <c r="I158" s="18">
        <f t="shared" si="28"/>
        <v>241956.62343691802</v>
      </c>
      <c r="J158" s="18">
        <f t="shared" si="29"/>
        <v>979538.75771206082</v>
      </c>
      <c r="K158" s="18">
        <f t="shared" si="25"/>
        <v>958043.3765630821</v>
      </c>
      <c r="L158" s="18">
        <f t="shared" si="26"/>
        <v>1221495.3811489788</v>
      </c>
    </row>
    <row r="159" spans="1:12" x14ac:dyDescent="0.3">
      <c r="A159">
        <v>154</v>
      </c>
      <c r="B159" s="17">
        <v>49522</v>
      </c>
      <c r="C159" s="18">
        <f t="shared" si="27"/>
        <v>958043.3765630821</v>
      </c>
      <c r="D159" s="18">
        <f t="shared" si="20"/>
        <v>7983.6299421501908</v>
      </c>
      <c r="E159" s="18">
        <f t="shared" si="21"/>
        <v>2395.043578865545</v>
      </c>
      <c r="F159" s="16">
        <f t="shared" si="22"/>
        <v>2.9999187562353688E-2</v>
      </c>
      <c r="G159" s="18">
        <f t="shared" si="23"/>
        <v>5588.5863632846458</v>
      </c>
      <c r="H159" s="16">
        <f t="shared" si="24"/>
        <v>7.0000000000000007E-2</v>
      </c>
      <c r="I159" s="18">
        <f t="shared" si="28"/>
        <v>244351.66701578355</v>
      </c>
      <c r="J159" s="18">
        <f t="shared" si="29"/>
        <v>985127.34407534543</v>
      </c>
      <c r="K159" s="18">
        <f t="shared" si="25"/>
        <v>955648.33298421651</v>
      </c>
      <c r="L159" s="18">
        <f t="shared" si="26"/>
        <v>1229479.0110911289</v>
      </c>
    </row>
    <row r="160" spans="1:12" x14ac:dyDescent="0.3">
      <c r="A160">
        <v>155</v>
      </c>
      <c r="B160" s="17">
        <v>49553</v>
      </c>
      <c r="C160" s="18">
        <f t="shared" si="27"/>
        <v>955648.33298421651</v>
      </c>
      <c r="D160" s="18">
        <f t="shared" si="20"/>
        <v>7983.6299421501908</v>
      </c>
      <c r="E160" s="18">
        <f t="shared" si="21"/>
        <v>2409.014666408928</v>
      </c>
      <c r="F160" s="16">
        <f t="shared" si="22"/>
        <v>3.0249805288348246E-2</v>
      </c>
      <c r="G160" s="18">
        <f t="shared" si="23"/>
        <v>5574.6152757412628</v>
      </c>
      <c r="H160" s="16">
        <f t="shared" si="24"/>
        <v>7.0000000000000007E-2</v>
      </c>
      <c r="I160" s="18">
        <f t="shared" si="28"/>
        <v>246760.68168219249</v>
      </c>
      <c r="J160" s="18">
        <f t="shared" si="29"/>
        <v>990701.95935108664</v>
      </c>
      <c r="K160" s="18">
        <f t="shared" si="25"/>
        <v>953239.31831780763</v>
      </c>
      <c r="L160" s="18">
        <f t="shared" si="26"/>
        <v>1237462.6410332792</v>
      </c>
    </row>
    <row r="161" spans="1:12" x14ac:dyDescent="0.3">
      <c r="A161">
        <v>156</v>
      </c>
      <c r="B161" s="17">
        <v>49583</v>
      </c>
      <c r="C161" s="18">
        <f t="shared" si="27"/>
        <v>953239.31831780763</v>
      </c>
      <c r="D161" s="18">
        <f t="shared" si="20"/>
        <v>7983.6299421501908</v>
      </c>
      <c r="E161" s="18">
        <f t="shared" si="21"/>
        <v>2423.0672519629798</v>
      </c>
      <c r="F161" s="16">
        <f t="shared" si="22"/>
        <v>3.0503155361727978E-2</v>
      </c>
      <c r="G161" s="18">
        <f t="shared" si="23"/>
        <v>5560.562690187211</v>
      </c>
      <c r="H161" s="16">
        <f t="shared" si="24"/>
        <v>7.0000000000000007E-2</v>
      </c>
      <c r="I161" s="18">
        <f t="shared" si="28"/>
        <v>249183.74893415548</v>
      </c>
      <c r="J161" s="18">
        <f t="shared" si="29"/>
        <v>996262.52204127389</v>
      </c>
      <c r="K161" s="18">
        <f t="shared" si="25"/>
        <v>950816.25106584467</v>
      </c>
      <c r="L161" s="18">
        <f t="shared" si="26"/>
        <v>1245446.2709754293</v>
      </c>
    </row>
    <row r="162" spans="1:12" x14ac:dyDescent="0.3">
      <c r="A162">
        <v>157</v>
      </c>
      <c r="B162" s="17">
        <v>49614</v>
      </c>
      <c r="C162" s="18">
        <f t="shared" si="27"/>
        <v>950816.25106584467</v>
      </c>
      <c r="D162" s="18">
        <f t="shared" si="20"/>
        <v>7983.6299421501908</v>
      </c>
      <c r="E162" s="18">
        <f t="shared" si="21"/>
        <v>2437.2018109327637</v>
      </c>
      <c r="F162" s="16">
        <f t="shared" si="22"/>
        <v>3.0759278355211694E-2</v>
      </c>
      <c r="G162" s="18">
        <f t="shared" si="23"/>
        <v>5546.4281312174271</v>
      </c>
      <c r="H162" s="16">
        <f t="shared" si="24"/>
        <v>7.0000000000000007E-2</v>
      </c>
      <c r="I162" s="18">
        <f t="shared" si="28"/>
        <v>251620.95074508825</v>
      </c>
      <c r="J162" s="18">
        <f t="shared" si="29"/>
        <v>1001808.9501724913</v>
      </c>
      <c r="K162" s="18">
        <f t="shared" si="25"/>
        <v>948379.04925491195</v>
      </c>
      <c r="L162" s="18">
        <f t="shared" si="26"/>
        <v>1253429.9009175794</v>
      </c>
    </row>
    <row r="163" spans="1:12" x14ac:dyDescent="0.3">
      <c r="A163">
        <v>158</v>
      </c>
      <c r="B163" s="17">
        <v>49644</v>
      </c>
      <c r="C163" s="18">
        <f t="shared" si="27"/>
        <v>948379.04925491195</v>
      </c>
      <c r="D163" s="18">
        <f t="shared" si="20"/>
        <v>7983.6299421501908</v>
      </c>
      <c r="E163" s="18">
        <f t="shared" si="21"/>
        <v>2451.4188214965379</v>
      </c>
      <c r="F163" s="16">
        <f t="shared" si="22"/>
        <v>3.1018215639695708E-2</v>
      </c>
      <c r="G163" s="18">
        <f t="shared" si="23"/>
        <v>5532.2111206536529</v>
      </c>
      <c r="H163" s="16">
        <f t="shared" si="24"/>
        <v>6.9999999999999993E-2</v>
      </c>
      <c r="I163" s="18">
        <f t="shared" si="28"/>
        <v>254072.36956658479</v>
      </c>
      <c r="J163" s="18">
        <f t="shared" si="29"/>
        <v>1007341.1612931449</v>
      </c>
      <c r="K163" s="18">
        <f t="shared" si="25"/>
        <v>945927.63043341541</v>
      </c>
      <c r="L163" s="18">
        <f t="shared" si="26"/>
        <v>1261413.5308597297</v>
      </c>
    </row>
    <row r="164" spans="1:12" x14ac:dyDescent="0.3">
      <c r="A164">
        <v>159</v>
      </c>
      <c r="B164" s="17">
        <v>49675</v>
      </c>
      <c r="C164" s="18">
        <f t="shared" si="27"/>
        <v>945927.63043341541</v>
      </c>
      <c r="D164" s="18">
        <f t="shared" si="20"/>
        <v>7983.6299421501908</v>
      </c>
      <c r="E164" s="18">
        <f t="shared" si="21"/>
        <v>2465.7187646219336</v>
      </c>
      <c r="F164" s="16">
        <f t="shared" si="22"/>
        <v>3.1280009404002676E-2</v>
      </c>
      <c r="G164" s="18">
        <f t="shared" si="23"/>
        <v>5517.9111775282572</v>
      </c>
      <c r="H164" s="16">
        <f t="shared" si="24"/>
        <v>7.0000000000000007E-2</v>
      </c>
      <c r="I164" s="18">
        <f t="shared" si="28"/>
        <v>256538.08833120673</v>
      </c>
      <c r="J164" s="18">
        <f t="shared" si="29"/>
        <v>1012859.0724706731</v>
      </c>
      <c r="K164" s="18">
        <f t="shared" si="25"/>
        <v>943461.91166879353</v>
      </c>
      <c r="L164" s="18">
        <f t="shared" si="26"/>
        <v>1269397.1608018798</v>
      </c>
    </row>
    <row r="165" spans="1:12" x14ac:dyDescent="0.3">
      <c r="A165">
        <v>160</v>
      </c>
      <c r="B165" s="17">
        <v>49706</v>
      </c>
      <c r="C165" s="18">
        <f t="shared" si="27"/>
        <v>943461.91166879353</v>
      </c>
      <c r="D165" s="18">
        <f t="shared" si="20"/>
        <v>7983.6299421501908</v>
      </c>
      <c r="E165" s="18">
        <f t="shared" si="21"/>
        <v>2480.1021240822283</v>
      </c>
      <c r="F165" s="16">
        <f t="shared" si="22"/>
        <v>3.1544702675219971E-2</v>
      </c>
      <c r="G165" s="18">
        <f t="shared" si="23"/>
        <v>5503.5278180679625</v>
      </c>
      <c r="H165" s="16">
        <f t="shared" si="24"/>
        <v>7.0000000000000007E-2</v>
      </c>
      <c r="I165" s="18">
        <f t="shared" si="28"/>
        <v>259018.19045528895</v>
      </c>
      <c r="J165" s="18">
        <f t="shared" si="29"/>
        <v>1018362.6002887411</v>
      </c>
      <c r="K165" s="18">
        <f t="shared" si="25"/>
        <v>940981.80954471126</v>
      </c>
      <c r="L165" s="18">
        <f t="shared" si="26"/>
        <v>1277380.7907440299</v>
      </c>
    </row>
    <row r="166" spans="1:12" x14ac:dyDescent="0.3">
      <c r="A166">
        <v>161</v>
      </c>
      <c r="B166" s="17">
        <v>49735</v>
      </c>
      <c r="C166" s="18">
        <f t="shared" si="27"/>
        <v>940981.80954471126</v>
      </c>
      <c r="D166" s="18">
        <f t="shared" si="20"/>
        <v>7983.6299421501908</v>
      </c>
      <c r="E166" s="18">
        <f t="shared" si="21"/>
        <v>2494.5693864727082</v>
      </c>
      <c r="F166" s="16">
        <f t="shared" si="22"/>
        <v>3.1812339339648124E-2</v>
      </c>
      <c r="G166" s="18">
        <f t="shared" si="23"/>
        <v>5489.0605556774826</v>
      </c>
      <c r="H166" s="16">
        <f t="shared" si="24"/>
        <v>7.0000000000000007E-2</v>
      </c>
      <c r="I166" s="18">
        <f t="shared" si="28"/>
        <v>261512.75984176167</v>
      </c>
      <c r="J166" s="18">
        <f t="shared" si="29"/>
        <v>1023851.6608444186</v>
      </c>
      <c r="K166" s="18">
        <f t="shared" si="25"/>
        <v>938487.24015823856</v>
      </c>
      <c r="L166" s="18">
        <f t="shared" si="26"/>
        <v>1285364.4206861802</v>
      </c>
    </row>
    <row r="167" spans="1:12" x14ac:dyDescent="0.3">
      <c r="A167">
        <v>162</v>
      </c>
      <c r="B167" s="17">
        <v>49766</v>
      </c>
      <c r="C167" s="18">
        <f t="shared" si="27"/>
        <v>938487.24015823856</v>
      </c>
      <c r="D167" s="18">
        <f t="shared" si="20"/>
        <v>7983.6299421501908</v>
      </c>
      <c r="E167" s="18">
        <f t="shared" si="21"/>
        <v>2509.1210412271321</v>
      </c>
      <c r="F167" s="16">
        <f t="shared" si="22"/>
        <v>3.2082964164380993E-2</v>
      </c>
      <c r="G167" s="18">
        <f t="shared" si="23"/>
        <v>5474.5089009230587</v>
      </c>
      <c r="H167" s="16">
        <f t="shared" si="24"/>
        <v>7.0000000000000007E-2</v>
      </c>
      <c r="I167" s="18">
        <f t="shared" si="28"/>
        <v>264021.8808829888</v>
      </c>
      <c r="J167" s="18">
        <f t="shared" si="29"/>
        <v>1029326.1697453416</v>
      </c>
      <c r="K167" s="18">
        <f t="shared" si="25"/>
        <v>935978.11911701143</v>
      </c>
      <c r="L167" s="18">
        <f t="shared" si="26"/>
        <v>1293348.0506283306</v>
      </c>
    </row>
    <row r="168" spans="1:12" x14ac:dyDescent="0.3">
      <c r="A168">
        <v>163</v>
      </c>
      <c r="B168" s="17">
        <v>49796</v>
      </c>
      <c r="C168" s="18">
        <f t="shared" si="27"/>
        <v>935978.11911701143</v>
      </c>
      <c r="D168" s="18">
        <f t="shared" si="20"/>
        <v>7983.6299421501908</v>
      </c>
      <c r="E168" s="18">
        <f t="shared" si="21"/>
        <v>2523.7575806342902</v>
      </c>
      <c r="F168" s="16">
        <f t="shared" si="22"/>
        <v>3.2356622819539854E-2</v>
      </c>
      <c r="G168" s="18">
        <f t="shared" si="23"/>
        <v>5459.8723615159006</v>
      </c>
      <c r="H168" s="16">
        <f t="shared" si="24"/>
        <v>7.0000000000000007E-2</v>
      </c>
      <c r="I168" s="18">
        <f t="shared" si="28"/>
        <v>266545.63846362307</v>
      </c>
      <c r="J168" s="18">
        <f t="shared" si="29"/>
        <v>1034786.0421068575</v>
      </c>
      <c r="K168" s="18">
        <f t="shared" si="25"/>
        <v>933454.36153637711</v>
      </c>
      <c r="L168" s="18">
        <f t="shared" si="26"/>
        <v>1301331.6805704806</v>
      </c>
    </row>
    <row r="169" spans="1:12" x14ac:dyDescent="0.3">
      <c r="A169">
        <v>164</v>
      </c>
      <c r="B169" s="17">
        <v>49827</v>
      </c>
      <c r="C169" s="18">
        <f t="shared" si="27"/>
        <v>933454.36153637711</v>
      </c>
      <c r="D169" s="18">
        <f t="shared" si="20"/>
        <v>7983.6299421501908</v>
      </c>
      <c r="E169" s="18">
        <f t="shared" si="21"/>
        <v>2538.4794998546577</v>
      </c>
      <c r="F169" s="16">
        <f t="shared" si="22"/>
        <v>3.2633361901184696E-2</v>
      </c>
      <c r="G169" s="18">
        <f t="shared" si="23"/>
        <v>5445.1504422955331</v>
      </c>
      <c r="H169" s="16">
        <f t="shared" si="24"/>
        <v>7.0000000000000007E-2</v>
      </c>
      <c r="I169" s="18">
        <f t="shared" si="28"/>
        <v>269084.11796347774</v>
      </c>
      <c r="J169" s="18">
        <f t="shared" si="29"/>
        <v>1040231.192549153</v>
      </c>
      <c r="K169" s="18">
        <f t="shared" si="25"/>
        <v>930915.8820365225</v>
      </c>
      <c r="L169" s="18">
        <f t="shared" si="26"/>
        <v>1309315.3105126307</v>
      </c>
    </row>
    <row r="170" spans="1:12" x14ac:dyDescent="0.3">
      <c r="A170">
        <v>165</v>
      </c>
      <c r="B170" s="17">
        <v>49857</v>
      </c>
      <c r="C170" s="18">
        <f t="shared" si="27"/>
        <v>930915.8820365225</v>
      </c>
      <c r="D170" s="18">
        <f t="shared" si="20"/>
        <v>7983.6299421501908</v>
      </c>
      <c r="E170" s="18">
        <f t="shared" si="21"/>
        <v>2553.2872969371429</v>
      </c>
      <c r="F170" s="16">
        <f t="shared" si="22"/>
        <v>3.2913228954926821E-2</v>
      </c>
      <c r="G170" s="18">
        <f t="shared" si="23"/>
        <v>5430.3426452130479</v>
      </c>
      <c r="H170" s="16">
        <f t="shared" si="24"/>
        <v>7.0000000000000007E-2</v>
      </c>
      <c r="I170" s="18">
        <f t="shared" si="28"/>
        <v>271637.40526041487</v>
      </c>
      <c r="J170" s="18">
        <f t="shared" si="29"/>
        <v>1045661.535194366</v>
      </c>
      <c r="K170" s="18">
        <f t="shared" si="25"/>
        <v>928362.5947395853</v>
      </c>
      <c r="L170" s="18">
        <f t="shared" si="26"/>
        <v>1317298.9404547808</v>
      </c>
    </row>
    <row r="171" spans="1:12" x14ac:dyDescent="0.3">
      <c r="A171">
        <v>166</v>
      </c>
      <c r="B171" s="17">
        <v>49888</v>
      </c>
      <c r="C171" s="18">
        <f t="shared" si="27"/>
        <v>928362.5947395853</v>
      </c>
      <c r="D171" s="18">
        <f t="shared" si="20"/>
        <v>7983.6299421501908</v>
      </c>
      <c r="E171" s="18">
        <f t="shared" si="21"/>
        <v>2568.1814728359432</v>
      </c>
      <c r="F171" s="16">
        <f t="shared" si="22"/>
        <v>3.3196272500268187E-2</v>
      </c>
      <c r="G171" s="18">
        <f t="shared" si="23"/>
        <v>5415.4484693142476</v>
      </c>
      <c r="H171" s="16">
        <f t="shared" si="24"/>
        <v>7.0000000000000007E-2</v>
      </c>
      <c r="I171" s="18">
        <f t="shared" si="28"/>
        <v>274205.58673325082</v>
      </c>
      <c r="J171" s="18">
        <f t="shared" si="29"/>
        <v>1051076.9836636803</v>
      </c>
      <c r="K171" s="18">
        <f t="shared" si="25"/>
        <v>925794.41326674935</v>
      </c>
      <c r="L171" s="18">
        <f t="shared" si="26"/>
        <v>1325282.5703969311</v>
      </c>
    </row>
    <row r="172" spans="1:12" x14ac:dyDescent="0.3">
      <c r="A172">
        <v>167</v>
      </c>
      <c r="B172" s="17">
        <v>49919</v>
      </c>
      <c r="C172" s="18">
        <f t="shared" si="27"/>
        <v>925794.41326674935</v>
      </c>
      <c r="D172" s="18">
        <f t="shared" si="20"/>
        <v>7983.6299421501908</v>
      </c>
      <c r="E172" s="18">
        <f t="shared" si="21"/>
        <v>2583.1625314274861</v>
      </c>
      <c r="F172" s="16">
        <f t="shared" si="22"/>
        <v>3.3482542055693294E-2</v>
      </c>
      <c r="G172" s="18">
        <f t="shared" si="23"/>
        <v>5400.4674107227047</v>
      </c>
      <c r="H172" s="16">
        <f t="shared" si="24"/>
        <v>7.0000000000000007E-2</v>
      </c>
      <c r="I172" s="18">
        <f t="shared" si="28"/>
        <v>276788.74926467834</v>
      </c>
      <c r="J172" s="18">
        <f t="shared" si="29"/>
        <v>1056477.451074403</v>
      </c>
      <c r="K172" s="18">
        <f t="shared" si="25"/>
        <v>923211.2507353219</v>
      </c>
      <c r="L172" s="18">
        <f t="shared" si="26"/>
        <v>1333266.2003390812</v>
      </c>
    </row>
    <row r="173" spans="1:12" x14ac:dyDescent="0.3">
      <c r="A173">
        <v>168</v>
      </c>
      <c r="B173" s="17">
        <v>49949</v>
      </c>
      <c r="C173" s="18">
        <f t="shared" si="27"/>
        <v>923211.2507353219</v>
      </c>
      <c r="D173" s="18">
        <f t="shared" si="20"/>
        <v>7983.6299421501908</v>
      </c>
      <c r="E173" s="18">
        <f t="shared" si="21"/>
        <v>2598.2309795274796</v>
      </c>
      <c r="F173" s="16">
        <f t="shared" si="22"/>
        <v>3.3772088164541324E-2</v>
      </c>
      <c r="G173" s="18">
        <f t="shared" si="23"/>
        <v>5385.3989626227112</v>
      </c>
      <c r="H173" s="16">
        <f t="shared" si="24"/>
        <v>7.0000000000000007E-2</v>
      </c>
      <c r="I173" s="18">
        <f t="shared" si="28"/>
        <v>279386.9802442058</v>
      </c>
      <c r="J173" s="18">
        <f t="shared" si="29"/>
        <v>1061862.8500370258</v>
      </c>
      <c r="K173" s="18">
        <f t="shared" si="25"/>
        <v>920613.01975579443</v>
      </c>
      <c r="L173" s="18">
        <f t="shared" si="26"/>
        <v>1341249.8302812316</v>
      </c>
    </row>
    <row r="174" spans="1:12" x14ac:dyDescent="0.3">
      <c r="A174">
        <v>169</v>
      </c>
      <c r="B174" s="17">
        <v>49980</v>
      </c>
      <c r="C174" s="18">
        <f t="shared" si="27"/>
        <v>920613.01975579443</v>
      </c>
      <c r="D174" s="18">
        <f t="shared" si="20"/>
        <v>7983.6299421501908</v>
      </c>
      <c r="E174" s="18">
        <f t="shared" si="21"/>
        <v>2613.3873269080559</v>
      </c>
      <c r="F174" s="16">
        <f t="shared" si="22"/>
        <v>3.4064962421686718E-2</v>
      </c>
      <c r="G174" s="18">
        <f t="shared" si="23"/>
        <v>5370.2426152421349</v>
      </c>
      <c r="H174" s="16">
        <f t="shared" si="24"/>
        <v>7.0000000000000007E-2</v>
      </c>
      <c r="I174" s="18">
        <f t="shared" si="28"/>
        <v>282000.36757111386</v>
      </c>
      <c r="J174" s="18">
        <f t="shared" si="29"/>
        <v>1067233.0926522678</v>
      </c>
      <c r="K174" s="18">
        <f t="shared" si="25"/>
        <v>917999.63242888637</v>
      </c>
      <c r="L174" s="18">
        <f t="shared" si="26"/>
        <v>1349233.4602233816</v>
      </c>
    </row>
    <row r="175" spans="1:12" x14ac:dyDescent="0.3">
      <c r="A175">
        <v>170</v>
      </c>
      <c r="B175" s="17">
        <v>50010</v>
      </c>
      <c r="C175" s="18">
        <f t="shared" si="27"/>
        <v>917999.63242888637</v>
      </c>
      <c r="D175" s="18">
        <f t="shared" si="20"/>
        <v>7983.6299421501908</v>
      </c>
      <c r="E175" s="18">
        <f t="shared" si="21"/>
        <v>2628.6320863150204</v>
      </c>
      <c r="F175" s="16">
        <f t="shared" si="22"/>
        <v>3.4361217501057979E-2</v>
      </c>
      <c r="G175" s="18">
        <f t="shared" si="23"/>
        <v>5354.9978558351704</v>
      </c>
      <c r="H175" s="16">
        <f t="shared" si="24"/>
        <v>7.0000000000000007E-2</v>
      </c>
      <c r="I175" s="18">
        <f t="shared" si="28"/>
        <v>284628.99965742888</v>
      </c>
      <c r="J175" s="18">
        <f t="shared" si="29"/>
        <v>1072588.0905081029</v>
      </c>
      <c r="K175" s="18">
        <f t="shared" si="25"/>
        <v>915371.00034257129</v>
      </c>
      <c r="L175" s="18">
        <f t="shared" si="26"/>
        <v>1357217.0901655317</v>
      </c>
    </row>
    <row r="176" spans="1:12" x14ac:dyDescent="0.3">
      <c r="A176">
        <v>171</v>
      </c>
      <c r="B176" s="17">
        <v>50041</v>
      </c>
      <c r="C176" s="18">
        <f t="shared" si="27"/>
        <v>915371.00034257129</v>
      </c>
      <c r="D176" s="18">
        <f t="shared" si="20"/>
        <v>7983.6299421501908</v>
      </c>
      <c r="E176" s="18">
        <f t="shared" si="21"/>
        <v>2643.9657734851917</v>
      </c>
      <c r="F176" s="16">
        <f t="shared" si="22"/>
        <v>3.4660907184025348E-2</v>
      </c>
      <c r="G176" s="18">
        <f t="shared" si="23"/>
        <v>5339.6641686649991</v>
      </c>
      <c r="H176" s="16">
        <f t="shared" si="24"/>
        <v>7.0000000000000007E-2</v>
      </c>
      <c r="I176" s="18">
        <f t="shared" si="28"/>
        <v>287272.96543091408</v>
      </c>
      <c r="J176" s="18">
        <f t="shared" si="29"/>
        <v>1077927.7546767679</v>
      </c>
      <c r="K176" s="18">
        <f t="shared" si="25"/>
        <v>912727.03456908616</v>
      </c>
      <c r="L176" s="18">
        <f t="shared" si="26"/>
        <v>1365200.720107682</v>
      </c>
    </row>
    <row r="177" spans="1:12" x14ac:dyDescent="0.3">
      <c r="A177">
        <v>172</v>
      </c>
      <c r="B177" s="17">
        <v>50072</v>
      </c>
      <c r="C177" s="18">
        <f t="shared" si="27"/>
        <v>912727.03456908616</v>
      </c>
      <c r="D177" s="18">
        <f t="shared" si="20"/>
        <v>7983.6299421501908</v>
      </c>
      <c r="E177" s="18">
        <f t="shared" si="21"/>
        <v>2659.388907163855</v>
      </c>
      <c r="F177" s="16">
        <f t="shared" si="22"/>
        <v>3.4964086388689877E-2</v>
      </c>
      <c r="G177" s="18">
        <f t="shared" si="23"/>
        <v>5324.2410349863358</v>
      </c>
      <c r="H177" s="16">
        <f t="shared" si="24"/>
        <v>6.9999999999999993E-2</v>
      </c>
      <c r="I177" s="18">
        <f t="shared" si="28"/>
        <v>289932.35433807794</v>
      </c>
      <c r="J177" s="18">
        <f t="shared" si="29"/>
        <v>1083251.9957117543</v>
      </c>
      <c r="K177" s="18">
        <f t="shared" si="25"/>
        <v>910067.64566192229</v>
      </c>
      <c r="L177" s="18">
        <f t="shared" si="26"/>
        <v>1373184.3500498324</v>
      </c>
    </row>
    <row r="178" spans="1:12" x14ac:dyDescent="0.3">
      <c r="A178">
        <v>173</v>
      </c>
      <c r="B178" s="17">
        <v>50100</v>
      </c>
      <c r="C178" s="18">
        <f t="shared" si="27"/>
        <v>910067.64566192229</v>
      </c>
      <c r="D178" s="18">
        <f t="shared" si="20"/>
        <v>7983.6299421501908</v>
      </c>
      <c r="E178" s="18">
        <f t="shared" si="21"/>
        <v>2674.9020091223101</v>
      </c>
      <c r="F178" s="16">
        <f t="shared" si="22"/>
        <v>3.5270811200107201E-2</v>
      </c>
      <c r="G178" s="18">
        <f t="shared" si="23"/>
        <v>5308.7279330278807</v>
      </c>
      <c r="H178" s="16">
        <f t="shared" si="24"/>
        <v>7.0000000000000007E-2</v>
      </c>
      <c r="I178" s="18">
        <f t="shared" si="28"/>
        <v>292607.25634720025</v>
      </c>
      <c r="J178" s="18">
        <f t="shared" si="29"/>
        <v>1088560.7236447821</v>
      </c>
      <c r="K178" s="18">
        <f t="shared" si="25"/>
        <v>907392.74365279998</v>
      </c>
      <c r="L178" s="18">
        <f t="shared" si="26"/>
        <v>1381167.9799919822</v>
      </c>
    </row>
    <row r="179" spans="1:12" x14ac:dyDescent="0.3">
      <c r="A179">
        <v>174</v>
      </c>
      <c r="B179" s="17">
        <v>50131</v>
      </c>
      <c r="C179" s="18">
        <f t="shared" si="27"/>
        <v>907392.74365279998</v>
      </c>
      <c r="D179" s="18">
        <f t="shared" si="20"/>
        <v>7983.6299421501908</v>
      </c>
      <c r="E179" s="18">
        <f t="shared" si="21"/>
        <v>2690.5056041755242</v>
      </c>
      <c r="F179" s="16">
        <f t="shared" si="22"/>
        <v>3.5581138901481082E-2</v>
      </c>
      <c r="G179" s="18">
        <f t="shared" si="23"/>
        <v>5293.1243379746666</v>
      </c>
      <c r="H179" s="16">
        <f t="shared" si="24"/>
        <v>7.0000000000000007E-2</v>
      </c>
      <c r="I179" s="18">
        <f t="shared" si="28"/>
        <v>295297.76195137575</v>
      </c>
      <c r="J179" s="18">
        <f t="shared" si="29"/>
        <v>1093853.8479827568</v>
      </c>
      <c r="K179" s="18">
        <f t="shared" si="25"/>
        <v>904702.23804862448</v>
      </c>
      <c r="L179" s="18">
        <f t="shared" si="26"/>
        <v>1389151.6099341325</v>
      </c>
    </row>
    <row r="180" spans="1:12" x14ac:dyDescent="0.3">
      <c r="A180">
        <v>175</v>
      </c>
      <c r="B180" s="17">
        <v>50161</v>
      </c>
      <c r="C180" s="18">
        <f t="shared" si="27"/>
        <v>904702.23804862448</v>
      </c>
      <c r="D180" s="18">
        <f t="shared" si="20"/>
        <v>7983.6299421501908</v>
      </c>
      <c r="E180" s="18">
        <f t="shared" si="21"/>
        <v>2706.2002201998812</v>
      </c>
      <c r="F180" s="16">
        <f t="shared" si="22"/>
        <v>3.5895128006363117E-2</v>
      </c>
      <c r="G180" s="18">
        <f t="shared" si="23"/>
        <v>5277.4297219503096</v>
      </c>
      <c r="H180" s="16">
        <f t="shared" si="24"/>
        <v>7.0000000000000007E-2</v>
      </c>
      <c r="I180" s="18">
        <f t="shared" si="28"/>
        <v>298003.96217157564</v>
      </c>
      <c r="J180" s="18">
        <f t="shared" si="29"/>
        <v>1099131.2777047071</v>
      </c>
      <c r="K180" s="18">
        <f t="shared" si="25"/>
        <v>901996.0378284246</v>
      </c>
      <c r="L180" s="18">
        <f t="shared" si="26"/>
        <v>1397135.2398762829</v>
      </c>
    </row>
    <row r="181" spans="1:12" x14ac:dyDescent="0.3">
      <c r="A181">
        <v>176</v>
      </c>
      <c r="B181" s="17">
        <v>50192</v>
      </c>
      <c r="C181" s="18">
        <f t="shared" si="27"/>
        <v>901996.0378284246</v>
      </c>
      <c r="D181" s="18">
        <f t="shared" si="20"/>
        <v>7983.6299421501908</v>
      </c>
      <c r="E181" s="18">
        <f t="shared" si="21"/>
        <v>2721.9863881510473</v>
      </c>
      <c r="F181" s="16">
        <f t="shared" si="22"/>
        <v>3.6212838291897018E-2</v>
      </c>
      <c r="G181" s="18">
        <f t="shared" si="23"/>
        <v>5261.6435539991435</v>
      </c>
      <c r="H181" s="16">
        <f t="shared" si="24"/>
        <v>7.0000000000000007E-2</v>
      </c>
      <c r="I181" s="18">
        <f t="shared" si="28"/>
        <v>300725.9485597267</v>
      </c>
      <c r="J181" s="18">
        <f t="shared" si="29"/>
        <v>1104392.9212587064</v>
      </c>
      <c r="K181" s="18">
        <f t="shared" si="25"/>
        <v>899274.05144027353</v>
      </c>
      <c r="L181" s="18">
        <f t="shared" si="26"/>
        <v>1405118.8698184332</v>
      </c>
    </row>
    <row r="182" spans="1:12" x14ac:dyDescent="0.3">
      <c r="A182">
        <v>177</v>
      </c>
      <c r="B182" s="17">
        <v>50222</v>
      </c>
      <c r="C182" s="18">
        <f t="shared" si="27"/>
        <v>899274.05144027353</v>
      </c>
      <c r="D182" s="18">
        <f t="shared" si="20"/>
        <v>7983.6299421501908</v>
      </c>
      <c r="E182" s="18">
        <f t="shared" si="21"/>
        <v>2737.8646420819287</v>
      </c>
      <c r="F182" s="16">
        <f t="shared" si="22"/>
        <v>3.6534330833146708E-2</v>
      </c>
      <c r="G182" s="18">
        <f t="shared" si="23"/>
        <v>5245.7653000682621</v>
      </c>
      <c r="H182" s="16">
        <f t="shared" si="24"/>
        <v>7.0000000000000007E-2</v>
      </c>
      <c r="I182" s="18">
        <f t="shared" si="28"/>
        <v>303463.81320180866</v>
      </c>
      <c r="J182" s="18">
        <f t="shared" si="29"/>
        <v>1109638.6865587747</v>
      </c>
      <c r="K182" s="18">
        <f t="shared" si="25"/>
        <v>896536.18679819163</v>
      </c>
      <c r="L182" s="18">
        <f t="shared" si="26"/>
        <v>1413102.4997605833</v>
      </c>
    </row>
    <row r="183" spans="1:12" x14ac:dyDescent="0.3">
      <c r="A183">
        <v>178</v>
      </c>
      <c r="B183" s="17">
        <v>50253</v>
      </c>
      <c r="C183" s="18">
        <f t="shared" si="27"/>
        <v>896536.18679819163</v>
      </c>
      <c r="D183" s="18">
        <f t="shared" si="20"/>
        <v>7983.6299421501908</v>
      </c>
      <c r="E183" s="18">
        <f t="shared" si="21"/>
        <v>2753.8355191607398</v>
      </c>
      <c r="F183" s="16">
        <f t="shared" si="22"/>
        <v>3.6859668038550092E-2</v>
      </c>
      <c r="G183" s="18">
        <f t="shared" si="23"/>
        <v>5229.794422989451</v>
      </c>
      <c r="H183" s="16">
        <f t="shared" si="24"/>
        <v>7.0000000000000007E-2</v>
      </c>
      <c r="I183" s="18">
        <f t="shared" si="28"/>
        <v>306217.64872096939</v>
      </c>
      <c r="J183" s="18">
        <f t="shared" si="29"/>
        <v>1114868.4809817642</v>
      </c>
      <c r="K183" s="18">
        <f t="shared" si="25"/>
        <v>893782.3512790309</v>
      </c>
      <c r="L183" s="18">
        <f t="shared" si="26"/>
        <v>1421086.1297027336</v>
      </c>
    </row>
    <row r="184" spans="1:12" x14ac:dyDescent="0.3">
      <c r="A184">
        <v>179</v>
      </c>
      <c r="B184" s="17">
        <v>50284</v>
      </c>
      <c r="C184" s="18">
        <f t="shared" si="27"/>
        <v>893782.3512790309</v>
      </c>
      <c r="D184" s="18">
        <f t="shared" si="20"/>
        <v>7983.6299421501908</v>
      </c>
      <c r="E184" s="18">
        <f t="shared" si="21"/>
        <v>2769.8995596891773</v>
      </c>
      <c r="F184" s="16">
        <f t="shared" si="22"/>
        <v>3.7188913686541647E-2</v>
      </c>
      <c r="G184" s="18">
        <f t="shared" si="23"/>
        <v>5213.7303824610135</v>
      </c>
      <c r="H184" s="16">
        <f t="shared" si="24"/>
        <v>7.0000000000000007E-2</v>
      </c>
      <c r="I184" s="18">
        <f t="shared" si="28"/>
        <v>308987.54828065855</v>
      </c>
      <c r="J184" s="18">
        <f t="shared" si="29"/>
        <v>1120082.2113642253</v>
      </c>
      <c r="K184" s="18">
        <f t="shared" si="25"/>
        <v>891012.45171934168</v>
      </c>
      <c r="L184" s="18">
        <f t="shared" si="26"/>
        <v>1429069.7596448837</v>
      </c>
    </row>
    <row r="185" spans="1:12" x14ac:dyDescent="0.3">
      <c r="A185">
        <v>180</v>
      </c>
      <c r="B185" s="17">
        <v>50314</v>
      </c>
      <c r="C185" s="18">
        <f t="shared" si="27"/>
        <v>891012.45171934168</v>
      </c>
      <c r="D185" s="18">
        <f t="shared" si="20"/>
        <v>7983.6299421501908</v>
      </c>
      <c r="E185" s="18">
        <f t="shared" si="21"/>
        <v>2786.0573071206973</v>
      </c>
      <c r="F185" s="16">
        <f t="shared" si="22"/>
        <v>3.7522132963389007E-2</v>
      </c>
      <c r="G185" s="18">
        <f t="shared" si="23"/>
        <v>5197.5726350294935</v>
      </c>
      <c r="H185" s="16">
        <f t="shared" si="24"/>
        <v>7.0000000000000007E-2</v>
      </c>
      <c r="I185" s="18">
        <f t="shared" si="28"/>
        <v>311773.60558777925</v>
      </c>
      <c r="J185" s="18">
        <f t="shared" si="29"/>
        <v>1125279.7839992547</v>
      </c>
      <c r="K185" s="18">
        <f t="shared" si="25"/>
        <v>888226.39441222104</v>
      </c>
      <c r="L185" s="18">
        <f t="shared" si="26"/>
        <v>1437053.389587034</v>
      </c>
    </row>
    <row r="186" spans="1:12" x14ac:dyDescent="0.3">
      <c r="A186">
        <v>181</v>
      </c>
      <c r="B186" s="17">
        <v>50345</v>
      </c>
      <c r="C186" s="18">
        <f t="shared" si="27"/>
        <v>888226.39441222104</v>
      </c>
      <c r="D186" s="18">
        <f t="shared" si="20"/>
        <v>7983.6299421501908</v>
      </c>
      <c r="E186" s="18">
        <f t="shared" si="21"/>
        <v>2802.3093080789013</v>
      </c>
      <c r="F186" s="16">
        <f t="shared" si="22"/>
        <v>3.7859392502290784E-2</v>
      </c>
      <c r="G186" s="18">
        <f t="shared" si="23"/>
        <v>5181.3206340712895</v>
      </c>
      <c r="H186" s="16">
        <f t="shared" si="24"/>
        <v>7.0000000000000007E-2</v>
      </c>
      <c r="I186" s="18">
        <f t="shared" si="28"/>
        <v>314575.91489585815</v>
      </c>
      <c r="J186" s="18">
        <f t="shared" si="29"/>
        <v>1130461.1046333259</v>
      </c>
      <c r="K186" s="18">
        <f t="shared" si="25"/>
        <v>885424.08510414208</v>
      </c>
      <c r="L186" s="18">
        <f t="shared" si="26"/>
        <v>1445037.0195291841</v>
      </c>
    </row>
    <row r="187" spans="1:12" x14ac:dyDescent="0.3">
      <c r="A187">
        <v>182</v>
      </c>
      <c r="B187" s="17">
        <v>50375</v>
      </c>
      <c r="C187" s="18">
        <f t="shared" si="27"/>
        <v>885424.08510414208</v>
      </c>
      <c r="D187" s="18">
        <f t="shared" si="20"/>
        <v>7983.6299421501908</v>
      </c>
      <c r="E187" s="18">
        <f t="shared" si="21"/>
        <v>2818.6561123760284</v>
      </c>
      <c r="F187" s="16">
        <f t="shared" si="22"/>
        <v>3.8200760423784987E-2</v>
      </c>
      <c r="G187" s="18">
        <f t="shared" si="23"/>
        <v>5164.9738297741624</v>
      </c>
      <c r="H187" s="16">
        <f t="shared" si="24"/>
        <v>7.0000000000000007E-2</v>
      </c>
      <c r="I187" s="18">
        <f t="shared" si="28"/>
        <v>317394.57100823417</v>
      </c>
      <c r="J187" s="18">
        <f t="shared" si="29"/>
        <v>1135626.0784631001</v>
      </c>
      <c r="K187" s="18">
        <f t="shared" si="25"/>
        <v>882605.42899176606</v>
      </c>
      <c r="L187" s="18">
        <f t="shared" si="26"/>
        <v>1453020.6494713342</v>
      </c>
    </row>
    <row r="188" spans="1:12" x14ac:dyDescent="0.3">
      <c r="A188">
        <v>183</v>
      </c>
      <c r="B188" s="17">
        <v>50406</v>
      </c>
      <c r="C188" s="18">
        <f t="shared" si="27"/>
        <v>882605.42899176606</v>
      </c>
      <c r="D188" s="18">
        <f t="shared" si="20"/>
        <v>7983.6299421501908</v>
      </c>
      <c r="E188" s="18">
        <f t="shared" si="21"/>
        <v>2835.0982730315554</v>
      </c>
      <c r="F188" s="16">
        <f t="shared" si="22"/>
        <v>3.8546306377519518E-2</v>
      </c>
      <c r="G188" s="18">
        <f t="shared" si="23"/>
        <v>5148.5316691186354</v>
      </c>
      <c r="H188" s="16">
        <f t="shared" si="24"/>
        <v>7.0000000000000007E-2</v>
      </c>
      <c r="I188" s="18">
        <f t="shared" si="28"/>
        <v>320229.6692812657</v>
      </c>
      <c r="J188" s="18">
        <f t="shared" si="29"/>
        <v>1140774.6101322188</v>
      </c>
      <c r="K188" s="18">
        <f t="shared" si="25"/>
        <v>879770.33071873453</v>
      </c>
      <c r="L188" s="18">
        <f t="shared" si="26"/>
        <v>1461004.2794134845</v>
      </c>
    </row>
    <row r="189" spans="1:12" x14ac:dyDescent="0.3">
      <c r="A189">
        <v>184</v>
      </c>
      <c r="B189" s="17">
        <v>50437</v>
      </c>
      <c r="C189" s="18">
        <f t="shared" si="27"/>
        <v>879770.33071873453</v>
      </c>
      <c r="D189" s="18">
        <f t="shared" si="20"/>
        <v>7983.6299421501908</v>
      </c>
      <c r="E189" s="18">
        <f t="shared" si="21"/>
        <v>2851.6363462909057</v>
      </c>
      <c r="F189" s="16">
        <f t="shared" si="22"/>
        <v>3.8896101585438665E-2</v>
      </c>
      <c r="G189" s="18">
        <f t="shared" si="23"/>
        <v>5131.9935958592851</v>
      </c>
      <c r="H189" s="16">
        <f t="shared" si="24"/>
        <v>7.0000000000000007E-2</v>
      </c>
      <c r="I189" s="18">
        <f t="shared" si="28"/>
        <v>323081.30562755658</v>
      </c>
      <c r="J189" s="18">
        <f t="shared" si="29"/>
        <v>1145906.6037280781</v>
      </c>
      <c r="K189" s="18">
        <f t="shared" si="25"/>
        <v>876918.6943724436</v>
      </c>
      <c r="L189" s="18">
        <f t="shared" si="26"/>
        <v>1468987.9093556346</v>
      </c>
    </row>
    <row r="190" spans="1:12" x14ac:dyDescent="0.3">
      <c r="A190">
        <v>185</v>
      </c>
      <c r="B190" s="17">
        <v>50465</v>
      </c>
      <c r="C190" s="18">
        <f t="shared" si="27"/>
        <v>876918.6943724436</v>
      </c>
      <c r="D190" s="18">
        <f t="shared" si="20"/>
        <v>7983.6299421501908</v>
      </c>
      <c r="E190" s="18">
        <f t="shared" si="21"/>
        <v>2868.2708916442698</v>
      </c>
      <c r="F190" s="16">
        <f t="shared" si="22"/>
        <v>3.9250218886441875E-2</v>
      </c>
      <c r="G190" s="18">
        <f t="shared" si="23"/>
        <v>5115.359050505921</v>
      </c>
      <c r="H190" s="16">
        <f t="shared" si="24"/>
        <v>7.0000000000000007E-2</v>
      </c>
      <c r="I190" s="18">
        <f t="shared" si="28"/>
        <v>325949.57651920087</v>
      </c>
      <c r="J190" s="18">
        <f t="shared" si="29"/>
        <v>1151021.9627785841</v>
      </c>
      <c r="K190" s="18">
        <f t="shared" si="25"/>
        <v>874050.42348079931</v>
      </c>
      <c r="L190" s="18">
        <f t="shared" si="26"/>
        <v>1476971.5392977849</v>
      </c>
    </row>
    <row r="191" spans="1:12" x14ac:dyDescent="0.3">
      <c r="A191">
        <v>186</v>
      </c>
      <c r="B191" s="17">
        <v>50496</v>
      </c>
      <c r="C191" s="18">
        <f t="shared" si="27"/>
        <v>874050.42348079931</v>
      </c>
      <c r="D191" s="18">
        <f t="shared" si="20"/>
        <v>7983.6299421501908</v>
      </c>
      <c r="E191" s="18">
        <f t="shared" si="21"/>
        <v>2885.0024718455279</v>
      </c>
      <c r="F191" s="16">
        <f t="shared" si="22"/>
        <v>3.9608732782573673E-2</v>
      </c>
      <c r="G191" s="18">
        <f t="shared" si="23"/>
        <v>5098.6274703046629</v>
      </c>
      <c r="H191" s="16">
        <f t="shared" si="24"/>
        <v>7.0000000000000007E-2</v>
      </c>
      <c r="I191" s="18">
        <f t="shared" si="28"/>
        <v>328834.57899104641</v>
      </c>
      <c r="J191" s="18">
        <f t="shared" si="29"/>
        <v>1156120.5902488888</v>
      </c>
      <c r="K191" s="18">
        <f t="shared" si="25"/>
        <v>871165.42100895382</v>
      </c>
      <c r="L191" s="18">
        <f t="shared" si="26"/>
        <v>1484955.1692399352</v>
      </c>
    </row>
    <row r="192" spans="1:12" x14ac:dyDescent="0.3">
      <c r="A192">
        <v>187</v>
      </c>
      <c r="B192" s="17">
        <v>50526</v>
      </c>
      <c r="C192" s="18">
        <f t="shared" si="27"/>
        <v>871165.42100895382</v>
      </c>
      <c r="D192" s="18">
        <f t="shared" si="20"/>
        <v>7983.6299421501908</v>
      </c>
      <c r="E192" s="18">
        <f t="shared" si="21"/>
        <v>2901.8316529312933</v>
      </c>
      <c r="F192" s="16">
        <f t="shared" si="22"/>
        <v>3.9971719486806424E-2</v>
      </c>
      <c r="G192" s="18">
        <f t="shared" si="23"/>
        <v>5081.7982892188975</v>
      </c>
      <c r="H192" s="16">
        <f t="shared" si="24"/>
        <v>7.0000000000000007E-2</v>
      </c>
      <c r="I192" s="18">
        <f t="shared" si="28"/>
        <v>331736.4106439777</v>
      </c>
      <c r="J192" s="18">
        <f t="shared" si="29"/>
        <v>1161202.3885381077</v>
      </c>
      <c r="K192" s="18">
        <f t="shared" si="25"/>
        <v>868263.58935602254</v>
      </c>
      <c r="L192" s="18">
        <f t="shared" si="26"/>
        <v>1492938.7991820853</v>
      </c>
    </row>
    <row r="193" spans="1:12" x14ac:dyDescent="0.3">
      <c r="A193">
        <v>188</v>
      </c>
      <c r="B193" s="17">
        <v>50557</v>
      </c>
      <c r="C193" s="18">
        <f t="shared" si="27"/>
        <v>868263.58935602254</v>
      </c>
      <c r="D193" s="18">
        <f t="shared" si="20"/>
        <v>7983.6299421501908</v>
      </c>
      <c r="E193" s="18">
        <f t="shared" si="21"/>
        <v>2918.7590042400589</v>
      </c>
      <c r="F193" s="16">
        <f t="shared" si="22"/>
        <v>4.0339256972480302E-2</v>
      </c>
      <c r="G193" s="18">
        <f t="shared" si="23"/>
        <v>5064.8709379101319</v>
      </c>
      <c r="H193" s="16">
        <f t="shared" si="24"/>
        <v>7.0000000000000007E-2</v>
      </c>
      <c r="I193" s="18">
        <f t="shared" si="28"/>
        <v>334655.16964821774</v>
      </c>
      <c r="J193" s="18">
        <f t="shared" si="29"/>
        <v>1166267.2594760179</v>
      </c>
      <c r="K193" s="18">
        <f t="shared" si="25"/>
        <v>865344.8303517825</v>
      </c>
      <c r="L193" s="18">
        <f t="shared" si="26"/>
        <v>1500922.4291242356</v>
      </c>
    </row>
    <row r="194" spans="1:12" x14ac:dyDescent="0.3">
      <c r="A194">
        <v>189</v>
      </c>
      <c r="B194" s="17">
        <v>50587</v>
      </c>
      <c r="C194" s="18">
        <f t="shared" si="27"/>
        <v>865344.8303517825</v>
      </c>
      <c r="D194" s="18">
        <f t="shared" si="20"/>
        <v>7983.6299421501908</v>
      </c>
      <c r="E194" s="18">
        <f t="shared" si="21"/>
        <v>2935.7850984314591</v>
      </c>
      <c r="F194" s="16">
        <f t="shared" si="22"/>
        <v>4.0711425024467923E-2</v>
      </c>
      <c r="G194" s="18">
        <f t="shared" si="23"/>
        <v>5047.8448437187317</v>
      </c>
      <c r="H194" s="16">
        <f t="shared" si="24"/>
        <v>7.0000000000000007E-2</v>
      </c>
      <c r="I194" s="18">
        <f t="shared" si="28"/>
        <v>337590.95474664919</v>
      </c>
      <c r="J194" s="18">
        <f t="shared" si="29"/>
        <v>1171315.1043197366</v>
      </c>
      <c r="K194" s="18">
        <f t="shared" si="25"/>
        <v>862409.04525335098</v>
      </c>
      <c r="L194" s="18">
        <f t="shared" si="26"/>
        <v>1508906.0590663857</v>
      </c>
    </row>
    <row r="195" spans="1:12" x14ac:dyDescent="0.3">
      <c r="A195">
        <v>190</v>
      </c>
      <c r="B195" s="17">
        <v>50618</v>
      </c>
      <c r="C195" s="18">
        <f t="shared" si="27"/>
        <v>862409.04525335098</v>
      </c>
      <c r="D195" s="18">
        <f t="shared" si="20"/>
        <v>7983.6299421501908</v>
      </c>
      <c r="E195" s="18">
        <f t="shared" si="21"/>
        <v>2952.9105115056436</v>
      </c>
      <c r="F195" s="16">
        <f t="shared" si="22"/>
        <v>4.1088305292134267E-2</v>
      </c>
      <c r="G195" s="18">
        <f t="shared" si="23"/>
        <v>5030.7194306445472</v>
      </c>
      <c r="H195" s="16">
        <f t="shared" si="24"/>
        <v>6.9999999999999993E-2</v>
      </c>
      <c r="I195" s="18">
        <f t="shared" si="28"/>
        <v>340543.86525815481</v>
      </c>
      <c r="J195" s="18">
        <f t="shared" si="29"/>
        <v>1176345.8237503811</v>
      </c>
      <c r="K195" s="18">
        <f t="shared" si="25"/>
        <v>859456.13474184531</v>
      </c>
      <c r="L195" s="18">
        <f t="shared" si="26"/>
        <v>1516889.6890085358</v>
      </c>
    </row>
    <row r="196" spans="1:12" x14ac:dyDescent="0.3">
      <c r="A196">
        <v>191</v>
      </c>
      <c r="B196" s="17">
        <v>50649</v>
      </c>
      <c r="C196" s="18">
        <f t="shared" si="27"/>
        <v>859456.13474184531</v>
      </c>
      <c r="D196" s="18">
        <f t="shared" si="20"/>
        <v>7983.6299421501908</v>
      </c>
      <c r="E196" s="18">
        <f t="shared" si="21"/>
        <v>2970.13582282276</v>
      </c>
      <c r="F196" s="16">
        <f t="shared" si="22"/>
        <v>4.1469981344165741E-2</v>
      </c>
      <c r="G196" s="18">
        <f t="shared" si="23"/>
        <v>5013.4941193274308</v>
      </c>
      <c r="H196" s="16">
        <f t="shared" si="24"/>
        <v>6.9999999999999993E-2</v>
      </c>
      <c r="I196" s="18">
        <f t="shared" si="28"/>
        <v>343514.00108097756</v>
      </c>
      <c r="J196" s="18">
        <f t="shared" si="29"/>
        <v>1181359.3178697086</v>
      </c>
      <c r="K196" s="18">
        <f t="shared" si="25"/>
        <v>856485.9989190225</v>
      </c>
      <c r="L196" s="18">
        <f t="shared" si="26"/>
        <v>1524873.3189506861</v>
      </c>
    </row>
    <row r="197" spans="1:12" x14ac:dyDescent="0.3">
      <c r="A197">
        <v>192</v>
      </c>
      <c r="B197" s="17">
        <v>50679</v>
      </c>
      <c r="C197" s="18">
        <f t="shared" si="27"/>
        <v>856485.9989190225</v>
      </c>
      <c r="D197" s="18">
        <f t="shared" si="20"/>
        <v>7983.6299421501908</v>
      </c>
      <c r="E197" s="18">
        <f t="shared" si="21"/>
        <v>2987.4616151225591</v>
      </c>
      <c r="F197" s="16">
        <f t="shared" si="22"/>
        <v>4.185653872534599E-2</v>
      </c>
      <c r="G197" s="18">
        <f t="shared" si="23"/>
        <v>4996.1683270276317</v>
      </c>
      <c r="H197" s="16">
        <f t="shared" si="24"/>
        <v>7.0000000000000007E-2</v>
      </c>
      <c r="I197" s="18">
        <f t="shared" si="28"/>
        <v>346501.46269610012</v>
      </c>
      <c r="J197" s="18">
        <f t="shared" si="29"/>
        <v>1186355.4861967363</v>
      </c>
      <c r="K197" s="18">
        <f t="shared" si="25"/>
        <v>853498.5373039</v>
      </c>
      <c r="L197" s="18">
        <f t="shared" si="26"/>
        <v>1532856.9488928365</v>
      </c>
    </row>
    <row r="198" spans="1:12" x14ac:dyDescent="0.3">
      <c r="A198">
        <v>193</v>
      </c>
      <c r="B198" s="17">
        <v>50710</v>
      </c>
      <c r="C198" s="18">
        <f t="shared" si="27"/>
        <v>853498.5373039</v>
      </c>
      <c r="D198" s="18">
        <f t="shared" si="20"/>
        <v>7983.6299421501908</v>
      </c>
      <c r="E198" s="18">
        <f t="shared" si="21"/>
        <v>3004.8884745441073</v>
      </c>
      <c r="F198" s="16">
        <f t="shared" si="22"/>
        <v>4.2248065015359368E-2</v>
      </c>
      <c r="G198" s="18">
        <f t="shared" si="23"/>
        <v>4978.7414676060835</v>
      </c>
      <c r="H198" s="16">
        <f t="shared" si="24"/>
        <v>7.0000000000000007E-2</v>
      </c>
      <c r="I198" s="18">
        <f t="shared" si="28"/>
        <v>349506.35117064422</v>
      </c>
      <c r="J198" s="18">
        <f t="shared" si="29"/>
        <v>1191334.2276643424</v>
      </c>
      <c r="K198" s="18">
        <f t="shared" si="25"/>
        <v>850493.64882935584</v>
      </c>
      <c r="L198" s="18">
        <f t="shared" si="26"/>
        <v>1540840.5788349865</v>
      </c>
    </row>
    <row r="199" spans="1:12" x14ac:dyDescent="0.3">
      <c r="A199">
        <v>194</v>
      </c>
      <c r="B199" s="17">
        <v>50740</v>
      </c>
      <c r="C199" s="18">
        <f t="shared" si="27"/>
        <v>850493.64882935584</v>
      </c>
      <c r="D199" s="18">
        <f t="shared" ref="D199:D262" si="30">$C$6/((($E$2)-1)/($E$1*$E$2))</f>
        <v>7983.6299421501908</v>
      </c>
      <c r="E199" s="18">
        <f t="shared" ref="E199:E262" si="31">D199-G199</f>
        <v>3022.4169906456145</v>
      </c>
      <c r="F199" s="16">
        <f t="shared" ref="F199:F262" si="32">(E199/C199)*12</f>
        <v>4.2644649889707099E-2</v>
      </c>
      <c r="G199" s="18">
        <f t="shared" ref="G199:G262" si="33">C199*($B$1/12)</f>
        <v>4961.2129515045763</v>
      </c>
      <c r="H199" s="16">
        <f t="shared" ref="H199:H262" si="34">(G199/C199)*12</f>
        <v>7.0000000000000007E-2</v>
      </c>
      <c r="I199" s="18">
        <f t="shared" si="28"/>
        <v>352528.76816128986</v>
      </c>
      <c r="J199" s="18">
        <f t="shared" si="29"/>
        <v>1196295.440615847</v>
      </c>
      <c r="K199" s="18">
        <f t="shared" ref="K199:K262" si="35">C199-E199</f>
        <v>847471.23183871026</v>
      </c>
      <c r="L199" s="18">
        <f t="shared" ref="L199:L262" si="36">I199+J199</f>
        <v>1548824.2087771369</v>
      </c>
    </row>
    <row r="200" spans="1:12" x14ac:dyDescent="0.3">
      <c r="A200">
        <v>195</v>
      </c>
      <c r="B200" s="17">
        <v>50771</v>
      </c>
      <c r="C200" s="18">
        <f t="shared" ref="C200:C263" si="37">K199</f>
        <v>847471.23183871026</v>
      </c>
      <c r="D200" s="18">
        <f t="shared" si="30"/>
        <v>7983.6299421501908</v>
      </c>
      <c r="E200" s="18">
        <f t="shared" si="31"/>
        <v>3040.0477564243811</v>
      </c>
      <c r="F200" s="16">
        <f t="shared" si="32"/>
        <v>4.3046385182825317E-2</v>
      </c>
      <c r="G200" s="18">
        <f t="shared" si="33"/>
        <v>4943.5821857258097</v>
      </c>
      <c r="H200" s="16">
        <f t="shared" si="34"/>
        <v>7.0000000000000007E-2</v>
      </c>
      <c r="I200" s="18">
        <f t="shared" ref="I200:I263" si="38">I199+E200</f>
        <v>355568.81591771427</v>
      </c>
      <c r="J200" s="18">
        <f t="shared" ref="J200:J263" si="39">J199+G200</f>
        <v>1201239.0228015729</v>
      </c>
      <c r="K200" s="18">
        <f t="shared" si="35"/>
        <v>844431.18408228585</v>
      </c>
      <c r="L200" s="18">
        <f t="shared" si="36"/>
        <v>1556807.8387192872</v>
      </c>
    </row>
    <row r="201" spans="1:12" x14ac:dyDescent="0.3">
      <c r="A201">
        <v>196</v>
      </c>
      <c r="B201" s="17">
        <v>50802</v>
      </c>
      <c r="C201" s="18">
        <f t="shared" si="37"/>
        <v>844431.18408228585</v>
      </c>
      <c r="D201" s="18">
        <f t="shared" si="30"/>
        <v>7983.6299421501908</v>
      </c>
      <c r="E201" s="18">
        <f t="shared" si="31"/>
        <v>3057.7813683368568</v>
      </c>
      <c r="F201" s="16">
        <f t="shared" si="32"/>
        <v>4.3453364953498316E-2</v>
      </c>
      <c r="G201" s="18">
        <f t="shared" si="33"/>
        <v>4925.848573813334</v>
      </c>
      <c r="H201" s="16">
        <f t="shared" si="34"/>
        <v>7.0000000000000007E-2</v>
      </c>
      <c r="I201" s="18">
        <f t="shared" si="38"/>
        <v>358626.59728605114</v>
      </c>
      <c r="J201" s="18">
        <f t="shared" si="39"/>
        <v>1206164.8713753864</v>
      </c>
      <c r="K201" s="18">
        <f t="shared" si="35"/>
        <v>841373.40271394898</v>
      </c>
      <c r="L201" s="18">
        <f t="shared" si="36"/>
        <v>1564791.4686614375</v>
      </c>
    </row>
    <row r="202" spans="1:12" x14ac:dyDescent="0.3">
      <c r="A202">
        <v>197</v>
      </c>
      <c r="B202" s="17">
        <v>50830</v>
      </c>
      <c r="C202" s="18">
        <f t="shared" si="37"/>
        <v>841373.40271394898</v>
      </c>
      <c r="D202" s="18">
        <f t="shared" si="30"/>
        <v>7983.6299421501908</v>
      </c>
      <c r="E202" s="18">
        <f t="shared" si="31"/>
        <v>3075.6184263188215</v>
      </c>
      <c r="F202" s="16">
        <f t="shared" si="32"/>
        <v>4.3865685552664999E-2</v>
      </c>
      <c r="G202" s="18">
        <f t="shared" si="33"/>
        <v>4908.0115158313693</v>
      </c>
      <c r="H202" s="16">
        <f t="shared" si="34"/>
        <v>7.0000000000000007E-2</v>
      </c>
      <c r="I202" s="18">
        <f t="shared" si="38"/>
        <v>361702.21571236994</v>
      </c>
      <c r="J202" s="18">
        <f t="shared" si="39"/>
        <v>1211072.8828912177</v>
      </c>
      <c r="K202" s="18">
        <f t="shared" si="35"/>
        <v>838297.78428763011</v>
      </c>
      <c r="L202" s="18">
        <f t="shared" si="36"/>
        <v>1572775.0986035876</v>
      </c>
    </row>
    <row r="203" spans="1:12" x14ac:dyDescent="0.3">
      <c r="A203">
        <v>198</v>
      </c>
      <c r="B203" s="17">
        <v>50861</v>
      </c>
      <c r="C203" s="18">
        <f t="shared" si="37"/>
        <v>838297.78428763011</v>
      </c>
      <c r="D203" s="18">
        <f t="shared" si="30"/>
        <v>7983.6299421501908</v>
      </c>
      <c r="E203" s="18">
        <f t="shared" si="31"/>
        <v>3093.5595338056819</v>
      </c>
      <c r="F203" s="16">
        <f t="shared" si="32"/>
        <v>4.4283445693721321E-2</v>
      </c>
      <c r="G203" s="18">
        <f t="shared" si="33"/>
        <v>4890.0704083445089</v>
      </c>
      <c r="H203" s="16">
        <f t="shared" si="34"/>
        <v>7.0000000000000007E-2</v>
      </c>
      <c r="I203" s="18">
        <f t="shared" si="38"/>
        <v>364795.77524617565</v>
      </c>
      <c r="J203" s="18">
        <f t="shared" si="39"/>
        <v>1215962.9532995622</v>
      </c>
      <c r="K203" s="18">
        <f t="shared" si="35"/>
        <v>835204.22475382441</v>
      </c>
      <c r="L203" s="18">
        <f t="shared" si="36"/>
        <v>1580758.7285457379</v>
      </c>
    </row>
    <row r="204" spans="1:12" x14ac:dyDescent="0.3">
      <c r="A204">
        <v>199</v>
      </c>
      <c r="B204" s="17">
        <v>50891</v>
      </c>
      <c r="C204" s="18">
        <f t="shared" si="37"/>
        <v>835204.22475382441</v>
      </c>
      <c r="D204" s="18">
        <f t="shared" si="30"/>
        <v>7983.6299421501908</v>
      </c>
      <c r="E204" s="18">
        <f t="shared" si="31"/>
        <v>3111.6052977528816</v>
      </c>
      <c r="F204" s="16">
        <f t="shared" si="32"/>
        <v>4.4706746525426506E-2</v>
      </c>
      <c r="G204" s="18">
        <f t="shared" si="33"/>
        <v>4872.0246443973092</v>
      </c>
      <c r="H204" s="16">
        <f t="shared" si="34"/>
        <v>7.0000000000000007E-2</v>
      </c>
      <c r="I204" s="18">
        <f t="shared" si="38"/>
        <v>367907.38054392854</v>
      </c>
      <c r="J204" s="18">
        <f t="shared" si="39"/>
        <v>1220834.9779439594</v>
      </c>
      <c r="K204" s="18">
        <f t="shared" si="35"/>
        <v>832092.61945607152</v>
      </c>
      <c r="L204" s="18">
        <f t="shared" si="36"/>
        <v>1588742.358487888</v>
      </c>
    </row>
    <row r="205" spans="1:12" x14ac:dyDescent="0.3">
      <c r="A205">
        <v>200</v>
      </c>
      <c r="B205" s="17">
        <v>50922</v>
      </c>
      <c r="C205" s="18">
        <f t="shared" si="37"/>
        <v>832092.61945607152</v>
      </c>
      <c r="D205" s="18">
        <f t="shared" si="30"/>
        <v>7983.6299421501908</v>
      </c>
      <c r="E205" s="18">
        <f t="shared" si="31"/>
        <v>3129.75632865644</v>
      </c>
      <c r="F205" s="16">
        <f t="shared" si="32"/>
        <v>4.5135691707526342E-2</v>
      </c>
      <c r="G205" s="18">
        <f t="shared" si="33"/>
        <v>4853.8736134937508</v>
      </c>
      <c r="H205" s="16">
        <f t="shared" si="34"/>
        <v>7.0000000000000007E-2</v>
      </c>
      <c r="I205" s="18">
        <f t="shared" si="38"/>
        <v>371037.13687258499</v>
      </c>
      <c r="J205" s="18">
        <f t="shared" si="39"/>
        <v>1225688.8515574532</v>
      </c>
      <c r="K205" s="18">
        <f t="shared" si="35"/>
        <v>828962.86312741507</v>
      </c>
      <c r="L205" s="18">
        <f t="shared" si="36"/>
        <v>1596725.9884300381</v>
      </c>
    </row>
    <row r="206" spans="1:12" x14ac:dyDescent="0.3">
      <c r="A206">
        <v>201</v>
      </c>
      <c r="B206" s="17">
        <v>50952</v>
      </c>
      <c r="C206" s="18">
        <f t="shared" si="37"/>
        <v>828962.86312741507</v>
      </c>
      <c r="D206" s="18">
        <f t="shared" si="30"/>
        <v>7983.6299421501908</v>
      </c>
      <c r="E206" s="18">
        <f t="shared" si="31"/>
        <v>3148.0132405736031</v>
      </c>
      <c r="F206" s="16">
        <f t="shared" si="32"/>
        <v>4.557038748921239E-2</v>
      </c>
      <c r="G206" s="18">
        <f t="shared" si="33"/>
        <v>4835.6167015765877</v>
      </c>
      <c r="H206" s="16">
        <f t="shared" si="34"/>
        <v>6.9999999999999993E-2</v>
      </c>
      <c r="I206" s="18">
        <f t="shared" si="38"/>
        <v>374185.15011315857</v>
      </c>
      <c r="J206" s="18">
        <f t="shared" si="39"/>
        <v>1230524.4682590298</v>
      </c>
      <c r="K206" s="18">
        <f t="shared" si="35"/>
        <v>825814.84988684149</v>
      </c>
      <c r="L206" s="18">
        <f t="shared" si="36"/>
        <v>1604709.6183721884</v>
      </c>
    </row>
    <row r="207" spans="1:12" x14ac:dyDescent="0.3">
      <c r="A207">
        <v>202</v>
      </c>
      <c r="B207" s="17">
        <v>50983</v>
      </c>
      <c r="C207" s="18">
        <f t="shared" si="37"/>
        <v>825814.84988684149</v>
      </c>
      <c r="D207" s="18">
        <f t="shared" si="30"/>
        <v>7983.6299421501908</v>
      </c>
      <c r="E207" s="18">
        <f t="shared" si="31"/>
        <v>3166.3766511436152</v>
      </c>
      <c r="F207" s="16">
        <f t="shared" si="32"/>
        <v>4.6010942790541867E-2</v>
      </c>
      <c r="G207" s="18">
        <f t="shared" si="33"/>
        <v>4817.2532910065756</v>
      </c>
      <c r="H207" s="16">
        <f t="shared" si="34"/>
        <v>7.0000000000000007E-2</v>
      </c>
      <c r="I207" s="18">
        <f t="shared" si="38"/>
        <v>377351.52676430217</v>
      </c>
      <c r="J207" s="18">
        <f t="shared" si="39"/>
        <v>1235341.7215500365</v>
      </c>
      <c r="K207" s="18">
        <f t="shared" si="35"/>
        <v>822648.47323569783</v>
      </c>
      <c r="L207" s="18">
        <f t="shared" si="36"/>
        <v>1612693.2483143387</v>
      </c>
    </row>
    <row r="208" spans="1:12" x14ac:dyDescent="0.3">
      <c r="A208">
        <v>203</v>
      </c>
      <c r="B208" s="17">
        <v>51014</v>
      </c>
      <c r="C208" s="18">
        <f t="shared" si="37"/>
        <v>822648.47323569783</v>
      </c>
      <c r="D208" s="18">
        <f t="shared" si="30"/>
        <v>7983.6299421501908</v>
      </c>
      <c r="E208" s="18">
        <f t="shared" si="31"/>
        <v>3184.8471816086203</v>
      </c>
      <c r="F208" s="16">
        <f t="shared" si="32"/>
        <v>4.6457469286949639E-2</v>
      </c>
      <c r="G208" s="18">
        <f t="shared" si="33"/>
        <v>4798.7827605415705</v>
      </c>
      <c r="H208" s="16">
        <f t="shared" si="34"/>
        <v>6.9999999999999993E-2</v>
      </c>
      <c r="I208" s="18">
        <f t="shared" si="38"/>
        <v>380536.37394591077</v>
      </c>
      <c r="J208" s="18">
        <f t="shared" si="39"/>
        <v>1240140.5043105781</v>
      </c>
      <c r="K208" s="18">
        <f t="shared" si="35"/>
        <v>819463.62605408917</v>
      </c>
      <c r="L208" s="18">
        <f t="shared" si="36"/>
        <v>1620676.8782564888</v>
      </c>
    </row>
    <row r="209" spans="1:12" x14ac:dyDescent="0.3">
      <c r="A209">
        <v>204</v>
      </c>
      <c r="B209" s="17">
        <v>51044</v>
      </c>
      <c r="C209" s="18">
        <f t="shared" si="37"/>
        <v>819463.62605408917</v>
      </c>
      <c r="D209" s="18">
        <f t="shared" si="30"/>
        <v>7983.6299421501908</v>
      </c>
      <c r="E209" s="18">
        <f t="shared" si="31"/>
        <v>3203.4254568346705</v>
      </c>
      <c r="F209" s="16">
        <f t="shared" si="32"/>
        <v>4.691008149698974E-2</v>
      </c>
      <c r="G209" s="18">
        <f t="shared" si="33"/>
        <v>4780.2044853155203</v>
      </c>
      <c r="H209" s="16">
        <f t="shared" si="34"/>
        <v>7.0000000000000007E-2</v>
      </c>
      <c r="I209" s="18">
        <f t="shared" si="38"/>
        <v>383739.79940274544</v>
      </c>
      <c r="J209" s="18">
        <f t="shared" si="39"/>
        <v>1244920.7087958937</v>
      </c>
      <c r="K209" s="18">
        <f t="shared" si="35"/>
        <v>816260.20059725444</v>
      </c>
      <c r="L209" s="18">
        <f t="shared" si="36"/>
        <v>1628660.5081986391</v>
      </c>
    </row>
    <row r="210" spans="1:12" x14ac:dyDescent="0.3">
      <c r="A210">
        <v>205</v>
      </c>
      <c r="B210" s="17">
        <v>51075</v>
      </c>
      <c r="C210" s="18">
        <f t="shared" si="37"/>
        <v>816260.20059725444</v>
      </c>
      <c r="D210" s="18">
        <f t="shared" si="30"/>
        <v>7983.6299421501908</v>
      </c>
      <c r="E210" s="18">
        <f t="shared" si="31"/>
        <v>3222.1121053328734</v>
      </c>
      <c r="F210" s="16">
        <f t="shared" si="32"/>
        <v>4.7368896873451867E-2</v>
      </c>
      <c r="G210" s="18">
        <f t="shared" si="33"/>
        <v>4761.5178368173174</v>
      </c>
      <c r="H210" s="16">
        <f t="shared" si="34"/>
        <v>6.9999999999999993E-2</v>
      </c>
      <c r="I210" s="18">
        <f t="shared" si="38"/>
        <v>386961.91150807834</v>
      </c>
      <c r="J210" s="18">
        <f t="shared" si="39"/>
        <v>1249682.226632711</v>
      </c>
      <c r="K210" s="18">
        <f t="shared" si="35"/>
        <v>813038.08849192155</v>
      </c>
      <c r="L210" s="18">
        <f t="shared" si="36"/>
        <v>1636644.1381407892</v>
      </c>
    </row>
    <row r="211" spans="1:12" x14ac:dyDescent="0.3">
      <c r="A211">
        <v>206</v>
      </c>
      <c r="B211" s="17">
        <v>51105</v>
      </c>
      <c r="C211" s="18">
        <f t="shared" si="37"/>
        <v>813038.08849192155</v>
      </c>
      <c r="D211" s="18">
        <f t="shared" si="30"/>
        <v>7983.6299421501908</v>
      </c>
      <c r="E211" s="18">
        <f t="shared" si="31"/>
        <v>3240.907759280648</v>
      </c>
      <c r="F211" s="16">
        <f t="shared" si="32"/>
        <v>4.7834035898004792E-2</v>
      </c>
      <c r="G211" s="18">
        <f t="shared" si="33"/>
        <v>4742.7221828695428</v>
      </c>
      <c r="H211" s="16">
        <f t="shared" si="34"/>
        <v>7.0000000000000007E-2</v>
      </c>
      <c r="I211" s="18">
        <f t="shared" si="38"/>
        <v>390202.81926735898</v>
      </c>
      <c r="J211" s="18">
        <f t="shared" si="39"/>
        <v>1254424.9488155805</v>
      </c>
      <c r="K211" s="18">
        <f t="shared" si="35"/>
        <v>809797.1807326409</v>
      </c>
      <c r="L211" s="18">
        <f t="shared" si="36"/>
        <v>1644627.7680829396</v>
      </c>
    </row>
    <row r="212" spans="1:12" x14ac:dyDescent="0.3">
      <c r="A212">
        <v>207</v>
      </c>
      <c r="B212" s="17">
        <v>51136</v>
      </c>
      <c r="C212" s="18">
        <f t="shared" si="37"/>
        <v>809797.1807326409</v>
      </c>
      <c r="D212" s="18">
        <f t="shared" si="30"/>
        <v>7983.6299421501908</v>
      </c>
      <c r="E212" s="18">
        <f t="shared" si="31"/>
        <v>3259.8130545431186</v>
      </c>
      <c r="F212" s="16">
        <f t="shared" si="32"/>
        <v>4.8305622179527413E-2</v>
      </c>
      <c r="G212" s="18">
        <f t="shared" si="33"/>
        <v>4723.8168876070722</v>
      </c>
      <c r="H212" s="16">
        <f t="shared" si="34"/>
        <v>7.0000000000000007E-2</v>
      </c>
      <c r="I212" s="18">
        <f t="shared" si="38"/>
        <v>393462.63232190209</v>
      </c>
      <c r="J212" s="18">
        <f t="shared" si="39"/>
        <v>1259148.7657031876</v>
      </c>
      <c r="K212" s="18">
        <f t="shared" si="35"/>
        <v>806537.3676780978</v>
      </c>
      <c r="L212" s="18">
        <f t="shared" si="36"/>
        <v>1652611.3980250896</v>
      </c>
    </row>
    <row r="213" spans="1:12" x14ac:dyDescent="0.3">
      <c r="A213">
        <v>208</v>
      </c>
      <c r="B213" s="17">
        <v>51167</v>
      </c>
      <c r="C213" s="18">
        <f t="shared" si="37"/>
        <v>806537.3676780978</v>
      </c>
      <c r="D213" s="18">
        <f t="shared" si="30"/>
        <v>7983.6299421501908</v>
      </c>
      <c r="E213" s="18">
        <f t="shared" si="31"/>
        <v>3278.8286306946202</v>
      </c>
      <c r="F213" s="16">
        <f t="shared" si="32"/>
        <v>4.8783782556295702E-2</v>
      </c>
      <c r="G213" s="18">
        <f t="shared" si="33"/>
        <v>4704.8013114555706</v>
      </c>
      <c r="H213" s="16">
        <f t="shared" si="34"/>
        <v>7.0000000000000007E-2</v>
      </c>
      <c r="I213" s="18">
        <f t="shared" si="38"/>
        <v>396741.46095259668</v>
      </c>
      <c r="J213" s="18">
        <f t="shared" si="39"/>
        <v>1263853.5670146432</v>
      </c>
      <c r="K213" s="18">
        <f t="shared" si="35"/>
        <v>803258.53904740314</v>
      </c>
      <c r="L213" s="18">
        <f t="shared" si="36"/>
        <v>1660595.02796724</v>
      </c>
    </row>
    <row r="214" spans="1:12" x14ac:dyDescent="0.3">
      <c r="A214">
        <v>209</v>
      </c>
      <c r="B214" s="17">
        <v>51196</v>
      </c>
      <c r="C214" s="18">
        <f t="shared" si="37"/>
        <v>803258.53904740314</v>
      </c>
      <c r="D214" s="18">
        <f t="shared" si="30"/>
        <v>7983.6299421501908</v>
      </c>
      <c r="E214" s="18">
        <f t="shared" si="31"/>
        <v>3297.9551310403385</v>
      </c>
      <c r="F214" s="16">
        <f t="shared" si="32"/>
        <v>4.926864720220369E-2</v>
      </c>
      <c r="G214" s="18">
        <f t="shared" si="33"/>
        <v>4685.6748111098523</v>
      </c>
      <c r="H214" s="16">
        <f t="shared" si="34"/>
        <v>7.0000000000000007E-2</v>
      </c>
      <c r="I214" s="18">
        <f t="shared" si="38"/>
        <v>400039.41608363704</v>
      </c>
      <c r="J214" s="18">
        <f t="shared" si="39"/>
        <v>1268539.2418257531</v>
      </c>
      <c r="K214" s="18">
        <f t="shared" si="35"/>
        <v>799960.58391636284</v>
      </c>
      <c r="L214" s="18">
        <f t="shared" si="36"/>
        <v>1668578.6579093901</v>
      </c>
    </row>
    <row r="215" spans="1:12" x14ac:dyDescent="0.3">
      <c r="A215">
        <v>210</v>
      </c>
      <c r="B215" s="17">
        <v>51227</v>
      </c>
      <c r="C215" s="18">
        <f t="shared" si="37"/>
        <v>799960.58391636284</v>
      </c>
      <c r="D215" s="18">
        <f t="shared" si="30"/>
        <v>7983.6299421501908</v>
      </c>
      <c r="E215" s="18">
        <f t="shared" si="31"/>
        <v>3317.1932026380737</v>
      </c>
      <c r="F215" s="16">
        <f t="shared" si="32"/>
        <v>4.9760349737204924E-2</v>
      </c>
      <c r="G215" s="18">
        <f t="shared" si="33"/>
        <v>4666.4367395121171</v>
      </c>
      <c r="H215" s="16">
        <f t="shared" si="34"/>
        <v>7.0000000000000007E-2</v>
      </c>
      <c r="I215" s="18">
        <f t="shared" si="38"/>
        <v>403356.60928627511</v>
      </c>
      <c r="J215" s="18">
        <f t="shared" si="39"/>
        <v>1273205.6785652651</v>
      </c>
      <c r="K215" s="18">
        <f t="shared" si="35"/>
        <v>796643.39071372477</v>
      </c>
      <c r="L215" s="18">
        <f t="shared" si="36"/>
        <v>1676562.2878515404</v>
      </c>
    </row>
    <row r="216" spans="1:12" x14ac:dyDescent="0.3">
      <c r="A216">
        <v>211</v>
      </c>
      <c r="B216" s="17">
        <v>51257</v>
      </c>
      <c r="C216" s="18">
        <f t="shared" si="37"/>
        <v>796643.39071372477</v>
      </c>
      <c r="D216" s="18">
        <f t="shared" si="30"/>
        <v>7983.6299421501908</v>
      </c>
      <c r="E216" s="18">
        <f t="shared" si="31"/>
        <v>3336.5434963201296</v>
      </c>
      <c r="F216" s="16">
        <f t="shared" si="32"/>
        <v>5.025902734217181E-2</v>
      </c>
      <c r="G216" s="18">
        <f t="shared" si="33"/>
        <v>4647.0864458300612</v>
      </c>
      <c r="H216" s="16">
        <f t="shared" si="34"/>
        <v>7.0000000000000007E-2</v>
      </c>
      <c r="I216" s="18">
        <f t="shared" si="38"/>
        <v>406693.15278259525</v>
      </c>
      <c r="J216" s="18">
        <f t="shared" si="39"/>
        <v>1277852.7650110952</v>
      </c>
      <c r="K216" s="18">
        <f t="shared" si="35"/>
        <v>793306.84721740463</v>
      </c>
      <c r="L216" s="18">
        <f t="shared" si="36"/>
        <v>1684545.9177936905</v>
      </c>
    </row>
    <row r="217" spans="1:12" x14ac:dyDescent="0.3">
      <c r="A217">
        <v>212</v>
      </c>
      <c r="B217" s="17">
        <v>51288</v>
      </c>
      <c r="C217" s="18">
        <f t="shared" si="37"/>
        <v>793306.84721740463</v>
      </c>
      <c r="D217" s="18">
        <f t="shared" si="30"/>
        <v>7983.6299421501908</v>
      </c>
      <c r="E217" s="18">
        <f t="shared" si="31"/>
        <v>3356.0066667153305</v>
      </c>
      <c r="F217" s="16">
        <f t="shared" si="32"/>
        <v>5.0764820878380065E-2</v>
      </c>
      <c r="G217" s="18">
        <f t="shared" si="33"/>
        <v>4627.6232754348603</v>
      </c>
      <c r="H217" s="16">
        <f t="shared" si="34"/>
        <v>7.0000000000000007E-2</v>
      </c>
      <c r="I217" s="18">
        <f t="shared" si="38"/>
        <v>410049.15944931057</v>
      </c>
      <c r="J217" s="18">
        <f t="shared" si="39"/>
        <v>1282480.38828653</v>
      </c>
      <c r="K217" s="18">
        <f t="shared" si="35"/>
        <v>789950.84055068926</v>
      </c>
      <c r="L217" s="18">
        <f t="shared" si="36"/>
        <v>1692529.5477358405</v>
      </c>
    </row>
    <row r="218" spans="1:12" x14ac:dyDescent="0.3">
      <c r="A218">
        <v>213</v>
      </c>
      <c r="B218" s="17">
        <v>51318</v>
      </c>
      <c r="C218" s="18">
        <f t="shared" si="37"/>
        <v>789950.84055068926</v>
      </c>
      <c r="D218" s="18">
        <f t="shared" si="30"/>
        <v>7983.6299421501908</v>
      </c>
      <c r="E218" s="18">
        <f t="shared" si="31"/>
        <v>3375.5833722711695</v>
      </c>
      <c r="F218" s="16">
        <f t="shared" si="32"/>
        <v>5.1277875011837268E-2</v>
      </c>
      <c r="G218" s="18">
        <f t="shared" si="33"/>
        <v>4608.0465698790213</v>
      </c>
      <c r="H218" s="16">
        <f t="shared" si="34"/>
        <v>7.0000000000000007E-2</v>
      </c>
      <c r="I218" s="18">
        <f t="shared" si="38"/>
        <v>413424.74282158172</v>
      </c>
      <c r="J218" s="18">
        <f t="shared" si="39"/>
        <v>1287088.434856409</v>
      </c>
      <c r="K218" s="18">
        <f t="shared" si="35"/>
        <v>786575.25717841811</v>
      </c>
      <c r="L218" s="18">
        <f t="shared" si="36"/>
        <v>1700513.1776779906</v>
      </c>
    </row>
    <row r="219" spans="1:12" x14ac:dyDescent="0.3">
      <c r="A219">
        <v>214</v>
      </c>
      <c r="B219" s="17">
        <v>51349</v>
      </c>
      <c r="C219" s="18">
        <f t="shared" si="37"/>
        <v>786575.25717841811</v>
      </c>
      <c r="D219" s="18">
        <f t="shared" si="30"/>
        <v>7983.6299421501908</v>
      </c>
      <c r="E219" s="18">
        <f t="shared" si="31"/>
        <v>3395.2742752760851</v>
      </c>
      <c r="F219" s="16">
        <f t="shared" si="32"/>
        <v>5.1798338342686087E-2</v>
      </c>
      <c r="G219" s="18">
        <f t="shared" si="33"/>
        <v>4588.3556668741057</v>
      </c>
      <c r="H219" s="16">
        <f t="shared" si="34"/>
        <v>7.0000000000000007E-2</v>
      </c>
      <c r="I219" s="18">
        <f t="shared" si="38"/>
        <v>416820.01709685783</v>
      </c>
      <c r="J219" s="18">
        <f t="shared" si="39"/>
        <v>1291676.7905232832</v>
      </c>
      <c r="K219" s="18">
        <f t="shared" si="35"/>
        <v>783179.98290314199</v>
      </c>
      <c r="L219" s="18">
        <f t="shared" si="36"/>
        <v>1708496.807620141</v>
      </c>
    </row>
    <row r="220" spans="1:12" x14ac:dyDescent="0.3">
      <c r="A220">
        <v>215</v>
      </c>
      <c r="B220" s="17">
        <v>51380</v>
      </c>
      <c r="C220" s="18">
        <f t="shared" si="37"/>
        <v>783179.98290314199</v>
      </c>
      <c r="D220" s="18">
        <f t="shared" si="30"/>
        <v>7983.6299421501908</v>
      </c>
      <c r="E220" s="18">
        <f t="shared" si="31"/>
        <v>3415.0800418818626</v>
      </c>
      <c r="F220" s="16">
        <f t="shared" si="32"/>
        <v>5.2326363539925383E-2</v>
      </c>
      <c r="G220" s="18">
        <f t="shared" si="33"/>
        <v>4568.5499002683282</v>
      </c>
      <c r="H220" s="16">
        <f t="shared" si="34"/>
        <v>7.0000000000000007E-2</v>
      </c>
      <c r="I220" s="18">
        <f t="shared" si="38"/>
        <v>420235.09713873971</v>
      </c>
      <c r="J220" s="18">
        <f t="shared" si="39"/>
        <v>1296245.3404235516</v>
      </c>
      <c r="K220" s="18">
        <f t="shared" si="35"/>
        <v>779764.90286126011</v>
      </c>
      <c r="L220" s="18">
        <f t="shared" si="36"/>
        <v>1716480.4375622913</v>
      </c>
    </row>
    <row r="221" spans="1:12" x14ac:dyDescent="0.3">
      <c r="A221">
        <v>216</v>
      </c>
      <c r="B221" s="17">
        <v>51410</v>
      </c>
      <c r="C221" s="18">
        <f t="shared" si="37"/>
        <v>779764.90286126011</v>
      </c>
      <c r="D221" s="18">
        <f t="shared" si="30"/>
        <v>7983.6299421501908</v>
      </c>
      <c r="E221" s="18">
        <f t="shared" si="31"/>
        <v>3435.0013421261729</v>
      </c>
      <c r="F221" s="16">
        <f t="shared" si="32"/>
        <v>5.2862107481706125E-2</v>
      </c>
      <c r="G221" s="18">
        <f t="shared" si="33"/>
        <v>4548.6286000240179</v>
      </c>
      <c r="H221" s="16">
        <f t="shared" si="34"/>
        <v>7.0000000000000007E-2</v>
      </c>
      <c r="I221" s="18">
        <f t="shared" si="38"/>
        <v>423670.09848086588</v>
      </c>
      <c r="J221" s="18">
        <f t="shared" si="39"/>
        <v>1300793.9690235755</v>
      </c>
      <c r="K221" s="18">
        <f t="shared" si="35"/>
        <v>776329.90151913394</v>
      </c>
      <c r="L221" s="18">
        <f t="shared" si="36"/>
        <v>1724464.0675044414</v>
      </c>
    </row>
    <row r="222" spans="1:12" x14ac:dyDescent="0.3">
      <c r="A222">
        <v>217</v>
      </c>
      <c r="B222" s="17">
        <v>51441</v>
      </c>
      <c r="C222" s="18">
        <f t="shared" si="37"/>
        <v>776329.90151913394</v>
      </c>
      <c r="D222" s="18">
        <f t="shared" si="30"/>
        <v>7983.6299421501908</v>
      </c>
      <c r="E222" s="18">
        <f t="shared" si="31"/>
        <v>3455.0388499552428</v>
      </c>
      <c r="F222" s="16">
        <f t="shared" si="32"/>
        <v>5.3405731401473075E-2</v>
      </c>
      <c r="G222" s="18">
        <f t="shared" si="33"/>
        <v>4528.591092194948</v>
      </c>
      <c r="H222" s="16">
        <f t="shared" si="34"/>
        <v>7.0000000000000007E-2</v>
      </c>
      <c r="I222" s="18">
        <f t="shared" si="38"/>
        <v>427125.13733082113</v>
      </c>
      <c r="J222" s="18">
        <f t="shared" si="39"/>
        <v>1305322.5601157704</v>
      </c>
      <c r="K222" s="18">
        <f t="shared" si="35"/>
        <v>772874.86266917875</v>
      </c>
      <c r="L222" s="18">
        <f t="shared" si="36"/>
        <v>1732447.6974465917</v>
      </c>
    </row>
    <row r="223" spans="1:12" x14ac:dyDescent="0.3">
      <c r="A223">
        <v>218</v>
      </c>
      <c r="B223" s="17">
        <v>51471</v>
      </c>
      <c r="C223" s="18">
        <f t="shared" si="37"/>
        <v>772874.86266917875</v>
      </c>
      <c r="D223" s="18">
        <f t="shared" si="30"/>
        <v>7983.6299421501908</v>
      </c>
      <c r="E223" s="18">
        <f t="shared" si="31"/>
        <v>3475.1932432466483</v>
      </c>
      <c r="F223" s="16">
        <f t="shared" si="32"/>
        <v>5.3957401040238037E-2</v>
      </c>
      <c r="G223" s="18">
        <f t="shared" si="33"/>
        <v>4508.4366989035425</v>
      </c>
      <c r="H223" s="16">
        <f t="shared" si="34"/>
        <v>6.9999999999999993E-2</v>
      </c>
      <c r="I223" s="18">
        <f t="shared" si="38"/>
        <v>430600.33057406778</v>
      </c>
      <c r="J223" s="18">
        <f t="shared" si="39"/>
        <v>1309830.996814674</v>
      </c>
      <c r="K223" s="18">
        <f t="shared" si="35"/>
        <v>769399.66942593211</v>
      </c>
      <c r="L223" s="18">
        <f t="shared" si="36"/>
        <v>1740431.3273887418</v>
      </c>
    </row>
    <row r="224" spans="1:12" x14ac:dyDescent="0.3">
      <c r="A224">
        <v>219</v>
      </c>
      <c r="B224" s="17">
        <v>51502</v>
      </c>
      <c r="C224" s="18">
        <f t="shared" si="37"/>
        <v>769399.66942593211</v>
      </c>
      <c r="D224" s="18">
        <f t="shared" si="30"/>
        <v>7983.6299421501908</v>
      </c>
      <c r="E224" s="18">
        <f t="shared" si="31"/>
        <v>3495.4652038322529</v>
      </c>
      <c r="F224" s="16">
        <f t="shared" si="32"/>
        <v>5.4517286805287626E-2</v>
      </c>
      <c r="G224" s="18">
        <f t="shared" si="33"/>
        <v>4488.1647383179379</v>
      </c>
      <c r="H224" s="16">
        <f t="shared" si="34"/>
        <v>7.0000000000000007E-2</v>
      </c>
      <c r="I224" s="18">
        <f t="shared" si="38"/>
        <v>434095.79577790003</v>
      </c>
      <c r="J224" s="18">
        <f t="shared" si="39"/>
        <v>1314319.161552992</v>
      </c>
      <c r="K224" s="18">
        <f t="shared" si="35"/>
        <v>765904.20422209986</v>
      </c>
      <c r="L224" s="18">
        <f t="shared" si="36"/>
        <v>1748414.9573308919</v>
      </c>
    </row>
    <row r="225" spans="1:12" x14ac:dyDescent="0.3">
      <c r="A225">
        <v>220</v>
      </c>
      <c r="B225" s="17">
        <v>51533</v>
      </c>
      <c r="C225" s="18">
        <f t="shared" si="37"/>
        <v>765904.20422209986</v>
      </c>
      <c r="D225" s="18">
        <f t="shared" si="30"/>
        <v>7983.6299421501908</v>
      </c>
      <c r="E225" s="18">
        <f t="shared" si="31"/>
        <v>3515.8554175212748</v>
      </c>
      <c r="F225" s="16">
        <f t="shared" si="32"/>
        <v>5.5085563935644365E-2</v>
      </c>
      <c r="G225" s="18">
        <f t="shared" si="33"/>
        <v>4467.774524628916</v>
      </c>
      <c r="H225" s="16">
        <f t="shared" si="34"/>
        <v>7.0000000000000007E-2</v>
      </c>
      <c r="I225" s="18">
        <f t="shared" si="38"/>
        <v>437611.65119542129</v>
      </c>
      <c r="J225" s="18">
        <f t="shared" si="39"/>
        <v>1318786.9360776208</v>
      </c>
      <c r="K225" s="18">
        <f t="shared" si="35"/>
        <v>762388.34880457853</v>
      </c>
      <c r="L225" s="18">
        <f t="shared" si="36"/>
        <v>1756398.5872730422</v>
      </c>
    </row>
    <row r="226" spans="1:12" x14ac:dyDescent="0.3">
      <c r="A226">
        <v>221</v>
      </c>
      <c r="B226" s="17">
        <v>51561</v>
      </c>
      <c r="C226" s="18">
        <f t="shared" si="37"/>
        <v>762388.34880457853</v>
      </c>
      <c r="D226" s="18">
        <f t="shared" si="30"/>
        <v>7983.6299421501908</v>
      </c>
      <c r="E226" s="18">
        <f t="shared" si="31"/>
        <v>3536.3645741234823</v>
      </c>
      <c r="F226" s="16">
        <f t="shared" si="32"/>
        <v>5.5662412674618952E-2</v>
      </c>
      <c r="G226" s="18">
        <f t="shared" si="33"/>
        <v>4447.2653680267085</v>
      </c>
      <c r="H226" s="16">
        <f t="shared" si="34"/>
        <v>7.0000000000000007E-2</v>
      </c>
      <c r="I226" s="18">
        <f t="shared" si="38"/>
        <v>441148.01576954476</v>
      </c>
      <c r="J226" s="18">
        <f t="shared" si="39"/>
        <v>1323234.2014456475</v>
      </c>
      <c r="K226" s="18">
        <f t="shared" si="35"/>
        <v>758851.98423045501</v>
      </c>
      <c r="L226" s="18">
        <f t="shared" si="36"/>
        <v>1764382.2172151923</v>
      </c>
    </row>
    <row r="227" spans="1:12" x14ac:dyDescent="0.3">
      <c r="A227">
        <v>222</v>
      </c>
      <c r="B227" s="17">
        <v>51592</v>
      </c>
      <c r="C227" s="18">
        <f t="shared" si="37"/>
        <v>758851.98423045501</v>
      </c>
      <c r="D227" s="18">
        <f t="shared" si="30"/>
        <v>7983.6299421501908</v>
      </c>
      <c r="E227" s="18">
        <f t="shared" si="31"/>
        <v>3556.9933674725362</v>
      </c>
      <c r="F227" s="16">
        <f t="shared" si="32"/>
        <v>5.6248018449811144E-2</v>
      </c>
      <c r="G227" s="18">
        <f t="shared" si="33"/>
        <v>4426.6365746776546</v>
      </c>
      <c r="H227" s="16">
        <f t="shared" si="34"/>
        <v>7.0000000000000007E-2</v>
      </c>
      <c r="I227" s="18">
        <f t="shared" si="38"/>
        <v>444705.0091370173</v>
      </c>
      <c r="J227" s="18">
        <f t="shared" si="39"/>
        <v>1327660.8380203252</v>
      </c>
      <c r="K227" s="18">
        <f t="shared" si="35"/>
        <v>755294.99086298246</v>
      </c>
      <c r="L227" s="18">
        <f t="shared" si="36"/>
        <v>1772365.8471573424</v>
      </c>
    </row>
    <row r="228" spans="1:12" x14ac:dyDescent="0.3">
      <c r="A228">
        <v>223</v>
      </c>
      <c r="B228" s="17">
        <v>51622</v>
      </c>
      <c r="C228" s="18">
        <f t="shared" si="37"/>
        <v>755294.99086298246</v>
      </c>
      <c r="D228" s="18">
        <f t="shared" si="30"/>
        <v>7983.6299421501908</v>
      </c>
      <c r="E228" s="18">
        <f t="shared" si="31"/>
        <v>3577.74249544946</v>
      </c>
      <c r="F228" s="16">
        <f t="shared" si="32"/>
        <v>5.6842572060936583E-2</v>
      </c>
      <c r="G228" s="18">
        <f t="shared" si="33"/>
        <v>4405.8874467007308</v>
      </c>
      <c r="H228" s="16">
        <f t="shared" si="34"/>
        <v>6.9999999999999993E-2</v>
      </c>
      <c r="I228" s="18">
        <f t="shared" si="38"/>
        <v>448282.75163246674</v>
      </c>
      <c r="J228" s="18">
        <f t="shared" si="39"/>
        <v>1332066.725467026</v>
      </c>
      <c r="K228" s="18">
        <f t="shared" si="35"/>
        <v>751717.24836753297</v>
      </c>
      <c r="L228" s="18">
        <f t="shared" si="36"/>
        <v>1780349.4770994927</v>
      </c>
    </row>
    <row r="229" spans="1:12" x14ac:dyDescent="0.3">
      <c r="A229">
        <v>224</v>
      </c>
      <c r="B229" s="17">
        <v>51653</v>
      </c>
      <c r="C229" s="18">
        <f t="shared" si="37"/>
        <v>751717.24836753297</v>
      </c>
      <c r="D229" s="18">
        <f t="shared" si="30"/>
        <v>7983.6299421501908</v>
      </c>
      <c r="E229" s="18">
        <f t="shared" si="31"/>
        <v>3598.612660006248</v>
      </c>
      <c r="F229" s="16">
        <f t="shared" si="32"/>
        <v>5.7446269875879689E-2</v>
      </c>
      <c r="G229" s="18">
        <f t="shared" si="33"/>
        <v>4385.0172821439428</v>
      </c>
      <c r="H229" s="16">
        <f t="shared" si="34"/>
        <v>7.0000000000000007E-2</v>
      </c>
      <c r="I229" s="18">
        <f t="shared" si="38"/>
        <v>451881.36429247301</v>
      </c>
      <c r="J229" s="18">
        <f t="shared" si="39"/>
        <v>1336451.7427491699</v>
      </c>
      <c r="K229" s="18">
        <f t="shared" si="35"/>
        <v>748118.6357075267</v>
      </c>
      <c r="L229" s="18">
        <f t="shared" si="36"/>
        <v>1788333.107041643</v>
      </c>
    </row>
    <row r="230" spans="1:12" x14ac:dyDescent="0.3">
      <c r="A230">
        <v>225</v>
      </c>
      <c r="B230" s="17">
        <v>51683</v>
      </c>
      <c r="C230" s="18">
        <f t="shared" si="37"/>
        <v>748118.6357075267</v>
      </c>
      <c r="D230" s="18">
        <f t="shared" si="30"/>
        <v>7983.6299421501908</v>
      </c>
      <c r="E230" s="18">
        <f t="shared" si="31"/>
        <v>3619.6045671896181</v>
      </c>
      <c r="F230" s="16">
        <f t="shared" si="32"/>
        <v>5.8059314035396145E-2</v>
      </c>
      <c r="G230" s="18">
        <f t="shared" si="33"/>
        <v>4364.0253749605727</v>
      </c>
      <c r="H230" s="16">
        <f t="shared" si="34"/>
        <v>7.0000000000000007E-2</v>
      </c>
      <c r="I230" s="18">
        <f t="shared" si="38"/>
        <v>455500.96885966265</v>
      </c>
      <c r="J230" s="18">
        <f t="shared" si="39"/>
        <v>1340815.7681241306</v>
      </c>
      <c r="K230" s="18">
        <f t="shared" si="35"/>
        <v>744499.03114033712</v>
      </c>
      <c r="L230" s="18">
        <f t="shared" si="36"/>
        <v>1796316.7369837933</v>
      </c>
    </row>
    <row r="231" spans="1:12" x14ac:dyDescent="0.3">
      <c r="A231">
        <v>226</v>
      </c>
      <c r="B231" s="17">
        <v>51714</v>
      </c>
      <c r="C231" s="18">
        <f t="shared" si="37"/>
        <v>744499.03114033712</v>
      </c>
      <c r="D231" s="18">
        <f t="shared" si="30"/>
        <v>7983.6299421501908</v>
      </c>
      <c r="E231" s="18">
        <f t="shared" si="31"/>
        <v>3640.7189271648904</v>
      </c>
      <c r="F231" s="16">
        <f t="shared" si="32"/>
        <v>5.8681912666913104E-2</v>
      </c>
      <c r="G231" s="18">
        <f t="shared" si="33"/>
        <v>4342.9110149853004</v>
      </c>
      <c r="H231" s="16">
        <f t="shared" si="34"/>
        <v>7.0000000000000007E-2</v>
      </c>
      <c r="I231" s="18">
        <f t="shared" si="38"/>
        <v>459141.68778682756</v>
      </c>
      <c r="J231" s="18">
        <f t="shared" si="39"/>
        <v>1345158.6791391158</v>
      </c>
      <c r="K231" s="18">
        <f t="shared" si="35"/>
        <v>740858.3122131722</v>
      </c>
      <c r="L231" s="18">
        <f t="shared" si="36"/>
        <v>1804300.3669259434</v>
      </c>
    </row>
    <row r="232" spans="1:12" x14ac:dyDescent="0.3">
      <c r="A232">
        <v>227</v>
      </c>
      <c r="B232" s="17">
        <v>51745</v>
      </c>
      <c r="C232" s="18">
        <f t="shared" si="37"/>
        <v>740858.3122131722</v>
      </c>
      <c r="D232" s="18">
        <f t="shared" si="30"/>
        <v>7983.6299421501908</v>
      </c>
      <c r="E232" s="18">
        <f t="shared" si="31"/>
        <v>3661.9564542400194</v>
      </c>
      <c r="F232" s="16">
        <f t="shared" si="32"/>
        <v>5.9314280107902836E-2</v>
      </c>
      <c r="G232" s="18">
        <f t="shared" si="33"/>
        <v>4321.6734879101714</v>
      </c>
      <c r="H232" s="16">
        <f t="shared" si="34"/>
        <v>7.0000000000000007E-2</v>
      </c>
      <c r="I232" s="18">
        <f t="shared" si="38"/>
        <v>462803.64424106758</v>
      </c>
      <c r="J232" s="18">
        <f t="shared" si="39"/>
        <v>1349480.3526270259</v>
      </c>
      <c r="K232" s="18">
        <f t="shared" si="35"/>
        <v>737196.35575893219</v>
      </c>
      <c r="L232" s="18">
        <f t="shared" si="36"/>
        <v>1812283.9968680935</v>
      </c>
    </row>
    <row r="233" spans="1:12" x14ac:dyDescent="0.3">
      <c r="A233">
        <v>228</v>
      </c>
      <c r="B233" s="17">
        <v>51775</v>
      </c>
      <c r="C233" s="18">
        <f t="shared" si="37"/>
        <v>737196.35575893219</v>
      </c>
      <c r="D233" s="18">
        <f t="shared" si="30"/>
        <v>7983.6299421501908</v>
      </c>
      <c r="E233" s="18">
        <f t="shared" si="31"/>
        <v>3683.3178668897526</v>
      </c>
      <c r="F233" s="16">
        <f t="shared" si="32"/>
        <v>5.9956637139333128E-2</v>
      </c>
      <c r="G233" s="18">
        <f t="shared" si="33"/>
        <v>4300.3120752604382</v>
      </c>
      <c r="H233" s="16">
        <f t="shared" si="34"/>
        <v>7.0000000000000007E-2</v>
      </c>
      <c r="I233" s="18">
        <f t="shared" si="38"/>
        <v>466486.96210795734</v>
      </c>
      <c r="J233" s="18">
        <f t="shared" si="39"/>
        <v>1353780.6647022862</v>
      </c>
      <c r="K233" s="18">
        <f t="shared" si="35"/>
        <v>733513.03789204243</v>
      </c>
      <c r="L233" s="18">
        <f t="shared" si="36"/>
        <v>1820267.6268102436</v>
      </c>
    </row>
    <row r="234" spans="1:12" x14ac:dyDescent="0.3">
      <c r="A234">
        <v>229</v>
      </c>
      <c r="B234" s="17">
        <v>51806</v>
      </c>
      <c r="C234" s="18">
        <f t="shared" si="37"/>
        <v>733513.03789204243</v>
      </c>
      <c r="D234" s="18">
        <f t="shared" si="30"/>
        <v>7983.6299421501908</v>
      </c>
      <c r="E234" s="18">
        <f t="shared" si="31"/>
        <v>3704.8038877799427</v>
      </c>
      <c r="F234" s="16">
        <f t="shared" si="32"/>
        <v>6.0609211229729412E-2</v>
      </c>
      <c r="G234" s="18">
        <f t="shared" si="33"/>
        <v>4278.8260543702481</v>
      </c>
      <c r="H234" s="16">
        <f t="shared" si="34"/>
        <v>7.0000000000000007E-2</v>
      </c>
      <c r="I234" s="18">
        <f t="shared" si="38"/>
        <v>470191.76599573728</v>
      </c>
      <c r="J234" s="18">
        <f t="shared" si="39"/>
        <v>1358059.4907566565</v>
      </c>
      <c r="K234" s="18">
        <f t="shared" si="35"/>
        <v>729808.23400426249</v>
      </c>
      <c r="L234" s="18">
        <f t="shared" si="36"/>
        <v>1828251.2567523937</v>
      </c>
    </row>
    <row r="235" spans="1:12" x14ac:dyDescent="0.3">
      <c r="A235">
        <v>230</v>
      </c>
      <c r="B235" s="17">
        <v>51836</v>
      </c>
      <c r="C235" s="18">
        <f t="shared" si="37"/>
        <v>729808.23400426249</v>
      </c>
      <c r="D235" s="18">
        <f t="shared" si="30"/>
        <v>7983.6299421501908</v>
      </c>
      <c r="E235" s="18">
        <f t="shared" si="31"/>
        <v>3726.4152437919929</v>
      </c>
      <c r="F235" s="16">
        <f t="shared" si="32"/>
        <v>6.1272236790415199E-2</v>
      </c>
      <c r="G235" s="18">
        <f t="shared" si="33"/>
        <v>4257.2146983581979</v>
      </c>
      <c r="H235" s="16">
        <f t="shared" si="34"/>
        <v>7.0000000000000007E-2</v>
      </c>
      <c r="I235" s="18">
        <f t="shared" si="38"/>
        <v>473918.18123952928</v>
      </c>
      <c r="J235" s="18">
        <f t="shared" si="39"/>
        <v>1362316.7054550147</v>
      </c>
      <c r="K235" s="18">
        <f t="shared" si="35"/>
        <v>726081.81876047049</v>
      </c>
      <c r="L235" s="18">
        <f t="shared" si="36"/>
        <v>1836234.886694544</v>
      </c>
    </row>
    <row r="236" spans="1:12" x14ac:dyDescent="0.3">
      <c r="A236">
        <v>231</v>
      </c>
      <c r="B236" s="17">
        <v>51867</v>
      </c>
      <c r="C236" s="18">
        <f t="shared" si="37"/>
        <v>726081.81876047049</v>
      </c>
      <c r="D236" s="18">
        <f t="shared" si="30"/>
        <v>7983.6299421501908</v>
      </c>
      <c r="E236" s="18">
        <f t="shared" si="31"/>
        <v>3748.1526660474465</v>
      </c>
      <c r="F236" s="16">
        <f t="shared" si="32"/>
        <v>6.194595544253291E-2</v>
      </c>
      <c r="G236" s="18">
        <f t="shared" si="33"/>
        <v>4235.4772761027443</v>
      </c>
      <c r="H236" s="16">
        <f t="shared" si="34"/>
        <v>6.9999999999999993E-2</v>
      </c>
      <c r="I236" s="18">
        <f t="shared" si="38"/>
        <v>477666.33390557673</v>
      </c>
      <c r="J236" s="18">
        <f t="shared" si="39"/>
        <v>1366552.1827311174</v>
      </c>
      <c r="K236" s="18">
        <f t="shared" si="35"/>
        <v>722333.66609442304</v>
      </c>
      <c r="L236" s="18">
        <f t="shared" si="36"/>
        <v>1844218.5166366941</v>
      </c>
    </row>
    <row r="237" spans="1:12" x14ac:dyDescent="0.3">
      <c r="A237">
        <v>232</v>
      </c>
      <c r="B237" s="17">
        <v>51898</v>
      </c>
      <c r="C237" s="18">
        <f t="shared" si="37"/>
        <v>722333.66609442304</v>
      </c>
      <c r="D237" s="18">
        <f t="shared" si="30"/>
        <v>7983.6299421501908</v>
      </c>
      <c r="E237" s="18">
        <f t="shared" si="31"/>
        <v>3770.0168899327227</v>
      </c>
      <c r="F237" s="16">
        <f t="shared" si="32"/>
        <v>6.2630616296484365E-2</v>
      </c>
      <c r="G237" s="18">
        <f t="shared" si="33"/>
        <v>4213.6130522174681</v>
      </c>
      <c r="H237" s="16">
        <f t="shared" si="34"/>
        <v>7.0000000000000007E-2</v>
      </c>
      <c r="I237" s="18">
        <f t="shared" si="38"/>
        <v>481436.35079550947</v>
      </c>
      <c r="J237" s="18">
        <f t="shared" si="39"/>
        <v>1370765.7957833349</v>
      </c>
      <c r="K237" s="18">
        <f t="shared" si="35"/>
        <v>718563.64920449036</v>
      </c>
      <c r="L237" s="18">
        <f t="shared" si="36"/>
        <v>1852202.1465788444</v>
      </c>
    </row>
    <row r="238" spans="1:12" x14ac:dyDescent="0.3">
      <c r="A238">
        <v>233</v>
      </c>
      <c r="B238" s="17">
        <v>51926</v>
      </c>
      <c r="C238" s="18">
        <f t="shared" si="37"/>
        <v>718563.64920449036</v>
      </c>
      <c r="D238" s="18">
        <f t="shared" si="30"/>
        <v>7983.6299421501908</v>
      </c>
      <c r="E238" s="18">
        <f t="shared" si="31"/>
        <v>3792.0086551239965</v>
      </c>
      <c r="F238" s="16">
        <f t="shared" si="32"/>
        <v>6.3326476244470173E-2</v>
      </c>
      <c r="G238" s="18">
        <f t="shared" si="33"/>
        <v>4191.6212870261943</v>
      </c>
      <c r="H238" s="16">
        <f t="shared" si="34"/>
        <v>7.0000000000000007E-2</v>
      </c>
      <c r="I238" s="18">
        <f t="shared" si="38"/>
        <v>485228.35945063346</v>
      </c>
      <c r="J238" s="18">
        <f t="shared" si="39"/>
        <v>1374957.4170703611</v>
      </c>
      <c r="K238" s="18">
        <f t="shared" si="35"/>
        <v>714771.64054936636</v>
      </c>
      <c r="L238" s="18">
        <f t="shared" si="36"/>
        <v>1860185.7765209945</v>
      </c>
    </row>
    <row r="239" spans="1:12" x14ac:dyDescent="0.3">
      <c r="A239">
        <v>234</v>
      </c>
      <c r="B239" s="17">
        <v>51957</v>
      </c>
      <c r="C239" s="18">
        <f t="shared" si="37"/>
        <v>714771.64054936636</v>
      </c>
      <c r="D239" s="18">
        <f t="shared" si="30"/>
        <v>7983.6299421501908</v>
      </c>
      <c r="E239" s="18">
        <f t="shared" si="31"/>
        <v>3814.1287056122201</v>
      </c>
      <c r="F239" s="16">
        <f t="shared" si="32"/>
        <v>6.4033800266849739E-2</v>
      </c>
      <c r="G239" s="18">
        <f t="shared" si="33"/>
        <v>4169.5012365379707</v>
      </c>
      <c r="H239" s="16">
        <f t="shared" si="34"/>
        <v>7.0000000000000007E-2</v>
      </c>
      <c r="I239" s="18">
        <f t="shared" si="38"/>
        <v>489042.48815624567</v>
      </c>
      <c r="J239" s="18">
        <f t="shared" si="39"/>
        <v>1379126.918306899</v>
      </c>
      <c r="K239" s="18">
        <f t="shared" si="35"/>
        <v>710957.5118437541</v>
      </c>
      <c r="L239" s="18">
        <f t="shared" si="36"/>
        <v>1868169.4064631448</v>
      </c>
    </row>
    <row r="240" spans="1:12" x14ac:dyDescent="0.3">
      <c r="A240">
        <v>235</v>
      </c>
      <c r="B240" s="17">
        <v>51987</v>
      </c>
      <c r="C240" s="18">
        <f t="shared" si="37"/>
        <v>710957.5118437541</v>
      </c>
      <c r="D240" s="18">
        <f t="shared" si="30"/>
        <v>7983.6299421501908</v>
      </c>
      <c r="E240" s="18">
        <f t="shared" si="31"/>
        <v>3836.3777897282916</v>
      </c>
      <c r="F240" s="16">
        <f t="shared" si="32"/>
        <v>6.4752861753090057E-2</v>
      </c>
      <c r="G240" s="18">
        <f t="shared" si="33"/>
        <v>4147.2521524218992</v>
      </c>
      <c r="H240" s="16">
        <f t="shared" si="34"/>
        <v>7.0000000000000007E-2</v>
      </c>
      <c r="I240" s="18">
        <f t="shared" si="38"/>
        <v>492878.86594597396</v>
      </c>
      <c r="J240" s="18">
        <f t="shared" si="39"/>
        <v>1383274.170459321</v>
      </c>
      <c r="K240" s="18">
        <f t="shared" si="35"/>
        <v>707121.13405402575</v>
      </c>
      <c r="L240" s="18">
        <f t="shared" si="36"/>
        <v>1876153.0364052949</v>
      </c>
    </row>
    <row r="241" spans="1:12" x14ac:dyDescent="0.3">
      <c r="A241">
        <v>236</v>
      </c>
      <c r="B241" s="17">
        <v>52018</v>
      </c>
      <c r="C241" s="18">
        <f t="shared" si="37"/>
        <v>707121.13405402575</v>
      </c>
      <c r="D241" s="18">
        <f t="shared" si="30"/>
        <v>7983.6299421501908</v>
      </c>
      <c r="E241" s="18">
        <f t="shared" si="31"/>
        <v>3858.7566601683739</v>
      </c>
      <c r="F241" s="16">
        <f t="shared" si="32"/>
        <v>6.5483942838120104E-2</v>
      </c>
      <c r="G241" s="18">
        <f t="shared" si="33"/>
        <v>4124.8732819818169</v>
      </c>
      <c r="H241" s="16">
        <f t="shared" si="34"/>
        <v>7.0000000000000007E-2</v>
      </c>
      <c r="I241" s="18">
        <f t="shared" si="38"/>
        <v>496737.62260614231</v>
      </c>
      <c r="J241" s="18">
        <f t="shared" si="39"/>
        <v>1387399.0437413028</v>
      </c>
      <c r="K241" s="18">
        <f t="shared" si="35"/>
        <v>703262.37739385734</v>
      </c>
      <c r="L241" s="18">
        <f t="shared" si="36"/>
        <v>1884136.666347445</v>
      </c>
    </row>
    <row r="242" spans="1:12" x14ac:dyDescent="0.3">
      <c r="A242">
        <v>237</v>
      </c>
      <c r="B242" s="17">
        <v>52048</v>
      </c>
      <c r="C242" s="18">
        <f t="shared" si="37"/>
        <v>703262.37739385734</v>
      </c>
      <c r="D242" s="18">
        <f t="shared" si="30"/>
        <v>7983.6299421501908</v>
      </c>
      <c r="E242" s="18">
        <f t="shared" si="31"/>
        <v>3881.266074019356</v>
      </c>
      <c r="F242" s="16">
        <f t="shared" si="32"/>
        <v>6.6227334754960371E-2</v>
      </c>
      <c r="G242" s="18">
        <f t="shared" si="33"/>
        <v>4102.3638681308348</v>
      </c>
      <c r="H242" s="16">
        <f t="shared" si="34"/>
        <v>7.0000000000000007E-2</v>
      </c>
      <c r="I242" s="18">
        <f t="shared" si="38"/>
        <v>500618.88868016168</v>
      </c>
      <c r="J242" s="18">
        <f t="shared" si="39"/>
        <v>1391501.4076094336</v>
      </c>
      <c r="K242" s="18">
        <f t="shared" si="35"/>
        <v>699381.11131983798</v>
      </c>
      <c r="L242" s="18">
        <f t="shared" si="36"/>
        <v>1892120.2962895953</v>
      </c>
    </row>
    <row r="243" spans="1:12" x14ac:dyDescent="0.3">
      <c r="A243">
        <v>238</v>
      </c>
      <c r="B243" s="17">
        <v>52079</v>
      </c>
      <c r="C243" s="18">
        <f t="shared" si="37"/>
        <v>699381.11131983798</v>
      </c>
      <c r="D243" s="18">
        <f t="shared" si="30"/>
        <v>7983.6299421501908</v>
      </c>
      <c r="E243" s="18">
        <f t="shared" si="31"/>
        <v>3903.906792784469</v>
      </c>
      <c r="F243" s="16">
        <f t="shared" si="32"/>
        <v>6.6983338204554127E-2</v>
      </c>
      <c r="G243" s="18">
        <f t="shared" si="33"/>
        <v>4079.7231493657218</v>
      </c>
      <c r="H243" s="16">
        <f t="shared" si="34"/>
        <v>7.0000000000000007E-2</v>
      </c>
      <c r="I243" s="18">
        <f t="shared" si="38"/>
        <v>504522.79547294613</v>
      </c>
      <c r="J243" s="18">
        <f t="shared" si="39"/>
        <v>1395581.1307587994</v>
      </c>
      <c r="K243" s="18">
        <f t="shared" si="35"/>
        <v>695477.20452705352</v>
      </c>
      <c r="L243" s="18">
        <f t="shared" si="36"/>
        <v>1900103.9262317456</v>
      </c>
    </row>
    <row r="244" spans="1:12" x14ac:dyDescent="0.3">
      <c r="A244">
        <v>239</v>
      </c>
      <c r="B244" s="17">
        <v>52110</v>
      </c>
      <c r="C244" s="18">
        <f t="shared" si="37"/>
        <v>695477.20452705352</v>
      </c>
      <c r="D244" s="18">
        <f t="shared" si="30"/>
        <v>7983.6299421501908</v>
      </c>
      <c r="E244" s="18">
        <f t="shared" si="31"/>
        <v>3926.679582409045</v>
      </c>
      <c r="F244" s="16">
        <f t="shared" si="32"/>
        <v>6.7752263743786886E-2</v>
      </c>
      <c r="G244" s="18">
        <f t="shared" si="33"/>
        <v>4056.9503597411458</v>
      </c>
      <c r="H244" s="16">
        <f t="shared" si="34"/>
        <v>7.0000000000000007E-2</v>
      </c>
      <c r="I244" s="18">
        <f t="shared" si="38"/>
        <v>508449.47505535517</v>
      </c>
      <c r="J244" s="18">
        <f t="shared" si="39"/>
        <v>1399638.0811185406</v>
      </c>
      <c r="K244" s="18">
        <f t="shared" si="35"/>
        <v>691550.52494464442</v>
      </c>
      <c r="L244" s="18">
        <f t="shared" si="36"/>
        <v>1908087.5561738957</v>
      </c>
    </row>
    <row r="245" spans="1:12" x14ac:dyDescent="0.3">
      <c r="A245">
        <v>240</v>
      </c>
      <c r="B245" s="17">
        <v>52140</v>
      </c>
      <c r="C245" s="18">
        <f t="shared" si="37"/>
        <v>691550.52494464442</v>
      </c>
      <c r="D245" s="18">
        <f t="shared" si="30"/>
        <v>7983.6299421501908</v>
      </c>
      <c r="E245" s="18">
        <f t="shared" si="31"/>
        <v>3949.5852133064313</v>
      </c>
      <c r="F245" s="16">
        <f t="shared" si="32"/>
        <v>6.8534432192746783E-2</v>
      </c>
      <c r="G245" s="18">
        <f t="shared" si="33"/>
        <v>4034.0447288437595</v>
      </c>
      <c r="H245" s="16">
        <f t="shared" si="34"/>
        <v>7.0000000000000007E-2</v>
      </c>
      <c r="I245" s="18">
        <f t="shared" si="38"/>
        <v>512399.06026866159</v>
      </c>
      <c r="J245" s="18">
        <f t="shared" si="39"/>
        <v>1403672.1258473843</v>
      </c>
      <c r="K245" s="18">
        <f t="shared" si="35"/>
        <v>687600.93973133794</v>
      </c>
      <c r="L245" s="18">
        <f t="shared" si="36"/>
        <v>1916071.1861160458</v>
      </c>
    </row>
    <row r="246" spans="1:12" x14ac:dyDescent="0.3">
      <c r="A246">
        <v>241</v>
      </c>
      <c r="B246" s="17">
        <v>52171</v>
      </c>
      <c r="C246" s="18">
        <f t="shared" si="37"/>
        <v>687600.93973133794</v>
      </c>
      <c r="D246" s="18">
        <f t="shared" si="30"/>
        <v>7983.6299421501908</v>
      </c>
      <c r="E246" s="18">
        <f t="shared" si="31"/>
        <v>3972.6244603840528</v>
      </c>
      <c r="F246" s="16">
        <f t="shared" si="32"/>
        <v>6.9330175062347968E-2</v>
      </c>
      <c r="G246" s="18">
        <f t="shared" si="33"/>
        <v>4011.005481766138</v>
      </c>
      <c r="H246" s="16">
        <f t="shared" si="34"/>
        <v>7.0000000000000007E-2</v>
      </c>
      <c r="I246" s="18">
        <f t="shared" si="38"/>
        <v>516371.68472904566</v>
      </c>
      <c r="J246" s="18">
        <f t="shared" si="39"/>
        <v>1407683.1313291504</v>
      </c>
      <c r="K246" s="18">
        <f t="shared" si="35"/>
        <v>683628.31527095393</v>
      </c>
      <c r="L246" s="18">
        <f t="shared" si="36"/>
        <v>1924054.8160581961</v>
      </c>
    </row>
    <row r="247" spans="1:12" x14ac:dyDescent="0.3">
      <c r="A247">
        <v>242</v>
      </c>
      <c r="B247" s="17">
        <v>52201</v>
      </c>
      <c r="C247" s="18">
        <f t="shared" si="37"/>
        <v>683628.31527095393</v>
      </c>
      <c r="D247" s="18">
        <f t="shared" si="30"/>
        <v>7983.6299421501908</v>
      </c>
      <c r="E247" s="18">
        <f t="shared" si="31"/>
        <v>3995.798103069626</v>
      </c>
      <c r="F247" s="16">
        <f t="shared" si="32"/>
        <v>7.0139835003514811E-2</v>
      </c>
      <c r="G247" s="18">
        <f t="shared" si="33"/>
        <v>3987.8318390805648</v>
      </c>
      <c r="H247" s="16">
        <f t="shared" si="34"/>
        <v>7.0000000000000007E-2</v>
      </c>
      <c r="I247" s="18">
        <f t="shared" si="38"/>
        <v>520367.48283211532</v>
      </c>
      <c r="J247" s="18">
        <f t="shared" si="39"/>
        <v>1411670.9631682311</v>
      </c>
      <c r="K247" s="18">
        <f t="shared" si="35"/>
        <v>679632.51716788427</v>
      </c>
      <c r="L247" s="18">
        <f t="shared" si="36"/>
        <v>1932038.4460003464</v>
      </c>
    </row>
    <row r="248" spans="1:12" x14ac:dyDescent="0.3">
      <c r="A248">
        <v>243</v>
      </c>
      <c r="B248" s="17">
        <v>52232</v>
      </c>
      <c r="C248" s="18">
        <f t="shared" si="37"/>
        <v>679632.51716788427</v>
      </c>
      <c r="D248" s="18">
        <f t="shared" si="30"/>
        <v>7983.6299421501908</v>
      </c>
      <c r="E248" s="18">
        <f t="shared" si="31"/>
        <v>4019.1069253375322</v>
      </c>
      <c r="F248" s="16">
        <f t="shared" si="32"/>
        <v>7.0963766279206281E-2</v>
      </c>
      <c r="G248" s="18">
        <f t="shared" si="33"/>
        <v>3964.5230168126586</v>
      </c>
      <c r="H248" s="16">
        <f t="shared" si="34"/>
        <v>7.0000000000000007E-2</v>
      </c>
      <c r="I248" s="18">
        <f t="shared" si="38"/>
        <v>524386.58975745284</v>
      </c>
      <c r="J248" s="18">
        <f t="shared" si="39"/>
        <v>1415635.4861850438</v>
      </c>
      <c r="K248" s="18">
        <f t="shared" si="35"/>
        <v>675613.4102425467</v>
      </c>
      <c r="L248" s="18">
        <f t="shared" si="36"/>
        <v>1940022.0759424968</v>
      </c>
    </row>
    <row r="249" spans="1:12" x14ac:dyDescent="0.3">
      <c r="A249">
        <v>244</v>
      </c>
      <c r="B249" s="17">
        <v>52263</v>
      </c>
      <c r="C249" s="18">
        <f t="shared" si="37"/>
        <v>675613.4102425467</v>
      </c>
      <c r="D249" s="18">
        <f t="shared" si="30"/>
        <v>7983.6299421501908</v>
      </c>
      <c r="E249" s="18">
        <f t="shared" si="31"/>
        <v>4042.5517157353347</v>
      </c>
      <c r="F249" s="16">
        <f t="shared" si="32"/>
        <v>7.1802335260646472E-2</v>
      </c>
      <c r="G249" s="18">
        <f t="shared" si="33"/>
        <v>3941.0782264148561</v>
      </c>
      <c r="H249" s="16">
        <f t="shared" si="34"/>
        <v>7.0000000000000007E-2</v>
      </c>
      <c r="I249" s="18">
        <f t="shared" si="38"/>
        <v>528429.14147318818</v>
      </c>
      <c r="J249" s="18">
        <f t="shared" si="39"/>
        <v>1419576.5644114586</v>
      </c>
      <c r="K249" s="18">
        <f t="shared" si="35"/>
        <v>671570.85852681135</v>
      </c>
      <c r="L249" s="18">
        <f t="shared" si="36"/>
        <v>1948005.7058846466</v>
      </c>
    </row>
    <row r="250" spans="1:12" x14ac:dyDescent="0.3">
      <c r="A250">
        <v>245</v>
      </c>
      <c r="B250" s="17">
        <v>52291</v>
      </c>
      <c r="C250" s="18">
        <f t="shared" si="37"/>
        <v>671570.85852681135</v>
      </c>
      <c r="D250" s="18">
        <f t="shared" si="30"/>
        <v>7983.6299421501908</v>
      </c>
      <c r="E250" s="18">
        <f t="shared" si="31"/>
        <v>4066.1332674104578</v>
      </c>
      <c r="F250" s="16">
        <f t="shared" si="32"/>
        <v>7.2655920949222505E-2</v>
      </c>
      <c r="G250" s="18">
        <f t="shared" si="33"/>
        <v>3917.496674739733</v>
      </c>
      <c r="H250" s="16">
        <f t="shared" si="34"/>
        <v>7.0000000000000007E-2</v>
      </c>
      <c r="I250" s="18">
        <f t="shared" si="38"/>
        <v>532495.27474059863</v>
      </c>
      <c r="J250" s="18">
        <f t="shared" si="39"/>
        <v>1423494.0610861983</v>
      </c>
      <c r="K250" s="18">
        <f t="shared" si="35"/>
        <v>667504.7252594009</v>
      </c>
      <c r="L250" s="18">
        <f t="shared" si="36"/>
        <v>1955989.3358267969</v>
      </c>
    </row>
    <row r="251" spans="1:12" x14ac:dyDescent="0.3">
      <c r="A251">
        <v>246</v>
      </c>
      <c r="B251" s="17">
        <v>52322</v>
      </c>
      <c r="C251" s="18">
        <f t="shared" si="37"/>
        <v>667504.7252594009</v>
      </c>
      <c r="D251" s="18">
        <f t="shared" si="30"/>
        <v>7983.6299421501908</v>
      </c>
      <c r="E251" s="18">
        <f t="shared" si="31"/>
        <v>4089.8523781370186</v>
      </c>
      <c r="F251" s="16">
        <f t="shared" si="32"/>
        <v>7.3524915525611884E-2</v>
      </c>
      <c r="G251" s="18">
        <f t="shared" si="33"/>
        <v>3893.7775640131722</v>
      </c>
      <c r="H251" s="16">
        <f t="shared" si="34"/>
        <v>7.0000000000000007E-2</v>
      </c>
      <c r="I251" s="18">
        <f t="shared" si="38"/>
        <v>536585.12711873569</v>
      </c>
      <c r="J251" s="18">
        <f t="shared" si="39"/>
        <v>1427387.8386502115</v>
      </c>
      <c r="K251" s="18">
        <f t="shared" si="35"/>
        <v>663414.87288126384</v>
      </c>
      <c r="L251" s="18">
        <f t="shared" si="36"/>
        <v>1963972.9657689473</v>
      </c>
    </row>
    <row r="252" spans="1:12" x14ac:dyDescent="0.3">
      <c r="A252">
        <v>247</v>
      </c>
      <c r="B252" s="17">
        <v>52352</v>
      </c>
      <c r="C252" s="18">
        <f t="shared" si="37"/>
        <v>663414.87288126384</v>
      </c>
      <c r="D252" s="18">
        <f t="shared" si="30"/>
        <v>7983.6299421501908</v>
      </c>
      <c r="E252" s="18">
        <f t="shared" si="31"/>
        <v>4113.7098503428188</v>
      </c>
      <c r="F252" s="16">
        <f t="shared" si="32"/>
        <v>7.4409724927811421E-2</v>
      </c>
      <c r="G252" s="18">
        <f t="shared" si="33"/>
        <v>3869.9200918073725</v>
      </c>
      <c r="H252" s="16">
        <f t="shared" si="34"/>
        <v>7.0000000000000007E-2</v>
      </c>
      <c r="I252" s="18">
        <f t="shared" si="38"/>
        <v>540698.83696907852</v>
      </c>
      <c r="J252" s="18">
        <f t="shared" si="39"/>
        <v>1431257.7587420188</v>
      </c>
      <c r="K252" s="18">
        <f t="shared" si="35"/>
        <v>659301.16303092102</v>
      </c>
      <c r="L252" s="18">
        <f t="shared" si="36"/>
        <v>1971956.5957110974</v>
      </c>
    </row>
    <row r="253" spans="1:12" x14ac:dyDescent="0.3">
      <c r="A253">
        <v>248</v>
      </c>
      <c r="B253" s="17">
        <v>52383</v>
      </c>
      <c r="C253" s="18">
        <f t="shared" si="37"/>
        <v>659301.16303092102</v>
      </c>
      <c r="D253" s="18">
        <f t="shared" si="30"/>
        <v>7983.6299421501908</v>
      </c>
      <c r="E253" s="18">
        <f t="shared" si="31"/>
        <v>4137.7064911364851</v>
      </c>
      <c r="F253" s="16">
        <f t="shared" si="32"/>
        <v>7.5310769459857804E-2</v>
      </c>
      <c r="G253" s="18">
        <f t="shared" si="33"/>
        <v>3845.9234510137062</v>
      </c>
      <c r="H253" s="16">
        <f t="shared" si="34"/>
        <v>7.0000000000000007E-2</v>
      </c>
      <c r="I253" s="18">
        <f t="shared" si="38"/>
        <v>544836.54346021498</v>
      </c>
      <c r="J253" s="18">
        <f t="shared" si="39"/>
        <v>1435103.6821930325</v>
      </c>
      <c r="K253" s="18">
        <f t="shared" si="35"/>
        <v>655163.45653978456</v>
      </c>
      <c r="L253" s="18">
        <f t="shared" si="36"/>
        <v>1979940.2256532474</v>
      </c>
    </row>
    <row r="254" spans="1:12" x14ac:dyDescent="0.3">
      <c r="A254">
        <v>249</v>
      </c>
      <c r="B254" s="17">
        <v>52413</v>
      </c>
      <c r="C254" s="18">
        <f t="shared" si="37"/>
        <v>655163.45653978456</v>
      </c>
      <c r="D254" s="18">
        <f t="shared" si="30"/>
        <v>7983.6299421501908</v>
      </c>
      <c r="E254" s="18">
        <f t="shared" si="31"/>
        <v>4161.8431123347809</v>
      </c>
      <c r="F254" s="16">
        <f t="shared" si="32"/>
        <v>7.6228484433158633E-2</v>
      </c>
      <c r="G254" s="18">
        <f t="shared" si="33"/>
        <v>3821.7868298154099</v>
      </c>
      <c r="H254" s="16">
        <f t="shared" si="34"/>
        <v>7.0000000000000007E-2</v>
      </c>
      <c r="I254" s="18">
        <f t="shared" si="38"/>
        <v>548998.3865725497</v>
      </c>
      <c r="J254" s="18">
        <f t="shared" si="39"/>
        <v>1438925.4690228479</v>
      </c>
      <c r="K254" s="18">
        <f t="shared" si="35"/>
        <v>651001.61342744983</v>
      </c>
      <c r="L254" s="18">
        <f t="shared" si="36"/>
        <v>1987923.8555953978</v>
      </c>
    </row>
    <row r="255" spans="1:12" x14ac:dyDescent="0.3">
      <c r="A255">
        <v>250</v>
      </c>
      <c r="B255" s="17">
        <v>52444</v>
      </c>
      <c r="C255" s="18">
        <f t="shared" si="37"/>
        <v>651001.61342744983</v>
      </c>
      <c r="D255" s="18">
        <f t="shared" si="30"/>
        <v>7983.6299421501908</v>
      </c>
      <c r="E255" s="18">
        <f t="shared" si="31"/>
        <v>4186.1205304900668</v>
      </c>
      <c r="F255" s="16">
        <f t="shared" si="32"/>
        <v>7.7163320842489752E-2</v>
      </c>
      <c r="G255" s="18">
        <f t="shared" si="33"/>
        <v>3797.509411660124</v>
      </c>
      <c r="H255" s="16">
        <f t="shared" si="34"/>
        <v>7.0000000000000007E-2</v>
      </c>
      <c r="I255" s="18">
        <f t="shared" si="38"/>
        <v>553184.50710303977</v>
      </c>
      <c r="J255" s="18">
        <f t="shared" si="39"/>
        <v>1442722.978434508</v>
      </c>
      <c r="K255" s="18">
        <f t="shared" si="35"/>
        <v>646815.49289695977</v>
      </c>
      <c r="L255" s="18">
        <f t="shared" si="36"/>
        <v>1995907.4855375476</v>
      </c>
    </row>
    <row r="256" spans="1:12" x14ac:dyDescent="0.3">
      <c r="A256">
        <v>251</v>
      </c>
      <c r="B256" s="17">
        <v>52475</v>
      </c>
      <c r="C256" s="18">
        <f t="shared" si="37"/>
        <v>646815.49289695977</v>
      </c>
      <c r="D256" s="18">
        <f t="shared" si="30"/>
        <v>7983.6299421501908</v>
      </c>
      <c r="E256" s="18">
        <f t="shared" si="31"/>
        <v>4210.5395669179252</v>
      </c>
      <c r="F256" s="16">
        <f t="shared" si="32"/>
        <v>7.8115746078865442E-2</v>
      </c>
      <c r="G256" s="18">
        <f t="shared" si="33"/>
        <v>3773.0903752322656</v>
      </c>
      <c r="H256" s="16">
        <f t="shared" si="34"/>
        <v>7.0000000000000007E-2</v>
      </c>
      <c r="I256" s="18">
        <f t="shared" si="38"/>
        <v>557395.04666995769</v>
      </c>
      <c r="J256" s="18">
        <f t="shared" si="39"/>
        <v>1446496.0688097402</v>
      </c>
      <c r="K256" s="18">
        <f t="shared" si="35"/>
        <v>642604.95333004184</v>
      </c>
      <c r="L256" s="18">
        <f t="shared" si="36"/>
        <v>2003891.1154796979</v>
      </c>
    </row>
    <row r="257" spans="1:12" x14ac:dyDescent="0.3">
      <c r="A257">
        <v>252</v>
      </c>
      <c r="B257" s="17">
        <v>52505</v>
      </c>
      <c r="C257" s="18">
        <f t="shared" si="37"/>
        <v>642604.95333004184</v>
      </c>
      <c r="D257" s="18">
        <f t="shared" si="30"/>
        <v>7983.6299421501908</v>
      </c>
      <c r="E257" s="18">
        <f t="shared" si="31"/>
        <v>4235.1010477249465</v>
      </c>
      <c r="F257" s="16">
        <f t="shared" si="32"/>
        <v>7.9086244681649043E-2</v>
      </c>
      <c r="G257" s="18">
        <f t="shared" si="33"/>
        <v>3748.5288944252443</v>
      </c>
      <c r="H257" s="16">
        <f t="shared" si="34"/>
        <v>7.0000000000000007E-2</v>
      </c>
      <c r="I257" s="18">
        <f t="shared" si="38"/>
        <v>561630.14771768264</v>
      </c>
      <c r="J257" s="18">
        <f t="shared" si="39"/>
        <v>1450244.5977041654</v>
      </c>
      <c r="K257" s="18">
        <f t="shared" si="35"/>
        <v>638369.85228231689</v>
      </c>
      <c r="L257" s="18">
        <f t="shared" si="36"/>
        <v>2011874.745421848</v>
      </c>
    </row>
    <row r="258" spans="1:12" x14ac:dyDescent="0.3">
      <c r="A258">
        <v>253</v>
      </c>
      <c r="B258" s="17">
        <v>52536</v>
      </c>
      <c r="C258" s="18">
        <f t="shared" si="37"/>
        <v>638369.85228231689</v>
      </c>
      <c r="D258" s="18">
        <f t="shared" si="30"/>
        <v>7983.6299421501908</v>
      </c>
      <c r="E258" s="18">
        <f t="shared" si="31"/>
        <v>4259.8058038366753</v>
      </c>
      <c r="F258" s="16">
        <f t="shared" si="32"/>
        <v>8.0075319132447836E-2</v>
      </c>
      <c r="G258" s="18">
        <f t="shared" si="33"/>
        <v>3723.8241383135155</v>
      </c>
      <c r="H258" s="16">
        <f t="shared" si="34"/>
        <v>7.0000000000000007E-2</v>
      </c>
      <c r="I258" s="18">
        <f t="shared" si="38"/>
        <v>565889.95352151932</v>
      </c>
      <c r="J258" s="18">
        <f t="shared" si="39"/>
        <v>1453968.4218424789</v>
      </c>
      <c r="K258" s="18">
        <f t="shared" si="35"/>
        <v>634110.04647848022</v>
      </c>
      <c r="L258" s="18">
        <f t="shared" si="36"/>
        <v>2019858.3753639981</v>
      </c>
    </row>
    <row r="259" spans="1:12" x14ac:dyDescent="0.3">
      <c r="A259">
        <v>254</v>
      </c>
      <c r="B259" s="17">
        <v>52566</v>
      </c>
      <c r="C259" s="18">
        <f t="shared" si="37"/>
        <v>634110.04647848022</v>
      </c>
      <c r="D259" s="18">
        <f t="shared" si="30"/>
        <v>7983.6299421501908</v>
      </c>
      <c r="E259" s="18">
        <f t="shared" si="31"/>
        <v>4284.6546710257226</v>
      </c>
      <c r="F259" s="16">
        <f t="shared" si="32"/>
        <v>8.108349069352519E-2</v>
      </c>
      <c r="G259" s="18">
        <f t="shared" si="33"/>
        <v>3698.9752711244682</v>
      </c>
      <c r="H259" s="16">
        <f t="shared" si="34"/>
        <v>7.0000000000000007E-2</v>
      </c>
      <c r="I259" s="18">
        <f t="shared" si="38"/>
        <v>570174.60819254501</v>
      </c>
      <c r="J259" s="18">
        <f t="shared" si="39"/>
        <v>1457667.3971136033</v>
      </c>
      <c r="K259" s="18">
        <f t="shared" si="35"/>
        <v>629825.39180745452</v>
      </c>
      <c r="L259" s="18">
        <f t="shared" si="36"/>
        <v>2027842.0053061484</v>
      </c>
    </row>
    <row r="260" spans="1:12" x14ac:dyDescent="0.3">
      <c r="A260">
        <v>255</v>
      </c>
      <c r="B260" s="17">
        <v>52597</v>
      </c>
      <c r="C260" s="18">
        <f t="shared" si="37"/>
        <v>629825.39180745452</v>
      </c>
      <c r="D260" s="18">
        <f t="shared" si="30"/>
        <v>7983.6299421501908</v>
      </c>
      <c r="E260" s="18">
        <f t="shared" si="31"/>
        <v>4309.6484899400393</v>
      </c>
      <c r="F260" s="16">
        <f t="shared" si="32"/>
        <v>8.2111300293670336E-2</v>
      </c>
      <c r="G260" s="18">
        <f t="shared" si="33"/>
        <v>3673.9814522101515</v>
      </c>
      <c r="H260" s="16">
        <f t="shared" si="34"/>
        <v>7.0000000000000007E-2</v>
      </c>
      <c r="I260" s="18">
        <f t="shared" si="38"/>
        <v>574484.25668248511</v>
      </c>
      <c r="J260" s="18">
        <f t="shared" si="39"/>
        <v>1461341.3785658134</v>
      </c>
      <c r="K260" s="18">
        <f t="shared" si="35"/>
        <v>625515.74331751443</v>
      </c>
      <c r="L260" s="18">
        <f t="shared" si="36"/>
        <v>2035825.6352482985</v>
      </c>
    </row>
    <row r="261" spans="1:12" x14ac:dyDescent="0.3">
      <c r="A261">
        <v>256</v>
      </c>
      <c r="B261" s="17">
        <v>52628</v>
      </c>
      <c r="C261" s="18">
        <f t="shared" si="37"/>
        <v>625515.74331751443</v>
      </c>
      <c r="D261" s="18">
        <f t="shared" si="30"/>
        <v>7983.6299421501908</v>
      </c>
      <c r="E261" s="18">
        <f t="shared" si="31"/>
        <v>4334.7881061313565</v>
      </c>
      <c r="F261" s="16">
        <f t="shared" si="32"/>
        <v>8.3159309464689191E-2</v>
      </c>
      <c r="G261" s="18">
        <f t="shared" si="33"/>
        <v>3648.8418360188343</v>
      </c>
      <c r="H261" s="16">
        <f t="shared" si="34"/>
        <v>7.0000000000000007E-2</v>
      </c>
      <c r="I261" s="18">
        <f t="shared" si="38"/>
        <v>578819.04478861648</v>
      </c>
      <c r="J261" s="18">
        <f t="shared" si="39"/>
        <v>1464990.2204018321</v>
      </c>
      <c r="K261" s="18">
        <f t="shared" si="35"/>
        <v>621180.95521138306</v>
      </c>
      <c r="L261" s="18">
        <f t="shared" si="36"/>
        <v>2043809.2651904486</v>
      </c>
    </row>
    <row r="262" spans="1:12" x14ac:dyDescent="0.3">
      <c r="A262">
        <v>257</v>
      </c>
      <c r="B262" s="17">
        <v>52657</v>
      </c>
      <c r="C262" s="18">
        <f t="shared" si="37"/>
        <v>621180.95521138306</v>
      </c>
      <c r="D262" s="18">
        <f t="shared" si="30"/>
        <v>7983.6299421501908</v>
      </c>
      <c r="E262" s="18">
        <f t="shared" si="31"/>
        <v>4360.0743700837893</v>
      </c>
      <c r="F262" s="16">
        <f t="shared" si="32"/>
        <v>8.4228101331923599E-2</v>
      </c>
      <c r="G262" s="18">
        <f t="shared" si="33"/>
        <v>3623.5555720664015</v>
      </c>
      <c r="H262" s="16">
        <f t="shared" si="34"/>
        <v>7.0000000000000007E-2</v>
      </c>
      <c r="I262" s="18">
        <f t="shared" si="38"/>
        <v>583179.11915870022</v>
      </c>
      <c r="J262" s="18">
        <f t="shared" si="39"/>
        <v>1468613.7759738986</v>
      </c>
      <c r="K262" s="18">
        <f t="shared" si="35"/>
        <v>616820.88084129931</v>
      </c>
      <c r="L262" s="18">
        <f t="shared" si="36"/>
        <v>2051792.8951325989</v>
      </c>
    </row>
    <row r="263" spans="1:12" x14ac:dyDescent="0.3">
      <c r="A263">
        <v>258</v>
      </c>
      <c r="B263" s="17">
        <v>52688</v>
      </c>
      <c r="C263" s="18">
        <f t="shared" si="37"/>
        <v>616820.88084129931</v>
      </c>
      <c r="D263" s="18">
        <f t="shared" ref="D263:D326" si="40">$C$6/((($E$2)-1)/($E$1*$E$2))</f>
        <v>7983.6299421501908</v>
      </c>
      <c r="E263" s="18">
        <f t="shared" ref="E263:E326" si="41">D263-G263</f>
        <v>4385.5081372426112</v>
      </c>
      <c r="F263" s="16">
        <f t="shared" ref="F263:F326" si="42">(E263/C263)*12</f>
        <v>8.5318281662470838E-2</v>
      </c>
      <c r="G263" s="18">
        <f t="shared" ref="G263:G326" si="43">C263*($B$1/12)</f>
        <v>3598.1218049075796</v>
      </c>
      <c r="H263" s="16">
        <f t="shared" ref="H263:H326" si="44">(G263/C263)*12</f>
        <v>7.0000000000000007E-2</v>
      </c>
      <c r="I263" s="18">
        <f t="shared" si="38"/>
        <v>587564.62729594286</v>
      </c>
      <c r="J263" s="18">
        <f t="shared" si="39"/>
        <v>1472211.8977788063</v>
      </c>
      <c r="K263" s="18">
        <f t="shared" ref="K263:K326" si="45">C263-E263</f>
        <v>612435.37270405667</v>
      </c>
      <c r="L263" s="18">
        <f t="shared" ref="L263:L326" si="46">I263+J263</f>
        <v>2059776.5250747493</v>
      </c>
    </row>
    <row r="264" spans="1:12" x14ac:dyDescent="0.3">
      <c r="A264">
        <v>259</v>
      </c>
      <c r="B264" s="17">
        <v>52718</v>
      </c>
      <c r="C264" s="18">
        <f t="shared" ref="C264:C327" si="47">K263</f>
        <v>612435.37270405667</v>
      </c>
      <c r="D264" s="18">
        <f t="shared" si="40"/>
        <v>7983.6299421501908</v>
      </c>
      <c r="E264" s="18">
        <f t="shared" si="41"/>
        <v>4411.0902680431936</v>
      </c>
      <c r="F264" s="16">
        <f t="shared" si="42"/>
        <v>8.6430479975063174E-2</v>
      </c>
      <c r="G264" s="18">
        <f t="shared" si="43"/>
        <v>3572.5396741069976</v>
      </c>
      <c r="H264" s="16">
        <f t="shared" si="44"/>
        <v>7.0000000000000007E-2</v>
      </c>
      <c r="I264" s="18">
        <f t="shared" ref="I264:I327" si="48">I263+E264</f>
        <v>591975.71756398608</v>
      </c>
      <c r="J264" s="18">
        <f t="shared" ref="J264:J327" si="49">J263+G264</f>
        <v>1475784.4374529133</v>
      </c>
      <c r="K264" s="18">
        <f t="shared" si="45"/>
        <v>608024.28243601345</v>
      </c>
      <c r="L264" s="18">
        <f t="shared" si="46"/>
        <v>2067760.1550168993</v>
      </c>
    </row>
    <row r="265" spans="1:12" x14ac:dyDescent="0.3">
      <c r="A265">
        <v>260</v>
      </c>
      <c r="B265" s="17">
        <v>52749</v>
      </c>
      <c r="C265" s="18">
        <f t="shared" si="47"/>
        <v>608024.28243601345</v>
      </c>
      <c r="D265" s="18">
        <f t="shared" si="40"/>
        <v>7983.6299421501908</v>
      </c>
      <c r="E265" s="18">
        <f t="shared" si="41"/>
        <v>4436.8216279401122</v>
      </c>
      <c r="F265" s="16">
        <f t="shared" si="42"/>
        <v>8.756535071588091E-2</v>
      </c>
      <c r="G265" s="18">
        <f t="shared" si="43"/>
        <v>3546.8083142100786</v>
      </c>
      <c r="H265" s="16">
        <f t="shared" si="44"/>
        <v>7.0000000000000007E-2</v>
      </c>
      <c r="I265" s="18">
        <f t="shared" si="48"/>
        <v>596412.53919192625</v>
      </c>
      <c r="J265" s="18">
        <f t="shared" si="49"/>
        <v>1479331.2457671233</v>
      </c>
      <c r="K265" s="18">
        <f t="shared" si="45"/>
        <v>603587.46080807329</v>
      </c>
      <c r="L265" s="18">
        <f t="shared" si="46"/>
        <v>2075743.7849590494</v>
      </c>
    </row>
    <row r="266" spans="1:12" x14ac:dyDescent="0.3">
      <c r="A266">
        <v>261</v>
      </c>
      <c r="B266" s="17">
        <v>52779</v>
      </c>
      <c r="C266" s="18">
        <f t="shared" si="47"/>
        <v>603587.46080807329</v>
      </c>
      <c r="D266" s="18">
        <f t="shared" si="40"/>
        <v>7983.6299421501908</v>
      </c>
      <c r="E266" s="18">
        <f t="shared" si="41"/>
        <v>4462.70308743643</v>
      </c>
      <c r="F266" s="16">
        <f t="shared" si="42"/>
        <v>8.872357450491436E-2</v>
      </c>
      <c r="G266" s="18">
        <f t="shared" si="43"/>
        <v>3520.9268547137608</v>
      </c>
      <c r="H266" s="16">
        <f t="shared" si="44"/>
        <v>7.0000000000000007E-2</v>
      </c>
      <c r="I266" s="18">
        <f t="shared" si="48"/>
        <v>600875.24227936263</v>
      </c>
      <c r="J266" s="18">
        <f t="shared" si="49"/>
        <v>1482852.1726218371</v>
      </c>
      <c r="K266" s="18">
        <f t="shared" si="45"/>
        <v>599124.7577206369</v>
      </c>
      <c r="L266" s="18">
        <f t="shared" si="46"/>
        <v>2083727.4149011998</v>
      </c>
    </row>
    <row r="267" spans="1:12" x14ac:dyDescent="0.3">
      <c r="A267">
        <v>262</v>
      </c>
      <c r="B267" s="17">
        <v>52810</v>
      </c>
      <c r="C267" s="18">
        <f t="shared" si="47"/>
        <v>599124.7577206369</v>
      </c>
      <c r="D267" s="18">
        <f t="shared" si="40"/>
        <v>7983.6299421501908</v>
      </c>
      <c r="E267" s="18">
        <f t="shared" si="41"/>
        <v>4488.735522113142</v>
      </c>
      <c r="F267" s="16">
        <f t="shared" si="42"/>
        <v>8.9905859457862836E-2</v>
      </c>
      <c r="G267" s="18">
        <f t="shared" si="43"/>
        <v>3494.8944200370488</v>
      </c>
      <c r="H267" s="16">
        <f t="shared" si="44"/>
        <v>7.0000000000000007E-2</v>
      </c>
      <c r="I267" s="18">
        <f t="shared" si="48"/>
        <v>605363.97780147579</v>
      </c>
      <c r="J267" s="18">
        <f t="shared" si="49"/>
        <v>1486347.0670418742</v>
      </c>
      <c r="K267" s="18">
        <f t="shared" si="45"/>
        <v>594636.02219852374</v>
      </c>
      <c r="L267" s="18">
        <f t="shared" si="46"/>
        <v>2091711.0448433501</v>
      </c>
    </row>
    <row r="268" spans="1:12" x14ac:dyDescent="0.3">
      <c r="A268">
        <v>263</v>
      </c>
      <c r="B268" s="17">
        <v>52841</v>
      </c>
      <c r="C268" s="18">
        <f t="shared" si="47"/>
        <v>594636.02219852374</v>
      </c>
      <c r="D268" s="18">
        <f t="shared" si="40"/>
        <v>7983.6299421501908</v>
      </c>
      <c r="E268" s="18">
        <f t="shared" si="41"/>
        <v>4514.9198126588017</v>
      </c>
      <c r="F268" s="16">
        <f t="shared" si="42"/>
        <v>9.1112942588966697E-2</v>
      </c>
      <c r="G268" s="18">
        <f t="shared" si="43"/>
        <v>3468.7101294913887</v>
      </c>
      <c r="H268" s="16">
        <f t="shared" si="44"/>
        <v>7.0000000000000007E-2</v>
      </c>
      <c r="I268" s="18">
        <f t="shared" si="48"/>
        <v>609878.89761413459</v>
      </c>
      <c r="J268" s="18">
        <f t="shared" si="49"/>
        <v>1489815.7771713655</v>
      </c>
      <c r="K268" s="18">
        <f t="shared" si="45"/>
        <v>590121.10238586494</v>
      </c>
      <c r="L268" s="18">
        <f t="shared" si="46"/>
        <v>2099694.6747854999</v>
      </c>
    </row>
    <row r="269" spans="1:12" x14ac:dyDescent="0.3">
      <c r="A269">
        <v>264</v>
      </c>
      <c r="B269" s="17">
        <v>52871</v>
      </c>
      <c r="C269" s="18">
        <f t="shared" si="47"/>
        <v>590121.10238586494</v>
      </c>
      <c r="D269" s="18">
        <f t="shared" si="40"/>
        <v>7983.6299421501908</v>
      </c>
      <c r="E269" s="18">
        <f t="shared" si="41"/>
        <v>4541.2568448993115</v>
      </c>
      <c r="F269" s="16">
        <f t="shared" si="42"/>
        <v>9.2345591300612068E-2</v>
      </c>
      <c r="G269" s="18">
        <f t="shared" si="43"/>
        <v>3442.3730972508788</v>
      </c>
      <c r="H269" s="16">
        <f t="shared" si="44"/>
        <v>7.0000000000000007E-2</v>
      </c>
      <c r="I269" s="18">
        <f t="shared" si="48"/>
        <v>614420.15445903386</v>
      </c>
      <c r="J269" s="18">
        <f t="shared" si="49"/>
        <v>1493258.1502686164</v>
      </c>
      <c r="K269" s="18">
        <f t="shared" si="45"/>
        <v>585579.84554096567</v>
      </c>
      <c r="L269" s="18">
        <f t="shared" si="46"/>
        <v>2107678.3047276502</v>
      </c>
    </row>
    <row r="270" spans="1:12" x14ac:dyDescent="0.3">
      <c r="A270">
        <v>265</v>
      </c>
      <c r="B270" s="17">
        <v>52902</v>
      </c>
      <c r="C270" s="18">
        <f t="shared" si="47"/>
        <v>585579.84554096567</v>
      </c>
      <c r="D270" s="18">
        <f t="shared" si="40"/>
        <v>7983.6299421501908</v>
      </c>
      <c r="E270" s="18">
        <f t="shared" si="41"/>
        <v>4567.747509827891</v>
      </c>
      <c r="F270" s="16">
        <f t="shared" si="42"/>
        <v>9.3604604966036384E-2</v>
      </c>
      <c r="G270" s="18">
        <f t="shared" si="43"/>
        <v>3415.8824323222998</v>
      </c>
      <c r="H270" s="16">
        <f t="shared" si="44"/>
        <v>7.0000000000000007E-2</v>
      </c>
      <c r="I270" s="18">
        <f t="shared" si="48"/>
        <v>618987.9019688617</v>
      </c>
      <c r="J270" s="18">
        <f t="shared" si="49"/>
        <v>1496674.0327009386</v>
      </c>
      <c r="K270" s="18">
        <f t="shared" si="45"/>
        <v>581012.09803113784</v>
      </c>
      <c r="L270" s="18">
        <f t="shared" si="46"/>
        <v>2115661.9346698001</v>
      </c>
    </row>
    <row r="271" spans="1:12" x14ac:dyDescent="0.3">
      <c r="A271">
        <v>266</v>
      </c>
      <c r="B271" s="17">
        <v>52932</v>
      </c>
      <c r="C271" s="18">
        <f t="shared" si="47"/>
        <v>581012.09803113784</v>
      </c>
      <c r="D271" s="18">
        <f t="shared" si="40"/>
        <v>7983.6299421501908</v>
      </c>
      <c r="E271" s="18">
        <f t="shared" si="41"/>
        <v>4594.3927036352197</v>
      </c>
      <c r="F271" s="16">
        <f t="shared" si="42"/>
        <v>9.4890816611994111E-2</v>
      </c>
      <c r="G271" s="18">
        <f t="shared" si="43"/>
        <v>3389.2372385149711</v>
      </c>
      <c r="H271" s="16">
        <f t="shared" si="44"/>
        <v>7.0000000000000007E-2</v>
      </c>
      <c r="I271" s="18">
        <f t="shared" si="48"/>
        <v>623582.29467249697</v>
      </c>
      <c r="J271" s="18">
        <f t="shared" si="49"/>
        <v>1500063.2699394536</v>
      </c>
      <c r="K271" s="18">
        <f t="shared" si="45"/>
        <v>576417.70532750257</v>
      </c>
      <c r="L271" s="18">
        <f t="shared" si="46"/>
        <v>2123645.5646119504</v>
      </c>
    </row>
    <row r="272" spans="1:12" x14ac:dyDescent="0.3">
      <c r="A272">
        <v>267</v>
      </c>
      <c r="B272" s="17">
        <v>52963</v>
      </c>
      <c r="C272" s="18">
        <f t="shared" si="47"/>
        <v>576417.70532750257</v>
      </c>
      <c r="D272" s="18">
        <f t="shared" si="40"/>
        <v>7983.6299421501908</v>
      </c>
      <c r="E272" s="18">
        <f t="shared" si="41"/>
        <v>4621.1933277397584</v>
      </c>
      <c r="F272" s="16">
        <f t="shared" si="42"/>
        <v>9.620509470882696E-2</v>
      </c>
      <c r="G272" s="18">
        <f t="shared" si="43"/>
        <v>3362.436614410432</v>
      </c>
      <c r="H272" s="16">
        <f t="shared" si="44"/>
        <v>7.0000000000000007E-2</v>
      </c>
      <c r="I272" s="18">
        <f t="shared" si="48"/>
        <v>628203.48800023668</v>
      </c>
      <c r="J272" s="18">
        <f t="shared" si="49"/>
        <v>1503425.7065538641</v>
      </c>
      <c r="K272" s="18">
        <f t="shared" si="45"/>
        <v>571796.51199976285</v>
      </c>
      <c r="L272" s="18">
        <f t="shared" si="46"/>
        <v>2131629.1945541007</v>
      </c>
    </row>
    <row r="273" spans="1:12" x14ac:dyDescent="0.3">
      <c r="A273">
        <v>268</v>
      </c>
      <c r="B273" s="17">
        <v>52994</v>
      </c>
      <c r="C273" s="18">
        <f t="shared" si="47"/>
        <v>571796.51199976285</v>
      </c>
      <c r="D273" s="18">
        <f t="shared" si="40"/>
        <v>7983.6299421501908</v>
      </c>
      <c r="E273" s="18">
        <f t="shared" si="41"/>
        <v>4648.1502888182404</v>
      </c>
      <c r="F273" s="16">
        <f t="shared" si="42"/>
        <v>9.7548345076022447E-2</v>
      </c>
      <c r="G273" s="18">
        <f t="shared" si="43"/>
        <v>3335.47965333195</v>
      </c>
      <c r="H273" s="16">
        <f t="shared" si="44"/>
        <v>7.0000000000000007E-2</v>
      </c>
      <c r="I273" s="18">
        <f t="shared" si="48"/>
        <v>632851.63828905497</v>
      </c>
      <c r="J273" s="18">
        <f t="shared" si="49"/>
        <v>1506761.186207196</v>
      </c>
      <c r="K273" s="18">
        <f t="shared" si="45"/>
        <v>567148.36171094456</v>
      </c>
      <c r="L273" s="18">
        <f t="shared" si="46"/>
        <v>2139612.8244962511</v>
      </c>
    </row>
    <row r="274" spans="1:12" x14ac:dyDescent="0.3">
      <c r="A274">
        <v>269</v>
      </c>
      <c r="B274" s="17">
        <v>53022</v>
      </c>
      <c r="C274" s="18">
        <f t="shared" si="47"/>
        <v>567148.36171094456</v>
      </c>
      <c r="D274" s="18">
        <f t="shared" si="40"/>
        <v>7983.6299421501908</v>
      </c>
      <c r="E274" s="18">
        <f t="shared" si="41"/>
        <v>4675.2644988363472</v>
      </c>
      <c r="F274" s="16">
        <f t="shared" si="42"/>
        <v>9.8921512912048162E-2</v>
      </c>
      <c r="G274" s="18">
        <f t="shared" si="43"/>
        <v>3308.3654433138436</v>
      </c>
      <c r="H274" s="16">
        <f t="shared" si="44"/>
        <v>7.0000000000000007E-2</v>
      </c>
      <c r="I274" s="18">
        <f t="shared" si="48"/>
        <v>637526.90278789133</v>
      </c>
      <c r="J274" s="18">
        <f t="shared" si="49"/>
        <v>1510069.5516505097</v>
      </c>
      <c r="K274" s="18">
        <f t="shared" si="45"/>
        <v>562473.0972121082</v>
      </c>
      <c r="L274" s="18">
        <f t="shared" si="46"/>
        <v>2147596.4544384009</v>
      </c>
    </row>
    <row r="275" spans="1:12" x14ac:dyDescent="0.3">
      <c r="A275">
        <v>270</v>
      </c>
      <c r="B275" s="17">
        <v>53053</v>
      </c>
      <c r="C275" s="18">
        <f t="shared" si="47"/>
        <v>562473.0972121082</v>
      </c>
      <c r="D275" s="18">
        <f t="shared" si="40"/>
        <v>7983.6299421501908</v>
      </c>
      <c r="E275" s="18">
        <f t="shared" si="41"/>
        <v>4702.5368750795596</v>
      </c>
      <c r="F275" s="16">
        <f t="shared" si="42"/>
        <v>0.10032558495802127</v>
      </c>
      <c r="G275" s="18">
        <f t="shared" si="43"/>
        <v>3281.0930670706312</v>
      </c>
      <c r="H275" s="16">
        <f t="shared" si="44"/>
        <v>7.0000000000000007E-2</v>
      </c>
      <c r="I275" s="18">
        <f t="shared" si="48"/>
        <v>642229.43966297084</v>
      </c>
      <c r="J275" s="18">
        <f t="shared" si="49"/>
        <v>1513350.6447175804</v>
      </c>
      <c r="K275" s="18">
        <f t="shared" si="45"/>
        <v>557770.5603370287</v>
      </c>
      <c r="L275" s="18">
        <f t="shared" si="46"/>
        <v>2155580.0843805512</v>
      </c>
    </row>
    <row r="276" spans="1:12" x14ac:dyDescent="0.3">
      <c r="A276">
        <v>271</v>
      </c>
      <c r="B276" s="17">
        <v>53083</v>
      </c>
      <c r="C276" s="18">
        <f t="shared" si="47"/>
        <v>557770.5603370287</v>
      </c>
      <c r="D276" s="18">
        <f t="shared" si="40"/>
        <v>7983.6299421501908</v>
      </c>
      <c r="E276" s="18">
        <f t="shared" si="41"/>
        <v>4729.9683401841903</v>
      </c>
      <c r="F276" s="16">
        <f t="shared" si="42"/>
        <v>0.10176159180562291</v>
      </c>
      <c r="G276" s="18">
        <f t="shared" si="43"/>
        <v>3253.6616019660009</v>
      </c>
      <c r="H276" s="16">
        <f t="shared" si="44"/>
        <v>7.0000000000000007E-2</v>
      </c>
      <c r="I276" s="18">
        <f t="shared" si="48"/>
        <v>646959.40800315503</v>
      </c>
      <c r="J276" s="18">
        <f t="shared" si="49"/>
        <v>1516604.3063195464</v>
      </c>
      <c r="K276" s="18">
        <f t="shared" si="45"/>
        <v>553040.59199684451</v>
      </c>
      <c r="L276" s="18">
        <f t="shared" si="46"/>
        <v>2163563.7143227016</v>
      </c>
    </row>
    <row r="277" spans="1:12" x14ac:dyDescent="0.3">
      <c r="A277">
        <v>272</v>
      </c>
      <c r="B277" s="17">
        <v>53114</v>
      </c>
      <c r="C277" s="18">
        <f t="shared" si="47"/>
        <v>553040.59199684451</v>
      </c>
      <c r="D277" s="18">
        <f t="shared" si="40"/>
        <v>7983.6299421501908</v>
      </c>
      <c r="E277" s="18">
        <f t="shared" si="41"/>
        <v>4757.5598221685977</v>
      </c>
      <c r="F277" s="16">
        <f t="shared" si="42"/>
        <v>0.10323061036060246</v>
      </c>
      <c r="G277" s="18">
        <f t="shared" si="43"/>
        <v>3226.0701199815931</v>
      </c>
      <c r="H277" s="16">
        <f t="shared" si="44"/>
        <v>7.0000000000000007E-2</v>
      </c>
      <c r="I277" s="18">
        <f t="shared" si="48"/>
        <v>651716.96782532358</v>
      </c>
      <c r="J277" s="18">
        <f t="shared" si="49"/>
        <v>1519830.3764395281</v>
      </c>
      <c r="K277" s="18">
        <f t="shared" si="45"/>
        <v>548283.03217467596</v>
      </c>
      <c r="L277" s="18">
        <f t="shared" si="46"/>
        <v>2171547.3442648519</v>
      </c>
    </row>
    <row r="278" spans="1:12" x14ac:dyDescent="0.3">
      <c r="A278">
        <v>273</v>
      </c>
      <c r="B278" s="17">
        <v>53144</v>
      </c>
      <c r="C278" s="18">
        <f t="shared" si="47"/>
        <v>548283.03217467596</v>
      </c>
      <c r="D278" s="18">
        <f t="shared" si="40"/>
        <v>7983.6299421501908</v>
      </c>
      <c r="E278" s="18">
        <f t="shared" si="41"/>
        <v>4785.3122544645812</v>
      </c>
      <c r="F278" s="16">
        <f t="shared" si="42"/>
        <v>0.10473376647424776</v>
      </c>
      <c r="G278" s="18">
        <f t="shared" si="43"/>
        <v>3198.3176876856101</v>
      </c>
      <c r="H278" s="16">
        <f t="shared" si="44"/>
        <v>7.0000000000000007E-2</v>
      </c>
      <c r="I278" s="18">
        <f t="shared" si="48"/>
        <v>656502.28007978818</v>
      </c>
      <c r="J278" s="18">
        <f t="shared" si="49"/>
        <v>1523028.6941272137</v>
      </c>
      <c r="K278" s="18">
        <f t="shared" si="45"/>
        <v>543497.71992021136</v>
      </c>
      <c r="L278" s="18">
        <f t="shared" si="46"/>
        <v>2179530.9742070017</v>
      </c>
    </row>
    <row r="279" spans="1:12" x14ac:dyDescent="0.3">
      <c r="A279">
        <v>274</v>
      </c>
      <c r="B279" s="17">
        <v>53175</v>
      </c>
      <c r="C279" s="18">
        <f t="shared" si="47"/>
        <v>543497.71992021136</v>
      </c>
      <c r="D279" s="18">
        <f t="shared" si="40"/>
        <v>7983.6299421501908</v>
      </c>
      <c r="E279" s="18">
        <f t="shared" si="41"/>
        <v>4813.2265759489583</v>
      </c>
      <c r="F279" s="16">
        <f t="shared" si="42"/>
        <v>0.10627223775633653</v>
      </c>
      <c r="G279" s="18">
        <f t="shared" si="43"/>
        <v>3170.403366201233</v>
      </c>
      <c r="H279" s="16">
        <f t="shared" si="44"/>
        <v>7.0000000000000007E-2</v>
      </c>
      <c r="I279" s="18">
        <f t="shared" si="48"/>
        <v>661315.50665573718</v>
      </c>
      <c r="J279" s="18">
        <f t="shared" si="49"/>
        <v>1526199.097493415</v>
      </c>
      <c r="K279" s="18">
        <f t="shared" si="45"/>
        <v>538684.49334426236</v>
      </c>
      <c r="L279" s="18">
        <f t="shared" si="46"/>
        <v>2187514.6041491521</v>
      </c>
    </row>
    <row r="280" spans="1:12" x14ac:dyDescent="0.3">
      <c r="A280">
        <v>275</v>
      </c>
      <c r="B280" s="17">
        <v>53206</v>
      </c>
      <c r="C280" s="18">
        <f t="shared" si="47"/>
        <v>538684.49334426236</v>
      </c>
      <c r="D280" s="18">
        <f t="shared" si="40"/>
        <v>7983.6299421501908</v>
      </c>
      <c r="E280" s="18">
        <f t="shared" si="41"/>
        <v>4841.3037309753272</v>
      </c>
      <c r="F280" s="16">
        <f t="shared" si="42"/>
        <v>0.10784725658434013</v>
      </c>
      <c r="G280" s="18">
        <f t="shared" si="43"/>
        <v>3142.3262111748641</v>
      </c>
      <c r="H280" s="16">
        <f t="shared" si="44"/>
        <v>7.0000000000000007E-2</v>
      </c>
      <c r="I280" s="18">
        <f t="shared" si="48"/>
        <v>666156.81038671255</v>
      </c>
      <c r="J280" s="18">
        <f t="shared" si="49"/>
        <v>1529341.4237045899</v>
      </c>
      <c r="K280" s="18">
        <f t="shared" si="45"/>
        <v>533843.18961328699</v>
      </c>
      <c r="L280" s="18">
        <f t="shared" si="46"/>
        <v>2195498.2340913024</v>
      </c>
    </row>
    <row r="281" spans="1:12" x14ac:dyDescent="0.3">
      <c r="A281">
        <v>276</v>
      </c>
      <c r="B281" s="17">
        <v>53236</v>
      </c>
      <c r="C281" s="18">
        <f t="shared" si="47"/>
        <v>533843.18961328699</v>
      </c>
      <c r="D281" s="18">
        <f t="shared" si="40"/>
        <v>7983.6299421501908</v>
      </c>
      <c r="E281" s="18">
        <f t="shared" si="41"/>
        <v>4869.5446694060165</v>
      </c>
      <c r="F281" s="16">
        <f t="shared" si="42"/>
        <v>0.10946011332504185</v>
      </c>
      <c r="G281" s="18">
        <f t="shared" si="43"/>
        <v>3114.0852727441743</v>
      </c>
      <c r="H281" s="16">
        <f t="shared" si="44"/>
        <v>7.0000000000000007E-2</v>
      </c>
      <c r="I281" s="18">
        <f t="shared" si="48"/>
        <v>671026.35505611857</v>
      </c>
      <c r="J281" s="18">
        <f t="shared" si="49"/>
        <v>1532455.508977334</v>
      </c>
      <c r="K281" s="18">
        <f t="shared" si="45"/>
        <v>528973.64494388097</v>
      </c>
      <c r="L281" s="18">
        <f t="shared" si="46"/>
        <v>2203481.8640334527</v>
      </c>
    </row>
    <row r="282" spans="1:12" x14ac:dyDescent="0.3">
      <c r="A282">
        <v>277</v>
      </c>
      <c r="B282" s="17">
        <v>53267</v>
      </c>
      <c r="C282" s="18">
        <f t="shared" si="47"/>
        <v>528973.64494388097</v>
      </c>
      <c r="D282" s="18">
        <f t="shared" si="40"/>
        <v>7983.6299421501908</v>
      </c>
      <c r="E282" s="18">
        <f t="shared" si="41"/>
        <v>4897.9503466442184</v>
      </c>
      <c r="F282" s="16">
        <f t="shared" si="42"/>
        <v>0.11111215978627087</v>
      </c>
      <c r="G282" s="18">
        <f t="shared" si="43"/>
        <v>3085.6795955059724</v>
      </c>
      <c r="H282" s="16">
        <f t="shared" si="44"/>
        <v>7.0000000000000007E-2</v>
      </c>
      <c r="I282" s="18">
        <f t="shared" si="48"/>
        <v>675924.30540276284</v>
      </c>
      <c r="J282" s="18">
        <f t="shared" si="49"/>
        <v>1535541.1885728401</v>
      </c>
      <c r="K282" s="18">
        <f t="shared" si="45"/>
        <v>524075.69459723675</v>
      </c>
      <c r="L282" s="18">
        <f t="shared" si="46"/>
        <v>2211465.493975603</v>
      </c>
    </row>
    <row r="283" spans="1:12" x14ac:dyDescent="0.3">
      <c r="A283">
        <v>278</v>
      </c>
      <c r="B283" s="17">
        <v>53297</v>
      </c>
      <c r="C283" s="18">
        <f t="shared" si="47"/>
        <v>524075.69459723675</v>
      </c>
      <c r="D283" s="18">
        <f t="shared" si="40"/>
        <v>7983.6299421501908</v>
      </c>
      <c r="E283" s="18">
        <f t="shared" si="41"/>
        <v>4926.5217236663102</v>
      </c>
      <c r="F283" s="16">
        <f t="shared" si="42"/>
        <v>0.11280481291815937</v>
      </c>
      <c r="G283" s="18">
        <f t="shared" si="43"/>
        <v>3057.108218483881</v>
      </c>
      <c r="H283" s="16">
        <f t="shared" si="44"/>
        <v>7.0000000000000007E-2</v>
      </c>
      <c r="I283" s="18">
        <f t="shared" si="48"/>
        <v>680850.82712642918</v>
      </c>
      <c r="J283" s="18">
        <f t="shared" si="49"/>
        <v>1538598.2967913239</v>
      </c>
      <c r="K283" s="18">
        <f t="shared" si="45"/>
        <v>519149.17287357047</v>
      </c>
      <c r="L283" s="18">
        <f t="shared" si="46"/>
        <v>2219449.1239177529</v>
      </c>
    </row>
    <row r="284" spans="1:12" x14ac:dyDescent="0.3">
      <c r="A284">
        <v>279</v>
      </c>
      <c r="B284" s="17">
        <v>53328</v>
      </c>
      <c r="C284" s="18">
        <f t="shared" si="47"/>
        <v>519149.17287357047</v>
      </c>
      <c r="D284" s="18">
        <f t="shared" si="40"/>
        <v>7983.6299421501908</v>
      </c>
      <c r="E284" s="18">
        <f t="shared" si="41"/>
        <v>4955.2597670543628</v>
      </c>
      <c r="F284" s="16">
        <f t="shared" si="42"/>
        <v>0.11453955878522326</v>
      </c>
      <c r="G284" s="18">
        <f t="shared" si="43"/>
        <v>3028.370175095828</v>
      </c>
      <c r="H284" s="16">
        <f t="shared" si="44"/>
        <v>7.0000000000000007E-2</v>
      </c>
      <c r="I284" s="18">
        <f t="shared" si="48"/>
        <v>685806.08689348353</v>
      </c>
      <c r="J284" s="18">
        <f t="shared" si="49"/>
        <v>1541626.6669664197</v>
      </c>
      <c r="K284" s="18">
        <f t="shared" si="45"/>
        <v>514193.91310651612</v>
      </c>
      <c r="L284" s="18">
        <f t="shared" si="46"/>
        <v>2227432.7538599032</v>
      </c>
    </row>
    <row r="285" spans="1:12" x14ac:dyDescent="0.3">
      <c r="A285">
        <v>280</v>
      </c>
      <c r="B285" s="17">
        <v>53359</v>
      </c>
      <c r="C285" s="18">
        <f t="shared" si="47"/>
        <v>514193.91310651612</v>
      </c>
      <c r="D285" s="18">
        <f t="shared" si="40"/>
        <v>7983.6299421501908</v>
      </c>
      <c r="E285" s="18">
        <f t="shared" si="41"/>
        <v>4984.1654490288465</v>
      </c>
      <c r="F285" s="16">
        <f t="shared" si="42"/>
        <v>0.11631795683267145</v>
      </c>
      <c r="G285" s="18">
        <f t="shared" si="43"/>
        <v>2999.4644931213443</v>
      </c>
      <c r="H285" s="16">
        <f t="shared" si="44"/>
        <v>7.0000000000000007E-2</v>
      </c>
      <c r="I285" s="18">
        <f t="shared" si="48"/>
        <v>690790.25234251237</v>
      </c>
      <c r="J285" s="18">
        <f t="shared" si="49"/>
        <v>1544626.1314595409</v>
      </c>
      <c r="K285" s="18">
        <f t="shared" si="45"/>
        <v>509209.74765748729</v>
      </c>
      <c r="L285" s="18">
        <f t="shared" si="46"/>
        <v>2235416.3838020535</v>
      </c>
    </row>
    <row r="286" spans="1:12" x14ac:dyDescent="0.3">
      <c r="A286">
        <v>281</v>
      </c>
      <c r="B286" s="17">
        <v>53387</v>
      </c>
      <c r="C286" s="18">
        <f t="shared" si="47"/>
        <v>509209.74765748729</v>
      </c>
      <c r="D286" s="18">
        <f t="shared" si="40"/>
        <v>7983.6299421501908</v>
      </c>
      <c r="E286" s="18">
        <f t="shared" si="41"/>
        <v>5013.2397474815152</v>
      </c>
      <c r="F286" s="16">
        <f t="shared" si="42"/>
        <v>0.1181416444726883</v>
      </c>
      <c r="G286" s="18">
        <f t="shared" si="43"/>
        <v>2970.390194668676</v>
      </c>
      <c r="H286" s="16">
        <f t="shared" si="44"/>
        <v>7.0000000000000007E-2</v>
      </c>
      <c r="I286" s="18">
        <f t="shared" si="48"/>
        <v>695803.4920899939</v>
      </c>
      <c r="J286" s="18">
        <f t="shared" si="49"/>
        <v>1547596.5216542096</v>
      </c>
      <c r="K286" s="18">
        <f t="shared" si="45"/>
        <v>504196.50791000575</v>
      </c>
      <c r="L286" s="18">
        <f t="shared" si="46"/>
        <v>2243400.0137442034</v>
      </c>
    </row>
    <row r="287" spans="1:12" x14ac:dyDescent="0.3">
      <c r="A287">
        <v>282</v>
      </c>
      <c r="B287" s="17">
        <v>53418</v>
      </c>
      <c r="C287" s="18">
        <f t="shared" si="47"/>
        <v>504196.50791000575</v>
      </c>
      <c r="D287" s="18">
        <f t="shared" si="40"/>
        <v>7983.6299421501908</v>
      </c>
      <c r="E287" s="18">
        <f t="shared" si="41"/>
        <v>5042.4836460084898</v>
      </c>
      <c r="F287" s="16">
        <f t="shared" si="42"/>
        <v>0.12001234201904132</v>
      </c>
      <c r="G287" s="18">
        <f t="shared" si="43"/>
        <v>2941.1462961417005</v>
      </c>
      <c r="H287" s="16">
        <f t="shared" si="44"/>
        <v>7.0000000000000007E-2</v>
      </c>
      <c r="I287" s="18">
        <f t="shared" si="48"/>
        <v>700845.97573600244</v>
      </c>
      <c r="J287" s="18">
        <f t="shared" si="49"/>
        <v>1550537.6679503513</v>
      </c>
      <c r="K287" s="18">
        <f t="shared" si="45"/>
        <v>499154.02426399727</v>
      </c>
      <c r="L287" s="18">
        <f t="shared" si="46"/>
        <v>2251383.6436863537</v>
      </c>
    </row>
    <row r="288" spans="1:12" x14ac:dyDescent="0.3">
      <c r="A288">
        <v>283</v>
      </c>
      <c r="B288" s="17">
        <v>53448</v>
      </c>
      <c r="C288" s="18">
        <f t="shared" si="47"/>
        <v>499154.02426399727</v>
      </c>
      <c r="D288" s="18">
        <f t="shared" si="40"/>
        <v>7983.6299421501908</v>
      </c>
      <c r="E288" s="18">
        <f t="shared" si="41"/>
        <v>5071.8981339435395</v>
      </c>
      <c r="F288" s="16">
        <f t="shared" si="42"/>
        <v>0.12193185800127457</v>
      </c>
      <c r="G288" s="18">
        <f t="shared" si="43"/>
        <v>2911.7318082066508</v>
      </c>
      <c r="H288" s="16">
        <f t="shared" si="44"/>
        <v>7.0000000000000007E-2</v>
      </c>
      <c r="I288" s="18">
        <f t="shared" si="48"/>
        <v>705917.87386994599</v>
      </c>
      <c r="J288" s="18">
        <f t="shared" si="49"/>
        <v>1553449.399758558</v>
      </c>
      <c r="K288" s="18">
        <f t="shared" si="45"/>
        <v>494082.12613005372</v>
      </c>
      <c r="L288" s="18">
        <f t="shared" si="46"/>
        <v>2259367.273628504</v>
      </c>
    </row>
    <row r="289" spans="1:12" x14ac:dyDescent="0.3">
      <c r="A289">
        <v>284</v>
      </c>
      <c r="B289" s="17">
        <v>53479</v>
      </c>
      <c r="C289" s="18">
        <f t="shared" si="47"/>
        <v>494082.12613005372</v>
      </c>
      <c r="D289" s="18">
        <f t="shared" si="40"/>
        <v>7983.6299421501908</v>
      </c>
      <c r="E289" s="18">
        <f t="shared" si="41"/>
        <v>5101.4842063915439</v>
      </c>
      <c r="F289" s="16">
        <f t="shared" si="42"/>
        <v>0.12390209489299478</v>
      </c>
      <c r="G289" s="18">
        <f t="shared" si="43"/>
        <v>2882.1457357586469</v>
      </c>
      <c r="H289" s="16">
        <f t="shared" si="44"/>
        <v>7.0000000000000007E-2</v>
      </c>
      <c r="I289" s="18">
        <f t="shared" si="48"/>
        <v>711019.35807633749</v>
      </c>
      <c r="J289" s="18">
        <f t="shared" si="49"/>
        <v>1556331.5454943166</v>
      </c>
      <c r="K289" s="18">
        <f t="shared" si="45"/>
        <v>488980.64192366216</v>
      </c>
      <c r="L289" s="18">
        <f t="shared" si="46"/>
        <v>2267350.9035706539</v>
      </c>
    </row>
    <row r="290" spans="1:12" x14ac:dyDescent="0.3">
      <c r="A290">
        <v>285</v>
      </c>
      <c r="B290" s="17">
        <v>53509</v>
      </c>
      <c r="C290" s="18">
        <f t="shared" si="47"/>
        <v>488980.64192366216</v>
      </c>
      <c r="D290" s="18">
        <f t="shared" si="40"/>
        <v>7983.6299421501908</v>
      </c>
      <c r="E290" s="18">
        <f t="shared" si="41"/>
        <v>5131.2428642621617</v>
      </c>
      <c r="F290" s="16">
        <f t="shared" si="42"/>
        <v>0.12592505529239087</v>
      </c>
      <c r="G290" s="18">
        <f t="shared" si="43"/>
        <v>2852.3870778880296</v>
      </c>
      <c r="H290" s="16">
        <f t="shared" si="44"/>
        <v>7.0000000000000007E-2</v>
      </c>
      <c r="I290" s="18">
        <f t="shared" si="48"/>
        <v>716150.60094059969</v>
      </c>
      <c r="J290" s="18">
        <f t="shared" si="49"/>
        <v>1559183.9325722046</v>
      </c>
      <c r="K290" s="18">
        <f t="shared" si="45"/>
        <v>483849.39905940002</v>
      </c>
      <c r="L290" s="18">
        <f t="shared" si="46"/>
        <v>2275334.5335128042</v>
      </c>
    </row>
    <row r="291" spans="1:12" x14ac:dyDescent="0.3">
      <c r="A291">
        <v>286</v>
      </c>
      <c r="B291" s="17">
        <v>53540</v>
      </c>
      <c r="C291" s="18">
        <f t="shared" si="47"/>
        <v>483849.39905940002</v>
      </c>
      <c r="D291" s="18">
        <f t="shared" si="40"/>
        <v>7983.6299421501908</v>
      </c>
      <c r="E291" s="18">
        <f t="shared" si="41"/>
        <v>5161.1751143036909</v>
      </c>
      <c r="F291" s="16">
        <f t="shared" si="42"/>
        <v>0.12800284859719527</v>
      </c>
      <c r="G291" s="18">
        <f t="shared" si="43"/>
        <v>2822.4548278465004</v>
      </c>
      <c r="H291" s="16">
        <f t="shared" si="44"/>
        <v>7.0000000000000007E-2</v>
      </c>
      <c r="I291" s="18">
        <f t="shared" si="48"/>
        <v>721311.7760549034</v>
      </c>
      <c r="J291" s="18">
        <f t="shared" si="49"/>
        <v>1562006.3874000511</v>
      </c>
      <c r="K291" s="18">
        <f t="shared" si="45"/>
        <v>478688.22394509631</v>
      </c>
      <c r="L291" s="18">
        <f t="shared" si="46"/>
        <v>2283318.1634549545</v>
      </c>
    </row>
    <row r="292" spans="1:12" x14ac:dyDescent="0.3">
      <c r="A292">
        <v>287</v>
      </c>
      <c r="B292" s="17">
        <v>53571</v>
      </c>
      <c r="C292" s="18">
        <f t="shared" si="47"/>
        <v>478688.22394509631</v>
      </c>
      <c r="D292" s="18">
        <f t="shared" si="40"/>
        <v>7983.6299421501908</v>
      </c>
      <c r="E292" s="18">
        <f t="shared" si="41"/>
        <v>5191.2819691371287</v>
      </c>
      <c r="F292" s="16">
        <f t="shared" si="42"/>
        <v>0.13013769822085824</v>
      </c>
      <c r="G292" s="18">
        <f t="shared" si="43"/>
        <v>2792.3479730130621</v>
      </c>
      <c r="H292" s="16">
        <f t="shared" si="44"/>
        <v>7.0000000000000007E-2</v>
      </c>
      <c r="I292" s="18">
        <f t="shared" si="48"/>
        <v>726503.05802404054</v>
      </c>
      <c r="J292" s="18">
        <f t="shared" si="49"/>
        <v>1564798.7353730642</v>
      </c>
      <c r="K292" s="18">
        <f t="shared" si="45"/>
        <v>473496.94197595917</v>
      </c>
      <c r="L292" s="18">
        <f t="shared" si="46"/>
        <v>2291301.7933971048</v>
      </c>
    </row>
    <row r="293" spans="1:12" x14ac:dyDescent="0.3">
      <c r="A293">
        <v>288</v>
      </c>
      <c r="B293" s="17">
        <v>53601</v>
      </c>
      <c r="C293" s="18">
        <f t="shared" si="47"/>
        <v>473496.94197595917</v>
      </c>
      <c r="D293" s="18">
        <f t="shared" si="40"/>
        <v>7983.6299421501908</v>
      </c>
      <c r="E293" s="18">
        <f t="shared" si="41"/>
        <v>5221.5644472904287</v>
      </c>
      <c r="F293" s="16">
        <f t="shared" si="42"/>
        <v>0.13233194940183268</v>
      </c>
      <c r="G293" s="18">
        <f t="shared" si="43"/>
        <v>2762.0654948597621</v>
      </c>
      <c r="H293" s="16">
        <f t="shared" si="44"/>
        <v>7.0000000000000007E-2</v>
      </c>
      <c r="I293" s="18">
        <f t="shared" si="48"/>
        <v>731724.62247133092</v>
      </c>
      <c r="J293" s="18">
        <f t="shared" si="49"/>
        <v>1567560.800867924</v>
      </c>
      <c r="K293" s="18">
        <f t="shared" si="45"/>
        <v>468275.37752866873</v>
      </c>
      <c r="L293" s="18">
        <f t="shared" si="46"/>
        <v>2299285.4233392552</v>
      </c>
    </row>
    <row r="294" spans="1:12" x14ac:dyDescent="0.3">
      <c r="A294">
        <v>289</v>
      </c>
      <c r="B294" s="17">
        <v>53632</v>
      </c>
      <c r="C294" s="18">
        <f t="shared" si="47"/>
        <v>468275.37752866873</v>
      </c>
      <c r="D294" s="18">
        <f t="shared" si="40"/>
        <v>7983.6299421501908</v>
      </c>
      <c r="E294" s="18">
        <f t="shared" si="41"/>
        <v>5252.0235732329566</v>
      </c>
      <c r="F294" s="16">
        <f t="shared" si="42"/>
        <v>0.1345880776636329</v>
      </c>
      <c r="G294" s="18">
        <f t="shared" si="43"/>
        <v>2731.6063689172342</v>
      </c>
      <c r="H294" s="16">
        <f t="shared" si="44"/>
        <v>7.0000000000000007E-2</v>
      </c>
      <c r="I294" s="18">
        <f t="shared" si="48"/>
        <v>736976.64604456385</v>
      </c>
      <c r="J294" s="18">
        <f t="shared" si="49"/>
        <v>1570292.4072368413</v>
      </c>
      <c r="K294" s="18">
        <f t="shared" si="45"/>
        <v>463023.3539554358</v>
      </c>
      <c r="L294" s="18">
        <f t="shared" si="46"/>
        <v>2307269.053281405</v>
      </c>
    </row>
    <row r="295" spans="1:12" x14ac:dyDescent="0.3">
      <c r="A295">
        <v>290</v>
      </c>
      <c r="B295" s="17">
        <v>53662</v>
      </c>
      <c r="C295" s="18">
        <f t="shared" si="47"/>
        <v>463023.3539554358</v>
      </c>
      <c r="D295" s="18">
        <f t="shared" si="40"/>
        <v>7983.6299421501908</v>
      </c>
      <c r="E295" s="18">
        <f t="shared" si="41"/>
        <v>5282.6603774101486</v>
      </c>
      <c r="F295" s="16">
        <f t="shared" si="42"/>
        <v>0.13690869798982755</v>
      </c>
      <c r="G295" s="18">
        <f t="shared" si="43"/>
        <v>2700.9695647400422</v>
      </c>
      <c r="H295" s="16">
        <f t="shared" si="44"/>
        <v>7.0000000000000007E-2</v>
      </c>
      <c r="I295" s="18">
        <f t="shared" si="48"/>
        <v>742259.30642197398</v>
      </c>
      <c r="J295" s="18">
        <f t="shared" si="49"/>
        <v>1572993.3768015814</v>
      </c>
      <c r="K295" s="18">
        <f t="shared" si="45"/>
        <v>457740.69357802568</v>
      </c>
      <c r="L295" s="18">
        <f t="shared" si="46"/>
        <v>2315252.6832235553</v>
      </c>
    </row>
    <row r="296" spans="1:12" x14ac:dyDescent="0.3">
      <c r="A296">
        <v>291</v>
      </c>
      <c r="B296" s="17">
        <v>53693</v>
      </c>
      <c r="C296" s="18">
        <f t="shared" si="47"/>
        <v>457740.69357802568</v>
      </c>
      <c r="D296" s="18">
        <f t="shared" si="40"/>
        <v>7983.6299421501908</v>
      </c>
      <c r="E296" s="18">
        <f t="shared" si="41"/>
        <v>5313.4758962783744</v>
      </c>
      <c r="F296" s="16">
        <f t="shared" si="42"/>
        <v>0.13929657478546154</v>
      </c>
      <c r="G296" s="18">
        <f t="shared" si="43"/>
        <v>2670.1540458718164</v>
      </c>
      <c r="H296" s="16">
        <f t="shared" si="44"/>
        <v>7.0000000000000007E-2</v>
      </c>
      <c r="I296" s="18">
        <f t="shared" si="48"/>
        <v>747572.78231825237</v>
      </c>
      <c r="J296" s="18">
        <f t="shared" si="49"/>
        <v>1575663.5308474533</v>
      </c>
      <c r="K296" s="18">
        <f t="shared" si="45"/>
        <v>452427.21768174728</v>
      </c>
      <c r="L296" s="18">
        <f t="shared" si="46"/>
        <v>2323236.3131657057</v>
      </c>
    </row>
    <row r="297" spans="1:12" x14ac:dyDescent="0.3">
      <c r="A297">
        <v>292</v>
      </c>
      <c r="B297" s="17">
        <v>53724</v>
      </c>
      <c r="C297" s="18">
        <f t="shared" si="47"/>
        <v>452427.21768174728</v>
      </c>
      <c r="D297" s="18">
        <f t="shared" si="40"/>
        <v>7983.6299421501908</v>
      </c>
      <c r="E297" s="18">
        <f t="shared" si="41"/>
        <v>5344.4711723399978</v>
      </c>
      <c r="F297" s="16">
        <f t="shared" si="42"/>
        <v>0.14175463270468791</v>
      </c>
      <c r="G297" s="18">
        <f t="shared" si="43"/>
        <v>2639.1587698101926</v>
      </c>
      <c r="H297" s="16">
        <f t="shared" si="44"/>
        <v>7.0000000000000007E-2</v>
      </c>
      <c r="I297" s="18">
        <f t="shared" si="48"/>
        <v>752917.25349059235</v>
      </c>
      <c r="J297" s="18">
        <f t="shared" si="49"/>
        <v>1578302.6896172634</v>
      </c>
      <c r="K297" s="18">
        <f t="shared" si="45"/>
        <v>447082.7465094073</v>
      </c>
      <c r="L297" s="18">
        <f t="shared" si="46"/>
        <v>2331219.9431078555</v>
      </c>
    </row>
    <row r="298" spans="1:12" x14ac:dyDescent="0.3">
      <c r="A298">
        <v>293</v>
      </c>
      <c r="B298" s="17">
        <v>53752</v>
      </c>
      <c r="C298" s="18">
        <f t="shared" si="47"/>
        <v>447082.7465094073</v>
      </c>
      <c r="D298" s="18">
        <f t="shared" si="40"/>
        <v>7983.6299421501908</v>
      </c>
      <c r="E298" s="18">
        <f t="shared" si="41"/>
        <v>5375.6472541786479</v>
      </c>
      <c r="F298" s="16">
        <f t="shared" si="42"/>
        <v>0.14428596843377947</v>
      </c>
      <c r="G298" s="18">
        <f t="shared" si="43"/>
        <v>2607.9826879715429</v>
      </c>
      <c r="H298" s="16">
        <f t="shared" si="44"/>
        <v>7.0000000000000007E-2</v>
      </c>
      <c r="I298" s="18">
        <f t="shared" si="48"/>
        <v>758292.900744771</v>
      </c>
      <c r="J298" s="18">
        <f t="shared" si="49"/>
        <v>1580910.6723052349</v>
      </c>
      <c r="K298" s="18">
        <f t="shared" si="45"/>
        <v>441707.09925522865</v>
      </c>
      <c r="L298" s="18">
        <f t="shared" si="46"/>
        <v>2339203.5730500058</v>
      </c>
    </row>
    <row r="299" spans="1:12" x14ac:dyDescent="0.3">
      <c r="A299">
        <v>294</v>
      </c>
      <c r="B299" s="17">
        <v>53783</v>
      </c>
      <c r="C299" s="18">
        <f t="shared" si="47"/>
        <v>441707.09925522865</v>
      </c>
      <c r="D299" s="18">
        <f t="shared" si="40"/>
        <v>7983.6299421501908</v>
      </c>
      <c r="E299" s="18">
        <f t="shared" si="41"/>
        <v>5407.0051964946906</v>
      </c>
      <c r="F299" s="16">
        <f t="shared" si="42"/>
        <v>0.14689386352933567</v>
      </c>
      <c r="G299" s="18">
        <f t="shared" si="43"/>
        <v>2576.6247456555006</v>
      </c>
      <c r="H299" s="16">
        <f t="shared" si="44"/>
        <v>7.0000000000000007E-2</v>
      </c>
      <c r="I299" s="18">
        <f t="shared" si="48"/>
        <v>763699.90594126564</v>
      </c>
      <c r="J299" s="18">
        <f t="shared" si="49"/>
        <v>1583487.2970508905</v>
      </c>
      <c r="K299" s="18">
        <f t="shared" si="45"/>
        <v>436300.09405873396</v>
      </c>
      <c r="L299" s="18">
        <f t="shared" si="46"/>
        <v>2347187.2029921561</v>
      </c>
    </row>
    <row r="300" spans="1:12" x14ac:dyDescent="0.3">
      <c r="A300">
        <v>295</v>
      </c>
      <c r="B300" s="17">
        <v>53813</v>
      </c>
      <c r="C300" s="18">
        <f t="shared" si="47"/>
        <v>436300.09405873396</v>
      </c>
      <c r="D300" s="18">
        <f t="shared" si="40"/>
        <v>7983.6299421501908</v>
      </c>
      <c r="E300" s="18">
        <f t="shared" si="41"/>
        <v>5438.5460601409086</v>
      </c>
      <c r="F300" s="16">
        <f t="shared" si="42"/>
        <v>0.14958179842359917</v>
      </c>
      <c r="G300" s="18">
        <f t="shared" si="43"/>
        <v>2545.0838820092818</v>
      </c>
      <c r="H300" s="16">
        <f t="shared" si="44"/>
        <v>7.0000000000000007E-2</v>
      </c>
      <c r="I300" s="18">
        <f t="shared" si="48"/>
        <v>769138.45200140658</v>
      </c>
      <c r="J300" s="18">
        <f t="shared" si="49"/>
        <v>1586032.3809328999</v>
      </c>
      <c r="K300" s="18">
        <f t="shared" si="45"/>
        <v>430861.54799859307</v>
      </c>
      <c r="L300" s="18">
        <f t="shared" si="46"/>
        <v>2355170.8329343065</v>
      </c>
    </row>
    <row r="301" spans="1:12" x14ac:dyDescent="0.3">
      <c r="A301">
        <v>296</v>
      </c>
      <c r="B301" s="17">
        <v>53844</v>
      </c>
      <c r="C301" s="18">
        <f t="shared" si="47"/>
        <v>430861.54799859307</v>
      </c>
      <c r="D301" s="18">
        <f t="shared" si="40"/>
        <v>7983.6299421501908</v>
      </c>
      <c r="E301" s="18">
        <f t="shared" si="41"/>
        <v>5470.2709121583976</v>
      </c>
      <c r="F301" s="16">
        <f t="shared" si="42"/>
        <v>0.15235346772257136</v>
      </c>
      <c r="G301" s="18">
        <f t="shared" si="43"/>
        <v>2513.3590299917932</v>
      </c>
      <c r="H301" s="16">
        <f t="shared" si="44"/>
        <v>7.0000000000000007E-2</v>
      </c>
      <c r="I301" s="18">
        <f t="shared" si="48"/>
        <v>774608.722913565</v>
      </c>
      <c r="J301" s="18">
        <f t="shared" si="49"/>
        <v>1588545.7399628917</v>
      </c>
      <c r="K301" s="18">
        <f t="shared" si="45"/>
        <v>425391.27708643465</v>
      </c>
      <c r="L301" s="18">
        <f t="shared" si="46"/>
        <v>2363154.4628764568</v>
      </c>
    </row>
    <row r="302" spans="1:12" x14ac:dyDescent="0.3">
      <c r="A302">
        <v>297</v>
      </c>
      <c r="B302" s="17">
        <v>53874</v>
      </c>
      <c r="C302" s="18">
        <f t="shared" si="47"/>
        <v>425391.27708643465</v>
      </c>
      <c r="D302" s="18">
        <f t="shared" si="40"/>
        <v>7983.6299421501908</v>
      </c>
      <c r="E302" s="18">
        <f t="shared" si="41"/>
        <v>5502.1808258126548</v>
      </c>
      <c r="F302" s="16">
        <f t="shared" si="42"/>
        <v>0.15521279693832579</v>
      </c>
      <c r="G302" s="18">
        <f t="shared" si="43"/>
        <v>2481.4491163375355</v>
      </c>
      <c r="H302" s="16">
        <f t="shared" si="44"/>
        <v>7.0000000000000007E-2</v>
      </c>
      <c r="I302" s="18">
        <f t="shared" si="48"/>
        <v>780110.90373937762</v>
      </c>
      <c r="J302" s="18">
        <f t="shared" si="49"/>
        <v>1591027.1890792293</v>
      </c>
      <c r="K302" s="18">
        <f t="shared" si="45"/>
        <v>419889.09626062203</v>
      </c>
      <c r="L302" s="18">
        <f t="shared" si="46"/>
        <v>2371138.0928186066</v>
      </c>
    </row>
    <row r="303" spans="1:12" x14ac:dyDescent="0.3">
      <c r="A303">
        <v>298</v>
      </c>
      <c r="B303" s="17">
        <v>53905</v>
      </c>
      <c r="C303" s="18">
        <f t="shared" si="47"/>
        <v>419889.09626062203</v>
      </c>
      <c r="D303" s="18">
        <f t="shared" si="40"/>
        <v>7983.6299421501908</v>
      </c>
      <c r="E303" s="18">
        <f t="shared" si="41"/>
        <v>5534.2768806298955</v>
      </c>
      <c r="F303" s="16">
        <f t="shared" si="42"/>
        <v>0.15816396081487608</v>
      </c>
      <c r="G303" s="18">
        <f t="shared" si="43"/>
        <v>2449.3530615202953</v>
      </c>
      <c r="H303" s="16">
        <f t="shared" si="44"/>
        <v>7.0000000000000007E-2</v>
      </c>
      <c r="I303" s="18">
        <f t="shared" si="48"/>
        <v>785645.18062000757</v>
      </c>
      <c r="J303" s="18">
        <f t="shared" si="49"/>
        <v>1593476.5421407495</v>
      </c>
      <c r="K303" s="18">
        <f t="shared" si="45"/>
        <v>414354.81937999214</v>
      </c>
      <c r="L303" s="18">
        <f t="shared" si="46"/>
        <v>2379121.722760757</v>
      </c>
    </row>
    <row r="304" spans="1:12" x14ac:dyDescent="0.3">
      <c r="A304">
        <v>299</v>
      </c>
      <c r="B304" s="17">
        <v>53936</v>
      </c>
      <c r="C304" s="18">
        <f t="shared" si="47"/>
        <v>414354.81937999214</v>
      </c>
      <c r="D304" s="18">
        <f t="shared" si="40"/>
        <v>7983.6299421501908</v>
      </c>
      <c r="E304" s="18">
        <f t="shared" si="41"/>
        <v>5566.5601624335704</v>
      </c>
      <c r="F304" s="16">
        <f t="shared" si="42"/>
        <v>0.16121140342751455</v>
      </c>
      <c r="G304" s="18">
        <f t="shared" si="43"/>
        <v>2417.0697797166208</v>
      </c>
      <c r="H304" s="16">
        <f t="shared" si="44"/>
        <v>7.0000000000000007E-2</v>
      </c>
      <c r="I304" s="18">
        <f t="shared" si="48"/>
        <v>791211.74078244111</v>
      </c>
      <c r="J304" s="18">
        <f t="shared" si="49"/>
        <v>1595893.6119204662</v>
      </c>
      <c r="K304" s="18">
        <f t="shared" si="45"/>
        <v>408788.25921755855</v>
      </c>
      <c r="L304" s="18">
        <f t="shared" si="46"/>
        <v>2387105.3527029073</v>
      </c>
    </row>
    <row r="305" spans="1:12" x14ac:dyDescent="0.3">
      <c r="A305">
        <v>300</v>
      </c>
      <c r="B305" s="17">
        <v>53966</v>
      </c>
      <c r="C305" s="18">
        <f t="shared" si="47"/>
        <v>408788.25921755855</v>
      </c>
      <c r="D305" s="18">
        <f t="shared" si="40"/>
        <v>7983.6299421501908</v>
      </c>
      <c r="E305" s="18">
        <f t="shared" si="41"/>
        <v>5599.0317633810992</v>
      </c>
      <c r="F305" s="16">
        <f t="shared" si="42"/>
        <v>0.16435986025913552</v>
      </c>
      <c r="G305" s="18">
        <f t="shared" si="43"/>
        <v>2384.5981787690916</v>
      </c>
      <c r="H305" s="16">
        <f t="shared" si="44"/>
        <v>7.0000000000000007E-2</v>
      </c>
      <c r="I305" s="18">
        <f t="shared" si="48"/>
        <v>796810.7725458222</v>
      </c>
      <c r="J305" s="18">
        <f t="shared" si="49"/>
        <v>1598278.2100992352</v>
      </c>
      <c r="K305" s="18">
        <f t="shared" si="45"/>
        <v>403189.22745417745</v>
      </c>
      <c r="L305" s="18">
        <f t="shared" si="46"/>
        <v>2395088.9826450571</v>
      </c>
    </row>
    <row r="306" spans="1:12" x14ac:dyDescent="0.3">
      <c r="A306">
        <v>301</v>
      </c>
      <c r="B306" s="17">
        <v>53997</v>
      </c>
      <c r="C306" s="18">
        <f t="shared" si="47"/>
        <v>403189.22745417745</v>
      </c>
      <c r="D306" s="18">
        <f t="shared" si="40"/>
        <v>7983.6299421501908</v>
      </c>
      <c r="E306" s="18">
        <f t="shared" si="41"/>
        <v>5631.6927820008223</v>
      </c>
      <c r="F306" s="16">
        <f t="shared" si="42"/>
        <v>0.16761438248419072</v>
      </c>
      <c r="G306" s="18">
        <f t="shared" si="43"/>
        <v>2351.9371601493685</v>
      </c>
      <c r="H306" s="16">
        <f t="shared" si="44"/>
        <v>7.0000000000000007E-2</v>
      </c>
      <c r="I306" s="18">
        <f t="shared" si="48"/>
        <v>802442.46532782307</v>
      </c>
      <c r="J306" s="18">
        <f t="shared" si="49"/>
        <v>1600630.1472593846</v>
      </c>
      <c r="K306" s="18">
        <f t="shared" si="45"/>
        <v>397557.53467217664</v>
      </c>
      <c r="L306" s="18">
        <f t="shared" si="46"/>
        <v>2403072.6125872079</v>
      </c>
    </row>
    <row r="307" spans="1:12" x14ac:dyDescent="0.3">
      <c r="A307">
        <v>302</v>
      </c>
      <c r="B307" s="17">
        <v>54027</v>
      </c>
      <c r="C307" s="18">
        <f t="shared" si="47"/>
        <v>397557.53467217664</v>
      </c>
      <c r="D307" s="18">
        <f t="shared" si="40"/>
        <v>7983.6299421501908</v>
      </c>
      <c r="E307" s="18">
        <f t="shared" si="41"/>
        <v>5664.54432322916</v>
      </c>
      <c r="F307" s="16">
        <f t="shared" si="42"/>
        <v>0.17098036372220005</v>
      </c>
      <c r="G307" s="18">
        <f t="shared" si="43"/>
        <v>2319.0856189210303</v>
      </c>
      <c r="H307" s="16">
        <f t="shared" si="44"/>
        <v>7.0000000000000007E-2</v>
      </c>
      <c r="I307" s="18">
        <f t="shared" si="48"/>
        <v>808107.00965105218</v>
      </c>
      <c r="J307" s="18">
        <f t="shared" si="49"/>
        <v>1602949.2328783057</v>
      </c>
      <c r="K307" s="18">
        <f t="shared" si="45"/>
        <v>391892.99034894747</v>
      </c>
      <c r="L307" s="18">
        <f t="shared" si="46"/>
        <v>2411056.2425293578</v>
      </c>
    </row>
    <row r="308" spans="1:12" x14ac:dyDescent="0.3">
      <c r="A308">
        <v>303</v>
      </c>
      <c r="B308" s="17">
        <v>54058</v>
      </c>
      <c r="C308" s="18">
        <f t="shared" si="47"/>
        <v>391892.99034894747</v>
      </c>
      <c r="D308" s="18">
        <f t="shared" si="40"/>
        <v>7983.6299421501908</v>
      </c>
      <c r="E308" s="18">
        <f t="shared" si="41"/>
        <v>5697.5874984479969</v>
      </c>
      <c r="F308" s="16">
        <f t="shared" si="42"/>
        <v>0.17446356955886694</v>
      </c>
      <c r="G308" s="18">
        <f t="shared" si="43"/>
        <v>2286.0424437021939</v>
      </c>
      <c r="H308" s="16">
        <f t="shared" si="44"/>
        <v>7.0000000000000007E-2</v>
      </c>
      <c r="I308" s="18">
        <f t="shared" si="48"/>
        <v>813804.59714950016</v>
      </c>
      <c r="J308" s="18">
        <f t="shared" si="49"/>
        <v>1605235.2753220079</v>
      </c>
      <c r="K308" s="18">
        <f t="shared" si="45"/>
        <v>386195.40285049949</v>
      </c>
      <c r="L308" s="18">
        <f t="shared" si="46"/>
        <v>2419039.8724715081</v>
      </c>
    </row>
    <row r="309" spans="1:12" x14ac:dyDescent="0.3">
      <c r="A309">
        <v>304</v>
      </c>
      <c r="B309" s="17">
        <v>54089</v>
      </c>
      <c r="C309" s="18">
        <f t="shared" si="47"/>
        <v>386195.40285049949</v>
      </c>
      <c r="D309" s="18">
        <f t="shared" si="40"/>
        <v>7983.6299421501908</v>
      </c>
      <c r="E309" s="18">
        <f t="shared" si="41"/>
        <v>5730.8234255222769</v>
      </c>
      <c r="F309" s="16">
        <f t="shared" si="42"/>
        <v>0.17807017017467944</v>
      </c>
      <c r="G309" s="18">
        <f t="shared" si="43"/>
        <v>2252.8065166279139</v>
      </c>
      <c r="H309" s="16">
        <f t="shared" si="44"/>
        <v>7.0000000000000007E-2</v>
      </c>
      <c r="I309" s="18">
        <f t="shared" si="48"/>
        <v>819535.42057502246</v>
      </c>
      <c r="J309" s="18">
        <f t="shared" si="49"/>
        <v>1607488.081838636</v>
      </c>
      <c r="K309" s="18">
        <f t="shared" si="45"/>
        <v>380464.57942497724</v>
      </c>
      <c r="L309" s="18">
        <f t="shared" si="46"/>
        <v>2427023.5024136584</v>
      </c>
    </row>
    <row r="310" spans="1:12" x14ac:dyDescent="0.3">
      <c r="A310">
        <v>305</v>
      </c>
      <c r="B310" s="17">
        <v>54118</v>
      </c>
      <c r="C310" s="18">
        <f t="shared" si="47"/>
        <v>380464.57942497724</v>
      </c>
      <c r="D310" s="18">
        <f t="shared" si="40"/>
        <v>7983.6299421501908</v>
      </c>
      <c r="E310" s="18">
        <f t="shared" si="41"/>
        <v>5764.2532288378234</v>
      </c>
      <c r="F310" s="16">
        <f t="shared" si="42"/>
        <v>0.18180677646943352</v>
      </c>
      <c r="G310" s="18">
        <f t="shared" si="43"/>
        <v>2219.3767133123674</v>
      </c>
      <c r="H310" s="16">
        <f t="shared" si="44"/>
        <v>7.0000000000000007E-2</v>
      </c>
      <c r="I310" s="18">
        <f t="shared" si="48"/>
        <v>825299.67380386032</v>
      </c>
      <c r="J310" s="18">
        <f t="shared" si="49"/>
        <v>1609707.4585519484</v>
      </c>
      <c r="K310" s="18">
        <f t="shared" si="45"/>
        <v>374700.32619613945</v>
      </c>
      <c r="L310" s="18">
        <f t="shared" si="46"/>
        <v>2435007.1323558087</v>
      </c>
    </row>
    <row r="311" spans="1:12" x14ac:dyDescent="0.3">
      <c r="A311">
        <v>306</v>
      </c>
      <c r="B311" s="17">
        <v>54149</v>
      </c>
      <c r="C311" s="18">
        <f t="shared" si="47"/>
        <v>374700.32619613945</v>
      </c>
      <c r="D311" s="18">
        <f t="shared" si="40"/>
        <v>7983.6299421501908</v>
      </c>
      <c r="E311" s="18">
        <f t="shared" si="41"/>
        <v>5797.8780393393772</v>
      </c>
      <c r="F311" s="16">
        <f t="shared" si="42"/>
        <v>0.1856804801276134</v>
      </c>
      <c r="G311" s="18">
        <f t="shared" si="43"/>
        <v>2185.7519028108136</v>
      </c>
      <c r="H311" s="16">
        <f t="shared" si="44"/>
        <v>7.0000000000000007E-2</v>
      </c>
      <c r="I311" s="18">
        <f t="shared" si="48"/>
        <v>831097.55184319965</v>
      </c>
      <c r="J311" s="18">
        <f t="shared" si="49"/>
        <v>1611893.2104547592</v>
      </c>
      <c r="K311" s="18">
        <f t="shared" si="45"/>
        <v>368902.44815680006</v>
      </c>
      <c r="L311" s="18">
        <f t="shared" si="46"/>
        <v>2442990.7622979591</v>
      </c>
    </row>
    <row r="312" spans="1:12" x14ac:dyDescent="0.3">
      <c r="A312">
        <v>307</v>
      </c>
      <c r="B312" s="17">
        <v>54179</v>
      </c>
      <c r="C312" s="18">
        <f t="shared" si="47"/>
        <v>368902.44815680006</v>
      </c>
      <c r="D312" s="18">
        <f t="shared" si="40"/>
        <v>7983.6299421501908</v>
      </c>
      <c r="E312" s="18">
        <f t="shared" si="41"/>
        <v>5831.6989945688565</v>
      </c>
      <c r="F312" s="16">
        <f t="shared" si="42"/>
        <v>0.18969889813548071</v>
      </c>
      <c r="G312" s="18">
        <f t="shared" si="43"/>
        <v>2151.9309475813338</v>
      </c>
      <c r="H312" s="16">
        <f t="shared" si="44"/>
        <v>7.0000000000000007E-2</v>
      </c>
      <c r="I312" s="18">
        <f t="shared" si="48"/>
        <v>836929.25083776854</v>
      </c>
      <c r="J312" s="18">
        <f t="shared" si="49"/>
        <v>1614045.1414023405</v>
      </c>
      <c r="K312" s="18">
        <f t="shared" si="45"/>
        <v>363070.74916223122</v>
      </c>
      <c r="L312" s="18">
        <f t="shared" si="46"/>
        <v>2450974.3922401089</v>
      </c>
    </row>
    <row r="313" spans="1:12" x14ac:dyDescent="0.3">
      <c r="A313">
        <v>308</v>
      </c>
      <c r="B313" s="17">
        <v>54210</v>
      </c>
      <c r="C313" s="18">
        <f t="shared" si="47"/>
        <v>363070.74916223122</v>
      </c>
      <c r="D313" s="18">
        <f t="shared" si="40"/>
        <v>7983.6299421501908</v>
      </c>
      <c r="E313" s="18">
        <f t="shared" si="41"/>
        <v>5865.7172387038418</v>
      </c>
      <c r="F313" s="16">
        <f t="shared" si="42"/>
        <v>0.19387022233783502</v>
      </c>
      <c r="G313" s="18">
        <f t="shared" si="43"/>
        <v>2117.912703446349</v>
      </c>
      <c r="H313" s="16">
        <f t="shared" si="44"/>
        <v>7.0000000000000007E-2</v>
      </c>
      <c r="I313" s="18">
        <f t="shared" si="48"/>
        <v>842794.9680764724</v>
      </c>
      <c r="J313" s="18">
        <f t="shared" si="49"/>
        <v>1616163.0541057868</v>
      </c>
      <c r="K313" s="18">
        <f t="shared" si="45"/>
        <v>357205.03192352736</v>
      </c>
      <c r="L313" s="18">
        <f t="shared" si="46"/>
        <v>2458958.0221822592</v>
      </c>
    </row>
    <row r="314" spans="1:12" x14ac:dyDescent="0.3">
      <c r="A314">
        <v>309</v>
      </c>
      <c r="B314" s="17">
        <v>54240</v>
      </c>
      <c r="C314" s="18">
        <f t="shared" si="47"/>
        <v>357205.03192352736</v>
      </c>
      <c r="D314" s="18">
        <f t="shared" si="40"/>
        <v>7983.6299421501908</v>
      </c>
      <c r="E314" s="18">
        <f t="shared" si="41"/>
        <v>5899.9339225962813</v>
      </c>
      <c r="F314" s="16">
        <f t="shared" si="42"/>
        <v>0.19820327471286159</v>
      </c>
      <c r="G314" s="18">
        <f t="shared" si="43"/>
        <v>2083.6960195539095</v>
      </c>
      <c r="H314" s="16">
        <f t="shared" si="44"/>
        <v>6.9999999999999993E-2</v>
      </c>
      <c r="I314" s="18">
        <f t="shared" si="48"/>
        <v>848694.90199906868</v>
      </c>
      <c r="J314" s="18">
        <f t="shared" si="49"/>
        <v>1618246.7501253407</v>
      </c>
      <c r="K314" s="18">
        <f t="shared" si="45"/>
        <v>351305.09800093109</v>
      </c>
      <c r="L314" s="18">
        <f t="shared" si="46"/>
        <v>2466941.6521244096</v>
      </c>
    </row>
    <row r="315" spans="1:12" x14ac:dyDescent="0.3">
      <c r="A315">
        <v>310</v>
      </c>
      <c r="B315" s="17">
        <v>54271</v>
      </c>
      <c r="C315" s="18">
        <f t="shared" si="47"/>
        <v>351305.09800093109</v>
      </c>
      <c r="D315" s="18">
        <f t="shared" si="40"/>
        <v>7983.6299421501908</v>
      </c>
      <c r="E315" s="18">
        <f t="shared" si="41"/>
        <v>5934.3502038114257</v>
      </c>
      <c r="F315" s="16">
        <f t="shared" si="42"/>
        <v>0.20270756914990276</v>
      </c>
      <c r="G315" s="18">
        <f t="shared" si="43"/>
        <v>2049.2797383387647</v>
      </c>
      <c r="H315" s="16">
        <f t="shared" si="44"/>
        <v>7.0000000000000007E-2</v>
      </c>
      <c r="I315" s="18">
        <f t="shared" si="48"/>
        <v>854629.2522028801</v>
      </c>
      <c r="J315" s="18">
        <f t="shared" si="49"/>
        <v>1620296.0298636793</v>
      </c>
      <c r="K315" s="18">
        <f t="shared" si="45"/>
        <v>345370.74779711966</v>
      </c>
      <c r="L315" s="18">
        <f t="shared" si="46"/>
        <v>2474925.2820665594</v>
      </c>
    </row>
    <row r="316" spans="1:12" x14ac:dyDescent="0.3">
      <c r="A316">
        <v>311</v>
      </c>
      <c r="B316" s="17">
        <v>54302</v>
      </c>
      <c r="C316" s="18">
        <f t="shared" si="47"/>
        <v>345370.74779711966</v>
      </c>
      <c r="D316" s="18">
        <f t="shared" si="40"/>
        <v>7983.6299421501908</v>
      </c>
      <c r="E316" s="18">
        <f t="shared" si="41"/>
        <v>5968.9672466669927</v>
      </c>
      <c r="F316" s="16">
        <f t="shared" si="42"/>
        <v>0.20739338064056298</v>
      </c>
      <c r="G316" s="18">
        <f t="shared" si="43"/>
        <v>2014.6626954831981</v>
      </c>
      <c r="H316" s="16">
        <f t="shared" si="44"/>
        <v>7.0000000000000007E-2</v>
      </c>
      <c r="I316" s="18">
        <f t="shared" si="48"/>
        <v>860598.21944954712</v>
      </c>
      <c r="J316" s="18">
        <f t="shared" si="49"/>
        <v>1622310.6925591626</v>
      </c>
      <c r="K316" s="18">
        <f t="shared" si="45"/>
        <v>339401.78055045265</v>
      </c>
      <c r="L316" s="18">
        <f t="shared" si="46"/>
        <v>2482908.9120087097</v>
      </c>
    </row>
    <row r="317" spans="1:12" x14ac:dyDescent="0.3">
      <c r="A317">
        <v>312</v>
      </c>
      <c r="B317" s="17">
        <v>54332</v>
      </c>
      <c r="C317" s="18">
        <f t="shared" si="47"/>
        <v>339401.78055045265</v>
      </c>
      <c r="D317" s="18">
        <f t="shared" si="40"/>
        <v>7983.6299421501908</v>
      </c>
      <c r="E317" s="18">
        <f t="shared" si="41"/>
        <v>6003.7862222725507</v>
      </c>
      <c r="F317" s="16">
        <f t="shared" si="42"/>
        <v>0.21227182294219266</v>
      </c>
      <c r="G317" s="18">
        <f t="shared" si="43"/>
        <v>1979.8437198776405</v>
      </c>
      <c r="H317" s="16">
        <f t="shared" si="44"/>
        <v>7.0000000000000007E-2</v>
      </c>
      <c r="I317" s="18">
        <f t="shared" si="48"/>
        <v>866602.00567181967</v>
      </c>
      <c r="J317" s="18">
        <f t="shared" si="49"/>
        <v>1624290.5362790402</v>
      </c>
      <c r="K317" s="18">
        <f t="shared" si="45"/>
        <v>333397.9943281801</v>
      </c>
      <c r="L317" s="18">
        <f t="shared" si="46"/>
        <v>2490892.5419508601</v>
      </c>
    </row>
    <row r="318" spans="1:12" x14ac:dyDescent="0.3">
      <c r="A318">
        <v>313</v>
      </c>
      <c r="B318" s="17">
        <v>54363</v>
      </c>
      <c r="C318" s="18">
        <f t="shared" si="47"/>
        <v>333397.9943281801</v>
      </c>
      <c r="D318" s="18">
        <f t="shared" si="40"/>
        <v>7983.6299421501908</v>
      </c>
      <c r="E318" s="18">
        <f t="shared" si="41"/>
        <v>6038.8083085691396</v>
      </c>
      <c r="F318" s="16">
        <f t="shared" si="42"/>
        <v>0.21735493594930905</v>
      </c>
      <c r="G318" s="18">
        <f t="shared" si="43"/>
        <v>1944.8216335810507</v>
      </c>
      <c r="H318" s="16">
        <f t="shared" si="44"/>
        <v>7.0000000000000007E-2</v>
      </c>
      <c r="I318" s="18">
        <f t="shared" si="48"/>
        <v>872640.8139803888</v>
      </c>
      <c r="J318" s="18">
        <f t="shared" si="49"/>
        <v>1626235.3579126212</v>
      </c>
      <c r="K318" s="18">
        <f t="shared" si="45"/>
        <v>327359.18601961096</v>
      </c>
      <c r="L318" s="18">
        <f t="shared" si="46"/>
        <v>2498876.1718930099</v>
      </c>
    </row>
    <row r="319" spans="1:12" x14ac:dyDescent="0.3">
      <c r="A319">
        <v>314</v>
      </c>
      <c r="B319" s="17">
        <v>54393</v>
      </c>
      <c r="C319" s="18">
        <f t="shared" si="47"/>
        <v>327359.18601961096</v>
      </c>
      <c r="D319" s="18">
        <f t="shared" si="40"/>
        <v>7983.6299421501908</v>
      </c>
      <c r="E319" s="18">
        <f t="shared" si="41"/>
        <v>6074.034690369127</v>
      </c>
      <c r="F319" s="16">
        <f t="shared" si="42"/>
        <v>0.22265578421881532</v>
      </c>
      <c r="G319" s="18">
        <f t="shared" si="43"/>
        <v>1909.595251781064</v>
      </c>
      <c r="H319" s="16">
        <f t="shared" si="44"/>
        <v>7.0000000000000007E-2</v>
      </c>
      <c r="I319" s="18">
        <f t="shared" si="48"/>
        <v>878714.84867075796</v>
      </c>
      <c r="J319" s="18">
        <f t="shared" si="49"/>
        <v>1628144.9531644024</v>
      </c>
      <c r="K319" s="18">
        <f t="shared" si="45"/>
        <v>321285.15132924181</v>
      </c>
      <c r="L319" s="18">
        <f t="shared" si="46"/>
        <v>2506859.8018351602</v>
      </c>
    </row>
    <row r="320" spans="1:12" x14ac:dyDescent="0.3">
      <c r="A320">
        <v>315</v>
      </c>
      <c r="B320" s="17">
        <v>54424</v>
      </c>
      <c r="C320" s="18">
        <f t="shared" si="47"/>
        <v>321285.15132924181</v>
      </c>
      <c r="D320" s="18">
        <f t="shared" si="40"/>
        <v>7983.6299421501908</v>
      </c>
      <c r="E320" s="18">
        <f t="shared" si="41"/>
        <v>6109.46655939628</v>
      </c>
      <c r="F320" s="16">
        <f t="shared" si="42"/>
        <v>0.22818856834633525</v>
      </c>
      <c r="G320" s="18">
        <f t="shared" si="43"/>
        <v>1874.1633827539106</v>
      </c>
      <c r="H320" s="16">
        <f t="shared" si="44"/>
        <v>7.0000000000000007E-2</v>
      </c>
      <c r="I320" s="18">
        <f t="shared" si="48"/>
        <v>884824.3152301542</v>
      </c>
      <c r="J320" s="18">
        <f t="shared" si="49"/>
        <v>1630019.1165471564</v>
      </c>
      <c r="K320" s="18">
        <f t="shared" si="45"/>
        <v>315175.68476984551</v>
      </c>
      <c r="L320" s="18">
        <f t="shared" si="46"/>
        <v>2514843.4317773106</v>
      </c>
    </row>
    <row r="321" spans="1:12" x14ac:dyDescent="0.3">
      <c r="A321">
        <v>316</v>
      </c>
      <c r="B321" s="17">
        <v>54455</v>
      </c>
      <c r="C321" s="18">
        <f t="shared" si="47"/>
        <v>315175.68476984551</v>
      </c>
      <c r="D321" s="18">
        <f t="shared" si="40"/>
        <v>7983.6299421501908</v>
      </c>
      <c r="E321" s="18">
        <f t="shared" si="41"/>
        <v>6145.105114326092</v>
      </c>
      <c r="F321" s="16">
        <f t="shared" si="42"/>
        <v>0.23396875119272625</v>
      </c>
      <c r="G321" s="18">
        <f t="shared" si="43"/>
        <v>1838.5248278240988</v>
      </c>
      <c r="H321" s="16">
        <f t="shared" si="44"/>
        <v>7.0000000000000007E-2</v>
      </c>
      <c r="I321" s="18">
        <f t="shared" si="48"/>
        <v>890969.42034448031</v>
      </c>
      <c r="J321" s="18">
        <f t="shared" si="49"/>
        <v>1631857.6413749806</v>
      </c>
      <c r="K321" s="18">
        <f t="shared" si="45"/>
        <v>309030.5796555194</v>
      </c>
      <c r="L321" s="18">
        <f t="shared" si="46"/>
        <v>2522827.0617194609</v>
      </c>
    </row>
    <row r="322" spans="1:12" x14ac:dyDescent="0.3">
      <c r="A322">
        <v>317</v>
      </c>
      <c r="B322" s="17">
        <v>54483</v>
      </c>
      <c r="C322" s="18">
        <f t="shared" si="47"/>
        <v>309030.5796555194</v>
      </c>
      <c r="D322" s="18">
        <f t="shared" si="40"/>
        <v>7983.6299421501908</v>
      </c>
      <c r="E322" s="18">
        <f t="shared" si="41"/>
        <v>6180.9515608263273</v>
      </c>
      <c r="F322" s="16">
        <f t="shared" si="42"/>
        <v>0.2400132013232989</v>
      </c>
      <c r="G322" s="18">
        <f t="shared" si="43"/>
        <v>1802.6783813238633</v>
      </c>
      <c r="H322" s="16">
        <f t="shared" si="44"/>
        <v>7.0000000000000007E-2</v>
      </c>
      <c r="I322" s="18">
        <f t="shared" si="48"/>
        <v>897150.37190530659</v>
      </c>
      <c r="J322" s="18">
        <f t="shared" si="49"/>
        <v>1633660.3197563044</v>
      </c>
      <c r="K322" s="18">
        <f t="shared" si="45"/>
        <v>302849.62809469306</v>
      </c>
      <c r="L322" s="18">
        <f t="shared" si="46"/>
        <v>2530810.6916616112</v>
      </c>
    </row>
    <row r="323" spans="1:12" x14ac:dyDescent="0.3">
      <c r="A323">
        <v>318</v>
      </c>
      <c r="B323" s="17">
        <v>54514</v>
      </c>
      <c r="C323" s="18">
        <f t="shared" si="47"/>
        <v>302849.62809469306</v>
      </c>
      <c r="D323" s="18">
        <f t="shared" si="40"/>
        <v>7983.6299421501908</v>
      </c>
      <c r="E323" s="18">
        <f t="shared" si="41"/>
        <v>6217.0071115978144</v>
      </c>
      <c r="F323" s="16">
        <f t="shared" si="42"/>
        <v>0.24634035646181163</v>
      </c>
      <c r="G323" s="18">
        <f t="shared" si="43"/>
        <v>1766.6228305523764</v>
      </c>
      <c r="H323" s="16">
        <f t="shared" si="44"/>
        <v>7.0000000000000007E-2</v>
      </c>
      <c r="I323" s="18">
        <f t="shared" si="48"/>
        <v>903367.37901690439</v>
      </c>
      <c r="J323" s="18">
        <f t="shared" si="49"/>
        <v>1635426.9425868567</v>
      </c>
      <c r="K323" s="18">
        <f t="shared" si="45"/>
        <v>296632.62098309526</v>
      </c>
      <c r="L323" s="18">
        <f t="shared" si="46"/>
        <v>2538794.3216037611</v>
      </c>
    </row>
    <row r="324" spans="1:12" x14ac:dyDescent="0.3">
      <c r="A324">
        <v>319</v>
      </c>
      <c r="B324" s="17">
        <v>54544</v>
      </c>
      <c r="C324" s="18">
        <f t="shared" si="47"/>
        <v>296632.62098309526</v>
      </c>
      <c r="D324" s="18">
        <f t="shared" si="40"/>
        <v>7983.6299421501908</v>
      </c>
      <c r="E324" s="18">
        <f t="shared" si="41"/>
        <v>6253.272986415468</v>
      </c>
      <c r="F324" s="16">
        <f t="shared" si="42"/>
        <v>0.25297041029503636</v>
      </c>
      <c r="G324" s="18">
        <f t="shared" si="43"/>
        <v>1730.3569557347223</v>
      </c>
      <c r="H324" s="16">
        <f t="shared" si="44"/>
        <v>7.0000000000000007E-2</v>
      </c>
      <c r="I324" s="18">
        <f t="shared" si="48"/>
        <v>909620.65200331982</v>
      </c>
      <c r="J324" s="18">
        <f t="shared" si="49"/>
        <v>1637157.2995425914</v>
      </c>
      <c r="K324" s="18">
        <f t="shared" si="45"/>
        <v>290379.34799667977</v>
      </c>
      <c r="L324" s="18">
        <f t="shared" si="46"/>
        <v>2546777.9515459114</v>
      </c>
    </row>
    <row r="325" spans="1:12" x14ac:dyDescent="0.3">
      <c r="A325">
        <v>320</v>
      </c>
      <c r="B325" s="17">
        <v>54575</v>
      </c>
      <c r="C325" s="18">
        <f t="shared" si="47"/>
        <v>290379.34799667977</v>
      </c>
      <c r="D325" s="18">
        <f t="shared" si="40"/>
        <v>7983.6299421501908</v>
      </c>
      <c r="E325" s="18">
        <f t="shared" si="41"/>
        <v>6289.7504121695583</v>
      </c>
      <c r="F325" s="16">
        <f t="shared" si="42"/>
        <v>0.25992552661457768</v>
      </c>
      <c r="G325" s="18">
        <f t="shared" si="43"/>
        <v>1693.879529980632</v>
      </c>
      <c r="H325" s="16">
        <f t="shared" si="44"/>
        <v>7.0000000000000007E-2</v>
      </c>
      <c r="I325" s="18">
        <f t="shared" si="48"/>
        <v>915910.40241548943</v>
      </c>
      <c r="J325" s="18">
        <f t="shared" si="49"/>
        <v>1638851.1790725722</v>
      </c>
      <c r="K325" s="18">
        <f t="shared" si="45"/>
        <v>284089.59758451022</v>
      </c>
      <c r="L325" s="18">
        <f t="shared" si="46"/>
        <v>2554761.5814880617</v>
      </c>
    </row>
    <row r="326" spans="1:12" x14ac:dyDescent="0.3">
      <c r="A326">
        <v>321</v>
      </c>
      <c r="B326" s="17">
        <v>54605</v>
      </c>
      <c r="C326" s="18">
        <f t="shared" si="47"/>
        <v>284089.59758451022</v>
      </c>
      <c r="D326" s="18">
        <f t="shared" si="40"/>
        <v>7983.6299421501908</v>
      </c>
      <c r="E326" s="18">
        <f t="shared" si="41"/>
        <v>6326.4406229072147</v>
      </c>
      <c r="F326" s="16">
        <f t="shared" si="42"/>
        <v>0.2672300855799653</v>
      </c>
      <c r="G326" s="18">
        <f t="shared" si="43"/>
        <v>1657.1893192429764</v>
      </c>
      <c r="H326" s="16">
        <f t="shared" si="44"/>
        <v>7.0000000000000007E-2</v>
      </c>
      <c r="I326" s="18">
        <f t="shared" si="48"/>
        <v>922236.84303839668</v>
      </c>
      <c r="J326" s="18">
        <f t="shared" si="49"/>
        <v>1640508.3683918151</v>
      </c>
      <c r="K326" s="18">
        <f t="shared" si="45"/>
        <v>277763.15696160303</v>
      </c>
      <c r="L326" s="18">
        <f t="shared" si="46"/>
        <v>2562745.2114302116</v>
      </c>
    </row>
    <row r="327" spans="1:12" x14ac:dyDescent="0.3">
      <c r="A327">
        <v>322</v>
      </c>
      <c r="B327" s="17">
        <v>54636</v>
      </c>
      <c r="C327" s="18">
        <f t="shared" si="47"/>
        <v>277763.15696160303</v>
      </c>
      <c r="D327" s="18">
        <f t="shared" ref="D327:D365" si="50">$C$6/((($E$2)-1)/($E$1*$E$2))</f>
        <v>7983.6299421501908</v>
      </c>
      <c r="E327" s="18">
        <f t="shared" ref="E327:E365" si="51">D327-G327</f>
        <v>6363.3448598741734</v>
      </c>
      <c r="F327" s="16">
        <f t="shared" ref="F327:F365" si="52">(E327/C327)*12</f>
        <v>0.27491096786837654</v>
      </c>
      <c r="G327" s="18">
        <f t="shared" ref="G327:G365" si="53">C327*($B$1/12)</f>
        <v>1620.2850822760176</v>
      </c>
      <c r="H327" s="16">
        <f t="shared" ref="H327:H365" si="54">(G327/C327)*12</f>
        <v>7.0000000000000007E-2</v>
      </c>
      <c r="I327" s="18">
        <f t="shared" si="48"/>
        <v>928600.1878982709</v>
      </c>
      <c r="J327" s="18">
        <f t="shared" si="49"/>
        <v>1642128.6534740911</v>
      </c>
      <c r="K327" s="18">
        <f t="shared" ref="K327:K365" si="55">C327-E327</f>
        <v>271399.81210172886</v>
      </c>
      <c r="L327" s="18">
        <f t="shared" ref="L327:L365" si="56">I327+J327</f>
        <v>2570728.8413723619</v>
      </c>
    </row>
    <row r="328" spans="1:12" x14ac:dyDescent="0.3">
      <c r="A328">
        <v>323</v>
      </c>
      <c r="B328" s="17">
        <v>54667</v>
      </c>
      <c r="C328" s="18">
        <f t="shared" ref="C328:C365" si="57">K327</f>
        <v>271399.81210172886</v>
      </c>
      <c r="D328" s="18">
        <f t="shared" si="50"/>
        <v>7983.6299421501908</v>
      </c>
      <c r="E328" s="18">
        <f t="shared" si="51"/>
        <v>6400.4643715567727</v>
      </c>
      <c r="F328" s="16">
        <f t="shared" si="52"/>
        <v>0.28299788369010448</v>
      </c>
      <c r="G328" s="18">
        <f t="shared" si="53"/>
        <v>1583.1655705934184</v>
      </c>
      <c r="H328" s="16">
        <f t="shared" si="54"/>
        <v>7.0000000000000007E-2</v>
      </c>
      <c r="I328" s="18">
        <f t="shared" ref="I328:I365" si="58">I327+E328</f>
        <v>935000.65226982767</v>
      </c>
      <c r="J328" s="18">
        <f t="shared" ref="J328:J364" si="59">J327+G328</f>
        <v>1643711.8190446845</v>
      </c>
      <c r="K328" s="18">
        <f t="shared" si="55"/>
        <v>264999.3477301721</v>
      </c>
      <c r="L328" s="18">
        <f t="shared" si="56"/>
        <v>2578712.4713145122</v>
      </c>
    </row>
    <row r="329" spans="1:12" x14ac:dyDescent="0.3">
      <c r="A329">
        <v>324</v>
      </c>
      <c r="B329" s="17">
        <v>54697</v>
      </c>
      <c r="C329" s="18">
        <f t="shared" si="57"/>
        <v>264999.3477301721</v>
      </c>
      <c r="D329" s="18">
        <f t="shared" si="50"/>
        <v>7983.6299421501908</v>
      </c>
      <c r="E329" s="18">
        <f t="shared" si="51"/>
        <v>6437.8004137241869</v>
      </c>
      <c r="F329" s="16">
        <f t="shared" si="52"/>
        <v>0.2915237551578862</v>
      </c>
      <c r="G329" s="18">
        <f t="shared" si="53"/>
        <v>1545.8295284260039</v>
      </c>
      <c r="H329" s="16">
        <f t="shared" si="54"/>
        <v>7.0000000000000007E-2</v>
      </c>
      <c r="I329" s="18">
        <f t="shared" si="58"/>
        <v>941438.45268355182</v>
      </c>
      <c r="J329" s="18">
        <f t="shared" si="59"/>
        <v>1645257.6485731106</v>
      </c>
      <c r="K329" s="18">
        <f t="shared" si="55"/>
        <v>258561.54731644792</v>
      </c>
      <c r="L329" s="18">
        <f t="shared" si="56"/>
        <v>2586696.1012566625</v>
      </c>
    </row>
    <row r="330" spans="1:12" x14ac:dyDescent="0.3">
      <c r="A330">
        <v>325</v>
      </c>
      <c r="B330" s="17">
        <v>54728</v>
      </c>
      <c r="C330" s="18">
        <f t="shared" si="57"/>
        <v>258561.54731644792</v>
      </c>
      <c r="D330" s="18">
        <f t="shared" si="50"/>
        <v>7983.6299421501908</v>
      </c>
      <c r="E330" s="18">
        <f t="shared" si="51"/>
        <v>6475.3542494709109</v>
      </c>
      <c r="F330" s="16">
        <f t="shared" si="52"/>
        <v>0.30052516238445298</v>
      </c>
      <c r="G330" s="18">
        <f t="shared" si="53"/>
        <v>1508.2756926792797</v>
      </c>
      <c r="H330" s="16">
        <f t="shared" si="54"/>
        <v>7.0000000000000007E-2</v>
      </c>
      <c r="I330" s="18">
        <f t="shared" si="58"/>
        <v>947913.80693302269</v>
      </c>
      <c r="J330" s="18">
        <f t="shared" si="59"/>
        <v>1646765.9242657898</v>
      </c>
      <c r="K330" s="18">
        <f t="shared" si="55"/>
        <v>252086.19306697702</v>
      </c>
      <c r="L330" s="18">
        <f t="shared" si="56"/>
        <v>2594679.7311988124</v>
      </c>
    </row>
    <row r="331" spans="1:12" x14ac:dyDescent="0.3">
      <c r="A331">
        <v>326</v>
      </c>
      <c r="B331" s="17">
        <v>54758</v>
      </c>
      <c r="C331" s="18">
        <f t="shared" si="57"/>
        <v>252086.19306697702</v>
      </c>
      <c r="D331" s="18">
        <f t="shared" si="50"/>
        <v>7983.6299421501908</v>
      </c>
      <c r="E331" s="18">
        <f t="shared" si="51"/>
        <v>6513.1271492594915</v>
      </c>
      <c r="F331" s="16">
        <f t="shared" si="52"/>
        <v>0.31004286605394588</v>
      </c>
      <c r="G331" s="18">
        <f t="shared" si="53"/>
        <v>1470.5027928906993</v>
      </c>
      <c r="H331" s="16">
        <f t="shared" si="54"/>
        <v>7.0000000000000007E-2</v>
      </c>
      <c r="I331" s="18">
        <f t="shared" si="58"/>
        <v>954426.93408228213</v>
      </c>
      <c r="J331" s="18">
        <f t="shared" si="59"/>
        <v>1648236.4270586804</v>
      </c>
      <c r="K331" s="18">
        <f t="shared" si="55"/>
        <v>245573.06591771753</v>
      </c>
      <c r="L331" s="18">
        <f t="shared" si="56"/>
        <v>2602663.3611409627</v>
      </c>
    </row>
    <row r="332" spans="1:12" x14ac:dyDescent="0.3">
      <c r="A332">
        <v>327</v>
      </c>
      <c r="B332" s="17">
        <v>54789</v>
      </c>
      <c r="C332" s="18">
        <f t="shared" si="57"/>
        <v>245573.06591771753</v>
      </c>
      <c r="D332" s="18">
        <f t="shared" si="50"/>
        <v>7983.6299421501908</v>
      </c>
      <c r="E332" s="18">
        <f t="shared" si="51"/>
        <v>6551.1203909635051</v>
      </c>
      <c r="F332" s="16">
        <f t="shared" si="52"/>
        <v>0.32012242221181753</v>
      </c>
      <c r="G332" s="18">
        <f t="shared" si="53"/>
        <v>1432.5095511866857</v>
      </c>
      <c r="H332" s="16">
        <f t="shared" si="54"/>
        <v>7.0000000000000007E-2</v>
      </c>
      <c r="I332" s="18">
        <f t="shared" si="58"/>
        <v>960978.05447324563</v>
      </c>
      <c r="J332" s="18">
        <f t="shared" si="59"/>
        <v>1649668.936609867</v>
      </c>
      <c r="K332" s="18">
        <f t="shared" si="55"/>
        <v>239021.94552675402</v>
      </c>
      <c r="L332" s="18">
        <f t="shared" si="56"/>
        <v>2610646.9910831125</v>
      </c>
    </row>
    <row r="333" spans="1:12" x14ac:dyDescent="0.3">
      <c r="A333">
        <v>328</v>
      </c>
      <c r="B333" s="17">
        <v>54820</v>
      </c>
      <c r="C333" s="18">
        <f t="shared" si="57"/>
        <v>239021.94552675402</v>
      </c>
      <c r="D333" s="18">
        <f t="shared" si="50"/>
        <v>7983.6299421501908</v>
      </c>
      <c r="E333" s="18">
        <f t="shared" si="51"/>
        <v>6589.335259910792</v>
      </c>
      <c r="F333" s="16">
        <f t="shared" si="52"/>
        <v>0.33081490883471565</v>
      </c>
      <c r="G333" s="18">
        <f t="shared" si="53"/>
        <v>1394.2946822393985</v>
      </c>
      <c r="H333" s="16">
        <f t="shared" si="54"/>
        <v>7.0000000000000007E-2</v>
      </c>
      <c r="I333" s="18">
        <f t="shared" si="58"/>
        <v>967567.38973315642</v>
      </c>
      <c r="J333" s="18">
        <f t="shared" si="59"/>
        <v>1651063.2312921064</v>
      </c>
      <c r="K333" s="18">
        <f t="shared" si="55"/>
        <v>232432.61026684323</v>
      </c>
      <c r="L333" s="18">
        <f t="shared" si="56"/>
        <v>2618630.6210252629</v>
      </c>
    </row>
    <row r="334" spans="1:12" x14ac:dyDescent="0.3">
      <c r="A334">
        <v>329</v>
      </c>
      <c r="B334" s="17">
        <v>54848</v>
      </c>
      <c r="C334" s="18">
        <f t="shared" si="57"/>
        <v>232432.61026684323</v>
      </c>
      <c r="D334" s="18">
        <f t="shared" si="50"/>
        <v>7983.6299421501908</v>
      </c>
      <c r="E334" s="18">
        <f t="shared" si="51"/>
        <v>6627.7730489269388</v>
      </c>
      <c r="F334" s="16">
        <f t="shared" si="52"/>
        <v>0.34217778863222093</v>
      </c>
      <c r="G334" s="18">
        <f t="shared" si="53"/>
        <v>1355.8568932232522</v>
      </c>
      <c r="H334" s="16">
        <f t="shared" si="54"/>
        <v>7.0000000000000007E-2</v>
      </c>
      <c r="I334" s="18">
        <f t="shared" si="58"/>
        <v>974195.16278208338</v>
      </c>
      <c r="J334" s="18">
        <f t="shared" si="59"/>
        <v>1652419.0881853297</v>
      </c>
      <c r="K334" s="18">
        <f t="shared" si="55"/>
        <v>225804.8372179163</v>
      </c>
      <c r="L334" s="18">
        <f t="shared" si="56"/>
        <v>2626614.2509674132</v>
      </c>
    </row>
    <row r="335" spans="1:12" x14ac:dyDescent="0.3">
      <c r="A335">
        <v>330</v>
      </c>
      <c r="B335" s="17">
        <v>54879</v>
      </c>
      <c r="C335" s="18">
        <f t="shared" si="57"/>
        <v>225804.8372179163</v>
      </c>
      <c r="D335" s="18">
        <f t="shared" si="50"/>
        <v>7983.6299421501908</v>
      </c>
      <c r="E335" s="18">
        <f t="shared" si="51"/>
        <v>6666.4350583790128</v>
      </c>
      <c r="F335" s="16">
        <f t="shared" si="52"/>
        <v>0.35427593884246888</v>
      </c>
      <c r="G335" s="18">
        <f t="shared" si="53"/>
        <v>1317.1948837711784</v>
      </c>
      <c r="H335" s="16">
        <f t="shared" si="54"/>
        <v>7.0000000000000007E-2</v>
      </c>
      <c r="I335" s="18">
        <f t="shared" si="58"/>
        <v>980861.59784046235</v>
      </c>
      <c r="J335" s="18">
        <f t="shared" si="59"/>
        <v>1653736.2830691009</v>
      </c>
      <c r="K335" s="18">
        <f t="shared" si="55"/>
        <v>219138.40215953728</v>
      </c>
      <c r="L335" s="18">
        <f t="shared" si="56"/>
        <v>2634597.880909563</v>
      </c>
    </row>
    <row r="336" spans="1:12" x14ac:dyDescent="0.3">
      <c r="A336">
        <v>331</v>
      </c>
      <c r="B336" s="17">
        <v>54909</v>
      </c>
      <c r="C336" s="18">
        <f t="shared" si="57"/>
        <v>219138.40215953728</v>
      </c>
      <c r="D336" s="18">
        <f t="shared" si="50"/>
        <v>7983.6299421501908</v>
      </c>
      <c r="E336" s="18">
        <f t="shared" si="51"/>
        <v>6705.3225962195565</v>
      </c>
      <c r="F336" s="16">
        <f t="shared" si="52"/>
        <v>0.36718288698689749</v>
      </c>
      <c r="G336" s="18">
        <f t="shared" si="53"/>
        <v>1278.3073459306343</v>
      </c>
      <c r="H336" s="16">
        <f t="shared" si="54"/>
        <v>7.0000000000000007E-2</v>
      </c>
      <c r="I336" s="18">
        <f t="shared" si="58"/>
        <v>987566.92043668195</v>
      </c>
      <c r="J336" s="18">
        <f t="shared" si="59"/>
        <v>1655014.5904150316</v>
      </c>
      <c r="K336" s="18">
        <f t="shared" si="55"/>
        <v>212433.07956331773</v>
      </c>
      <c r="L336" s="18">
        <f t="shared" si="56"/>
        <v>2642581.5108517138</v>
      </c>
    </row>
    <row r="337" spans="1:12" x14ac:dyDescent="0.3">
      <c r="A337">
        <v>332</v>
      </c>
      <c r="B337" s="17">
        <v>54940</v>
      </c>
      <c r="C337" s="18">
        <f t="shared" si="57"/>
        <v>212433.07956331773</v>
      </c>
      <c r="D337" s="18">
        <f t="shared" si="50"/>
        <v>7983.6299421501908</v>
      </c>
      <c r="E337" s="18">
        <f t="shared" si="51"/>
        <v>6744.4369780308371</v>
      </c>
      <c r="F337" s="16">
        <f t="shared" si="52"/>
        <v>0.38098230229839092</v>
      </c>
      <c r="G337" s="18">
        <f t="shared" si="53"/>
        <v>1239.1929641193535</v>
      </c>
      <c r="H337" s="16">
        <f t="shared" si="54"/>
        <v>7.0000000000000007E-2</v>
      </c>
      <c r="I337" s="18">
        <f t="shared" si="58"/>
        <v>994311.35741471278</v>
      </c>
      <c r="J337" s="18">
        <f t="shared" si="59"/>
        <v>1656253.783379151</v>
      </c>
      <c r="K337" s="18">
        <f t="shared" si="55"/>
        <v>205688.6425852869</v>
      </c>
      <c r="L337" s="18">
        <f t="shared" si="56"/>
        <v>2650565.1407938637</v>
      </c>
    </row>
    <row r="338" spans="1:12" x14ac:dyDescent="0.3">
      <c r="A338">
        <v>333</v>
      </c>
      <c r="B338" s="17">
        <v>54970</v>
      </c>
      <c r="C338" s="18">
        <f t="shared" si="57"/>
        <v>205688.6425852869</v>
      </c>
      <c r="D338" s="18">
        <f t="shared" si="50"/>
        <v>7983.6299421501908</v>
      </c>
      <c r="E338" s="18">
        <f t="shared" si="51"/>
        <v>6783.7795270693505</v>
      </c>
      <c r="F338" s="16">
        <f t="shared" si="52"/>
        <v>0.39576980674116813</v>
      </c>
      <c r="G338" s="18">
        <f t="shared" si="53"/>
        <v>1199.8504150808403</v>
      </c>
      <c r="H338" s="16">
        <f t="shared" si="54"/>
        <v>7.0000000000000007E-2</v>
      </c>
      <c r="I338" s="18">
        <f t="shared" si="58"/>
        <v>1001095.1369417821</v>
      </c>
      <c r="J338" s="18">
        <f t="shared" si="59"/>
        <v>1657453.6337942318</v>
      </c>
      <c r="K338" s="18">
        <f t="shared" si="55"/>
        <v>198904.86305821754</v>
      </c>
      <c r="L338" s="18">
        <f t="shared" si="56"/>
        <v>2658548.770736014</v>
      </c>
    </row>
    <row r="339" spans="1:12" x14ac:dyDescent="0.3">
      <c r="A339">
        <v>334</v>
      </c>
      <c r="B339" s="17">
        <v>55001</v>
      </c>
      <c r="C339" s="18">
        <f t="shared" si="57"/>
        <v>198904.86305821754</v>
      </c>
      <c r="D339" s="18">
        <f t="shared" si="50"/>
        <v>7983.6299421501908</v>
      </c>
      <c r="E339" s="18">
        <f t="shared" si="51"/>
        <v>6823.3515743105881</v>
      </c>
      <c r="F339" s="16">
        <f t="shared" si="52"/>
        <v>0.41165518847953714</v>
      </c>
      <c r="G339" s="18">
        <f t="shared" si="53"/>
        <v>1160.2783678396024</v>
      </c>
      <c r="H339" s="16">
        <f t="shared" si="54"/>
        <v>7.0000000000000007E-2</v>
      </c>
      <c r="I339" s="18">
        <f t="shared" si="58"/>
        <v>1007918.4885160926</v>
      </c>
      <c r="J339" s="18">
        <f t="shared" si="59"/>
        <v>1658613.9121620713</v>
      </c>
      <c r="K339" s="18">
        <f t="shared" si="55"/>
        <v>192081.51148390694</v>
      </c>
      <c r="L339" s="18">
        <f t="shared" si="56"/>
        <v>2666532.4006781639</v>
      </c>
    </row>
    <row r="340" spans="1:12" x14ac:dyDescent="0.3">
      <c r="A340">
        <v>335</v>
      </c>
      <c r="B340" s="17">
        <v>55032</v>
      </c>
      <c r="C340" s="18">
        <f t="shared" si="57"/>
        <v>192081.51148390694</v>
      </c>
      <c r="D340" s="18">
        <f t="shared" si="50"/>
        <v>7983.6299421501908</v>
      </c>
      <c r="E340" s="18">
        <f t="shared" si="51"/>
        <v>6863.1544584940666</v>
      </c>
      <c r="F340" s="16">
        <f t="shared" si="52"/>
        <v>0.42876512614713014</v>
      </c>
      <c r="G340" s="18">
        <f t="shared" si="53"/>
        <v>1120.475483656124</v>
      </c>
      <c r="H340" s="16">
        <f t="shared" si="54"/>
        <v>7.0000000000000007E-2</v>
      </c>
      <c r="I340" s="18">
        <f t="shared" si="58"/>
        <v>1014781.6429745867</v>
      </c>
      <c r="J340" s="18">
        <f t="shared" si="59"/>
        <v>1659734.3876457275</v>
      </c>
      <c r="K340" s="18">
        <f t="shared" si="55"/>
        <v>185218.35702541287</v>
      </c>
      <c r="L340" s="18">
        <f t="shared" si="56"/>
        <v>2674516.0306203142</v>
      </c>
    </row>
    <row r="341" spans="1:12" x14ac:dyDescent="0.3">
      <c r="A341">
        <f>A340+1</f>
        <v>336</v>
      </c>
      <c r="B341" s="17"/>
      <c r="C341" s="18">
        <f t="shared" si="57"/>
        <v>185218.35702541287</v>
      </c>
      <c r="D341" s="18">
        <f t="shared" si="50"/>
        <v>7983.6299421501908</v>
      </c>
      <c r="E341" s="18">
        <f t="shared" si="51"/>
        <v>6903.1895261686159</v>
      </c>
      <c r="F341" s="16">
        <f t="shared" si="52"/>
        <v>0.44724656694075726</v>
      </c>
      <c r="G341" s="18">
        <f t="shared" si="53"/>
        <v>1080.4404159815751</v>
      </c>
      <c r="H341" s="16">
        <f t="shared" si="54"/>
        <v>7.0000000000000007E-2</v>
      </c>
      <c r="I341" s="18">
        <f t="shared" si="58"/>
        <v>1021684.8325007553</v>
      </c>
      <c r="J341" s="18">
        <f t="shared" si="59"/>
        <v>1660814.8280617092</v>
      </c>
      <c r="K341" s="18">
        <f t="shared" si="55"/>
        <v>178315.16749924424</v>
      </c>
      <c r="L341" s="18">
        <f t="shared" si="56"/>
        <v>2682499.6605624645</v>
      </c>
    </row>
    <row r="342" spans="1:12" x14ac:dyDescent="0.3">
      <c r="A342">
        <f t="shared" ref="A342:A365" si="60">A341+1</f>
        <v>337</v>
      </c>
      <c r="B342" s="17"/>
      <c r="C342" s="18">
        <f t="shared" si="57"/>
        <v>178315.16749924424</v>
      </c>
      <c r="D342" s="18">
        <f t="shared" si="50"/>
        <v>7983.6299421501908</v>
      </c>
      <c r="E342" s="18">
        <f t="shared" si="51"/>
        <v>6943.4581317379325</v>
      </c>
      <c r="F342" s="16">
        <f t="shared" si="52"/>
        <v>0.46727094923772161</v>
      </c>
      <c r="G342" s="18">
        <f t="shared" si="53"/>
        <v>1040.1718104122581</v>
      </c>
      <c r="H342" s="16">
        <f t="shared" si="54"/>
        <v>7.0000000000000007E-2</v>
      </c>
      <c r="I342" s="18">
        <f t="shared" si="58"/>
        <v>1028628.2906324932</v>
      </c>
      <c r="J342" s="18">
        <f t="shared" si="59"/>
        <v>1661854.9998721215</v>
      </c>
      <c r="K342" s="18">
        <f t="shared" si="55"/>
        <v>171371.70936750632</v>
      </c>
      <c r="L342" s="18">
        <f t="shared" si="56"/>
        <v>2690483.2905046148</v>
      </c>
    </row>
    <row r="343" spans="1:12" x14ac:dyDescent="0.3">
      <c r="A343">
        <f t="shared" si="60"/>
        <v>338</v>
      </c>
      <c r="B343" s="17"/>
      <c r="C343" s="18">
        <f t="shared" si="57"/>
        <v>171371.70936750632</v>
      </c>
      <c r="D343" s="18">
        <f t="shared" si="50"/>
        <v>7983.6299421501908</v>
      </c>
      <c r="E343" s="18">
        <f t="shared" si="51"/>
        <v>6983.9616375064043</v>
      </c>
      <c r="F343" s="16">
        <f t="shared" si="52"/>
        <v>0.48903952676548101</v>
      </c>
      <c r="G343" s="18">
        <f t="shared" si="53"/>
        <v>999.66830464378688</v>
      </c>
      <c r="H343" s="16">
        <f t="shared" si="54"/>
        <v>7.0000000000000007E-2</v>
      </c>
      <c r="I343" s="18">
        <f t="shared" si="58"/>
        <v>1035612.2522699996</v>
      </c>
      <c r="J343" s="18">
        <f t="shared" si="59"/>
        <v>1662854.6681767653</v>
      </c>
      <c r="K343" s="18">
        <f t="shared" si="55"/>
        <v>164387.74772999992</v>
      </c>
      <c r="L343" s="18">
        <f t="shared" si="56"/>
        <v>2698466.9204467647</v>
      </c>
    </row>
    <row r="344" spans="1:12" x14ac:dyDescent="0.3">
      <c r="A344">
        <f t="shared" si="60"/>
        <v>339</v>
      </c>
      <c r="B344" s="17"/>
      <c r="C344" s="18">
        <f t="shared" si="57"/>
        <v>164387.74772999992</v>
      </c>
      <c r="D344" s="18">
        <f t="shared" si="50"/>
        <v>7983.6299421501908</v>
      </c>
      <c r="E344" s="18">
        <f t="shared" si="51"/>
        <v>7024.7014137251917</v>
      </c>
      <c r="F344" s="16">
        <f t="shared" si="52"/>
        <v>0.51279014481757901</v>
      </c>
      <c r="G344" s="18">
        <f t="shared" si="53"/>
        <v>958.92852842499951</v>
      </c>
      <c r="H344" s="16">
        <f t="shared" si="54"/>
        <v>7.0000000000000007E-2</v>
      </c>
      <c r="I344" s="18">
        <f t="shared" si="58"/>
        <v>1042636.9536837247</v>
      </c>
      <c r="J344" s="18">
        <f t="shared" si="59"/>
        <v>1663813.5967051904</v>
      </c>
      <c r="K344" s="18">
        <f t="shared" si="55"/>
        <v>157363.04631627473</v>
      </c>
      <c r="L344" s="18">
        <f t="shared" si="56"/>
        <v>2706450.550388915</v>
      </c>
    </row>
    <row r="345" spans="1:12" x14ac:dyDescent="0.3">
      <c r="A345">
        <f t="shared" si="60"/>
        <v>340</v>
      </c>
      <c r="B345" s="17"/>
      <c r="C345" s="18">
        <f t="shared" si="57"/>
        <v>157363.04631627473</v>
      </c>
      <c r="D345" s="18">
        <f t="shared" si="50"/>
        <v>7983.6299421501908</v>
      </c>
      <c r="E345" s="18">
        <f t="shared" si="51"/>
        <v>7065.6788386385879</v>
      </c>
      <c r="F345" s="16">
        <f t="shared" si="52"/>
        <v>0.53880595253127184</v>
      </c>
      <c r="G345" s="18">
        <f t="shared" si="53"/>
        <v>917.9511035116027</v>
      </c>
      <c r="H345" s="16">
        <f t="shared" si="54"/>
        <v>7.0000000000000007E-2</v>
      </c>
      <c r="I345" s="18">
        <f t="shared" si="58"/>
        <v>1049702.6325223632</v>
      </c>
      <c r="J345" s="18">
        <f t="shared" si="59"/>
        <v>1664731.5478087019</v>
      </c>
      <c r="K345" s="18">
        <f t="shared" si="55"/>
        <v>150297.36747763614</v>
      </c>
      <c r="L345" s="18">
        <f t="shared" si="56"/>
        <v>2714434.1803310653</v>
      </c>
    </row>
    <row r="346" spans="1:12" x14ac:dyDescent="0.3">
      <c r="A346">
        <f t="shared" si="60"/>
        <v>341</v>
      </c>
      <c r="B346" s="17"/>
      <c r="C346" s="18">
        <f t="shared" si="57"/>
        <v>150297.36747763614</v>
      </c>
      <c r="D346" s="18">
        <f t="shared" si="50"/>
        <v>7983.6299421501908</v>
      </c>
      <c r="E346" s="18">
        <f t="shared" si="51"/>
        <v>7106.8952985306469</v>
      </c>
      <c r="F346" s="16">
        <f t="shared" si="52"/>
        <v>0.56742672884844514</v>
      </c>
      <c r="G346" s="18">
        <f t="shared" si="53"/>
        <v>876.73464361954416</v>
      </c>
      <c r="H346" s="16">
        <f t="shared" si="54"/>
        <v>7.0000000000000007E-2</v>
      </c>
      <c r="I346" s="18">
        <f t="shared" si="58"/>
        <v>1056809.5278208938</v>
      </c>
      <c r="J346" s="18">
        <f t="shared" si="59"/>
        <v>1665608.2824523214</v>
      </c>
      <c r="K346" s="18">
        <f t="shared" si="55"/>
        <v>143190.47217910551</v>
      </c>
      <c r="L346" s="18">
        <f t="shared" si="56"/>
        <v>2722417.8102732152</v>
      </c>
    </row>
    <row r="347" spans="1:12" x14ac:dyDescent="0.3">
      <c r="A347">
        <f t="shared" si="60"/>
        <v>342</v>
      </c>
      <c r="B347" s="17"/>
      <c r="C347" s="18">
        <f t="shared" si="57"/>
        <v>143190.47217910551</v>
      </c>
      <c r="D347" s="18">
        <f t="shared" si="50"/>
        <v>7983.6299421501908</v>
      </c>
      <c r="E347" s="18">
        <f t="shared" si="51"/>
        <v>7148.352187772075</v>
      </c>
      <c r="F347" s="16">
        <f t="shared" si="52"/>
        <v>0.59906378509576586</v>
      </c>
      <c r="G347" s="18">
        <f t="shared" si="53"/>
        <v>835.27775437811545</v>
      </c>
      <c r="H347" s="16">
        <f t="shared" si="54"/>
        <v>7.0000000000000007E-2</v>
      </c>
      <c r="I347" s="18">
        <f t="shared" si="58"/>
        <v>1063957.8800086658</v>
      </c>
      <c r="J347" s="18">
        <f t="shared" si="59"/>
        <v>1666443.5602066994</v>
      </c>
      <c r="K347" s="18">
        <f t="shared" si="55"/>
        <v>136042.11999133343</v>
      </c>
      <c r="L347" s="18">
        <f t="shared" si="56"/>
        <v>2730401.440215365</v>
      </c>
    </row>
    <row r="348" spans="1:12" x14ac:dyDescent="0.3">
      <c r="A348">
        <f t="shared" si="60"/>
        <v>343</v>
      </c>
      <c r="B348" s="17"/>
      <c r="C348" s="18">
        <f t="shared" si="57"/>
        <v>136042.11999133343</v>
      </c>
      <c r="D348" s="18">
        <f t="shared" si="50"/>
        <v>7983.6299421501908</v>
      </c>
      <c r="E348" s="18">
        <f t="shared" si="51"/>
        <v>7190.0509088674125</v>
      </c>
      <c r="F348" s="16">
        <f t="shared" si="52"/>
        <v>0.63421983509155444</v>
      </c>
      <c r="G348" s="18">
        <f t="shared" si="53"/>
        <v>793.57903328277837</v>
      </c>
      <c r="H348" s="16">
        <f t="shared" si="54"/>
        <v>7.0000000000000007E-2</v>
      </c>
      <c r="I348" s="18">
        <f t="shared" si="58"/>
        <v>1071147.9309175333</v>
      </c>
      <c r="J348" s="18">
        <f t="shared" si="59"/>
        <v>1667237.1392399822</v>
      </c>
      <c r="K348" s="18">
        <f t="shared" si="55"/>
        <v>128852.06908246601</v>
      </c>
      <c r="L348" s="18">
        <f t="shared" si="56"/>
        <v>2738385.0701575158</v>
      </c>
    </row>
    <row r="349" spans="1:12" x14ac:dyDescent="0.3">
      <c r="A349">
        <f t="shared" si="60"/>
        <v>344</v>
      </c>
      <c r="B349" s="17"/>
      <c r="C349" s="18">
        <f t="shared" si="57"/>
        <v>128852.06908246601</v>
      </c>
      <c r="D349" s="18">
        <f t="shared" si="50"/>
        <v>7983.6299421501908</v>
      </c>
      <c r="E349" s="18">
        <f t="shared" si="51"/>
        <v>7231.992872502472</v>
      </c>
      <c r="F349" s="16">
        <f t="shared" si="52"/>
        <v>0.67351587823155168</v>
      </c>
      <c r="G349" s="18">
        <f t="shared" si="53"/>
        <v>751.63706964771848</v>
      </c>
      <c r="H349" s="16">
        <f t="shared" si="54"/>
        <v>7.0000000000000007E-2</v>
      </c>
      <c r="I349" s="18">
        <f t="shared" si="58"/>
        <v>1078379.9237900358</v>
      </c>
      <c r="J349" s="18">
        <f t="shared" si="59"/>
        <v>1667988.7763096299</v>
      </c>
      <c r="K349" s="18">
        <f t="shared" si="55"/>
        <v>121620.07620996355</v>
      </c>
      <c r="L349" s="18">
        <f t="shared" si="56"/>
        <v>2746368.7000996657</v>
      </c>
    </row>
    <row r="350" spans="1:12" x14ac:dyDescent="0.3">
      <c r="A350">
        <f t="shared" si="60"/>
        <v>345</v>
      </c>
      <c r="B350" s="17"/>
      <c r="C350" s="18">
        <f t="shared" si="57"/>
        <v>121620.07620996355</v>
      </c>
      <c r="D350" s="18">
        <f t="shared" si="50"/>
        <v>7983.6299421501908</v>
      </c>
      <c r="E350" s="18">
        <f t="shared" si="51"/>
        <v>7274.1794975920702</v>
      </c>
      <c r="F350" s="16">
        <f t="shared" si="52"/>
        <v>0.71772816373185044</v>
      </c>
      <c r="G350" s="18">
        <f t="shared" si="53"/>
        <v>709.45044455812069</v>
      </c>
      <c r="H350" s="16">
        <f t="shared" si="54"/>
        <v>7.0000000000000007E-2</v>
      </c>
      <c r="I350" s="18">
        <f t="shared" si="58"/>
        <v>1085654.1032876279</v>
      </c>
      <c r="J350" s="18">
        <f t="shared" si="59"/>
        <v>1668698.2267541881</v>
      </c>
      <c r="K350" s="18">
        <f t="shared" si="55"/>
        <v>114345.89671237148</v>
      </c>
      <c r="L350" s="18">
        <f t="shared" si="56"/>
        <v>2754352.330041816</v>
      </c>
    </row>
    <row r="351" spans="1:12" x14ac:dyDescent="0.3">
      <c r="A351">
        <f t="shared" si="60"/>
        <v>346</v>
      </c>
      <c r="B351" s="17"/>
      <c r="C351" s="18">
        <f t="shared" si="57"/>
        <v>114345.89671237148</v>
      </c>
      <c r="D351" s="18">
        <f t="shared" si="50"/>
        <v>7983.6299421501908</v>
      </c>
      <c r="E351" s="18">
        <f t="shared" si="51"/>
        <v>7316.6122113280235</v>
      </c>
      <c r="F351" s="16">
        <f t="shared" si="52"/>
        <v>0.76783994056899951</v>
      </c>
      <c r="G351" s="18">
        <f t="shared" si="53"/>
        <v>667.01773082216698</v>
      </c>
      <c r="H351" s="16">
        <f t="shared" si="54"/>
        <v>7.0000000000000007E-2</v>
      </c>
      <c r="I351" s="18">
        <f t="shared" si="58"/>
        <v>1092970.7154989559</v>
      </c>
      <c r="J351" s="18">
        <f t="shared" si="59"/>
        <v>1669365.2444850102</v>
      </c>
      <c r="K351" s="18">
        <f t="shared" si="55"/>
        <v>107029.28450104345</v>
      </c>
      <c r="L351" s="18">
        <f t="shared" si="56"/>
        <v>2762335.9599839663</v>
      </c>
    </row>
    <row r="352" spans="1:12" x14ac:dyDescent="0.3">
      <c r="A352">
        <f t="shared" si="60"/>
        <v>347</v>
      </c>
      <c r="B352" s="17"/>
      <c r="C352" s="18">
        <f t="shared" si="57"/>
        <v>107029.28450104345</v>
      </c>
      <c r="D352" s="18">
        <f t="shared" si="50"/>
        <v>7983.6299421501908</v>
      </c>
      <c r="E352" s="18">
        <f t="shared" si="51"/>
        <v>7359.2924492274369</v>
      </c>
      <c r="F352" s="16">
        <f t="shared" si="52"/>
        <v>0.82511538596586875</v>
      </c>
      <c r="G352" s="18">
        <f t="shared" si="53"/>
        <v>624.33749292275354</v>
      </c>
      <c r="H352" s="16">
        <f t="shared" si="54"/>
        <v>7.0000000000000007E-2</v>
      </c>
      <c r="I352" s="18">
        <f t="shared" si="58"/>
        <v>1100330.0079481835</v>
      </c>
      <c r="J352" s="18">
        <f t="shared" si="59"/>
        <v>1669989.5819779329</v>
      </c>
      <c r="K352" s="18">
        <f t="shared" si="55"/>
        <v>99669.992051816022</v>
      </c>
      <c r="L352" s="18">
        <f t="shared" si="56"/>
        <v>2770319.5899261162</v>
      </c>
    </row>
    <row r="353" spans="1:12" x14ac:dyDescent="0.3">
      <c r="A353">
        <f t="shared" si="60"/>
        <v>348</v>
      </c>
      <c r="B353" s="17"/>
      <c r="C353" s="18">
        <f t="shared" si="57"/>
        <v>99669.992051816022</v>
      </c>
      <c r="D353" s="18">
        <f t="shared" si="50"/>
        <v>7983.6299421501908</v>
      </c>
      <c r="E353" s="18">
        <f t="shared" si="51"/>
        <v>7402.2216551812635</v>
      </c>
      <c r="F353" s="16">
        <f t="shared" si="52"/>
        <v>0.89120765471714225</v>
      </c>
      <c r="G353" s="18">
        <f t="shared" si="53"/>
        <v>581.40828696892686</v>
      </c>
      <c r="H353" s="16">
        <f t="shared" si="54"/>
        <v>7.0000000000000007E-2</v>
      </c>
      <c r="I353" s="18">
        <f t="shared" si="58"/>
        <v>1107732.2296033648</v>
      </c>
      <c r="J353" s="18">
        <f t="shared" si="59"/>
        <v>1670570.9902649019</v>
      </c>
      <c r="K353" s="18">
        <f t="shared" si="55"/>
        <v>92267.770396634762</v>
      </c>
      <c r="L353" s="18">
        <f t="shared" si="56"/>
        <v>2778303.219868267</v>
      </c>
    </row>
    <row r="354" spans="1:12" x14ac:dyDescent="0.3">
      <c r="A354">
        <f t="shared" si="60"/>
        <v>349</v>
      </c>
      <c r="B354" s="17"/>
      <c r="C354" s="18">
        <f t="shared" si="57"/>
        <v>92267.770396634762</v>
      </c>
      <c r="D354" s="18">
        <f t="shared" si="50"/>
        <v>7983.6299421501908</v>
      </c>
      <c r="E354" s="18">
        <f t="shared" si="51"/>
        <v>7445.4012815031547</v>
      </c>
      <c r="F354" s="16">
        <f t="shared" si="52"/>
        <v>0.9683209531775625</v>
      </c>
      <c r="G354" s="18">
        <f t="shared" si="53"/>
        <v>538.22866064703612</v>
      </c>
      <c r="H354" s="16">
        <f t="shared" si="54"/>
        <v>7.0000000000000007E-2</v>
      </c>
      <c r="I354" s="18">
        <f t="shared" si="58"/>
        <v>1115177.6308848681</v>
      </c>
      <c r="J354" s="18">
        <f t="shared" si="59"/>
        <v>1671109.218925549</v>
      </c>
      <c r="K354" s="18">
        <f t="shared" si="55"/>
        <v>84822.369115131602</v>
      </c>
      <c r="L354" s="18">
        <f t="shared" si="56"/>
        <v>2786286.8498104168</v>
      </c>
    </row>
    <row r="355" spans="1:12" x14ac:dyDescent="0.3">
      <c r="A355">
        <f t="shared" si="60"/>
        <v>350</v>
      </c>
      <c r="B355" s="17"/>
      <c r="C355" s="18">
        <f t="shared" si="57"/>
        <v>84822.369115131602</v>
      </c>
      <c r="D355" s="18">
        <f t="shared" si="50"/>
        <v>7983.6299421501908</v>
      </c>
      <c r="E355" s="18">
        <f t="shared" si="51"/>
        <v>7488.8327889785896</v>
      </c>
      <c r="F355" s="16">
        <f t="shared" si="52"/>
        <v>1.0594610172437606</v>
      </c>
      <c r="G355" s="18">
        <f t="shared" si="53"/>
        <v>494.79715317160105</v>
      </c>
      <c r="H355" s="16">
        <f t="shared" si="54"/>
        <v>7.0000000000000007E-2</v>
      </c>
      <c r="I355" s="18">
        <f t="shared" si="58"/>
        <v>1122666.4636738468</v>
      </c>
      <c r="J355" s="18">
        <f t="shared" si="59"/>
        <v>1671604.0160787206</v>
      </c>
      <c r="K355" s="18">
        <f t="shared" si="55"/>
        <v>77333.536326153015</v>
      </c>
      <c r="L355" s="18">
        <f t="shared" si="56"/>
        <v>2794270.4797525676</v>
      </c>
    </row>
    <row r="356" spans="1:12" x14ac:dyDescent="0.3">
      <c r="A356">
        <f t="shared" si="60"/>
        <v>351</v>
      </c>
      <c r="B356" s="17"/>
      <c r="C356" s="18">
        <f t="shared" si="57"/>
        <v>77333.536326153015</v>
      </c>
      <c r="D356" s="18">
        <f t="shared" si="50"/>
        <v>7983.6299421501908</v>
      </c>
      <c r="E356" s="18">
        <f t="shared" si="51"/>
        <v>7532.517646914298</v>
      </c>
      <c r="F356" s="16">
        <f t="shared" si="52"/>
        <v>1.168835877125187</v>
      </c>
      <c r="G356" s="18">
        <f t="shared" si="53"/>
        <v>451.11229523589259</v>
      </c>
      <c r="H356" s="16">
        <f t="shared" si="54"/>
        <v>7.0000000000000007E-2</v>
      </c>
      <c r="I356" s="18">
        <f t="shared" si="58"/>
        <v>1130198.9813207611</v>
      </c>
      <c r="J356" s="18">
        <f t="shared" si="59"/>
        <v>1672055.1283739565</v>
      </c>
      <c r="K356" s="18">
        <f t="shared" si="55"/>
        <v>69801.01867923871</v>
      </c>
      <c r="L356" s="18">
        <f t="shared" si="56"/>
        <v>2802254.1096947175</v>
      </c>
    </row>
    <row r="357" spans="1:12" x14ac:dyDescent="0.3">
      <c r="A357">
        <f t="shared" si="60"/>
        <v>352</v>
      </c>
      <c r="B357" s="17"/>
      <c r="C357" s="18">
        <f t="shared" si="57"/>
        <v>69801.01867923871</v>
      </c>
      <c r="D357" s="18">
        <f t="shared" si="50"/>
        <v>7983.6299421501908</v>
      </c>
      <c r="E357" s="18">
        <f t="shared" si="51"/>
        <v>7576.4573331879647</v>
      </c>
      <c r="F357" s="16">
        <f t="shared" si="52"/>
        <v>1.302523798628997</v>
      </c>
      <c r="G357" s="18">
        <f t="shared" si="53"/>
        <v>407.17260896222581</v>
      </c>
      <c r="H357" s="16">
        <f t="shared" si="54"/>
        <v>7.0000000000000007E-2</v>
      </c>
      <c r="I357" s="18">
        <f t="shared" si="58"/>
        <v>1137775.4386539492</v>
      </c>
      <c r="J357" s="18">
        <f t="shared" si="59"/>
        <v>1672462.3009829188</v>
      </c>
      <c r="K357" s="18">
        <f t="shared" si="55"/>
        <v>62224.561346050745</v>
      </c>
      <c r="L357" s="18">
        <f t="shared" si="56"/>
        <v>2810237.7396368682</v>
      </c>
    </row>
    <row r="358" spans="1:12" x14ac:dyDescent="0.3">
      <c r="A358">
        <f t="shared" si="60"/>
        <v>353</v>
      </c>
      <c r="B358" s="17"/>
      <c r="C358" s="18">
        <f t="shared" si="57"/>
        <v>62224.561346050745</v>
      </c>
      <c r="D358" s="18">
        <f t="shared" si="50"/>
        <v>7983.6299421501908</v>
      </c>
      <c r="E358" s="18">
        <f t="shared" si="51"/>
        <v>7620.6533342982284</v>
      </c>
      <c r="F358" s="16">
        <f t="shared" si="52"/>
        <v>1.4696421804086006</v>
      </c>
      <c r="G358" s="18">
        <f t="shared" si="53"/>
        <v>362.97660785196268</v>
      </c>
      <c r="H358" s="16">
        <f t="shared" si="54"/>
        <v>7.0000000000000007E-2</v>
      </c>
      <c r="I358" s="18">
        <f t="shared" si="58"/>
        <v>1145396.0919882474</v>
      </c>
      <c r="J358" s="18">
        <f t="shared" si="59"/>
        <v>1672825.2775907707</v>
      </c>
      <c r="K358" s="18">
        <f t="shared" si="55"/>
        <v>54603.908011752515</v>
      </c>
      <c r="L358" s="18">
        <f t="shared" si="56"/>
        <v>2818221.3695790181</v>
      </c>
    </row>
    <row r="359" spans="1:12" x14ac:dyDescent="0.3">
      <c r="A359">
        <f t="shared" si="60"/>
        <v>354</v>
      </c>
      <c r="B359" s="17"/>
      <c r="C359" s="18">
        <f t="shared" si="57"/>
        <v>54603.908011752515</v>
      </c>
      <c r="D359" s="18">
        <f t="shared" si="50"/>
        <v>7983.6299421501908</v>
      </c>
      <c r="E359" s="18">
        <f t="shared" si="51"/>
        <v>7665.1071454149678</v>
      </c>
      <c r="F359" s="16">
        <f t="shared" si="52"/>
        <v>1.6845183631395446</v>
      </c>
      <c r="G359" s="18">
        <f t="shared" si="53"/>
        <v>318.52279673522304</v>
      </c>
      <c r="H359" s="16">
        <f t="shared" si="54"/>
        <v>7.0000000000000007E-2</v>
      </c>
      <c r="I359" s="18">
        <f t="shared" si="58"/>
        <v>1153061.1991336623</v>
      </c>
      <c r="J359" s="18">
        <f t="shared" si="59"/>
        <v>1673143.8003875059</v>
      </c>
      <c r="K359" s="18">
        <f t="shared" si="55"/>
        <v>46938.800866337551</v>
      </c>
      <c r="L359" s="18">
        <f t="shared" si="56"/>
        <v>2826204.9995211679</v>
      </c>
    </row>
    <row r="360" spans="1:12" x14ac:dyDescent="0.3">
      <c r="A360">
        <f t="shared" si="60"/>
        <v>355</v>
      </c>
      <c r="B360" s="17"/>
      <c r="C360" s="18">
        <f t="shared" si="57"/>
        <v>46938.800866337551</v>
      </c>
      <c r="D360" s="18">
        <f t="shared" si="50"/>
        <v>7983.6299421501908</v>
      </c>
      <c r="E360" s="18">
        <f t="shared" si="51"/>
        <v>7709.8202704298883</v>
      </c>
      <c r="F360" s="16">
        <f t="shared" si="52"/>
        <v>1.9710312478712766</v>
      </c>
      <c r="G360" s="18">
        <f t="shared" si="53"/>
        <v>273.80967172030239</v>
      </c>
      <c r="H360" s="16">
        <f t="shared" si="54"/>
        <v>7.0000000000000007E-2</v>
      </c>
      <c r="I360" s="18">
        <f t="shared" si="58"/>
        <v>1160771.0194040921</v>
      </c>
      <c r="J360" s="18">
        <f t="shared" si="59"/>
        <v>1673417.6100592262</v>
      </c>
      <c r="K360" s="18">
        <f t="shared" si="55"/>
        <v>39228.980595907662</v>
      </c>
      <c r="L360" s="18">
        <f t="shared" si="56"/>
        <v>2834188.6294633183</v>
      </c>
    </row>
    <row r="361" spans="1:12" x14ac:dyDescent="0.3">
      <c r="A361">
        <f t="shared" si="60"/>
        <v>356</v>
      </c>
      <c r="B361" s="17"/>
      <c r="C361" s="18">
        <f t="shared" si="57"/>
        <v>39228.980595907662</v>
      </c>
      <c r="D361" s="18">
        <f t="shared" si="50"/>
        <v>7983.6299421501908</v>
      </c>
      <c r="E361" s="18">
        <f t="shared" si="51"/>
        <v>7754.7942220073965</v>
      </c>
      <c r="F361" s="16">
        <f t="shared" si="52"/>
        <v>2.3721628564010264</v>
      </c>
      <c r="G361" s="18">
        <f t="shared" si="53"/>
        <v>228.83572014279471</v>
      </c>
      <c r="H361" s="16">
        <f t="shared" si="54"/>
        <v>7.0000000000000007E-2</v>
      </c>
      <c r="I361" s="18">
        <f t="shared" si="58"/>
        <v>1168525.8136260996</v>
      </c>
      <c r="J361" s="18">
        <f t="shared" si="59"/>
        <v>1673646.445779369</v>
      </c>
      <c r="K361" s="18">
        <f t="shared" si="55"/>
        <v>31474.186373900266</v>
      </c>
      <c r="L361" s="18">
        <f t="shared" si="56"/>
        <v>2842172.2594054686</v>
      </c>
    </row>
    <row r="362" spans="1:12" x14ac:dyDescent="0.3">
      <c r="A362">
        <f t="shared" si="60"/>
        <v>357</v>
      </c>
      <c r="B362" s="17"/>
      <c r="C362" s="18">
        <f t="shared" si="57"/>
        <v>31474.186373900266</v>
      </c>
      <c r="D362" s="18">
        <f t="shared" si="50"/>
        <v>7983.6299421501908</v>
      </c>
      <c r="E362" s="18">
        <f t="shared" si="51"/>
        <v>7800.0305216357729</v>
      </c>
      <c r="F362" s="16">
        <f t="shared" si="52"/>
        <v>2.9738772322085083</v>
      </c>
      <c r="G362" s="18">
        <f t="shared" si="53"/>
        <v>183.59942051441823</v>
      </c>
      <c r="H362" s="16">
        <f t="shared" si="54"/>
        <v>7.0000000000000007E-2</v>
      </c>
      <c r="I362" s="18">
        <f t="shared" si="58"/>
        <v>1176325.8441477353</v>
      </c>
      <c r="J362" s="18">
        <f t="shared" si="59"/>
        <v>1673830.0451998834</v>
      </c>
      <c r="K362" s="18">
        <f t="shared" si="55"/>
        <v>23674.155852264492</v>
      </c>
      <c r="L362" s="18">
        <f t="shared" si="56"/>
        <v>2850155.8893476184</v>
      </c>
    </row>
    <row r="363" spans="1:12" x14ac:dyDescent="0.3">
      <c r="A363">
        <f t="shared" si="60"/>
        <v>358</v>
      </c>
      <c r="B363" s="17"/>
      <c r="C363" s="18">
        <f t="shared" si="57"/>
        <v>23674.155852264492</v>
      </c>
      <c r="D363" s="18">
        <f t="shared" si="50"/>
        <v>7983.6299421501908</v>
      </c>
      <c r="E363" s="18">
        <f t="shared" si="51"/>
        <v>7845.5306996786476</v>
      </c>
      <c r="F363" s="16">
        <f t="shared" si="52"/>
        <v>3.9767571432600173</v>
      </c>
      <c r="G363" s="18">
        <f t="shared" si="53"/>
        <v>138.09924247154288</v>
      </c>
      <c r="H363" s="16">
        <f t="shared" si="54"/>
        <v>7.0000000000000007E-2</v>
      </c>
      <c r="I363" s="18">
        <f t="shared" si="58"/>
        <v>1184171.374847414</v>
      </c>
      <c r="J363" s="18">
        <f t="shared" si="59"/>
        <v>1673968.144442355</v>
      </c>
      <c r="K363" s="18">
        <f t="shared" si="55"/>
        <v>15828.625152585844</v>
      </c>
      <c r="L363" s="18">
        <f t="shared" si="56"/>
        <v>2858139.5192897692</v>
      </c>
    </row>
    <row r="364" spans="1:12" x14ac:dyDescent="0.3">
      <c r="A364">
        <f t="shared" si="60"/>
        <v>359</v>
      </c>
      <c r="B364" s="17"/>
      <c r="C364" s="18">
        <f t="shared" si="57"/>
        <v>15828.625152585844</v>
      </c>
      <c r="D364" s="18">
        <f t="shared" si="50"/>
        <v>7983.6299421501908</v>
      </c>
      <c r="E364" s="18">
        <f t="shared" si="51"/>
        <v>7891.2962954267732</v>
      </c>
      <c r="F364" s="16">
        <f t="shared" si="52"/>
        <v>5.9825508932246922</v>
      </c>
      <c r="G364" s="18">
        <f t="shared" si="53"/>
        <v>92.333646723417431</v>
      </c>
      <c r="H364" s="16">
        <f t="shared" si="54"/>
        <v>7.0000000000000007E-2</v>
      </c>
      <c r="I364" s="18">
        <f t="shared" si="58"/>
        <v>1192062.6711428408</v>
      </c>
      <c r="J364" s="18">
        <f t="shared" si="59"/>
        <v>1674060.4780890783</v>
      </c>
      <c r="K364" s="18">
        <f t="shared" si="55"/>
        <v>7937.328857159071</v>
      </c>
      <c r="L364" s="18">
        <f t="shared" si="56"/>
        <v>2866123.1492319191</v>
      </c>
    </row>
    <row r="365" spans="1:12" x14ac:dyDescent="0.3">
      <c r="A365">
        <f t="shared" si="60"/>
        <v>360</v>
      </c>
      <c r="B365" s="17"/>
      <c r="C365" s="18">
        <f t="shared" si="57"/>
        <v>7937.328857159071</v>
      </c>
      <c r="D365" s="18">
        <f t="shared" si="50"/>
        <v>7983.6299421501908</v>
      </c>
      <c r="E365" s="18">
        <f t="shared" si="51"/>
        <v>7937.3288571500962</v>
      </c>
      <c r="F365" s="16">
        <f t="shared" si="52"/>
        <v>11.99999999998643</v>
      </c>
      <c r="G365" s="18">
        <f t="shared" si="53"/>
        <v>46.301085000094581</v>
      </c>
      <c r="H365" s="16">
        <f t="shared" si="54"/>
        <v>7.0000000000000007E-2</v>
      </c>
      <c r="I365" s="18">
        <f t="shared" si="58"/>
        <v>1199999.9999999909</v>
      </c>
      <c r="J365" s="62">
        <f>J364+G365</f>
        <v>1674106.7791740785</v>
      </c>
      <c r="K365" s="18">
        <f t="shared" si="55"/>
        <v>8.9748937170952559E-9</v>
      </c>
      <c r="L365" s="62">
        <f t="shared" si="56"/>
        <v>2874106.7791740694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F512-DEE1-4FDD-95A9-3A7A11102C37}">
  <dimension ref="A1:M56"/>
  <sheetViews>
    <sheetView topLeftCell="A24" zoomScale="105" workbookViewId="0">
      <selection activeCell="E41" sqref="E41"/>
    </sheetView>
  </sheetViews>
  <sheetFormatPr defaultRowHeight="14.4" x14ac:dyDescent="0.3"/>
  <cols>
    <col min="1" max="1" width="39.33203125" customWidth="1"/>
    <col min="2" max="2" width="16.33203125" customWidth="1"/>
    <col min="3" max="3" width="14.33203125" customWidth="1"/>
    <col min="4" max="5" width="9.6640625" customWidth="1"/>
    <col min="6" max="6" width="3.33203125" customWidth="1"/>
    <col min="7" max="7" width="43.109375" customWidth="1"/>
    <col min="8" max="8" width="11.6640625" bestFit="1" customWidth="1"/>
    <col min="9" max="9" width="3.6640625" customWidth="1"/>
    <col min="10" max="10" width="2.88671875" customWidth="1"/>
    <col min="11" max="11" width="39.33203125" bestFit="1" customWidth="1"/>
    <col min="12" max="12" width="12.6640625" bestFit="1" customWidth="1"/>
    <col min="13" max="13" width="11.6640625" bestFit="1" customWidth="1"/>
  </cols>
  <sheetData>
    <row r="1" spans="1:13" x14ac:dyDescent="0.3">
      <c r="A1" s="26" t="s">
        <v>113</v>
      </c>
    </row>
    <row r="2" spans="1:13" x14ac:dyDescent="0.3">
      <c r="A2">
        <v>15000</v>
      </c>
      <c r="B2" t="s">
        <v>22</v>
      </c>
    </row>
    <row r="3" spans="1:13" x14ac:dyDescent="0.3">
      <c r="A3" s="25">
        <v>1750000</v>
      </c>
      <c r="B3" t="s">
        <v>59</v>
      </c>
      <c r="C3" s="9">
        <f>A3/A2</f>
        <v>116.66666666666667</v>
      </c>
    </row>
    <row r="5" spans="1:13" x14ac:dyDescent="0.3">
      <c r="A5" t="s">
        <v>0</v>
      </c>
      <c r="B5" s="9">
        <v>1500000</v>
      </c>
      <c r="C5" s="10">
        <f>B5/A2</f>
        <v>100</v>
      </c>
      <c r="G5" s="74" t="s">
        <v>12</v>
      </c>
      <c r="H5" s="86">
        <v>7.0000000000000007E-2</v>
      </c>
      <c r="K5" t="s">
        <v>14</v>
      </c>
      <c r="L5">
        <v>4</v>
      </c>
      <c r="M5" s="10">
        <f>B5*(L5/100)</f>
        <v>60000</v>
      </c>
    </row>
    <row r="6" spans="1:13" ht="15" thickBot="1" x14ac:dyDescent="0.35">
      <c r="A6" t="s">
        <v>55</v>
      </c>
      <c r="B6" s="9">
        <f>B5*0.03</f>
        <v>45000</v>
      </c>
      <c r="G6" s="74" t="s">
        <v>38</v>
      </c>
      <c r="H6" s="90">
        <f>((B5-B7)*H5)/12</f>
        <v>7000.0000000000009</v>
      </c>
      <c r="K6" t="s">
        <v>15</v>
      </c>
      <c r="L6">
        <v>24</v>
      </c>
    </row>
    <row r="7" spans="1:13" x14ac:dyDescent="0.3">
      <c r="A7" s="91" t="s">
        <v>31</v>
      </c>
      <c r="B7" s="92">
        <f>B5*0.2</f>
        <v>300000</v>
      </c>
      <c r="H7" s="9"/>
      <c r="K7" t="s">
        <v>16</v>
      </c>
      <c r="L7" s="8">
        <v>0.12</v>
      </c>
    </row>
    <row r="8" spans="1:13" x14ac:dyDescent="0.3">
      <c r="A8" s="74" t="s">
        <v>114</v>
      </c>
      <c r="B8" s="90">
        <f>B5-B7</f>
        <v>1200000</v>
      </c>
      <c r="G8" s="74" t="s">
        <v>51</v>
      </c>
      <c r="H8" s="88">
        <f>C56</f>
        <v>14828.174433472717</v>
      </c>
      <c r="K8" t="s">
        <v>17</v>
      </c>
      <c r="L8" s="10">
        <f>(B5*L7)/12</f>
        <v>15000</v>
      </c>
    </row>
    <row r="9" spans="1:13" x14ac:dyDescent="0.3">
      <c r="B9" s="82"/>
      <c r="G9" s="74" t="s">
        <v>50</v>
      </c>
      <c r="H9" s="34">
        <f>SUM(C49:C51)</f>
        <v>0</v>
      </c>
    </row>
    <row r="10" spans="1:13" x14ac:dyDescent="0.3">
      <c r="B10" s="9"/>
      <c r="G10" s="84" t="s">
        <v>52</v>
      </c>
      <c r="H10" s="89">
        <f>H9+H8</f>
        <v>14828.174433472717</v>
      </c>
    </row>
    <row r="11" spans="1:13" x14ac:dyDescent="0.3">
      <c r="A11" t="s">
        <v>10</v>
      </c>
      <c r="B11" s="12">
        <f>SUM(B5,E41)</f>
        <v>1503836.111111111</v>
      </c>
      <c r="G11" t="s">
        <v>127</v>
      </c>
      <c r="H11" s="10">
        <f>H10+E41</f>
        <v>18664.285544583829</v>
      </c>
    </row>
    <row r="12" spans="1:13" x14ac:dyDescent="0.3">
      <c r="A12" t="s">
        <v>13</v>
      </c>
      <c r="B12" s="12">
        <v>1600000</v>
      </c>
      <c r="C12" s="10">
        <f>B12/A2</f>
        <v>106.66666666666667</v>
      </c>
    </row>
    <row r="13" spans="1:13" x14ac:dyDescent="0.3">
      <c r="B13" s="12"/>
      <c r="G13" s="10"/>
    </row>
    <row r="14" spans="1:13" ht="15" thickBot="1" x14ac:dyDescent="0.35">
      <c r="A14" s="74" t="s">
        <v>119</v>
      </c>
      <c r="B14" s="34">
        <v>2180</v>
      </c>
      <c r="C14" s="74" t="s">
        <v>112</v>
      </c>
      <c r="K14" t="s">
        <v>56</v>
      </c>
      <c r="L14" s="10">
        <f>SUM(M5+B6+B7)</f>
        <v>405000</v>
      </c>
    </row>
    <row r="15" spans="1:13" ht="15" thickBot="1" x14ac:dyDescent="0.35">
      <c r="A15" s="74"/>
      <c r="B15" s="34">
        <f>B14*8</f>
        <v>17440</v>
      </c>
      <c r="C15" s="74" t="s">
        <v>120</v>
      </c>
      <c r="G15" s="105" t="s">
        <v>63</v>
      </c>
      <c r="H15" s="106"/>
      <c r="K15" t="s">
        <v>57</v>
      </c>
      <c r="L15" s="24">
        <f>E41</f>
        <v>3836.1111111111113</v>
      </c>
    </row>
    <row r="16" spans="1:13" x14ac:dyDescent="0.3">
      <c r="A16" s="74" t="s">
        <v>122</v>
      </c>
      <c r="B16" s="34">
        <f>B15*$C$43</f>
        <v>209280</v>
      </c>
      <c r="C16" s="74" t="s">
        <v>121</v>
      </c>
      <c r="G16" s="71" t="s">
        <v>103</v>
      </c>
      <c r="H16" s="83">
        <f>B15-H10</f>
        <v>2611.8255665272827</v>
      </c>
    </row>
    <row r="17" spans="1:9" x14ac:dyDescent="0.3">
      <c r="G17" s="29" t="s">
        <v>64</v>
      </c>
      <c r="H17" s="93">
        <f>(H16*C43)/(B7)</f>
        <v>0.10447302266109131</v>
      </c>
    </row>
    <row r="18" spans="1:9" x14ac:dyDescent="0.3">
      <c r="A18" t="s">
        <v>123</v>
      </c>
      <c r="B18" s="12">
        <v>166785</v>
      </c>
      <c r="G18" s="29" t="s">
        <v>124</v>
      </c>
      <c r="H18" s="93">
        <f>(B15-C54-C47-C46-C45-C52-C53)*C43/(B5)</f>
        <v>8.496364406941978E-2</v>
      </c>
    </row>
    <row r="19" spans="1:9" x14ac:dyDescent="0.3">
      <c r="A19" t="s">
        <v>90</v>
      </c>
      <c r="B19" s="12">
        <f>SUM(B45,B52:B53)</f>
        <v>39370.533895870343</v>
      </c>
      <c r="C19" s="12">
        <v>45353</v>
      </c>
      <c r="G19" s="29" t="s">
        <v>66</v>
      </c>
      <c r="H19" s="93">
        <f>((B20+(B24-B5))/B22)/B25*12</f>
        <v>8.2413789765720655E-2</v>
      </c>
    </row>
    <row r="20" spans="1:9" x14ac:dyDescent="0.3">
      <c r="A20" s="26" t="s">
        <v>91</v>
      </c>
      <c r="B20" s="12">
        <f>B18-B19</f>
        <v>127414.46610412965</v>
      </c>
      <c r="C20" s="10">
        <f>B20/12</f>
        <v>10617.872175344137</v>
      </c>
      <c r="D20" t="s">
        <v>117</v>
      </c>
      <c r="G20" s="29" t="s">
        <v>65</v>
      </c>
      <c r="H20" s="93">
        <f>((H16*12)/(B7+H22))</f>
        <v>0.10039378299829993</v>
      </c>
      <c r="I20" t="s">
        <v>128</v>
      </c>
    </row>
    <row r="21" spans="1:9" ht="15" thickBot="1" x14ac:dyDescent="0.35">
      <c r="A21" t="s">
        <v>92</v>
      </c>
      <c r="B21" s="12">
        <f>E41*12</f>
        <v>46033.333333333336</v>
      </c>
      <c r="C21" s="10"/>
      <c r="G21" s="31" t="s">
        <v>125</v>
      </c>
      <c r="H21" s="94">
        <f>H16*C43</f>
        <v>31341.906798327393</v>
      </c>
    </row>
    <row r="22" spans="1:9" ht="28.8" x14ac:dyDescent="0.3">
      <c r="A22" s="26" t="s">
        <v>93</v>
      </c>
      <c r="B22" s="12">
        <f>B5+B21</f>
        <v>1546033.3333333333</v>
      </c>
      <c r="G22" s="75" t="s">
        <v>111</v>
      </c>
      <c r="H22" s="34">
        <f>SUM('McRae Road Amorization'!E6:E17)</f>
        <v>12189.717951540275</v>
      </c>
    </row>
    <row r="23" spans="1:9" x14ac:dyDescent="0.3">
      <c r="A23" s="26"/>
      <c r="B23" s="12"/>
    </row>
    <row r="24" spans="1:9" x14ac:dyDescent="0.3">
      <c r="A24" s="26" t="s">
        <v>94</v>
      </c>
      <c r="B24" s="12">
        <v>1500000</v>
      </c>
      <c r="G24" s="84" t="s">
        <v>115</v>
      </c>
      <c r="H24" s="74"/>
    </row>
    <row r="25" spans="1:9" x14ac:dyDescent="0.3">
      <c r="A25" t="s">
        <v>95</v>
      </c>
      <c r="B25" s="63">
        <v>12</v>
      </c>
      <c r="G25" s="74" t="s">
        <v>116</v>
      </c>
      <c r="H25" s="76">
        <f>(B15/2)-C44</f>
        <v>736.3700578498092</v>
      </c>
    </row>
    <row r="26" spans="1:9" x14ac:dyDescent="0.3">
      <c r="B26" s="12"/>
      <c r="G26" s="74" t="s">
        <v>126</v>
      </c>
      <c r="H26" s="77">
        <f>B15/B5</f>
        <v>1.1626666666666667E-2</v>
      </c>
    </row>
    <row r="27" spans="1:9" x14ac:dyDescent="0.3">
      <c r="A27" s="26"/>
      <c r="B27" s="8"/>
    </row>
    <row r="28" spans="1:9" ht="15" thickBot="1" x14ac:dyDescent="0.35"/>
    <row r="29" spans="1:9" ht="43.8" thickBot="1" x14ac:dyDescent="0.35">
      <c r="A29" s="79" t="s">
        <v>102</v>
      </c>
      <c r="B29" s="68" t="s">
        <v>96</v>
      </c>
      <c r="C29" s="68" t="s">
        <v>101</v>
      </c>
      <c r="D29" s="68" t="s">
        <v>100</v>
      </c>
      <c r="E29" s="5" t="s">
        <v>98</v>
      </c>
    </row>
    <row r="30" spans="1:9" x14ac:dyDescent="0.3">
      <c r="A30" s="27" t="s">
        <v>97</v>
      </c>
      <c r="B30">
        <v>20</v>
      </c>
      <c r="C30">
        <v>7000</v>
      </c>
      <c r="D30">
        <f>C30*8</f>
        <v>56000</v>
      </c>
      <c r="E30" s="69">
        <f t="shared" ref="E30:E40" si="0">D30/B30/12</f>
        <v>233.33333333333334</v>
      </c>
      <c r="F30" s="11"/>
    </row>
    <row r="31" spans="1:9" x14ac:dyDescent="0.3">
      <c r="A31" s="3" t="s">
        <v>2</v>
      </c>
      <c r="B31" s="64">
        <v>10</v>
      </c>
      <c r="C31" s="64">
        <v>10000</v>
      </c>
      <c r="D31">
        <f t="shared" ref="D31:D40" si="1">C31*8</f>
        <v>80000</v>
      </c>
      <c r="E31" s="69">
        <f t="shared" si="0"/>
        <v>666.66666666666663</v>
      </c>
      <c r="F31" s="11"/>
    </row>
    <row r="32" spans="1:9" x14ac:dyDescent="0.3">
      <c r="A32" s="1" t="s">
        <v>3</v>
      </c>
      <c r="B32" s="65">
        <v>10</v>
      </c>
      <c r="C32" s="65">
        <v>5000</v>
      </c>
      <c r="D32">
        <f t="shared" si="1"/>
        <v>40000</v>
      </c>
      <c r="E32" s="69">
        <f t="shared" si="0"/>
        <v>333.33333333333331</v>
      </c>
      <c r="F32" s="11"/>
    </row>
    <row r="33" spans="1:10" x14ac:dyDescent="0.3">
      <c r="A33" s="1" t="s">
        <v>8</v>
      </c>
      <c r="B33" s="65">
        <v>10</v>
      </c>
      <c r="C33" s="65">
        <v>8000</v>
      </c>
      <c r="D33">
        <f t="shared" si="1"/>
        <v>64000</v>
      </c>
      <c r="E33" s="69">
        <f t="shared" si="0"/>
        <v>533.33333333333337</v>
      </c>
      <c r="F33" s="11"/>
    </row>
    <row r="34" spans="1:10" x14ac:dyDescent="0.3">
      <c r="A34" s="1" t="s">
        <v>99</v>
      </c>
      <c r="B34" s="65">
        <v>10</v>
      </c>
      <c r="C34" s="65">
        <v>3000</v>
      </c>
      <c r="D34">
        <f t="shared" si="1"/>
        <v>24000</v>
      </c>
      <c r="E34" s="69">
        <f t="shared" si="0"/>
        <v>200</v>
      </c>
      <c r="F34" s="11"/>
    </row>
    <row r="35" spans="1:10" x14ac:dyDescent="0.3">
      <c r="A35" s="1" t="s">
        <v>6</v>
      </c>
      <c r="B35" s="65">
        <v>6</v>
      </c>
      <c r="C35" s="65">
        <v>5000</v>
      </c>
      <c r="D35">
        <f t="shared" si="1"/>
        <v>40000</v>
      </c>
      <c r="E35" s="69">
        <f t="shared" si="0"/>
        <v>555.55555555555554</v>
      </c>
      <c r="F35" s="11"/>
    </row>
    <row r="36" spans="1:10" x14ac:dyDescent="0.3">
      <c r="A36" s="1" t="s">
        <v>7</v>
      </c>
      <c r="B36" s="65">
        <v>6</v>
      </c>
      <c r="C36" s="65">
        <v>5000</v>
      </c>
      <c r="D36">
        <f t="shared" si="1"/>
        <v>40000</v>
      </c>
      <c r="E36" s="69">
        <f t="shared" si="0"/>
        <v>555.55555555555554</v>
      </c>
      <c r="F36" s="11"/>
    </row>
    <row r="37" spans="1:10" x14ac:dyDescent="0.3">
      <c r="A37" s="1" t="s">
        <v>9</v>
      </c>
      <c r="B37" s="65">
        <v>10</v>
      </c>
      <c r="C37" s="65">
        <v>5000</v>
      </c>
      <c r="D37">
        <f t="shared" si="1"/>
        <v>40000</v>
      </c>
      <c r="E37" s="69">
        <f t="shared" si="0"/>
        <v>333.33333333333331</v>
      </c>
      <c r="F37" s="11"/>
    </row>
    <row r="38" spans="1:10" x14ac:dyDescent="0.3">
      <c r="A38" s="1" t="s">
        <v>53</v>
      </c>
      <c r="B38" s="65">
        <v>10</v>
      </c>
      <c r="C38" s="65">
        <v>4000</v>
      </c>
      <c r="D38">
        <f t="shared" si="1"/>
        <v>32000</v>
      </c>
      <c r="E38" s="69">
        <f t="shared" si="0"/>
        <v>266.66666666666669</v>
      </c>
      <c r="F38" s="11"/>
    </row>
    <row r="39" spans="1:10" x14ac:dyDescent="0.3">
      <c r="A39" s="7" t="s">
        <v>61</v>
      </c>
      <c r="B39" s="66">
        <v>10</v>
      </c>
      <c r="C39" s="66">
        <v>15000</v>
      </c>
      <c r="D39">
        <f>C39</f>
        <v>15000</v>
      </c>
      <c r="E39" s="69">
        <f t="shared" si="0"/>
        <v>125</v>
      </c>
      <c r="F39" s="11"/>
    </row>
    <row r="40" spans="1:10" ht="15" thickBot="1" x14ac:dyDescent="0.35">
      <c r="A40" s="7" t="s">
        <v>54</v>
      </c>
      <c r="B40" s="66">
        <v>10</v>
      </c>
      <c r="C40" s="66">
        <v>500</v>
      </c>
      <c r="D40">
        <f t="shared" si="1"/>
        <v>4000</v>
      </c>
      <c r="E40" s="69">
        <f t="shared" si="0"/>
        <v>33.333333333333336</v>
      </c>
      <c r="F40" s="11"/>
    </row>
    <row r="41" spans="1:10" ht="15" thickBot="1" x14ac:dyDescent="0.35">
      <c r="A41" s="19" t="s">
        <v>5</v>
      </c>
      <c r="B41" s="67"/>
      <c r="C41" s="67"/>
      <c r="D41" s="67"/>
      <c r="E41" s="70">
        <f>SUM(E30:E40)</f>
        <v>3836.1111111111113</v>
      </c>
      <c r="F41" s="78"/>
    </row>
    <row r="42" spans="1:10" x14ac:dyDescent="0.3">
      <c r="A42" s="26"/>
      <c r="B42" s="26"/>
      <c r="C42" s="26"/>
      <c r="D42" s="26"/>
      <c r="E42" s="78"/>
      <c r="F42" s="78"/>
    </row>
    <row r="43" spans="1:10" x14ac:dyDescent="0.3">
      <c r="A43" s="84" t="s">
        <v>104</v>
      </c>
      <c r="B43" s="74"/>
      <c r="C43" s="84">
        <v>12</v>
      </c>
      <c r="D43" s="84" t="s">
        <v>75</v>
      </c>
    </row>
    <row r="44" spans="1:10" x14ac:dyDescent="0.3">
      <c r="A44" s="74" t="s">
        <v>105</v>
      </c>
      <c r="B44" s="80">
        <f>C44*$C$43</f>
        <v>95803.559305802293</v>
      </c>
      <c r="C44" s="80">
        <f>'McRae Road Amorization'!D6</f>
        <v>7983.6299421501908</v>
      </c>
      <c r="D44" s="74"/>
    </row>
    <row r="45" spans="1:10" x14ac:dyDescent="0.3">
      <c r="A45" s="74" t="s">
        <v>108</v>
      </c>
      <c r="B45" s="80">
        <f>C45*C43</f>
        <v>14370.533895870343</v>
      </c>
      <c r="C45" s="80">
        <f>C44*D45</f>
        <v>1197.5444913225285</v>
      </c>
      <c r="D45" s="81">
        <v>0.15</v>
      </c>
    </row>
    <row r="46" spans="1:10" x14ac:dyDescent="0.3">
      <c r="A46" s="74" t="s">
        <v>30</v>
      </c>
      <c r="B46" s="34">
        <f>B5*D46</f>
        <v>26999.999999999996</v>
      </c>
      <c r="C46" s="34">
        <f>B46/$C$43</f>
        <v>2249.9999999999995</v>
      </c>
      <c r="D46" s="86">
        <v>1.7999999999999999E-2</v>
      </c>
      <c r="H46" s="10"/>
      <c r="J46" s="16"/>
    </row>
    <row r="47" spans="1:10" x14ac:dyDescent="0.3">
      <c r="A47" s="74" t="s">
        <v>29</v>
      </c>
      <c r="B47" s="87">
        <v>5000</v>
      </c>
      <c r="C47" s="87">
        <f>B47/$C$43</f>
        <v>416.66666666666669</v>
      </c>
      <c r="D47" s="34"/>
      <c r="H47" s="73"/>
    </row>
    <row r="48" spans="1:10" x14ac:dyDescent="0.3">
      <c r="A48" s="74" t="s">
        <v>32</v>
      </c>
      <c r="B48" s="87">
        <v>300</v>
      </c>
      <c r="C48" s="87">
        <f>B48/$C$43</f>
        <v>25</v>
      </c>
      <c r="D48" s="34"/>
      <c r="E48" s="72"/>
      <c r="F48" s="72"/>
    </row>
    <row r="49" spans="1:6" x14ac:dyDescent="0.3">
      <c r="A49" s="74" t="s">
        <v>33</v>
      </c>
      <c r="B49" s="74"/>
      <c r="C49" s="34" t="s">
        <v>107</v>
      </c>
      <c r="D49" s="34"/>
      <c r="E49" s="72"/>
      <c r="F49" s="72"/>
    </row>
    <row r="50" spans="1:6" x14ac:dyDescent="0.3">
      <c r="A50" s="74" t="s">
        <v>34</v>
      </c>
      <c r="B50" s="74"/>
      <c r="C50" s="34" t="s">
        <v>107</v>
      </c>
      <c r="D50" s="34"/>
      <c r="E50" s="72"/>
      <c r="F50" s="72"/>
    </row>
    <row r="51" spans="1:6" x14ac:dyDescent="0.3">
      <c r="A51" s="74" t="s">
        <v>35</v>
      </c>
      <c r="B51" s="74"/>
      <c r="C51" s="34" t="s">
        <v>107</v>
      </c>
      <c r="D51" s="34"/>
      <c r="E51" s="72"/>
      <c r="F51" s="72"/>
    </row>
    <row r="52" spans="1:6" x14ac:dyDescent="0.3">
      <c r="A52" s="74" t="s">
        <v>109</v>
      </c>
      <c r="B52" s="34">
        <v>17000</v>
      </c>
      <c r="C52" s="34">
        <f>B52/C43</f>
        <v>1416.6666666666667</v>
      </c>
      <c r="D52" s="34" t="s">
        <v>112</v>
      </c>
      <c r="E52" s="72"/>
      <c r="F52" s="72"/>
    </row>
    <row r="53" spans="1:6" x14ac:dyDescent="0.3">
      <c r="A53" s="74" t="s">
        <v>110</v>
      </c>
      <c r="B53" s="34">
        <v>8000</v>
      </c>
      <c r="C53" s="34">
        <f>B53/C43</f>
        <v>666.66666666666663</v>
      </c>
      <c r="D53" s="34" t="s">
        <v>112</v>
      </c>
      <c r="E53" s="72"/>
      <c r="F53" s="72"/>
    </row>
    <row r="54" spans="1:6" x14ac:dyDescent="0.3">
      <c r="A54" s="74" t="s">
        <v>118</v>
      </c>
      <c r="B54" s="35">
        <f>C54*C43</f>
        <v>10464</v>
      </c>
      <c r="C54" s="34">
        <f>B15*0.05</f>
        <v>872</v>
      </c>
      <c r="D54" s="85"/>
      <c r="E54" s="72"/>
      <c r="F54" s="72"/>
    </row>
    <row r="55" spans="1:6" x14ac:dyDescent="0.3">
      <c r="C55" s="72"/>
      <c r="D55" s="72"/>
      <c r="E55" s="72"/>
      <c r="F55" s="72"/>
    </row>
    <row r="56" spans="1:6" x14ac:dyDescent="0.3">
      <c r="B56" s="18">
        <f>SUM(B44:B54)</f>
        <v>177938.09320167263</v>
      </c>
      <c r="C56" s="18">
        <f>SUM(C44:C54)</f>
        <v>14828.174433472717</v>
      </c>
    </row>
  </sheetData>
  <mergeCells count="1">
    <mergeCell ref="G15:H15"/>
  </mergeCells>
  <conditionalFormatting sqref="B27">
    <cfRule type="cellIs" dxfId="0" priority="1" operator="greaterThan">
      <formula>10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E5A3-6715-48D4-9795-4493A63D57F0}">
  <dimension ref="A1:L35"/>
  <sheetViews>
    <sheetView workbookViewId="0">
      <selection activeCell="J24" sqref="J24"/>
    </sheetView>
  </sheetViews>
  <sheetFormatPr defaultRowHeight="14.4" x14ac:dyDescent="0.3"/>
  <cols>
    <col min="1" max="1" width="29.33203125" customWidth="1"/>
    <col min="2" max="2" width="12.33203125" bestFit="1" customWidth="1"/>
    <col min="3" max="3" width="9.6640625" bestFit="1" customWidth="1"/>
    <col min="4" max="5" width="9.6640625" customWidth="1"/>
    <col min="6" max="6" width="38" bestFit="1" customWidth="1"/>
    <col min="7" max="7" width="10.33203125" bestFit="1" customWidth="1"/>
    <col min="9" max="9" width="10.109375" bestFit="1" customWidth="1"/>
    <col min="10" max="10" width="39.33203125" bestFit="1" customWidth="1"/>
    <col min="11" max="11" width="12.109375" bestFit="1" customWidth="1"/>
    <col min="12" max="12" width="11.33203125" bestFit="1" customWidth="1"/>
  </cols>
  <sheetData>
    <row r="1" spans="1:12" x14ac:dyDescent="0.3">
      <c r="A1" s="26" t="s">
        <v>58</v>
      </c>
      <c r="B1" t="s">
        <v>60</v>
      </c>
    </row>
    <row r="2" spans="1:12" x14ac:dyDescent="0.3">
      <c r="A2">
        <v>2418</v>
      </c>
      <c r="B2" t="s">
        <v>22</v>
      </c>
    </row>
    <row r="3" spans="1:12" x14ac:dyDescent="0.3">
      <c r="A3" s="25">
        <v>479000</v>
      </c>
      <c r="B3" t="s">
        <v>59</v>
      </c>
      <c r="C3" s="9">
        <f>A3/A2</f>
        <v>198.09760132340779</v>
      </c>
    </row>
    <row r="5" spans="1:12" x14ac:dyDescent="0.3">
      <c r="A5" t="s">
        <v>0</v>
      </c>
      <c r="B5" s="9">
        <v>400000</v>
      </c>
      <c r="C5" s="10">
        <f>B5/A2</f>
        <v>165.42597187758477</v>
      </c>
      <c r="F5" t="s">
        <v>12</v>
      </c>
      <c r="G5" s="8">
        <v>7.0000000000000007E-2</v>
      </c>
      <c r="J5" t="s">
        <v>14</v>
      </c>
      <c r="K5">
        <v>4</v>
      </c>
      <c r="L5" s="10">
        <f>B5*(K5/100)</f>
        <v>16000</v>
      </c>
    </row>
    <row r="6" spans="1:12" ht="15" thickBot="1" x14ac:dyDescent="0.35">
      <c r="A6" t="s">
        <v>55</v>
      </c>
      <c r="B6" s="9">
        <f>B5*0.03</f>
        <v>12000</v>
      </c>
      <c r="F6" t="s">
        <v>38</v>
      </c>
      <c r="G6" s="9">
        <f>(B5*G5)/12</f>
        <v>2333.3333333333335</v>
      </c>
      <c r="J6" t="s">
        <v>15</v>
      </c>
      <c r="K6">
        <v>24</v>
      </c>
    </row>
    <row r="7" spans="1:12" ht="15" thickBot="1" x14ac:dyDescent="0.35">
      <c r="A7" s="6" t="s">
        <v>31</v>
      </c>
      <c r="B7" s="20">
        <f>B5*0.2</f>
        <v>80000</v>
      </c>
      <c r="G7" s="9"/>
      <c r="J7" t="s">
        <v>16</v>
      </c>
      <c r="K7" s="8">
        <v>0.12</v>
      </c>
    </row>
    <row r="8" spans="1:12" x14ac:dyDescent="0.3">
      <c r="B8" s="9"/>
      <c r="F8" t="s">
        <v>51</v>
      </c>
      <c r="G8" s="9">
        <f>G6+C29+C30+C31+C32</f>
        <v>3891.666666666667</v>
      </c>
      <c r="J8" t="s">
        <v>17</v>
      </c>
      <c r="K8" s="10">
        <f>(B5*K7)/12</f>
        <v>4000</v>
      </c>
    </row>
    <row r="9" spans="1:12" x14ac:dyDescent="0.3">
      <c r="A9" t="s">
        <v>10</v>
      </c>
      <c r="B9" s="12">
        <f>SUM(B5,B27)</f>
        <v>536000</v>
      </c>
      <c r="F9" t="s">
        <v>50</v>
      </c>
      <c r="G9" s="12">
        <f>SUM(C33:C35)</f>
        <v>513</v>
      </c>
    </row>
    <row r="10" spans="1:12" x14ac:dyDescent="0.3">
      <c r="A10" t="s">
        <v>13</v>
      </c>
      <c r="B10" s="12">
        <v>550000</v>
      </c>
      <c r="C10" s="10">
        <f>B10/A2</f>
        <v>227.46071133167908</v>
      </c>
      <c r="F10" t="s">
        <v>52</v>
      </c>
      <c r="G10" s="10">
        <f>G9+G8</f>
        <v>4404.666666666667</v>
      </c>
    </row>
    <row r="11" spans="1:12" x14ac:dyDescent="0.3">
      <c r="A11" t="s">
        <v>18</v>
      </c>
      <c r="B11" s="12">
        <f>B10*0.8</f>
        <v>440000</v>
      </c>
    </row>
    <row r="13" spans="1:12" x14ac:dyDescent="0.3">
      <c r="A13" t="s">
        <v>11</v>
      </c>
      <c r="B13" s="12">
        <f>B10-B9</f>
        <v>14000</v>
      </c>
    </row>
    <row r="14" spans="1:12" ht="15" thickBot="1" x14ac:dyDescent="0.35">
      <c r="J14" t="s">
        <v>56</v>
      </c>
      <c r="K14" s="10">
        <f>SUM(L5+B6+B7)</f>
        <v>108000</v>
      </c>
    </row>
    <row r="15" spans="1:12" ht="15" thickBot="1" x14ac:dyDescent="0.35">
      <c r="A15" s="4" t="s">
        <v>1</v>
      </c>
      <c r="B15" s="5"/>
      <c r="J15" t="s">
        <v>57</v>
      </c>
      <c r="K15" s="24">
        <f>B27</f>
        <v>136000</v>
      </c>
    </row>
    <row r="16" spans="1:12" x14ac:dyDescent="0.3">
      <c r="A16" s="3" t="s">
        <v>2</v>
      </c>
      <c r="B16" s="21">
        <v>25000</v>
      </c>
    </row>
    <row r="17" spans="1:9" x14ac:dyDescent="0.3">
      <c r="A17" s="1" t="s">
        <v>3</v>
      </c>
      <c r="B17" s="22">
        <v>25000</v>
      </c>
    </row>
    <row r="18" spans="1:9" ht="15" thickBot="1" x14ac:dyDescent="0.35">
      <c r="A18" s="1" t="s">
        <v>8</v>
      </c>
      <c r="B18" s="22">
        <v>20000</v>
      </c>
    </row>
    <row r="19" spans="1:9" ht="15" thickBot="1" x14ac:dyDescent="0.35">
      <c r="A19" s="1" t="s">
        <v>4</v>
      </c>
      <c r="B19" s="22">
        <v>20000</v>
      </c>
      <c r="F19" s="105" t="s">
        <v>63</v>
      </c>
      <c r="G19" s="106"/>
    </row>
    <row r="20" spans="1:9" x14ac:dyDescent="0.3">
      <c r="A20" s="1" t="s">
        <v>6</v>
      </c>
      <c r="B20" s="22">
        <v>15000</v>
      </c>
      <c r="F20" s="29" t="s">
        <v>64</v>
      </c>
      <c r="G20" s="30"/>
    </row>
    <row r="21" spans="1:9" x14ac:dyDescent="0.3">
      <c r="A21" s="1" t="s">
        <v>7</v>
      </c>
      <c r="B21" s="22">
        <v>10000</v>
      </c>
      <c r="F21" s="29" t="s">
        <v>66</v>
      </c>
      <c r="G21" s="30"/>
    </row>
    <row r="22" spans="1:9" x14ac:dyDescent="0.3">
      <c r="A22" s="1" t="s">
        <v>9</v>
      </c>
      <c r="B22" s="22">
        <v>5000</v>
      </c>
      <c r="F22" s="29" t="s">
        <v>65</v>
      </c>
      <c r="G22" s="30"/>
    </row>
    <row r="23" spans="1:9" ht="15" thickBot="1" x14ac:dyDescent="0.35">
      <c r="A23" s="1" t="s">
        <v>53</v>
      </c>
      <c r="B23" s="22">
        <v>7000</v>
      </c>
      <c r="F23" s="31" t="s">
        <v>67</v>
      </c>
      <c r="G23" s="32"/>
    </row>
    <row r="24" spans="1:9" x14ac:dyDescent="0.3">
      <c r="A24" s="7" t="s">
        <v>61</v>
      </c>
      <c r="B24" s="23">
        <v>4000</v>
      </c>
    </row>
    <row r="25" spans="1:9" x14ac:dyDescent="0.3">
      <c r="A25" s="7" t="s">
        <v>54</v>
      </c>
      <c r="B25" s="23">
        <v>5000</v>
      </c>
    </row>
    <row r="26" spans="1:9" ht="15" thickBot="1" x14ac:dyDescent="0.35">
      <c r="A26" s="27" t="s">
        <v>62</v>
      </c>
      <c r="B26" s="2"/>
    </row>
    <row r="27" spans="1:9" ht="15" thickBot="1" x14ac:dyDescent="0.35">
      <c r="A27" s="19" t="s">
        <v>5</v>
      </c>
      <c r="B27" s="28">
        <f>SUM(B16:B25)</f>
        <v>136000</v>
      </c>
    </row>
    <row r="28" spans="1:9" x14ac:dyDescent="0.3">
      <c r="C28">
        <v>12</v>
      </c>
    </row>
    <row r="29" spans="1:9" x14ac:dyDescent="0.3">
      <c r="A29" t="s">
        <v>30</v>
      </c>
      <c r="B29" s="12">
        <f>B5*0.018</f>
        <v>7199.9999999999991</v>
      </c>
      <c r="C29" s="12">
        <f>B29/$C$28</f>
        <v>599.99999999999989</v>
      </c>
      <c r="D29" s="12"/>
      <c r="E29" t="s">
        <v>36</v>
      </c>
      <c r="F29">
        <v>16.399999999999999</v>
      </c>
      <c r="G29" s="10">
        <f>(B5/1000)*F29</f>
        <v>6559.9999999999991</v>
      </c>
    </row>
    <row r="30" spans="1:9" x14ac:dyDescent="0.3">
      <c r="A30" t="s">
        <v>29</v>
      </c>
      <c r="B30" s="12">
        <v>2400</v>
      </c>
      <c r="C30" s="12">
        <f>B30/$C$28</f>
        <v>200</v>
      </c>
      <c r="D30" s="12"/>
      <c r="G30" s="16">
        <f>G29/B5</f>
        <v>1.6399999999999998E-2</v>
      </c>
      <c r="H30" t="s">
        <v>37</v>
      </c>
    </row>
    <row r="31" spans="1:9" ht="28.8" x14ac:dyDescent="0.3">
      <c r="A31" s="13" t="s">
        <v>49</v>
      </c>
      <c r="B31" s="12">
        <v>8800</v>
      </c>
      <c r="C31" s="12">
        <f>B31/$C$28</f>
        <v>733.33333333333337</v>
      </c>
      <c r="D31" s="12"/>
      <c r="E31" s="12"/>
      <c r="I31" s="16"/>
    </row>
    <row r="32" spans="1:9" x14ac:dyDescent="0.3">
      <c r="A32" t="s">
        <v>32</v>
      </c>
      <c r="B32" s="12">
        <v>300</v>
      </c>
      <c r="C32" s="12">
        <f>B32/$C$28</f>
        <v>25</v>
      </c>
      <c r="D32" s="12"/>
      <c r="E32" s="12"/>
    </row>
    <row r="33" spans="1:5" x14ac:dyDescent="0.3">
      <c r="A33" t="s">
        <v>33</v>
      </c>
      <c r="C33" s="12">
        <v>200</v>
      </c>
      <c r="D33" s="12"/>
      <c r="E33" s="12"/>
    </row>
    <row r="34" spans="1:5" x14ac:dyDescent="0.3">
      <c r="A34" t="s">
        <v>34</v>
      </c>
      <c r="C34" s="12">
        <v>200</v>
      </c>
      <c r="D34" s="12"/>
      <c r="E34" s="12"/>
    </row>
    <row r="35" spans="1:5" x14ac:dyDescent="0.3">
      <c r="A35" t="s">
        <v>35</v>
      </c>
      <c r="C35" s="12">
        <v>113</v>
      </c>
      <c r="D35" s="12"/>
      <c r="E35" s="12"/>
    </row>
  </sheetData>
  <mergeCells count="1">
    <mergeCell ref="F19:G1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8F4A-AB00-4652-BDC2-5CC77D0EAF08}">
  <dimension ref="A1:R365"/>
  <sheetViews>
    <sheetView tabSelected="1" workbookViewId="0">
      <selection activeCell="B16" sqref="B16"/>
    </sheetView>
  </sheetViews>
  <sheetFormatPr defaultRowHeight="14.4" x14ac:dyDescent="0.3"/>
  <cols>
    <col min="1" max="1" width="29.109375" customWidth="1"/>
    <col min="2" max="2" width="19" customWidth="1"/>
    <col min="3" max="3" width="9.5546875" bestFit="1" customWidth="1"/>
    <col min="7" max="7" width="15.6640625" bestFit="1" customWidth="1"/>
    <col min="8" max="8" width="12.6640625" bestFit="1" customWidth="1"/>
    <col min="9" max="9" width="14.33203125" bestFit="1" customWidth="1"/>
    <col min="10" max="10" width="16.44140625" customWidth="1"/>
    <col min="11" max="11" width="16.33203125" bestFit="1" customWidth="1"/>
    <col min="12" max="12" width="19.44140625" customWidth="1"/>
    <col min="13" max="13" width="15.5546875" bestFit="1" customWidth="1"/>
    <col min="14" max="14" width="15.5546875" customWidth="1"/>
    <col min="15" max="15" width="18.33203125" bestFit="1" customWidth="1"/>
    <col min="16" max="16" width="17.6640625" bestFit="1" customWidth="1"/>
    <col min="17" max="17" width="13.6640625" bestFit="1" customWidth="1"/>
    <col min="18" max="18" width="11.5546875" bestFit="1" customWidth="1"/>
  </cols>
  <sheetData>
    <row r="1" spans="1:18" x14ac:dyDescent="0.3">
      <c r="A1" t="s">
        <v>20</v>
      </c>
      <c r="B1">
        <v>2646</v>
      </c>
      <c r="C1" t="s">
        <v>22</v>
      </c>
      <c r="G1" t="s">
        <v>83</v>
      </c>
      <c r="H1" s="60">
        <v>0.08</v>
      </c>
      <c r="K1">
        <f>H1/12</f>
        <v>6.6666666666666671E-3</v>
      </c>
      <c r="L1" t="s">
        <v>87</v>
      </c>
    </row>
    <row r="2" spans="1:18" x14ac:dyDescent="0.3">
      <c r="B2" s="33">
        <v>246</v>
      </c>
      <c r="C2" s="33" t="s">
        <v>28</v>
      </c>
      <c r="G2" t="s">
        <v>84</v>
      </c>
      <c r="H2">
        <f>$I$2*12</f>
        <v>360</v>
      </c>
      <c r="I2">
        <v>30</v>
      </c>
      <c r="J2" t="s">
        <v>143</v>
      </c>
      <c r="K2">
        <f>(1+K1)^H2</f>
        <v>10.935729657755621</v>
      </c>
      <c r="L2" t="s">
        <v>88</v>
      </c>
    </row>
    <row r="3" spans="1:18" x14ac:dyDescent="0.3">
      <c r="A3" t="s">
        <v>24</v>
      </c>
      <c r="B3" s="12">
        <v>500500</v>
      </c>
      <c r="C3" s="11">
        <f>B3/B1</f>
        <v>189.15343915343917</v>
      </c>
      <c r="D3" t="s">
        <v>22</v>
      </c>
      <c r="G3" t="s">
        <v>86</v>
      </c>
    </row>
    <row r="4" spans="1:18" x14ac:dyDescent="0.3">
      <c r="A4" t="s">
        <v>25</v>
      </c>
      <c r="B4" s="12">
        <f>B1*B2</f>
        <v>650916</v>
      </c>
    </row>
    <row r="5" spans="1:18" x14ac:dyDescent="0.3">
      <c r="A5" t="s">
        <v>21</v>
      </c>
      <c r="B5" s="12">
        <v>355000</v>
      </c>
      <c r="C5" t="s">
        <v>23</v>
      </c>
      <c r="G5" t="s">
        <v>39</v>
      </c>
      <c r="H5" t="s">
        <v>40</v>
      </c>
      <c r="I5" t="s">
        <v>41</v>
      </c>
      <c r="J5" t="s">
        <v>86</v>
      </c>
      <c r="K5" t="s">
        <v>42</v>
      </c>
      <c r="L5" t="s">
        <v>47</v>
      </c>
      <c r="M5" t="s">
        <v>43</v>
      </c>
      <c r="N5" t="s">
        <v>48</v>
      </c>
      <c r="O5" t="s">
        <v>44</v>
      </c>
      <c r="P5" t="s">
        <v>45</v>
      </c>
      <c r="Q5" t="s">
        <v>46</v>
      </c>
      <c r="R5" s="8" t="s">
        <v>89</v>
      </c>
    </row>
    <row r="6" spans="1:18" x14ac:dyDescent="0.3">
      <c r="A6" t="s">
        <v>19</v>
      </c>
      <c r="B6" s="12">
        <f>B4-B5</f>
        <v>295916</v>
      </c>
      <c r="G6">
        <v>1</v>
      </c>
      <c r="H6" s="17">
        <v>44866</v>
      </c>
      <c r="I6" s="24">
        <f>'HELOC Calculator'!B9</f>
        <v>165732.80000000005</v>
      </c>
      <c r="J6" s="61">
        <f>$I$6/((($K$2)-1)/($K$1*$K$2))</f>
        <v>1216.0885736983614</v>
      </c>
      <c r="K6" s="18">
        <f t="shared" ref="K6:K69" si="0">J6-M6</f>
        <v>111.2032403650278</v>
      </c>
      <c r="L6" s="16">
        <f t="shared" ref="L6:L69" si="1">(K6/I6)*12</f>
        <v>8.0517488655253103E-3</v>
      </c>
      <c r="M6" s="18">
        <f t="shared" ref="M6:M69" si="2">I6*($H$1/12)</f>
        <v>1104.8853333333336</v>
      </c>
      <c r="N6" s="16">
        <f t="shared" ref="N6:N69" si="3">(M6/I6)*12</f>
        <v>7.9999999999999988E-2</v>
      </c>
      <c r="O6" s="18">
        <f>K6</f>
        <v>111.2032403650278</v>
      </c>
      <c r="P6" s="18">
        <f>M6</f>
        <v>1104.8853333333336</v>
      </c>
      <c r="Q6" s="18">
        <f t="shared" ref="Q6:Q69" si="4">I6-K6</f>
        <v>165621.59675963502</v>
      </c>
      <c r="R6" s="18">
        <f t="shared" ref="R6:R69" si="5">O6+P6</f>
        <v>1216.0885736983614</v>
      </c>
    </row>
    <row r="7" spans="1:18" x14ac:dyDescent="0.3">
      <c r="G7">
        <v>2</v>
      </c>
      <c r="H7" s="17">
        <v>44896</v>
      </c>
      <c r="I7" s="18">
        <f t="shared" ref="I7:I70" si="6">Q6</f>
        <v>165621.59675963502</v>
      </c>
      <c r="J7" s="18">
        <f t="shared" ref="J7:J69" si="7">$I$6/((($K$2)-1)/($K$1*$K$2))</f>
        <v>1216.0885736983614</v>
      </c>
      <c r="K7" s="18">
        <f t="shared" si="0"/>
        <v>111.94459530079462</v>
      </c>
      <c r="L7" s="16">
        <f t="shared" si="1"/>
        <v>8.1108694149296511E-3</v>
      </c>
      <c r="M7" s="18">
        <f t="shared" si="2"/>
        <v>1104.1439783975668</v>
      </c>
      <c r="N7" s="16">
        <f t="shared" si="3"/>
        <v>7.9999999999999988E-2</v>
      </c>
      <c r="O7" s="18">
        <f t="shared" ref="O7:O70" si="8">O6+K7</f>
        <v>223.14783566582241</v>
      </c>
      <c r="P7" s="18">
        <f t="shared" ref="P7:P70" si="9">P6+M7</f>
        <v>2209.0293117309002</v>
      </c>
      <c r="Q7" s="18">
        <f t="shared" si="4"/>
        <v>165509.65216433423</v>
      </c>
      <c r="R7" s="18">
        <f t="shared" si="5"/>
        <v>2432.1771473967228</v>
      </c>
    </row>
    <row r="8" spans="1:18" ht="15" thickBot="1" x14ac:dyDescent="0.35">
      <c r="A8" t="s">
        <v>26</v>
      </c>
      <c r="B8" s="12">
        <f>B4*0.8</f>
        <v>520732.80000000005</v>
      </c>
      <c r="G8">
        <v>3</v>
      </c>
      <c r="H8" s="17">
        <v>44927</v>
      </c>
      <c r="I8" s="18">
        <f t="shared" si="6"/>
        <v>165509.65216433423</v>
      </c>
      <c r="J8" s="18">
        <f t="shared" si="7"/>
        <v>1216.0885736983614</v>
      </c>
      <c r="K8" s="18">
        <f t="shared" si="0"/>
        <v>112.69089260279975</v>
      </c>
      <c r="L8" s="16">
        <f t="shared" si="1"/>
        <v>8.1704643418071474E-3</v>
      </c>
      <c r="M8" s="18">
        <f t="shared" si="2"/>
        <v>1103.3976810955617</v>
      </c>
      <c r="N8" s="16">
        <f t="shared" si="3"/>
        <v>8.0000000000000016E-2</v>
      </c>
      <c r="O8" s="18">
        <f t="shared" si="8"/>
        <v>335.83872826862216</v>
      </c>
      <c r="P8" s="18">
        <f t="shared" si="9"/>
        <v>3312.4269928264621</v>
      </c>
      <c r="Q8" s="18">
        <f t="shared" si="4"/>
        <v>165396.96127173142</v>
      </c>
      <c r="R8" s="18">
        <f t="shared" si="5"/>
        <v>3648.2657210950842</v>
      </c>
    </row>
    <row r="9" spans="1:18" ht="43.8" thickBot="1" x14ac:dyDescent="0.35">
      <c r="A9" s="14" t="s">
        <v>27</v>
      </c>
      <c r="B9" s="15">
        <f>B8-B5</f>
        <v>165732.80000000005</v>
      </c>
      <c r="G9">
        <v>4</v>
      </c>
      <c r="H9" s="17">
        <v>44958</v>
      </c>
      <c r="I9" s="18">
        <f t="shared" si="6"/>
        <v>165396.96127173142</v>
      </c>
      <c r="J9" s="18">
        <f t="shared" si="7"/>
        <v>1216.0885736983614</v>
      </c>
      <c r="K9" s="18">
        <f t="shared" si="0"/>
        <v>113.44216522015199</v>
      </c>
      <c r="L9" s="16">
        <f t="shared" si="1"/>
        <v>8.2305380472216059E-3</v>
      </c>
      <c r="M9" s="18">
        <f t="shared" si="2"/>
        <v>1102.6464084782094</v>
      </c>
      <c r="N9" s="16">
        <f t="shared" si="3"/>
        <v>7.9999999999999988E-2</v>
      </c>
      <c r="O9" s="18">
        <f t="shared" si="8"/>
        <v>449.28089348877415</v>
      </c>
      <c r="P9" s="18">
        <f t="shared" si="9"/>
        <v>4415.0734013046713</v>
      </c>
      <c r="Q9" s="18">
        <f t="shared" si="4"/>
        <v>165283.51910651126</v>
      </c>
      <c r="R9" s="18">
        <f t="shared" si="5"/>
        <v>4864.3542947934457</v>
      </c>
    </row>
    <row r="10" spans="1:18" x14ac:dyDescent="0.3">
      <c r="G10">
        <v>5</v>
      </c>
      <c r="H10" s="17">
        <v>44986</v>
      </c>
      <c r="I10" s="18">
        <f t="shared" si="6"/>
        <v>165283.51910651126</v>
      </c>
      <c r="J10" s="18">
        <f t="shared" si="7"/>
        <v>1216.0885736983614</v>
      </c>
      <c r="K10" s="18">
        <f t="shared" si="0"/>
        <v>114.19844632161971</v>
      </c>
      <c r="L10" s="16">
        <f t="shared" si="1"/>
        <v>8.2910949819282442E-3</v>
      </c>
      <c r="M10" s="18">
        <f t="shared" si="2"/>
        <v>1101.8901273767417</v>
      </c>
      <c r="N10" s="16">
        <f t="shared" si="3"/>
        <v>7.9999999999999988E-2</v>
      </c>
      <c r="O10" s="18">
        <f t="shared" si="8"/>
        <v>563.47933981039387</v>
      </c>
      <c r="P10" s="18">
        <f t="shared" si="9"/>
        <v>5516.9635286814128</v>
      </c>
      <c r="Q10" s="18">
        <f t="shared" si="4"/>
        <v>165169.32066018964</v>
      </c>
      <c r="R10" s="18">
        <f t="shared" si="5"/>
        <v>6080.4428684918066</v>
      </c>
    </row>
    <row r="11" spans="1:18" x14ac:dyDescent="0.3">
      <c r="G11">
        <v>6</v>
      </c>
      <c r="H11" s="17">
        <v>45017</v>
      </c>
      <c r="I11" s="18">
        <f t="shared" si="6"/>
        <v>165169.32066018964</v>
      </c>
      <c r="J11" s="18">
        <f t="shared" si="7"/>
        <v>1216.0885736983614</v>
      </c>
      <c r="K11" s="18">
        <f t="shared" si="0"/>
        <v>114.95976929709718</v>
      </c>
      <c r="L11" s="16">
        <f t="shared" si="1"/>
        <v>8.3521396470674462E-3</v>
      </c>
      <c r="M11" s="18">
        <f t="shared" si="2"/>
        <v>1101.1288044012642</v>
      </c>
      <c r="N11" s="16">
        <f t="shared" si="3"/>
        <v>7.9999999999999988E-2</v>
      </c>
      <c r="O11" s="18">
        <f t="shared" si="8"/>
        <v>678.43910910749105</v>
      </c>
      <c r="P11" s="18">
        <f t="shared" si="9"/>
        <v>6618.0923330826772</v>
      </c>
      <c r="Q11" s="18">
        <f t="shared" si="4"/>
        <v>165054.36089089254</v>
      </c>
      <c r="R11" s="18">
        <f t="shared" si="5"/>
        <v>7296.5314421901685</v>
      </c>
    </row>
    <row r="12" spans="1:18" x14ac:dyDescent="0.3">
      <c r="G12">
        <v>7</v>
      </c>
      <c r="H12" s="17">
        <v>45047</v>
      </c>
      <c r="I12" s="18">
        <f t="shared" si="6"/>
        <v>165054.36089089254</v>
      </c>
      <c r="J12" s="18">
        <f t="shared" si="7"/>
        <v>1216.0885736983614</v>
      </c>
      <c r="K12" s="18">
        <f t="shared" si="0"/>
        <v>115.72616775907773</v>
      </c>
      <c r="L12" s="16">
        <f t="shared" si="1"/>
        <v>8.4136765948700232E-3</v>
      </c>
      <c r="M12" s="18">
        <f t="shared" si="2"/>
        <v>1100.3624059392837</v>
      </c>
      <c r="N12" s="16">
        <f t="shared" si="3"/>
        <v>0.08</v>
      </c>
      <c r="O12" s="18">
        <f t="shared" si="8"/>
        <v>794.16527686656877</v>
      </c>
      <c r="P12" s="18">
        <f t="shared" si="9"/>
        <v>7718.4547390219614</v>
      </c>
      <c r="Q12" s="18">
        <f t="shared" si="4"/>
        <v>164938.63472313347</v>
      </c>
      <c r="R12" s="18">
        <f t="shared" si="5"/>
        <v>8512.6200158885295</v>
      </c>
    </row>
    <row r="13" spans="1:18" x14ac:dyDescent="0.3">
      <c r="A13" t="s">
        <v>0</v>
      </c>
      <c r="B13">
        <v>135000</v>
      </c>
      <c r="D13" t="s">
        <v>87</v>
      </c>
      <c r="E13">
        <f>B16/12</f>
        <v>7.2916666666666659E-3</v>
      </c>
      <c r="G13">
        <v>8</v>
      </c>
      <c r="H13" s="17">
        <v>45078</v>
      </c>
      <c r="I13" s="18">
        <f t="shared" si="6"/>
        <v>164938.63472313347</v>
      </c>
      <c r="J13" s="18">
        <f t="shared" si="7"/>
        <v>1216.0885736983614</v>
      </c>
      <c r="K13" s="18">
        <f t="shared" si="0"/>
        <v>116.49767554413825</v>
      </c>
      <c r="L13" s="16">
        <f t="shared" si="1"/>
        <v>8.4757104293745333E-3</v>
      </c>
      <c r="M13" s="18">
        <f t="shared" si="2"/>
        <v>1099.5908981542232</v>
      </c>
      <c r="N13" s="16">
        <f t="shared" si="3"/>
        <v>0.08</v>
      </c>
      <c r="O13" s="18">
        <f t="shared" si="8"/>
        <v>910.66295241070702</v>
      </c>
      <c r="P13" s="18">
        <f t="shared" si="9"/>
        <v>8818.0456371761848</v>
      </c>
      <c r="Q13" s="18">
        <f t="shared" si="4"/>
        <v>164822.13704758932</v>
      </c>
      <c r="R13" s="18">
        <f t="shared" si="5"/>
        <v>9728.7085895868913</v>
      </c>
    </row>
    <row r="14" spans="1:18" x14ac:dyDescent="0.3">
      <c r="A14" t="s">
        <v>138</v>
      </c>
      <c r="B14">
        <f>B13*C14</f>
        <v>33750</v>
      </c>
      <c r="C14" s="8">
        <v>0.25</v>
      </c>
      <c r="D14" t="s">
        <v>88</v>
      </c>
      <c r="E14">
        <f>(1+E13)^H2</f>
        <v>13.673722932245438</v>
      </c>
      <c r="G14">
        <v>9</v>
      </c>
      <c r="H14" s="17">
        <v>45108</v>
      </c>
      <c r="I14" s="18">
        <f t="shared" si="6"/>
        <v>164822.13704758932</v>
      </c>
      <c r="J14" s="18">
        <f t="shared" si="7"/>
        <v>1216.0885736983614</v>
      </c>
      <c r="K14" s="18">
        <f t="shared" si="0"/>
        <v>117.27432671443262</v>
      </c>
      <c r="L14" s="16">
        <f t="shared" si="1"/>
        <v>8.5382458071567302E-3</v>
      </c>
      <c r="M14" s="18">
        <f t="shared" si="2"/>
        <v>1098.8142469839288</v>
      </c>
      <c r="N14" s="16">
        <f t="shared" si="3"/>
        <v>7.9999999999999988E-2</v>
      </c>
      <c r="O14" s="18">
        <f t="shared" si="8"/>
        <v>1027.9372791251396</v>
      </c>
      <c r="P14" s="18">
        <f t="shared" si="9"/>
        <v>9916.8598841601142</v>
      </c>
      <c r="Q14" s="18">
        <f t="shared" si="4"/>
        <v>164704.86272087489</v>
      </c>
      <c r="R14" s="18">
        <f t="shared" si="5"/>
        <v>10944.797163285253</v>
      </c>
    </row>
    <row r="15" spans="1:18" x14ac:dyDescent="0.3">
      <c r="A15" t="s">
        <v>132</v>
      </c>
      <c r="B15">
        <f>B13-B14</f>
        <v>101250</v>
      </c>
      <c r="G15">
        <v>10</v>
      </c>
      <c r="H15" s="17">
        <v>45139</v>
      </c>
      <c r="I15" s="18">
        <f t="shared" si="6"/>
        <v>164704.86272087489</v>
      </c>
      <c r="J15" s="18">
        <f t="shared" si="7"/>
        <v>1216.0885736983614</v>
      </c>
      <c r="K15" s="18">
        <f t="shared" si="0"/>
        <v>118.0561555591953</v>
      </c>
      <c r="L15" s="16">
        <f t="shared" si="1"/>
        <v>8.601287438071448E-3</v>
      </c>
      <c r="M15" s="18">
        <f t="shared" si="2"/>
        <v>1098.0324181391661</v>
      </c>
      <c r="N15" s="16">
        <f t="shared" si="3"/>
        <v>8.0000000000000016E-2</v>
      </c>
      <c r="O15" s="18">
        <f t="shared" si="8"/>
        <v>1145.9934346843349</v>
      </c>
      <c r="P15" s="18">
        <f t="shared" si="9"/>
        <v>11014.89230229928</v>
      </c>
      <c r="Q15" s="18">
        <f t="shared" si="4"/>
        <v>164586.8065653157</v>
      </c>
      <c r="R15" s="18">
        <f t="shared" si="5"/>
        <v>12160.885736983615</v>
      </c>
    </row>
    <row r="16" spans="1:18" x14ac:dyDescent="0.3">
      <c r="A16" t="s">
        <v>137</v>
      </c>
      <c r="B16" s="99">
        <v>8.7499999999999994E-2</v>
      </c>
      <c r="G16">
        <v>11</v>
      </c>
      <c r="H16" s="17">
        <v>45170</v>
      </c>
      <c r="I16" s="18">
        <f t="shared" si="6"/>
        <v>164586.8065653157</v>
      </c>
      <c r="J16" s="18">
        <f t="shared" si="7"/>
        <v>1216.0885736983614</v>
      </c>
      <c r="K16" s="18">
        <f t="shared" si="0"/>
        <v>118.8431965962568</v>
      </c>
      <c r="L16" s="16">
        <f t="shared" si="1"/>
        <v>8.6648400860073298E-3</v>
      </c>
      <c r="M16" s="18">
        <f t="shared" si="2"/>
        <v>1097.2453771021046</v>
      </c>
      <c r="N16" s="16">
        <f t="shared" si="3"/>
        <v>7.9999999999999988E-2</v>
      </c>
      <c r="O16" s="18">
        <f t="shared" si="8"/>
        <v>1264.8366312805917</v>
      </c>
      <c r="P16" s="18">
        <f t="shared" si="9"/>
        <v>12112.137679401385</v>
      </c>
      <c r="Q16" s="18">
        <f t="shared" si="4"/>
        <v>164467.96336871944</v>
      </c>
      <c r="R16" s="18">
        <f t="shared" si="5"/>
        <v>13376.974310681977</v>
      </c>
    </row>
    <row r="17" spans="1:18" x14ac:dyDescent="0.3">
      <c r="A17" t="s">
        <v>133</v>
      </c>
      <c r="B17" s="12">
        <f>$B$15/((($E$14)-1)/($E$13*$E$14))</f>
        <v>796.53416068353783</v>
      </c>
      <c r="G17">
        <v>12</v>
      </c>
      <c r="H17" s="17">
        <v>45200</v>
      </c>
      <c r="I17" s="18">
        <f t="shared" si="6"/>
        <v>164467.96336871944</v>
      </c>
      <c r="J17" s="18">
        <f t="shared" si="7"/>
        <v>1216.0885736983614</v>
      </c>
      <c r="K17" s="18">
        <f t="shared" si="0"/>
        <v>119.63548457356501</v>
      </c>
      <c r="L17" s="16">
        <f t="shared" si="1"/>
        <v>8.7289085696541507E-3</v>
      </c>
      <c r="M17" s="18">
        <f t="shared" si="2"/>
        <v>1096.4530891247964</v>
      </c>
      <c r="N17" s="16">
        <f t="shared" si="3"/>
        <v>0.08</v>
      </c>
      <c r="O17" s="18">
        <f t="shared" si="8"/>
        <v>1384.4721158541568</v>
      </c>
      <c r="P17" s="18">
        <f t="shared" si="9"/>
        <v>13208.590768526181</v>
      </c>
      <c r="Q17" s="18">
        <f t="shared" si="4"/>
        <v>164348.32788414587</v>
      </c>
      <c r="R17" s="18">
        <f t="shared" si="5"/>
        <v>14593.062884380337</v>
      </c>
    </row>
    <row r="18" spans="1:18" x14ac:dyDescent="0.3">
      <c r="A18" t="s">
        <v>135</v>
      </c>
      <c r="B18">
        <v>1400</v>
      </c>
      <c r="G18">
        <v>13</v>
      </c>
      <c r="H18" s="17">
        <v>45231</v>
      </c>
      <c r="I18" s="18">
        <f t="shared" si="6"/>
        <v>164348.32788414587</v>
      </c>
      <c r="J18" s="18">
        <f t="shared" si="7"/>
        <v>1216.0885736983614</v>
      </c>
      <c r="K18" s="18">
        <f t="shared" si="0"/>
        <v>120.43305447072225</v>
      </c>
      <c r="L18" s="16">
        <f t="shared" si="1"/>
        <v>8.7934977632837859E-3</v>
      </c>
      <c r="M18" s="18">
        <f t="shared" si="2"/>
        <v>1095.6555192276392</v>
      </c>
      <c r="N18" s="16">
        <f t="shared" si="3"/>
        <v>0.08</v>
      </c>
      <c r="O18" s="18">
        <f t="shared" si="8"/>
        <v>1504.905170324879</v>
      </c>
      <c r="P18" s="18">
        <f t="shared" si="9"/>
        <v>14304.24628775382</v>
      </c>
      <c r="Q18" s="18">
        <f t="shared" si="4"/>
        <v>164227.89482967515</v>
      </c>
      <c r="R18" s="18">
        <f t="shared" si="5"/>
        <v>15809.151458078699</v>
      </c>
    </row>
    <row r="19" spans="1:18" x14ac:dyDescent="0.3">
      <c r="A19" t="s">
        <v>134</v>
      </c>
      <c r="B19">
        <v>509</v>
      </c>
      <c r="C19" t="s">
        <v>136</v>
      </c>
      <c r="G19">
        <v>14</v>
      </c>
      <c r="H19" s="17">
        <v>45261</v>
      </c>
      <c r="I19" s="18">
        <f t="shared" si="6"/>
        <v>164227.89482967515</v>
      </c>
      <c r="J19" s="18">
        <f t="shared" si="7"/>
        <v>1216.0885736983614</v>
      </c>
      <c r="K19" s="18">
        <f t="shared" si="0"/>
        <v>121.23594150052713</v>
      </c>
      <c r="L19" s="16">
        <f t="shared" si="1"/>
        <v>8.8586125975442069E-3</v>
      </c>
      <c r="M19" s="18">
        <f t="shared" si="2"/>
        <v>1094.8526321978343</v>
      </c>
      <c r="N19" s="16">
        <f t="shared" si="3"/>
        <v>7.9999999999999988E-2</v>
      </c>
      <c r="O19" s="18">
        <f t="shared" si="8"/>
        <v>1626.1411118254061</v>
      </c>
      <c r="P19" s="18">
        <f t="shared" si="9"/>
        <v>15399.098919951655</v>
      </c>
      <c r="Q19" s="18">
        <f t="shared" si="4"/>
        <v>164106.65888817463</v>
      </c>
      <c r="R19" s="18">
        <f t="shared" si="5"/>
        <v>17025.240031777063</v>
      </c>
    </row>
    <row r="20" spans="1:18" x14ac:dyDescent="0.3">
      <c r="A20" t="s">
        <v>139</v>
      </c>
      <c r="B20" s="24">
        <f>B18-B19-B17</f>
        <v>94.465839316462166</v>
      </c>
      <c r="G20">
        <v>15</v>
      </c>
      <c r="H20" s="17">
        <v>45292</v>
      </c>
      <c r="I20" s="18">
        <f t="shared" si="6"/>
        <v>164106.65888817463</v>
      </c>
      <c r="J20" s="18">
        <f t="shared" si="7"/>
        <v>1216.0885736983614</v>
      </c>
      <c r="K20" s="18">
        <f t="shared" si="0"/>
        <v>122.04418111053042</v>
      </c>
      <c r="L20" s="16">
        <f t="shared" si="1"/>
        <v>8.924258060267521E-3</v>
      </c>
      <c r="M20" s="18">
        <f t="shared" si="2"/>
        <v>1094.044392587831</v>
      </c>
      <c r="N20" s="16">
        <f t="shared" si="3"/>
        <v>8.0000000000000016E-2</v>
      </c>
      <c r="O20" s="18">
        <f t="shared" si="8"/>
        <v>1748.1852929359366</v>
      </c>
      <c r="P20" s="18">
        <f t="shared" si="9"/>
        <v>16493.143312539487</v>
      </c>
      <c r="Q20" s="18">
        <f t="shared" si="4"/>
        <v>163984.61470706409</v>
      </c>
      <c r="R20" s="18">
        <f t="shared" si="5"/>
        <v>18241.328605475424</v>
      </c>
    </row>
    <row r="21" spans="1:18" x14ac:dyDescent="0.3">
      <c r="A21" t="s">
        <v>142</v>
      </c>
      <c r="B21" s="97">
        <f>B18/SUM(B19,B17)</f>
        <v>1.0723579988646201</v>
      </c>
      <c r="G21">
        <v>16</v>
      </c>
      <c r="H21" s="17">
        <v>45323</v>
      </c>
      <c r="I21" s="18">
        <f t="shared" si="6"/>
        <v>163984.61470706409</v>
      </c>
      <c r="J21" s="18">
        <f t="shared" si="7"/>
        <v>1216.0885736983614</v>
      </c>
      <c r="K21" s="18">
        <f t="shared" si="0"/>
        <v>122.85780898460075</v>
      </c>
      <c r="L21" s="16">
        <f t="shared" si="1"/>
        <v>8.9904391972919634E-3</v>
      </c>
      <c r="M21" s="18">
        <f t="shared" si="2"/>
        <v>1093.2307647137607</v>
      </c>
      <c r="N21" s="16">
        <f t="shared" si="3"/>
        <v>0.08</v>
      </c>
      <c r="O21" s="18">
        <f t="shared" si="8"/>
        <v>1871.0431019205373</v>
      </c>
      <c r="P21" s="18">
        <f t="shared" si="9"/>
        <v>17586.374077253247</v>
      </c>
      <c r="Q21" s="18">
        <f t="shared" si="4"/>
        <v>163861.75689807947</v>
      </c>
      <c r="R21" s="18">
        <f t="shared" si="5"/>
        <v>19457.417179173786</v>
      </c>
    </row>
    <row r="22" spans="1:18" x14ac:dyDescent="0.3">
      <c r="G22">
        <v>17</v>
      </c>
      <c r="H22" s="17">
        <v>45352</v>
      </c>
      <c r="I22" s="18">
        <f t="shared" si="6"/>
        <v>163861.75689807947</v>
      </c>
      <c r="J22" s="18">
        <f t="shared" si="7"/>
        <v>1216.0885736983614</v>
      </c>
      <c r="K22" s="18">
        <f t="shared" si="0"/>
        <v>123.67686104449808</v>
      </c>
      <c r="L22" s="16">
        <f t="shared" si="1"/>
        <v>9.0571611132980075E-3</v>
      </c>
      <c r="M22" s="18">
        <f t="shared" si="2"/>
        <v>1092.4117126538633</v>
      </c>
      <c r="N22" s="16">
        <f t="shared" si="3"/>
        <v>8.0000000000000016E-2</v>
      </c>
      <c r="O22" s="18">
        <f t="shared" si="8"/>
        <v>1994.7199629650354</v>
      </c>
      <c r="P22" s="18">
        <f t="shared" si="9"/>
        <v>18678.78578990711</v>
      </c>
      <c r="Q22" s="18">
        <f t="shared" si="4"/>
        <v>163738.08003703499</v>
      </c>
      <c r="R22" s="18">
        <f t="shared" si="5"/>
        <v>20673.505752872145</v>
      </c>
    </row>
    <row r="23" spans="1:18" x14ac:dyDescent="0.3">
      <c r="G23">
        <v>18</v>
      </c>
      <c r="H23" s="17">
        <v>45383</v>
      </c>
      <c r="I23" s="18">
        <f t="shared" si="6"/>
        <v>163738.08003703499</v>
      </c>
      <c r="J23" s="18">
        <f t="shared" si="7"/>
        <v>1216.0885736983614</v>
      </c>
      <c r="K23" s="18">
        <f t="shared" si="0"/>
        <v>124.5013734514614</v>
      </c>
      <c r="L23" s="16">
        <f t="shared" si="1"/>
        <v>9.1244289726593458E-3</v>
      </c>
      <c r="M23" s="18">
        <f t="shared" si="2"/>
        <v>1091.5872002469</v>
      </c>
      <c r="N23" s="16">
        <f t="shared" si="3"/>
        <v>0.08</v>
      </c>
      <c r="O23" s="18">
        <f t="shared" si="8"/>
        <v>2119.2213364164968</v>
      </c>
      <c r="P23" s="18">
        <f t="shared" si="9"/>
        <v>19770.37299015401</v>
      </c>
      <c r="Q23" s="18">
        <f t="shared" si="4"/>
        <v>163613.57866358352</v>
      </c>
      <c r="R23" s="18">
        <f t="shared" si="5"/>
        <v>21889.594326570506</v>
      </c>
    </row>
    <row r="24" spans="1:18" x14ac:dyDescent="0.3">
      <c r="A24" t="s">
        <v>141</v>
      </c>
      <c r="B24" s="98">
        <f>$B$13/((($E$14)-1)/($E$13*$E$14))+B19</f>
        <v>1571.0455475780504</v>
      </c>
      <c r="G24">
        <v>19</v>
      </c>
      <c r="H24" s="17">
        <v>45413</v>
      </c>
      <c r="I24" s="18">
        <f t="shared" si="6"/>
        <v>163613.57866358352</v>
      </c>
      <c r="J24" s="18">
        <f t="shared" si="7"/>
        <v>1216.0885736983614</v>
      </c>
      <c r="K24" s="18">
        <f t="shared" si="0"/>
        <v>125.33138260780447</v>
      </c>
      <c r="L24" s="16">
        <f t="shared" si="1"/>
        <v>9.1922480003085658E-3</v>
      </c>
      <c r="M24" s="18">
        <f t="shared" si="2"/>
        <v>1090.7571910905569</v>
      </c>
      <c r="N24" s="16">
        <f t="shared" si="3"/>
        <v>0.08</v>
      </c>
      <c r="O24" s="18">
        <f t="shared" si="8"/>
        <v>2244.552719024301</v>
      </c>
      <c r="P24" s="18">
        <f t="shared" si="9"/>
        <v>20861.130181244567</v>
      </c>
      <c r="Q24" s="18">
        <f t="shared" si="4"/>
        <v>163488.24728097572</v>
      </c>
      <c r="R24" s="18">
        <f t="shared" si="5"/>
        <v>23105.682900268868</v>
      </c>
    </row>
    <row r="25" spans="1:18" x14ac:dyDescent="0.3">
      <c r="A25" t="s">
        <v>140</v>
      </c>
      <c r="B25" s="24">
        <f>B18-B24</f>
        <v>-171.04554757805045</v>
      </c>
      <c r="G25">
        <v>20</v>
      </c>
      <c r="H25" s="17">
        <v>45444</v>
      </c>
      <c r="I25" s="18">
        <f t="shared" si="6"/>
        <v>163488.24728097572</v>
      </c>
      <c r="J25" s="18">
        <f t="shared" si="7"/>
        <v>1216.0885736983614</v>
      </c>
      <c r="K25" s="18">
        <f t="shared" si="0"/>
        <v>126.16692515852333</v>
      </c>
      <c r="L25" s="16">
        <f t="shared" si="1"/>
        <v>9.2606234826181077E-3</v>
      </c>
      <c r="M25" s="18">
        <f t="shared" si="2"/>
        <v>1089.9216485398381</v>
      </c>
      <c r="N25" s="16">
        <f t="shared" si="3"/>
        <v>7.9999999999999988E-2</v>
      </c>
      <c r="O25" s="18">
        <f t="shared" si="8"/>
        <v>2370.7196441828246</v>
      </c>
      <c r="P25" s="18">
        <f t="shared" si="9"/>
        <v>21951.051829784406</v>
      </c>
      <c r="Q25" s="18">
        <f t="shared" si="4"/>
        <v>163362.08035581719</v>
      </c>
      <c r="R25" s="18">
        <f t="shared" si="5"/>
        <v>24321.77147396723</v>
      </c>
    </row>
    <row r="26" spans="1:18" x14ac:dyDescent="0.3">
      <c r="G26">
        <v>21</v>
      </c>
      <c r="H26" s="17">
        <v>45474</v>
      </c>
      <c r="I26" s="18">
        <f t="shared" si="6"/>
        <v>163362.08035581719</v>
      </c>
      <c r="J26" s="18">
        <f t="shared" si="7"/>
        <v>1216.0885736983614</v>
      </c>
      <c r="K26" s="18">
        <f t="shared" si="0"/>
        <v>127.00803799291339</v>
      </c>
      <c r="L26" s="16">
        <f t="shared" si="1"/>
        <v>9.3295607682966734E-3</v>
      </c>
      <c r="M26" s="18">
        <f t="shared" si="2"/>
        <v>1089.080535705448</v>
      </c>
      <c r="N26" s="16">
        <f t="shared" si="3"/>
        <v>0.08</v>
      </c>
      <c r="O26" s="18">
        <f t="shared" si="8"/>
        <v>2497.7276821757378</v>
      </c>
      <c r="P26" s="18">
        <f t="shared" si="9"/>
        <v>23040.132365489855</v>
      </c>
      <c r="Q26" s="18">
        <f t="shared" si="4"/>
        <v>163235.07231782426</v>
      </c>
      <c r="R26" s="18">
        <f t="shared" si="5"/>
        <v>25537.860047665592</v>
      </c>
    </row>
    <row r="27" spans="1:18" x14ac:dyDescent="0.3">
      <c r="G27">
        <v>22</v>
      </c>
      <c r="H27" s="17">
        <v>45505</v>
      </c>
      <c r="I27" s="18">
        <f t="shared" si="6"/>
        <v>163235.07231782426</v>
      </c>
      <c r="J27" s="18">
        <f t="shared" si="7"/>
        <v>1216.0885736983614</v>
      </c>
      <c r="K27" s="18">
        <f t="shared" si="0"/>
        <v>127.85475824619971</v>
      </c>
      <c r="L27" s="16">
        <f t="shared" si="1"/>
        <v>9.3990652693015965E-3</v>
      </c>
      <c r="M27" s="18">
        <f t="shared" si="2"/>
        <v>1088.2338154521617</v>
      </c>
      <c r="N27" s="16">
        <f t="shared" si="3"/>
        <v>7.9999999999999988E-2</v>
      </c>
      <c r="O27" s="18">
        <f t="shared" si="8"/>
        <v>2625.5824404219375</v>
      </c>
      <c r="P27" s="18">
        <f t="shared" si="9"/>
        <v>24128.366180942015</v>
      </c>
      <c r="Q27" s="18">
        <f t="shared" si="4"/>
        <v>163107.21755957807</v>
      </c>
      <c r="R27" s="18">
        <f t="shared" si="5"/>
        <v>26753.948621363954</v>
      </c>
    </row>
    <row r="28" spans="1:18" x14ac:dyDescent="0.3">
      <c r="G28">
        <v>23</v>
      </c>
      <c r="H28" s="17">
        <v>45536</v>
      </c>
      <c r="I28" s="18">
        <f t="shared" si="6"/>
        <v>163107.21755957807</v>
      </c>
      <c r="J28" s="18">
        <f t="shared" si="7"/>
        <v>1216.0885736983614</v>
      </c>
      <c r="K28" s="18">
        <f t="shared" si="0"/>
        <v>128.70712330117431</v>
      </c>
      <c r="L28" s="16">
        <f t="shared" si="1"/>
        <v>9.46914246176714E-3</v>
      </c>
      <c r="M28" s="18">
        <f t="shared" si="2"/>
        <v>1087.3814503971871</v>
      </c>
      <c r="N28" s="16">
        <f t="shared" si="3"/>
        <v>7.9999999999999988E-2</v>
      </c>
      <c r="O28" s="18">
        <f t="shared" si="8"/>
        <v>2754.2895637231118</v>
      </c>
      <c r="P28" s="18">
        <f t="shared" si="9"/>
        <v>25215.747631339204</v>
      </c>
      <c r="Q28" s="18">
        <f t="shared" si="4"/>
        <v>162978.51043627691</v>
      </c>
      <c r="R28" s="18">
        <f t="shared" si="5"/>
        <v>27970.037195062316</v>
      </c>
    </row>
    <row r="29" spans="1:18" x14ac:dyDescent="0.3">
      <c r="G29">
        <v>24</v>
      </c>
      <c r="H29" s="17">
        <v>45566</v>
      </c>
      <c r="I29" s="18">
        <f t="shared" si="6"/>
        <v>162978.51043627691</v>
      </c>
      <c r="J29" s="18">
        <f t="shared" si="7"/>
        <v>1216.0885736983614</v>
      </c>
      <c r="K29" s="18">
        <f t="shared" si="0"/>
        <v>129.56517078984871</v>
      </c>
      <c r="L29" s="16">
        <f t="shared" si="1"/>
        <v>9.5397978869495789E-3</v>
      </c>
      <c r="M29" s="18">
        <f t="shared" si="2"/>
        <v>1086.5234029085127</v>
      </c>
      <c r="N29" s="16">
        <f t="shared" si="3"/>
        <v>0.08</v>
      </c>
      <c r="O29" s="18">
        <f t="shared" si="8"/>
        <v>2883.8547345129605</v>
      </c>
      <c r="P29" s="18">
        <f t="shared" si="9"/>
        <v>26302.271034247715</v>
      </c>
      <c r="Q29" s="18">
        <f t="shared" si="4"/>
        <v>162848.94526548707</v>
      </c>
      <c r="R29" s="18">
        <f t="shared" si="5"/>
        <v>29186.125768760674</v>
      </c>
    </row>
    <row r="30" spans="1:18" x14ac:dyDescent="0.3">
      <c r="G30">
        <v>25</v>
      </c>
      <c r="H30" s="17">
        <v>45597</v>
      </c>
      <c r="I30" s="18">
        <f t="shared" si="6"/>
        <v>162848.94526548707</v>
      </c>
      <c r="J30" s="18">
        <f t="shared" si="7"/>
        <v>1216.0885736983614</v>
      </c>
      <c r="K30" s="18">
        <f t="shared" si="0"/>
        <v>130.42893859511423</v>
      </c>
      <c r="L30" s="16">
        <f t="shared" si="1"/>
        <v>9.6110371521888859E-3</v>
      </c>
      <c r="M30" s="18">
        <f t="shared" si="2"/>
        <v>1085.6596351032472</v>
      </c>
      <c r="N30" s="16">
        <f t="shared" si="3"/>
        <v>0.08</v>
      </c>
      <c r="O30" s="18">
        <f t="shared" si="8"/>
        <v>3014.2836731080747</v>
      </c>
      <c r="P30" s="18">
        <f t="shared" si="9"/>
        <v>27387.930669350961</v>
      </c>
      <c r="Q30" s="18">
        <f t="shared" si="4"/>
        <v>162718.51632689196</v>
      </c>
      <c r="R30" s="18">
        <f t="shared" si="5"/>
        <v>30402.214342459036</v>
      </c>
    </row>
    <row r="31" spans="1:18" x14ac:dyDescent="0.3">
      <c r="G31">
        <v>26</v>
      </c>
      <c r="H31" s="17">
        <v>45627</v>
      </c>
      <c r="I31" s="18">
        <f t="shared" si="6"/>
        <v>162718.51632689196</v>
      </c>
      <c r="J31" s="18">
        <f t="shared" si="7"/>
        <v>1216.0885736983614</v>
      </c>
      <c r="K31" s="18">
        <f t="shared" si="0"/>
        <v>131.29846485241501</v>
      </c>
      <c r="L31" s="16">
        <f t="shared" si="1"/>
        <v>9.6828659318877342E-3</v>
      </c>
      <c r="M31" s="18">
        <f t="shared" si="2"/>
        <v>1084.7901088459464</v>
      </c>
      <c r="N31" s="16">
        <f t="shared" si="3"/>
        <v>0.08</v>
      </c>
      <c r="O31" s="18">
        <f t="shared" si="8"/>
        <v>3145.5821379604895</v>
      </c>
      <c r="P31" s="18">
        <f t="shared" si="9"/>
        <v>28472.720778196908</v>
      </c>
      <c r="Q31" s="18">
        <f t="shared" si="4"/>
        <v>162587.21786203954</v>
      </c>
      <c r="R31" s="18">
        <f t="shared" si="5"/>
        <v>31618.302916157398</v>
      </c>
    </row>
    <row r="32" spans="1:18" x14ac:dyDescent="0.3">
      <c r="G32">
        <v>27</v>
      </c>
      <c r="H32" s="17">
        <v>45658</v>
      </c>
      <c r="I32" s="18">
        <f t="shared" si="6"/>
        <v>162587.21786203954</v>
      </c>
      <c r="J32" s="18">
        <f t="shared" si="7"/>
        <v>1216.0885736983614</v>
      </c>
      <c r="K32" s="18">
        <f t="shared" si="0"/>
        <v>132.173787951431</v>
      </c>
      <c r="L32" s="16">
        <f t="shared" si="1"/>
        <v>9.7552899685079564E-3</v>
      </c>
      <c r="M32" s="18">
        <f t="shared" si="2"/>
        <v>1083.9147857469304</v>
      </c>
      <c r="N32" s="16">
        <f t="shared" si="3"/>
        <v>0.08</v>
      </c>
      <c r="O32" s="18">
        <f t="shared" si="8"/>
        <v>3277.7559259119207</v>
      </c>
      <c r="P32" s="18">
        <f t="shared" si="9"/>
        <v>29556.635563943837</v>
      </c>
      <c r="Q32" s="18">
        <f t="shared" si="4"/>
        <v>162455.0440740881</v>
      </c>
      <c r="R32" s="18">
        <f t="shared" si="5"/>
        <v>32834.391489855756</v>
      </c>
    </row>
    <row r="33" spans="7:18" x14ac:dyDescent="0.3">
      <c r="G33">
        <v>28</v>
      </c>
      <c r="H33" s="17">
        <v>45689</v>
      </c>
      <c r="I33" s="18">
        <f t="shared" si="6"/>
        <v>162455.0440740881</v>
      </c>
      <c r="J33" s="18">
        <f t="shared" si="7"/>
        <v>1216.0885736983614</v>
      </c>
      <c r="K33" s="18">
        <f t="shared" si="0"/>
        <v>133.05494653777396</v>
      </c>
      <c r="L33" s="16">
        <f t="shared" si="1"/>
        <v>9.8283150735850727E-3</v>
      </c>
      <c r="M33" s="18">
        <f t="shared" si="2"/>
        <v>1083.0336271605875</v>
      </c>
      <c r="N33" s="16">
        <f t="shared" si="3"/>
        <v>0.08</v>
      </c>
      <c r="O33" s="18">
        <f t="shared" si="8"/>
        <v>3410.8108724496947</v>
      </c>
      <c r="P33" s="18">
        <f t="shared" si="9"/>
        <v>30639.669191104425</v>
      </c>
      <c r="Q33" s="18">
        <f t="shared" si="4"/>
        <v>162321.98912755033</v>
      </c>
      <c r="R33" s="18">
        <f t="shared" si="5"/>
        <v>34050.480063554118</v>
      </c>
    </row>
    <row r="34" spans="7:18" x14ac:dyDescent="0.3">
      <c r="G34">
        <v>29</v>
      </c>
      <c r="H34" s="17">
        <v>45717</v>
      </c>
      <c r="I34" s="18">
        <f t="shared" si="6"/>
        <v>162321.98912755033</v>
      </c>
      <c r="J34" s="18">
        <f t="shared" si="7"/>
        <v>1216.0885736983614</v>
      </c>
      <c r="K34" s="18">
        <f t="shared" si="0"/>
        <v>133.94197951469255</v>
      </c>
      <c r="L34" s="16">
        <f t="shared" si="1"/>
        <v>9.9019471287609337E-3</v>
      </c>
      <c r="M34" s="18">
        <f t="shared" si="2"/>
        <v>1082.1465941836689</v>
      </c>
      <c r="N34" s="16">
        <f t="shared" si="3"/>
        <v>7.9999999999999988E-2</v>
      </c>
      <c r="O34" s="18">
        <f t="shared" si="8"/>
        <v>3544.7528519643874</v>
      </c>
      <c r="P34" s="18">
        <f t="shared" si="9"/>
        <v>31721.815785288094</v>
      </c>
      <c r="Q34" s="18">
        <f t="shared" si="4"/>
        <v>162188.04714803564</v>
      </c>
      <c r="R34" s="18">
        <f t="shared" si="5"/>
        <v>35266.56863725248</v>
      </c>
    </row>
    <row r="35" spans="7:18" x14ac:dyDescent="0.3">
      <c r="G35">
        <v>30</v>
      </c>
      <c r="H35" s="17">
        <v>45748</v>
      </c>
      <c r="I35" s="18">
        <f t="shared" si="6"/>
        <v>162188.04714803564</v>
      </c>
      <c r="J35" s="18">
        <f t="shared" si="7"/>
        <v>1216.0885736983614</v>
      </c>
      <c r="K35" s="18">
        <f t="shared" si="0"/>
        <v>134.83492604479034</v>
      </c>
      <c r="L35" s="16">
        <f t="shared" si="1"/>
        <v>9.9761920868351797E-3</v>
      </c>
      <c r="M35" s="18">
        <f t="shared" si="2"/>
        <v>1081.2536476535711</v>
      </c>
      <c r="N35" s="16">
        <f t="shared" si="3"/>
        <v>8.0000000000000016E-2</v>
      </c>
      <c r="O35" s="18">
        <f t="shared" si="8"/>
        <v>3679.5877780091778</v>
      </c>
      <c r="P35" s="18">
        <f t="shared" si="9"/>
        <v>32803.069432941666</v>
      </c>
      <c r="Q35" s="18">
        <f t="shared" si="4"/>
        <v>162053.21222199083</v>
      </c>
      <c r="R35" s="18">
        <f t="shared" si="5"/>
        <v>36482.657210950842</v>
      </c>
    </row>
    <row r="36" spans="7:18" x14ac:dyDescent="0.3">
      <c r="G36">
        <v>31</v>
      </c>
      <c r="H36" s="17">
        <v>45778</v>
      </c>
      <c r="I36" s="18">
        <f t="shared" si="6"/>
        <v>162053.21222199083</v>
      </c>
      <c r="J36" s="18">
        <f t="shared" si="7"/>
        <v>1216.0885736983614</v>
      </c>
      <c r="K36" s="18">
        <f t="shared" si="0"/>
        <v>135.73382555175567</v>
      </c>
      <c r="L36" s="16">
        <f t="shared" si="1"/>
        <v>1.0051055972835798E-2</v>
      </c>
      <c r="M36" s="18">
        <f t="shared" si="2"/>
        <v>1080.3547481466057</v>
      </c>
      <c r="N36" s="16">
        <f t="shared" si="3"/>
        <v>8.0000000000000016E-2</v>
      </c>
      <c r="O36" s="18">
        <f t="shared" si="8"/>
        <v>3815.3216035609335</v>
      </c>
      <c r="P36" s="18">
        <f t="shared" si="9"/>
        <v>33883.424181088274</v>
      </c>
      <c r="Q36" s="18">
        <f t="shared" si="4"/>
        <v>161917.47839643908</v>
      </c>
      <c r="R36" s="18">
        <f t="shared" si="5"/>
        <v>37698.745784649211</v>
      </c>
    </row>
    <row r="37" spans="7:18" x14ac:dyDescent="0.3">
      <c r="G37">
        <v>32</v>
      </c>
      <c r="H37" s="17">
        <v>45809</v>
      </c>
      <c r="I37" s="18">
        <f t="shared" si="6"/>
        <v>161917.47839643908</v>
      </c>
      <c r="J37" s="18">
        <f t="shared" si="7"/>
        <v>1216.0885736983614</v>
      </c>
      <c r="K37" s="18">
        <f t="shared" si="0"/>
        <v>136.63871772210086</v>
      </c>
      <c r="L37" s="16">
        <f t="shared" si="1"/>
        <v>1.012654488510902E-2</v>
      </c>
      <c r="M37" s="18">
        <f t="shared" si="2"/>
        <v>1079.4498559762606</v>
      </c>
      <c r="N37" s="16">
        <f t="shared" si="3"/>
        <v>0.08</v>
      </c>
      <c r="O37" s="18">
        <f t="shared" si="8"/>
        <v>3951.9603212830343</v>
      </c>
      <c r="P37" s="18">
        <f t="shared" si="9"/>
        <v>34962.874037064532</v>
      </c>
      <c r="Q37" s="18">
        <f t="shared" si="4"/>
        <v>161780.83967871699</v>
      </c>
      <c r="R37" s="18">
        <f t="shared" si="5"/>
        <v>38914.834358347565</v>
      </c>
    </row>
    <row r="38" spans="7:18" x14ac:dyDescent="0.3">
      <c r="G38">
        <v>33</v>
      </c>
      <c r="H38" s="17">
        <v>45839</v>
      </c>
      <c r="I38" s="18">
        <f t="shared" si="6"/>
        <v>161780.83967871699</v>
      </c>
      <c r="J38" s="18">
        <f t="shared" si="7"/>
        <v>1216.0885736983614</v>
      </c>
      <c r="K38" s="18">
        <f t="shared" si="0"/>
        <v>137.54964250691478</v>
      </c>
      <c r="L38" s="16">
        <f t="shared" si="1"/>
        <v>1.0202664996429245E-2</v>
      </c>
      <c r="M38" s="18">
        <f t="shared" si="2"/>
        <v>1078.5389311914466</v>
      </c>
      <c r="N38" s="16">
        <f t="shared" si="3"/>
        <v>0.08</v>
      </c>
      <c r="O38" s="18">
        <f t="shared" si="8"/>
        <v>4089.5099637899493</v>
      </c>
      <c r="P38" s="18">
        <f t="shared" si="9"/>
        <v>36041.41296825598</v>
      </c>
      <c r="Q38" s="18">
        <f t="shared" si="4"/>
        <v>161643.29003621006</v>
      </c>
      <c r="R38" s="18">
        <f t="shared" si="5"/>
        <v>40130.922932045927</v>
      </c>
    </row>
    <row r="39" spans="7:18" x14ac:dyDescent="0.3">
      <c r="G39">
        <v>34</v>
      </c>
      <c r="H39" s="17">
        <v>45870</v>
      </c>
      <c r="I39" s="18">
        <f t="shared" si="6"/>
        <v>161643.29003621006</v>
      </c>
      <c r="J39" s="18">
        <f t="shared" si="7"/>
        <v>1216.0885736983614</v>
      </c>
      <c r="K39" s="18">
        <f t="shared" si="0"/>
        <v>138.46664012362749</v>
      </c>
      <c r="L39" s="16">
        <f t="shared" si="1"/>
        <v>1.027942255512933E-2</v>
      </c>
      <c r="M39" s="18">
        <f t="shared" si="2"/>
        <v>1077.6219335747339</v>
      </c>
      <c r="N39" s="16">
        <f t="shared" si="3"/>
        <v>8.0000000000000016E-2</v>
      </c>
      <c r="O39" s="18">
        <f t="shared" si="8"/>
        <v>4227.9766039135766</v>
      </c>
      <c r="P39" s="18">
        <f t="shared" si="9"/>
        <v>37119.034901830717</v>
      </c>
      <c r="Q39" s="18">
        <f t="shared" si="4"/>
        <v>161504.82339608643</v>
      </c>
      <c r="R39" s="18">
        <f t="shared" si="5"/>
        <v>41347.011505744296</v>
      </c>
    </row>
    <row r="40" spans="7:18" x14ac:dyDescent="0.3">
      <c r="G40">
        <v>35</v>
      </c>
      <c r="H40" s="17">
        <v>45901</v>
      </c>
      <c r="I40" s="18">
        <f t="shared" si="6"/>
        <v>161504.82339608643</v>
      </c>
      <c r="J40" s="18">
        <f t="shared" si="7"/>
        <v>1216.0885736983614</v>
      </c>
      <c r="K40" s="18">
        <f t="shared" si="0"/>
        <v>139.38975105778513</v>
      </c>
      <c r="L40" s="16">
        <f t="shared" si="1"/>
        <v>1.0356823886251521E-2</v>
      </c>
      <c r="M40" s="18">
        <f t="shared" si="2"/>
        <v>1076.6988226405763</v>
      </c>
      <c r="N40" s="16">
        <f t="shared" si="3"/>
        <v>0.08</v>
      </c>
      <c r="O40" s="18">
        <f t="shared" si="8"/>
        <v>4367.3663549713619</v>
      </c>
      <c r="P40" s="18">
        <f t="shared" si="9"/>
        <v>38195.733724471291</v>
      </c>
      <c r="Q40" s="18">
        <f t="shared" si="4"/>
        <v>161365.43364502865</v>
      </c>
      <c r="R40" s="18">
        <f t="shared" si="5"/>
        <v>42563.100079442651</v>
      </c>
    </row>
    <row r="41" spans="7:18" x14ac:dyDescent="0.3">
      <c r="G41">
        <v>36</v>
      </c>
      <c r="H41" s="17">
        <v>45931</v>
      </c>
      <c r="I41" s="18">
        <f t="shared" si="6"/>
        <v>161365.43364502865</v>
      </c>
      <c r="J41" s="18">
        <f t="shared" si="7"/>
        <v>1216.0885736983614</v>
      </c>
      <c r="K41" s="18">
        <f t="shared" si="0"/>
        <v>140.31901606483711</v>
      </c>
      <c r="L41" s="16">
        <f t="shared" si="1"/>
        <v>1.0434875392719653E-2</v>
      </c>
      <c r="M41" s="18">
        <f t="shared" si="2"/>
        <v>1075.7695576335243</v>
      </c>
      <c r="N41" s="16">
        <f t="shared" si="3"/>
        <v>7.9999999999999988E-2</v>
      </c>
      <c r="O41" s="18">
        <f t="shared" si="8"/>
        <v>4507.6853710361993</v>
      </c>
      <c r="P41" s="18">
        <f t="shared" si="9"/>
        <v>39271.503282104815</v>
      </c>
      <c r="Q41" s="18">
        <f t="shared" si="4"/>
        <v>161225.11462896381</v>
      </c>
      <c r="R41" s="18">
        <f t="shared" si="5"/>
        <v>43779.188653141013</v>
      </c>
    </row>
    <row r="42" spans="7:18" x14ac:dyDescent="0.3">
      <c r="G42">
        <v>37</v>
      </c>
      <c r="H42" s="17">
        <v>45962</v>
      </c>
      <c r="I42" s="18">
        <f t="shared" si="6"/>
        <v>161225.11462896381</v>
      </c>
      <c r="J42" s="18">
        <f t="shared" si="7"/>
        <v>1216.0885736983614</v>
      </c>
      <c r="K42" s="18">
        <f t="shared" si="0"/>
        <v>141.25447617193595</v>
      </c>
      <c r="L42" s="16">
        <f t="shared" si="1"/>
        <v>1.0513583556533057E-2</v>
      </c>
      <c r="M42" s="18">
        <f t="shared" si="2"/>
        <v>1074.8340975264255</v>
      </c>
      <c r="N42" s="16">
        <f t="shared" si="3"/>
        <v>0.08</v>
      </c>
      <c r="O42" s="18">
        <f t="shared" si="8"/>
        <v>4648.9398472081357</v>
      </c>
      <c r="P42" s="18">
        <f t="shared" si="9"/>
        <v>40346.337379631237</v>
      </c>
      <c r="Q42" s="18">
        <f t="shared" si="4"/>
        <v>161083.86015279187</v>
      </c>
      <c r="R42" s="18">
        <f t="shared" si="5"/>
        <v>44995.277226839375</v>
      </c>
    </row>
    <row r="43" spans="7:18" x14ac:dyDescent="0.3">
      <c r="G43">
        <v>38</v>
      </c>
      <c r="H43" s="17">
        <v>45992</v>
      </c>
      <c r="I43" s="18">
        <f t="shared" si="6"/>
        <v>161083.86015279187</v>
      </c>
      <c r="J43" s="18">
        <f t="shared" si="7"/>
        <v>1216.0885736983614</v>
      </c>
      <c r="K43" s="18">
        <f t="shared" si="0"/>
        <v>142.196172679749</v>
      </c>
      <c r="L43" s="16">
        <f t="shared" si="1"/>
        <v>1.0592954939982632E-2</v>
      </c>
      <c r="M43" s="18">
        <f t="shared" si="2"/>
        <v>1073.8924010186124</v>
      </c>
      <c r="N43" s="16">
        <f t="shared" si="3"/>
        <v>7.9999999999999988E-2</v>
      </c>
      <c r="O43" s="18">
        <f t="shared" si="8"/>
        <v>4791.1360198878847</v>
      </c>
      <c r="P43" s="18">
        <f t="shared" si="9"/>
        <v>41420.229780649846</v>
      </c>
      <c r="Q43" s="18">
        <f t="shared" si="4"/>
        <v>160941.66398011212</v>
      </c>
      <c r="R43" s="18">
        <f t="shared" si="5"/>
        <v>46211.365800537729</v>
      </c>
    </row>
    <row r="44" spans="7:18" x14ac:dyDescent="0.3">
      <c r="G44">
        <v>39</v>
      </c>
      <c r="H44" s="17">
        <v>46023</v>
      </c>
      <c r="I44" s="18">
        <f t="shared" si="6"/>
        <v>160941.66398011212</v>
      </c>
      <c r="J44" s="18">
        <f t="shared" si="7"/>
        <v>1216.0885736983614</v>
      </c>
      <c r="K44" s="18">
        <f t="shared" si="0"/>
        <v>143.14414716428064</v>
      </c>
      <c r="L44" s="16">
        <f t="shared" si="1"/>
        <v>1.0672996186889376E-2</v>
      </c>
      <c r="M44" s="18">
        <f t="shared" si="2"/>
        <v>1072.9444265340808</v>
      </c>
      <c r="N44" s="16">
        <f t="shared" si="3"/>
        <v>7.9999999999999988E-2</v>
      </c>
      <c r="O44" s="18">
        <f t="shared" si="8"/>
        <v>4934.2801670521658</v>
      </c>
      <c r="P44" s="18">
        <f t="shared" si="9"/>
        <v>42493.174207183925</v>
      </c>
      <c r="Q44" s="18">
        <f t="shared" si="4"/>
        <v>160798.51983294784</v>
      </c>
      <c r="R44" s="18">
        <f t="shared" si="5"/>
        <v>47427.454374236091</v>
      </c>
    </row>
    <row r="45" spans="7:18" x14ac:dyDescent="0.3">
      <c r="G45">
        <v>40</v>
      </c>
      <c r="H45" s="17">
        <v>46054</v>
      </c>
      <c r="I45" s="18">
        <f t="shared" si="6"/>
        <v>160798.51983294784</v>
      </c>
      <c r="J45" s="18">
        <f t="shared" si="7"/>
        <v>1216.0885736983614</v>
      </c>
      <c r="K45" s="18">
        <f t="shared" si="0"/>
        <v>144.09844147870899</v>
      </c>
      <c r="L45" s="16">
        <f t="shared" si="1"/>
        <v>1.0753714023866259E-2</v>
      </c>
      <c r="M45" s="18">
        <f t="shared" si="2"/>
        <v>1071.9901322196524</v>
      </c>
      <c r="N45" s="16">
        <f t="shared" si="3"/>
        <v>0.08</v>
      </c>
      <c r="O45" s="18">
        <f t="shared" si="8"/>
        <v>5078.3786085308748</v>
      </c>
      <c r="P45" s="18">
        <f t="shared" si="9"/>
        <v>43565.164339403578</v>
      </c>
      <c r="Q45" s="18">
        <f t="shared" si="4"/>
        <v>160654.42139146914</v>
      </c>
      <c r="R45" s="18">
        <f t="shared" si="5"/>
        <v>48643.542947934453</v>
      </c>
    </row>
    <row r="46" spans="7:18" x14ac:dyDescent="0.3">
      <c r="G46">
        <v>41</v>
      </c>
      <c r="H46" s="17">
        <v>46082</v>
      </c>
      <c r="I46" s="18">
        <f t="shared" si="6"/>
        <v>160654.42139146914</v>
      </c>
      <c r="J46" s="18">
        <f t="shared" si="7"/>
        <v>1216.0885736983614</v>
      </c>
      <c r="K46" s="18">
        <f t="shared" si="0"/>
        <v>145.05909775523378</v>
      </c>
      <c r="L46" s="16">
        <f t="shared" si="1"/>
        <v>1.0835115261603615E-2</v>
      </c>
      <c r="M46" s="18">
        <f t="shared" si="2"/>
        <v>1071.0294759431276</v>
      </c>
      <c r="N46" s="16">
        <f t="shared" si="3"/>
        <v>0.08</v>
      </c>
      <c r="O46" s="18">
        <f t="shared" si="8"/>
        <v>5223.4377062861086</v>
      </c>
      <c r="P46" s="18">
        <f t="shared" si="9"/>
        <v>44636.193815346705</v>
      </c>
      <c r="Q46" s="18">
        <f t="shared" si="4"/>
        <v>160509.3622937139</v>
      </c>
      <c r="R46" s="18">
        <f t="shared" si="5"/>
        <v>49859.631521632815</v>
      </c>
    </row>
    <row r="47" spans="7:18" x14ac:dyDescent="0.3">
      <c r="G47">
        <v>42</v>
      </c>
      <c r="H47" s="17">
        <v>46113</v>
      </c>
      <c r="I47" s="18">
        <f t="shared" si="6"/>
        <v>160509.3622937139</v>
      </c>
      <c r="J47" s="18">
        <f t="shared" si="7"/>
        <v>1216.0885736983614</v>
      </c>
      <c r="K47" s="18">
        <f t="shared" si="0"/>
        <v>146.02615840693534</v>
      </c>
      <c r="L47" s="16">
        <f t="shared" si="1"/>
        <v>1.0917206796178584E-2</v>
      </c>
      <c r="M47" s="18">
        <f t="shared" si="2"/>
        <v>1070.0624152914261</v>
      </c>
      <c r="N47" s="16">
        <f t="shared" si="3"/>
        <v>0.08</v>
      </c>
      <c r="O47" s="18">
        <f t="shared" si="8"/>
        <v>5369.4638646930434</v>
      </c>
      <c r="P47" s="18">
        <f t="shared" si="9"/>
        <v>45706.25623063813</v>
      </c>
      <c r="Q47" s="18">
        <f t="shared" si="4"/>
        <v>160363.33613530698</v>
      </c>
      <c r="R47" s="18">
        <f t="shared" si="5"/>
        <v>51075.720095331169</v>
      </c>
    </row>
    <row r="48" spans="7:18" x14ac:dyDescent="0.3">
      <c r="G48">
        <v>43</v>
      </c>
      <c r="H48" s="17">
        <v>46143</v>
      </c>
      <c r="I48" s="18">
        <f t="shared" si="6"/>
        <v>160363.33613530698</v>
      </c>
      <c r="J48" s="18">
        <f t="shared" si="7"/>
        <v>1216.0885736983614</v>
      </c>
      <c r="K48" s="18">
        <f t="shared" si="0"/>
        <v>146.99966612964818</v>
      </c>
      <c r="L48" s="16">
        <f t="shared" si="1"/>
        <v>1.0999995610389409E-2</v>
      </c>
      <c r="M48" s="18">
        <f t="shared" si="2"/>
        <v>1069.0889075687132</v>
      </c>
      <c r="N48" s="16">
        <f t="shared" si="3"/>
        <v>0.08</v>
      </c>
      <c r="O48" s="18">
        <f t="shared" si="8"/>
        <v>5516.4635308226916</v>
      </c>
      <c r="P48" s="18">
        <f t="shared" si="9"/>
        <v>46775.345138206845</v>
      </c>
      <c r="Q48" s="18">
        <f t="shared" si="4"/>
        <v>160216.33646917733</v>
      </c>
      <c r="R48" s="18">
        <f t="shared" si="5"/>
        <v>52291.808669029539</v>
      </c>
    </row>
    <row r="49" spans="7:18" x14ac:dyDescent="0.3">
      <c r="G49">
        <v>44</v>
      </c>
      <c r="H49" s="17">
        <v>46174</v>
      </c>
      <c r="I49" s="18">
        <f t="shared" si="6"/>
        <v>160216.33646917733</v>
      </c>
      <c r="J49" s="18">
        <f t="shared" si="7"/>
        <v>1216.0885736983614</v>
      </c>
      <c r="K49" s="18">
        <f t="shared" si="0"/>
        <v>147.9796639038459</v>
      </c>
      <c r="L49" s="16">
        <f t="shared" si="1"/>
        <v>1.108348877511485E-2</v>
      </c>
      <c r="M49" s="18">
        <f t="shared" si="2"/>
        <v>1068.1089097945155</v>
      </c>
      <c r="N49" s="16">
        <f t="shared" si="3"/>
        <v>7.9999999999999988E-2</v>
      </c>
      <c r="O49" s="18">
        <f t="shared" si="8"/>
        <v>5664.4431947265375</v>
      </c>
      <c r="P49" s="18">
        <f t="shared" si="9"/>
        <v>47843.45404800136</v>
      </c>
      <c r="Q49" s="18">
        <f t="shared" si="4"/>
        <v>160068.35680527348</v>
      </c>
      <c r="R49" s="18">
        <f t="shared" si="5"/>
        <v>53507.8972427279</v>
      </c>
    </row>
    <row r="50" spans="7:18" x14ac:dyDescent="0.3">
      <c r="G50">
        <v>45</v>
      </c>
      <c r="H50" s="17">
        <v>46204</v>
      </c>
      <c r="I50" s="18">
        <f t="shared" si="6"/>
        <v>160068.35680527348</v>
      </c>
      <c r="J50" s="18">
        <f t="shared" si="7"/>
        <v>1216.0885736983614</v>
      </c>
      <c r="K50" s="18">
        <f t="shared" si="0"/>
        <v>148.96619499653821</v>
      </c>
      <c r="L50" s="16">
        <f t="shared" si="1"/>
        <v>1.1167693450699344E-2</v>
      </c>
      <c r="M50" s="18">
        <f t="shared" si="2"/>
        <v>1067.1223787018232</v>
      </c>
      <c r="N50" s="16">
        <f t="shared" si="3"/>
        <v>0.08</v>
      </c>
      <c r="O50" s="18">
        <f t="shared" si="8"/>
        <v>5813.4093897230759</v>
      </c>
      <c r="P50" s="18">
        <f t="shared" si="9"/>
        <v>48910.576426703185</v>
      </c>
      <c r="Q50" s="18">
        <f t="shared" si="4"/>
        <v>159919.39061027693</v>
      </c>
      <c r="R50" s="18">
        <f t="shared" si="5"/>
        <v>54723.985816426262</v>
      </c>
    </row>
    <row r="51" spans="7:18" x14ac:dyDescent="0.3">
      <c r="G51">
        <v>46</v>
      </c>
      <c r="H51" s="17">
        <v>46235</v>
      </c>
      <c r="I51" s="18">
        <f t="shared" si="6"/>
        <v>159919.39061027693</v>
      </c>
      <c r="J51" s="18">
        <f t="shared" si="7"/>
        <v>1216.0885736983614</v>
      </c>
      <c r="K51" s="18">
        <f t="shared" si="0"/>
        <v>149.95930296318193</v>
      </c>
      <c r="L51" s="16">
        <f t="shared" si="1"/>
        <v>1.1252616888364635E-2</v>
      </c>
      <c r="M51" s="18">
        <f t="shared" si="2"/>
        <v>1066.1292707351795</v>
      </c>
      <c r="N51" s="16">
        <f t="shared" si="3"/>
        <v>7.9999999999999988E-2</v>
      </c>
      <c r="O51" s="18">
        <f t="shared" si="8"/>
        <v>5963.3686926862574</v>
      </c>
      <c r="P51" s="18">
        <f t="shared" si="9"/>
        <v>49976.705697438367</v>
      </c>
      <c r="Q51" s="18">
        <f t="shared" si="4"/>
        <v>159769.43130731373</v>
      </c>
      <c r="R51" s="18">
        <f t="shared" si="5"/>
        <v>55940.074390124624</v>
      </c>
    </row>
    <row r="52" spans="7:18" x14ac:dyDescent="0.3">
      <c r="G52">
        <v>47</v>
      </c>
      <c r="H52" s="17">
        <v>46266</v>
      </c>
      <c r="I52" s="18">
        <f t="shared" si="6"/>
        <v>159769.43130731373</v>
      </c>
      <c r="J52" s="18">
        <f t="shared" si="7"/>
        <v>1216.0885736983614</v>
      </c>
      <c r="K52" s="18">
        <f t="shared" si="0"/>
        <v>150.95903164960305</v>
      </c>
      <c r="L52" s="16">
        <f t="shared" si="1"/>
        <v>1.1338266431648189E-2</v>
      </c>
      <c r="M52" s="18">
        <f t="shared" si="2"/>
        <v>1065.1295420487584</v>
      </c>
      <c r="N52" s="16">
        <f t="shared" si="3"/>
        <v>8.0000000000000016E-2</v>
      </c>
      <c r="O52" s="18">
        <f t="shared" si="8"/>
        <v>6114.3277243358607</v>
      </c>
      <c r="P52" s="18">
        <f t="shared" si="9"/>
        <v>51041.835239487125</v>
      </c>
      <c r="Q52" s="18">
        <f t="shared" si="4"/>
        <v>159618.47227566413</v>
      </c>
      <c r="R52" s="18">
        <f t="shared" si="5"/>
        <v>57156.162963822986</v>
      </c>
    </row>
    <row r="53" spans="7:18" x14ac:dyDescent="0.3">
      <c r="G53">
        <v>48</v>
      </c>
      <c r="H53" s="17">
        <v>46296</v>
      </c>
      <c r="I53" s="18">
        <f t="shared" si="6"/>
        <v>159618.47227566413</v>
      </c>
      <c r="J53" s="18">
        <f t="shared" si="7"/>
        <v>1216.0885736983614</v>
      </c>
      <c r="K53" s="18">
        <f t="shared" si="0"/>
        <v>151.96542519393392</v>
      </c>
      <c r="L53" s="16">
        <f t="shared" si="1"/>
        <v>1.1424649517869343E-2</v>
      </c>
      <c r="M53" s="18">
        <f t="shared" si="2"/>
        <v>1064.1231485044275</v>
      </c>
      <c r="N53" s="16">
        <f t="shared" si="3"/>
        <v>7.9999999999999988E-2</v>
      </c>
      <c r="O53" s="18">
        <f t="shared" si="8"/>
        <v>6266.2931495297944</v>
      </c>
      <c r="P53" s="18">
        <f t="shared" si="9"/>
        <v>52105.958387991552</v>
      </c>
      <c r="Q53" s="18">
        <f t="shared" si="4"/>
        <v>159466.50685047021</v>
      </c>
      <c r="R53" s="18">
        <f t="shared" si="5"/>
        <v>58372.251537521348</v>
      </c>
    </row>
    <row r="54" spans="7:18" x14ac:dyDescent="0.3">
      <c r="G54">
        <v>49</v>
      </c>
      <c r="H54" s="17">
        <v>46327</v>
      </c>
      <c r="I54" s="18">
        <f t="shared" si="6"/>
        <v>159466.50685047021</v>
      </c>
      <c r="J54" s="18">
        <f t="shared" si="7"/>
        <v>1216.0885736983614</v>
      </c>
      <c r="K54" s="18">
        <f t="shared" si="0"/>
        <v>152.97852802856005</v>
      </c>
      <c r="L54" s="16">
        <f t="shared" si="1"/>
        <v>1.1511773679623357E-2</v>
      </c>
      <c r="M54" s="18">
        <f t="shared" si="2"/>
        <v>1063.1100456698014</v>
      </c>
      <c r="N54" s="16">
        <f t="shared" si="3"/>
        <v>7.9999999999999988E-2</v>
      </c>
      <c r="O54" s="18">
        <f t="shared" si="8"/>
        <v>6419.271677558354</v>
      </c>
      <c r="P54" s="18">
        <f t="shared" si="9"/>
        <v>53169.068433661356</v>
      </c>
      <c r="Q54" s="18">
        <f t="shared" si="4"/>
        <v>159313.52832244165</v>
      </c>
      <c r="R54" s="18">
        <f t="shared" si="5"/>
        <v>59588.34011121971</v>
      </c>
    </row>
    <row r="55" spans="7:18" x14ac:dyDescent="0.3">
      <c r="G55">
        <v>50</v>
      </c>
      <c r="H55" s="17">
        <v>46357</v>
      </c>
      <c r="I55" s="18">
        <f t="shared" si="6"/>
        <v>159313.52832244165</v>
      </c>
      <c r="J55" s="18">
        <f t="shared" si="7"/>
        <v>1216.0885736983614</v>
      </c>
      <c r="K55" s="18">
        <f t="shared" si="0"/>
        <v>153.99838488208366</v>
      </c>
      <c r="L55" s="16">
        <f t="shared" si="1"/>
        <v>1.1599646546304559E-2</v>
      </c>
      <c r="M55" s="18">
        <f t="shared" si="2"/>
        <v>1062.0901888162778</v>
      </c>
      <c r="N55" s="16">
        <f t="shared" si="3"/>
        <v>0.08</v>
      </c>
      <c r="O55" s="18">
        <f t="shared" si="8"/>
        <v>6573.2700624404379</v>
      </c>
      <c r="P55" s="18">
        <f t="shared" si="9"/>
        <v>54231.158622477633</v>
      </c>
      <c r="Q55" s="18">
        <f t="shared" si="4"/>
        <v>159159.52993755956</v>
      </c>
      <c r="R55" s="18">
        <f t="shared" si="5"/>
        <v>60804.428684918072</v>
      </c>
    </row>
    <row r="56" spans="7:18" x14ac:dyDescent="0.3">
      <c r="G56">
        <v>51</v>
      </c>
      <c r="H56" s="17">
        <v>46388</v>
      </c>
      <c r="I56" s="18">
        <f t="shared" si="6"/>
        <v>159159.52993755956</v>
      </c>
      <c r="J56" s="18">
        <f t="shared" si="7"/>
        <v>1216.0885736983614</v>
      </c>
      <c r="K56" s="18">
        <f t="shared" si="0"/>
        <v>155.02504078129755</v>
      </c>
      <c r="L56" s="16">
        <f t="shared" si="1"/>
        <v>1.1688275845658702E-2</v>
      </c>
      <c r="M56" s="18">
        <f t="shared" si="2"/>
        <v>1061.0635329170639</v>
      </c>
      <c r="N56" s="16">
        <f t="shared" si="3"/>
        <v>0.08</v>
      </c>
      <c r="O56" s="18">
        <f t="shared" si="8"/>
        <v>6728.2951032217352</v>
      </c>
      <c r="P56" s="18">
        <f t="shared" si="9"/>
        <v>55292.222155394695</v>
      </c>
      <c r="Q56" s="18">
        <f t="shared" si="4"/>
        <v>159004.50489677826</v>
      </c>
      <c r="R56" s="18">
        <f t="shared" si="5"/>
        <v>62020.517258616426</v>
      </c>
    </row>
    <row r="57" spans="7:18" x14ac:dyDescent="0.3">
      <c r="G57">
        <v>52</v>
      </c>
      <c r="H57" s="17">
        <v>46419</v>
      </c>
      <c r="I57" s="18">
        <f t="shared" si="6"/>
        <v>159004.50489677826</v>
      </c>
      <c r="J57" s="18">
        <f t="shared" si="7"/>
        <v>1216.0885736983614</v>
      </c>
      <c r="K57" s="18">
        <f t="shared" si="0"/>
        <v>156.05854105317303</v>
      </c>
      <c r="L57" s="16">
        <f t="shared" si="1"/>
        <v>1.1777669405365513E-2</v>
      </c>
      <c r="M57" s="18">
        <f t="shared" si="2"/>
        <v>1060.0300326451884</v>
      </c>
      <c r="N57" s="16">
        <f t="shared" si="3"/>
        <v>7.9999999999999988E-2</v>
      </c>
      <c r="O57" s="18">
        <f t="shared" si="8"/>
        <v>6884.3536442749082</v>
      </c>
      <c r="P57" s="18">
        <f t="shared" si="9"/>
        <v>56352.252188039885</v>
      </c>
      <c r="Q57" s="18">
        <f t="shared" si="4"/>
        <v>158848.44635572509</v>
      </c>
      <c r="R57" s="18">
        <f t="shared" si="5"/>
        <v>63236.605832314795</v>
      </c>
    </row>
    <row r="58" spans="7:18" x14ac:dyDescent="0.3">
      <c r="G58">
        <v>53</v>
      </c>
      <c r="H58" s="17">
        <v>46447</v>
      </c>
      <c r="I58" s="18">
        <f t="shared" si="6"/>
        <v>158848.44635572509</v>
      </c>
      <c r="J58" s="18">
        <f t="shared" si="7"/>
        <v>1216.0885736983614</v>
      </c>
      <c r="K58" s="18">
        <f t="shared" si="0"/>
        <v>157.09893132686079</v>
      </c>
      <c r="L58" s="16">
        <f t="shared" si="1"/>
        <v>1.1867835154652021E-2</v>
      </c>
      <c r="M58" s="18">
        <f t="shared" si="2"/>
        <v>1058.9896423715006</v>
      </c>
      <c r="N58" s="16">
        <f t="shared" si="3"/>
        <v>0.08</v>
      </c>
      <c r="O58" s="18">
        <f t="shared" si="8"/>
        <v>7041.4525756017692</v>
      </c>
      <c r="P58" s="18">
        <f t="shared" si="9"/>
        <v>57411.241830411389</v>
      </c>
      <c r="Q58" s="18">
        <f t="shared" si="4"/>
        <v>158691.34742439823</v>
      </c>
      <c r="R58" s="18">
        <f t="shared" si="5"/>
        <v>64452.694406013157</v>
      </c>
    </row>
    <row r="59" spans="7:18" x14ac:dyDescent="0.3">
      <c r="G59">
        <v>54</v>
      </c>
      <c r="H59" s="17">
        <v>46478</v>
      </c>
      <c r="I59" s="18">
        <f t="shared" si="6"/>
        <v>158691.34742439823</v>
      </c>
      <c r="J59" s="18">
        <f t="shared" si="7"/>
        <v>1216.0885736983614</v>
      </c>
      <c r="K59" s="18">
        <f t="shared" si="0"/>
        <v>158.14625753570635</v>
      </c>
      <c r="L59" s="16">
        <f t="shared" si="1"/>
        <v>1.195878112593745E-2</v>
      </c>
      <c r="M59" s="18">
        <f t="shared" si="2"/>
        <v>1057.9423161626551</v>
      </c>
      <c r="N59" s="16">
        <f t="shared" si="3"/>
        <v>8.0000000000000016E-2</v>
      </c>
      <c r="O59" s="18">
        <f t="shared" si="8"/>
        <v>7199.5988331374756</v>
      </c>
      <c r="P59" s="18">
        <f t="shared" si="9"/>
        <v>58469.184146574044</v>
      </c>
      <c r="Q59" s="18">
        <f t="shared" si="4"/>
        <v>158533.20116686253</v>
      </c>
      <c r="R59" s="18">
        <f t="shared" si="5"/>
        <v>65668.782979711512</v>
      </c>
    </row>
    <row r="60" spans="7:18" x14ac:dyDescent="0.3">
      <c r="G60">
        <v>55</v>
      </c>
      <c r="H60" s="17">
        <v>46508</v>
      </c>
      <c r="I60" s="18">
        <f t="shared" si="6"/>
        <v>158533.20116686253</v>
      </c>
      <c r="J60" s="18">
        <f t="shared" si="7"/>
        <v>1216.0885736983614</v>
      </c>
      <c r="K60" s="18">
        <f t="shared" si="0"/>
        <v>159.20056591927778</v>
      </c>
      <c r="L60" s="16">
        <f t="shared" si="1"/>
        <v>1.2050515456510298E-2</v>
      </c>
      <c r="M60" s="18">
        <f t="shared" si="2"/>
        <v>1056.8880077790836</v>
      </c>
      <c r="N60" s="16">
        <f t="shared" si="3"/>
        <v>0.08</v>
      </c>
      <c r="O60" s="18">
        <f t="shared" si="8"/>
        <v>7358.7993990567538</v>
      </c>
      <c r="P60" s="18">
        <f t="shared" si="9"/>
        <v>59526.072154353125</v>
      </c>
      <c r="Q60" s="18">
        <f t="shared" si="4"/>
        <v>158374.00060094325</v>
      </c>
      <c r="R60" s="18">
        <f t="shared" si="5"/>
        <v>66884.871553409874</v>
      </c>
    </row>
    <row r="61" spans="7:18" x14ac:dyDescent="0.3">
      <c r="G61">
        <v>56</v>
      </c>
      <c r="H61" s="17">
        <v>46539</v>
      </c>
      <c r="I61" s="18">
        <f t="shared" si="6"/>
        <v>158374.00060094325</v>
      </c>
      <c r="J61" s="18">
        <f t="shared" si="7"/>
        <v>1216.0885736983614</v>
      </c>
      <c r="K61" s="18">
        <f t="shared" si="0"/>
        <v>160.26190302540635</v>
      </c>
      <c r="L61" s="16">
        <f t="shared" si="1"/>
        <v>1.2143046390238263E-2</v>
      </c>
      <c r="M61" s="18">
        <f t="shared" si="2"/>
        <v>1055.8266706729551</v>
      </c>
      <c r="N61" s="16">
        <f t="shared" si="3"/>
        <v>0.08</v>
      </c>
      <c r="O61" s="18">
        <f t="shared" si="8"/>
        <v>7519.0613020821602</v>
      </c>
      <c r="P61" s="18">
        <f t="shared" si="9"/>
        <v>60581.898825026081</v>
      </c>
      <c r="Q61" s="18">
        <f t="shared" si="4"/>
        <v>158213.73869791784</v>
      </c>
      <c r="R61" s="18">
        <f t="shared" si="5"/>
        <v>68100.960127108236</v>
      </c>
    </row>
    <row r="62" spans="7:18" x14ac:dyDescent="0.3">
      <c r="G62">
        <v>57</v>
      </c>
      <c r="H62" s="17">
        <v>46569</v>
      </c>
      <c r="I62" s="18">
        <f t="shared" si="6"/>
        <v>158213.73869791784</v>
      </c>
      <c r="J62" s="18">
        <f t="shared" si="7"/>
        <v>1216.0885736983614</v>
      </c>
      <c r="K62" s="18">
        <f t="shared" si="0"/>
        <v>161.33031571224251</v>
      </c>
      <c r="L62" s="16">
        <f t="shared" si="1"/>
        <v>1.2236382279312057E-2</v>
      </c>
      <c r="M62" s="18">
        <f t="shared" si="2"/>
        <v>1054.7582579861189</v>
      </c>
      <c r="N62" s="16">
        <f t="shared" si="3"/>
        <v>7.9999999999999988E-2</v>
      </c>
      <c r="O62" s="18">
        <f t="shared" si="8"/>
        <v>7680.3916177944029</v>
      </c>
      <c r="P62" s="18">
        <f t="shared" si="9"/>
        <v>61636.6570830122</v>
      </c>
      <c r="Q62" s="18">
        <f t="shared" si="4"/>
        <v>158052.40838220561</v>
      </c>
      <c r="R62" s="18">
        <f t="shared" si="5"/>
        <v>69317.048700806597</v>
      </c>
    </row>
    <row r="63" spans="7:18" x14ac:dyDescent="0.3">
      <c r="G63">
        <v>58</v>
      </c>
      <c r="H63" s="17">
        <v>46600</v>
      </c>
      <c r="I63" s="18">
        <f t="shared" si="6"/>
        <v>158052.40838220561</v>
      </c>
      <c r="J63" s="18">
        <f t="shared" si="7"/>
        <v>1216.0885736983614</v>
      </c>
      <c r="K63" s="18">
        <f t="shared" si="0"/>
        <v>162.405851150324</v>
      </c>
      <c r="L63" s="16">
        <f t="shared" si="1"/>
        <v>1.2330531586023603E-2</v>
      </c>
      <c r="M63" s="18">
        <f t="shared" si="2"/>
        <v>1053.6827225480374</v>
      </c>
      <c r="N63" s="16">
        <f t="shared" si="3"/>
        <v>0.08</v>
      </c>
      <c r="O63" s="18">
        <f t="shared" si="8"/>
        <v>7842.7974689447274</v>
      </c>
      <c r="P63" s="18">
        <f t="shared" si="9"/>
        <v>62690.339805560237</v>
      </c>
      <c r="Q63" s="18">
        <f t="shared" si="4"/>
        <v>157890.0025310553</v>
      </c>
      <c r="R63" s="18">
        <f t="shared" si="5"/>
        <v>70533.137274504959</v>
      </c>
    </row>
    <row r="64" spans="7:18" x14ac:dyDescent="0.3">
      <c r="G64">
        <v>59</v>
      </c>
      <c r="H64" s="17">
        <v>46631</v>
      </c>
      <c r="I64" s="18">
        <f t="shared" si="6"/>
        <v>157890.0025310553</v>
      </c>
      <c r="J64" s="18">
        <f t="shared" si="7"/>
        <v>1216.0885736983614</v>
      </c>
      <c r="K64" s="18">
        <f t="shared" si="0"/>
        <v>163.48855682465933</v>
      </c>
      <c r="L64" s="16">
        <f t="shared" si="1"/>
        <v>1.2425502884579625E-2</v>
      </c>
      <c r="M64" s="18">
        <f t="shared" si="2"/>
        <v>1052.6000168737021</v>
      </c>
      <c r="N64" s="16">
        <f t="shared" si="3"/>
        <v>0.08</v>
      </c>
      <c r="O64" s="18">
        <f t="shared" si="8"/>
        <v>8006.2860257693865</v>
      </c>
      <c r="P64" s="18">
        <f t="shared" si="9"/>
        <v>63742.939822433938</v>
      </c>
      <c r="Q64" s="18">
        <f t="shared" si="4"/>
        <v>157726.51397423065</v>
      </c>
      <c r="R64" s="18">
        <f t="shared" si="5"/>
        <v>71749.225848203321</v>
      </c>
    </row>
    <row r="65" spans="7:18" x14ac:dyDescent="0.3">
      <c r="G65">
        <v>60</v>
      </c>
      <c r="H65" s="17">
        <v>46661</v>
      </c>
      <c r="I65" s="18">
        <f t="shared" si="6"/>
        <v>157726.51397423065</v>
      </c>
      <c r="J65" s="18">
        <f t="shared" si="7"/>
        <v>1216.0885736983614</v>
      </c>
      <c r="K65" s="18">
        <f t="shared" si="0"/>
        <v>164.57848053682369</v>
      </c>
      <c r="L65" s="16">
        <f t="shared" si="1"/>
        <v>1.2521304862951261E-2</v>
      </c>
      <c r="M65" s="18">
        <f t="shared" si="2"/>
        <v>1051.5100931615377</v>
      </c>
      <c r="N65" s="16">
        <f t="shared" si="3"/>
        <v>0.08</v>
      </c>
      <c r="O65" s="18">
        <f t="shared" si="8"/>
        <v>8170.8645063062104</v>
      </c>
      <c r="P65" s="18">
        <f t="shared" si="9"/>
        <v>64794.449915595476</v>
      </c>
      <c r="Q65" s="18">
        <f t="shared" si="4"/>
        <v>157561.93549369383</v>
      </c>
      <c r="R65" s="18">
        <f t="shared" si="5"/>
        <v>72965.314421901683</v>
      </c>
    </row>
    <row r="66" spans="7:18" x14ac:dyDescent="0.3">
      <c r="G66">
        <v>61</v>
      </c>
      <c r="H66" s="17">
        <v>46692</v>
      </c>
      <c r="I66" s="18">
        <f t="shared" si="6"/>
        <v>157561.93549369383</v>
      </c>
      <c r="J66" s="18">
        <f t="shared" si="7"/>
        <v>1216.0885736983614</v>
      </c>
      <c r="K66" s="18">
        <f t="shared" si="0"/>
        <v>165.67567040706922</v>
      </c>
      <c r="L66" s="16">
        <f t="shared" si="1"/>
        <v>1.2617946324760662E-2</v>
      </c>
      <c r="M66" s="18">
        <f t="shared" si="2"/>
        <v>1050.4129032912922</v>
      </c>
      <c r="N66" s="16">
        <f t="shared" si="3"/>
        <v>7.9999999999999988E-2</v>
      </c>
      <c r="O66" s="18">
        <f t="shared" si="8"/>
        <v>8336.5401767132789</v>
      </c>
      <c r="P66" s="18">
        <f t="shared" si="9"/>
        <v>65844.862818886773</v>
      </c>
      <c r="Q66" s="18">
        <f t="shared" si="4"/>
        <v>157396.25982328676</v>
      </c>
      <c r="R66" s="18">
        <f t="shared" si="5"/>
        <v>74181.402995600045</v>
      </c>
    </row>
    <row r="67" spans="7:18" x14ac:dyDescent="0.3">
      <c r="G67">
        <v>62</v>
      </c>
      <c r="H67" s="17">
        <v>46722</v>
      </c>
      <c r="I67" s="18">
        <f t="shared" si="6"/>
        <v>157396.25982328676</v>
      </c>
      <c r="J67" s="18">
        <f t="shared" si="7"/>
        <v>1216.0885736983614</v>
      </c>
      <c r="K67" s="18">
        <f t="shared" si="0"/>
        <v>166.78017487644956</v>
      </c>
      <c r="L67" s="16">
        <f t="shared" si="1"/>
        <v>1.2715436191205437E-2</v>
      </c>
      <c r="M67" s="18">
        <f t="shared" si="2"/>
        <v>1049.3083988219119</v>
      </c>
      <c r="N67" s="16">
        <f t="shared" si="3"/>
        <v>0.08</v>
      </c>
      <c r="O67" s="18">
        <f t="shared" si="8"/>
        <v>8503.3203515897294</v>
      </c>
      <c r="P67" s="18">
        <f t="shared" si="9"/>
        <v>66894.171217708688</v>
      </c>
      <c r="Q67" s="18">
        <f t="shared" si="4"/>
        <v>157229.47964841031</v>
      </c>
      <c r="R67" s="18">
        <f t="shared" si="5"/>
        <v>75397.491569298421</v>
      </c>
    </row>
    <row r="68" spans="7:18" x14ac:dyDescent="0.3">
      <c r="G68">
        <v>63</v>
      </c>
      <c r="H68" s="17">
        <v>46753</v>
      </c>
      <c r="I68" s="18">
        <f t="shared" si="6"/>
        <v>157229.47964841031</v>
      </c>
      <c r="J68" s="18">
        <f t="shared" si="7"/>
        <v>1216.0885736983614</v>
      </c>
      <c r="K68" s="18">
        <f t="shared" si="0"/>
        <v>167.89204270895925</v>
      </c>
      <c r="L68" s="16">
        <f t="shared" si="1"/>
        <v>1.2813783503021859E-2</v>
      </c>
      <c r="M68" s="18">
        <f t="shared" si="2"/>
        <v>1048.1965309894022</v>
      </c>
      <c r="N68" s="16">
        <f t="shared" si="3"/>
        <v>0.08</v>
      </c>
      <c r="O68" s="18">
        <f t="shared" si="8"/>
        <v>8671.2123942986891</v>
      </c>
      <c r="P68" s="18">
        <f t="shared" si="9"/>
        <v>67942.367748698089</v>
      </c>
      <c r="Q68" s="18">
        <f t="shared" si="4"/>
        <v>157061.58760570135</v>
      </c>
      <c r="R68" s="18">
        <f t="shared" si="5"/>
        <v>76613.580142996783</v>
      </c>
    </row>
    <row r="69" spans="7:18" x14ac:dyDescent="0.3">
      <c r="G69">
        <v>64</v>
      </c>
      <c r="H69" s="17">
        <v>46784</v>
      </c>
      <c r="I69" s="18">
        <f t="shared" si="6"/>
        <v>157061.58760570135</v>
      </c>
      <c r="J69" s="18">
        <f t="shared" si="7"/>
        <v>1216.0885736983614</v>
      </c>
      <c r="K69" s="18">
        <f t="shared" si="0"/>
        <v>169.01132299368578</v>
      </c>
      <c r="L69" s="16">
        <f t="shared" si="1"/>
        <v>1.2912997422487584E-2</v>
      </c>
      <c r="M69" s="18">
        <f t="shared" si="2"/>
        <v>1047.0772507046756</v>
      </c>
      <c r="N69" s="16">
        <f t="shared" si="3"/>
        <v>7.9999999999999988E-2</v>
      </c>
      <c r="O69" s="18">
        <f t="shared" si="8"/>
        <v>8840.2237172923742</v>
      </c>
      <c r="P69" s="18">
        <f t="shared" si="9"/>
        <v>68989.444999402767</v>
      </c>
      <c r="Q69" s="18">
        <f t="shared" si="4"/>
        <v>156892.57628270765</v>
      </c>
      <c r="R69" s="18">
        <f t="shared" si="5"/>
        <v>77829.668716695145</v>
      </c>
    </row>
    <row r="70" spans="7:18" x14ac:dyDescent="0.3">
      <c r="G70">
        <v>65</v>
      </c>
      <c r="H70" s="17">
        <v>46813</v>
      </c>
      <c r="I70" s="18">
        <f t="shared" si="6"/>
        <v>156892.57628270765</v>
      </c>
      <c r="J70" s="18">
        <f t="shared" ref="J70:J133" si="10">$I$6/((($K$2)-1)/($K$1*$K$2))</f>
        <v>1216.0885736983614</v>
      </c>
      <c r="K70" s="18">
        <f t="shared" ref="K70:K133" si="11">J70-M70</f>
        <v>170.13806514697694</v>
      </c>
      <c r="L70" s="16">
        <f t="shared" ref="L70:L133" si="12">(K70/I70)*12</f>
        <v>1.3013087235465012E-2</v>
      </c>
      <c r="M70" s="18">
        <f t="shared" ref="M70:M133" si="13">I70*($H$1/12)</f>
        <v>1045.9505085513845</v>
      </c>
      <c r="N70" s="16">
        <f t="shared" ref="N70:N133" si="14">(M70/I70)*12</f>
        <v>0.08</v>
      </c>
      <c r="O70" s="18">
        <f t="shared" si="8"/>
        <v>9010.3617824393514</v>
      </c>
      <c r="P70" s="18">
        <f t="shared" si="9"/>
        <v>70035.395507954148</v>
      </c>
      <c r="Q70" s="18">
        <f t="shared" ref="Q70:Q133" si="15">I70-K70</f>
        <v>156722.43821756067</v>
      </c>
      <c r="R70" s="18">
        <f t="shared" ref="R70:R133" si="16">O70+P70</f>
        <v>79045.757290393492</v>
      </c>
    </row>
    <row r="71" spans="7:18" x14ac:dyDescent="0.3">
      <c r="G71">
        <v>66</v>
      </c>
      <c r="H71" s="17">
        <v>46844</v>
      </c>
      <c r="I71" s="18">
        <f t="shared" ref="I71:I134" si="17">Q70</f>
        <v>156722.43821756067</v>
      </c>
      <c r="J71" s="18">
        <f t="shared" si="10"/>
        <v>1216.0885736983614</v>
      </c>
      <c r="K71" s="18">
        <f t="shared" si="11"/>
        <v>171.27231891462361</v>
      </c>
      <c r="L71" s="16">
        <f t="shared" si="12"/>
        <v>1.3114062353486226E-2</v>
      </c>
      <c r="M71" s="18">
        <f t="shared" si="13"/>
        <v>1044.8162547837378</v>
      </c>
      <c r="N71" s="16">
        <f t="shared" si="14"/>
        <v>7.9999999999999988E-2</v>
      </c>
      <c r="O71" s="18">
        <f t="shared" ref="O71:O134" si="18">O70+K71</f>
        <v>9181.634101353975</v>
      </c>
      <c r="P71" s="18">
        <f t="shared" ref="P71:P134" si="19">P70+M71</f>
        <v>71080.21176273789</v>
      </c>
      <c r="Q71" s="18">
        <f t="shared" si="15"/>
        <v>156551.16589864605</v>
      </c>
      <c r="R71" s="18">
        <f t="shared" si="16"/>
        <v>80261.845864091869</v>
      </c>
    </row>
    <row r="72" spans="7:18" x14ac:dyDescent="0.3">
      <c r="G72">
        <v>67</v>
      </c>
      <c r="H72" s="17">
        <v>46874</v>
      </c>
      <c r="I72" s="18">
        <f t="shared" si="17"/>
        <v>156551.16589864605</v>
      </c>
      <c r="J72" s="18">
        <f t="shared" si="10"/>
        <v>1216.0885736983614</v>
      </c>
      <c r="K72" s="18">
        <f t="shared" si="11"/>
        <v>172.41413437405436</v>
      </c>
      <c r="L72" s="16">
        <f t="shared" si="12"/>
        <v>1.3215932315880287E-2</v>
      </c>
      <c r="M72" s="18">
        <f t="shared" si="13"/>
        <v>1043.6744393243071</v>
      </c>
      <c r="N72" s="16">
        <f t="shared" si="14"/>
        <v>0.08</v>
      </c>
      <c r="O72" s="18">
        <f t="shared" si="18"/>
        <v>9354.0482357280289</v>
      </c>
      <c r="P72" s="18">
        <f t="shared" si="19"/>
        <v>72123.886202062204</v>
      </c>
      <c r="Q72" s="18">
        <f t="shared" si="15"/>
        <v>156378.75176427199</v>
      </c>
      <c r="R72" s="18">
        <f t="shared" si="16"/>
        <v>81477.934437790231</v>
      </c>
    </row>
    <row r="73" spans="7:18" x14ac:dyDescent="0.3">
      <c r="G73">
        <v>68</v>
      </c>
      <c r="H73" s="17">
        <v>46905</v>
      </c>
      <c r="I73" s="18">
        <f t="shared" si="17"/>
        <v>156378.75176427199</v>
      </c>
      <c r="J73" s="18">
        <f t="shared" si="10"/>
        <v>1216.0885736983614</v>
      </c>
      <c r="K73" s="18">
        <f t="shared" si="11"/>
        <v>173.56356193654801</v>
      </c>
      <c r="L73" s="16">
        <f t="shared" si="12"/>
        <v>1.3318706791944268E-2</v>
      </c>
      <c r="M73" s="18">
        <f t="shared" si="13"/>
        <v>1042.5250117618134</v>
      </c>
      <c r="N73" s="16">
        <f t="shared" si="14"/>
        <v>0.08</v>
      </c>
      <c r="O73" s="18">
        <f t="shared" si="18"/>
        <v>9527.6117976645764</v>
      </c>
      <c r="P73" s="18">
        <f t="shared" si="19"/>
        <v>73166.411213824016</v>
      </c>
      <c r="Q73" s="18">
        <f t="shared" si="15"/>
        <v>156205.18820233544</v>
      </c>
      <c r="R73" s="18">
        <f t="shared" si="16"/>
        <v>82694.023011488593</v>
      </c>
    </row>
    <row r="74" spans="7:18" x14ac:dyDescent="0.3">
      <c r="G74">
        <v>69</v>
      </c>
      <c r="H74" s="17">
        <v>46935</v>
      </c>
      <c r="I74" s="18">
        <f t="shared" si="17"/>
        <v>156205.18820233544</v>
      </c>
      <c r="J74" s="18">
        <f t="shared" si="10"/>
        <v>1216.0885736983614</v>
      </c>
      <c r="K74" s="18">
        <f t="shared" si="11"/>
        <v>174.72065234945831</v>
      </c>
      <c r="L74" s="16">
        <f t="shared" si="12"/>
        <v>1.3422395583158692E-2</v>
      </c>
      <c r="M74" s="18">
        <f t="shared" si="13"/>
        <v>1041.3679213489031</v>
      </c>
      <c r="N74" s="16">
        <f t="shared" si="14"/>
        <v>8.0000000000000016E-2</v>
      </c>
      <c r="O74" s="18">
        <f t="shared" si="18"/>
        <v>9702.3324500140352</v>
      </c>
      <c r="P74" s="18">
        <f t="shared" si="19"/>
        <v>74207.779135172925</v>
      </c>
      <c r="Q74" s="18">
        <f t="shared" si="15"/>
        <v>156030.46754998597</v>
      </c>
      <c r="R74" s="18">
        <f t="shared" si="16"/>
        <v>83910.111585186954</v>
      </c>
    </row>
    <row r="75" spans="7:18" x14ac:dyDescent="0.3">
      <c r="G75">
        <v>70</v>
      </c>
      <c r="H75" s="17">
        <v>46966</v>
      </c>
      <c r="I75" s="18">
        <f t="shared" si="17"/>
        <v>156030.46754998597</v>
      </c>
      <c r="J75" s="18">
        <f t="shared" si="10"/>
        <v>1216.0885736983614</v>
      </c>
      <c r="K75" s="18">
        <f t="shared" si="11"/>
        <v>175.88545669845485</v>
      </c>
      <c r="L75" s="16">
        <f t="shared" si="12"/>
        <v>1.3527008625448728E-2</v>
      </c>
      <c r="M75" s="18">
        <f t="shared" si="13"/>
        <v>1040.2031169999066</v>
      </c>
      <c r="N75" s="16">
        <f t="shared" si="14"/>
        <v>0.08</v>
      </c>
      <c r="O75" s="18">
        <f t="shared" si="18"/>
        <v>9878.2179067124907</v>
      </c>
      <c r="P75" s="18">
        <f t="shared" si="19"/>
        <v>75247.982252172835</v>
      </c>
      <c r="Q75" s="18">
        <f t="shared" si="15"/>
        <v>155854.58209328752</v>
      </c>
      <c r="R75" s="18">
        <f t="shared" si="16"/>
        <v>85126.200158885331</v>
      </c>
    </row>
    <row r="76" spans="7:18" x14ac:dyDescent="0.3">
      <c r="G76">
        <v>71</v>
      </c>
      <c r="H76" s="17">
        <v>46997</v>
      </c>
      <c r="I76" s="18">
        <f t="shared" si="17"/>
        <v>155854.58209328752</v>
      </c>
      <c r="J76" s="18">
        <f t="shared" si="10"/>
        <v>1216.0885736983614</v>
      </c>
      <c r="K76" s="18">
        <f t="shared" si="11"/>
        <v>177.05802640977777</v>
      </c>
      <c r="L76" s="16">
        <f t="shared" si="12"/>
        <v>1.3632555991492028E-2</v>
      </c>
      <c r="M76" s="18">
        <f t="shared" si="13"/>
        <v>1039.0305472885836</v>
      </c>
      <c r="N76" s="16">
        <f t="shared" si="14"/>
        <v>8.0000000000000016E-2</v>
      </c>
      <c r="O76" s="18">
        <f t="shared" si="18"/>
        <v>10055.275933122268</v>
      </c>
      <c r="P76" s="18">
        <f t="shared" si="19"/>
        <v>76287.012799461416</v>
      </c>
      <c r="Q76" s="18">
        <f t="shared" si="15"/>
        <v>155677.52406687776</v>
      </c>
      <c r="R76" s="18">
        <f t="shared" si="16"/>
        <v>86342.288732583678</v>
      </c>
    </row>
    <row r="77" spans="7:18" x14ac:dyDescent="0.3">
      <c r="G77">
        <v>72</v>
      </c>
      <c r="H77" s="17">
        <v>47027</v>
      </c>
      <c r="I77" s="18">
        <f t="shared" si="17"/>
        <v>155677.52406687776</v>
      </c>
      <c r="J77" s="18">
        <f t="shared" si="10"/>
        <v>1216.0885736983614</v>
      </c>
      <c r="K77" s="18">
        <f t="shared" si="11"/>
        <v>178.23841325250964</v>
      </c>
      <c r="L77" s="16">
        <f t="shared" si="12"/>
        <v>1.3739047893074655E-2</v>
      </c>
      <c r="M77" s="18">
        <f t="shared" si="13"/>
        <v>1037.8501604458518</v>
      </c>
      <c r="N77" s="16">
        <f t="shared" si="14"/>
        <v>0.08</v>
      </c>
      <c r="O77" s="18">
        <f t="shared" si="18"/>
        <v>10233.514346374777</v>
      </c>
      <c r="P77" s="18">
        <f t="shared" si="19"/>
        <v>77324.862959907274</v>
      </c>
      <c r="Q77" s="18">
        <f t="shared" si="15"/>
        <v>155499.28565362524</v>
      </c>
      <c r="R77" s="18">
        <f t="shared" si="16"/>
        <v>87558.377306282055</v>
      </c>
    </row>
    <row r="78" spans="7:18" x14ac:dyDescent="0.3">
      <c r="G78">
        <v>73</v>
      </c>
      <c r="H78" s="17">
        <v>47058</v>
      </c>
      <c r="I78" s="18">
        <f t="shared" si="17"/>
        <v>155499.28565362524</v>
      </c>
      <c r="J78" s="18">
        <f t="shared" si="10"/>
        <v>1216.0885736983614</v>
      </c>
      <c r="K78" s="18">
        <f t="shared" si="11"/>
        <v>179.42666934085969</v>
      </c>
      <c r="L78" s="16">
        <f t="shared" si="12"/>
        <v>1.3846494683495799E-2</v>
      </c>
      <c r="M78" s="18">
        <f t="shared" si="13"/>
        <v>1036.6619043575017</v>
      </c>
      <c r="N78" s="16">
        <f t="shared" si="14"/>
        <v>8.0000000000000016E-2</v>
      </c>
      <c r="O78" s="18">
        <f t="shared" si="18"/>
        <v>10412.941015715636</v>
      </c>
      <c r="P78" s="18">
        <f t="shared" si="19"/>
        <v>78361.524864264778</v>
      </c>
      <c r="Q78" s="18">
        <f t="shared" si="15"/>
        <v>155319.85898428436</v>
      </c>
      <c r="R78" s="18">
        <f t="shared" si="16"/>
        <v>88774.465879980417</v>
      </c>
    </row>
    <row r="79" spans="7:18" x14ac:dyDescent="0.3">
      <c r="G79">
        <v>74</v>
      </c>
      <c r="H79" s="17">
        <v>47088</v>
      </c>
      <c r="I79" s="18">
        <f t="shared" si="17"/>
        <v>155319.85898428436</v>
      </c>
      <c r="J79" s="18">
        <f t="shared" si="10"/>
        <v>1216.0885736983614</v>
      </c>
      <c r="K79" s="18">
        <f t="shared" si="11"/>
        <v>180.62284713646568</v>
      </c>
      <c r="L79" s="16">
        <f t="shared" si="12"/>
        <v>1.3954906860022957E-2</v>
      </c>
      <c r="M79" s="18">
        <f t="shared" si="13"/>
        <v>1035.4657265618957</v>
      </c>
      <c r="N79" s="16">
        <f t="shared" si="14"/>
        <v>7.9999999999999988E-2</v>
      </c>
      <c r="O79" s="18">
        <f t="shared" si="18"/>
        <v>10593.563862852101</v>
      </c>
      <c r="P79" s="18">
        <f t="shared" si="19"/>
        <v>79396.990590826681</v>
      </c>
      <c r="Q79" s="18">
        <f t="shared" si="15"/>
        <v>155139.23613714791</v>
      </c>
      <c r="R79" s="18">
        <f t="shared" si="16"/>
        <v>89990.554453678778</v>
      </c>
    </row>
    <row r="80" spans="7:18" x14ac:dyDescent="0.3">
      <c r="G80">
        <v>75</v>
      </c>
      <c r="H80" s="17">
        <v>47119</v>
      </c>
      <c r="I80" s="18">
        <f t="shared" si="17"/>
        <v>155139.23613714791</v>
      </c>
      <c r="J80" s="18">
        <f t="shared" si="10"/>
        <v>1216.0885736983614</v>
      </c>
      <c r="K80" s="18">
        <f t="shared" si="11"/>
        <v>181.82699945070863</v>
      </c>
      <c r="L80" s="16">
        <f t="shared" si="12"/>
        <v>1.4064295066398386E-2</v>
      </c>
      <c r="M80" s="18">
        <f t="shared" si="13"/>
        <v>1034.2615742476528</v>
      </c>
      <c r="N80" s="16">
        <f t="shared" si="14"/>
        <v>0.08</v>
      </c>
      <c r="O80" s="18">
        <f t="shared" si="18"/>
        <v>10775.390862302809</v>
      </c>
      <c r="P80" s="18">
        <f t="shared" si="19"/>
        <v>80431.252165074329</v>
      </c>
      <c r="Q80" s="18">
        <f t="shared" si="15"/>
        <v>154957.40913769719</v>
      </c>
      <c r="R80" s="18">
        <f t="shared" si="16"/>
        <v>91206.64302737714</v>
      </c>
    </row>
    <row r="81" spans="7:18" x14ac:dyDescent="0.3">
      <c r="G81">
        <v>76</v>
      </c>
      <c r="H81" s="17">
        <v>47150</v>
      </c>
      <c r="I81" s="18">
        <f t="shared" si="17"/>
        <v>154957.40913769719</v>
      </c>
      <c r="J81" s="18">
        <f t="shared" si="10"/>
        <v>1216.0885736983614</v>
      </c>
      <c r="K81" s="18">
        <f t="shared" si="11"/>
        <v>183.03917944704676</v>
      </c>
      <c r="L81" s="16">
        <f t="shared" si="12"/>
        <v>1.4174670095398596E-2</v>
      </c>
      <c r="M81" s="18">
        <f t="shared" si="13"/>
        <v>1033.0493942513147</v>
      </c>
      <c r="N81" s="16">
        <f t="shared" si="14"/>
        <v>0.08</v>
      </c>
      <c r="O81" s="18">
        <f t="shared" si="18"/>
        <v>10958.430041749856</v>
      </c>
      <c r="P81" s="18">
        <f t="shared" si="19"/>
        <v>81464.301559325642</v>
      </c>
      <c r="Q81" s="18">
        <f t="shared" si="15"/>
        <v>154774.36995825014</v>
      </c>
      <c r="R81" s="18">
        <f t="shared" si="16"/>
        <v>92422.731601075502</v>
      </c>
    </row>
    <row r="82" spans="7:18" x14ac:dyDescent="0.3">
      <c r="G82">
        <v>77</v>
      </c>
      <c r="H82" s="17">
        <v>47178</v>
      </c>
      <c r="I82" s="18">
        <f t="shared" si="17"/>
        <v>154774.36995825014</v>
      </c>
      <c r="J82" s="18">
        <f t="shared" si="10"/>
        <v>1216.0885736983614</v>
      </c>
      <c r="K82" s="18">
        <f t="shared" si="11"/>
        <v>184.25944064336045</v>
      </c>
      <c r="L82" s="16">
        <f t="shared" si="12"/>
        <v>1.4286042891447501E-2</v>
      </c>
      <c r="M82" s="18">
        <f t="shared" si="13"/>
        <v>1031.829133055001</v>
      </c>
      <c r="N82" s="16">
        <f t="shared" si="14"/>
        <v>0.08</v>
      </c>
      <c r="O82" s="18">
        <f t="shared" si="18"/>
        <v>11142.689482393216</v>
      </c>
      <c r="P82" s="18">
        <f t="shared" si="19"/>
        <v>82496.130692380641</v>
      </c>
      <c r="Q82" s="18">
        <f t="shared" si="15"/>
        <v>154590.11051760678</v>
      </c>
      <c r="R82" s="18">
        <f t="shared" si="16"/>
        <v>93638.820174773864</v>
      </c>
    </row>
    <row r="83" spans="7:18" x14ac:dyDescent="0.3">
      <c r="G83">
        <v>78</v>
      </c>
      <c r="H83" s="17">
        <v>47209</v>
      </c>
      <c r="I83" s="18">
        <f t="shared" si="17"/>
        <v>154590.11051760678</v>
      </c>
      <c r="J83" s="18">
        <f t="shared" si="10"/>
        <v>1216.0885736983614</v>
      </c>
      <c r="K83" s="18">
        <f t="shared" si="11"/>
        <v>185.48783691431618</v>
      </c>
      <c r="L83" s="16">
        <f t="shared" si="12"/>
        <v>1.4398424553285279E-2</v>
      </c>
      <c r="M83" s="18">
        <f t="shared" si="13"/>
        <v>1030.6007367840452</v>
      </c>
      <c r="N83" s="16">
        <f t="shared" si="14"/>
        <v>0.08</v>
      </c>
      <c r="O83" s="18">
        <f t="shared" si="18"/>
        <v>11328.177319307531</v>
      </c>
      <c r="P83" s="18">
        <f t="shared" si="19"/>
        <v>83526.731429164691</v>
      </c>
      <c r="Q83" s="18">
        <f t="shared" si="15"/>
        <v>154404.62268069247</v>
      </c>
      <c r="R83" s="18">
        <f t="shared" si="16"/>
        <v>94854.908748472226</v>
      </c>
    </row>
    <row r="84" spans="7:18" x14ac:dyDescent="0.3">
      <c r="G84">
        <v>79</v>
      </c>
      <c r="H84" s="17">
        <v>47239</v>
      </c>
      <c r="I84" s="18">
        <f t="shared" si="17"/>
        <v>154404.62268069247</v>
      </c>
      <c r="J84" s="18">
        <f t="shared" si="10"/>
        <v>1216.0885736983614</v>
      </c>
      <c r="K84" s="18">
        <f t="shared" si="11"/>
        <v>186.7244224937449</v>
      </c>
      <c r="L84" s="16">
        <f t="shared" si="12"/>
        <v>1.4511826336693779E-2</v>
      </c>
      <c r="M84" s="18">
        <f t="shared" si="13"/>
        <v>1029.3641512046165</v>
      </c>
      <c r="N84" s="16">
        <f t="shared" si="14"/>
        <v>0.08</v>
      </c>
      <c r="O84" s="18">
        <f t="shared" si="18"/>
        <v>11514.901741801277</v>
      </c>
      <c r="P84" s="18">
        <f t="shared" si="19"/>
        <v>84556.095580369307</v>
      </c>
      <c r="Q84" s="18">
        <f t="shared" si="15"/>
        <v>154217.89825819872</v>
      </c>
      <c r="R84" s="18">
        <f t="shared" si="16"/>
        <v>96070.997322170588</v>
      </c>
    </row>
    <row r="85" spans="7:18" x14ac:dyDescent="0.3">
      <c r="G85">
        <v>80</v>
      </c>
      <c r="H85" s="17">
        <v>47270</v>
      </c>
      <c r="I85" s="18">
        <f t="shared" si="17"/>
        <v>154217.89825819872</v>
      </c>
      <c r="J85" s="18">
        <f t="shared" si="10"/>
        <v>1216.0885736983614</v>
      </c>
      <c r="K85" s="18">
        <f t="shared" si="11"/>
        <v>187.96925197703649</v>
      </c>
      <c r="L85" s="16">
        <f t="shared" si="12"/>
        <v>1.4626259657280222E-2</v>
      </c>
      <c r="M85" s="18">
        <f t="shared" si="13"/>
        <v>1028.1193217213249</v>
      </c>
      <c r="N85" s="16">
        <f t="shared" si="14"/>
        <v>0.08</v>
      </c>
      <c r="O85" s="18">
        <f t="shared" si="18"/>
        <v>11702.870993778313</v>
      </c>
      <c r="P85" s="18">
        <f t="shared" si="19"/>
        <v>85584.214902090636</v>
      </c>
      <c r="Q85" s="18">
        <f t="shared" si="15"/>
        <v>154029.92900622168</v>
      </c>
      <c r="R85" s="18">
        <f t="shared" si="16"/>
        <v>97287.08589586895</v>
      </c>
    </row>
    <row r="86" spans="7:18" x14ac:dyDescent="0.3">
      <c r="G86">
        <v>81</v>
      </c>
      <c r="H86" s="17">
        <v>47300</v>
      </c>
      <c r="I86" s="18">
        <f t="shared" si="17"/>
        <v>154029.92900622168</v>
      </c>
      <c r="J86" s="18">
        <f t="shared" si="10"/>
        <v>1216.0885736983614</v>
      </c>
      <c r="K86" s="18">
        <f t="shared" si="11"/>
        <v>189.22238032355017</v>
      </c>
      <c r="L86" s="16">
        <f t="shared" si="12"/>
        <v>1.4741736093320433E-2</v>
      </c>
      <c r="M86" s="18">
        <f t="shared" si="13"/>
        <v>1026.8661933748112</v>
      </c>
      <c r="N86" s="16">
        <f t="shared" si="14"/>
        <v>0.08</v>
      </c>
      <c r="O86" s="18">
        <f t="shared" si="18"/>
        <v>11892.093374101863</v>
      </c>
      <c r="P86" s="18">
        <f t="shared" si="19"/>
        <v>86611.081095465444</v>
      </c>
      <c r="Q86" s="18">
        <f t="shared" si="15"/>
        <v>153840.70662589814</v>
      </c>
      <c r="R86" s="18">
        <f t="shared" si="16"/>
        <v>98503.174469567311</v>
      </c>
    </row>
    <row r="87" spans="7:18" x14ac:dyDescent="0.3">
      <c r="G87">
        <v>82</v>
      </c>
      <c r="H87" s="17">
        <v>47331</v>
      </c>
      <c r="I87" s="18">
        <f t="shared" si="17"/>
        <v>153840.70662589814</v>
      </c>
      <c r="J87" s="18">
        <f t="shared" si="10"/>
        <v>1216.0885736983614</v>
      </c>
      <c r="K87" s="18">
        <f t="shared" si="11"/>
        <v>190.48386285904053</v>
      </c>
      <c r="L87" s="16">
        <f t="shared" si="12"/>
        <v>1.4858267388663209E-2</v>
      </c>
      <c r="M87" s="18">
        <f t="shared" si="13"/>
        <v>1025.6047108393209</v>
      </c>
      <c r="N87" s="16">
        <f t="shared" si="14"/>
        <v>7.9999999999999988E-2</v>
      </c>
      <c r="O87" s="18">
        <f t="shared" si="18"/>
        <v>12082.577236960904</v>
      </c>
      <c r="P87" s="18">
        <f t="shared" si="19"/>
        <v>87636.685806304769</v>
      </c>
      <c r="Q87" s="18">
        <f t="shared" si="15"/>
        <v>153650.22276303908</v>
      </c>
      <c r="R87" s="18">
        <f t="shared" si="16"/>
        <v>99719.263043265673</v>
      </c>
    </row>
    <row r="88" spans="7:18" x14ac:dyDescent="0.3">
      <c r="G88">
        <v>83</v>
      </c>
      <c r="H88" s="17">
        <v>47362</v>
      </c>
      <c r="I88" s="18">
        <f t="shared" si="17"/>
        <v>153650.22276303908</v>
      </c>
      <c r="J88" s="18">
        <f t="shared" si="10"/>
        <v>1216.0885736983614</v>
      </c>
      <c r="K88" s="18">
        <f t="shared" si="11"/>
        <v>191.7537552781007</v>
      </c>
      <c r="L88" s="16">
        <f t="shared" si="12"/>
        <v>1.4975865455697408E-2</v>
      </c>
      <c r="M88" s="18">
        <f t="shared" si="13"/>
        <v>1024.3348184202607</v>
      </c>
      <c r="N88" s="16">
        <f t="shared" si="14"/>
        <v>8.0000000000000016E-2</v>
      </c>
      <c r="O88" s="18">
        <f t="shared" si="18"/>
        <v>12274.330992239005</v>
      </c>
      <c r="P88" s="18">
        <f t="shared" si="19"/>
        <v>88661.020624725032</v>
      </c>
      <c r="Q88" s="18">
        <f t="shared" si="15"/>
        <v>153458.46900776098</v>
      </c>
      <c r="R88" s="18">
        <f t="shared" si="16"/>
        <v>100935.35161696404</v>
      </c>
    </row>
    <row r="89" spans="7:18" x14ac:dyDescent="0.3">
      <c r="G89">
        <v>84</v>
      </c>
      <c r="H89" s="17">
        <v>47392</v>
      </c>
      <c r="I89" s="18">
        <f t="shared" si="17"/>
        <v>153458.46900776098</v>
      </c>
      <c r="J89" s="18">
        <f t="shared" si="10"/>
        <v>1216.0885736983614</v>
      </c>
      <c r="K89" s="18">
        <f t="shared" si="11"/>
        <v>193.0321136466215</v>
      </c>
      <c r="L89" s="16">
        <f t="shared" si="12"/>
        <v>1.509454237838323E-2</v>
      </c>
      <c r="M89" s="18">
        <f t="shared" si="13"/>
        <v>1023.0564600517399</v>
      </c>
      <c r="N89" s="16">
        <f t="shared" si="14"/>
        <v>0.08</v>
      </c>
      <c r="O89" s="18">
        <f t="shared" si="18"/>
        <v>12467.363105885626</v>
      </c>
      <c r="P89" s="18">
        <f t="shared" si="19"/>
        <v>89684.077084776771</v>
      </c>
      <c r="Q89" s="18">
        <f t="shared" si="15"/>
        <v>153265.43689411436</v>
      </c>
      <c r="R89" s="18">
        <f t="shared" si="16"/>
        <v>102151.4401906624</v>
      </c>
    </row>
    <row r="90" spans="7:18" x14ac:dyDescent="0.3">
      <c r="G90">
        <v>85</v>
      </c>
      <c r="H90" s="17">
        <v>47423</v>
      </c>
      <c r="I90" s="18">
        <f t="shared" si="17"/>
        <v>153265.43689411436</v>
      </c>
      <c r="J90" s="18">
        <f t="shared" si="10"/>
        <v>1216.0885736983614</v>
      </c>
      <c r="K90" s="18">
        <f t="shared" si="11"/>
        <v>194.3189944042656</v>
      </c>
      <c r="L90" s="16">
        <f t="shared" si="12"/>
        <v>1.5214310415349316E-2</v>
      </c>
      <c r="M90" s="18">
        <f t="shared" si="13"/>
        <v>1021.7695792940958</v>
      </c>
      <c r="N90" s="16">
        <f t="shared" si="14"/>
        <v>0.08</v>
      </c>
      <c r="O90" s="18">
        <f t="shared" si="18"/>
        <v>12661.682100289892</v>
      </c>
      <c r="P90" s="18">
        <f t="shared" si="19"/>
        <v>90705.846664070865</v>
      </c>
      <c r="Q90" s="18">
        <f t="shared" si="15"/>
        <v>153071.11789971011</v>
      </c>
      <c r="R90" s="18">
        <f t="shared" si="16"/>
        <v>103367.52876436076</v>
      </c>
    </row>
    <row r="91" spans="7:18" x14ac:dyDescent="0.3">
      <c r="G91">
        <v>86</v>
      </c>
      <c r="H91" s="17">
        <v>47453</v>
      </c>
      <c r="I91" s="18">
        <f t="shared" si="17"/>
        <v>153071.11789971011</v>
      </c>
      <c r="J91" s="18">
        <f t="shared" si="10"/>
        <v>1216.0885736983614</v>
      </c>
      <c r="K91" s="18">
        <f t="shared" si="11"/>
        <v>195.61445436696067</v>
      </c>
      <c r="L91" s="16">
        <f t="shared" si="12"/>
        <v>1.5335182003057507E-2</v>
      </c>
      <c r="M91" s="18">
        <f t="shared" si="13"/>
        <v>1020.4741193314007</v>
      </c>
      <c r="N91" s="16">
        <f t="shared" si="14"/>
        <v>0.08</v>
      </c>
      <c r="O91" s="18">
        <f t="shared" si="18"/>
        <v>12857.296554656852</v>
      </c>
      <c r="P91" s="18">
        <f t="shared" si="19"/>
        <v>91726.320783402261</v>
      </c>
      <c r="Q91" s="18">
        <f t="shared" si="15"/>
        <v>152875.50344534314</v>
      </c>
      <c r="R91" s="18">
        <f t="shared" si="16"/>
        <v>104583.61733805912</v>
      </c>
    </row>
    <row r="92" spans="7:18" x14ac:dyDescent="0.3">
      <c r="G92">
        <v>87</v>
      </c>
      <c r="H92" s="17">
        <v>47484</v>
      </c>
      <c r="I92" s="18">
        <f t="shared" si="17"/>
        <v>152875.50344534314</v>
      </c>
      <c r="J92" s="18">
        <f t="shared" si="10"/>
        <v>1216.0885736983614</v>
      </c>
      <c r="K92" s="18">
        <f t="shared" si="11"/>
        <v>196.91855072940712</v>
      </c>
      <c r="L92" s="16">
        <f t="shared" si="12"/>
        <v>1.5457169759036807E-2</v>
      </c>
      <c r="M92" s="18">
        <f t="shared" si="13"/>
        <v>1019.1700229689543</v>
      </c>
      <c r="N92" s="16">
        <f t="shared" si="14"/>
        <v>0.08</v>
      </c>
      <c r="O92" s="18">
        <f t="shared" si="18"/>
        <v>13054.21510538626</v>
      </c>
      <c r="P92" s="18">
        <f t="shared" si="19"/>
        <v>92745.490806371221</v>
      </c>
      <c r="Q92" s="18">
        <f t="shared" si="15"/>
        <v>152678.58489461374</v>
      </c>
      <c r="R92" s="18">
        <f t="shared" si="16"/>
        <v>105799.70591175748</v>
      </c>
    </row>
    <row r="93" spans="7:18" x14ac:dyDescent="0.3">
      <c r="G93">
        <v>88</v>
      </c>
      <c r="H93" s="17">
        <v>47515</v>
      </c>
      <c r="I93" s="18">
        <f t="shared" si="17"/>
        <v>152678.58489461374</v>
      </c>
      <c r="J93" s="18">
        <f t="shared" si="10"/>
        <v>1216.0885736983614</v>
      </c>
      <c r="K93" s="18">
        <f t="shared" si="11"/>
        <v>198.23134106760313</v>
      </c>
      <c r="L93" s="16">
        <f t="shared" si="12"/>
        <v>1.5580286485188383E-2</v>
      </c>
      <c r="M93" s="18">
        <f t="shared" si="13"/>
        <v>1017.8572326307583</v>
      </c>
      <c r="N93" s="16">
        <f t="shared" si="14"/>
        <v>0.08</v>
      </c>
      <c r="O93" s="18">
        <f t="shared" si="18"/>
        <v>13252.446446453863</v>
      </c>
      <c r="P93" s="18">
        <f t="shared" si="19"/>
        <v>93763.348039001983</v>
      </c>
      <c r="Q93" s="18">
        <f t="shared" si="15"/>
        <v>152480.35355354613</v>
      </c>
      <c r="R93" s="18">
        <f t="shared" si="16"/>
        <v>107015.79448545584</v>
      </c>
    </row>
    <row r="94" spans="7:18" x14ac:dyDescent="0.3">
      <c r="G94">
        <v>89</v>
      </c>
      <c r="H94" s="17">
        <v>47543</v>
      </c>
      <c r="I94" s="18">
        <f t="shared" si="17"/>
        <v>152480.35355354613</v>
      </c>
      <c r="J94" s="18">
        <f t="shared" si="10"/>
        <v>1216.0885736983614</v>
      </c>
      <c r="K94" s="18">
        <f t="shared" si="11"/>
        <v>199.5528833413872</v>
      </c>
      <c r="L94" s="16">
        <f t="shared" si="12"/>
        <v>1.5704545171163504E-2</v>
      </c>
      <c r="M94" s="18">
        <f t="shared" si="13"/>
        <v>1016.5356903569742</v>
      </c>
      <c r="N94" s="16">
        <f t="shared" si="14"/>
        <v>0.08</v>
      </c>
      <c r="O94" s="18">
        <f t="shared" si="18"/>
        <v>13451.99932979525</v>
      </c>
      <c r="P94" s="18">
        <f t="shared" si="19"/>
        <v>94779.88372935896</v>
      </c>
      <c r="Q94" s="18">
        <f t="shared" si="15"/>
        <v>152280.80067020474</v>
      </c>
      <c r="R94" s="18">
        <f t="shared" si="16"/>
        <v>108231.88305915421</v>
      </c>
    </row>
    <row r="95" spans="7:18" x14ac:dyDescent="0.3">
      <c r="G95">
        <v>90</v>
      </c>
      <c r="H95" s="17">
        <v>47574</v>
      </c>
      <c r="I95" s="18">
        <f t="shared" si="17"/>
        <v>152280.80067020474</v>
      </c>
      <c r="J95" s="18">
        <f t="shared" si="10"/>
        <v>1216.0885736983614</v>
      </c>
      <c r="K95" s="18">
        <f t="shared" si="11"/>
        <v>200.88323589699644</v>
      </c>
      <c r="L95" s="16">
        <f t="shared" si="12"/>
        <v>1.5829958997816165E-2</v>
      </c>
      <c r="M95" s="18">
        <f t="shared" si="13"/>
        <v>1015.205337801365</v>
      </c>
      <c r="N95" s="16">
        <f t="shared" si="14"/>
        <v>0.08</v>
      </c>
      <c r="O95" s="18">
        <f t="shared" si="18"/>
        <v>13652.882565692245</v>
      </c>
      <c r="P95" s="18">
        <f t="shared" si="19"/>
        <v>95795.089067160327</v>
      </c>
      <c r="Q95" s="18">
        <f t="shared" si="15"/>
        <v>152079.91743430775</v>
      </c>
      <c r="R95" s="18">
        <f t="shared" si="16"/>
        <v>109447.97163285257</v>
      </c>
    </row>
    <row r="96" spans="7:18" x14ac:dyDescent="0.3">
      <c r="G96">
        <v>91</v>
      </c>
      <c r="H96" s="17">
        <v>47604</v>
      </c>
      <c r="I96" s="18">
        <f t="shared" si="17"/>
        <v>152079.91743430775</v>
      </c>
      <c r="J96" s="18">
        <f t="shared" si="10"/>
        <v>1216.0885736983614</v>
      </c>
      <c r="K96" s="18">
        <f t="shared" si="11"/>
        <v>202.22245746964302</v>
      </c>
      <c r="L96" s="16">
        <f t="shared" si="12"/>
        <v>1.5956541340732495E-2</v>
      </c>
      <c r="M96" s="18">
        <f t="shared" si="13"/>
        <v>1013.8661162287184</v>
      </c>
      <c r="N96" s="16">
        <f t="shared" si="14"/>
        <v>0.08</v>
      </c>
      <c r="O96" s="18">
        <f t="shared" si="18"/>
        <v>13855.105023161888</v>
      </c>
      <c r="P96" s="18">
        <f t="shared" si="19"/>
        <v>96808.955183389044</v>
      </c>
      <c r="Q96" s="18">
        <f t="shared" si="15"/>
        <v>151877.6949768381</v>
      </c>
      <c r="R96" s="18">
        <f t="shared" si="16"/>
        <v>110664.06020655093</v>
      </c>
    </row>
    <row r="97" spans="7:18" x14ac:dyDescent="0.3">
      <c r="G97">
        <v>92</v>
      </c>
      <c r="H97" s="17">
        <v>47635</v>
      </c>
      <c r="I97" s="18">
        <f t="shared" si="17"/>
        <v>151877.6949768381</v>
      </c>
      <c r="J97" s="18">
        <f t="shared" si="10"/>
        <v>1216.0885736983614</v>
      </c>
      <c r="K97" s="18">
        <f t="shared" si="11"/>
        <v>203.57060718610728</v>
      </c>
      <c r="L97" s="16">
        <f t="shared" si="12"/>
        <v>1.6084305773838813E-2</v>
      </c>
      <c r="M97" s="18">
        <f t="shared" si="13"/>
        <v>1012.5179665122541</v>
      </c>
      <c r="N97" s="16">
        <f t="shared" si="14"/>
        <v>0.08</v>
      </c>
      <c r="O97" s="18">
        <f t="shared" si="18"/>
        <v>14058.675630347996</v>
      </c>
      <c r="P97" s="18">
        <f t="shared" si="19"/>
        <v>97821.4731499013</v>
      </c>
      <c r="Q97" s="18">
        <f t="shared" si="15"/>
        <v>151674.12436965198</v>
      </c>
      <c r="R97" s="18">
        <f t="shared" si="16"/>
        <v>111880.14878024929</v>
      </c>
    </row>
    <row r="98" spans="7:18" x14ac:dyDescent="0.3">
      <c r="G98">
        <v>93</v>
      </c>
      <c r="H98" s="17">
        <v>47665</v>
      </c>
      <c r="I98" s="18">
        <f t="shared" si="17"/>
        <v>151674.12436965198</v>
      </c>
      <c r="J98" s="18">
        <f t="shared" si="10"/>
        <v>1216.0885736983614</v>
      </c>
      <c r="K98" s="18">
        <f t="shared" si="11"/>
        <v>204.9277445673481</v>
      </c>
      <c r="L98" s="16">
        <f t="shared" si="12"/>
        <v>1.6213266073090433E-2</v>
      </c>
      <c r="M98" s="18">
        <f t="shared" si="13"/>
        <v>1011.1608291310133</v>
      </c>
      <c r="N98" s="16">
        <f t="shared" si="14"/>
        <v>0.08</v>
      </c>
      <c r="O98" s="18">
        <f t="shared" si="18"/>
        <v>14263.603374915345</v>
      </c>
      <c r="P98" s="18">
        <f t="shared" si="19"/>
        <v>98832.633979032311</v>
      </c>
      <c r="Q98" s="18">
        <f t="shared" si="15"/>
        <v>151469.19662508465</v>
      </c>
      <c r="R98" s="18">
        <f t="shared" si="16"/>
        <v>113096.23735394765</v>
      </c>
    </row>
    <row r="99" spans="7:18" x14ac:dyDescent="0.3">
      <c r="G99">
        <v>94</v>
      </c>
      <c r="H99" s="17">
        <v>47696</v>
      </c>
      <c r="I99" s="18">
        <f t="shared" si="17"/>
        <v>151469.19662508465</v>
      </c>
      <c r="J99" s="18">
        <f t="shared" si="10"/>
        <v>1216.0885736983614</v>
      </c>
      <c r="K99" s="18">
        <f t="shared" si="11"/>
        <v>206.2939295311304</v>
      </c>
      <c r="L99" s="16">
        <f t="shared" si="12"/>
        <v>1.6343436220243316E-2</v>
      </c>
      <c r="M99" s="18">
        <f t="shared" si="13"/>
        <v>1009.794644167231</v>
      </c>
      <c r="N99" s="16">
        <f t="shared" si="14"/>
        <v>0.08</v>
      </c>
      <c r="O99" s="18">
        <f t="shared" si="18"/>
        <v>14469.897304446475</v>
      </c>
      <c r="P99" s="18">
        <f t="shared" si="19"/>
        <v>99842.428623199536</v>
      </c>
      <c r="Q99" s="18">
        <f t="shared" si="15"/>
        <v>151262.90269555352</v>
      </c>
      <c r="R99" s="18">
        <f t="shared" si="16"/>
        <v>114312.32592764602</v>
      </c>
    </row>
    <row r="100" spans="7:18" x14ac:dyDescent="0.3">
      <c r="G100">
        <v>95</v>
      </c>
      <c r="H100" s="17">
        <v>47727</v>
      </c>
      <c r="I100" s="18">
        <f t="shared" si="17"/>
        <v>151262.90269555352</v>
      </c>
      <c r="J100" s="18">
        <f t="shared" si="10"/>
        <v>1216.0885736983614</v>
      </c>
      <c r="K100" s="18">
        <f t="shared" si="11"/>
        <v>207.66922239467124</v>
      </c>
      <c r="L100" s="16">
        <f t="shared" si="12"/>
        <v>1.6474830406710883E-2</v>
      </c>
      <c r="M100" s="18">
        <f t="shared" si="13"/>
        <v>1008.4193513036902</v>
      </c>
      <c r="N100" s="16">
        <f t="shared" si="14"/>
        <v>0.08</v>
      </c>
      <c r="O100" s="18">
        <f t="shared" si="18"/>
        <v>14677.566526841147</v>
      </c>
      <c r="P100" s="18">
        <f t="shared" si="19"/>
        <v>100850.84797450322</v>
      </c>
      <c r="Q100" s="18">
        <f t="shared" si="15"/>
        <v>151055.23347315885</v>
      </c>
      <c r="R100" s="18">
        <f t="shared" si="16"/>
        <v>115528.41450134438</v>
      </c>
    </row>
    <row r="101" spans="7:18" x14ac:dyDescent="0.3">
      <c r="G101">
        <v>96</v>
      </c>
      <c r="H101" s="17">
        <v>47757</v>
      </c>
      <c r="I101" s="18">
        <f t="shared" si="17"/>
        <v>151055.23347315885</v>
      </c>
      <c r="J101" s="18">
        <f t="shared" si="10"/>
        <v>1216.0885736983614</v>
      </c>
      <c r="K101" s="18">
        <f t="shared" si="11"/>
        <v>209.05368387730232</v>
      </c>
      <c r="L101" s="16">
        <f t="shared" si="12"/>
        <v>1.6607463037508007E-2</v>
      </c>
      <c r="M101" s="18">
        <f t="shared" si="13"/>
        <v>1007.0348898210591</v>
      </c>
      <c r="N101" s="16">
        <f t="shared" si="14"/>
        <v>0.08</v>
      </c>
      <c r="O101" s="18">
        <f t="shared" si="18"/>
        <v>14886.620210718449</v>
      </c>
      <c r="P101" s="18">
        <f t="shared" si="19"/>
        <v>101857.88286432429</v>
      </c>
      <c r="Q101" s="18">
        <f t="shared" si="15"/>
        <v>150846.17978928154</v>
      </c>
      <c r="R101" s="18">
        <f t="shared" si="16"/>
        <v>116744.50307504274</v>
      </c>
    </row>
    <row r="102" spans="7:18" x14ac:dyDescent="0.3">
      <c r="G102">
        <v>97</v>
      </c>
      <c r="H102" s="17">
        <v>47788</v>
      </c>
      <c r="I102" s="18">
        <f t="shared" si="17"/>
        <v>150846.17978928154</v>
      </c>
      <c r="J102" s="18">
        <f t="shared" si="10"/>
        <v>1216.0885736983614</v>
      </c>
      <c r="K102" s="18">
        <f t="shared" si="11"/>
        <v>210.4473751031511</v>
      </c>
      <c r="L102" s="16">
        <f t="shared" si="12"/>
        <v>1.6741348735284677E-2</v>
      </c>
      <c r="M102" s="18">
        <f t="shared" si="13"/>
        <v>1005.6411985952103</v>
      </c>
      <c r="N102" s="16">
        <f t="shared" si="14"/>
        <v>0.08</v>
      </c>
      <c r="O102" s="18">
        <f t="shared" si="18"/>
        <v>15097.0675858216</v>
      </c>
      <c r="P102" s="18">
        <f t="shared" si="19"/>
        <v>102863.5240629195</v>
      </c>
      <c r="Q102" s="18">
        <f t="shared" si="15"/>
        <v>150635.73241417838</v>
      </c>
      <c r="R102" s="18">
        <f t="shared" si="16"/>
        <v>117960.5916487411</v>
      </c>
    </row>
    <row r="103" spans="7:18" x14ac:dyDescent="0.3">
      <c r="G103">
        <v>98</v>
      </c>
      <c r="H103" s="17">
        <v>47818</v>
      </c>
      <c r="I103" s="18">
        <f t="shared" si="17"/>
        <v>150635.73241417838</v>
      </c>
      <c r="J103" s="18">
        <f t="shared" si="10"/>
        <v>1216.0885736983614</v>
      </c>
      <c r="K103" s="18">
        <f t="shared" si="11"/>
        <v>211.8503576038388</v>
      </c>
      <c r="L103" s="16">
        <f t="shared" si="12"/>
        <v>1.6876502344451601E-2</v>
      </c>
      <c r="M103" s="18">
        <f t="shared" si="13"/>
        <v>1004.2382160945226</v>
      </c>
      <c r="N103" s="16">
        <f t="shared" si="14"/>
        <v>0.08</v>
      </c>
      <c r="O103" s="18">
        <f t="shared" si="18"/>
        <v>15308.917943425438</v>
      </c>
      <c r="P103" s="18">
        <f t="shared" si="19"/>
        <v>103867.76227901403</v>
      </c>
      <c r="Q103" s="18">
        <f t="shared" si="15"/>
        <v>150423.88205657454</v>
      </c>
      <c r="R103" s="18">
        <f t="shared" si="16"/>
        <v>119176.68022243946</v>
      </c>
    </row>
    <row r="104" spans="7:18" x14ac:dyDescent="0.3">
      <c r="G104">
        <v>99</v>
      </c>
      <c r="H104" s="17">
        <v>47849</v>
      </c>
      <c r="I104" s="18">
        <f t="shared" si="17"/>
        <v>150423.88205657454</v>
      </c>
      <c r="J104" s="18">
        <f t="shared" si="10"/>
        <v>1216.0885736983614</v>
      </c>
      <c r="K104" s="18">
        <f t="shared" si="11"/>
        <v>213.26269332119773</v>
      </c>
      <c r="L104" s="16">
        <f t="shared" si="12"/>
        <v>1.7012938935400387E-2</v>
      </c>
      <c r="M104" s="18">
        <f t="shared" si="13"/>
        <v>1002.8258803771637</v>
      </c>
      <c r="N104" s="16">
        <f t="shared" si="14"/>
        <v>0.08</v>
      </c>
      <c r="O104" s="18">
        <f t="shared" si="18"/>
        <v>15522.180636746636</v>
      </c>
      <c r="P104" s="18">
        <f t="shared" si="19"/>
        <v>104870.58815939119</v>
      </c>
      <c r="Q104" s="18">
        <f t="shared" si="15"/>
        <v>150210.61936325335</v>
      </c>
      <c r="R104" s="18">
        <f t="shared" si="16"/>
        <v>120392.76879613783</v>
      </c>
    </row>
    <row r="105" spans="7:18" x14ac:dyDescent="0.3">
      <c r="G105">
        <v>100</v>
      </c>
      <c r="H105" s="17">
        <v>47880</v>
      </c>
      <c r="I105" s="18">
        <f t="shared" si="17"/>
        <v>150210.61936325335</v>
      </c>
      <c r="J105" s="18">
        <f t="shared" si="10"/>
        <v>1216.0885736983614</v>
      </c>
      <c r="K105" s="18">
        <f t="shared" si="11"/>
        <v>214.6844446100057</v>
      </c>
      <c r="L105" s="16">
        <f t="shared" si="12"/>
        <v>1.7150673808820592E-2</v>
      </c>
      <c r="M105" s="18">
        <f t="shared" si="13"/>
        <v>1001.4041290883557</v>
      </c>
      <c r="N105" s="16">
        <f t="shared" si="14"/>
        <v>0.08</v>
      </c>
      <c r="O105" s="18">
        <f t="shared" si="18"/>
        <v>15736.865081356642</v>
      </c>
      <c r="P105" s="18">
        <f t="shared" si="19"/>
        <v>105871.99228847955</v>
      </c>
      <c r="Q105" s="18">
        <f t="shared" si="15"/>
        <v>149995.93491864335</v>
      </c>
      <c r="R105" s="18">
        <f t="shared" si="16"/>
        <v>121608.85736983619</v>
      </c>
    </row>
    <row r="106" spans="7:18" x14ac:dyDescent="0.3">
      <c r="G106">
        <v>101</v>
      </c>
      <c r="H106" s="17">
        <v>47908</v>
      </c>
      <c r="I106" s="18">
        <f t="shared" si="17"/>
        <v>149995.93491864335</v>
      </c>
      <c r="J106" s="18">
        <f t="shared" si="10"/>
        <v>1216.0885736983614</v>
      </c>
      <c r="K106" s="18">
        <f t="shared" si="11"/>
        <v>216.11567424073894</v>
      </c>
      <c r="L106" s="16">
        <f t="shared" si="12"/>
        <v>1.7289722500116428E-2</v>
      </c>
      <c r="M106" s="18">
        <f t="shared" si="13"/>
        <v>999.97289945762247</v>
      </c>
      <c r="N106" s="16">
        <f t="shared" si="14"/>
        <v>0.08</v>
      </c>
      <c r="O106" s="18">
        <f t="shared" si="18"/>
        <v>15952.98075559738</v>
      </c>
      <c r="P106" s="18">
        <f t="shared" si="19"/>
        <v>106871.96518793718</v>
      </c>
      <c r="Q106" s="18">
        <f t="shared" si="15"/>
        <v>149779.81924440261</v>
      </c>
      <c r="R106" s="18">
        <f t="shared" si="16"/>
        <v>122824.94594353456</v>
      </c>
    </row>
    <row r="107" spans="7:18" x14ac:dyDescent="0.3">
      <c r="G107">
        <v>102</v>
      </c>
      <c r="H107" s="17">
        <v>47939</v>
      </c>
      <c r="I107" s="18">
        <f t="shared" si="17"/>
        <v>149779.81924440261</v>
      </c>
      <c r="J107" s="18">
        <f t="shared" si="10"/>
        <v>1216.0885736983614</v>
      </c>
      <c r="K107" s="18">
        <f t="shared" si="11"/>
        <v>217.55644540234402</v>
      </c>
      <c r="L107" s="16">
        <f t="shared" si="12"/>
        <v>1.743010078392581E-2</v>
      </c>
      <c r="M107" s="18">
        <f t="shared" si="13"/>
        <v>998.53212829601739</v>
      </c>
      <c r="N107" s="16">
        <f t="shared" si="14"/>
        <v>0.08</v>
      </c>
      <c r="O107" s="18">
        <f t="shared" si="18"/>
        <v>16170.537200999725</v>
      </c>
      <c r="P107" s="18">
        <f t="shared" si="19"/>
        <v>107870.4973162332</v>
      </c>
      <c r="Q107" s="18">
        <f t="shared" si="15"/>
        <v>149562.26279900025</v>
      </c>
      <c r="R107" s="18">
        <f t="shared" si="16"/>
        <v>124041.03451723293</v>
      </c>
    </row>
    <row r="108" spans="7:18" x14ac:dyDescent="0.3">
      <c r="G108">
        <v>103</v>
      </c>
      <c r="H108" s="17">
        <v>47969</v>
      </c>
      <c r="I108" s="18">
        <f t="shared" si="17"/>
        <v>149562.26279900025</v>
      </c>
      <c r="J108" s="18">
        <f t="shared" si="10"/>
        <v>1216.0885736983614</v>
      </c>
      <c r="K108" s="18">
        <f t="shared" si="11"/>
        <v>219.00682170502637</v>
      </c>
      <c r="L108" s="16">
        <f t="shared" si="12"/>
        <v>1.7571824678744324E-2</v>
      </c>
      <c r="M108" s="18">
        <f t="shared" si="13"/>
        <v>997.08175199333505</v>
      </c>
      <c r="N108" s="16">
        <f t="shared" si="14"/>
        <v>0.08</v>
      </c>
      <c r="O108" s="18">
        <f t="shared" si="18"/>
        <v>16389.544022704751</v>
      </c>
      <c r="P108" s="18">
        <f t="shared" si="19"/>
        <v>108867.57906822654</v>
      </c>
      <c r="Q108" s="18">
        <f t="shared" si="15"/>
        <v>149343.25597729522</v>
      </c>
      <c r="R108" s="18">
        <f t="shared" si="16"/>
        <v>125257.12309093129</v>
      </c>
    </row>
    <row r="109" spans="7:18" x14ac:dyDescent="0.3">
      <c r="G109">
        <v>104</v>
      </c>
      <c r="H109" s="17">
        <v>48000</v>
      </c>
      <c r="I109" s="18">
        <f t="shared" si="17"/>
        <v>149343.25597729522</v>
      </c>
      <c r="J109" s="18">
        <f t="shared" si="10"/>
        <v>1216.0885736983614</v>
      </c>
      <c r="K109" s="18">
        <f t="shared" si="11"/>
        <v>220.46686718305989</v>
      </c>
      <c r="L109" s="16">
        <f t="shared" si="12"/>
        <v>1.7714910451657299E-2</v>
      </c>
      <c r="M109" s="18">
        <f t="shared" si="13"/>
        <v>995.62170651530153</v>
      </c>
      <c r="N109" s="16">
        <f t="shared" si="14"/>
        <v>0.08</v>
      </c>
      <c r="O109" s="18">
        <f t="shared" si="18"/>
        <v>16610.01088988781</v>
      </c>
      <c r="P109" s="18">
        <f t="shared" si="19"/>
        <v>109863.20077474184</v>
      </c>
      <c r="Q109" s="18">
        <f t="shared" si="15"/>
        <v>149122.78911011215</v>
      </c>
      <c r="R109" s="18">
        <f t="shared" si="16"/>
        <v>126473.21166462965</v>
      </c>
    </row>
    <row r="110" spans="7:18" x14ac:dyDescent="0.3">
      <c r="G110">
        <v>105</v>
      </c>
      <c r="H110" s="17">
        <v>48030</v>
      </c>
      <c r="I110" s="18">
        <f t="shared" si="17"/>
        <v>149122.78911011215</v>
      </c>
      <c r="J110" s="18">
        <f t="shared" si="10"/>
        <v>1216.0885736983614</v>
      </c>
      <c r="K110" s="18">
        <f t="shared" si="11"/>
        <v>221.93664629761372</v>
      </c>
      <c r="L110" s="16">
        <f t="shared" si="12"/>
        <v>1.7859374623182715E-2</v>
      </c>
      <c r="M110" s="18">
        <f t="shared" si="13"/>
        <v>994.1519274007477</v>
      </c>
      <c r="N110" s="16">
        <f t="shared" si="14"/>
        <v>0.08</v>
      </c>
      <c r="O110" s="18">
        <f t="shared" si="18"/>
        <v>16831.947536185424</v>
      </c>
      <c r="P110" s="18">
        <f t="shared" si="19"/>
        <v>110857.35270214258</v>
      </c>
      <c r="Q110" s="18">
        <f t="shared" si="15"/>
        <v>148900.85246381455</v>
      </c>
      <c r="R110" s="18">
        <f t="shared" si="16"/>
        <v>127689.30023832801</v>
      </c>
    </row>
    <row r="111" spans="7:18" x14ac:dyDescent="0.3">
      <c r="G111">
        <v>106</v>
      </c>
      <c r="H111" s="17">
        <v>48061</v>
      </c>
      <c r="I111" s="18">
        <f t="shared" si="17"/>
        <v>148900.85246381455</v>
      </c>
      <c r="J111" s="18">
        <f t="shared" si="10"/>
        <v>1216.0885736983614</v>
      </c>
      <c r="K111" s="18">
        <f t="shared" si="11"/>
        <v>223.41622393959767</v>
      </c>
      <c r="L111" s="16">
        <f t="shared" si="12"/>
        <v>1.8005233972227926E-2</v>
      </c>
      <c r="M111" s="18">
        <f t="shared" si="13"/>
        <v>992.67234975876374</v>
      </c>
      <c r="N111" s="16">
        <f t="shared" si="14"/>
        <v>0.08</v>
      </c>
      <c r="O111" s="18">
        <f t="shared" si="18"/>
        <v>17055.363760125023</v>
      </c>
      <c r="P111" s="18">
        <f t="shared" si="19"/>
        <v>111850.02505190135</v>
      </c>
      <c r="Q111" s="18">
        <f t="shared" si="15"/>
        <v>148677.43623987495</v>
      </c>
      <c r="R111" s="18">
        <f t="shared" si="16"/>
        <v>128905.38881202637</v>
      </c>
    </row>
    <row r="112" spans="7:18" x14ac:dyDescent="0.3">
      <c r="G112">
        <v>107</v>
      </c>
      <c r="H112" s="17">
        <v>48092</v>
      </c>
      <c r="I112" s="18">
        <f t="shared" si="17"/>
        <v>148677.43623987495</v>
      </c>
      <c r="J112" s="18">
        <f t="shared" si="10"/>
        <v>1216.0885736983614</v>
      </c>
      <c r="K112" s="18">
        <f t="shared" si="11"/>
        <v>224.90566543252839</v>
      </c>
      <c r="L112" s="16">
        <f t="shared" si="12"/>
        <v>1.8152505541163686E-2</v>
      </c>
      <c r="M112" s="18">
        <f t="shared" si="13"/>
        <v>991.18290826583302</v>
      </c>
      <c r="N112" s="16">
        <f t="shared" si="14"/>
        <v>0.08</v>
      </c>
      <c r="O112" s="18">
        <f t="shared" si="18"/>
        <v>17280.269425557552</v>
      </c>
      <c r="P112" s="18">
        <f t="shared" si="19"/>
        <v>112841.20796016719</v>
      </c>
      <c r="Q112" s="18">
        <f t="shared" si="15"/>
        <v>148452.53057444241</v>
      </c>
      <c r="R112" s="18">
        <f t="shared" si="16"/>
        <v>130121.47738572473</v>
      </c>
    </row>
    <row r="113" spans="7:18" x14ac:dyDescent="0.3">
      <c r="G113">
        <v>108</v>
      </c>
      <c r="H113" s="17">
        <v>48122</v>
      </c>
      <c r="I113" s="18">
        <f t="shared" si="17"/>
        <v>148452.53057444241</v>
      </c>
      <c r="J113" s="18">
        <f t="shared" si="10"/>
        <v>1216.0885736983614</v>
      </c>
      <c r="K113" s="18">
        <f t="shared" si="11"/>
        <v>226.40503653541191</v>
      </c>
      <c r="L113" s="16">
        <f t="shared" si="12"/>
        <v>1.8301206641018201E-2</v>
      </c>
      <c r="M113" s="18">
        <f t="shared" si="13"/>
        <v>989.68353716294951</v>
      </c>
      <c r="N113" s="16">
        <f t="shared" si="14"/>
        <v>0.08</v>
      </c>
      <c r="O113" s="18">
        <f t="shared" si="18"/>
        <v>17506.674462092964</v>
      </c>
      <c r="P113" s="18">
        <f t="shared" si="19"/>
        <v>113830.89149733013</v>
      </c>
      <c r="Q113" s="18">
        <f t="shared" si="15"/>
        <v>148226.12553790701</v>
      </c>
      <c r="R113" s="18">
        <f t="shared" si="16"/>
        <v>131337.56595942308</v>
      </c>
    </row>
    <row r="114" spans="7:18" x14ac:dyDescent="0.3">
      <c r="G114">
        <v>109</v>
      </c>
      <c r="H114" s="17">
        <v>48153</v>
      </c>
      <c r="I114" s="18">
        <f t="shared" si="17"/>
        <v>148226.12553790701</v>
      </c>
      <c r="J114" s="18">
        <f t="shared" si="10"/>
        <v>1216.0885736983614</v>
      </c>
      <c r="K114" s="18">
        <f t="shared" si="11"/>
        <v>227.91440344564796</v>
      </c>
      <c r="L114" s="16">
        <f t="shared" si="12"/>
        <v>1.8451354856795065E-2</v>
      </c>
      <c r="M114" s="18">
        <f t="shared" si="13"/>
        <v>988.17417025271345</v>
      </c>
      <c r="N114" s="16">
        <f t="shared" si="14"/>
        <v>0.08</v>
      </c>
      <c r="O114" s="18">
        <f t="shared" si="18"/>
        <v>17734.588865538612</v>
      </c>
      <c r="P114" s="18">
        <f t="shared" si="19"/>
        <v>114819.06566758284</v>
      </c>
      <c r="Q114" s="18">
        <f t="shared" si="15"/>
        <v>147998.21113446137</v>
      </c>
      <c r="R114" s="18">
        <f t="shared" si="16"/>
        <v>132553.65453312144</v>
      </c>
    </row>
    <row r="115" spans="7:18" x14ac:dyDescent="0.3">
      <c r="G115">
        <v>110</v>
      </c>
      <c r="H115" s="17">
        <v>48183</v>
      </c>
      <c r="I115" s="18">
        <f t="shared" si="17"/>
        <v>147998.21113446137</v>
      </c>
      <c r="J115" s="18">
        <f t="shared" si="10"/>
        <v>1216.0885736983614</v>
      </c>
      <c r="K115" s="18">
        <f t="shared" si="11"/>
        <v>229.43383280195224</v>
      </c>
      <c r="L115" s="16">
        <f t="shared" si="12"/>
        <v>1.8602968052918195E-2</v>
      </c>
      <c r="M115" s="18">
        <f t="shared" si="13"/>
        <v>986.65474089640918</v>
      </c>
      <c r="N115" s="16">
        <f t="shared" si="14"/>
        <v>0.08</v>
      </c>
      <c r="O115" s="18">
        <f t="shared" si="18"/>
        <v>17964.022698340563</v>
      </c>
      <c r="P115" s="18">
        <f t="shared" si="19"/>
        <v>115805.72040847925</v>
      </c>
      <c r="Q115" s="18">
        <f t="shared" si="15"/>
        <v>147768.7773016594</v>
      </c>
      <c r="R115" s="18">
        <f t="shared" si="16"/>
        <v>133769.74310681981</v>
      </c>
    </row>
    <row r="116" spans="7:18" x14ac:dyDescent="0.3">
      <c r="G116">
        <v>111</v>
      </c>
      <c r="H116" s="17">
        <v>48214</v>
      </c>
      <c r="I116" s="18">
        <f t="shared" si="17"/>
        <v>147768.7773016594</v>
      </c>
      <c r="J116" s="18">
        <f t="shared" si="10"/>
        <v>1216.0885736983614</v>
      </c>
      <c r="K116" s="18">
        <f t="shared" si="11"/>
        <v>230.96339168729867</v>
      </c>
      <c r="L116" s="16">
        <f t="shared" si="12"/>
        <v>1.8756064378807447E-2</v>
      </c>
      <c r="M116" s="18">
        <f t="shared" si="13"/>
        <v>985.12518201106275</v>
      </c>
      <c r="N116" s="16">
        <f t="shared" si="14"/>
        <v>0.08</v>
      </c>
      <c r="O116" s="18">
        <f t="shared" si="18"/>
        <v>18194.986090027862</v>
      </c>
      <c r="P116" s="18">
        <f t="shared" si="19"/>
        <v>116790.84559049031</v>
      </c>
      <c r="Q116" s="18">
        <f t="shared" si="15"/>
        <v>147537.81390997212</v>
      </c>
      <c r="R116" s="18">
        <f t="shared" si="16"/>
        <v>134985.83168051817</v>
      </c>
    </row>
    <row r="117" spans="7:18" x14ac:dyDescent="0.3">
      <c r="G117">
        <v>112</v>
      </c>
      <c r="H117" s="17">
        <v>48245</v>
      </c>
      <c r="I117" s="18">
        <f t="shared" si="17"/>
        <v>147537.81390997212</v>
      </c>
      <c r="J117" s="18">
        <f t="shared" si="10"/>
        <v>1216.0885736983614</v>
      </c>
      <c r="K117" s="18">
        <f t="shared" si="11"/>
        <v>232.50314763188055</v>
      </c>
      <c r="L117" s="16">
        <f t="shared" si="12"/>
        <v>1.8910662274588493E-2</v>
      </c>
      <c r="M117" s="18">
        <f t="shared" si="13"/>
        <v>983.58542606648086</v>
      </c>
      <c r="N117" s="16">
        <f t="shared" si="14"/>
        <v>0.08</v>
      </c>
      <c r="O117" s="18">
        <f t="shared" si="18"/>
        <v>18427.489237659742</v>
      </c>
      <c r="P117" s="18">
        <f t="shared" si="19"/>
        <v>117774.43101655679</v>
      </c>
      <c r="Q117" s="18">
        <f t="shared" si="15"/>
        <v>147305.31076234023</v>
      </c>
      <c r="R117" s="18">
        <f t="shared" si="16"/>
        <v>136201.92025421653</v>
      </c>
    </row>
    <row r="118" spans="7:18" x14ac:dyDescent="0.3">
      <c r="G118">
        <v>113</v>
      </c>
      <c r="H118" s="17">
        <v>48274</v>
      </c>
      <c r="I118" s="18">
        <f t="shared" si="17"/>
        <v>147305.31076234023</v>
      </c>
      <c r="J118" s="18">
        <f t="shared" si="10"/>
        <v>1216.0885736983614</v>
      </c>
      <c r="K118" s="18">
        <f t="shared" si="11"/>
        <v>234.0531686160931</v>
      </c>
      <c r="L118" s="16">
        <f t="shared" si="12"/>
        <v>1.9066780476941013E-2</v>
      </c>
      <c r="M118" s="18">
        <f t="shared" si="13"/>
        <v>982.03540508226831</v>
      </c>
      <c r="N118" s="16">
        <f t="shared" si="14"/>
        <v>0.08</v>
      </c>
      <c r="O118" s="18">
        <f t="shared" si="18"/>
        <v>18661.542406275836</v>
      </c>
      <c r="P118" s="18">
        <f t="shared" si="19"/>
        <v>118756.46642163905</v>
      </c>
      <c r="Q118" s="18">
        <f t="shared" si="15"/>
        <v>147071.25759372415</v>
      </c>
      <c r="R118" s="18">
        <f t="shared" si="16"/>
        <v>137418.00882791489</v>
      </c>
    </row>
    <row r="119" spans="7:18" x14ac:dyDescent="0.3">
      <c r="G119">
        <v>114</v>
      </c>
      <c r="H119" s="17">
        <v>48305</v>
      </c>
      <c r="I119" s="18">
        <f t="shared" si="17"/>
        <v>147071.25759372415</v>
      </c>
      <c r="J119" s="18">
        <f t="shared" si="10"/>
        <v>1216.0885736983614</v>
      </c>
      <c r="K119" s="18">
        <f t="shared" si="11"/>
        <v>235.61352307353366</v>
      </c>
      <c r="L119" s="16">
        <f t="shared" si="12"/>
        <v>1.9224438025088685E-2</v>
      </c>
      <c r="M119" s="18">
        <f t="shared" si="13"/>
        <v>980.47505062482776</v>
      </c>
      <c r="N119" s="16">
        <f t="shared" si="14"/>
        <v>0.08</v>
      </c>
      <c r="O119" s="18">
        <f t="shared" si="18"/>
        <v>18897.15592934937</v>
      </c>
      <c r="P119" s="18">
        <f t="shared" si="19"/>
        <v>119736.94147226388</v>
      </c>
      <c r="Q119" s="18">
        <f t="shared" si="15"/>
        <v>146835.64407065063</v>
      </c>
      <c r="R119" s="18">
        <f t="shared" si="16"/>
        <v>138634.09740161325</v>
      </c>
    </row>
    <row r="120" spans="7:18" x14ac:dyDescent="0.3">
      <c r="G120">
        <v>115</v>
      </c>
      <c r="H120" s="17">
        <v>48335</v>
      </c>
      <c r="I120" s="18">
        <f t="shared" si="17"/>
        <v>146835.64407065063</v>
      </c>
      <c r="J120" s="18">
        <f t="shared" si="10"/>
        <v>1216.0885736983614</v>
      </c>
      <c r="K120" s="18">
        <f t="shared" si="11"/>
        <v>237.1842798940238</v>
      </c>
      <c r="L120" s="16">
        <f t="shared" si="12"/>
        <v>1.9383654266935474E-2</v>
      </c>
      <c r="M120" s="18">
        <f t="shared" si="13"/>
        <v>978.90429380433761</v>
      </c>
      <c r="N120" s="16">
        <f t="shared" si="14"/>
        <v>0.08</v>
      </c>
      <c r="O120" s="18">
        <f t="shared" si="18"/>
        <v>19134.340209243393</v>
      </c>
      <c r="P120" s="18">
        <f t="shared" si="19"/>
        <v>120715.84576606822</v>
      </c>
      <c r="Q120" s="18">
        <f t="shared" si="15"/>
        <v>146598.45979075661</v>
      </c>
      <c r="R120" s="18">
        <f t="shared" si="16"/>
        <v>139850.18597531162</v>
      </c>
    </row>
    <row r="121" spans="7:18" x14ac:dyDescent="0.3">
      <c r="G121">
        <v>116</v>
      </c>
      <c r="H121" s="17">
        <v>48366</v>
      </c>
      <c r="I121" s="18">
        <f t="shared" si="17"/>
        <v>146598.45979075661</v>
      </c>
      <c r="J121" s="18">
        <f t="shared" si="10"/>
        <v>1216.0885736983614</v>
      </c>
      <c r="K121" s="18">
        <f t="shared" si="11"/>
        <v>238.76550842665063</v>
      </c>
      <c r="L121" s="16">
        <f t="shared" si="12"/>
        <v>1.9544448865352025E-2</v>
      </c>
      <c r="M121" s="18">
        <f t="shared" si="13"/>
        <v>977.32306527171079</v>
      </c>
      <c r="N121" s="16">
        <f t="shared" si="14"/>
        <v>0.08</v>
      </c>
      <c r="O121" s="18">
        <f t="shared" si="18"/>
        <v>19373.105717670045</v>
      </c>
      <c r="P121" s="18">
        <f t="shared" si="19"/>
        <v>121693.16883133994</v>
      </c>
      <c r="Q121" s="18">
        <f t="shared" si="15"/>
        <v>146359.69428232996</v>
      </c>
      <c r="R121" s="18">
        <f t="shared" si="16"/>
        <v>141066.27454900998</v>
      </c>
    </row>
    <row r="122" spans="7:18" x14ac:dyDescent="0.3">
      <c r="G122">
        <v>117</v>
      </c>
      <c r="H122" s="17">
        <v>48396</v>
      </c>
      <c r="I122" s="18">
        <f t="shared" si="17"/>
        <v>146359.69428232996</v>
      </c>
      <c r="J122" s="18">
        <f t="shared" si="10"/>
        <v>1216.0885736983614</v>
      </c>
      <c r="K122" s="18">
        <f t="shared" si="11"/>
        <v>240.35727848282829</v>
      </c>
      <c r="L122" s="16">
        <f t="shared" si="12"/>
        <v>1.9706841804616695E-2</v>
      </c>
      <c r="M122" s="18">
        <f t="shared" si="13"/>
        <v>975.73129521553312</v>
      </c>
      <c r="N122" s="16">
        <f t="shared" si="14"/>
        <v>0.08</v>
      </c>
      <c r="O122" s="18">
        <f t="shared" si="18"/>
        <v>19613.462996152874</v>
      </c>
      <c r="P122" s="18">
        <f t="shared" si="19"/>
        <v>122668.90012655547</v>
      </c>
      <c r="Q122" s="18">
        <f t="shared" si="15"/>
        <v>146119.33700384715</v>
      </c>
      <c r="R122" s="18">
        <f t="shared" si="16"/>
        <v>142282.36312270834</v>
      </c>
    </row>
    <row r="123" spans="7:18" x14ac:dyDescent="0.3">
      <c r="G123">
        <v>118</v>
      </c>
      <c r="H123" s="17">
        <v>48427</v>
      </c>
      <c r="I123" s="18">
        <f t="shared" si="17"/>
        <v>146119.33700384715</v>
      </c>
      <c r="J123" s="18">
        <f t="shared" si="10"/>
        <v>1216.0885736983614</v>
      </c>
      <c r="K123" s="18">
        <f t="shared" si="11"/>
        <v>241.95966033938032</v>
      </c>
      <c r="L123" s="16">
        <f t="shared" si="12"/>
        <v>1.9870853397015605E-2</v>
      </c>
      <c r="M123" s="18">
        <f t="shared" si="13"/>
        <v>974.12891335898109</v>
      </c>
      <c r="N123" s="16">
        <f t="shared" si="14"/>
        <v>0.08</v>
      </c>
      <c r="O123" s="18">
        <f t="shared" si="18"/>
        <v>19855.422656492254</v>
      </c>
      <c r="P123" s="18">
        <f t="shared" si="19"/>
        <v>123643.02903991444</v>
      </c>
      <c r="Q123" s="18">
        <f t="shared" si="15"/>
        <v>145877.37734350777</v>
      </c>
      <c r="R123" s="18">
        <f t="shared" si="16"/>
        <v>143498.4516964067</v>
      </c>
    </row>
    <row r="124" spans="7:18" x14ac:dyDescent="0.3">
      <c r="G124">
        <v>119</v>
      </c>
      <c r="H124" s="17">
        <v>48458</v>
      </c>
      <c r="I124" s="18">
        <f t="shared" si="17"/>
        <v>145877.37734350777</v>
      </c>
      <c r="J124" s="18">
        <f t="shared" si="10"/>
        <v>1216.0885736983614</v>
      </c>
      <c r="K124" s="18">
        <f t="shared" si="11"/>
        <v>243.5727247416429</v>
      </c>
      <c r="L124" s="16">
        <f t="shared" si="12"/>
        <v>2.0036504289606329E-2</v>
      </c>
      <c r="M124" s="18">
        <f t="shared" si="13"/>
        <v>972.51584895671851</v>
      </c>
      <c r="N124" s="16">
        <f t="shared" si="14"/>
        <v>0.08</v>
      </c>
      <c r="O124" s="18">
        <f t="shared" si="18"/>
        <v>20098.995381233897</v>
      </c>
      <c r="P124" s="18">
        <f t="shared" si="19"/>
        <v>124615.54488887117</v>
      </c>
      <c r="Q124" s="18">
        <f t="shared" si="15"/>
        <v>145633.80461876612</v>
      </c>
      <c r="R124" s="18">
        <f t="shared" si="16"/>
        <v>144714.54027010506</v>
      </c>
    </row>
    <row r="125" spans="7:18" x14ac:dyDescent="0.3">
      <c r="G125">
        <v>120</v>
      </c>
      <c r="H125" s="17">
        <v>48488</v>
      </c>
      <c r="I125" s="18">
        <f t="shared" si="17"/>
        <v>145633.80461876612</v>
      </c>
      <c r="J125" s="18">
        <f t="shared" si="10"/>
        <v>1216.0885736983614</v>
      </c>
      <c r="K125" s="18">
        <f t="shared" si="11"/>
        <v>245.19654290658718</v>
      </c>
      <c r="L125" s="16">
        <f t="shared" si="12"/>
        <v>2.0203815471149883E-2</v>
      </c>
      <c r="M125" s="18">
        <f t="shared" si="13"/>
        <v>970.89203079177423</v>
      </c>
      <c r="N125" s="16">
        <f t="shared" si="14"/>
        <v>0.08</v>
      </c>
      <c r="O125" s="18">
        <f t="shared" si="18"/>
        <v>20344.191924140483</v>
      </c>
      <c r="P125" s="18">
        <f t="shared" si="19"/>
        <v>125586.43691966294</v>
      </c>
      <c r="Q125" s="18">
        <f t="shared" si="15"/>
        <v>145388.60807585955</v>
      </c>
      <c r="R125" s="18">
        <f t="shared" si="16"/>
        <v>145930.62884380342</v>
      </c>
    </row>
    <row r="126" spans="7:18" x14ac:dyDescent="0.3">
      <c r="G126">
        <v>121</v>
      </c>
      <c r="H126" s="17">
        <v>48519</v>
      </c>
      <c r="I126" s="18">
        <f t="shared" si="17"/>
        <v>145388.60807585955</v>
      </c>
      <c r="J126" s="18">
        <f t="shared" si="10"/>
        <v>1216.0885736983614</v>
      </c>
      <c r="K126" s="18">
        <f t="shared" si="11"/>
        <v>246.83118652596431</v>
      </c>
      <c r="L126" s="16">
        <f t="shared" si="12"/>
        <v>2.037280827921607E-2</v>
      </c>
      <c r="M126" s="18">
        <f t="shared" si="13"/>
        <v>969.2573871723971</v>
      </c>
      <c r="N126" s="16">
        <f t="shared" si="14"/>
        <v>0.08</v>
      </c>
      <c r="O126" s="18">
        <f t="shared" si="18"/>
        <v>20591.023110666447</v>
      </c>
      <c r="P126" s="18">
        <f t="shared" si="19"/>
        <v>126555.69430683534</v>
      </c>
      <c r="Q126" s="18">
        <f t="shared" si="15"/>
        <v>145141.77688933359</v>
      </c>
      <c r="R126" s="18">
        <f t="shared" si="16"/>
        <v>147146.71741750179</v>
      </c>
    </row>
    <row r="127" spans="7:18" x14ac:dyDescent="0.3">
      <c r="G127">
        <v>122</v>
      </c>
      <c r="H127" s="17">
        <v>48549</v>
      </c>
      <c r="I127" s="18">
        <f t="shared" si="17"/>
        <v>145141.77688933359</v>
      </c>
      <c r="J127" s="18">
        <f t="shared" si="10"/>
        <v>1216.0885736983614</v>
      </c>
      <c r="K127" s="18">
        <f t="shared" si="11"/>
        <v>248.47672776947081</v>
      </c>
      <c r="L127" s="16">
        <f t="shared" si="12"/>
        <v>2.0543504407467231E-2</v>
      </c>
      <c r="M127" s="18">
        <f t="shared" si="13"/>
        <v>967.6118459288906</v>
      </c>
      <c r="N127" s="16">
        <f t="shared" si="14"/>
        <v>0.08</v>
      </c>
      <c r="O127" s="18">
        <f t="shared" si="18"/>
        <v>20839.499838435917</v>
      </c>
      <c r="P127" s="18">
        <f t="shared" si="19"/>
        <v>127523.30615276423</v>
      </c>
      <c r="Q127" s="18">
        <f t="shared" si="15"/>
        <v>144893.30016156411</v>
      </c>
      <c r="R127" s="18">
        <f t="shared" si="16"/>
        <v>148362.80599120015</v>
      </c>
    </row>
    <row r="128" spans="7:18" x14ac:dyDescent="0.3">
      <c r="G128">
        <v>123</v>
      </c>
      <c r="H128" s="17">
        <v>48580</v>
      </c>
      <c r="I128" s="18">
        <f t="shared" si="17"/>
        <v>144893.30016156411</v>
      </c>
      <c r="J128" s="18">
        <f t="shared" si="10"/>
        <v>1216.0885736983614</v>
      </c>
      <c r="K128" s="18">
        <f t="shared" si="11"/>
        <v>250.13323928793397</v>
      </c>
      <c r="L128" s="16">
        <f t="shared" si="12"/>
        <v>2.0715925913125433E-2</v>
      </c>
      <c r="M128" s="18">
        <f t="shared" si="13"/>
        <v>965.95533441042744</v>
      </c>
      <c r="N128" s="16">
        <f t="shared" si="14"/>
        <v>0.08</v>
      </c>
      <c r="O128" s="18">
        <f t="shared" si="18"/>
        <v>21089.633077723851</v>
      </c>
      <c r="P128" s="18">
        <f t="shared" si="19"/>
        <v>128489.26148717465</v>
      </c>
      <c r="Q128" s="18">
        <f t="shared" si="15"/>
        <v>144643.16692227617</v>
      </c>
      <c r="R128" s="18">
        <f t="shared" si="16"/>
        <v>149578.89456489851</v>
      </c>
    </row>
    <row r="129" spans="7:18" x14ac:dyDescent="0.3">
      <c r="G129">
        <v>124</v>
      </c>
      <c r="H129" s="17">
        <v>48611</v>
      </c>
      <c r="I129" s="18">
        <f t="shared" si="17"/>
        <v>144643.16692227617</v>
      </c>
      <c r="J129" s="18">
        <f t="shared" si="10"/>
        <v>1216.0885736983614</v>
      </c>
      <c r="K129" s="18">
        <f t="shared" si="11"/>
        <v>251.80079421652022</v>
      </c>
      <c r="L129" s="16">
        <f t="shared" si="12"/>
        <v>2.0890095224628903E-2</v>
      </c>
      <c r="M129" s="18">
        <f t="shared" si="13"/>
        <v>964.2877794818412</v>
      </c>
      <c r="N129" s="16">
        <f t="shared" si="14"/>
        <v>0.08</v>
      </c>
      <c r="O129" s="18">
        <f t="shared" si="18"/>
        <v>21341.433871940371</v>
      </c>
      <c r="P129" s="18">
        <f t="shared" si="19"/>
        <v>129453.54926665648</v>
      </c>
      <c r="Q129" s="18">
        <f t="shared" si="15"/>
        <v>144391.36612805966</v>
      </c>
      <c r="R129" s="18">
        <f t="shared" si="16"/>
        <v>150794.98313859684</v>
      </c>
    </row>
    <row r="130" spans="7:18" x14ac:dyDescent="0.3">
      <c r="G130">
        <v>125</v>
      </c>
      <c r="H130" s="17">
        <v>48639</v>
      </c>
      <c r="I130" s="18">
        <f t="shared" si="17"/>
        <v>144391.36612805966</v>
      </c>
      <c r="J130" s="18">
        <f t="shared" si="10"/>
        <v>1216.0885736983614</v>
      </c>
      <c r="K130" s="18">
        <f t="shared" si="11"/>
        <v>253.47946617796367</v>
      </c>
      <c r="L130" s="16">
        <f t="shared" si="12"/>
        <v>2.1066035149482933E-2</v>
      </c>
      <c r="M130" s="18">
        <f t="shared" si="13"/>
        <v>962.60910752039774</v>
      </c>
      <c r="N130" s="16">
        <f t="shared" si="14"/>
        <v>0.08</v>
      </c>
      <c r="O130" s="18">
        <f t="shared" si="18"/>
        <v>21594.913338118335</v>
      </c>
      <c r="P130" s="18">
        <f t="shared" si="19"/>
        <v>130416.15837417688</v>
      </c>
      <c r="Q130" s="18">
        <f t="shared" si="15"/>
        <v>144137.8866618817</v>
      </c>
      <c r="R130" s="18">
        <f t="shared" si="16"/>
        <v>152011.07171229523</v>
      </c>
    </row>
    <row r="131" spans="7:18" x14ac:dyDescent="0.3">
      <c r="G131">
        <v>126</v>
      </c>
      <c r="H131" s="17">
        <v>48670</v>
      </c>
      <c r="I131" s="18">
        <f t="shared" si="17"/>
        <v>144137.8866618817</v>
      </c>
      <c r="J131" s="18">
        <f t="shared" si="10"/>
        <v>1216.0885736983614</v>
      </c>
      <c r="K131" s="18">
        <f t="shared" si="11"/>
        <v>255.16932928581673</v>
      </c>
      <c r="L131" s="16">
        <f t="shared" si="12"/>
        <v>2.1243768882311338E-2</v>
      </c>
      <c r="M131" s="18">
        <f t="shared" si="13"/>
        <v>960.91924441254469</v>
      </c>
      <c r="N131" s="16">
        <f t="shared" si="14"/>
        <v>0.08</v>
      </c>
      <c r="O131" s="18">
        <f t="shared" si="18"/>
        <v>21850.082667404153</v>
      </c>
      <c r="P131" s="18">
        <f t="shared" si="19"/>
        <v>131377.07761858942</v>
      </c>
      <c r="Q131" s="18">
        <f t="shared" si="15"/>
        <v>143882.71733259587</v>
      </c>
      <c r="R131" s="18">
        <f t="shared" si="16"/>
        <v>153227.16028599357</v>
      </c>
    </row>
    <row r="132" spans="7:18" x14ac:dyDescent="0.3">
      <c r="G132">
        <v>127</v>
      </c>
      <c r="H132" s="17">
        <v>48700</v>
      </c>
      <c r="I132" s="18">
        <f t="shared" si="17"/>
        <v>143882.71733259587</v>
      </c>
      <c r="J132" s="18">
        <f t="shared" si="10"/>
        <v>1216.0885736983614</v>
      </c>
      <c r="K132" s="18">
        <f t="shared" si="11"/>
        <v>256.87045814772216</v>
      </c>
      <c r="L132" s="16">
        <f t="shared" si="12"/>
        <v>2.142332001311428E-2</v>
      </c>
      <c r="M132" s="18">
        <f t="shared" si="13"/>
        <v>959.21811555063925</v>
      </c>
      <c r="N132" s="16">
        <f t="shared" si="14"/>
        <v>0.08</v>
      </c>
      <c r="O132" s="18">
        <f t="shared" si="18"/>
        <v>22106.953125551874</v>
      </c>
      <c r="P132" s="18">
        <f t="shared" si="19"/>
        <v>132336.29573414006</v>
      </c>
      <c r="Q132" s="18">
        <f t="shared" si="15"/>
        <v>143625.84687444815</v>
      </c>
      <c r="R132" s="18">
        <f t="shared" si="16"/>
        <v>154443.24885969193</v>
      </c>
    </row>
    <row r="133" spans="7:18" x14ac:dyDescent="0.3">
      <c r="G133">
        <v>128</v>
      </c>
      <c r="H133" s="17">
        <v>48731</v>
      </c>
      <c r="I133" s="18">
        <f t="shared" si="17"/>
        <v>143625.84687444815</v>
      </c>
      <c r="J133" s="18">
        <f t="shared" si="10"/>
        <v>1216.0885736983614</v>
      </c>
      <c r="K133" s="18">
        <f t="shared" si="11"/>
        <v>258.58292786870697</v>
      </c>
      <c r="L133" s="16">
        <f t="shared" si="12"/>
        <v>2.1604712535738747E-2</v>
      </c>
      <c r="M133" s="18">
        <f t="shared" si="13"/>
        <v>957.50564582965444</v>
      </c>
      <c r="N133" s="16">
        <f t="shared" si="14"/>
        <v>0.08</v>
      </c>
      <c r="O133" s="18">
        <f t="shared" si="18"/>
        <v>22365.536053420583</v>
      </c>
      <c r="P133" s="18">
        <f t="shared" si="19"/>
        <v>133293.80137996972</v>
      </c>
      <c r="Q133" s="18">
        <f t="shared" si="15"/>
        <v>143367.26394657945</v>
      </c>
      <c r="R133" s="18">
        <f t="shared" si="16"/>
        <v>155659.33743339032</v>
      </c>
    </row>
    <row r="134" spans="7:18" x14ac:dyDescent="0.3">
      <c r="G134">
        <v>129</v>
      </c>
      <c r="H134" s="17">
        <v>48761</v>
      </c>
      <c r="I134" s="18">
        <f t="shared" si="17"/>
        <v>143367.26394657945</v>
      </c>
      <c r="J134" s="18">
        <f t="shared" ref="J134:J197" si="20">$I$6/((($K$2)-1)/($K$1*$K$2))</f>
        <v>1216.0885736983614</v>
      </c>
      <c r="K134" s="18">
        <f t="shared" ref="K134:K197" si="21">J134-M134</f>
        <v>260.30681405449832</v>
      </c>
      <c r="L134" s="16">
        <f t="shared" ref="L134:L197" si="22">(K134/I134)*12</f>
        <v>2.1787970856568101E-2</v>
      </c>
      <c r="M134" s="18">
        <f t="shared" ref="M134:M197" si="23">I134*($H$1/12)</f>
        <v>955.7817596438631</v>
      </c>
      <c r="N134" s="16">
        <f t="shared" ref="N134:N197" si="24">(M134/I134)*12</f>
        <v>0.08</v>
      </c>
      <c r="O134" s="18">
        <f t="shared" si="18"/>
        <v>22625.842867475083</v>
      </c>
      <c r="P134" s="18">
        <f t="shared" si="19"/>
        <v>134249.58313961359</v>
      </c>
      <c r="Q134" s="18">
        <f t="shared" ref="Q134:Q197" si="25">I134-K134</f>
        <v>143106.95713252496</v>
      </c>
      <c r="R134" s="18">
        <f t="shared" ref="R134:R197" si="26">O134+P134</f>
        <v>156875.42600708868</v>
      </c>
    </row>
    <row r="135" spans="7:18" x14ac:dyDescent="0.3">
      <c r="G135">
        <v>130</v>
      </c>
      <c r="H135" s="17">
        <v>48792</v>
      </c>
      <c r="I135" s="18">
        <f t="shared" ref="I135:I198" si="27">Q134</f>
        <v>143106.95713252496</v>
      </c>
      <c r="J135" s="18">
        <f t="shared" si="20"/>
        <v>1216.0885736983614</v>
      </c>
      <c r="K135" s="18">
        <f t="shared" si="21"/>
        <v>262.04219281486166</v>
      </c>
      <c r="L135" s="16">
        <f t="shared" si="22"/>
        <v>2.1973119803437319E-2</v>
      </c>
      <c r="M135" s="18">
        <f t="shared" si="23"/>
        <v>954.04638088349975</v>
      </c>
      <c r="N135" s="16">
        <f t="shared" si="24"/>
        <v>0.08</v>
      </c>
      <c r="O135" s="18">
        <f t="shared" ref="O135:O198" si="28">O134+K135</f>
        <v>22887.885060289944</v>
      </c>
      <c r="P135" s="18">
        <f t="shared" ref="P135:P198" si="29">P134+M135</f>
        <v>135203.62952049708</v>
      </c>
      <c r="Q135" s="18">
        <f t="shared" si="25"/>
        <v>142844.91493971008</v>
      </c>
      <c r="R135" s="18">
        <f t="shared" si="26"/>
        <v>158091.51458078701</v>
      </c>
    </row>
    <row r="136" spans="7:18" x14ac:dyDescent="0.3">
      <c r="G136">
        <v>131</v>
      </c>
      <c r="H136" s="17">
        <v>48823</v>
      </c>
      <c r="I136" s="18">
        <f t="shared" si="27"/>
        <v>142844.91493971008</v>
      </c>
      <c r="J136" s="18">
        <f t="shared" si="20"/>
        <v>1216.0885736983614</v>
      </c>
      <c r="K136" s="18">
        <f t="shared" si="21"/>
        <v>263.78914076696083</v>
      </c>
      <c r="L136" s="16">
        <f t="shared" si="22"/>
        <v>2.2160184634780773E-2</v>
      </c>
      <c r="M136" s="18">
        <f t="shared" si="23"/>
        <v>952.29943293140059</v>
      </c>
      <c r="N136" s="16">
        <f t="shared" si="24"/>
        <v>0.08</v>
      </c>
      <c r="O136" s="18">
        <f t="shared" si="28"/>
        <v>23151.674201056903</v>
      </c>
      <c r="P136" s="18">
        <f t="shared" si="29"/>
        <v>136155.92895342849</v>
      </c>
      <c r="Q136" s="18">
        <f t="shared" si="25"/>
        <v>142581.12579894313</v>
      </c>
      <c r="R136" s="18">
        <f t="shared" si="26"/>
        <v>159307.6031544854</v>
      </c>
    </row>
    <row r="137" spans="7:18" x14ac:dyDescent="0.3">
      <c r="G137">
        <v>132</v>
      </c>
      <c r="H137" s="17">
        <v>48853</v>
      </c>
      <c r="I137" s="18">
        <f t="shared" si="27"/>
        <v>142581.12579894313</v>
      </c>
      <c r="J137" s="18">
        <f t="shared" si="20"/>
        <v>1216.0885736983614</v>
      </c>
      <c r="K137" s="18">
        <f t="shared" si="21"/>
        <v>265.54773503874048</v>
      </c>
      <c r="L137" s="16">
        <f t="shared" si="22"/>
        <v>2.2349191049019661E-2</v>
      </c>
      <c r="M137" s="18">
        <f t="shared" si="23"/>
        <v>950.54083865962093</v>
      </c>
      <c r="N137" s="16">
        <f t="shared" si="24"/>
        <v>0.08</v>
      </c>
      <c r="O137" s="18">
        <f t="shared" si="28"/>
        <v>23417.221936095644</v>
      </c>
      <c r="P137" s="18">
        <f t="shared" si="29"/>
        <v>137106.46979208812</v>
      </c>
      <c r="Q137" s="18">
        <f t="shared" si="25"/>
        <v>142315.5780639044</v>
      </c>
      <c r="R137" s="18">
        <f t="shared" si="26"/>
        <v>160523.69172818377</v>
      </c>
    </row>
    <row r="138" spans="7:18" x14ac:dyDescent="0.3">
      <c r="G138">
        <v>133</v>
      </c>
      <c r="H138" s="17">
        <v>48884</v>
      </c>
      <c r="I138" s="18">
        <f t="shared" si="27"/>
        <v>142315.5780639044</v>
      </c>
      <c r="J138" s="18">
        <f t="shared" si="20"/>
        <v>1216.0885736983614</v>
      </c>
      <c r="K138" s="18">
        <f t="shared" si="21"/>
        <v>267.31805327233201</v>
      </c>
      <c r="L138" s="16">
        <f t="shared" si="22"/>
        <v>2.254016519419658E-2</v>
      </c>
      <c r="M138" s="18">
        <f t="shared" si="23"/>
        <v>948.77052042602941</v>
      </c>
      <c r="N138" s="16">
        <f t="shared" si="24"/>
        <v>0.08</v>
      </c>
      <c r="O138" s="18">
        <f t="shared" si="28"/>
        <v>23684.539989367975</v>
      </c>
      <c r="P138" s="18">
        <f t="shared" si="29"/>
        <v>138055.24031251416</v>
      </c>
      <c r="Q138" s="18">
        <f t="shared" si="25"/>
        <v>142048.26001063208</v>
      </c>
      <c r="R138" s="18">
        <f t="shared" si="26"/>
        <v>161739.78030188213</v>
      </c>
    </row>
    <row r="139" spans="7:18" x14ac:dyDescent="0.3">
      <c r="G139">
        <v>134</v>
      </c>
      <c r="H139" s="17">
        <v>48914</v>
      </c>
      <c r="I139" s="18">
        <f t="shared" si="27"/>
        <v>142048.26001063208</v>
      </c>
      <c r="J139" s="18">
        <f t="shared" si="20"/>
        <v>1216.0885736983614</v>
      </c>
      <c r="K139" s="18">
        <f t="shared" si="21"/>
        <v>269.1001736274809</v>
      </c>
      <c r="L139" s="16">
        <f t="shared" si="22"/>
        <v>2.2733133677864625E-2</v>
      </c>
      <c r="M139" s="18">
        <f t="shared" si="23"/>
        <v>946.98840007088052</v>
      </c>
      <c r="N139" s="16">
        <f t="shared" si="24"/>
        <v>0.08</v>
      </c>
      <c r="O139" s="18">
        <f t="shared" si="28"/>
        <v>23953.640162995456</v>
      </c>
      <c r="P139" s="18">
        <f t="shared" si="29"/>
        <v>139002.22871258503</v>
      </c>
      <c r="Q139" s="18">
        <f t="shared" si="25"/>
        <v>141779.15983700458</v>
      </c>
      <c r="R139" s="18">
        <f t="shared" si="26"/>
        <v>162955.86887558049</v>
      </c>
    </row>
    <row r="140" spans="7:18" x14ac:dyDescent="0.3">
      <c r="G140">
        <v>135</v>
      </c>
      <c r="H140" s="17">
        <v>48945</v>
      </c>
      <c r="I140" s="18">
        <f t="shared" si="27"/>
        <v>141779.15983700458</v>
      </c>
      <c r="J140" s="18">
        <f t="shared" si="20"/>
        <v>1216.0885736983614</v>
      </c>
      <c r="K140" s="18">
        <f t="shared" si="21"/>
        <v>270.89417478499752</v>
      </c>
      <c r="L140" s="16">
        <f t="shared" si="22"/>
        <v>2.292812357723906E-2</v>
      </c>
      <c r="M140" s="18">
        <f t="shared" si="23"/>
        <v>945.1943989133639</v>
      </c>
      <c r="N140" s="16">
        <f t="shared" si="24"/>
        <v>0.08</v>
      </c>
      <c r="O140" s="18">
        <f t="shared" si="28"/>
        <v>24224.534337780453</v>
      </c>
      <c r="P140" s="18">
        <f t="shared" si="29"/>
        <v>139947.42311149838</v>
      </c>
      <c r="Q140" s="18">
        <f t="shared" si="25"/>
        <v>141508.26566221958</v>
      </c>
      <c r="R140" s="18">
        <f t="shared" si="26"/>
        <v>164171.95744927885</v>
      </c>
    </row>
    <row r="141" spans="7:18" x14ac:dyDescent="0.3">
      <c r="G141">
        <v>136</v>
      </c>
      <c r="H141" s="17">
        <v>48976</v>
      </c>
      <c r="I141" s="18">
        <f t="shared" si="27"/>
        <v>141508.26566221958</v>
      </c>
      <c r="J141" s="18">
        <f t="shared" si="20"/>
        <v>1216.0885736983614</v>
      </c>
      <c r="K141" s="18">
        <f t="shared" si="21"/>
        <v>272.70013595023079</v>
      </c>
      <c r="L141" s="16">
        <f t="shared" si="22"/>
        <v>2.31251624496197E-2</v>
      </c>
      <c r="M141" s="18">
        <f t="shared" si="23"/>
        <v>943.38843774813063</v>
      </c>
      <c r="N141" s="16">
        <f t="shared" si="24"/>
        <v>0.08</v>
      </c>
      <c r="O141" s="18">
        <f t="shared" si="28"/>
        <v>24497.234473730685</v>
      </c>
      <c r="P141" s="18">
        <f t="shared" si="29"/>
        <v>140890.81154924651</v>
      </c>
      <c r="Q141" s="18">
        <f t="shared" si="25"/>
        <v>141235.56552626935</v>
      </c>
      <c r="R141" s="18">
        <f t="shared" si="26"/>
        <v>165388.04602297721</v>
      </c>
    </row>
    <row r="142" spans="7:18" x14ac:dyDescent="0.3">
      <c r="G142">
        <v>137</v>
      </c>
      <c r="H142" s="17">
        <v>49004</v>
      </c>
      <c r="I142" s="18">
        <f t="shared" si="27"/>
        <v>141235.56552626935</v>
      </c>
      <c r="J142" s="18">
        <f t="shared" si="20"/>
        <v>1216.0885736983614</v>
      </c>
      <c r="K142" s="18">
        <f t="shared" si="21"/>
        <v>274.51813685656566</v>
      </c>
      <c r="L142" s="16">
        <f t="shared" si="22"/>
        <v>2.3324278343092517E-2</v>
      </c>
      <c r="M142" s="18">
        <f t="shared" si="23"/>
        <v>941.57043684179575</v>
      </c>
      <c r="N142" s="16">
        <f t="shared" si="24"/>
        <v>0.08</v>
      </c>
      <c r="O142" s="18">
        <f t="shared" si="28"/>
        <v>24771.752610587249</v>
      </c>
      <c r="P142" s="18">
        <f t="shared" si="29"/>
        <v>141832.38198608832</v>
      </c>
      <c r="Q142" s="18">
        <f t="shared" si="25"/>
        <v>140961.04738941279</v>
      </c>
      <c r="R142" s="18">
        <f t="shared" si="26"/>
        <v>166604.13459667558</v>
      </c>
    </row>
    <row r="143" spans="7:18" x14ac:dyDescent="0.3">
      <c r="G143">
        <v>138</v>
      </c>
      <c r="H143" s="17">
        <v>49035</v>
      </c>
      <c r="I143" s="18">
        <f t="shared" si="27"/>
        <v>140961.04738941279</v>
      </c>
      <c r="J143" s="18">
        <f t="shared" si="20"/>
        <v>1216.0885736983614</v>
      </c>
      <c r="K143" s="18">
        <f t="shared" si="21"/>
        <v>276.34825776894274</v>
      </c>
      <c r="L143" s="16">
        <f t="shared" si="22"/>
        <v>2.352549980751904E-2</v>
      </c>
      <c r="M143" s="18">
        <f t="shared" si="23"/>
        <v>939.74031592941867</v>
      </c>
      <c r="N143" s="16">
        <f t="shared" si="24"/>
        <v>0.08</v>
      </c>
      <c r="O143" s="18">
        <f t="shared" si="28"/>
        <v>25048.100868356192</v>
      </c>
      <c r="P143" s="18">
        <f t="shared" si="29"/>
        <v>142772.12230201773</v>
      </c>
      <c r="Q143" s="18">
        <f t="shared" si="25"/>
        <v>140684.69913164387</v>
      </c>
      <c r="R143" s="18">
        <f t="shared" si="26"/>
        <v>167820.22317037391</v>
      </c>
    </row>
    <row r="144" spans="7:18" x14ac:dyDescent="0.3">
      <c r="G144">
        <v>139</v>
      </c>
      <c r="H144" s="17">
        <v>49065</v>
      </c>
      <c r="I144" s="18">
        <f t="shared" si="27"/>
        <v>140684.69913164387</v>
      </c>
      <c r="J144" s="18">
        <f t="shared" si="20"/>
        <v>1216.0885736983614</v>
      </c>
      <c r="K144" s="18">
        <f t="shared" si="21"/>
        <v>278.19057948740226</v>
      </c>
      <c r="L144" s="16">
        <f t="shared" si="22"/>
        <v>2.372885590582291E-2</v>
      </c>
      <c r="M144" s="18">
        <f t="shared" si="23"/>
        <v>937.89799421095915</v>
      </c>
      <c r="N144" s="16">
        <f t="shared" si="24"/>
        <v>0.08</v>
      </c>
      <c r="O144" s="18">
        <f t="shared" si="28"/>
        <v>25326.291447843596</v>
      </c>
      <c r="P144" s="18">
        <f t="shared" si="29"/>
        <v>143710.0202962287</v>
      </c>
      <c r="Q144" s="18">
        <f t="shared" si="25"/>
        <v>140406.50855215648</v>
      </c>
      <c r="R144" s="18">
        <f t="shared" si="26"/>
        <v>169036.3117440723</v>
      </c>
    </row>
    <row r="145" spans="7:18" x14ac:dyDescent="0.3">
      <c r="G145">
        <v>140</v>
      </c>
      <c r="H145" s="17">
        <v>49096</v>
      </c>
      <c r="I145" s="18">
        <f t="shared" si="27"/>
        <v>140406.50855215648</v>
      </c>
      <c r="J145" s="18">
        <f t="shared" si="20"/>
        <v>1216.0885736983614</v>
      </c>
      <c r="K145" s="18">
        <f t="shared" si="21"/>
        <v>280.04518335065154</v>
      </c>
      <c r="L145" s="16">
        <f t="shared" si="22"/>
        <v>2.3934376225582775E-2</v>
      </c>
      <c r="M145" s="18">
        <f t="shared" si="23"/>
        <v>936.04339034770987</v>
      </c>
      <c r="N145" s="16">
        <f t="shared" si="24"/>
        <v>0.08</v>
      </c>
      <c r="O145" s="18">
        <f t="shared" si="28"/>
        <v>25606.336631194248</v>
      </c>
      <c r="P145" s="18">
        <f t="shared" si="29"/>
        <v>144646.06368657641</v>
      </c>
      <c r="Q145" s="18">
        <f t="shared" si="25"/>
        <v>140126.46336880582</v>
      </c>
      <c r="R145" s="18">
        <f t="shared" si="26"/>
        <v>170252.40031777066</v>
      </c>
    </row>
    <row r="146" spans="7:18" x14ac:dyDescent="0.3">
      <c r="G146">
        <v>141</v>
      </c>
      <c r="H146" s="17">
        <v>49126</v>
      </c>
      <c r="I146" s="18">
        <f t="shared" si="27"/>
        <v>140126.46336880582</v>
      </c>
      <c r="J146" s="18">
        <f t="shared" si="20"/>
        <v>1216.0885736983614</v>
      </c>
      <c r="K146" s="18">
        <f t="shared" si="21"/>
        <v>281.91215123965583</v>
      </c>
      <c r="L146" s="16">
        <f t="shared" si="22"/>
        <v>2.4142090890941319E-2</v>
      </c>
      <c r="M146" s="18">
        <f t="shared" si="23"/>
        <v>934.17642245870559</v>
      </c>
      <c r="N146" s="16">
        <f t="shared" si="24"/>
        <v>0.08</v>
      </c>
      <c r="O146" s="18">
        <f t="shared" si="28"/>
        <v>25888.248782433904</v>
      </c>
      <c r="P146" s="18">
        <f t="shared" si="29"/>
        <v>145580.2401090351</v>
      </c>
      <c r="Q146" s="18">
        <f t="shared" si="25"/>
        <v>139844.55121756616</v>
      </c>
      <c r="R146" s="18">
        <f t="shared" si="26"/>
        <v>171468.48889146902</v>
      </c>
    </row>
    <row r="147" spans="7:18" x14ac:dyDescent="0.3">
      <c r="G147">
        <v>142</v>
      </c>
      <c r="H147" s="17">
        <v>49157</v>
      </c>
      <c r="I147" s="18">
        <f t="shared" si="27"/>
        <v>139844.55121756616</v>
      </c>
      <c r="J147" s="18">
        <f t="shared" si="20"/>
        <v>1216.0885736983614</v>
      </c>
      <c r="K147" s="18">
        <f t="shared" si="21"/>
        <v>283.79156558125362</v>
      </c>
      <c r="L147" s="16">
        <f t="shared" si="22"/>
        <v>2.4352030574840672E-2</v>
      </c>
      <c r="M147" s="18">
        <f t="shared" si="23"/>
        <v>932.29700811710779</v>
      </c>
      <c r="N147" s="16">
        <f t="shared" si="24"/>
        <v>0.08</v>
      </c>
      <c r="O147" s="18">
        <f t="shared" si="28"/>
        <v>26172.040348015158</v>
      </c>
      <c r="P147" s="18">
        <f t="shared" si="29"/>
        <v>146512.53711715221</v>
      </c>
      <c r="Q147" s="18">
        <f t="shared" si="25"/>
        <v>139560.7596519849</v>
      </c>
      <c r="R147" s="18">
        <f t="shared" si="26"/>
        <v>172684.57746516739</v>
      </c>
    </row>
    <row r="148" spans="7:18" x14ac:dyDescent="0.3">
      <c r="G148">
        <v>143</v>
      </c>
      <c r="H148" s="17">
        <v>49188</v>
      </c>
      <c r="I148" s="18">
        <f t="shared" si="27"/>
        <v>139560.7596519849</v>
      </c>
      <c r="J148" s="18">
        <f t="shared" si="20"/>
        <v>1216.0885736983614</v>
      </c>
      <c r="K148" s="18">
        <f t="shared" si="21"/>
        <v>285.68350935179535</v>
      </c>
      <c r="L148" s="16">
        <f t="shared" si="22"/>
        <v>2.4564226511594421E-2</v>
      </c>
      <c r="M148" s="18">
        <f t="shared" si="23"/>
        <v>930.40506434656606</v>
      </c>
      <c r="N148" s="16">
        <f t="shared" si="24"/>
        <v>0.08</v>
      </c>
      <c r="O148" s="18">
        <f t="shared" si="28"/>
        <v>26457.723857366953</v>
      </c>
      <c r="P148" s="18">
        <f t="shared" si="29"/>
        <v>147442.94218149877</v>
      </c>
      <c r="Q148" s="18">
        <f t="shared" si="25"/>
        <v>139275.0761426331</v>
      </c>
      <c r="R148" s="18">
        <f t="shared" si="26"/>
        <v>173900.66603886572</v>
      </c>
    </row>
    <row r="149" spans="7:18" x14ac:dyDescent="0.3">
      <c r="G149">
        <v>144</v>
      </c>
      <c r="H149" s="17">
        <v>49218</v>
      </c>
      <c r="I149" s="18">
        <f t="shared" si="27"/>
        <v>139275.0761426331</v>
      </c>
      <c r="J149" s="18">
        <f t="shared" si="20"/>
        <v>1216.0885736983614</v>
      </c>
      <c r="K149" s="18">
        <f t="shared" si="21"/>
        <v>287.58806608080738</v>
      </c>
      <c r="L149" s="16">
        <f t="shared" si="22"/>
        <v>2.4778710509807397E-2</v>
      </c>
      <c r="M149" s="18">
        <f t="shared" si="23"/>
        <v>928.50050761755404</v>
      </c>
      <c r="N149" s="16">
        <f t="shared" si="24"/>
        <v>0.08</v>
      </c>
      <c r="O149" s="18">
        <f t="shared" si="28"/>
        <v>26745.31192344776</v>
      </c>
      <c r="P149" s="18">
        <f t="shared" si="29"/>
        <v>148371.44268911632</v>
      </c>
      <c r="Q149" s="18">
        <f t="shared" si="25"/>
        <v>138987.48807655228</v>
      </c>
      <c r="R149" s="18">
        <f t="shared" si="26"/>
        <v>175116.75461256408</v>
      </c>
    </row>
    <row r="150" spans="7:18" x14ac:dyDescent="0.3">
      <c r="G150">
        <v>145</v>
      </c>
      <c r="H150" s="17">
        <v>49249</v>
      </c>
      <c r="I150" s="18">
        <f t="shared" si="27"/>
        <v>138987.48807655228</v>
      </c>
      <c r="J150" s="18">
        <f t="shared" si="20"/>
        <v>1216.0885736983614</v>
      </c>
      <c r="K150" s="18">
        <f t="shared" si="21"/>
        <v>289.50531985467944</v>
      </c>
      <c r="L150" s="16">
        <f t="shared" si="22"/>
        <v>2.4995514965654241E-2</v>
      </c>
      <c r="M150" s="18">
        <f t="shared" si="23"/>
        <v>926.58325384368197</v>
      </c>
      <c r="N150" s="16">
        <f t="shared" si="24"/>
        <v>0.08</v>
      </c>
      <c r="O150" s="18">
        <f t="shared" si="28"/>
        <v>27034.817243302441</v>
      </c>
      <c r="P150" s="18">
        <f t="shared" si="29"/>
        <v>149298.02594296</v>
      </c>
      <c r="Q150" s="18">
        <f t="shared" si="25"/>
        <v>138697.9827566976</v>
      </c>
      <c r="R150" s="18">
        <f t="shared" si="26"/>
        <v>176332.84318626244</v>
      </c>
    </row>
    <row r="151" spans="7:18" x14ac:dyDescent="0.3">
      <c r="G151">
        <v>146</v>
      </c>
      <c r="H151" s="17">
        <v>49279</v>
      </c>
      <c r="I151" s="18">
        <f t="shared" si="27"/>
        <v>138697.9827566976</v>
      </c>
      <c r="J151" s="18">
        <f t="shared" si="20"/>
        <v>1216.0885736983614</v>
      </c>
      <c r="K151" s="18">
        <f t="shared" si="21"/>
        <v>291.43535532037731</v>
      </c>
      <c r="L151" s="16">
        <f t="shared" si="22"/>
        <v>2.5214672876528552E-2</v>
      </c>
      <c r="M151" s="18">
        <f t="shared" si="23"/>
        <v>924.6532183779841</v>
      </c>
      <c r="N151" s="16">
        <f t="shared" si="24"/>
        <v>0.08</v>
      </c>
      <c r="O151" s="18">
        <f t="shared" si="28"/>
        <v>27326.252598622817</v>
      </c>
      <c r="P151" s="18">
        <f t="shared" si="29"/>
        <v>150222.67916133799</v>
      </c>
      <c r="Q151" s="18">
        <f t="shared" si="25"/>
        <v>138406.54740137723</v>
      </c>
      <c r="R151" s="18">
        <f t="shared" si="26"/>
        <v>177548.9317599608</v>
      </c>
    </row>
    <row r="152" spans="7:18" x14ac:dyDescent="0.3">
      <c r="G152">
        <v>147</v>
      </c>
      <c r="H152" s="17">
        <v>49310</v>
      </c>
      <c r="I152" s="18">
        <f t="shared" si="27"/>
        <v>138406.54740137723</v>
      </c>
      <c r="J152" s="18">
        <f t="shared" si="20"/>
        <v>1216.0885736983614</v>
      </c>
      <c r="K152" s="18">
        <f t="shared" si="21"/>
        <v>293.3782576891798</v>
      </c>
      <c r="L152" s="16">
        <f t="shared" si="22"/>
        <v>2.5436217855074723E-2</v>
      </c>
      <c r="M152" s="18">
        <f t="shared" si="23"/>
        <v>922.71031600918161</v>
      </c>
      <c r="N152" s="16">
        <f t="shared" si="24"/>
        <v>0.08</v>
      </c>
      <c r="O152" s="18">
        <f t="shared" si="28"/>
        <v>27619.630856311996</v>
      </c>
      <c r="P152" s="18">
        <f t="shared" si="29"/>
        <v>151145.38947734717</v>
      </c>
      <c r="Q152" s="18">
        <f t="shared" si="25"/>
        <v>138113.16914368805</v>
      </c>
      <c r="R152" s="18">
        <f t="shared" si="26"/>
        <v>178765.02033365917</v>
      </c>
    </row>
    <row r="153" spans="7:18" x14ac:dyDescent="0.3">
      <c r="G153">
        <v>148</v>
      </c>
      <c r="H153" s="17">
        <v>49341</v>
      </c>
      <c r="I153" s="18">
        <f t="shared" si="27"/>
        <v>138113.16914368805</v>
      </c>
      <c r="J153" s="18">
        <f t="shared" si="20"/>
        <v>1216.0885736983614</v>
      </c>
      <c r="K153" s="18">
        <f t="shared" si="21"/>
        <v>295.33411274044101</v>
      </c>
      <c r="L153" s="16">
        <f t="shared" si="22"/>
        <v>2.5660184143615084E-2</v>
      </c>
      <c r="M153" s="18">
        <f t="shared" si="23"/>
        <v>920.7544609579204</v>
      </c>
      <c r="N153" s="16">
        <f t="shared" si="24"/>
        <v>0.08</v>
      </c>
      <c r="O153" s="18">
        <f t="shared" si="28"/>
        <v>27914.964969052438</v>
      </c>
      <c r="P153" s="18">
        <f t="shared" si="29"/>
        <v>152066.14393830509</v>
      </c>
      <c r="Q153" s="18">
        <f t="shared" si="25"/>
        <v>137817.83503094761</v>
      </c>
      <c r="R153" s="18">
        <f t="shared" si="26"/>
        <v>179981.10890735753</v>
      </c>
    </row>
    <row r="154" spans="7:18" x14ac:dyDescent="0.3">
      <c r="G154">
        <v>149</v>
      </c>
      <c r="H154" s="17">
        <v>49369</v>
      </c>
      <c r="I154" s="18">
        <f t="shared" si="27"/>
        <v>137817.83503094761</v>
      </c>
      <c r="J154" s="18">
        <f t="shared" si="20"/>
        <v>1216.0885736983614</v>
      </c>
      <c r="K154" s="18">
        <f t="shared" si="21"/>
        <v>297.30300682537734</v>
      </c>
      <c r="L154" s="16">
        <f t="shared" si="22"/>
        <v>2.588660662898528E-2</v>
      </c>
      <c r="M154" s="18">
        <f t="shared" si="23"/>
        <v>918.78556687298408</v>
      </c>
      <c r="N154" s="16">
        <f t="shared" si="24"/>
        <v>0.08</v>
      </c>
      <c r="O154" s="18">
        <f t="shared" si="28"/>
        <v>28212.267975877814</v>
      </c>
      <c r="P154" s="18">
        <f t="shared" si="29"/>
        <v>152984.92950517806</v>
      </c>
      <c r="Q154" s="18">
        <f t="shared" si="25"/>
        <v>137520.53202412222</v>
      </c>
      <c r="R154" s="18">
        <f t="shared" si="26"/>
        <v>181197.19748105589</v>
      </c>
    </row>
    <row r="155" spans="7:18" x14ac:dyDescent="0.3">
      <c r="G155">
        <v>150</v>
      </c>
      <c r="H155" s="17">
        <v>49400</v>
      </c>
      <c r="I155" s="18">
        <f t="shared" si="27"/>
        <v>137520.53202412222</v>
      </c>
      <c r="J155" s="18">
        <f t="shared" si="20"/>
        <v>1216.0885736983614</v>
      </c>
      <c r="K155" s="18">
        <f t="shared" si="21"/>
        <v>299.28502687087985</v>
      </c>
      <c r="L155" s="16">
        <f t="shared" si="22"/>
        <v>2.6115520857791577E-2</v>
      </c>
      <c r="M155" s="18">
        <f t="shared" si="23"/>
        <v>916.80354682748157</v>
      </c>
      <c r="N155" s="16">
        <f t="shared" si="24"/>
        <v>0.08</v>
      </c>
      <c r="O155" s="18">
        <f t="shared" si="28"/>
        <v>28511.553002748693</v>
      </c>
      <c r="P155" s="18">
        <f t="shared" si="29"/>
        <v>153901.73305200555</v>
      </c>
      <c r="Q155" s="18">
        <f t="shared" si="25"/>
        <v>137221.24699725135</v>
      </c>
      <c r="R155" s="18">
        <f t="shared" si="26"/>
        <v>182413.28605475425</v>
      </c>
    </row>
    <row r="156" spans="7:18" x14ac:dyDescent="0.3">
      <c r="G156">
        <v>151</v>
      </c>
      <c r="H156" s="17">
        <v>49430</v>
      </c>
      <c r="I156" s="18">
        <f t="shared" si="27"/>
        <v>137221.24699725135</v>
      </c>
      <c r="J156" s="18">
        <f t="shared" si="20"/>
        <v>1216.0885736983614</v>
      </c>
      <c r="K156" s="18">
        <f t="shared" si="21"/>
        <v>301.28026038335236</v>
      </c>
      <c r="L156" s="16">
        <f t="shared" si="22"/>
        <v>2.6346963052104072E-2</v>
      </c>
      <c r="M156" s="18">
        <f t="shared" si="23"/>
        <v>914.80831331500906</v>
      </c>
      <c r="N156" s="16">
        <f t="shared" si="24"/>
        <v>0.08</v>
      </c>
      <c r="O156" s="18">
        <f t="shared" si="28"/>
        <v>28812.833263132045</v>
      </c>
      <c r="P156" s="18">
        <f t="shared" si="29"/>
        <v>154816.54136532056</v>
      </c>
      <c r="Q156" s="18">
        <f t="shared" si="25"/>
        <v>136919.96673686799</v>
      </c>
      <c r="R156" s="18">
        <f t="shared" si="26"/>
        <v>183629.37462845261</v>
      </c>
    </row>
    <row r="157" spans="7:18" x14ac:dyDescent="0.3">
      <c r="G157">
        <v>152</v>
      </c>
      <c r="H157" s="17">
        <v>49461</v>
      </c>
      <c r="I157" s="18">
        <f t="shared" si="27"/>
        <v>136919.96673686799</v>
      </c>
      <c r="J157" s="18">
        <f t="shared" si="20"/>
        <v>1216.0885736983614</v>
      </c>
      <c r="K157" s="18">
        <f t="shared" si="21"/>
        <v>303.28879545257473</v>
      </c>
      <c r="L157" s="16">
        <f t="shared" si="22"/>
        <v>2.6580970125600463E-2</v>
      </c>
      <c r="M157" s="18">
        <f t="shared" si="23"/>
        <v>912.79977824578668</v>
      </c>
      <c r="N157" s="16">
        <f t="shared" si="24"/>
        <v>0.08</v>
      </c>
      <c r="O157" s="18">
        <f t="shared" si="28"/>
        <v>29116.12205858462</v>
      </c>
      <c r="P157" s="18">
        <f t="shared" si="29"/>
        <v>155729.34114356636</v>
      </c>
      <c r="Q157" s="18">
        <f t="shared" si="25"/>
        <v>136616.67794141543</v>
      </c>
      <c r="R157" s="18">
        <f t="shared" si="26"/>
        <v>184845.46320215098</v>
      </c>
    </row>
    <row r="158" spans="7:18" x14ac:dyDescent="0.3">
      <c r="G158">
        <v>153</v>
      </c>
      <c r="H158" s="17">
        <v>49491</v>
      </c>
      <c r="I158" s="18">
        <f t="shared" si="27"/>
        <v>136616.67794141543</v>
      </c>
      <c r="J158" s="18">
        <f t="shared" si="20"/>
        <v>1216.0885736983614</v>
      </c>
      <c r="K158" s="18">
        <f t="shared" si="21"/>
        <v>305.31072075559177</v>
      </c>
      <c r="L158" s="16">
        <f t="shared" si="22"/>
        <v>2.6817579700175391E-2</v>
      </c>
      <c r="M158" s="18">
        <f t="shared" si="23"/>
        <v>910.77785294276964</v>
      </c>
      <c r="N158" s="16">
        <f t="shared" si="24"/>
        <v>0.08</v>
      </c>
      <c r="O158" s="18">
        <f t="shared" si="28"/>
        <v>29421.432779340212</v>
      </c>
      <c r="P158" s="18">
        <f t="shared" si="29"/>
        <v>156640.11899650912</v>
      </c>
      <c r="Q158" s="18">
        <f t="shared" si="25"/>
        <v>136311.36722065983</v>
      </c>
      <c r="R158" s="18">
        <f t="shared" si="26"/>
        <v>186061.55177584934</v>
      </c>
    </row>
    <row r="159" spans="7:18" x14ac:dyDescent="0.3">
      <c r="G159">
        <v>154</v>
      </c>
      <c r="H159" s="17">
        <v>49522</v>
      </c>
      <c r="I159" s="18">
        <f t="shared" si="27"/>
        <v>136311.36722065983</v>
      </c>
      <c r="J159" s="18">
        <f t="shared" si="20"/>
        <v>1216.0885736983614</v>
      </c>
      <c r="K159" s="18">
        <f t="shared" si="21"/>
        <v>307.34612556062916</v>
      </c>
      <c r="L159" s="16">
        <f t="shared" si="22"/>
        <v>2.7056830123031443E-2</v>
      </c>
      <c r="M159" s="18">
        <f t="shared" si="23"/>
        <v>908.74244813773225</v>
      </c>
      <c r="N159" s="16">
        <f t="shared" si="24"/>
        <v>0.08</v>
      </c>
      <c r="O159" s="18">
        <f t="shared" si="28"/>
        <v>29728.778904900842</v>
      </c>
      <c r="P159" s="18">
        <f t="shared" si="29"/>
        <v>157548.86144464684</v>
      </c>
      <c r="Q159" s="18">
        <f t="shared" si="25"/>
        <v>136004.02109509919</v>
      </c>
      <c r="R159" s="18">
        <f t="shared" si="26"/>
        <v>187277.64034954767</v>
      </c>
    </row>
    <row r="160" spans="7:18" x14ac:dyDescent="0.3">
      <c r="G160">
        <v>155</v>
      </c>
      <c r="H160" s="17">
        <v>49553</v>
      </c>
      <c r="I160" s="18">
        <f t="shared" si="27"/>
        <v>136004.02109509919</v>
      </c>
      <c r="J160" s="18">
        <f t="shared" si="20"/>
        <v>1216.0885736983614</v>
      </c>
      <c r="K160" s="18">
        <f t="shared" si="21"/>
        <v>309.39509973103338</v>
      </c>
      <c r="L160" s="16">
        <f t="shared" si="22"/>
        <v>2.7298760484267673E-2</v>
      </c>
      <c r="M160" s="18">
        <f t="shared" si="23"/>
        <v>906.69347396732803</v>
      </c>
      <c r="N160" s="16">
        <f t="shared" si="24"/>
        <v>0.08</v>
      </c>
      <c r="O160" s="18">
        <f t="shared" si="28"/>
        <v>30038.174004631877</v>
      </c>
      <c r="P160" s="18">
        <f t="shared" si="29"/>
        <v>158455.55491861416</v>
      </c>
      <c r="Q160" s="18">
        <f t="shared" si="25"/>
        <v>135694.62599536814</v>
      </c>
      <c r="R160" s="18">
        <f t="shared" si="26"/>
        <v>188493.72892324603</v>
      </c>
    </row>
    <row r="161" spans="7:18" x14ac:dyDescent="0.3">
      <c r="G161">
        <v>156</v>
      </c>
      <c r="H161" s="17">
        <v>49583</v>
      </c>
      <c r="I161" s="18">
        <f t="shared" si="27"/>
        <v>135694.62599536814</v>
      </c>
      <c r="J161" s="18">
        <f t="shared" si="20"/>
        <v>1216.0885736983614</v>
      </c>
      <c r="K161" s="18">
        <f t="shared" si="21"/>
        <v>311.45773372924043</v>
      </c>
      <c r="L161" s="16">
        <f t="shared" si="22"/>
        <v>2.7543410634983157E-2</v>
      </c>
      <c r="M161" s="18">
        <f t="shared" si="23"/>
        <v>904.63083996912098</v>
      </c>
      <c r="N161" s="16">
        <f t="shared" si="24"/>
        <v>0.08</v>
      </c>
      <c r="O161" s="18">
        <f t="shared" si="28"/>
        <v>30349.631738361117</v>
      </c>
      <c r="P161" s="18">
        <f t="shared" si="29"/>
        <v>159360.18575858328</v>
      </c>
      <c r="Q161" s="18">
        <f t="shared" si="25"/>
        <v>135383.1682616389</v>
      </c>
      <c r="R161" s="18">
        <f t="shared" si="26"/>
        <v>189709.81749694439</v>
      </c>
    </row>
    <row r="162" spans="7:18" x14ac:dyDescent="0.3">
      <c r="G162">
        <v>157</v>
      </c>
      <c r="H162" s="17">
        <v>49614</v>
      </c>
      <c r="I162" s="18">
        <f t="shared" si="27"/>
        <v>135383.1682616389</v>
      </c>
      <c r="J162" s="18">
        <f t="shared" si="20"/>
        <v>1216.0885736983614</v>
      </c>
      <c r="K162" s="18">
        <f t="shared" si="21"/>
        <v>313.53411862076871</v>
      </c>
      <c r="L162" s="16">
        <f t="shared" si="22"/>
        <v>2.779082120591287E-2</v>
      </c>
      <c r="M162" s="18">
        <f t="shared" si="23"/>
        <v>902.55445507759271</v>
      </c>
      <c r="N162" s="16">
        <f t="shared" si="24"/>
        <v>0.08</v>
      </c>
      <c r="O162" s="18">
        <f t="shared" si="28"/>
        <v>30663.165856981886</v>
      </c>
      <c r="P162" s="18">
        <f t="shared" si="29"/>
        <v>160262.74021366087</v>
      </c>
      <c r="Q162" s="18">
        <f t="shared" si="25"/>
        <v>135069.63414301813</v>
      </c>
      <c r="R162" s="18">
        <f t="shared" si="26"/>
        <v>190925.90607064276</v>
      </c>
    </row>
    <row r="163" spans="7:18" x14ac:dyDescent="0.3">
      <c r="G163">
        <v>158</v>
      </c>
      <c r="H163" s="17">
        <v>49644</v>
      </c>
      <c r="I163" s="18">
        <f t="shared" si="27"/>
        <v>135069.63414301813</v>
      </c>
      <c r="J163" s="18">
        <f t="shared" si="20"/>
        <v>1216.0885736983614</v>
      </c>
      <c r="K163" s="18">
        <f t="shared" si="21"/>
        <v>315.62434607824048</v>
      </c>
      <c r="L163" s="16">
        <f t="shared" si="22"/>
        <v>2.8041033626614469E-2</v>
      </c>
      <c r="M163" s="18">
        <f t="shared" si="23"/>
        <v>900.46422762012094</v>
      </c>
      <c r="N163" s="16">
        <f t="shared" si="24"/>
        <v>0.08</v>
      </c>
      <c r="O163" s="18">
        <f t="shared" si="28"/>
        <v>30978.790203060125</v>
      </c>
      <c r="P163" s="18">
        <f t="shared" si="29"/>
        <v>161163.20444128101</v>
      </c>
      <c r="Q163" s="18">
        <f t="shared" si="25"/>
        <v>134754.00979693991</v>
      </c>
      <c r="R163" s="18">
        <f t="shared" si="26"/>
        <v>192141.99464434112</v>
      </c>
    </row>
    <row r="164" spans="7:18" x14ac:dyDescent="0.3">
      <c r="G164">
        <v>159</v>
      </c>
      <c r="H164" s="17">
        <v>49675</v>
      </c>
      <c r="I164" s="18">
        <f t="shared" si="27"/>
        <v>134754.00979693991</v>
      </c>
      <c r="J164" s="18">
        <f t="shared" si="20"/>
        <v>1216.0885736983614</v>
      </c>
      <c r="K164" s="18">
        <f t="shared" si="21"/>
        <v>317.72850838542865</v>
      </c>
      <c r="L164" s="16">
        <f t="shared" si="22"/>
        <v>2.8294090145224951E-2</v>
      </c>
      <c r="M164" s="18">
        <f t="shared" si="23"/>
        <v>898.36006531293276</v>
      </c>
      <c r="N164" s="16">
        <f t="shared" si="24"/>
        <v>0.08</v>
      </c>
      <c r="O164" s="18">
        <f t="shared" si="28"/>
        <v>31296.518711445555</v>
      </c>
      <c r="P164" s="18">
        <f t="shared" si="29"/>
        <v>162061.56450659395</v>
      </c>
      <c r="Q164" s="18">
        <f t="shared" si="25"/>
        <v>134436.28128855448</v>
      </c>
      <c r="R164" s="18">
        <f t="shared" si="26"/>
        <v>193358.08321803951</v>
      </c>
    </row>
    <row r="165" spans="7:18" x14ac:dyDescent="0.3">
      <c r="G165">
        <v>160</v>
      </c>
      <c r="H165" s="17">
        <v>49706</v>
      </c>
      <c r="I165" s="18">
        <f t="shared" si="27"/>
        <v>134436.28128855448</v>
      </c>
      <c r="J165" s="18">
        <f t="shared" si="20"/>
        <v>1216.0885736983614</v>
      </c>
      <c r="K165" s="18">
        <f t="shared" si="21"/>
        <v>319.84669844133145</v>
      </c>
      <c r="L165" s="16">
        <f t="shared" si="22"/>
        <v>2.8550033848807058E-2</v>
      </c>
      <c r="M165" s="18">
        <f t="shared" si="23"/>
        <v>896.24187525702996</v>
      </c>
      <c r="N165" s="16">
        <f t="shared" si="24"/>
        <v>0.08</v>
      </c>
      <c r="O165" s="18">
        <f t="shared" si="28"/>
        <v>31616.365409886886</v>
      </c>
      <c r="P165" s="18">
        <f t="shared" si="29"/>
        <v>162957.80638185097</v>
      </c>
      <c r="Q165" s="18">
        <f t="shared" si="25"/>
        <v>134116.43459011315</v>
      </c>
      <c r="R165" s="18">
        <f t="shared" si="26"/>
        <v>194574.17179173784</v>
      </c>
    </row>
    <row r="166" spans="7:18" x14ac:dyDescent="0.3">
      <c r="G166">
        <v>161</v>
      </c>
      <c r="H166" s="17">
        <v>49735</v>
      </c>
      <c r="I166" s="18">
        <f t="shared" si="27"/>
        <v>134116.43459011315</v>
      </c>
      <c r="J166" s="18">
        <f t="shared" si="20"/>
        <v>1216.0885736983614</v>
      </c>
      <c r="K166" s="18">
        <f t="shared" si="21"/>
        <v>321.97900976427377</v>
      </c>
      <c r="L166" s="16">
        <f t="shared" si="22"/>
        <v>2.8808908684306127E-2</v>
      </c>
      <c r="M166" s="18">
        <f t="shared" si="23"/>
        <v>894.10956393408765</v>
      </c>
      <c r="N166" s="16">
        <f t="shared" si="24"/>
        <v>0.08</v>
      </c>
      <c r="O166" s="18">
        <f t="shared" si="28"/>
        <v>31938.344419651159</v>
      </c>
      <c r="P166" s="18">
        <f t="shared" si="29"/>
        <v>163851.91594578506</v>
      </c>
      <c r="Q166" s="18">
        <f t="shared" si="25"/>
        <v>133794.45558034888</v>
      </c>
      <c r="R166" s="18">
        <f t="shared" si="26"/>
        <v>195790.26036543623</v>
      </c>
    </row>
    <row r="167" spans="7:18" x14ac:dyDescent="0.3">
      <c r="G167">
        <v>162</v>
      </c>
      <c r="H167" s="17">
        <v>49766</v>
      </c>
      <c r="I167" s="18">
        <f t="shared" si="27"/>
        <v>133794.45558034888</v>
      </c>
      <c r="J167" s="18">
        <f t="shared" si="20"/>
        <v>1216.0885736983614</v>
      </c>
      <c r="K167" s="18">
        <f t="shared" si="21"/>
        <v>324.12553649603547</v>
      </c>
      <c r="L167" s="16">
        <f t="shared" si="22"/>
        <v>2.9070759480138719E-2</v>
      </c>
      <c r="M167" s="18">
        <f t="shared" si="23"/>
        <v>891.96303720232595</v>
      </c>
      <c r="N167" s="16">
        <f t="shared" si="24"/>
        <v>0.08</v>
      </c>
      <c r="O167" s="18">
        <f t="shared" si="28"/>
        <v>32262.469956147193</v>
      </c>
      <c r="P167" s="18">
        <f t="shared" si="29"/>
        <v>164743.8789829874</v>
      </c>
      <c r="Q167" s="18">
        <f t="shared" si="25"/>
        <v>133470.33004385285</v>
      </c>
      <c r="R167" s="18">
        <f t="shared" si="26"/>
        <v>197006.34893913459</v>
      </c>
    </row>
    <row r="168" spans="7:18" x14ac:dyDescent="0.3">
      <c r="G168">
        <v>163</v>
      </c>
      <c r="H168" s="17">
        <v>49796</v>
      </c>
      <c r="I168" s="18">
        <f t="shared" si="27"/>
        <v>133470.33004385285</v>
      </c>
      <c r="J168" s="18">
        <f t="shared" si="20"/>
        <v>1216.0885736983614</v>
      </c>
      <c r="K168" s="18">
        <f t="shared" si="21"/>
        <v>326.28637340600903</v>
      </c>
      <c r="L168" s="16">
        <f t="shared" si="22"/>
        <v>2.9335631968435659E-2</v>
      </c>
      <c r="M168" s="18">
        <f t="shared" si="23"/>
        <v>889.80220029235238</v>
      </c>
      <c r="N168" s="16">
        <f t="shared" si="24"/>
        <v>0.08</v>
      </c>
      <c r="O168" s="18">
        <f t="shared" si="28"/>
        <v>32588.756329553202</v>
      </c>
      <c r="P168" s="18">
        <f t="shared" si="29"/>
        <v>165633.68118327975</v>
      </c>
      <c r="Q168" s="18">
        <f t="shared" si="25"/>
        <v>133144.04367044684</v>
      </c>
      <c r="R168" s="18">
        <f t="shared" si="26"/>
        <v>198222.43751283296</v>
      </c>
    </row>
    <row r="169" spans="7:18" x14ac:dyDescent="0.3">
      <c r="G169">
        <v>164</v>
      </c>
      <c r="H169" s="17">
        <v>49827</v>
      </c>
      <c r="I169" s="18">
        <f t="shared" si="27"/>
        <v>133144.04367044684</v>
      </c>
      <c r="J169" s="18">
        <f t="shared" si="20"/>
        <v>1216.0885736983614</v>
      </c>
      <c r="K169" s="18">
        <f t="shared" si="21"/>
        <v>328.46161589538235</v>
      </c>
      <c r="L169" s="16">
        <f t="shared" si="22"/>
        <v>2.9603572807962324E-2</v>
      </c>
      <c r="M169" s="18">
        <f t="shared" si="23"/>
        <v>887.62695780297906</v>
      </c>
      <c r="N169" s="16">
        <f t="shared" si="24"/>
        <v>0.08</v>
      </c>
      <c r="O169" s="18">
        <f t="shared" si="28"/>
        <v>32917.217945448581</v>
      </c>
      <c r="P169" s="18">
        <f t="shared" si="29"/>
        <v>166521.30814108273</v>
      </c>
      <c r="Q169" s="18">
        <f t="shared" si="25"/>
        <v>132815.58205455146</v>
      </c>
      <c r="R169" s="18">
        <f t="shared" si="26"/>
        <v>199438.52608653132</v>
      </c>
    </row>
    <row r="170" spans="7:18" x14ac:dyDescent="0.3">
      <c r="G170">
        <v>165</v>
      </c>
      <c r="H170" s="17">
        <v>49857</v>
      </c>
      <c r="I170" s="18">
        <f t="shared" si="27"/>
        <v>132815.58205455146</v>
      </c>
      <c r="J170" s="18">
        <f t="shared" si="20"/>
        <v>1216.0885736983614</v>
      </c>
      <c r="K170" s="18">
        <f t="shared" si="21"/>
        <v>330.65136000135169</v>
      </c>
      <c r="L170" s="16">
        <f t="shared" si="22"/>
        <v>2.9874629607740726E-2</v>
      </c>
      <c r="M170" s="18">
        <f t="shared" si="23"/>
        <v>885.43721369700972</v>
      </c>
      <c r="N170" s="16">
        <f t="shared" si="24"/>
        <v>0.08</v>
      </c>
      <c r="O170" s="18">
        <f t="shared" si="28"/>
        <v>33247.869305449931</v>
      </c>
      <c r="P170" s="18">
        <f t="shared" si="29"/>
        <v>167406.74535477973</v>
      </c>
      <c r="Q170" s="18">
        <f t="shared" si="25"/>
        <v>132484.9306945501</v>
      </c>
      <c r="R170" s="18">
        <f t="shared" si="26"/>
        <v>200654.61466022965</v>
      </c>
    </row>
    <row r="171" spans="7:18" x14ac:dyDescent="0.3">
      <c r="G171">
        <v>166</v>
      </c>
      <c r="H171" s="17">
        <v>49888</v>
      </c>
      <c r="I171" s="18">
        <f t="shared" si="27"/>
        <v>132484.9306945501</v>
      </c>
      <c r="J171" s="18">
        <f t="shared" si="20"/>
        <v>1216.0885736983614</v>
      </c>
      <c r="K171" s="18">
        <f t="shared" si="21"/>
        <v>332.85570240136065</v>
      </c>
      <c r="L171" s="16">
        <f t="shared" si="22"/>
        <v>3.0148850951398319E-2</v>
      </c>
      <c r="M171" s="18">
        <f t="shared" si="23"/>
        <v>883.23287129700077</v>
      </c>
      <c r="N171" s="16">
        <f t="shared" si="24"/>
        <v>0.08</v>
      </c>
      <c r="O171" s="18">
        <f t="shared" si="28"/>
        <v>33580.725007851288</v>
      </c>
      <c r="P171" s="18">
        <f t="shared" si="29"/>
        <v>168289.97822607672</v>
      </c>
      <c r="Q171" s="18">
        <f t="shared" si="25"/>
        <v>132152.07499214873</v>
      </c>
      <c r="R171" s="18">
        <f t="shared" si="26"/>
        <v>201870.70323392801</v>
      </c>
    </row>
    <row r="172" spans="7:18" x14ac:dyDescent="0.3">
      <c r="G172">
        <v>167</v>
      </c>
      <c r="H172" s="17">
        <v>49919</v>
      </c>
      <c r="I172" s="18">
        <f t="shared" si="27"/>
        <v>132152.07499214873</v>
      </c>
      <c r="J172" s="18">
        <f t="shared" si="20"/>
        <v>1216.0885736983614</v>
      </c>
      <c r="K172" s="18">
        <f t="shared" si="21"/>
        <v>335.07474041736987</v>
      </c>
      <c r="L172" s="16">
        <f t="shared" si="22"/>
        <v>3.0426286422270125E-2</v>
      </c>
      <c r="M172" s="18">
        <f t="shared" si="23"/>
        <v>881.01383328099155</v>
      </c>
      <c r="N172" s="16">
        <f t="shared" si="24"/>
        <v>0.08</v>
      </c>
      <c r="O172" s="18">
        <f t="shared" si="28"/>
        <v>33915.799748268655</v>
      </c>
      <c r="P172" s="18">
        <f t="shared" si="29"/>
        <v>169170.99205935773</v>
      </c>
      <c r="Q172" s="18">
        <f t="shared" si="25"/>
        <v>131817.00025173137</v>
      </c>
      <c r="R172" s="18">
        <f t="shared" si="26"/>
        <v>203086.79180762637</v>
      </c>
    </row>
    <row r="173" spans="7:18" x14ac:dyDescent="0.3">
      <c r="G173">
        <v>168</v>
      </c>
      <c r="H173" s="17">
        <v>49949</v>
      </c>
      <c r="I173" s="18">
        <f t="shared" si="27"/>
        <v>131817.00025173137</v>
      </c>
      <c r="J173" s="18">
        <f t="shared" si="20"/>
        <v>1216.0885736983614</v>
      </c>
      <c r="K173" s="18">
        <f t="shared" si="21"/>
        <v>337.30857202015227</v>
      </c>
      <c r="L173" s="16">
        <f t="shared" si="22"/>
        <v>3.0706986629280862E-2</v>
      </c>
      <c r="M173" s="18">
        <f t="shared" si="23"/>
        <v>878.78000167820915</v>
      </c>
      <c r="N173" s="16">
        <f t="shared" si="24"/>
        <v>0.08</v>
      </c>
      <c r="O173" s="18">
        <f t="shared" si="28"/>
        <v>34253.108320288804</v>
      </c>
      <c r="P173" s="18">
        <f t="shared" si="29"/>
        <v>170049.77206103594</v>
      </c>
      <c r="Q173" s="18">
        <f t="shared" si="25"/>
        <v>131479.69167971122</v>
      </c>
      <c r="R173" s="18">
        <f t="shared" si="26"/>
        <v>204302.88038132474</v>
      </c>
    </row>
    <row r="174" spans="7:18" x14ac:dyDescent="0.3">
      <c r="G174">
        <v>169</v>
      </c>
      <c r="H174" s="17">
        <v>49980</v>
      </c>
      <c r="I174" s="18">
        <f t="shared" si="27"/>
        <v>131479.69167971122</v>
      </c>
      <c r="J174" s="18">
        <f t="shared" si="20"/>
        <v>1216.0885736983614</v>
      </c>
      <c r="K174" s="18">
        <f t="shared" si="21"/>
        <v>339.55729583361983</v>
      </c>
      <c r="L174" s="16">
        <f t="shared" si="22"/>
        <v>3.0991003233636329E-2</v>
      </c>
      <c r="M174" s="18">
        <f t="shared" si="23"/>
        <v>876.53127786474158</v>
      </c>
      <c r="N174" s="16">
        <f t="shared" si="24"/>
        <v>0.08</v>
      </c>
      <c r="O174" s="18">
        <f t="shared" si="28"/>
        <v>34592.665616122424</v>
      </c>
      <c r="P174" s="18">
        <f t="shared" si="29"/>
        <v>170926.30333890067</v>
      </c>
      <c r="Q174" s="18">
        <f t="shared" si="25"/>
        <v>131140.13438387759</v>
      </c>
      <c r="R174" s="18">
        <f t="shared" si="26"/>
        <v>205518.9689550231</v>
      </c>
    </row>
    <row r="175" spans="7:18" x14ac:dyDescent="0.3">
      <c r="G175">
        <v>170</v>
      </c>
      <c r="H175" s="17">
        <v>50010</v>
      </c>
      <c r="I175" s="18">
        <f t="shared" si="27"/>
        <v>131140.13438387759</v>
      </c>
      <c r="J175" s="18">
        <f t="shared" si="20"/>
        <v>1216.0885736983614</v>
      </c>
      <c r="K175" s="18">
        <f t="shared" si="21"/>
        <v>341.82101113917736</v>
      </c>
      <c r="L175" s="16">
        <f t="shared" si="22"/>
        <v>3.1278388976353003E-2</v>
      </c>
      <c r="M175" s="18">
        <f t="shared" si="23"/>
        <v>874.26756255918406</v>
      </c>
      <c r="N175" s="16">
        <f t="shared" si="24"/>
        <v>0.08</v>
      </c>
      <c r="O175" s="18">
        <f t="shared" si="28"/>
        <v>34934.486627261598</v>
      </c>
      <c r="P175" s="18">
        <f t="shared" si="29"/>
        <v>171800.57090145987</v>
      </c>
      <c r="Q175" s="18">
        <f t="shared" si="25"/>
        <v>130798.31337273841</v>
      </c>
      <c r="R175" s="18">
        <f t="shared" si="26"/>
        <v>206735.05752872146</v>
      </c>
    </row>
    <row r="176" spans="7:18" x14ac:dyDescent="0.3">
      <c r="G176">
        <v>171</v>
      </c>
      <c r="H176" s="17">
        <v>50041</v>
      </c>
      <c r="I176" s="18">
        <f t="shared" si="27"/>
        <v>130798.31337273841</v>
      </c>
      <c r="J176" s="18">
        <f t="shared" si="20"/>
        <v>1216.0885736983614</v>
      </c>
      <c r="K176" s="18">
        <f t="shared" si="21"/>
        <v>344.09981788010532</v>
      </c>
      <c r="L176" s="16">
        <f t="shared" si="22"/>
        <v>3.1569197706657046E-2</v>
      </c>
      <c r="M176" s="18">
        <f t="shared" si="23"/>
        <v>871.9887558182561</v>
      </c>
      <c r="N176" s="16">
        <f t="shared" si="24"/>
        <v>0.08</v>
      </c>
      <c r="O176" s="18">
        <f t="shared" si="28"/>
        <v>35278.5864451417</v>
      </c>
      <c r="P176" s="18">
        <f t="shared" si="29"/>
        <v>172672.55965727812</v>
      </c>
      <c r="Q176" s="18">
        <f t="shared" si="25"/>
        <v>130454.2135548583</v>
      </c>
      <c r="R176" s="18">
        <f t="shared" si="26"/>
        <v>207951.14610241982</v>
      </c>
    </row>
    <row r="177" spans="7:18" x14ac:dyDescent="0.3">
      <c r="G177">
        <v>172</v>
      </c>
      <c r="H177" s="17">
        <v>50072</v>
      </c>
      <c r="I177" s="18">
        <f t="shared" si="27"/>
        <v>130454.2135548583</v>
      </c>
      <c r="J177" s="18">
        <f t="shared" si="20"/>
        <v>1216.0885736983614</v>
      </c>
      <c r="K177" s="18">
        <f t="shared" si="21"/>
        <v>346.39381666597262</v>
      </c>
      <c r="L177" s="16">
        <f t="shared" si="22"/>
        <v>3.1863484411284997E-2</v>
      </c>
      <c r="M177" s="18">
        <f t="shared" si="23"/>
        <v>869.69475703238879</v>
      </c>
      <c r="N177" s="16">
        <f t="shared" si="24"/>
        <v>0.08</v>
      </c>
      <c r="O177" s="18">
        <f t="shared" si="28"/>
        <v>35624.980261807672</v>
      </c>
      <c r="P177" s="18">
        <f t="shared" si="29"/>
        <v>173542.2544143105</v>
      </c>
      <c r="Q177" s="18">
        <f t="shared" si="25"/>
        <v>130107.81973819232</v>
      </c>
      <c r="R177" s="18">
        <f t="shared" si="26"/>
        <v>209167.23467611818</v>
      </c>
    </row>
    <row r="178" spans="7:18" x14ac:dyDescent="0.3">
      <c r="G178">
        <v>173</v>
      </c>
      <c r="H178" s="17">
        <v>50100</v>
      </c>
      <c r="I178" s="18">
        <f t="shared" si="27"/>
        <v>130107.81973819232</v>
      </c>
      <c r="J178" s="18">
        <f t="shared" si="20"/>
        <v>1216.0885736983614</v>
      </c>
      <c r="K178" s="18">
        <f t="shared" si="21"/>
        <v>348.70310877707925</v>
      </c>
      <c r="L178" s="16">
        <f t="shared" si="22"/>
        <v>3.2161305244719551E-2</v>
      </c>
      <c r="M178" s="18">
        <f t="shared" si="23"/>
        <v>867.38546492128216</v>
      </c>
      <c r="N178" s="16">
        <f t="shared" si="24"/>
        <v>0.08</v>
      </c>
      <c r="O178" s="18">
        <f t="shared" si="28"/>
        <v>35973.683370584753</v>
      </c>
      <c r="P178" s="18">
        <f t="shared" si="29"/>
        <v>174409.63987923178</v>
      </c>
      <c r="Q178" s="18">
        <f t="shared" si="25"/>
        <v>129759.11662941525</v>
      </c>
      <c r="R178" s="18">
        <f t="shared" si="26"/>
        <v>210383.32324981655</v>
      </c>
    </row>
    <row r="179" spans="7:18" x14ac:dyDescent="0.3">
      <c r="G179">
        <v>174</v>
      </c>
      <c r="H179" s="17">
        <v>50131</v>
      </c>
      <c r="I179" s="18">
        <f t="shared" si="27"/>
        <v>129759.11662941525</v>
      </c>
      <c r="J179" s="18">
        <f t="shared" si="20"/>
        <v>1216.0885736983614</v>
      </c>
      <c r="K179" s="18">
        <f t="shared" si="21"/>
        <v>351.02779616892633</v>
      </c>
      <c r="L179" s="16">
        <f t="shared" si="22"/>
        <v>3.2462717560395427E-2</v>
      </c>
      <c r="M179" s="18">
        <f t="shared" si="23"/>
        <v>865.06077752943509</v>
      </c>
      <c r="N179" s="16">
        <f t="shared" si="24"/>
        <v>0.08</v>
      </c>
      <c r="O179" s="18">
        <f t="shared" si="28"/>
        <v>36324.711166753681</v>
      </c>
      <c r="P179" s="18">
        <f t="shared" si="29"/>
        <v>175274.70065676121</v>
      </c>
      <c r="Q179" s="18">
        <f t="shared" si="25"/>
        <v>129408.08883324632</v>
      </c>
      <c r="R179" s="18">
        <f t="shared" si="26"/>
        <v>211599.41182351491</v>
      </c>
    </row>
    <row r="180" spans="7:18" x14ac:dyDescent="0.3">
      <c r="G180">
        <v>175</v>
      </c>
      <c r="H180" s="17">
        <v>50161</v>
      </c>
      <c r="I180" s="18">
        <f t="shared" si="27"/>
        <v>129408.08883324632</v>
      </c>
      <c r="J180" s="18">
        <f t="shared" si="20"/>
        <v>1216.0885736983614</v>
      </c>
      <c r="K180" s="18">
        <f t="shared" si="21"/>
        <v>353.36798147671925</v>
      </c>
      <c r="L180" s="16">
        <f t="shared" si="22"/>
        <v>3.2767779942912058E-2</v>
      </c>
      <c r="M180" s="18">
        <f t="shared" si="23"/>
        <v>862.72059222164216</v>
      </c>
      <c r="N180" s="16">
        <f t="shared" si="24"/>
        <v>0.08</v>
      </c>
      <c r="O180" s="18">
        <f t="shared" si="28"/>
        <v>36678.079148230398</v>
      </c>
      <c r="P180" s="18">
        <f t="shared" si="29"/>
        <v>176137.42124898286</v>
      </c>
      <c r="Q180" s="18">
        <f t="shared" si="25"/>
        <v>129054.7208517696</v>
      </c>
      <c r="R180" s="18">
        <f t="shared" si="26"/>
        <v>212815.50039721327</v>
      </c>
    </row>
    <row r="181" spans="7:18" x14ac:dyDescent="0.3">
      <c r="G181">
        <v>176</v>
      </c>
      <c r="H181" s="17">
        <v>50192</v>
      </c>
      <c r="I181" s="18">
        <f t="shared" si="27"/>
        <v>129054.7208517696</v>
      </c>
      <c r="J181" s="18">
        <f t="shared" si="20"/>
        <v>1216.0885736983614</v>
      </c>
      <c r="K181" s="18">
        <f t="shared" si="21"/>
        <v>355.72376801989742</v>
      </c>
      <c r="L181" s="16">
        <f t="shared" si="22"/>
        <v>3.3076552241290885E-2</v>
      </c>
      <c r="M181" s="18">
        <f t="shared" si="23"/>
        <v>860.36480567846399</v>
      </c>
      <c r="N181" s="16">
        <f t="shared" si="24"/>
        <v>0.08</v>
      </c>
      <c r="O181" s="18">
        <f t="shared" si="28"/>
        <v>37033.802916250293</v>
      </c>
      <c r="P181" s="18">
        <f t="shared" si="29"/>
        <v>176997.78605466132</v>
      </c>
      <c r="Q181" s="18">
        <f t="shared" si="25"/>
        <v>128698.99708374969</v>
      </c>
      <c r="R181" s="18">
        <f t="shared" si="26"/>
        <v>214031.58897091163</v>
      </c>
    </row>
    <row r="182" spans="7:18" x14ac:dyDescent="0.3">
      <c r="G182">
        <v>177</v>
      </c>
      <c r="H182" s="17">
        <v>50222</v>
      </c>
      <c r="I182" s="18">
        <f t="shared" si="27"/>
        <v>128698.99708374969</v>
      </c>
      <c r="J182" s="18">
        <f t="shared" si="20"/>
        <v>1216.0885736983614</v>
      </c>
      <c r="K182" s="18">
        <f t="shared" si="21"/>
        <v>358.09525980669673</v>
      </c>
      <c r="L182" s="16">
        <f t="shared" si="22"/>
        <v>3.3389095603317202E-2</v>
      </c>
      <c r="M182" s="18">
        <f t="shared" si="23"/>
        <v>857.99331389166468</v>
      </c>
      <c r="N182" s="16">
        <f t="shared" si="24"/>
        <v>0.08</v>
      </c>
      <c r="O182" s="18">
        <f t="shared" si="28"/>
        <v>37391.898176056988</v>
      </c>
      <c r="P182" s="18">
        <f t="shared" si="29"/>
        <v>177855.77936855299</v>
      </c>
      <c r="Q182" s="18">
        <f t="shared" si="25"/>
        <v>128340.901823943</v>
      </c>
      <c r="R182" s="18">
        <f t="shared" si="26"/>
        <v>215247.67754460999</v>
      </c>
    </row>
    <row r="183" spans="7:18" x14ac:dyDescent="0.3">
      <c r="G183">
        <v>178</v>
      </c>
      <c r="H183" s="17">
        <v>50253</v>
      </c>
      <c r="I183" s="18">
        <f t="shared" si="27"/>
        <v>128340.901823943</v>
      </c>
      <c r="J183" s="18">
        <f t="shared" si="20"/>
        <v>1216.0885736983614</v>
      </c>
      <c r="K183" s="18">
        <f t="shared" si="21"/>
        <v>360.48256153874138</v>
      </c>
      <c r="L183" s="16">
        <f t="shared" si="22"/>
        <v>3.3705472511008069E-2</v>
      </c>
      <c r="M183" s="18">
        <f t="shared" si="23"/>
        <v>855.60601215962004</v>
      </c>
      <c r="N183" s="16">
        <f t="shared" si="24"/>
        <v>0.08</v>
      </c>
      <c r="O183" s="18">
        <f t="shared" si="28"/>
        <v>37752.380737595726</v>
      </c>
      <c r="P183" s="18">
        <f t="shared" si="29"/>
        <v>178711.3853807126</v>
      </c>
      <c r="Q183" s="18">
        <f t="shared" si="25"/>
        <v>127980.41926240426</v>
      </c>
      <c r="R183" s="18">
        <f t="shared" si="26"/>
        <v>216463.76611830833</v>
      </c>
    </row>
    <row r="184" spans="7:18" x14ac:dyDescent="0.3">
      <c r="G184">
        <v>179</v>
      </c>
      <c r="H184" s="17">
        <v>50284</v>
      </c>
      <c r="I184" s="18">
        <f t="shared" si="27"/>
        <v>127980.41926240426</v>
      </c>
      <c r="J184" s="18">
        <f t="shared" si="20"/>
        <v>1216.0885736983614</v>
      </c>
      <c r="K184" s="18">
        <f t="shared" si="21"/>
        <v>362.88577861566625</v>
      </c>
      <c r="L184" s="16">
        <f t="shared" si="22"/>
        <v>3.4025746817249396E-2</v>
      </c>
      <c r="M184" s="18">
        <f t="shared" si="23"/>
        <v>853.20279508269516</v>
      </c>
      <c r="N184" s="16">
        <f t="shared" si="24"/>
        <v>0.08</v>
      </c>
      <c r="O184" s="18">
        <f t="shared" si="28"/>
        <v>38115.266516211392</v>
      </c>
      <c r="P184" s="18">
        <f t="shared" si="29"/>
        <v>179564.5881757953</v>
      </c>
      <c r="Q184" s="18">
        <f t="shared" si="25"/>
        <v>127617.53348378859</v>
      </c>
      <c r="R184" s="18">
        <f t="shared" si="26"/>
        <v>217679.85469200669</v>
      </c>
    </row>
    <row r="185" spans="7:18" x14ac:dyDescent="0.3">
      <c r="G185">
        <v>180</v>
      </c>
      <c r="H185" s="17">
        <v>50314</v>
      </c>
      <c r="I185" s="18">
        <f t="shared" si="27"/>
        <v>127617.53348378859</v>
      </c>
      <c r="J185" s="18">
        <f t="shared" si="20"/>
        <v>1216.0885736983614</v>
      </c>
      <c r="K185" s="18">
        <f t="shared" si="21"/>
        <v>365.30501713977071</v>
      </c>
      <c r="L185" s="16">
        <f t="shared" si="22"/>
        <v>3.4349983783647647E-2</v>
      </c>
      <c r="M185" s="18">
        <f t="shared" si="23"/>
        <v>850.7835565585907</v>
      </c>
      <c r="N185" s="16">
        <f t="shared" si="24"/>
        <v>0.08</v>
      </c>
      <c r="O185" s="18">
        <f t="shared" si="28"/>
        <v>38480.571533351162</v>
      </c>
      <c r="P185" s="18">
        <f t="shared" si="29"/>
        <v>180415.3717323539</v>
      </c>
      <c r="Q185" s="18">
        <f t="shared" si="25"/>
        <v>127252.22846664881</v>
      </c>
      <c r="R185" s="18">
        <f t="shared" si="26"/>
        <v>218895.94326570508</v>
      </c>
    </row>
    <row r="186" spans="7:18" x14ac:dyDescent="0.3">
      <c r="G186">
        <v>181</v>
      </c>
      <c r="H186" s="17">
        <v>50345</v>
      </c>
      <c r="I186" s="18">
        <f t="shared" si="27"/>
        <v>127252.22846664881</v>
      </c>
      <c r="J186" s="18">
        <f t="shared" si="20"/>
        <v>1216.0885736983614</v>
      </c>
      <c r="K186" s="18">
        <f t="shared" si="21"/>
        <v>367.74038392070258</v>
      </c>
      <c r="L186" s="16">
        <f t="shared" si="22"/>
        <v>3.4678250119643227E-2</v>
      </c>
      <c r="M186" s="18">
        <f t="shared" si="23"/>
        <v>848.34818977765883</v>
      </c>
      <c r="N186" s="16">
        <f t="shared" si="24"/>
        <v>0.08</v>
      </c>
      <c r="O186" s="18">
        <f t="shared" si="28"/>
        <v>38848.311917271865</v>
      </c>
      <c r="P186" s="18">
        <f t="shared" si="29"/>
        <v>181263.71992213157</v>
      </c>
      <c r="Q186" s="18">
        <f t="shared" si="25"/>
        <v>126884.48808272812</v>
      </c>
      <c r="R186" s="18">
        <f t="shared" si="26"/>
        <v>220112.03183940344</v>
      </c>
    </row>
    <row r="187" spans="7:18" x14ac:dyDescent="0.3">
      <c r="G187">
        <v>182</v>
      </c>
      <c r="H187" s="17">
        <v>50375</v>
      </c>
      <c r="I187" s="18">
        <f t="shared" si="27"/>
        <v>126884.48808272812</v>
      </c>
      <c r="J187" s="18">
        <f t="shared" si="20"/>
        <v>1216.0885736983614</v>
      </c>
      <c r="K187" s="18">
        <f t="shared" si="21"/>
        <v>370.19198648017391</v>
      </c>
      <c r="L187" s="16">
        <f t="shared" si="22"/>
        <v>3.5010614022934976E-2</v>
      </c>
      <c r="M187" s="18">
        <f t="shared" si="23"/>
        <v>845.89658721818751</v>
      </c>
      <c r="N187" s="16">
        <f t="shared" si="24"/>
        <v>0.08</v>
      </c>
      <c r="O187" s="18">
        <f t="shared" si="28"/>
        <v>39218.50390375204</v>
      </c>
      <c r="P187" s="18">
        <f t="shared" si="29"/>
        <v>182109.61650934975</v>
      </c>
      <c r="Q187" s="18">
        <f t="shared" si="25"/>
        <v>126514.29609624794</v>
      </c>
      <c r="R187" s="18">
        <f t="shared" si="26"/>
        <v>221328.1204131018</v>
      </c>
    </row>
    <row r="188" spans="7:18" x14ac:dyDescent="0.3">
      <c r="G188">
        <v>183</v>
      </c>
      <c r="H188" s="17">
        <v>50406</v>
      </c>
      <c r="I188" s="18">
        <f t="shared" si="27"/>
        <v>126514.29609624794</v>
      </c>
      <c r="J188" s="18">
        <f t="shared" si="20"/>
        <v>1216.0885736983614</v>
      </c>
      <c r="K188" s="18">
        <f t="shared" si="21"/>
        <v>372.65993305670838</v>
      </c>
      <c r="L188" s="16">
        <f t="shared" si="22"/>
        <v>3.5347145221267411E-2</v>
      </c>
      <c r="M188" s="18">
        <f t="shared" si="23"/>
        <v>843.42864064165303</v>
      </c>
      <c r="N188" s="16">
        <f t="shared" si="24"/>
        <v>0.08</v>
      </c>
      <c r="O188" s="18">
        <f t="shared" si="28"/>
        <v>39591.163836808752</v>
      </c>
      <c r="P188" s="18">
        <f t="shared" si="29"/>
        <v>182953.04514999141</v>
      </c>
      <c r="Q188" s="18">
        <f t="shared" si="25"/>
        <v>126141.63616319123</v>
      </c>
      <c r="R188" s="18">
        <f t="shared" si="26"/>
        <v>222544.20898680016</v>
      </c>
    </row>
    <row r="189" spans="7:18" x14ac:dyDescent="0.3">
      <c r="G189">
        <v>184</v>
      </c>
      <c r="H189" s="17">
        <v>50437</v>
      </c>
      <c r="I189" s="18">
        <f t="shared" si="27"/>
        <v>126141.63616319123</v>
      </c>
      <c r="J189" s="18">
        <f t="shared" si="20"/>
        <v>1216.0885736983614</v>
      </c>
      <c r="K189" s="18">
        <f t="shared" si="21"/>
        <v>375.14433261041984</v>
      </c>
      <c r="L189" s="16">
        <f t="shared" si="22"/>
        <v>3.5687915015634356E-2</v>
      </c>
      <c r="M189" s="18">
        <f t="shared" si="23"/>
        <v>840.94424108794158</v>
      </c>
      <c r="N189" s="16">
        <f t="shared" si="24"/>
        <v>0.08</v>
      </c>
      <c r="O189" s="18">
        <f t="shared" si="28"/>
        <v>39966.308169419171</v>
      </c>
      <c r="P189" s="18">
        <f t="shared" si="29"/>
        <v>183793.98939107935</v>
      </c>
      <c r="Q189" s="18">
        <f t="shared" si="25"/>
        <v>125766.49183058081</v>
      </c>
      <c r="R189" s="18">
        <f t="shared" si="26"/>
        <v>223760.29756049853</v>
      </c>
    </row>
    <row r="190" spans="7:18" x14ac:dyDescent="0.3">
      <c r="G190">
        <v>185</v>
      </c>
      <c r="H190" s="17">
        <v>50465</v>
      </c>
      <c r="I190" s="18">
        <f t="shared" si="27"/>
        <v>125766.49183058081</v>
      </c>
      <c r="J190" s="18">
        <f t="shared" si="20"/>
        <v>1216.0885736983614</v>
      </c>
      <c r="K190" s="18">
        <f t="shared" si="21"/>
        <v>377.64529482782268</v>
      </c>
      <c r="L190" s="16">
        <f t="shared" si="22"/>
        <v>3.603299632495556E-2</v>
      </c>
      <c r="M190" s="18">
        <f t="shared" si="23"/>
        <v>838.44327887053873</v>
      </c>
      <c r="N190" s="16">
        <f t="shared" si="24"/>
        <v>0.08</v>
      </c>
      <c r="O190" s="18">
        <f t="shared" si="28"/>
        <v>40343.953464246995</v>
      </c>
      <c r="P190" s="18">
        <f t="shared" si="29"/>
        <v>184632.43266994989</v>
      </c>
      <c r="Q190" s="18">
        <f t="shared" si="25"/>
        <v>125388.84653575299</v>
      </c>
      <c r="R190" s="18">
        <f t="shared" si="26"/>
        <v>224976.38613419689</v>
      </c>
    </row>
    <row r="191" spans="7:18" x14ac:dyDescent="0.3">
      <c r="G191">
        <v>186</v>
      </c>
      <c r="H191" s="17">
        <v>50496</v>
      </c>
      <c r="I191" s="18">
        <f t="shared" si="27"/>
        <v>125388.84653575299</v>
      </c>
      <c r="J191" s="18">
        <f t="shared" si="20"/>
        <v>1216.0885736983614</v>
      </c>
      <c r="K191" s="18">
        <f t="shared" si="21"/>
        <v>380.16293012667472</v>
      </c>
      <c r="L191" s="16">
        <f t="shared" si="22"/>
        <v>3.6382463732285111E-2</v>
      </c>
      <c r="M191" s="18">
        <f t="shared" si="23"/>
        <v>835.92564357168669</v>
      </c>
      <c r="N191" s="16">
        <f t="shared" si="24"/>
        <v>0.08</v>
      </c>
      <c r="O191" s="18">
        <f t="shared" si="28"/>
        <v>40724.116394373668</v>
      </c>
      <c r="P191" s="18">
        <f t="shared" si="29"/>
        <v>185468.35831352157</v>
      </c>
      <c r="Q191" s="18">
        <f t="shared" si="25"/>
        <v>125008.68360562631</v>
      </c>
      <c r="R191" s="18">
        <f t="shared" si="26"/>
        <v>226192.47470789525</v>
      </c>
    </row>
    <row r="192" spans="7:18" x14ac:dyDescent="0.3">
      <c r="G192">
        <v>187</v>
      </c>
      <c r="H192" s="17">
        <v>50526</v>
      </c>
      <c r="I192" s="18">
        <f t="shared" si="27"/>
        <v>125008.68360562631</v>
      </c>
      <c r="J192" s="18">
        <f t="shared" si="20"/>
        <v>1216.0885736983614</v>
      </c>
      <c r="K192" s="18">
        <f t="shared" si="21"/>
        <v>382.69734966085264</v>
      </c>
      <c r="L192" s="16">
        <f t="shared" si="22"/>
        <v>3.6736393532613293E-2</v>
      </c>
      <c r="M192" s="18">
        <f t="shared" si="23"/>
        <v>833.39122403750878</v>
      </c>
      <c r="N192" s="16">
        <f t="shared" si="24"/>
        <v>0.08</v>
      </c>
      <c r="O192" s="18">
        <f t="shared" si="28"/>
        <v>41106.813744034524</v>
      </c>
      <c r="P192" s="18">
        <f t="shared" si="29"/>
        <v>186301.74953755908</v>
      </c>
      <c r="Q192" s="18">
        <f t="shared" si="25"/>
        <v>124625.98625596546</v>
      </c>
      <c r="R192" s="18">
        <f t="shared" si="26"/>
        <v>227408.56328159361</v>
      </c>
    </row>
    <row r="193" spans="7:18" x14ac:dyDescent="0.3">
      <c r="G193">
        <v>188</v>
      </c>
      <c r="H193" s="17">
        <v>50557</v>
      </c>
      <c r="I193" s="18">
        <f t="shared" si="27"/>
        <v>124625.98625596546</v>
      </c>
      <c r="J193" s="18">
        <f t="shared" si="20"/>
        <v>1216.0885736983614</v>
      </c>
      <c r="K193" s="18">
        <f t="shared" si="21"/>
        <v>385.24866532525834</v>
      </c>
      <c r="L193" s="16">
        <f t="shared" si="22"/>
        <v>3.709486378232623E-2</v>
      </c>
      <c r="M193" s="18">
        <f t="shared" si="23"/>
        <v>830.83990837310307</v>
      </c>
      <c r="N193" s="16">
        <f t="shared" si="24"/>
        <v>0.08</v>
      </c>
      <c r="O193" s="18">
        <f t="shared" si="28"/>
        <v>41492.06240935978</v>
      </c>
      <c r="P193" s="18">
        <f t="shared" si="29"/>
        <v>187132.58944593219</v>
      </c>
      <c r="Q193" s="18">
        <f t="shared" si="25"/>
        <v>124240.7375906402</v>
      </c>
      <c r="R193" s="18">
        <f t="shared" si="26"/>
        <v>228624.65185529197</v>
      </c>
    </row>
    <row r="194" spans="7:18" x14ac:dyDescent="0.3">
      <c r="G194">
        <v>189</v>
      </c>
      <c r="H194" s="17">
        <v>50587</v>
      </c>
      <c r="I194" s="18">
        <f t="shared" si="27"/>
        <v>124240.7375906402</v>
      </c>
      <c r="J194" s="18">
        <f t="shared" si="20"/>
        <v>1216.0885736983614</v>
      </c>
      <c r="K194" s="18">
        <f t="shared" si="21"/>
        <v>387.81698976076007</v>
      </c>
      <c r="L194" s="16">
        <f t="shared" si="22"/>
        <v>3.7457954350391107E-2</v>
      </c>
      <c r="M194" s="18">
        <f t="shared" si="23"/>
        <v>828.27158393760135</v>
      </c>
      <c r="N194" s="16">
        <f t="shared" si="24"/>
        <v>0.08</v>
      </c>
      <c r="O194" s="18">
        <f t="shared" si="28"/>
        <v>41879.879399120538</v>
      </c>
      <c r="P194" s="18">
        <f t="shared" si="29"/>
        <v>187960.86102986979</v>
      </c>
      <c r="Q194" s="18">
        <f t="shared" si="25"/>
        <v>123852.92060087944</v>
      </c>
      <c r="R194" s="18">
        <f t="shared" si="26"/>
        <v>229840.74042899034</v>
      </c>
    </row>
    <row r="195" spans="7:18" x14ac:dyDescent="0.3">
      <c r="G195">
        <v>190</v>
      </c>
      <c r="H195" s="17">
        <v>50618</v>
      </c>
      <c r="I195" s="18">
        <f t="shared" si="27"/>
        <v>123852.92060087944</v>
      </c>
      <c r="J195" s="18">
        <f t="shared" si="20"/>
        <v>1216.0885736983614</v>
      </c>
      <c r="K195" s="18">
        <f t="shared" si="21"/>
        <v>390.40243635916511</v>
      </c>
      <c r="L195" s="16">
        <f t="shared" si="22"/>
        <v>3.7825746971337192E-2</v>
      </c>
      <c r="M195" s="18">
        <f t="shared" si="23"/>
        <v>825.68613733919631</v>
      </c>
      <c r="N195" s="16">
        <f t="shared" si="24"/>
        <v>0.08</v>
      </c>
      <c r="O195" s="18">
        <f t="shared" si="28"/>
        <v>42270.281835479705</v>
      </c>
      <c r="P195" s="18">
        <f t="shared" si="29"/>
        <v>188786.54716720898</v>
      </c>
      <c r="Q195" s="18">
        <f t="shared" si="25"/>
        <v>123462.51816452028</v>
      </c>
      <c r="R195" s="18">
        <f t="shared" si="26"/>
        <v>231056.8290026887</v>
      </c>
    </row>
    <row r="196" spans="7:18" x14ac:dyDescent="0.3">
      <c r="G196">
        <v>191</v>
      </c>
      <c r="H196" s="17">
        <v>50649</v>
      </c>
      <c r="I196" s="18">
        <f t="shared" si="27"/>
        <v>123462.51816452028</v>
      </c>
      <c r="J196" s="18">
        <f t="shared" si="20"/>
        <v>1216.0885736983614</v>
      </c>
      <c r="K196" s="18">
        <f t="shared" si="21"/>
        <v>393.00511926822617</v>
      </c>
      <c r="L196" s="16">
        <f t="shared" si="22"/>
        <v>3.8198325300106993E-2</v>
      </c>
      <c r="M196" s="18">
        <f t="shared" si="23"/>
        <v>823.08345443013525</v>
      </c>
      <c r="N196" s="16">
        <f t="shared" si="24"/>
        <v>0.08</v>
      </c>
      <c r="O196" s="18">
        <f t="shared" si="28"/>
        <v>42663.286954747935</v>
      </c>
      <c r="P196" s="18">
        <f t="shared" si="29"/>
        <v>189609.63062163911</v>
      </c>
      <c r="Q196" s="18">
        <f t="shared" si="25"/>
        <v>123069.51304525205</v>
      </c>
      <c r="R196" s="18">
        <f t="shared" si="26"/>
        <v>232272.91757638706</v>
      </c>
    </row>
    <row r="197" spans="7:18" x14ac:dyDescent="0.3">
      <c r="G197">
        <v>192</v>
      </c>
      <c r="H197" s="17">
        <v>50679</v>
      </c>
      <c r="I197" s="18">
        <f t="shared" si="27"/>
        <v>123069.51304525205</v>
      </c>
      <c r="J197" s="18">
        <f t="shared" si="20"/>
        <v>1216.0885736983614</v>
      </c>
      <c r="K197" s="18">
        <f t="shared" si="21"/>
        <v>395.62515339668096</v>
      </c>
      <c r="L197" s="16">
        <f t="shared" si="22"/>
        <v>3.8575774968854698E-2</v>
      </c>
      <c r="M197" s="18">
        <f t="shared" si="23"/>
        <v>820.46342030168046</v>
      </c>
      <c r="N197" s="16">
        <f t="shared" si="24"/>
        <v>0.08</v>
      </c>
      <c r="O197" s="18">
        <f t="shared" si="28"/>
        <v>43058.912108144614</v>
      </c>
      <c r="P197" s="18">
        <f t="shared" si="29"/>
        <v>190430.09404194079</v>
      </c>
      <c r="Q197" s="18">
        <f t="shared" si="25"/>
        <v>122673.88789185537</v>
      </c>
      <c r="R197" s="18">
        <f t="shared" si="26"/>
        <v>233489.00615008539</v>
      </c>
    </row>
    <row r="198" spans="7:18" x14ac:dyDescent="0.3">
      <c r="G198">
        <v>193</v>
      </c>
      <c r="H198" s="17">
        <v>50710</v>
      </c>
      <c r="I198" s="18">
        <f t="shared" si="27"/>
        <v>122673.88789185537</v>
      </c>
      <c r="J198" s="18">
        <f t="shared" ref="J198:J261" si="30">$I$6/((($K$2)-1)/($K$1*$K$2))</f>
        <v>1216.0885736983614</v>
      </c>
      <c r="K198" s="18">
        <f t="shared" ref="K198:K261" si="31">J198-M198</f>
        <v>398.2626544193256</v>
      </c>
      <c r="L198" s="16">
        <f t="shared" ref="L198:L261" si="32">(K198/I198)*12</f>
        <v>3.8958183645773303E-2</v>
      </c>
      <c r="M198" s="18">
        <f t="shared" ref="M198:M261" si="33">I198*($H$1/12)</f>
        <v>817.82591927903582</v>
      </c>
      <c r="N198" s="16">
        <f t="shared" ref="N198:N261" si="34">(M198/I198)*12</f>
        <v>0.08</v>
      </c>
      <c r="O198" s="18">
        <f t="shared" si="28"/>
        <v>43457.17476256394</v>
      </c>
      <c r="P198" s="18">
        <f t="shared" si="29"/>
        <v>191247.91996121983</v>
      </c>
      <c r="Q198" s="18">
        <f t="shared" ref="Q198:Q261" si="35">I198-K198</f>
        <v>122275.62523743605</v>
      </c>
      <c r="R198" s="18">
        <f t="shared" ref="R198:R261" si="36">O198+P198</f>
        <v>234705.09472378378</v>
      </c>
    </row>
    <row r="199" spans="7:18" x14ac:dyDescent="0.3">
      <c r="G199">
        <v>194</v>
      </c>
      <c r="H199" s="17">
        <v>50740</v>
      </c>
      <c r="I199" s="18">
        <f t="shared" ref="I199:I262" si="37">Q198</f>
        <v>122275.62523743605</v>
      </c>
      <c r="J199" s="18">
        <f t="shared" si="30"/>
        <v>1216.0885736983614</v>
      </c>
      <c r="K199" s="18">
        <f t="shared" si="31"/>
        <v>400.91773878212109</v>
      </c>
      <c r="L199" s="16">
        <f t="shared" si="32"/>
        <v>3.9345641096035125E-2</v>
      </c>
      <c r="M199" s="18">
        <f t="shared" si="33"/>
        <v>815.17083491624032</v>
      </c>
      <c r="N199" s="16">
        <f t="shared" si="34"/>
        <v>0.08</v>
      </c>
      <c r="O199" s="18">
        <f t="shared" ref="O199:O262" si="38">O198+K199</f>
        <v>43858.092501346058</v>
      </c>
      <c r="P199" s="18">
        <f t="shared" ref="P199:P262" si="39">P198+M199</f>
        <v>192063.09079613606</v>
      </c>
      <c r="Q199" s="18">
        <f t="shared" si="35"/>
        <v>121874.70749865392</v>
      </c>
      <c r="R199" s="18">
        <f t="shared" si="36"/>
        <v>235921.18329748212</v>
      </c>
    </row>
    <row r="200" spans="7:18" x14ac:dyDescent="0.3">
      <c r="G200">
        <v>195</v>
      </c>
      <c r="H200" s="17">
        <v>50771</v>
      </c>
      <c r="I200" s="18">
        <f t="shared" si="37"/>
        <v>121874.70749865392</v>
      </c>
      <c r="J200" s="18">
        <f t="shared" si="30"/>
        <v>1216.0885736983614</v>
      </c>
      <c r="K200" s="18">
        <f t="shared" si="31"/>
        <v>403.59052370733525</v>
      </c>
      <c r="L200" s="16">
        <f t="shared" si="32"/>
        <v>3.9738239244935331E-2</v>
      </c>
      <c r="M200" s="18">
        <f t="shared" si="33"/>
        <v>812.49804999102616</v>
      </c>
      <c r="N200" s="16">
        <f t="shared" si="34"/>
        <v>0.08</v>
      </c>
      <c r="O200" s="18">
        <f t="shared" si="38"/>
        <v>44261.683025053397</v>
      </c>
      <c r="P200" s="18">
        <f t="shared" si="39"/>
        <v>192875.5888461271</v>
      </c>
      <c r="Q200" s="18">
        <f t="shared" si="35"/>
        <v>121471.11697494659</v>
      </c>
      <c r="R200" s="18">
        <f t="shared" si="36"/>
        <v>237137.27187118051</v>
      </c>
    </row>
    <row r="201" spans="7:18" x14ac:dyDescent="0.3">
      <c r="G201">
        <v>196</v>
      </c>
      <c r="H201" s="17">
        <v>50802</v>
      </c>
      <c r="I201" s="18">
        <f t="shared" si="37"/>
        <v>121471.11697494659</v>
      </c>
      <c r="J201" s="18">
        <f t="shared" si="30"/>
        <v>1216.0885736983614</v>
      </c>
      <c r="K201" s="18">
        <f t="shared" si="31"/>
        <v>406.2811271987174</v>
      </c>
      <c r="L201" s="16">
        <f t="shared" si="32"/>
        <v>4.0136072243331343E-2</v>
      </c>
      <c r="M201" s="18">
        <f t="shared" si="33"/>
        <v>809.80744649964402</v>
      </c>
      <c r="N201" s="16">
        <f t="shared" si="34"/>
        <v>0.08</v>
      </c>
      <c r="O201" s="18">
        <f t="shared" si="38"/>
        <v>44667.964152252112</v>
      </c>
      <c r="P201" s="18">
        <f t="shared" si="39"/>
        <v>193685.39629262674</v>
      </c>
      <c r="Q201" s="18">
        <f t="shared" si="35"/>
        <v>121064.83584774788</v>
      </c>
      <c r="R201" s="18">
        <f t="shared" si="36"/>
        <v>238353.36044487887</v>
      </c>
    </row>
    <row r="202" spans="7:18" x14ac:dyDescent="0.3">
      <c r="G202">
        <v>197</v>
      </c>
      <c r="H202" s="17">
        <v>50830</v>
      </c>
      <c r="I202" s="18">
        <f t="shared" si="37"/>
        <v>121064.83584774788</v>
      </c>
      <c r="J202" s="18">
        <f t="shared" si="30"/>
        <v>1216.0885736983614</v>
      </c>
      <c r="K202" s="18">
        <f t="shared" si="31"/>
        <v>408.98966804670886</v>
      </c>
      <c r="L202" s="16">
        <f t="shared" si="32"/>
        <v>4.0539236535476669E-2</v>
      </c>
      <c r="M202" s="18">
        <f t="shared" si="33"/>
        <v>807.09890565165256</v>
      </c>
      <c r="N202" s="16">
        <f t="shared" si="34"/>
        <v>0.08</v>
      </c>
      <c r="O202" s="18">
        <f t="shared" si="38"/>
        <v>45076.953820298819</v>
      </c>
      <c r="P202" s="18">
        <f t="shared" si="39"/>
        <v>194492.4951982784</v>
      </c>
      <c r="Q202" s="18">
        <f t="shared" si="35"/>
        <v>120655.84617970117</v>
      </c>
      <c r="R202" s="18">
        <f t="shared" si="36"/>
        <v>239569.44901857723</v>
      </c>
    </row>
    <row r="203" spans="7:18" x14ac:dyDescent="0.3">
      <c r="G203">
        <v>198</v>
      </c>
      <c r="H203" s="17">
        <v>50861</v>
      </c>
      <c r="I203" s="18">
        <f t="shared" si="37"/>
        <v>120655.84617970117</v>
      </c>
      <c r="J203" s="18">
        <f t="shared" si="30"/>
        <v>1216.0885736983614</v>
      </c>
      <c r="K203" s="18">
        <f t="shared" si="31"/>
        <v>411.71626583368686</v>
      </c>
      <c r="L203" s="16">
        <f t="shared" si="32"/>
        <v>4.0947830929351482E-2</v>
      </c>
      <c r="M203" s="18">
        <f t="shared" si="33"/>
        <v>804.37230786467455</v>
      </c>
      <c r="N203" s="16">
        <f t="shared" si="34"/>
        <v>0.08</v>
      </c>
      <c r="O203" s="18">
        <f t="shared" si="38"/>
        <v>45488.670086132508</v>
      </c>
      <c r="P203" s="18">
        <f t="shared" si="39"/>
        <v>195296.86750614308</v>
      </c>
      <c r="Q203" s="18">
        <f t="shared" si="35"/>
        <v>120244.12991386748</v>
      </c>
      <c r="R203" s="18">
        <f t="shared" si="36"/>
        <v>240785.53759227559</v>
      </c>
    </row>
    <row r="204" spans="7:18" x14ac:dyDescent="0.3">
      <c r="G204">
        <v>199</v>
      </c>
      <c r="H204" s="17">
        <v>50891</v>
      </c>
      <c r="I204" s="18">
        <f t="shared" si="37"/>
        <v>120244.12991386748</v>
      </c>
      <c r="J204" s="18">
        <f t="shared" si="30"/>
        <v>1216.0885736983614</v>
      </c>
      <c r="K204" s="18">
        <f t="shared" si="31"/>
        <v>414.46104093924487</v>
      </c>
      <c r="L204" s="16">
        <f t="shared" si="32"/>
        <v>4.1361956669598327E-2</v>
      </c>
      <c r="M204" s="18">
        <f t="shared" si="33"/>
        <v>801.62753275911655</v>
      </c>
      <c r="N204" s="16">
        <f t="shared" si="34"/>
        <v>0.08</v>
      </c>
      <c r="O204" s="18">
        <f t="shared" si="38"/>
        <v>45903.131127071756</v>
      </c>
      <c r="P204" s="18">
        <f t="shared" si="39"/>
        <v>196098.49503890221</v>
      </c>
      <c r="Q204" s="18">
        <f t="shared" si="35"/>
        <v>119829.66887292823</v>
      </c>
      <c r="R204" s="18">
        <f t="shared" si="36"/>
        <v>242001.62616597395</v>
      </c>
    </row>
    <row r="205" spans="7:18" x14ac:dyDescent="0.3">
      <c r="G205">
        <v>200</v>
      </c>
      <c r="H205" s="17">
        <v>50922</v>
      </c>
      <c r="I205" s="18">
        <f t="shared" si="37"/>
        <v>119829.66887292823</v>
      </c>
      <c r="J205" s="18">
        <f t="shared" si="30"/>
        <v>1216.0885736983614</v>
      </c>
      <c r="K205" s="18">
        <f t="shared" si="31"/>
        <v>417.2241145455065</v>
      </c>
      <c r="L205" s="16">
        <f t="shared" si="32"/>
        <v>4.1781717513175762E-2</v>
      </c>
      <c r="M205" s="18">
        <f t="shared" si="33"/>
        <v>798.86445915285492</v>
      </c>
      <c r="N205" s="16">
        <f t="shared" si="34"/>
        <v>0.08</v>
      </c>
      <c r="O205" s="18">
        <f t="shared" si="38"/>
        <v>46320.355241617261</v>
      </c>
      <c r="P205" s="18">
        <f t="shared" si="39"/>
        <v>196897.35949805507</v>
      </c>
      <c r="Q205" s="18">
        <f t="shared" si="35"/>
        <v>119412.44475838273</v>
      </c>
      <c r="R205" s="18">
        <f t="shared" si="36"/>
        <v>243217.71473967232</v>
      </c>
    </row>
    <row r="206" spans="7:18" x14ac:dyDescent="0.3">
      <c r="G206">
        <v>201</v>
      </c>
      <c r="H206" s="17">
        <v>50952</v>
      </c>
      <c r="I206" s="18">
        <f t="shared" si="37"/>
        <v>119412.44475838273</v>
      </c>
      <c r="J206" s="18">
        <f t="shared" si="30"/>
        <v>1216.0885736983614</v>
      </c>
      <c r="K206" s="18">
        <f t="shared" si="31"/>
        <v>420.00560864247655</v>
      </c>
      <c r="L206" s="16">
        <f t="shared" si="32"/>
        <v>4.2207219807849271E-2</v>
      </c>
      <c r="M206" s="18">
        <f t="shared" si="33"/>
        <v>796.08296505588487</v>
      </c>
      <c r="N206" s="16">
        <f t="shared" si="34"/>
        <v>0.08</v>
      </c>
      <c r="O206" s="18">
        <f t="shared" si="38"/>
        <v>46740.360850259734</v>
      </c>
      <c r="P206" s="18">
        <f t="shared" si="39"/>
        <v>197693.44246311096</v>
      </c>
      <c r="Q206" s="18">
        <f t="shared" si="35"/>
        <v>118992.43914974025</v>
      </c>
      <c r="R206" s="18">
        <f t="shared" si="36"/>
        <v>244433.80331337068</v>
      </c>
    </row>
    <row r="207" spans="7:18" x14ac:dyDescent="0.3">
      <c r="G207">
        <v>202</v>
      </c>
      <c r="H207" s="17">
        <v>50983</v>
      </c>
      <c r="I207" s="18">
        <f t="shared" si="37"/>
        <v>118992.43914974025</v>
      </c>
      <c r="J207" s="18">
        <f t="shared" si="30"/>
        <v>1216.0885736983614</v>
      </c>
      <c r="K207" s="18">
        <f t="shared" si="31"/>
        <v>422.80564603342634</v>
      </c>
      <c r="L207" s="16">
        <f t="shared" si="32"/>
        <v>4.2638572573643986E-2</v>
      </c>
      <c r="M207" s="18">
        <f t="shared" si="33"/>
        <v>793.28292766493507</v>
      </c>
      <c r="N207" s="16">
        <f t="shared" si="34"/>
        <v>0.08</v>
      </c>
      <c r="O207" s="18">
        <f t="shared" si="38"/>
        <v>47163.166496293161</v>
      </c>
      <c r="P207" s="18">
        <f t="shared" si="39"/>
        <v>198486.72539077589</v>
      </c>
      <c r="Q207" s="18">
        <f t="shared" si="35"/>
        <v>118569.63350370683</v>
      </c>
      <c r="R207" s="18">
        <f t="shared" si="36"/>
        <v>245649.89188706904</v>
      </c>
    </row>
    <row r="208" spans="7:18" x14ac:dyDescent="0.3">
      <c r="G208">
        <v>203</v>
      </c>
      <c r="H208" s="17">
        <v>51014</v>
      </c>
      <c r="I208" s="18">
        <f t="shared" si="37"/>
        <v>118569.63350370683</v>
      </c>
      <c r="J208" s="18">
        <f t="shared" si="30"/>
        <v>1216.0885736983614</v>
      </c>
      <c r="K208" s="18">
        <f t="shared" si="31"/>
        <v>425.6243503403158</v>
      </c>
      <c r="L208" s="16">
        <f t="shared" si="32"/>
        <v>4.3075887587390699E-2</v>
      </c>
      <c r="M208" s="18">
        <f t="shared" si="33"/>
        <v>790.46422335804561</v>
      </c>
      <c r="N208" s="16">
        <f t="shared" si="34"/>
        <v>0.08</v>
      </c>
      <c r="O208" s="18">
        <f t="shared" si="38"/>
        <v>47588.790846633477</v>
      </c>
      <c r="P208" s="18">
        <f t="shared" si="39"/>
        <v>199277.18961413394</v>
      </c>
      <c r="Q208" s="18">
        <f t="shared" si="35"/>
        <v>118144.00915336653</v>
      </c>
      <c r="R208" s="18">
        <f t="shared" si="36"/>
        <v>246865.9804607674</v>
      </c>
    </row>
    <row r="209" spans="7:18" x14ac:dyDescent="0.3">
      <c r="G209">
        <v>204</v>
      </c>
      <c r="H209" s="17">
        <v>51044</v>
      </c>
      <c r="I209" s="18">
        <f t="shared" si="37"/>
        <v>118144.00915336653</v>
      </c>
      <c r="J209" s="18">
        <f t="shared" si="30"/>
        <v>1216.0885736983614</v>
      </c>
      <c r="K209" s="18">
        <f t="shared" si="31"/>
        <v>428.46184600925119</v>
      </c>
      <c r="L209" s="16">
        <f t="shared" si="32"/>
        <v>4.3519279470502929E-2</v>
      </c>
      <c r="M209" s="18">
        <f t="shared" si="33"/>
        <v>787.62672768911023</v>
      </c>
      <c r="N209" s="16">
        <f t="shared" si="34"/>
        <v>0.08</v>
      </c>
      <c r="O209" s="18">
        <f t="shared" si="38"/>
        <v>48017.252692642731</v>
      </c>
      <c r="P209" s="18">
        <f t="shared" si="39"/>
        <v>200064.81634182305</v>
      </c>
      <c r="Q209" s="18">
        <f t="shared" si="35"/>
        <v>117715.54730735728</v>
      </c>
      <c r="R209" s="18">
        <f t="shared" si="36"/>
        <v>248082.06903446579</v>
      </c>
    </row>
    <row r="210" spans="7:18" x14ac:dyDescent="0.3">
      <c r="G210">
        <v>205</v>
      </c>
      <c r="H210" s="17">
        <v>51075</v>
      </c>
      <c r="I210" s="18">
        <f t="shared" si="37"/>
        <v>117715.54730735728</v>
      </c>
      <c r="J210" s="18">
        <f t="shared" si="30"/>
        <v>1216.0885736983614</v>
      </c>
      <c r="K210" s="18">
        <f t="shared" si="31"/>
        <v>431.31825831597951</v>
      </c>
      <c r="L210" s="16">
        <f t="shared" si="32"/>
        <v>4.3968865780130158E-2</v>
      </c>
      <c r="M210" s="18">
        <f t="shared" si="33"/>
        <v>784.77031538238191</v>
      </c>
      <c r="N210" s="16">
        <f t="shared" si="34"/>
        <v>0.08</v>
      </c>
      <c r="O210" s="18">
        <f t="shared" si="38"/>
        <v>48448.57095095871</v>
      </c>
      <c r="P210" s="18">
        <f t="shared" si="39"/>
        <v>200849.58665720542</v>
      </c>
      <c r="Q210" s="18">
        <f t="shared" si="35"/>
        <v>117284.2290490413</v>
      </c>
      <c r="R210" s="18">
        <f t="shared" si="36"/>
        <v>249298.15760816413</v>
      </c>
    </row>
    <row r="211" spans="7:18" x14ac:dyDescent="0.3">
      <c r="G211">
        <v>206</v>
      </c>
      <c r="H211" s="17">
        <v>51105</v>
      </c>
      <c r="I211" s="18">
        <f t="shared" si="37"/>
        <v>117284.2290490413</v>
      </c>
      <c r="J211" s="18">
        <f t="shared" si="30"/>
        <v>1216.0885736983614</v>
      </c>
      <c r="K211" s="18">
        <f t="shared" si="31"/>
        <v>434.19371337141934</v>
      </c>
      <c r="L211" s="16">
        <f t="shared" si="32"/>
        <v>4.4424767103839545E-2</v>
      </c>
      <c r="M211" s="18">
        <f t="shared" si="33"/>
        <v>781.89486032694208</v>
      </c>
      <c r="N211" s="16">
        <f t="shared" si="34"/>
        <v>0.08</v>
      </c>
      <c r="O211" s="18">
        <f t="shared" si="38"/>
        <v>48882.764664330127</v>
      </c>
      <c r="P211" s="18">
        <f t="shared" si="39"/>
        <v>201631.48151753237</v>
      </c>
      <c r="Q211" s="18">
        <f t="shared" si="35"/>
        <v>116850.03533566988</v>
      </c>
      <c r="R211" s="18">
        <f t="shared" si="36"/>
        <v>250514.24618186249</v>
      </c>
    </row>
    <row r="212" spans="7:18" x14ac:dyDescent="0.3">
      <c r="G212">
        <v>207</v>
      </c>
      <c r="H212" s="17">
        <v>51136</v>
      </c>
      <c r="I212" s="18">
        <f t="shared" si="37"/>
        <v>116850.03533566988</v>
      </c>
      <c r="J212" s="18">
        <f t="shared" si="30"/>
        <v>1216.0885736983614</v>
      </c>
      <c r="K212" s="18">
        <f t="shared" si="31"/>
        <v>437.08833812722889</v>
      </c>
      <c r="L212" s="16">
        <f t="shared" si="32"/>
        <v>4.4887107157986703E-2</v>
      </c>
      <c r="M212" s="18">
        <f t="shared" si="33"/>
        <v>779.00023557113252</v>
      </c>
      <c r="N212" s="16">
        <f t="shared" si="34"/>
        <v>0.08</v>
      </c>
      <c r="O212" s="18">
        <f t="shared" si="38"/>
        <v>49319.853002457356</v>
      </c>
      <c r="P212" s="18">
        <f t="shared" si="39"/>
        <v>202410.48175310349</v>
      </c>
      <c r="Q212" s="18">
        <f t="shared" si="35"/>
        <v>116412.94699754265</v>
      </c>
      <c r="R212" s="18">
        <f t="shared" si="36"/>
        <v>251730.33475556085</v>
      </c>
    </row>
    <row r="213" spans="7:18" x14ac:dyDescent="0.3">
      <c r="G213">
        <v>208</v>
      </c>
      <c r="H213" s="17">
        <v>51167</v>
      </c>
      <c r="I213" s="18">
        <f t="shared" si="37"/>
        <v>116412.94699754265</v>
      </c>
      <c r="J213" s="18">
        <f t="shared" si="30"/>
        <v>1216.0885736983614</v>
      </c>
      <c r="K213" s="18">
        <f t="shared" si="31"/>
        <v>440.00226038141034</v>
      </c>
      <c r="L213" s="16">
        <f t="shared" si="32"/>
        <v>4.5356012889944106E-2</v>
      </c>
      <c r="M213" s="18">
        <f t="shared" si="33"/>
        <v>776.08631331695108</v>
      </c>
      <c r="N213" s="16">
        <f t="shared" si="34"/>
        <v>0.08</v>
      </c>
      <c r="O213" s="18">
        <f t="shared" si="38"/>
        <v>49759.855262838762</v>
      </c>
      <c r="P213" s="18">
        <f t="shared" si="39"/>
        <v>203186.56806642044</v>
      </c>
      <c r="Q213" s="18">
        <f t="shared" si="35"/>
        <v>115972.94473716123</v>
      </c>
      <c r="R213" s="18">
        <f t="shared" si="36"/>
        <v>252946.42332925921</v>
      </c>
    </row>
    <row r="214" spans="7:18" x14ac:dyDescent="0.3">
      <c r="G214">
        <v>209</v>
      </c>
      <c r="H214" s="17">
        <v>51196</v>
      </c>
      <c r="I214" s="18">
        <f t="shared" si="37"/>
        <v>115972.94473716123</v>
      </c>
      <c r="J214" s="18">
        <f t="shared" si="30"/>
        <v>1216.0885736983614</v>
      </c>
      <c r="K214" s="18">
        <f t="shared" si="31"/>
        <v>442.93560878395317</v>
      </c>
      <c r="L214" s="16">
        <f t="shared" si="32"/>
        <v>4.5831614584365028E-2</v>
      </c>
      <c r="M214" s="18">
        <f t="shared" si="33"/>
        <v>773.15296491440824</v>
      </c>
      <c r="N214" s="16">
        <f t="shared" si="34"/>
        <v>0.08</v>
      </c>
      <c r="O214" s="18">
        <f t="shared" si="38"/>
        <v>50202.790871622718</v>
      </c>
      <c r="P214" s="18">
        <f t="shared" si="39"/>
        <v>203959.72103133486</v>
      </c>
      <c r="Q214" s="18">
        <f t="shared" si="35"/>
        <v>115530.00912837728</v>
      </c>
      <c r="R214" s="18">
        <f t="shared" si="36"/>
        <v>254162.51190295757</v>
      </c>
    </row>
    <row r="215" spans="7:18" x14ac:dyDescent="0.3">
      <c r="G215">
        <v>210</v>
      </c>
      <c r="H215" s="17">
        <v>51227</v>
      </c>
      <c r="I215" s="18">
        <f t="shared" si="37"/>
        <v>115530.00912837728</v>
      </c>
      <c r="J215" s="18">
        <f t="shared" si="30"/>
        <v>1216.0885736983614</v>
      </c>
      <c r="K215" s="18">
        <f t="shared" si="31"/>
        <v>445.8885128425128</v>
      </c>
      <c r="L215" s="16">
        <f t="shared" si="32"/>
        <v>4.6314045973669775E-2</v>
      </c>
      <c r="M215" s="18">
        <f t="shared" si="33"/>
        <v>770.20006085584862</v>
      </c>
      <c r="N215" s="16">
        <f t="shared" si="34"/>
        <v>0.08</v>
      </c>
      <c r="O215" s="18">
        <f t="shared" si="38"/>
        <v>50648.679384465227</v>
      </c>
      <c r="P215" s="18">
        <f t="shared" si="39"/>
        <v>204729.92109219072</v>
      </c>
      <c r="Q215" s="18">
        <f t="shared" si="35"/>
        <v>115084.12061553476</v>
      </c>
      <c r="R215" s="18">
        <f t="shared" si="36"/>
        <v>255378.60047665593</v>
      </c>
    </row>
    <row r="216" spans="7:18" x14ac:dyDescent="0.3">
      <c r="G216">
        <v>211</v>
      </c>
      <c r="H216" s="17">
        <v>51257</v>
      </c>
      <c r="I216" s="18">
        <f t="shared" si="37"/>
        <v>115084.12061553476</v>
      </c>
      <c r="J216" s="18">
        <f t="shared" si="30"/>
        <v>1216.0885736983614</v>
      </c>
      <c r="K216" s="18">
        <f t="shared" si="31"/>
        <v>448.86110292812964</v>
      </c>
      <c r="L216" s="16">
        <f t="shared" si="32"/>
        <v>4.680344435295164E-2</v>
      </c>
      <c r="M216" s="18">
        <f t="shared" si="33"/>
        <v>767.22747077023178</v>
      </c>
      <c r="N216" s="16">
        <f t="shared" si="34"/>
        <v>0.08</v>
      </c>
      <c r="O216" s="18">
        <f t="shared" si="38"/>
        <v>51097.540487393358</v>
      </c>
      <c r="P216" s="18">
        <f t="shared" si="39"/>
        <v>205497.14856296097</v>
      </c>
      <c r="Q216" s="18">
        <f t="shared" si="35"/>
        <v>114635.25951260663</v>
      </c>
      <c r="R216" s="18">
        <f t="shared" si="36"/>
        <v>256594.68905035433</v>
      </c>
    </row>
    <row r="217" spans="7:18" x14ac:dyDescent="0.3">
      <c r="G217">
        <v>212</v>
      </c>
      <c r="H217" s="17">
        <v>51288</v>
      </c>
      <c r="I217" s="18">
        <f t="shared" si="37"/>
        <v>114635.25951260663</v>
      </c>
      <c r="J217" s="18">
        <f t="shared" si="30"/>
        <v>1216.0885736983614</v>
      </c>
      <c r="K217" s="18">
        <f t="shared" si="31"/>
        <v>451.85351028098387</v>
      </c>
      <c r="L217" s="16">
        <f t="shared" si="32"/>
        <v>4.7299950699509805E-2</v>
      </c>
      <c r="M217" s="18">
        <f t="shared" si="33"/>
        <v>764.23506341737755</v>
      </c>
      <c r="N217" s="16">
        <f t="shared" si="34"/>
        <v>0.08</v>
      </c>
      <c r="O217" s="18">
        <f t="shared" si="38"/>
        <v>51549.393997674342</v>
      </c>
      <c r="P217" s="18">
        <f t="shared" si="39"/>
        <v>206261.38362637835</v>
      </c>
      <c r="Q217" s="18">
        <f t="shared" si="35"/>
        <v>114183.40600232565</v>
      </c>
      <c r="R217" s="18">
        <f t="shared" si="36"/>
        <v>257810.77762405269</v>
      </c>
    </row>
    <row r="218" spans="7:18" x14ac:dyDescent="0.3">
      <c r="G218">
        <v>213</v>
      </c>
      <c r="H218" s="17">
        <v>51318</v>
      </c>
      <c r="I218" s="18">
        <f t="shared" si="37"/>
        <v>114183.40600232565</v>
      </c>
      <c r="J218" s="18">
        <f t="shared" si="30"/>
        <v>1216.0885736983614</v>
      </c>
      <c r="K218" s="18">
        <f t="shared" si="31"/>
        <v>454.86586701619035</v>
      </c>
      <c r="L218" s="16">
        <f t="shared" si="32"/>
        <v>4.7803709797228415E-2</v>
      </c>
      <c r="M218" s="18">
        <f t="shared" si="33"/>
        <v>761.22270668217107</v>
      </c>
      <c r="N218" s="16">
        <f t="shared" si="34"/>
        <v>0.08</v>
      </c>
      <c r="O218" s="18">
        <f t="shared" si="38"/>
        <v>52004.259864690532</v>
      </c>
      <c r="P218" s="18">
        <f t="shared" si="39"/>
        <v>207022.60633306051</v>
      </c>
      <c r="Q218" s="18">
        <f t="shared" si="35"/>
        <v>113728.54013530945</v>
      </c>
      <c r="R218" s="18">
        <f t="shared" si="36"/>
        <v>259026.86619775105</v>
      </c>
    </row>
    <row r="219" spans="7:18" x14ac:dyDescent="0.3">
      <c r="G219">
        <v>214</v>
      </c>
      <c r="H219" s="17">
        <v>51349</v>
      </c>
      <c r="I219" s="18">
        <f t="shared" si="37"/>
        <v>113728.54013530945</v>
      </c>
      <c r="J219" s="18">
        <f t="shared" si="30"/>
        <v>1216.0885736983614</v>
      </c>
      <c r="K219" s="18">
        <f t="shared" si="31"/>
        <v>457.89830612963169</v>
      </c>
      <c r="L219" s="16">
        <f t="shared" si="32"/>
        <v>4.8314870366032325E-2</v>
      </c>
      <c r="M219" s="18">
        <f t="shared" si="33"/>
        <v>758.19026756872972</v>
      </c>
      <c r="N219" s="16">
        <f t="shared" si="34"/>
        <v>0.08</v>
      </c>
      <c r="O219" s="18">
        <f t="shared" si="38"/>
        <v>52462.158170820163</v>
      </c>
      <c r="P219" s="18">
        <f t="shared" si="39"/>
        <v>207780.79660062923</v>
      </c>
      <c r="Q219" s="18">
        <f t="shared" si="35"/>
        <v>113270.64182917982</v>
      </c>
      <c r="R219" s="18">
        <f t="shared" si="36"/>
        <v>260242.95477144938</v>
      </c>
    </row>
    <row r="220" spans="7:18" x14ac:dyDescent="0.3">
      <c r="G220">
        <v>215</v>
      </c>
      <c r="H220" s="17">
        <v>51380</v>
      </c>
      <c r="I220" s="18">
        <f t="shared" si="37"/>
        <v>113270.64182917982</v>
      </c>
      <c r="J220" s="18">
        <f t="shared" si="30"/>
        <v>1216.0885736983614</v>
      </c>
      <c r="K220" s="18">
        <f t="shared" si="31"/>
        <v>460.95096150382926</v>
      </c>
      <c r="L220" s="16">
        <f t="shared" si="32"/>
        <v>4.883358519666299E-2</v>
      </c>
      <c r="M220" s="18">
        <f t="shared" si="33"/>
        <v>755.13761219453215</v>
      </c>
      <c r="N220" s="16">
        <f t="shared" si="34"/>
        <v>0.08</v>
      </c>
      <c r="O220" s="18">
        <f t="shared" si="38"/>
        <v>52923.109132323989</v>
      </c>
      <c r="P220" s="18">
        <f t="shared" si="39"/>
        <v>208535.93421282375</v>
      </c>
      <c r="Q220" s="18">
        <f t="shared" si="35"/>
        <v>112809.69086767599</v>
      </c>
      <c r="R220" s="18">
        <f t="shared" si="36"/>
        <v>261459.04334514774</v>
      </c>
    </row>
    <row r="221" spans="7:18" x14ac:dyDescent="0.3">
      <c r="G221">
        <v>216</v>
      </c>
      <c r="H221" s="17">
        <v>51410</v>
      </c>
      <c r="I221" s="18">
        <f t="shared" si="37"/>
        <v>112809.69086767599</v>
      </c>
      <c r="J221" s="18">
        <f t="shared" si="30"/>
        <v>1216.0885736983614</v>
      </c>
      <c r="K221" s="18">
        <f t="shared" si="31"/>
        <v>464.02396791385479</v>
      </c>
      <c r="L221" s="16">
        <f t="shared" si="32"/>
        <v>4.9360011291031472E-2</v>
      </c>
      <c r="M221" s="18">
        <f t="shared" si="33"/>
        <v>752.06460578450663</v>
      </c>
      <c r="N221" s="16">
        <f t="shared" si="34"/>
        <v>0.08</v>
      </c>
      <c r="O221" s="18">
        <f t="shared" si="38"/>
        <v>53387.133100237843</v>
      </c>
      <c r="P221" s="18">
        <f t="shared" si="39"/>
        <v>209287.99881860826</v>
      </c>
      <c r="Q221" s="18">
        <f t="shared" si="35"/>
        <v>112345.66689976213</v>
      </c>
      <c r="R221" s="18">
        <f t="shared" si="36"/>
        <v>262675.13191884611</v>
      </c>
    </row>
    <row r="222" spans="7:18" x14ac:dyDescent="0.3">
      <c r="G222">
        <v>217</v>
      </c>
      <c r="H222" s="17">
        <v>51441</v>
      </c>
      <c r="I222" s="18">
        <f t="shared" si="37"/>
        <v>112345.66689976213</v>
      </c>
      <c r="J222" s="18">
        <f t="shared" si="30"/>
        <v>1216.0885736983614</v>
      </c>
      <c r="K222" s="18">
        <f t="shared" si="31"/>
        <v>467.11746103328051</v>
      </c>
      <c r="L222" s="16">
        <f t="shared" si="32"/>
        <v>4.9894310008419512E-2</v>
      </c>
      <c r="M222" s="18">
        <f t="shared" si="33"/>
        <v>748.97111266508091</v>
      </c>
      <c r="N222" s="16">
        <f t="shared" si="34"/>
        <v>0.08</v>
      </c>
      <c r="O222" s="18">
        <f t="shared" si="38"/>
        <v>53854.250561271125</v>
      </c>
      <c r="P222" s="18">
        <f t="shared" si="39"/>
        <v>210036.96993127334</v>
      </c>
      <c r="Q222" s="18">
        <f t="shared" si="35"/>
        <v>111878.54943872885</v>
      </c>
      <c r="R222" s="18">
        <f t="shared" si="36"/>
        <v>263891.22049254447</v>
      </c>
    </row>
    <row r="223" spans="7:18" x14ac:dyDescent="0.3">
      <c r="G223">
        <v>218</v>
      </c>
      <c r="H223" s="17">
        <v>51471</v>
      </c>
      <c r="I223" s="18">
        <f t="shared" si="37"/>
        <v>111878.54943872885</v>
      </c>
      <c r="J223" s="18">
        <f t="shared" si="30"/>
        <v>1216.0885736983614</v>
      </c>
      <c r="K223" s="18">
        <f t="shared" si="31"/>
        <v>470.23157744016908</v>
      </c>
      <c r="L223" s="16">
        <f t="shared" si="32"/>
        <v>5.0436647217814885E-2</v>
      </c>
      <c r="M223" s="18">
        <f t="shared" si="33"/>
        <v>745.85699625819234</v>
      </c>
      <c r="N223" s="16">
        <f t="shared" si="34"/>
        <v>0.08</v>
      </c>
      <c r="O223" s="18">
        <f t="shared" si="38"/>
        <v>54324.482138711297</v>
      </c>
      <c r="P223" s="18">
        <f t="shared" si="39"/>
        <v>210782.82692753154</v>
      </c>
      <c r="Q223" s="18">
        <f t="shared" si="35"/>
        <v>111408.31786128868</v>
      </c>
      <c r="R223" s="18">
        <f t="shared" si="36"/>
        <v>265107.30906624283</v>
      </c>
    </row>
    <row r="224" spans="7:18" x14ac:dyDescent="0.3">
      <c r="G224">
        <v>219</v>
      </c>
      <c r="H224" s="17">
        <v>51502</v>
      </c>
      <c r="I224" s="18">
        <f t="shared" si="37"/>
        <v>111408.31786128868</v>
      </c>
      <c r="J224" s="18">
        <f t="shared" si="30"/>
        <v>1216.0885736983614</v>
      </c>
      <c r="K224" s="18">
        <f t="shared" si="31"/>
        <v>473.36645462310344</v>
      </c>
      <c r="L224" s="16">
        <f t="shared" si="32"/>
        <v>5.0987193456683746E-2</v>
      </c>
      <c r="M224" s="18">
        <f t="shared" si="33"/>
        <v>742.72211907525798</v>
      </c>
      <c r="N224" s="16">
        <f t="shared" si="34"/>
        <v>0.08</v>
      </c>
      <c r="O224" s="18">
        <f t="shared" si="38"/>
        <v>54797.848593334398</v>
      </c>
      <c r="P224" s="18">
        <f t="shared" si="39"/>
        <v>211525.54904660679</v>
      </c>
      <c r="Q224" s="18">
        <f t="shared" si="35"/>
        <v>110934.95140666558</v>
      </c>
      <c r="R224" s="18">
        <f t="shared" si="36"/>
        <v>266323.39763994119</v>
      </c>
    </row>
    <row r="225" spans="7:18" x14ac:dyDescent="0.3">
      <c r="G225">
        <v>220</v>
      </c>
      <c r="H225" s="17">
        <v>51533</v>
      </c>
      <c r="I225" s="18">
        <f t="shared" si="37"/>
        <v>110934.95140666558</v>
      </c>
      <c r="J225" s="18">
        <f t="shared" si="30"/>
        <v>1216.0885736983614</v>
      </c>
      <c r="K225" s="18">
        <f t="shared" si="31"/>
        <v>476.52223098725744</v>
      </c>
      <c r="L225" s="16">
        <f t="shared" si="32"/>
        <v>5.1546124096499168E-2</v>
      </c>
      <c r="M225" s="18">
        <f t="shared" si="33"/>
        <v>739.56634271110397</v>
      </c>
      <c r="N225" s="16">
        <f t="shared" si="34"/>
        <v>0.08</v>
      </c>
      <c r="O225" s="18">
        <f t="shared" si="38"/>
        <v>55274.370824321653</v>
      </c>
      <c r="P225" s="18">
        <f t="shared" si="39"/>
        <v>212265.11538931789</v>
      </c>
      <c r="Q225" s="18">
        <f t="shared" si="35"/>
        <v>110458.42917567832</v>
      </c>
      <c r="R225" s="18">
        <f t="shared" si="36"/>
        <v>267539.48621363955</v>
      </c>
    </row>
    <row r="226" spans="7:18" x14ac:dyDescent="0.3">
      <c r="G226">
        <v>221</v>
      </c>
      <c r="H226" s="17">
        <v>51561</v>
      </c>
      <c r="I226" s="18">
        <f t="shared" si="37"/>
        <v>110458.42917567832</v>
      </c>
      <c r="J226" s="18">
        <f t="shared" si="30"/>
        <v>1216.0885736983614</v>
      </c>
      <c r="K226" s="18">
        <f t="shared" si="31"/>
        <v>479.69904586050586</v>
      </c>
      <c r="L226" s="16">
        <f t="shared" si="32"/>
        <v>5.2113619515363897E-2</v>
      </c>
      <c r="M226" s="18">
        <f t="shared" si="33"/>
        <v>736.38952783785555</v>
      </c>
      <c r="N226" s="16">
        <f t="shared" si="34"/>
        <v>0.08</v>
      </c>
      <c r="O226" s="18">
        <f t="shared" si="38"/>
        <v>55754.06987018216</v>
      </c>
      <c r="P226" s="18">
        <f t="shared" si="39"/>
        <v>213001.50491715575</v>
      </c>
      <c r="Q226" s="18">
        <f t="shared" si="35"/>
        <v>109978.73012981782</v>
      </c>
      <c r="R226" s="18">
        <f t="shared" si="36"/>
        <v>268755.57478733792</v>
      </c>
    </row>
    <row r="227" spans="7:18" x14ac:dyDescent="0.3">
      <c r="G227">
        <v>222</v>
      </c>
      <c r="H227" s="17">
        <v>51592</v>
      </c>
      <c r="I227" s="18">
        <f t="shared" si="37"/>
        <v>109978.73012981782</v>
      </c>
      <c r="J227" s="18">
        <f t="shared" si="30"/>
        <v>1216.0885736983614</v>
      </c>
      <c r="K227" s="18">
        <f t="shared" si="31"/>
        <v>482.89703949957584</v>
      </c>
      <c r="L227" s="16">
        <f t="shared" si="32"/>
        <v>5.2689865278084475E-2</v>
      </c>
      <c r="M227" s="18">
        <f t="shared" si="33"/>
        <v>733.19153419878558</v>
      </c>
      <c r="N227" s="16">
        <f t="shared" si="34"/>
        <v>8.0000000000000016E-2</v>
      </c>
      <c r="O227" s="18">
        <f t="shared" si="38"/>
        <v>56236.966909681738</v>
      </c>
      <c r="P227" s="18">
        <f t="shared" si="39"/>
        <v>213734.69645135454</v>
      </c>
      <c r="Q227" s="18">
        <f t="shared" si="35"/>
        <v>109495.83309031825</v>
      </c>
      <c r="R227" s="18">
        <f t="shared" si="36"/>
        <v>269971.66336103628</v>
      </c>
    </row>
    <row r="228" spans="7:18" x14ac:dyDescent="0.3">
      <c r="G228">
        <v>223</v>
      </c>
      <c r="H228" s="17">
        <v>51622</v>
      </c>
      <c r="I228" s="18">
        <f t="shared" si="37"/>
        <v>109495.83309031825</v>
      </c>
      <c r="J228" s="18">
        <f t="shared" si="30"/>
        <v>1216.0885736983614</v>
      </c>
      <c r="K228" s="18">
        <f t="shared" si="31"/>
        <v>486.11635309623966</v>
      </c>
      <c r="L228" s="16">
        <f t="shared" si="32"/>
        <v>5.3275052324074895E-2</v>
      </c>
      <c r="M228" s="18">
        <f t="shared" si="33"/>
        <v>729.97222060212175</v>
      </c>
      <c r="N228" s="16">
        <f t="shared" si="34"/>
        <v>0.08</v>
      </c>
      <c r="O228" s="18">
        <f t="shared" si="38"/>
        <v>56723.083262777975</v>
      </c>
      <c r="P228" s="18">
        <f t="shared" si="39"/>
        <v>214464.66867195666</v>
      </c>
      <c r="Q228" s="18">
        <f t="shared" si="35"/>
        <v>109009.71673722201</v>
      </c>
      <c r="R228" s="18">
        <f t="shared" si="36"/>
        <v>271187.75193473464</v>
      </c>
    </row>
    <row r="229" spans="7:18" x14ac:dyDescent="0.3">
      <c r="G229">
        <v>224</v>
      </c>
      <c r="H229" s="17">
        <v>51653</v>
      </c>
      <c r="I229" s="18">
        <f t="shared" si="37"/>
        <v>109009.71673722201</v>
      </c>
      <c r="J229" s="18">
        <f t="shared" si="30"/>
        <v>1216.0885736983614</v>
      </c>
      <c r="K229" s="18">
        <f t="shared" si="31"/>
        <v>489.35712878354798</v>
      </c>
      <c r="L229" s="16">
        <f t="shared" si="32"/>
        <v>5.3869377163489579E-2</v>
      </c>
      <c r="M229" s="18">
        <f t="shared" si="33"/>
        <v>726.73144491481344</v>
      </c>
      <c r="N229" s="16">
        <f t="shared" si="34"/>
        <v>0.08</v>
      </c>
      <c r="O229" s="18">
        <f t="shared" si="38"/>
        <v>57212.440391561526</v>
      </c>
      <c r="P229" s="18">
        <f t="shared" si="39"/>
        <v>215191.40011687149</v>
      </c>
      <c r="Q229" s="18">
        <f t="shared" si="35"/>
        <v>108520.35960843846</v>
      </c>
      <c r="R229" s="18">
        <f t="shared" si="36"/>
        <v>272403.840508433</v>
      </c>
    </row>
    <row r="230" spans="7:18" x14ac:dyDescent="0.3">
      <c r="G230">
        <v>225</v>
      </c>
      <c r="H230" s="17">
        <v>51683</v>
      </c>
      <c r="I230" s="18">
        <f t="shared" si="37"/>
        <v>108520.35960843846</v>
      </c>
      <c r="J230" s="18">
        <f t="shared" si="30"/>
        <v>1216.0885736983614</v>
      </c>
      <c r="K230" s="18">
        <f t="shared" si="31"/>
        <v>492.61950964210496</v>
      </c>
      <c r="L230" s="16">
        <f t="shared" si="32"/>
        <v>5.4473042082009385E-2</v>
      </c>
      <c r="M230" s="18">
        <f t="shared" si="33"/>
        <v>723.46906405625646</v>
      </c>
      <c r="N230" s="16">
        <f t="shared" si="34"/>
        <v>0.08</v>
      </c>
      <c r="O230" s="18">
        <f t="shared" si="38"/>
        <v>57705.059901203633</v>
      </c>
      <c r="P230" s="18">
        <f t="shared" si="39"/>
        <v>215914.86918092775</v>
      </c>
      <c r="Q230" s="18">
        <f t="shared" si="35"/>
        <v>108027.74009879636</v>
      </c>
      <c r="R230" s="18">
        <f t="shared" si="36"/>
        <v>273619.92908213136</v>
      </c>
    </row>
    <row r="231" spans="7:18" x14ac:dyDescent="0.3">
      <c r="G231">
        <v>226</v>
      </c>
      <c r="H231" s="17">
        <v>51714</v>
      </c>
      <c r="I231" s="18">
        <f t="shared" si="37"/>
        <v>108027.74009879636</v>
      </c>
      <c r="J231" s="18">
        <f t="shared" si="30"/>
        <v>1216.0885736983614</v>
      </c>
      <c r="K231" s="18">
        <f t="shared" si="31"/>
        <v>495.90363970638566</v>
      </c>
      <c r="L231" s="16">
        <f t="shared" si="32"/>
        <v>5.5086255354729316E-2</v>
      </c>
      <c r="M231" s="18">
        <f t="shared" si="33"/>
        <v>720.18493399197575</v>
      </c>
      <c r="N231" s="16">
        <f t="shared" si="34"/>
        <v>0.08</v>
      </c>
      <c r="O231" s="18">
        <f t="shared" si="38"/>
        <v>58200.963540910016</v>
      </c>
      <c r="P231" s="18">
        <f t="shared" si="39"/>
        <v>216635.05411491974</v>
      </c>
      <c r="Q231" s="18">
        <f t="shared" si="35"/>
        <v>107531.83645908997</v>
      </c>
      <c r="R231" s="18">
        <f t="shared" si="36"/>
        <v>274836.01765582978</v>
      </c>
    </row>
    <row r="232" spans="7:18" x14ac:dyDescent="0.3">
      <c r="G232">
        <v>227</v>
      </c>
      <c r="H232" s="17">
        <v>51745</v>
      </c>
      <c r="I232" s="18">
        <f t="shared" si="37"/>
        <v>107531.83645908997</v>
      </c>
      <c r="J232" s="18">
        <f t="shared" si="30"/>
        <v>1216.0885736983614</v>
      </c>
      <c r="K232" s="18">
        <f t="shared" si="31"/>
        <v>499.20966397109487</v>
      </c>
      <c r="L232" s="16">
        <f t="shared" si="32"/>
        <v>5.5709231469623463E-2</v>
      </c>
      <c r="M232" s="18">
        <f t="shared" si="33"/>
        <v>716.87890972726655</v>
      </c>
      <c r="N232" s="16">
        <f t="shared" si="34"/>
        <v>0.08</v>
      </c>
      <c r="O232" s="18">
        <f t="shared" si="38"/>
        <v>58700.17320488111</v>
      </c>
      <c r="P232" s="18">
        <f t="shared" si="39"/>
        <v>217351.93302464701</v>
      </c>
      <c r="Q232" s="18">
        <f t="shared" si="35"/>
        <v>107032.62679511888</v>
      </c>
      <c r="R232" s="18">
        <f t="shared" si="36"/>
        <v>276052.10622952809</v>
      </c>
    </row>
    <row r="233" spans="7:18" x14ac:dyDescent="0.3">
      <c r="G233">
        <v>228</v>
      </c>
      <c r="H233" s="17">
        <v>51775</v>
      </c>
      <c r="I233" s="18">
        <f t="shared" si="37"/>
        <v>107032.62679511888</v>
      </c>
      <c r="J233" s="18">
        <f t="shared" si="30"/>
        <v>1216.0885736983614</v>
      </c>
      <c r="K233" s="18">
        <f t="shared" si="31"/>
        <v>502.5377283975688</v>
      </c>
      <c r="L233" s="16">
        <f t="shared" si="32"/>
        <v>5.6342191361091018E-2</v>
      </c>
      <c r="M233" s="18">
        <f t="shared" si="33"/>
        <v>713.55084530079262</v>
      </c>
      <c r="N233" s="16">
        <f t="shared" si="34"/>
        <v>8.0000000000000016E-2</v>
      </c>
      <c r="O233" s="18">
        <f t="shared" si="38"/>
        <v>59202.710933278679</v>
      </c>
      <c r="P233" s="18">
        <f t="shared" si="39"/>
        <v>218065.48386994778</v>
      </c>
      <c r="Q233" s="18">
        <f t="shared" si="35"/>
        <v>106530.08906672131</v>
      </c>
      <c r="R233" s="18">
        <f t="shared" si="36"/>
        <v>277268.19480322645</v>
      </c>
    </row>
    <row r="234" spans="7:18" x14ac:dyDescent="0.3">
      <c r="G234">
        <v>229</v>
      </c>
      <c r="H234" s="17">
        <v>51806</v>
      </c>
      <c r="I234" s="18">
        <f t="shared" si="37"/>
        <v>106530.08906672131</v>
      </c>
      <c r="J234" s="18">
        <f t="shared" si="30"/>
        <v>1216.0885736983614</v>
      </c>
      <c r="K234" s="18">
        <f t="shared" si="31"/>
        <v>505.88797992021932</v>
      </c>
      <c r="L234" s="16">
        <f t="shared" si="32"/>
        <v>5.698536265411825E-2</v>
      </c>
      <c r="M234" s="18">
        <f t="shared" si="33"/>
        <v>710.20059377814209</v>
      </c>
      <c r="N234" s="16">
        <f t="shared" si="34"/>
        <v>0.08</v>
      </c>
      <c r="O234" s="18">
        <f t="shared" si="38"/>
        <v>59708.598913198897</v>
      </c>
      <c r="P234" s="18">
        <f t="shared" si="39"/>
        <v>218775.68446372592</v>
      </c>
      <c r="Q234" s="18">
        <f t="shared" si="35"/>
        <v>106024.20108680108</v>
      </c>
      <c r="R234" s="18">
        <f t="shared" si="36"/>
        <v>278484.28337692481</v>
      </c>
    </row>
    <row r="235" spans="7:18" x14ac:dyDescent="0.3">
      <c r="G235">
        <v>230</v>
      </c>
      <c r="H235" s="17">
        <v>51836</v>
      </c>
      <c r="I235" s="18">
        <f t="shared" si="37"/>
        <v>106024.20108680108</v>
      </c>
      <c r="J235" s="18">
        <f t="shared" si="30"/>
        <v>1216.0885736983614</v>
      </c>
      <c r="K235" s="18">
        <f t="shared" si="31"/>
        <v>509.26056645302083</v>
      </c>
      <c r="L235" s="16">
        <f t="shared" si="32"/>
        <v>5.7638979919623481E-2</v>
      </c>
      <c r="M235" s="18">
        <f t="shared" si="33"/>
        <v>706.82800724534059</v>
      </c>
      <c r="N235" s="16">
        <f t="shared" si="34"/>
        <v>0.08</v>
      </c>
      <c r="O235" s="18">
        <f t="shared" si="38"/>
        <v>60217.859479651917</v>
      </c>
      <c r="P235" s="18">
        <f t="shared" si="39"/>
        <v>219482.51247097127</v>
      </c>
      <c r="Q235" s="18">
        <f t="shared" si="35"/>
        <v>105514.94052034806</v>
      </c>
      <c r="R235" s="18">
        <f t="shared" si="36"/>
        <v>279700.37195062317</v>
      </c>
    </row>
    <row r="236" spans="7:18" x14ac:dyDescent="0.3">
      <c r="G236">
        <v>231</v>
      </c>
      <c r="H236" s="17">
        <v>51867</v>
      </c>
      <c r="I236" s="18">
        <f t="shared" si="37"/>
        <v>105514.94052034806</v>
      </c>
      <c r="J236" s="18">
        <f t="shared" si="30"/>
        <v>1216.0885736983614</v>
      </c>
      <c r="K236" s="18">
        <f t="shared" si="31"/>
        <v>512.65563689604096</v>
      </c>
      <c r="L236" s="16">
        <f t="shared" si="32"/>
        <v>5.8303284941587333E-2</v>
      </c>
      <c r="M236" s="18">
        <f t="shared" si="33"/>
        <v>703.43293680232046</v>
      </c>
      <c r="N236" s="16">
        <f t="shared" si="34"/>
        <v>0.08</v>
      </c>
      <c r="O236" s="18">
        <f t="shared" si="38"/>
        <v>60730.515116547962</v>
      </c>
      <c r="P236" s="18">
        <f t="shared" si="39"/>
        <v>220185.9454077736</v>
      </c>
      <c r="Q236" s="18">
        <f t="shared" si="35"/>
        <v>105002.28488345201</v>
      </c>
      <c r="R236" s="18">
        <f t="shared" si="36"/>
        <v>280916.46052432153</v>
      </c>
    </row>
    <row r="237" spans="7:18" x14ac:dyDescent="0.3">
      <c r="G237">
        <v>232</v>
      </c>
      <c r="H237" s="17">
        <v>51898</v>
      </c>
      <c r="I237" s="18">
        <f t="shared" si="37"/>
        <v>105002.28488345201</v>
      </c>
      <c r="J237" s="18">
        <f t="shared" si="30"/>
        <v>1216.0885736983614</v>
      </c>
      <c r="K237" s="18">
        <f t="shared" si="31"/>
        <v>516.07334114201467</v>
      </c>
      <c r="L237" s="16">
        <f t="shared" si="32"/>
        <v>5.8978526996607786E-2</v>
      </c>
      <c r="M237" s="18">
        <f t="shared" si="33"/>
        <v>700.01523255634675</v>
      </c>
      <c r="N237" s="16">
        <f t="shared" si="34"/>
        <v>0.08</v>
      </c>
      <c r="O237" s="18">
        <f t="shared" si="38"/>
        <v>61246.588457689977</v>
      </c>
      <c r="P237" s="18">
        <f t="shared" si="39"/>
        <v>220885.96064032995</v>
      </c>
      <c r="Q237" s="18">
        <f t="shared" si="35"/>
        <v>104486.21154231</v>
      </c>
      <c r="R237" s="18">
        <f t="shared" si="36"/>
        <v>282132.54909801995</v>
      </c>
    </row>
    <row r="238" spans="7:18" x14ac:dyDescent="0.3">
      <c r="G238">
        <v>233</v>
      </c>
      <c r="H238" s="17">
        <v>51926</v>
      </c>
      <c r="I238" s="18">
        <f t="shared" si="37"/>
        <v>104486.21154231</v>
      </c>
      <c r="J238" s="18">
        <f t="shared" si="30"/>
        <v>1216.0885736983614</v>
      </c>
      <c r="K238" s="18">
        <f t="shared" si="31"/>
        <v>519.51383008296136</v>
      </c>
      <c r="L238" s="16">
        <f t="shared" si="32"/>
        <v>5.9664963146559405E-2</v>
      </c>
      <c r="M238" s="18">
        <f t="shared" si="33"/>
        <v>696.57474361540005</v>
      </c>
      <c r="N238" s="16">
        <f t="shared" si="34"/>
        <v>0.08</v>
      </c>
      <c r="O238" s="18">
        <f t="shared" si="38"/>
        <v>61766.102287772941</v>
      </c>
      <c r="P238" s="18">
        <f t="shared" si="39"/>
        <v>221582.53538394536</v>
      </c>
      <c r="Q238" s="18">
        <f t="shared" si="35"/>
        <v>103966.69771222705</v>
      </c>
      <c r="R238" s="18">
        <f t="shared" si="36"/>
        <v>283348.63767171832</v>
      </c>
    </row>
    <row r="239" spans="7:18" x14ac:dyDescent="0.3">
      <c r="G239">
        <v>234</v>
      </c>
      <c r="H239" s="17">
        <v>51957</v>
      </c>
      <c r="I239" s="18">
        <f t="shared" si="37"/>
        <v>103966.69771222705</v>
      </c>
      <c r="J239" s="18">
        <f t="shared" si="30"/>
        <v>1216.0885736983614</v>
      </c>
      <c r="K239" s="18">
        <f t="shared" si="31"/>
        <v>522.97725561684774</v>
      </c>
      <c r="L239" s="16">
        <f t="shared" si="32"/>
        <v>6.0362858545079223E-2</v>
      </c>
      <c r="M239" s="18">
        <f t="shared" si="33"/>
        <v>693.11131808151367</v>
      </c>
      <c r="N239" s="16">
        <f t="shared" si="34"/>
        <v>0.08</v>
      </c>
      <c r="O239" s="18">
        <f t="shared" si="38"/>
        <v>62289.079543389787</v>
      </c>
      <c r="P239" s="18">
        <f t="shared" si="39"/>
        <v>222275.64670202686</v>
      </c>
      <c r="Q239" s="18">
        <f t="shared" si="35"/>
        <v>103443.7204566102</v>
      </c>
      <c r="R239" s="18">
        <f t="shared" si="36"/>
        <v>284564.72624541668</v>
      </c>
    </row>
    <row r="240" spans="7:18" x14ac:dyDescent="0.3">
      <c r="G240">
        <v>235</v>
      </c>
      <c r="H240" s="17">
        <v>51987</v>
      </c>
      <c r="I240" s="18">
        <f t="shared" si="37"/>
        <v>103443.7204566102</v>
      </c>
      <c r="J240" s="18">
        <f t="shared" si="30"/>
        <v>1216.0885736983614</v>
      </c>
      <c r="K240" s="18">
        <f t="shared" si="31"/>
        <v>526.4637706542934</v>
      </c>
      <c r="L240" s="16">
        <f t="shared" si="32"/>
        <v>6.1072486758647127E-2</v>
      </c>
      <c r="M240" s="18">
        <f t="shared" si="33"/>
        <v>689.62480304406802</v>
      </c>
      <c r="N240" s="16">
        <f t="shared" si="34"/>
        <v>0.08</v>
      </c>
      <c r="O240" s="18">
        <f t="shared" si="38"/>
        <v>62815.54331404408</v>
      </c>
      <c r="P240" s="18">
        <f t="shared" si="39"/>
        <v>222965.27150507094</v>
      </c>
      <c r="Q240" s="18">
        <f t="shared" si="35"/>
        <v>102917.2566859559</v>
      </c>
      <c r="R240" s="18">
        <f t="shared" si="36"/>
        <v>285780.81481911504</v>
      </c>
    </row>
    <row r="241" spans="7:18" x14ac:dyDescent="0.3">
      <c r="G241">
        <v>236</v>
      </c>
      <c r="H241" s="17">
        <v>52018</v>
      </c>
      <c r="I241" s="18">
        <f t="shared" si="37"/>
        <v>102917.2566859559</v>
      </c>
      <c r="J241" s="18">
        <f t="shared" si="30"/>
        <v>1216.0885736983614</v>
      </c>
      <c r="K241" s="18">
        <f t="shared" si="31"/>
        <v>529.97352912532199</v>
      </c>
      <c r="L241" s="16">
        <f t="shared" si="32"/>
        <v>6.1794130103078299E-2</v>
      </c>
      <c r="M241" s="18">
        <f t="shared" si="33"/>
        <v>686.11504457303943</v>
      </c>
      <c r="N241" s="16">
        <f t="shared" si="34"/>
        <v>0.08</v>
      </c>
      <c r="O241" s="18">
        <f t="shared" si="38"/>
        <v>63345.516843169404</v>
      </c>
      <c r="P241" s="18">
        <f t="shared" si="39"/>
        <v>223651.38654964397</v>
      </c>
      <c r="Q241" s="18">
        <f t="shared" si="35"/>
        <v>102387.28315683058</v>
      </c>
      <c r="R241" s="18">
        <f t="shared" si="36"/>
        <v>286996.9033928134</v>
      </c>
    </row>
    <row r="242" spans="7:18" x14ac:dyDescent="0.3">
      <c r="G242">
        <v>237</v>
      </c>
      <c r="H242" s="17">
        <v>52048</v>
      </c>
      <c r="I242" s="18">
        <f t="shared" si="37"/>
        <v>102387.28315683058</v>
      </c>
      <c r="J242" s="18">
        <f t="shared" si="30"/>
        <v>1216.0885736983614</v>
      </c>
      <c r="K242" s="18">
        <f t="shared" si="31"/>
        <v>533.50668598615744</v>
      </c>
      <c r="L242" s="16">
        <f t="shared" si="32"/>
        <v>6.2528079996297725E-2</v>
      </c>
      <c r="M242" s="18">
        <f t="shared" si="33"/>
        <v>682.58188771220398</v>
      </c>
      <c r="N242" s="16">
        <f t="shared" si="34"/>
        <v>0.08</v>
      </c>
      <c r="O242" s="18">
        <f t="shared" si="38"/>
        <v>63879.023529155558</v>
      </c>
      <c r="P242" s="18">
        <f t="shared" si="39"/>
        <v>224333.96843735618</v>
      </c>
      <c r="Q242" s="18">
        <f t="shared" si="35"/>
        <v>101853.77647084443</v>
      </c>
      <c r="R242" s="18">
        <f t="shared" si="36"/>
        <v>288212.9919665117</v>
      </c>
    </row>
    <row r="243" spans="7:18" x14ac:dyDescent="0.3">
      <c r="G243">
        <v>238</v>
      </c>
      <c r="H243" s="17">
        <v>52079</v>
      </c>
      <c r="I243" s="18">
        <f t="shared" si="37"/>
        <v>101853.77647084443</v>
      </c>
      <c r="J243" s="18">
        <f t="shared" si="30"/>
        <v>1216.0885736983614</v>
      </c>
      <c r="K243" s="18">
        <f t="shared" si="31"/>
        <v>537.06339722606515</v>
      </c>
      <c r="L243" s="16">
        <f t="shared" si="32"/>
        <v>6.3274637328323211E-2</v>
      </c>
      <c r="M243" s="18">
        <f t="shared" si="33"/>
        <v>679.02517647229627</v>
      </c>
      <c r="N243" s="16">
        <f t="shared" si="34"/>
        <v>0.08</v>
      </c>
      <c r="O243" s="18">
        <f t="shared" si="38"/>
        <v>64416.08692638162</v>
      </c>
      <c r="P243" s="18">
        <f t="shared" si="39"/>
        <v>225012.99361382847</v>
      </c>
      <c r="Q243" s="18">
        <f t="shared" si="35"/>
        <v>101316.71307361836</v>
      </c>
      <c r="R243" s="18">
        <f t="shared" si="36"/>
        <v>289429.08054021007</v>
      </c>
    </row>
    <row r="244" spans="7:18" x14ac:dyDescent="0.3">
      <c r="G244">
        <v>239</v>
      </c>
      <c r="H244" s="17">
        <v>52110</v>
      </c>
      <c r="I244" s="18">
        <f t="shared" si="37"/>
        <v>101316.71307361836</v>
      </c>
      <c r="J244" s="18">
        <f t="shared" si="30"/>
        <v>1216.0885736983614</v>
      </c>
      <c r="K244" s="18">
        <f t="shared" si="31"/>
        <v>540.64381987423894</v>
      </c>
      <c r="L244" s="16">
        <f t="shared" si="32"/>
        <v>6.4034112849444505E-2</v>
      </c>
      <c r="M244" s="18">
        <f t="shared" si="33"/>
        <v>675.44475382412247</v>
      </c>
      <c r="N244" s="16">
        <f t="shared" si="34"/>
        <v>0.08</v>
      </c>
      <c r="O244" s="18">
        <f t="shared" si="38"/>
        <v>64956.73074625586</v>
      </c>
      <c r="P244" s="18">
        <f t="shared" si="39"/>
        <v>225688.43836765259</v>
      </c>
      <c r="Q244" s="18">
        <f t="shared" si="35"/>
        <v>100776.06925374412</v>
      </c>
      <c r="R244" s="18">
        <f t="shared" si="36"/>
        <v>290645.16911390843</v>
      </c>
    </row>
    <row r="245" spans="7:18" x14ac:dyDescent="0.3">
      <c r="G245">
        <v>240</v>
      </c>
      <c r="H245" s="17">
        <v>52140</v>
      </c>
      <c r="I245" s="18">
        <f t="shared" si="37"/>
        <v>100776.06925374412</v>
      </c>
      <c r="J245" s="18">
        <f t="shared" si="30"/>
        <v>1216.0885736983614</v>
      </c>
      <c r="K245" s="18">
        <f t="shared" si="31"/>
        <v>544.24811200673389</v>
      </c>
      <c r="L245" s="16">
        <f t="shared" si="32"/>
        <v>6.4806827577650952E-2</v>
      </c>
      <c r="M245" s="18">
        <f t="shared" si="33"/>
        <v>671.84046169162752</v>
      </c>
      <c r="N245" s="16">
        <f t="shared" si="34"/>
        <v>0.08</v>
      </c>
      <c r="O245" s="18">
        <f t="shared" si="38"/>
        <v>65500.978858262592</v>
      </c>
      <c r="P245" s="18">
        <f t="shared" si="39"/>
        <v>226360.27882934423</v>
      </c>
      <c r="Q245" s="18">
        <f t="shared" si="35"/>
        <v>100231.82114173738</v>
      </c>
      <c r="R245" s="18">
        <f t="shared" si="36"/>
        <v>291861.25768760685</v>
      </c>
    </row>
    <row r="246" spans="7:18" x14ac:dyDescent="0.3">
      <c r="G246">
        <v>241</v>
      </c>
      <c r="H246" s="17">
        <v>52171</v>
      </c>
      <c r="I246" s="18">
        <f t="shared" si="37"/>
        <v>100231.82114173738</v>
      </c>
      <c r="J246" s="18">
        <f t="shared" si="30"/>
        <v>1216.0885736983614</v>
      </c>
      <c r="K246" s="18">
        <f t="shared" si="31"/>
        <v>547.87643275344544</v>
      </c>
      <c r="L246" s="16">
        <f t="shared" si="32"/>
        <v>6.5593113226430841E-2</v>
      </c>
      <c r="M246" s="18">
        <f t="shared" si="33"/>
        <v>668.21214094491597</v>
      </c>
      <c r="N246" s="16">
        <f t="shared" si="34"/>
        <v>8.0000000000000016E-2</v>
      </c>
      <c r="O246" s="18">
        <f t="shared" si="38"/>
        <v>66048.855291016036</v>
      </c>
      <c r="P246" s="18">
        <f t="shared" si="39"/>
        <v>227028.49097028913</v>
      </c>
      <c r="Q246" s="18">
        <f t="shared" si="35"/>
        <v>99683.944708983938</v>
      </c>
      <c r="R246" s="18">
        <f t="shared" si="36"/>
        <v>293077.34626130515</v>
      </c>
    </row>
    <row r="247" spans="7:18" x14ac:dyDescent="0.3">
      <c r="G247">
        <v>242</v>
      </c>
      <c r="H247" s="17">
        <v>52201</v>
      </c>
      <c r="I247" s="18">
        <f t="shared" si="37"/>
        <v>99683.944708983938</v>
      </c>
      <c r="J247" s="18">
        <f t="shared" si="30"/>
        <v>1216.0885736983614</v>
      </c>
      <c r="K247" s="18">
        <f t="shared" si="31"/>
        <v>551.52894230513516</v>
      </c>
      <c r="L247" s="16">
        <f t="shared" si="32"/>
        <v>6.6393312654140474E-2</v>
      </c>
      <c r="M247" s="18">
        <f t="shared" si="33"/>
        <v>664.55963139322625</v>
      </c>
      <c r="N247" s="16">
        <f t="shared" si="34"/>
        <v>0.08</v>
      </c>
      <c r="O247" s="18">
        <f t="shared" si="38"/>
        <v>66600.384233321165</v>
      </c>
      <c r="P247" s="18">
        <f t="shared" si="39"/>
        <v>227693.05060168236</v>
      </c>
      <c r="Q247" s="18">
        <f t="shared" si="35"/>
        <v>99132.415766678809</v>
      </c>
      <c r="R247" s="18">
        <f t="shared" si="36"/>
        <v>294293.43483500351</v>
      </c>
    </row>
    <row r="248" spans="7:18" x14ac:dyDescent="0.3">
      <c r="G248">
        <v>243</v>
      </c>
      <c r="H248" s="17">
        <v>52232</v>
      </c>
      <c r="I248" s="18">
        <f t="shared" si="37"/>
        <v>99132.415766678809</v>
      </c>
      <c r="J248" s="18">
        <f t="shared" si="30"/>
        <v>1216.0885736983614</v>
      </c>
      <c r="K248" s="18">
        <f t="shared" si="31"/>
        <v>555.20580192050261</v>
      </c>
      <c r="L248" s="16">
        <f t="shared" si="32"/>
        <v>6.7207780336222517E-2</v>
      </c>
      <c r="M248" s="18">
        <f t="shared" si="33"/>
        <v>660.88277177785881</v>
      </c>
      <c r="N248" s="16">
        <f t="shared" si="34"/>
        <v>0.08</v>
      </c>
      <c r="O248" s="18">
        <f t="shared" si="38"/>
        <v>67155.590035241665</v>
      </c>
      <c r="P248" s="18">
        <f t="shared" si="39"/>
        <v>228353.93337346023</v>
      </c>
      <c r="Q248" s="18">
        <f t="shared" si="35"/>
        <v>98577.209964758309</v>
      </c>
      <c r="R248" s="18">
        <f t="shared" si="36"/>
        <v>295509.52340870188</v>
      </c>
    </row>
    <row r="249" spans="7:18" x14ac:dyDescent="0.3">
      <c r="G249">
        <v>244</v>
      </c>
      <c r="H249" s="17">
        <v>52263</v>
      </c>
      <c r="I249" s="18">
        <f t="shared" si="37"/>
        <v>98577.209964758309</v>
      </c>
      <c r="J249" s="18">
        <f t="shared" si="30"/>
        <v>1216.0885736983614</v>
      </c>
      <c r="K249" s="18">
        <f t="shared" si="31"/>
        <v>558.90717393330601</v>
      </c>
      <c r="L249" s="16">
        <f t="shared" si="32"/>
        <v>6.803688286164121E-2</v>
      </c>
      <c r="M249" s="18">
        <f t="shared" si="33"/>
        <v>657.1813997650554</v>
      </c>
      <c r="N249" s="16">
        <f t="shared" si="34"/>
        <v>0.08</v>
      </c>
      <c r="O249" s="18">
        <f t="shared" si="38"/>
        <v>67714.497209174966</v>
      </c>
      <c r="P249" s="18">
        <f t="shared" si="39"/>
        <v>229011.11477322527</v>
      </c>
      <c r="Q249" s="18">
        <f t="shared" si="35"/>
        <v>98018.302790825008</v>
      </c>
      <c r="R249" s="18">
        <f t="shared" si="36"/>
        <v>296725.61198240024</v>
      </c>
    </row>
    <row r="250" spans="7:18" x14ac:dyDescent="0.3">
      <c r="G250">
        <v>245</v>
      </c>
      <c r="H250" s="17">
        <v>52291</v>
      </c>
      <c r="I250" s="18">
        <f t="shared" si="37"/>
        <v>98018.302790825008</v>
      </c>
      <c r="J250" s="18">
        <f t="shared" si="30"/>
        <v>1216.0885736983614</v>
      </c>
      <c r="K250" s="18">
        <f t="shared" si="31"/>
        <v>562.63322175952794</v>
      </c>
      <c r="L250" s="16">
        <f t="shared" si="32"/>
        <v>6.8880999454994832E-2</v>
      </c>
      <c r="M250" s="18">
        <f t="shared" si="33"/>
        <v>653.45535193883347</v>
      </c>
      <c r="N250" s="16">
        <f t="shared" si="34"/>
        <v>8.0000000000000016E-2</v>
      </c>
      <c r="O250" s="18">
        <f t="shared" si="38"/>
        <v>68277.1304309345</v>
      </c>
      <c r="P250" s="18">
        <f t="shared" si="39"/>
        <v>229664.57012516411</v>
      </c>
      <c r="Q250" s="18">
        <f t="shared" si="35"/>
        <v>97455.669569065474</v>
      </c>
      <c r="R250" s="18">
        <f t="shared" si="36"/>
        <v>297941.7005560986</v>
      </c>
    </row>
    <row r="251" spans="7:18" x14ac:dyDescent="0.3">
      <c r="G251">
        <v>246</v>
      </c>
      <c r="H251" s="17">
        <v>52322</v>
      </c>
      <c r="I251" s="18">
        <f t="shared" si="37"/>
        <v>97455.669569065474</v>
      </c>
      <c r="J251" s="18">
        <f t="shared" si="30"/>
        <v>1216.0885736983614</v>
      </c>
      <c r="K251" s="18">
        <f t="shared" si="31"/>
        <v>566.38410990459158</v>
      </c>
      <c r="L251" s="16">
        <f t="shared" si="32"/>
        <v>6.9740522525869431E-2</v>
      </c>
      <c r="M251" s="18">
        <f t="shared" si="33"/>
        <v>649.70446379376983</v>
      </c>
      <c r="N251" s="16">
        <f t="shared" si="34"/>
        <v>0.08</v>
      </c>
      <c r="O251" s="18">
        <f t="shared" si="38"/>
        <v>68843.514540839096</v>
      </c>
      <c r="P251" s="18">
        <f t="shared" si="39"/>
        <v>230314.27458895789</v>
      </c>
      <c r="Q251" s="18">
        <f t="shared" si="35"/>
        <v>96889.285459160878</v>
      </c>
      <c r="R251" s="18">
        <f t="shared" si="36"/>
        <v>299157.78912979702</v>
      </c>
    </row>
    <row r="252" spans="7:18" x14ac:dyDescent="0.3">
      <c r="G252">
        <v>247</v>
      </c>
      <c r="H252" s="17">
        <v>52352</v>
      </c>
      <c r="I252" s="18">
        <f t="shared" si="37"/>
        <v>96889.285459160878</v>
      </c>
      <c r="J252" s="18">
        <f t="shared" si="30"/>
        <v>1216.0885736983614</v>
      </c>
      <c r="K252" s="18">
        <f t="shared" si="31"/>
        <v>570.16000397062214</v>
      </c>
      <c r="L252" s="16">
        <f t="shared" si="32"/>
        <v>7.0615858247105728E-2</v>
      </c>
      <c r="M252" s="18">
        <f t="shared" si="33"/>
        <v>645.92856972773927</v>
      </c>
      <c r="N252" s="16">
        <f t="shared" si="34"/>
        <v>8.0000000000000016E-2</v>
      </c>
      <c r="O252" s="18">
        <f t="shared" si="38"/>
        <v>69413.674544809721</v>
      </c>
      <c r="P252" s="18">
        <f t="shared" si="39"/>
        <v>230960.20315868565</v>
      </c>
      <c r="Q252" s="18">
        <f t="shared" si="35"/>
        <v>96319.125455190253</v>
      </c>
      <c r="R252" s="18">
        <f t="shared" si="36"/>
        <v>300373.87770349538</v>
      </c>
    </row>
    <row r="253" spans="7:18" x14ac:dyDescent="0.3">
      <c r="G253">
        <v>248</v>
      </c>
      <c r="H253" s="17">
        <v>52383</v>
      </c>
      <c r="I253" s="18">
        <f t="shared" si="37"/>
        <v>96319.125455190253</v>
      </c>
      <c r="J253" s="18">
        <f t="shared" si="30"/>
        <v>1216.0885736983614</v>
      </c>
      <c r="K253" s="18">
        <f t="shared" si="31"/>
        <v>573.96107066375964</v>
      </c>
      <c r="L253" s="16">
        <f t="shared" si="32"/>
        <v>7.1507427163770759E-2</v>
      </c>
      <c r="M253" s="18">
        <f t="shared" si="33"/>
        <v>642.12750303460177</v>
      </c>
      <c r="N253" s="16">
        <f t="shared" si="34"/>
        <v>8.0000000000000016E-2</v>
      </c>
      <c r="O253" s="18">
        <f t="shared" si="38"/>
        <v>69987.635615473482</v>
      </c>
      <c r="P253" s="18">
        <f t="shared" si="39"/>
        <v>231602.33066172025</v>
      </c>
      <c r="Q253" s="18">
        <f t="shared" si="35"/>
        <v>95745.164384526492</v>
      </c>
      <c r="R253" s="18">
        <f t="shared" si="36"/>
        <v>301589.96627719374</v>
      </c>
    </row>
    <row r="254" spans="7:18" x14ac:dyDescent="0.3">
      <c r="G254">
        <v>249</v>
      </c>
      <c r="H254" s="17">
        <v>52413</v>
      </c>
      <c r="I254" s="18">
        <f t="shared" si="37"/>
        <v>95745.164384526492</v>
      </c>
      <c r="J254" s="18">
        <f t="shared" si="30"/>
        <v>1216.0885736983614</v>
      </c>
      <c r="K254" s="18">
        <f t="shared" si="31"/>
        <v>577.78747780151809</v>
      </c>
      <c r="L254" s="16">
        <f t="shared" si="32"/>
        <v>7.2415664834753174E-2</v>
      </c>
      <c r="M254" s="18">
        <f t="shared" si="33"/>
        <v>638.30109589684332</v>
      </c>
      <c r="N254" s="16">
        <f t="shared" si="34"/>
        <v>0.08</v>
      </c>
      <c r="O254" s="18">
        <f t="shared" si="38"/>
        <v>70565.423093275007</v>
      </c>
      <c r="P254" s="18">
        <f t="shared" si="39"/>
        <v>232240.63175761708</v>
      </c>
      <c r="Q254" s="18">
        <f t="shared" si="35"/>
        <v>95167.376906724967</v>
      </c>
      <c r="R254" s="18">
        <f t="shared" si="36"/>
        <v>302806.05485089211</v>
      </c>
    </row>
    <row r="255" spans="7:18" x14ac:dyDescent="0.3">
      <c r="G255">
        <v>250</v>
      </c>
      <c r="H255" s="17">
        <v>52444</v>
      </c>
      <c r="I255" s="18">
        <f t="shared" si="37"/>
        <v>95167.376906724967</v>
      </c>
      <c r="J255" s="18">
        <f t="shared" si="30"/>
        <v>1216.0885736983614</v>
      </c>
      <c r="K255" s="18">
        <f t="shared" si="31"/>
        <v>581.63939432019492</v>
      </c>
      <c r="L255" s="16">
        <f t="shared" si="32"/>
        <v>7.3341022509039261E-2</v>
      </c>
      <c r="M255" s="18">
        <f t="shared" si="33"/>
        <v>634.44917937816649</v>
      </c>
      <c r="N255" s="16">
        <f t="shared" si="34"/>
        <v>0.08</v>
      </c>
      <c r="O255" s="18">
        <f t="shared" si="38"/>
        <v>71147.062487595205</v>
      </c>
      <c r="P255" s="18">
        <f t="shared" si="39"/>
        <v>232875.08093699525</v>
      </c>
      <c r="Q255" s="18">
        <f t="shared" si="35"/>
        <v>94585.737512404768</v>
      </c>
      <c r="R255" s="18">
        <f t="shared" si="36"/>
        <v>304022.14342459047</v>
      </c>
    </row>
    <row r="256" spans="7:18" x14ac:dyDescent="0.3">
      <c r="G256">
        <v>251</v>
      </c>
      <c r="H256" s="17">
        <v>52475</v>
      </c>
      <c r="I256" s="18">
        <f t="shared" si="37"/>
        <v>94585.737512404768</v>
      </c>
      <c r="J256" s="18">
        <f t="shared" si="30"/>
        <v>1216.0885736983614</v>
      </c>
      <c r="K256" s="18">
        <f t="shared" si="31"/>
        <v>585.51699028232963</v>
      </c>
      <c r="L256" s="16">
        <f t="shared" si="32"/>
        <v>7.4283967838877196E-2</v>
      </c>
      <c r="M256" s="18">
        <f t="shared" si="33"/>
        <v>630.57158341603179</v>
      </c>
      <c r="N256" s="16">
        <f t="shared" si="34"/>
        <v>7.9999999999999988E-2</v>
      </c>
      <c r="O256" s="18">
        <f t="shared" si="38"/>
        <v>71732.579477877531</v>
      </c>
      <c r="P256" s="18">
        <f t="shared" si="39"/>
        <v>233505.65252041127</v>
      </c>
      <c r="Q256" s="18">
        <f t="shared" si="35"/>
        <v>94000.220522122443</v>
      </c>
      <c r="R256" s="18">
        <f t="shared" si="36"/>
        <v>305238.23199828877</v>
      </c>
    </row>
    <row r="257" spans="7:18" x14ac:dyDescent="0.3">
      <c r="G257">
        <v>252</v>
      </c>
      <c r="H257" s="17">
        <v>52505</v>
      </c>
      <c r="I257" s="18">
        <f t="shared" si="37"/>
        <v>94000.220522122443</v>
      </c>
      <c r="J257" s="18">
        <f t="shared" si="30"/>
        <v>1216.0885736983614</v>
      </c>
      <c r="K257" s="18">
        <f t="shared" si="31"/>
        <v>589.42043688421177</v>
      </c>
      <c r="L257" s="16">
        <f t="shared" si="32"/>
        <v>7.5244985632197947E-2</v>
      </c>
      <c r="M257" s="18">
        <f t="shared" si="33"/>
        <v>626.66813681414965</v>
      </c>
      <c r="N257" s="16">
        <f t="shared" si="34"/>
        <v>0.08</v>
      </c>
      <c r="O257" s="18">
        <f t="shared" si="38"/>
        <v>72321.999914761749</v>
      </c>
      <c r="P257" s="18">
        <f t="shared" si="39"/>
        <v>234132.32065722541</v>
      </c>
      <c r="Q257" s="18">
        <f t="shared" si="35"/>
        <v>93410.800085238225</v>
      </c>
      <c r="R257" s="18">
        <f t="shared" si="36"/>
        <v>306454.32057198719</v>
      </c>
    </row>
    <row r="258" spans="7:18" x14ac:dyDescent="0.3">
      <c r="G258">
        <v>253</v>
      </c>
      <c r="H258" s="17">
        <v>52536</v>
      </c>
      <c r="I258" s="18">
        <f t="shared" si="37"/>
        <v>93410.800085238225</v>
      </c>
      <c r="J258" s="18">
        <f t="shared" si="30"/>
        <v>1216.0885736983614</v>
      </c>
      <c r="K258" s="18">
        <f t="shared" si="31"/>
        <v>593.34990646343988</v>
      </c>
      <c r="L258" s="16">
        <f t="shared" si="32"/>
        <v>7.6224578646837737E-2</v>
      </c>
      <c r="M258" s="18">
        <f t="shared" si="33"/>
        <v>622.73866723492154</v>
      </c>
      <c r="N258" s="16">
        <f t="shared" si="34"/>
        <v>0.08</v>
      </c>
      <c r="O258" s="18">
        <f t="shared" si="38"/>
        <v>72915.349821225187</v>
      </c>
      <c r="P258" s="18">
        <f t="shared" si="39"/>
        <v>234755.05932446034</v>
      </c>
      <c r="Q258" s="18">
        <f t="shared" si="35"/>
        <v>92817.450178774787</v>
      </c>
      <c r="R258" s="18">
        <f t="shared" si="36"/>
        <v>307670.40914568549</v>
      </c>
    </row>
    <row r="259" spans="7:18" x14ac:dyDescent="0.3">
      <c r="G259">
        <v>254</v>
      </c>
      <c r="H259" s="17">
        <v>52566</v>
      </c>
      <c r="I259" s="18">
        <f t="shared" si="37"/>
        <v>92817.450178774787</v>
      </c>
      <c r="J259" s="18">
        <f t="shared" si="30"/>
        <v>1216.0885736983614</v>
      </c>
      <c r="K259" s="18">
        <f t="shared" si="31"/>
        <v>597.30557250652942</v>
      </c>
      <c r="L259" s="16">
        <f t="shared" si="32"/>
        <v>7.7223268429296207E-2</v>
      </c>
      <c r="M259" s="18">
        <f t="shared" si="33"/>
        <v>618.783001191832</v>
      </c>
      <c r="N259" s="16">
        <f t="shared" si="34"/>
        <v>8.0000000000000016E-2</v>
      </c>
      <c r="O259" s="18">
        <f t="shared" si="38"/>
        <v>73512.655393731722</v>
      </c>
      <c r="P259" s="18">
        <f t="shared" si="39"/>
        <v>235373.84232565216</v>
      </c>
      <c r="Q259" s="18">
        <f t="shared" si="35"/>
        <v>92220.144606268252</v>
      </c>
      <c r="R259" s="18">
        <f t="shared" si="36"/>
        <v>308886.49771938391</v>
      </c>
    </row>
    <row r="260" spans="7:18" x14ac:dyDescent="0.3">
      <c r="G260">
        <v>255</v>
      </c>
      <c r="H260" s="17">
        <v>52597</v>
      </c>
      <c r="I260" s="18">
        <f t="shared" si="37"/>
        <v>92220.144606268252</v>
      </c>
      <c r="J260" s="18">
        <f t="shared" si="30"/>
        <v>1216.0885736983614</v>
      </c>
      <c r="K260" s="18">
        <f t="shared" si="31"/>
        <v>601.28760965657307</v>
      </c>
      <c r="L260" s="16">
        <f t="shared" si="32"/>
        <v>7.8241596200971902E-2</v>
      </c>
      <c r="M260" s="18">
        <f t="shared" si="33"/>
        <v>614.80096404178835</v>
      </c>
      <c r="N260" s="16">
        <f t="shared" si="34"/>
        <v>0.08</v>
      </c>
      <c r="O260" s="18">
        <f t="shared" si="38"/>
        <v>74113.943003388296</v>
      </c>
      <c r="P260" s="18">
        <f t="shared" si="39"/>
        <v>235988.64328969395</v>
      </c>
      <c r="Q260" s="18">
        <f t="shared" si="35"/>
        <v>91618.856996611677</v>
      </c>
      <c r="R260" s="18">
        <f t="shared" si="36"/>
        <v>310102.58629308222</v>
      </c>
    </row>
    <row r="261" spans="7:18" x14ac:dyDescent="0.3">
      <c r="G261">
        <v>256</v>
      </c>
      <c r="H261" s="17">
        <v>52628</v>
      </c>
      <c r="I261" s="18">
        <f t="shared" si="37"/>
        <v>91618.856996611677</v>
      </c>
      <c r="J261" s="18">
        <f t="shared" si="30"/>
        <v>1216.0885736983614</v>
      </c>
      <c r="K261" s="18">
        <f t="shared" si="31"/>
        <v>605.29619372095021</v>
      </c>
      <c r="L261" s="16">
        <f t="shared" si="32"/>
        <v>7.9280123795039584E-2</v>
      </c>
      <c r="M261" s="18">
        <f t="shared" si="33"/>
        <v>610.7923799774112</v>
      </c>
      <c r="N261" s="16">
        <f t="shared" si="34"/>
        <v>0.08</v>
      </c>
      <c r="O261" s="18">
        <f t="shared" si="38"/>
        <v>74719.239197109244</v>
      </c>
      <c r="P261" s="18">
        <f t="shared" si="39"/>
        <v>236599.43566967137</v>
      </c>
      <c r="Q261" s="18">
        <f t="shared" si="35"/>
        <v>91013.56080289073</v>
      </c>
      <c r="R261" s="18">
        <f t="shared" si="36"/>
        <v>311318.67486678064</v>
      </c>
    </row>
    <row r="262" spans="7:18" x14ac:dyDescent="0.3">
      <c r="G262">
        <v>257</v>
      </c>
      <c r="H262" s="17">
        <v>52657</v>
      </c>
      <c r="I262" s="18">
        <f t="shared" si="37"/>
        <v>91013.56080289073</v>
      </c>
      <c r="J262" s="18">
        <f t="shared" ref="J262:J325" si="40">$I$6/((($K$2)-1)/($K$1*$K$2))</f>
        <v>1216.0885736983614</v>
      </c>
      <c r="K262" s="18">
        <f t="shared" ref="K262:K325" si="41">J262-M262</f>
        <v>609.3315016790898</v>
      </c>
      <c r="L262" s="16">
        <f t="shared" ref="L262:L325" si="42">(K262/I262)*12</f>
        <v>8.0339434647378805E-2</v>
      </c>
      <c r="M262" s="18">
        <f t="shared" ref="M262:M325" si="43">I262*($H$1/12)</f>
        <v>606.75707201927162</v>
      </c>
      <c r="N262" s="16">
        <f t="shared" ref="N262:N325" si="44">(M262/I262)*12</f>
        <v>8.0000000000000016E-2</v>
      </c>
      <c r="O262" s="18">
        <f t="shared" si="38"/>
        <v>75328.570698788331</v>
      </c>
      <c r="P262" s="18">
        <f t="shared" si="39"/>
        <v>237206.19274169064</v>
      </c>
      <c r="Q262" s="18">
        <f t="shared" ref="Q262:Q325" si="45">I262-K262</f>
        <v>90404.229301211642</v>
      </c>
      <c r="R262" s="18">
        <f t="shared" ref="R262:R325" si="46">O262+P262</f>
        <v>312534.76344047894</v>
      </c>
    </row>
    <row r="263" spans="7:18" x14ac:dyDescent="0.3">
      <c r="G263">
        <v>258</v>
      </c>
      <c r="H263" s="17">
        <v>52688</v>
      </c>
      <c r="I263" s="18">
        <f t="shared" ref="I263:I326" si="47">Q262</f>
        <v>90404.229301211642</v>
      </c>
      <c r="J263" s="18">
        <f t="shared" si="40"/>
        <v>1216.0885736983614</v>
      </c>
      <c r="K263" s="18">
        <f t="shared" si="41"/>
        <v>613.39371169028379</v>
      </c>
      <c r="L263" s="16">
        <f t="shared" si="42"/>
        <v>8.1420134845226255E-2</v>
      </c>
      <c r="M263" s="18">
        <f t="shared" si="43"/>
        <v>602.69486200807762</v>
      </c>
      <c r="N263" s="16">
        <f t="shared" si="44"/>
        <v>0.08</v>
      </c>
      <c r="O263" s="18">
        <f t="shared" ref="O263:O326" si="48">O262+K263</f>
        <v>75941.964410478613</v>
      </c>
      <c r="P263" s="18">
        <f t="shared" ref="P263:P326" si="49">P262+M263</f>
        <v>237808.88760369871</v>
      </c>
      <c r="Q263" s="18">
        <f t="shared" si="45"/>
        <v>89790.835589521361</v>
      </c>
      <c r="R263" s="18">
        <f t="shared" si="46"/>
        <v>313750.8520141773</v>
      </c>
    </row>
    <row r="264" spans="7:18" x14ac:dyDescent="0.3">
      <c r="G264">
        <v>259</v>
      </c>
      <c r="H264" s="17">
        <v>52718</v>
      </c>
      <c r="I264" s="18">
        <f t="shared" si="47"/>
        <v>89790.835589521361</v>
      </c>
      <c r="J264" s="18">
        <f t="shared" si="40"/>
        <v>1216.0885736983614</v>
      </c>
      <c r="K264" s="18">
        <f t="shared" si="41"/>
        <v>617.4830031015523</v>
      </c>
      <c r="L264" s="16">
        <f t="shared" si="42"/>
        <v>8.2522854237513682E-2</v>
      </c>
      <c r="M264" s="18">
        <f t="shared" si="43"/>
        <v>598.60557059680912</v>
      </c>
      <c r="N264" s="16">
        <f t="shared" si="44"/>
        <v>0.08</v>
      </c>
      <c r="O264" s="18">
        <f t="shared" si="48"/>
        <v>76559.447413580172</v>
      </c>
      <c r="P264" s="18">
        <f t="shared" si="49"/>
        <v>238407.49317429552</v>
      </c>
      <c r="Q264" s="18">
        <f t="shared" si="45"/>
        <v>89173.352586419802</v>
      </c>
      <c r="R264" s="18">
        <f t="shared" si="46"/>
        <v>314966.94058787567</v>
      </c>
    </row>
    <row r="265" spans="7:18" x14ac:dyDescent="0.3">
      <c r="G265">
        <v>260</v>
      </c>
      <c r="H265" s="17">
        <v>52749</v>
      </c>
      <c r="I265" s="18">
        <f t="shared" si="47"/>
        <v>89173.352586419802</v>
      </c>
      <c r="J265" s="18">
        <f t="shared" si="40"/>
        <v>1216.0885736983614</v>
      </c>
      <c r="K265" s="18">
        <f t="shared" si="41"/>
        <v>621.59955645556272</v>
      </c>
      <c r="L265" s="16">
        <f t="shared" si="42"/>
        <v>8.3648247611167112E-2</v>
      </c>
      <c r="M265" s="18">
        <f t="shared" si="43"/>
        <v>594.4890172427987</v>
      </c>
      <c r="N265" s="16">
        <f t="shared" si="44"/>
        <v>0.08</v>
      </c>
      <c r="O265" s="18">
        <f t="shared" si="48"/>
        <v>77181.046970035735</v>
      </c>
      <c r="P265" s="18">
        <f t="shared" si="49"/>
        <v>239001.98219153832</v>
      </c>
      <c r="Q265" s="18">
        <f t="shared" si="45"/>
        <v>88551.753029964239</v>
      </c>
      <c r="R265" s="18">
        <f t="shared" si="46"/>
        <v>316183.02916157409</v>
      </c>
    </row>
    <row r="266" spans="7:18" x14ac:dyDescent="0.3">
      <c r="G266">
        <v>261</v>
      </c>
      <c r="H266" s="17">
        <v>52779</v>
      </c>
      <c r="I266" s="18">
        <f t="shared" si="47"/>
        <v>88551.753029964239</v>
      </c>
      <c r="J266" s="18">
        <f t="shared" si="40"/>
        <v>1216.0885736983614</v>
      </c>
      <c r="K266" s="18">
        <f t="shared" si="41"/>
        <v>625.74355349859979</v>
      </c>
      <c r="L266" s="16">
        <f t="shared" si="42"/>
        <v>8.4796995937983524E-2</v>
      </c>
      <c r="M266" s="18">
        <f t="shared" si="43"/>
        <v>590.34502019976162</v>
      </c>
      <c r="N266" s="16">
        <f t="shared" si="44"/>
        <v>0.08</v>
      </c>
      <c r="O266" s="18">
        <f t="shared" si="48"/>
        <v>77806.790523534335</v>
      </c>
      <c r="P266" s="18">
        <f t="shared" si="49"/>
        <v>239592.32721173807</v>
      </c>
      <c r="Q266" s="18">
        <f t="shared" si="45"/>
        <v>87926.009476465639</v>
      </c>
      <c r="R266" s="18">
        <f t="shared" si="46"/>
        <v>317399.11773527239</v>
      </c>
    </row>
    <row r="267" spans="7:18" x14ac:dyDescent="0.3">
      <c r="G267">
        <v>262</v>
      </c>
      <c r="H267" s="17">
        <v>52810</v>
      </c>
      <c r="I267" s="18">
        <f t="shared" si="47"/>
        <v>87926.009476465639</v>
      </c>
      <c r="J267" s="18">
        <f t="shared" si="40"/>
        <v>1216.0885736983614</v>
      </c>
      <c r="K267" s="18">
        <f t="shared" si="41"/>
        <v>629.91517718859041</v>
      </c>
      <c r="L267" s="16">
        <f t="shared" si="42"/>
        <v>8.59698076970766E-2</v>
      </c>
      <c r="M267" s="18">
        <f t="shared" si="43"/>
        <v>586.17339650977101</v>
      </c>
      <c r="N267" s="16">
        <f t="shared" si="44"/>
        <v>8.0000000000000016E-2</v>
      </c>
      <c r="O267" s="18">
        <f t="shared" si="48"/>
        <v>78436.70570072293</v>
      </c>
      <c r="P267" s="18">
        <f t="shared" si="49"/>
        <v>240178.50060824785</v>
      </c>
      <c r="Q267" s="18">
        <f t="shared" si="45"/>
        <v>87296.094299277043</v>
      </c>
      <c r="R267" s="18">
        <f t="shared" si="46"/>
        <v>318615.20630897081</v>
      </c>
    </row>
    <row r="268" spans="7:18" x14ac:dyDescent="0.3">
      <c r="G268">
        <v>263</v>
      </c>
      <c r="H268" s="17">
        <v>52841</v>
      </c>
      <c r="I268" s="18">
        <f t="shared" si="47"/>
        <v>87296.094299277043</v>
      </c>
      <c r="J268" s="18">
        <f t="shared" si="40"/>
        <v>1216.0885736983614</v>
      </c>
      <c r="K268" s="18">
        <f t="shared" si="41"/>
        <v>634.11461170318114</v>
      </c>
      <c r="L268" s="16">
        <f t="shared" si="42"/>
        <v>8.7167420278288346E-2</v>
      </c>
      <c r="M268" s="18">
        <f t="shared" si="43"/>
        <v>581.97396199518028</v>
      </c>
      <c r="N268" s="16">
        <f t="shared" si="44"/>
        <v>7.9999999999999988E-2</v>
      </c>
      <c r="O268" s="18">
        <f t="shared" si="48"/>
        <v>79070.820312426105</v>
      </c>
      <c r="P268" s="18">
        <f t="shared" si="49"/>
        <v>240760.47457024304</v>
      </c>
      <c r="Q268" s="18">
        <f t="shared" si="45"/>
        <v>86661.979687573868</v>
      </c>
      <c r="R268" s="18">
        <f t="shared" si="46"/>
        <v>319831.29488266911</v>
      </c>
    </row>
    <row r="269" spans="7:18" x14ac:dyDescent="0.3">
      <c r="G269">
        <v>264</v>
      </c>
      <c r="H269" s="17">
        <v>52871</v>
      </c>
      <c r="I269" s="18">
        <f t="shared" si="47"/>
        <v>86661.979687573868</v>
      </c>
      <c r="J269" s="18">
        <f t="shared" si="40"/>
        <v>1216.0885736983614</v>
      </c>
      <c r="K269" s="18">
        <f t="shared" si="41"/>
        <v>638.34204244786895</v>
      </c>
      <c r="L269" s="16">
        <f t="shared" si="42"/>
        <v>8.8390601472409944E-2</v>
      </c>
      <c r="M269" s="18">
        <f t="shared" si="43"/>
        <v>577.74653125049247</v>
      </c>
      <c r="N269" s="16">
        <f t="shared" si="44"/>
        <v>0.08</v>
      </c>
      <c r="O269" s="18">
        <f t="shared" si="48"/>
        <v>79709.162354873974</v>
      </c>
      <c r="P269" s="18">
        <f t="shared" si="49"/>
        <v>241338.22110149352</v>
      </c>
      <c r="Q269" s="18">
        <f t="shared" si="45"/>
        <v>86023.637645126</v>
      </c>
      <c r="R269" s="18">
        <f t="shared" si="46"/>
        <v>321047.38345636748</v>
      </c>
    </row>
    <row r="270" spans="7:18" x14ac:dyDescent="0.3">
      <c r="G270">
        <v>265</v>
      </c>
      <c r="H270" s="17">
        <v>52902</v>
      </c>
      <c r="I270" s="18">
        <f t="shared" si="47"/>
        <v>86023.637645126</v>
      </c>
      <c r="J270" s="18">
        <f t="shared" si="40"/>
        <v>1216.0885736983614</v>
      </c>
      <c r="K270" s="18">
        <f t="shared" si="41"/>
        <v>642.59765606418807</v>
      </c>
      <c r="L270" s="16">
        <f t="shared" si="42"/>
        <v>8.9640151054541733E-2</v>
      </c>
      <c r="M270" s="18">
        <f t="shared" si="43"/>
        <v>573.49091763417334</v>
      </c>
      <c r="N270" s="16">
        <f t="shared" si="44"/>
        <v>0.08</v>
      </c>
      <c r="O270" s="18">
        <f t="shared" si="48"/>
        <v>80351.76001093816</v>
      </c>
      <c r="P270" s="18">
        <f t="shared" si="49"/>
        <v>241911.71201912768</v>
      </c>
      <c r="Q270" s="18">
        <f t="shared" si="45"/>
        <v>85381.039989061814</v>
      </c>
      <c r="R270" s="18">
        <f t="shared" si="46"/>
        <v>322263.47203006584</v>
      </c>
    </row>
    <row r="271" spans="7:18" x14ac:dyDescent="0.3">
      <c r="G271">
        <v>266</v>
      </c>
      <c r="H271" s="17">
        <v>52932</v>
      </c>
      <c r="I271" s="18">
        <f t="shared" si="47"/>
        <v>85381.039989061814</v>
      </c>
      <c r="J271" s="18">
        <f t="shared" si="40"/>
        <v>1216.0885736983614</v>
      </c>
      <c r="K271" s="18">
        <f t="shared" si="41"/>
        <v>646.88164043794927</v>
      </c>
      <c r="L271" s="16">
        <f t="shared" si="42"/>
        <v>9.0916902467454805E-2</v>
      </c>
      <c r="M271" s="18">
        <f t="shared" si="43"/>
        <v>569.20693326041214</v>
      </c>
      <c r="N271" s="16">
        <f t="shared" si="44"/>
        <v>0.08</v>
      </c>
      <c r="O271" s="18">
        <f t="shared" si="48"/>
        <v>80998.641651376107</v>
      </c>
      <c r="P271" s="18">
        <f t="shared" si="49"/>
        <v>242480.91895238808</v>
      </c>
      <c r="Q271" s="18">
        <f t="shared" si="45"/>
        <v>84734.158348623867</v>
      </c>
      <c r="R271" s="18">
        <f t="shared" si="46"/>
        <v>323479.5606037642</v>
      </c>
    </row>
    <row r="272" spans="7:18" x14ac:dyDescent="0.3">
      <c r="G272">
        <v>267</v>
      </c>
      <c r="H272" s="17">
        <v>52963</v>
      </c>
      <c r="I272" s="18">
        <f t="shared" si="47"/>
        <v>84734.158348623867</v>
      </c>
      <c r="J272" s="18">
        <f t="shared" si="40"/>
        <v>1216.0885736983614</v>
      </c>
      <c r="K272" s="18">
        <f t="shared" si="41"/>
        <v>651.19418470753556</v>
      </c>
      <c r="L272" s="16">
        <f t="shared" si="42"/>
        <v>9.2221724612401676E-2</v>
      </c>
      <c r="M272" s="18">
        <f t="shared" si="43"/>
        <v>564.89438899082586</v>
      </c>
      <c r="N272" s="16">
        <f t="shared" si="44"/>
        <v>8.0000000000000016E-2</v>
      </c>
      <c r="O272" s="18">
        <f t="shared" si="48"/>
        <v>81649.835836083643</v>
      </c>
      <c r="P272" s="18">
        <f t="shared" si="49"/>
        <v>243045.8133413789</v>
      </c>
      <c r="Q272" s="18">
        <f t="shared" si="45"/>
        <v>84082.964163916331</v>
      </c>
      <c r="R272" s="18">
        <f t="shared" si="46"/>
        <v>324695.64917746256</v>
      </c>
    </row>
    <row r="273" spans="7:18" x14ac:dyDescent="0.3">
      <c r="G273">
        <v>268</v>
      </c>
      <c r="H273" s="17">
        <v>52994</v>
      </c>
      <c r="I273" s="18">
        <f t="shared" si="47"/>
        <v>84082.964163916331</v>
      </c>
      <c r="J273" s="18">
        <f t="shared" si="40"/>
        <v>1216.0885736983614</v>
      </c>
      <c r="K273" s="18">
        <f t="shared" si="41"/>
        <v>655.53547927225247</v>
      </c>
      <c r="L273" s="16">
        <f t="shared" si="42"/>
        <v>9.3555523755463138E-2</v>
      </c>
      <c r="M273" s="18">
        <f t="shared" si="43"/>
        <v>560.55309442610894</v>
      </c>
      <c r="N273" s="16">
        <f t="shared" si="44"/>
        <v>0.08</v>
      </c>
      <c r="O273" s="18">
        <f t="shared" si="48"/>
        <v>82305.371315355893</v>
      </c>
      <c r="P273" s="18">
        <f t="shared" si="49"/>
        <v>243606.36643580502</v>
      </c>
      <c r="Q273" s="18">
        <f t="shared" si="45"/>
        <v>83427.428684644081</v>
      </c>
      <c r="R273" s="18">
        <f t="shared" si="46"/>
        <v>325911.73775116092</v>
      </c>
    </row>
    <row r="274" spans="7:18" x14ac:dyDescent="0.3">
      <c r="G274">
        <v>269</v>
      </c>
      <c r="H274" s="17">
        <v>53022</v>
      </c>
      <c r="I274" s="18">
        <f t="shared" si="47"/>
        <v>83427.428684644081</v>
      </c>
      <c r="J274" s="18">
        <f t="shared" si="40"/>
        <v>1216.0885736983614</v>
      </c>
      <c r="K274" s="18">
        <f t="shared" si="41"/>
        <v>659.90571580073413</v>
      </c>
      <c r="L274" s="16">
        <f t="shared" si="42"/>
        <v>9.4919245558222287E-2</v>
      </c>
      <c r="M274" s="18">
        <f t="shared" si="43"/>
        <v>556.18285789762729</v>
      </c>
      <c r="N274" s="16">
        <f t="shared" si="44"/>
        <v>8.0000000000000016E-2</v>
      </c>
      <c r="O274" s="18">
        <f t="shared" si="48"/>
        <v>82965.277031156627</v>
      </c>
      <c r="P274" s="18">
        <f t="shared" si="49"/>
        <v>244162.54929370264</v>
      </c>
      <c r="Q274" s="18">
        <f t="shared" si="45"/>
        <v>82767.522968843346</v>
      </c>
      <c r="R274" s="18">
        <f t="shared" si="46"/>
        <v>327127.82632485928</v>
      </c>
    </row>
    <row r="275" spans="7:18" x14ac:dyDescent="0.3">
      <c r="G275">
        <v>270</v>
      </c>
      <c r="H275" s="17">
        <v>53053</v>
      </c>
      <c r="I275" s="18">
        <f t="shared" si="47"/>
        <v>82767.522968843346</v>
      </c>
      <c r="J275" s="18">
        <f t="shared" si="40"/>
        <v>1216.0885736983614</v>
      </c>
      <c r="K275" s="18">
        <f t="shared" si="41"/>
        <v>664.30508723940579</v>
      </c>
      <c r="L275" s="16">
        <f t="shared" si="42"/>
        <v>9.6313877242329538E-2</v>
      </c>
      <c r="M275" s="18">
        <f t="shared" si="43"/>
        <v>551.78348645895562</v>
      </c>
      <c r="N275" s="16">
        <f t="shared" si="44"/>
        <v>7.9999999999999988E-2</v>
      </c>
      <c r="O275" s="18">
        <f t="shared" si="48"/>
        <v>83629.582118396036</v>
      </c>
      <c r="P275" s="18">
        <f t="shared" si="49"/>
        <v>244714.33278016161</v>
      </c>
      <c r="Q275" s="18">
        <f t="shared" si="45"/>
        <v>82103.217881603938</v>
      </c>
      <c r="R275" s="18">
        <f t="shared" si="46"/>
        <v>328343.91489855765</v>
      </c>
    </row>
    <row r="276" spans="7:18" x14ac:dyDescent="0.3">
      <c r="G276">
        <v>271</v>
      </c>
      <c r="H276" s="17">
        <v>53083</v>
      </c>
      <c r="I276" s="18">
        <f t="shared" si="47"/>
        <v>82103.217881603938</v>
      </c>
      <c r="J276" s="18">
        <f t="shared" si="40"/>
        <v>1216.0885736983614</v>
      </c>
      <c r="K276" s="18">
        <f t="shared" si="41"/>
        <v>668.73378782100178</v>
      </c>
      <c r="L276" s="16">
        <f t="shared" si="42"/>
        <v>9.7740449898371912E-2</v>
      </c>
      <c r="M276" s="18">
        <f t="shared" si="43"/>
        <v>547.35478587735963</v>
      </c>
      <c r="N276" s="16">
        <f t="shared" si="44"/>
        <v>0.08</v>
      </c>
      <c r="O276" s="18">
        <f t="shared" si="48"/>
        <v>84298.315906217031</v>
      </c>
      <c r="P276" s="18">
        <f t="shared" si="49"/>
        <v>245261.68756603898</v>
      </c>
      <c r="Q276" s="18">
        <f t="shared" si="45"/>
        <v>81434.484093782943</v>
      </c>
      <c r="R276" s="18">
        <f t="shared" si="46"/>
        <v>329560.00347225601</v>
      </c>
    </row>
    <row r="277" spans="7:18" x14ac:dyDescent="0.3">
      <c r="G277">
        <v>272</v>
      </c>
      <c r="H277" s="17">
        <v>53114</v>
      </c>
      <c r="I277" s="18">
        <f t="shared" si="47"/>
        <v>81434.484093782943</v>
      </c>
      <c r="J277" s="18">
        <f t="shared" si="40"/>
        <v>1216.0885736983614</v>
      </c>
      <c r="K277" s="18">
        <f t="shared" si="41"/>
        <v>673.19201307314177</v>
      </c>
      <c r="L277" s="16">
        <f t="shared" si="42"/>
        <v>9.9200040950396765E-2</v>
      </c>
      <c r="M277" s="18">
        <f t="shared" si="43"/>
        <v>542.89656062521965</v>
      </c>
      <c r="N277" s="16">
        <f t="shared" si="44"/>
        <v>0.08</v>
      </c>
      <c r="O277" s="18">
        <f t="shared" si="48"/>
        <v>84971.507919290176</v>
      </c>
      <c r="P277" s="18">
        <f t="shared" si="49"/>
        <v>245804.58412666421</v>
      </c>
      <c r="Q277" s="18">
        <f t="shared" si="45"/>
        <v>80761.292080709798</v>
      </c>
      <c r="R277" s="18">
        <f t="shared" si="46"/>
        <v>330776.09204595437</v>
      </c>
    </row>
    <row r="278" spans="7:18" x14ac:dyDescent="0.3">
      <c r="G278">
        <v>273</v>
      </c>
      <c r="H278" s="17">
        <v>53144</v>
      </c>
      <c r="I278" s="18">
        <f t="shared" si="47"/>
        <v>80761.292080709798</v>
      </c>
      <c r="J278" s="18">
        <f t="shared" si="40"/>
        <v>1216.0885736983614</v>
      </c>
      <c r="K278" s="18">
        <f t="shared" si="41"/>
        <v>677.67995982696277</v>
      </c>
      <c r="L278" s="16">
        <f t="shared" si="42"/>
        <v>0.10069377678847161</v>
      </c>
      <c r="M278" s="18">
        <f t="shared" si="43"/>
        <v>538.40861387139864</v>
      </c>
      <c r="N278" s="16">
        <f t="shared" si="44"/>
        <v>7.9999999999999988E-2</v>
      </c>
      <c r="O278" s="18">
        <f t="shared" si="48"/>
        <v>85649.187879117133</v>
      </c>
      <c r="P278" s="18">
        <f t="shared" si="49"/>
        <v>246342.99274053561</v>
      </c>
      <c r="Q278" s="18">
        <f t="shared" si="45"/>
        <v>80083.612120882841</v>
      </c>
      <c r="R278" s="18">
        <f t="shared" si="46"/>
        <v>331992.18061965273</v>
      </c>
    </row>
    <row r="279" spans="7:18" x14ac:dyDescent="0.3">
      <c r="G279">
        <v>274</v>
      </c>
      <c r="H279" s="17">
        <v>53175</v>
      </c>
      <c r="I279" s="18">
        <f t="shared" si="47"/>
        <v>80083.612120882841</v>
      </c>
      <c r="J279" s="18">
        <f t="shared" si="40"/>
        <v>1216.0885736983614</v>
      </c>
      <c r="K279" s="18">
        <f t="shared" si="41"/>
        <v>682.19782622580908</v>
      </c>
      <c r="L279" s="16">
        <f t="shared" si="42"/>
        <v>0.10222283558279965</v>
      </c>
      <c r="M279" s="18">
        <f t="shared" si="43"/>
        <v>533.89074747255233</v>
      </c>
      <c r="N279" s="16">
        <f t="shared" si="44"/>
        <v>0.08</v>
      </c>
      <c r="O279" s="18">
        <f t="shared" si="48"/>
        <v>86331.385705342938</v>
      </c>
      <c r="P279" s="18">
        <f t="shared" si="49"/>
        <v>246876.88348800817</v>
      </c>
      <c r="Q279" s="18">
        <f t="shared" si="45"/>
        <v>79401.414294657035</v>
      </c>
      <c r="R279" s="18">
        <f t="shared" si="46"/>
        <v>333208.26919335109</v>
      </c>
    </row>
    <row r="280" spans="7:18" x14ac:dyDescent="0.3">
      <c r="G280">
        <v>275</v>
      </c>
      <c r="H280" s="17">
        <v>53206</v>
      </c>
      <c r="I280" s="18">
        <f t="shared" si="47"/>
        <v>79401.414294657035</v>
      </c>
      <c r="J280" s="18">
        <f t="shared" si="40"/>
        <v>1216.0885736983614</v>
      </c>
      <c r="K280" s="18">
        <f t="shared" si="41"/>
        <v>686.7458117339811</v>
      </c>
      <c r="L280" s="16">
        <f t="shared" si="42"/>
        <v>0.10378845029416953</v>
      </c>
      <c r="M280" s="18">
        <f t="shared" si="43"/>
        <v>529.34276196438032</v>
      </c>
      <c r="N280" s="16">
        <f t="shared" si="44"/>
        <v>8.0000000000000016E-2</v>
      </c>
      <c r="O280" s="18">
        <f t="shared" si="48"/>
        <v>87018.131517076923</v>
      </c>
      <c r="P280" s="18">
        <f t="shared" si="49"/>
        <v>247406.22624997256</v>
      </c>
      <c r="Q280" s="18">
        <f t="shared" si="45"/>
        <v>78714.668482923051</v>
      </c>
      <c r="R280" s="18">
        <f t="shared" si="46"/>
        <v>334424.35776704946</v>
      </c>
    </row>
    <row r="281" spans="7:18" x14ac:dyDescent="0.3">
      <c r="G281">
        <v>276</v>
      </c>
      <c r="H281" s="17">
        <v>53236</v>
      </c>
      <c r="I281" s="18">
        <f t="shared" si="47"/>
        <v>78714.668482923051</v>
      </c>
      <c r="J281" s="18">
        <f t="shared" si="40"/>
        <v>1216.0885736983614</v>
      </c>
      <c r="K281" s="18">
        <f t="shared" si="41"/>
        <v>691.32411714554109</v>
      </c>
      <c r="L281" s="16">
        <f t="shared" si="42"/>
        <v>0.10539191189690732</v>
      </c>
      <c r="M281" s="18">
        <f t="shared" si="43"/>
        <v>524.76445655282032</v>
      </c>
      <c r="N281" s="16">
        <f t="shared" si="44"/>
        <v>7.9999999999999988E-2</v>
      </c>
      <c r="O281" s="18">
        <f t="shared" si="48"/>
        <v>87709.455634222468</v>
      </c>
      <c r="P281" s="18">
        <f t="shared" si="49"/>
        <v>247930.99070652539</v>
      </c>
      <c r="Q281" s="18">
        <f t="shared" si="45"/>
        <v>78023.344365777506</v>
      </c>
      <c r="R281" s="18">
        <f t="shared" si="46"/>
        <v>335640.44634074788</v>
      </c>
    </row>
    <row r="282" spans="7:18" x14ac:dyDescent="0.3">
      <c r="G282">
        <v>277</v>
      </c>
      <c r="H282" s="17">
        <v>53267</v>
      </c>
      <c r="I282" s="18">
        <f t="shared" si="47"/>
        <v>78023.344365777506</v>
      </c>
      <c r="J282" s="18">
        <f t="shared" si="40"/>
        <v>1216.0885736983614</v>
      </c>
      <c r="K282" s="18">
        <f t="shared" si="41"/>
        <v>695.93294459317804</v>
      </c>
      <c r="L282" s="16">
        <f t="shared" si="42"/>
        <v>0.10703457283203982</v>
      </c>
      <c r="M282" s="18">
        <f t="shared" si="43"/>
        <v>520.15562910518338</v>
      </c>
      <c r="N282" s="16">
        <f t="shared" si="44"/>
        <v>0.08</v>
      </c>
      <c r="O282" s="18">
        <f t="shared" si="48"/>
        <v>88405.388578815648</v>
      </c>
      <c r="P282" s="18">
        <f t="shared" si="49"/>
        <v>248451.14633563059</v>
      </c>
      <c r="Q282" s="18">
        <f t="shared" si="45"/>
        <v>77327.411421184326</v>
      </c>
      <c r="R282" s="18">
        <f t="shared" si="46"/>
        <v>336856.53491444624</v>
      </c>
    </row>
    <row r="283" spans="7:18" x14ac:dyDescent="0.3">
      <c r="G283">
        <v>278</v>
      </c>
      <c r="H283" s="17">
        <v>53297</v>
      </c>
      <c r="I283" s="18">
        <f t="shared" si="47"/>
        <v>77327.411421184326</v>
      </c>
      <c r="J283" s="18">
        <f t="shared" si="40"/>
        <v>1216.0885736983614</v>
      </c>
      <c r="K283" s="18">
        <f t="shared" si="41"/>
        <v>700.57249755713258</v>
      </c>
      <c r="L283" s="16">
        <f t="shared" si="42"/>
        <v>0.10871785071008438</v>
      </c>
      <c r="M283" s="18">
        <f t="shared" si="43"/>
        <v>515.51607614122884</v>
      </c>
      <c r="N283" s="16">
        <f t="shared" si="44"/>
        <v>7.9999999999999988E-2</v>
      </c>
      <c r="O283" s="18">
        <f t="shared" si="48"/>
        <v>89105.961076372783</v>
      </c>
      <c r="P283" s="18">
        <f t="shared" si="49"/>
        <v>248966.66241177183</v>
      </c>
      <c r="Q283" s="18">
        <f t="shared" si="45"/>
        <v>76626.838923627191</v>
      </c>
      <c r="R283" s="18">
        <f t="shared" si="46"/>
        <v>338072.6234881446</v>
      </c>
    </row>
    <row r="284" spans="7:18" x14ac:dyDescent="0.3">
      <c r="G284">
        <v>279</v>
      </c>
      <c r="H284" s="17">
        <v>53328</v>
      </c>
      <c r="I284" s="18">
        <f t="shared" si="47"/>
        <v>76626.838923627191</v>
      </c>
      <c r="J284" s="18">
        <f t="shared" si="40"/>
        <v>1216.0885736983614</v>
      </c>
      <c r="K284" s="18">
        <f t="shared" si="41"/>
        <v>705.24298087418015</v>
      </c>
      <c r="L284" s="16">
        <f t="shared" si="42"/>
        <v>0.11044323228477455</v>
      </c>
      <c r="M284" s="18">
        <f t="shared" si="43"/>
        <v>510.84559282418132</v>
      </c>
      <c r="N284" s="16">
        <f t="shared" si="44"/>
        <v>0.08</v>
      </c>
      <c r="O284" s="18">
        <f t="shared" si="48"/>
        <v>89811.20405724697</v>
      </c>
      <c r="P284" s="18">
        <f t="shared" si="49"/>
        <v>249477.50800459602</v>
      </c>
      <c r="Q284" s="18">
        <f t="shared" si="45"/>
        <v>75921.595942753003</v>
      </c>
      <c r="R284" s="18">
        <f t="shared" si="46"/>
        <v>339288.71206184302</v>
      </c>
    </row>
    <row r="285" spans="7:18" x14ac:dyDescent="0.3">
      <c r="G285">
        <v>280</v>
      </c>
      <c r="H285" s="17">
        <v>53359</v>
      </c>
      <c r="I285" s="18">
        <f t="shared" si="47"/>
        <v>75921.595942753003</v>
      </c>
      <c r="J285" s="18">
        <f t="shared" si="40"/>
        <v>1216.0885736983614</v>
      </c>
      <c r="K285" s="18">
        <f t="shared" si="41"/>
        <v>709.94460074667472</v>
      </c>
      <c r="L285" s="16">
        <f t="shared" si="42"/>
        <v>0.11221227772113632</v>
      </c>
      <c r="M285" s="18">
        <f t="shared" si="43"/>
        <v>506.14397295168675</v>
      </c>
      <c r="N285" s="16">
        <f t="shared" si="44"/>
        <v>0.08</v>
      </c>
      <c r="O285" s="18">
        <f t="shared" si="48"/>
        <v>90521.148657993646</v>
      </c>
      <c r="P285" s="18">
        <f t="shared" si="49"/>
        <v>249983.65197754771</v>
      </c>
      <c r="Q285" s="18">
        <f t="shared" si="45"/>
        <v>75211.651342006327</v>
      </c>
      <c r="R285" s="18">
        <f t="shared" si="46"/>
        <v>340504.80063554132</v>
      </c>
    </row>
    <row r="286" spans="7:18" x14ac:dyDescent="0.3">
      <c r="G286">
        <v>281</v>
      </c>
      <c r="H286" s="17">
        <v>53387</v>
      </c>
      <c r="I286" s="18">
        <f t="shared" si="47"/>
        <v>75211.651342006327</v>
      </c>
      <c r="J286" s="18">
        <f t="shared" si="40"/>
        <v>1216.0885736983614</v>
      </c>
      <c r="K286" s="18">
        <f t="shared" si="41"/>
        <v>714.67756475165254</v>
      </c>
      <c r="L286" s="16">
        <f t="shared" si="42"/>
        <v>0.11402662518367004</v>
      </c>
      <c r="M286" s="18">
        <f t="shared" si="43"/>
        <v>501.41100894670888</v>
      </c>
      <c r="N286" s="16">
        <f t="shared" si="44"/>
        <v>0.08</v>
      </c>
      <c r="O286" s="18">
        <f t="shared" si="48"/>
        <v>91235.826222745294</v>
      </c>
      <c r="P286" s="18">
        <f t="shared" si="49"/>
        <v>250485.06298649442</v>
      </c>
      <c r="Q286" s="18">
        <f t="shared" si="45"/>
        <v>74496.97377725468</v>
      </c>
      <c r="R286" s="18">
        <f t="shared" si="46"/>
        <v>341720.88920923974</v>
      </c>
    </row>
    <row r="287" spans="7:18" x14ac:dyDescent="0.3">
      <c r="G287">
        <v>282</v>
      </c>
      <c r="H287" s="17">
        <v>53418</v>
      </c>
      <c r="I287" s="18">
        <f t="shared" si="47"/>
        <v>74496.97377725468</v>
      </c>
      <c r="J287" s="18">
        <f t="shared" si="40"/>
        <v>1216.0885736983614</v>
      </c>
      <c r="K287" s="18">
        <f t="shared" si="41"/>
        <v>719.44208184999684</v>
      </c>
      <c r="L287" s="16">
        <f t="shared" si="42"/>
        <v>0.11588799577300242</v>
      </c>
      <c r="M287" s="18">
        <f t="shared" si="43"/>
        <v>496.64649184836458</v>
      </c>
      <c r="N287" s="16">
        <f t="shared" si="44"/>
        <v>0.08</v>
      </c>
      <c r="O287" s="18">
        <f t="shared" si="48"/>
        <v>91955.268304595287</v>
      </c>
      <c r="P287" s="18">
        <f t="shared" si="49"/>
        <v>250981.70947834279</v>
      </c>
      <c r="Q287" s="18">
        <f t="shared" si="45"/>
        <v>73777.531695404687</v>
      </c>
      <c r="R287" s="18">
        <f t="shared" si="46"/>
        <v>342936.97778293805</v>
      </c>
    </row>
    <row r="288" spans="7:18" x14ac:dyDescent="0.3">
      <c r="G288">
        <v>283</v>
      </c>
      <c r="H288" s="17">
        <v>53448</v>
      </c>
      <c r="I288" s="18">
        <f t="shared" si="47"/>
        <v>73777.531695404687</v>
      </c>
      <c r="J288" s="18">
        <f t="shared" si="40"/>
        <v>1216.0885736983614</v>
      </c>
      <c r="K288" s="18">
        <f t="shared" si="41"/>
        <v>724.23836239566344</v>
      </c>
      <c r="L288" s="16">
        <f t="shared" si="42"/>
        <v>0.11779819884228088</v>
      </c>
      <c r="M288" s="18">
        <f t="shared" si="43"/>
        <v>491.85021130269791</v>
      </c>
      <c r="N288" s="16">
        <f t="shared" si="44"/>
        <v>0.08</v>
      </c>
      <c r="O288" s="18">
        <f t="shared" si="48"/>
        <v>92679.506666990957</v>
      </c>
      <c r="P288" s="18">
        <f t="shared" si="49"/>
        <v>251473.55968964548</v>
      </c>
      <c r="Q288" s="18">
        <f t="shared" si="45"/>
        <v>73053.293333009016</v>
      </c>
      <c r="R288" s="18">
        <f t="shared" si="46"/>
        <v>344153.06635663647</v>
      </c>
    </row>
    <row r="289" spans="7:18" x14ac:dyDescent="0.3">
      <c r="G289">
        <v>284</v>
      </c>
      <c r="H289" s="17">
        <v>53479</v>
      </c>
      <c r="I289" s="18">
        <f t="shared" si="47"/>
        <v>73053.293333009016</v>
      </c>
      <c r="J289" s="18">
        <f t="shared" si="40"/>
        <v>1216.0885736983614</v>
      </c>
      <c r="K289" s="18">
        <f t="shared" si="41"/>
        <v>729.06661814496795</v>
      </c>
      <c r="L289" s="16">
        <f t="shared" si="42"/>
        <v>0.11975913772783306</v>
      </c>
      <c r="M289" s="18">
        <f t="shared" si="43"/>
        <v>487.02195555339347</v>
      </c>
      <c r="N289" s="16">
        <f t="shared" si="44"/>
        <v>0.08</v>
      </c>
      <c r="O289" s="18">
        <f t="shared" si="48"/>
        <v>93408.573285135921</v>
      </c>
      <c r="P289" s="18">
        <f t="shared" si="49"/>
        <v>251960.58164519886</v>
      </c>
      <c r="Q289" s="18">
        <f t="shared" si="45"/>
        <v>72324.226714864053</v>
      </c>
      <c r="R289" s="18">
        <f t="shared" si="46"/>
        <v>345369.15493033477</v>
      </c>
    </row>
    <row r="290" spans="7:18" x14ac:dyDescent="0.3">
      <c r="G290">
        <v>285</v>
      </c>
      <c r="H290" s="17">
        <v>53509</v>
      </c>
      <c r="I290" s="18">
        <f t="shared" si="47"/>
        <v>72324.226714864053</v>
      </c>
      <c r="J290" s="18">
        <f t="shared" si="40"/>
        <v>1216.0885736983614</v>
      </c>
      <c r="K290" s="18">
        <f t="shared" si="41"/>
        <v>733.92706226593441</v>
      </c>
      <c r="L290" s="16">
        <f t="shared" si="42"/>
        <v>0.12177281593224662</v>
      </c>
      <c r="M290" s="18">
        <f t="shared" si="43"/>
        <v>482.16151143242706</v>
      </c>
      <c r="N290" s="16">
        <f t="shared" si="44"/>
        <v>0.08</v>
      </c>
      <c r="O290" s="18">
        <f t="shared" si="48"/>
        <v>94142.500347401859</v>
      </c>
      <c r="P290" s="18">
        <f t="shared" si="49"/>
        <v>252442.7431566313</v>
      </c>
      <c r="Q290" s="18">
        <f t="shared" si="45"/>
        <v>71590.299652598114</v>
      </c>
      <c r="R290" s="18">
        <f t="shared" si="46"/>
        <v>346585.24350403319</v>
      </c>
    </row>
    <row r="291" spans="7:18" x14ac:dyDescent="0.3">
      <c r="G291">
        <v>286</v>
      </c>
      <c r="H291" s="17">
        <v>53540</v>
      </c>
      <c r="I291" s="18">
        <f t="shared" si="47"/>
        <v>71590.299652598114</v>
      </c>
      <c r="J291" s="18">
        <f t="shared" si="40"/>
        <v>1216.0885736983614</v>
      </c>
      <c r="K291" s="18">
        <f t="shared" si="41"/>
        <v>738.81990934770727</v>
      </c>
      <c r="L291" s="16">
        <f t="shared" si="42"/>
        <v>0.12384134380209616</v>
      </c>
      <c r="M291" s="18">
        <f t="shared" si="43"/>
        <v>477.26866435065415</v>
      </c>
      <c r="N291" s="16">
        <f t="shared" si="44"/>
        <v>0.08</v>
      </c>
      <c r="O291" s="18">
        <f t="shared" si="48"/>
        <v>94881.320256749561</v>
      </c>
      <c r="P291" s="18">
        <f t="shared" si="49"/>
        <v>252920.01182098195</v>
      </c>
      <c r="Q291" s="18">
        <f t="shared" si="45"/>
        <v>70851.479743250413</v>
      </c>
      <c r="R291" s="18">
        <f t="shared" si="46"/>
        <v>347801.33207773149</v>
      </c>
    </row>
    <row r="292" spans="7:18" x14ac:dyDescent="0.3">
      <c r="G292">
        <v>287</v>
      </c>
      <c r="H292" s="17">
        <v>53571</v>
      </c>
      <c r="I292" s="18">
        <f t="shared" si="47"/>
        <v>70851.479743250413</v>
      </c>
      <c r="J292" s="18">
        <f t="shared" si="40"/>
        <v>1216.0885736983614</v>
      </c>
      <c r="K292" s="18">
        <f t="shared" si="41"/>
        <v>743.7453754100253</v>
      </c>
      <c r="L292" s="16">
        <f t="shared" si="42"/>
        <v>0.1259669457471074</v>
      </c>
      <c r="M292" s="18">
        <f t="shared" si="43"/>
        <v>472.34319828833611</v>
      </c>
      <c r="N292" s="16">
        <f t="shared" si="44"/>
        <v>0.08</v>
      </c>
      <c r="O292" s="18">
        <f t="shared" si="48"/>
        <v>95625.065632159589</v>
      </c>
      <c r="P292" s="18">
        <f t="shared" si="49"/>
        <v>253392.3550192703</v>
      </c>
      <c r="Q292" s="18">
        <f t="shared" si="45"/>
        <v>70107.734367840385</v>
      </c>
      <c r="R292" s="18">
        <f t="shared" si="46"/>
        <v>349017.42065142991</v>
      </c>
    </row>
    <row r="293" spans="7:18" x14ac:dyDescent="0.3">
      <c r="G293">
        <v>288</v>
      </c>
      <c r="H293" s="17">
        <v>53601</v>
      </c>
      <c r="I293" s="18">
        <f t="shared" si="47"/>
        <v>70107.734367840385</v>
      </c>
      <c r="J293" s="18">
        <f t="shared" si="40"/>
        <v>1216.0885736983614</v>
      </c>
      <c r="K293" s="18">
        <f t="shared" si="41"/>
        <v>748.70367791275885</v>
      </c>
      <c r="L293" s="16">
        <f t="shared" si="42"/>
        <v>0.12815196805267784</v>
      </c>
      <c r="M293" s="18">
        <f t="shared" si="43"/>
        <v>467.38489578560262</v>
      </c>
      <c r="N293" s="16">
        <f t="shared" si="44"/>
        <v>0.08</v>
      </c>
      <c r="O293" s="18">
        <f t="shared" si="48"/>
        <v>96373.769310072341</v>
      </c>
      <c r="P293" s="18">
        <f t="shared" si="49"/>
        <v>253859.73991505589</v>
      </c>
      <c r="Q293" s="18">
        <f t="shared" si="45"/>
        <v>69359.030689927633</v>
      </c>
      <c r="R293" s="18">
        <f t="shared" si="46"/>
        <v>350233.50922512822</v>
      </c>
    </row>
    <row r="294" spans="7:18" x14ac:dyDescent="0.3">
      <c r="G294">
        <v>289</v>
      </c>
      <c r="H294" s="17">
        <v>53632</v>
      </c>
      <c r="I294" s="18">
        <f t="shared" si="47"/>
        <v>69359.030689927633</v>
      </c>
      <c r="J294" s="18">
        <f t="shared" si="40"/>
        <v>1216.0885736983614</v>
      </c>
      <c r="K294" s="18">
        <f t="shared" si="41"/>
        <v>753.69503576551051</v>
      </c>
      <c r="L294" s="16">
        <f t="shared" si="42"/>
        <v>0.13039888734344079</v>
      </c>
      <c r="M294" s="18">
        <f t="shared" si="43"/>
        <v>462.3935379328509</v>
      </c>
      <c r="N294" s="16">
        <f t="shared" si="44"/>
        <v>0.08</v>
      </c>
      <c r="O294" s="18">
        <f t="shared" si="48"/>
        <v>97127.464345837856</v>
      </c>
      <c r="P294" s="18">
        <f t="shared" si="49"/>
        <v>254322.13345298875</v>
      </c>
      <c r="Q294" s="18">
        <f t="shared" si="45"/>
        <v>68605.335654162118</v>
      </c>
      <c r="R294" s="18">
        <f t="shared" si="46"/>
        <v>351449.59779882664</v>
      </c>
    </row>
    <row r="295" spans="7:18" x14ac:dyDescent="0.3">
      <c r="G295">
        <v>290</v>
      </c>
      <c r="H295" s="17">
        <v>53662</v>
      </c>
      <c r="I295" s="18">
        <f t="shared" si="47"/>
        <v>68605.335654162118</v>
      </c>
      <c r="J295" s="18">
        <f t="shared" si="40"/>
        <v>1216.0885736983614</v>
      </c>
      <c r="K295" s="18">
        <f t="shared" si="41"/>
        <v>758.71966933728061</v>
      </c>
      <c r="L295" s="16">
        <f t="shared" si="42"/>
        <v>0.13271031976206082</v>
      </c>
      <c r="M295" s="18">
        <f t="shared" si="43"/>
        <v>457.36890436108081</v>
      </c>
      <c r="N295" s="16">
        <f t="shared" si="44"/>
        <v>0.08</v>
      </c>
      <c r="O295" s="18">
        <f t="shared" si="48"/>
        <v>97886.184015175138</v>
      </c>
      <c r="P295" s="18">
        <f t="shared" si="49"/>
        <v>254779.50235734985</v>
      </c>
      <c r="Q295" s="18">
        <f t="shared" si="45"/>
        <v>67846.615984824835</v>
      </c>
      <c r="R295" s="18">
        <f t="shared" si="46"/>
        <v>352665.686372525</v>
      </c>
    </row>
    <row r="296" spans="7:18" x14ac:dyDescent="0.3">
      <c r="G296">
        <v>291</v>
      </c>
      <c r="H296" s="17">
        <v>53693</v>
      </c>
      <c r="I296" s="18">
        <f t="shared" si="47"/>
        <v>67846.615984824835</v>
      </c>
      <c r="J296" s="18">
        <f t="shared" si="40"/>
        <v>1216.0885736983614</v>
      </c>
      <c r="K296" s="18">
        <f t="shared" si="41"/>
        <v>763.7778004661958</v>
      </c>
      <c r="L296" s="16">
        <f t="shared" si="42"/>
        <v>0.13508903093478308</v>
      </c>
      <c r="M296" s="18">
        <f t="shared" si="43"/>
        <v>452.31077323216562</v>
      </c>
      <c r="N296" s="16">
        <f t="shared" si="44"/>
        <v>0.08</v>
      </c>
      <c r="O296" s="18">
        <f t="shared" si="48"/>
        <v>98649.961815641334</v>
      </c>
      <c r="P296" s="18">
        <f t="shared" si="49"/>
        <v>255231.81313058201</v>
      </c>
      <c r="Q296" s="18">
        <f t="shared" si="45"/>
        <v>67082.838184358639</v>
      </c>
      <c r="R296" s="18">
        <f t="shared" si="46"/>
        <v>353881.77494622336</v>
      </c>
    </row>
    <row r="297" spans="7:18" x14ac:dyDescent="0.3">
      <c r="G297">
        <v>292</v>
      </c>
      <c r="H297" s="17">
        <v>53724</v>
      </c>
      <c r="I297" s="18">
        <f t="shared" si="47"/>
        <v>67082.838184358639</v>
      </c>
      <c r="J297" s="18">
        <f t="shared" si="40"/>
        <v>1216.0885736983614</v>
      </c>
      <c r="K297" s="18">
        <f t="shared" si="41"/>
        <v>768.86965246930379</v>
      </c>
      <c r="L297" s="16">
        <f t="shared" si="42"/>
        <v>0.13753794680355261</v>
      </c>
      <c r="M297" s="18">
        <f t="shared" si="43"/>
        <v>447.21892122905763</v>
      </c>
      <c r="N297" s="16">
        <f t="shared" si="44"/>
        <v>0.08</v>
      </c>
      <c r="O297" s="18">
        <f t="shared" si="48"/>
        <v>99418.831468110642</v>
      </c>
      <c r="P297" s="18">
        <f t="shared" si="49"/>
        <v>255679.03205181108</v>
      </c>
      <c r="Q297" s="18">
        <f t="shared" si="45"/>
        <v>66313.968531889332</v>
      </c>
      <c r="R297" s="18">
        <f t="shared" si="46"/>
        <v>355097.86351992172</v>
      </c>
    </row>
    <row r="298" spans="7:18" x14ac:dyDescent="0.3">
      <c r="G298">
        <v>293</v>
      </c>
      <c r="H298" s="17">
        <v>53752</v>
      </c>
      <c r="I298" s="18">
        <f t="shared" si="47"/>
        <v>66313.968531889332</v>
      </c>
      <c r="J298" s="18">
        <f t="shared" si="40"/>
        <v>1216.0885736983614</v>
      </c>
      <c r="K298" s="18">
        <f t="shared" si="41"/>
        <v>773.99545015243257</v>
      </c>
      <c r="L298" s="16">
        <f t="shared" si="42"/>
        <v>0.14006016541390923</v>
      </c>
      <c r="M298" s="18">
        <f t="shared" si="43"/>
        <v>442.0931235459289</v>
      </c>
      <c r="N298" s="16">
        <f t="shared" si="44"/>
        <v>0.08</v>
      </c>
      <c r="O298" s="18">
        <f t="shared" si="48"/>
        <v>100192.82691826308</v>
      </c>
      <c r="P298" s="18">
        <f t="shared" si="49"/>
        <v>256121.12517535701</v>
      </c>
      <c r="Q298" s="18">
        <f t="shared" si="45"/>
        <v>65539.973081736898</v>
      </c>
      <c r="R298" s="18">
        <f t="shared" si="46"/>
        <v>356313.95209362009</v>
      </c>
    </row>
    <row r="299" spans="7:18" x14ac:dyDescent="0.3">
      <c r="G299">
        <v>294</v>
      </c>
      <c r="H299" s="17">
        <v>53783</v>
      </c>
      <c r="I299" s="18">
        <f t="shared" si="47"/>
        <v>65539.973081736898</v>
      </c>
      <c r="J299" s="18">
        <f t="shared" si="40"/>
        <v>1216.0885736983614</v>
      </c>
      <c r="K299" s="18">
        <f t="shared" si="41"/>
        <v>779.15541982011541</v>
      </c>
      <c r="L299" s="16">
        <f t="shared" si="42"/>
        <v>0.14265896975851491</v>
      </c>
      <c r="M299" s="18">
        <f t="shared" si="43"/>
        <v>436.933153878246</v>
      </c>
      <c r="N299" s="16">
        <f t="shared" si="44"/>
        <v>0.08</v>
      </c>
      <c r="O299" s="18">
        <f t="shared" si="48"/>
        <v>100971.98233808319</v>
      </c>
      <c r="P299" s="18">
        <f t="shared" si="49"/>
        <v>256558.05832923527</v>
      </c>
      <c r="Q299" s="18">
        <f t="shared" si="45"/>
        <v>64760.817661916786</v>
      </c>
      <c r="R299" s="18">
        <f t="shared" si="46"/>
        <v>357530.04066731845</v>
      </c>
    </row>
    <row r="300" spans="7:18" x14ac:dyDescent="0.3">
      <c r="G300">
        <v>295</v>
      </c>
      <c r="H300" s="17">
        <v>53813</v>
      </c>
      <c r="I300" s="18">
        <f t="shared" si="47"/>
        <v>64760.817661916786</v>
      </c>
      <c r="J300" s="18">
        <f t="shared" si="40"/>
        <v>1216.0885736983614</v>
      </c>
      <c r="K300" s="18">
        <f t="shared" si="41"/>
        <v>784.3497892855828</v>
      </c>
      <c r="L300" s="16">
        <f t="shared" si="42"/>
        <v>0.14533784178827511</v>
      </c>
      <c r="M300" s="18">
        <f t="shared" si="43"/>
        <v>431.73878441277861</v>
      </c>
      <c r="N300" s="16">
        <f t="shared" si="44"/>
        <v>0.08</v>
      </c>
      <c r="O300" s="18">
        <f t="shared" si="48"/>
        <v>101756.33212736878</v>
      </c>
      <c r="P300" s="18">
        <f t="shared" si="49"/>
        <v>256989.79711364803</v>
      </c>
      <c r="Q300" s="18">
        <f t="shared" si="45"/>
        <v>63976.467872631205</v>
      </c>
      <c r="R300" s="18">
        <f t="shared" si="46"/>
        <v>358746.12924101681</v>
      </c>
    </row>
    <row r="301" spans="7:18" x14ac:dyDescent="0.3">
      <c r="G301">
        <v>296</v>
      </c>
      <c r="H301" s="17">
        <v>53844</v>
      </c>
      <c r="I301" s="18">
        <f t="shared" si="47"/>
        <v>63976.467872631205</v>
      </c>
      <c r="J301" s="18">
        <f t="shared" si="40"/>
        <v>1216.0885736983614</v>
      </c>
      <c r="K301" s="18">
        <f t="shared" si="41"/>
        <v>789.57878788082007</v>
      </c>
      <c r="L301" s="16">
        <f t="shared" si="42"/>
        <v>0.14810047771679458</v>
      </c>
      <c r="M301" s="18">
        <f t="shared" si="43"/>
        <v>426.5097858175414</v>
      </c>
      <c r="N301" s="16">
        <f t="shared" si="44"/>
        <v>0.08</v>
      </c>
      <c r="O301" s="18">
        <f t="shared" si="48"/>
        <v>102545.91091524959</v>
      </c>
      <c r="P301" s="18">
        <f t="shared" si="49"/>
        <v>257416.30689946556</v>
      </c>
      <c r="Q301" s="18">
        <f t="shared" si="45"/>
        <v>63186.889084750386</v>
      </c>
      <c r="R301" s="18">
        <f t="shared" si="46"/>
        <v>359962.21781471517</v>
      </c>
    </row>
    <row r="302" spans="7:18" x14ac:dyDescent="0.3">
      <c r="G302">
        <v>297</v>
      </c>
      <c r="H302" s="17">
        <v>53874</v>
      </c>
      <c r="I302" s="18">
        <f t="shared" si="47"/>
        <v>63186.889084750386</v>
      </c>
      <c r="J302" s="18">
        <f t="shared" si="40"/>
        <v>1216.0885736983614</v>
      </c>
      <c r="K302" s="18">
        <f t="shared" si="41"/>
        <v>794.84264646669214</v>
      </c>
      <c r="L302" s="16">
        <f t="shared" si="42"/>
        <v>0.15095080475962611</v>
      </c>
      <c r="M302" s="18">
        <f t="shared" si="43"/>
        <v>421.24592723166927</v>
      </c>
      <c r="N302" s="16">
        <f t="shared" si="44"/>
        <v>0.08</v>
      </c>
      <c r="O302" s="18">
        <f t="shared" si="48"/>
        <v>103340.75356171629</v>
      </c>
      <c r="P302" s="18">
        <f t="shared" si="49"/>
        <v>257837.55282669724</v>
      </c>
      <c r="Q302" s="18">
        <f t="shared" si="45"/>
        <v>62392.046438283694</v>
      </c>
      <c r="R302" s="18">
        <f t="shared" si="46"/>
        <v>361178.30638841353</v>
      </c>
    </row>
    <row r="303" spans="7:18" x14ac:dyDescent="0.3">
      <c r="G303">
        <v>298</v>
      </c>
      <c r="H303" s="17">
        <v>53905</v>
      </c>
      <c r="I303" s="18">
        <f t="shared" si="47"/>
        <v>62392.046438283694</v>
      </c>
      <c r="J303" s="18">
        <f t="shared" si="40"/>
        <v>1216.0885736983614</v>
      </c>
      <c r="K303" s="18">
        <f t="shared" si="41"/>
        <v>800.14159744313679</v>
      </c>
      <c r="L303" s="16">
        <f t="shared" si="42"/>
        <v>0.15389299946773422</v>
      </c>
      <c r="M303" s="18">
        <f t="shared" si="43"/>
        <v>415.94697625522468</v>
      </c>
      <c r="N303" s="16">
        <f t="shared" si="44"/>
        <v>8.0000000000000016E-2</v>
      </c>
      <c r="O303" s="18">
        <f t="shared" si="48"/>
        <v>104140.89515915944</v>
      </c>
      <c r="P303" s="18">
        <f t="shared" si="49"/>
        <v>258253.49980295246</v>
      </c>
      <c r="Q303" s="18">
        <f t="shared" si="45"/>
        <v>61591.904840840558</v>
      </c>
      <c r="R303" s="18">
        <f t="shared" si="46"/>
        <v>362394.3949621119</v>
      </c>
    </row>
    <row r="304" spans="7:18" x14ac:dyDescent="0.3">
      <c r="G304">
        <v>299</v>
      </c>
      <c r="H304" s="17">
        <v>53936</v>
      </c>
      <c r="I304" s="18">
        <f t="shared" si="47"/>
        <v>61591.904840840558</v>
      </c>
      <c r="J304" s="18">
        <f t="shared" si="40"/>
        <v>1216.0885736983614</v>
      </c>
      <c r="K304" s="18">
        <f t="shared" si="41"/>
        <v>805.47587475942441</v>
      </c>
      <c r="L304" s="16">
        <f t="shared" si="42"/>
        <v>0.15693150783516477</v>
      </c>
      <c r="M304" s="18">
        <f t="shared" si="43"/>
        <v>410.61269893893706</v>
      </c>
      <c r="N304" s="16">
        <f t="shared" si="44"/>
        <v>0.08</v>
      </c>
      <c r="O304" s="18">
        <f t="shared" si="48"/>
        <v>104946.37103391887</v>
      </c>
      <c r="P304" s="18">
        <f t="shared" si="49"/>
        <v>258664.11250189139</v>
      </c>
      <c r="Q304" s="18">
        <f t="shared" si="45"/>
        <v>60786.428966081134</v>
      </c>
      <c r="R304" s="18">
        <f t="shared" si="46"/>
        <v>363610.48353581026</v>
      </c>
    </row>
    <row r="305" spans="7:18" x14ac:dyDescent="0.3">
      <c r="G305">
        <v>300</v>
      </c>
      <c r="H305" s="17">
        <v>53966</v>
      </c>
      <c r="I305" s="18">
        <f t="shared" si="47"/>
        <v>60786.428966081134</v>
      </c>
      <c r="J305" s="18">
        <f t="shared" si="40"/>
        <v>1216.0885736983614</v>
      </c>
      <c r="K305" s="18">
        <f t="shared" si="41"/>
        <v>810.8457139244872</v>
      </c>
      <c r="L305" s="16">
        <f t="shared" si="42"/>
        <v>0.16007106738451893</v>
      </c>
      <c r="M305" s="18">
        <f t="shared" si="43"/>
        <v>405.24285977387427</v>
      </c>
      <c r="N305" s="16">
        <f t="shared" si="44"/>
        <v>0.08</v>
      </c>
      <c r="O305" s="18">
        <f t="shared" si="48"/>
        <v>105757.21674784335</v>
      </c>
      <c r="P305" s="18">
        <f t="shared" si="49"/>
        <v>259069.35536166525</v>
      </c>
      <c r="Q305" s="18">
        <f t="shared" si="45"/>
        <v>59975.583252156648</v>
      </c>
      <c r="R305" s="18">
        <f t="shared" si="46"/>
        <v>364826.57210950862</v>
      </c>
    </row>
    <row r="306" spans="7:18" x14ac:dyDescent="0.3">
      <c r="G306">
        <v>301</v>
      </c>
      <c r="H306" s="17">
        <v>53997</v>
      </c>
      <c r="I306" s="18">
        <f t="shared" si="47"/>
        <v>59975.583252156648</v>
      </c>
      <c r="J306" s="18">
        <f t="shared" si="40"/>
        <v>1216.0885736983614</v>
      </c>
      <c r="K306" s="18">
        <f t="shared" si="41"/>
        <v>816.251352017317</v>
      </c>
      <c r="L306" s="16">
        <f t="shared" si="42"/>
        <v>0.16331673146097478</v>
      </c>
      <c r="M306" s="18">
        <f t="shared" si="43"/>
        <v>399.83722168104435</v>
      </c>
      <c r="N306" s="16">
        <f t="shared" si="44"/>
        <v>0.08</v>
      </c>
      <c r="O306" s="18">
        <f t="shared" si="48"/>
        <v>106573.46809986068</v>
      </c>
      <c r="P306" s="18">
        <f t="shared" si="49"/>
        <v>259469.1925833463</v>
      </c>
      <c r="Q306" s="18">
        <f t="shared" si="45"/>
        <v>59159.331900139332</v>
      </c>
      <c r="R306" s="18">
        <f t="shared" si="46"/>
        <v>366042.66068320698</v>
      </c>
    </row>
    <row r="307" spans="7:18" x14ac:dyDescent="0.3">
      <c r="G307">
        <v>302</v>
      </c>
      <c r="H307" s="17">
        <v>54027</v>
      </c>
      <c r="I307" s="18">
        <f t="shared" si="47"/>
        <v>59159.331900139332</v>
      </c>
      <c r="J307" s="18">
        <f t="shared" si="40"/>
        <v>1216.0885736983614</v>
      </c>
      <c r="K307" s="18">
        <f t="shared" si="41"/>
        <v>821.69302769743251</v>
      </c>
      <c r="L307" s="16">
        <f t="shared" si="42"/>
        <v>0.16667389599688781</v>
      </c>
      <c r="M307" s="18">
        <f t="shared" si="43"/>
        <v>394.3955460009289</v>
      </c>
      <c r="N307" s="16">
        <f t="shared" si="44"/>
        <v>0.08</v>
      </c>
      <c r="O307" s="18">
        <f t="shared" si="48"/>
        <v>107395.16112755811</v>
      </c>
      <c r="P307" s="18">
        <f t="shared" si="49"/>
        <v>259863.58812934722</v>
      </c>
      <c r="Q307" s="18">
        <f t="shared" si="45"/>
        <v>58337.638872441901</v>
      </c>
      <c r="R307" s="18">
        <f t="shared" si="46"/>
        <v>367258.74925690534</v>
      </c>
    </row>
    <row r="308" spans="7:18" x14ac:dyDescent="0.3">
      <c r="G308">
        <v>303</v>
      </c>
      <c r="H308" s="17">
        <v>54058</v>
      </c>
      <c r="I308" s="18">
        <f t="shared" si="47"/>
        <v>58337.638872441901</v>
      </c>
      <c r="J308" s="18">
        <f t="shared" si="40"/>
        <v>1216.0885736983614</v>
      </c>
      <c r="K308" s="18">
        <f t="shared" si="41"/>
        <v>827.1709812154154</v>
      </c>
      <c r="L308" s="16">
        <f t="shared" si="42"/>
        <v>0.17014832904514327</v>
      </c>
      <c r="M308" s="18">
        <f t="shared" si="43"/>
        <v>388.91759248294602</v>
      </c>
      <c r="N308" s="16">
        <f t="shared" si="44"/>
        <v>0.08</v>
      </c>
      <c r="O308" s="18">
        <f t="shared" si="48"/>
        <v>108222.33210877352</v>
      </c>
      <c r="P308" s="18">
        <f t="shared" si="49"/>
        <v>260252.50572183015</v>
      </c>
      <c r="Q308" s="18">
        <f t="shared" si="45"/>
        <v>57510.467891226486</v>
      </c>
      <c r="R308" s="18">
        <f t="shared" si="46"/>
        <v>368474.8378306037</v>
      </c>
    </row>
    <row r="309" spans="7:18" x14ac:dyDescent="0.3">
      <c r="G309">
        <v>304</v>
      </c>
      <c r="H309" s="17">
        <v>54089</v>
      </c>
      <c r="I309" s="18">
        <f t="shared" si="47"/>
        <v>57510.467891226486</v>
      </c>
      <c r="J309" s="18">
        <f t="shared" si="40"/>
        <v>1216.0885736983614</v>
      </c>
      <c r="K309" s="18">
        <f t="shared" si="41"/>
        <v>832.68545442351819</v>
      </c>
      <c r="L309" s="16">
        <f t="shared" si="42"/>
        <v>0.1737462034212833</v>
      </c>
      <c r="M309" s="18">
        <f t="shared" si="43"/>
        <v>383.40311927484328</v>
      </c>
      <c r="N309" s="16">
        <f t="shared" si="44"/>
        <v>0.08</v>
      </c>
      <c r="O309" s="18">
        <f t="shared" si="48"/>
        <v>109055.01756319705</v>
      </c>
      <c r="P309" s="18">
        <f t="shared" si="49"/>
        <v>260635.908841105</v>
      </c>
      <c r="Q309" s="18">
        <f t="shared" si="45"/>
        <v>56677.782436802969</v>
      </c>
      <c r="R309" s="18">
        <f t="shared" si="46"/>
        <v>369690.92640430207</v>
      </c>
    </row>
    <row r="310" spans="7:18" x14ac:dyDescent="0.3">
      <c r="G310">
        <v>305</v>
      </c>
      <c r="H310" s="17">
        <v>54118</v>
      </c>
      <c r="I310" s="18">
        <f t="shared" si="47"/>
        <v>56677.782436802969</v>
      </c>
      <c r="J310" s="18">
        <f t="shared" si="40"/>
        <v>1216.0885736983614</v>
      </c>
      <c r="K310" s="18">
        <f t="shared" si="41"/>
        <v>838.23669078634157</v>
      </c>
      <c r="L310" s="16">
        <f t="shared" si="42"/>
        <v>0.17747413284300487</v>
      </c>
      <c r="M310" s="18">
        <f t="shared" si="43"/>
        <v>377.85188291201979</v>
      </c>
      <c r="N310" s="16">
        <f t="shared" si="44"/>
        <v>7.9999999999999988E-2</v>
      </c>
      <c r="O310" s="18">
        <f t="shared" si="48"/>
        <v>109893.2542539834</v>
      </c>
      <c r="P310" s="18">
        <f t="shared" si="49"/>
        <v>261013.76072401702</v>
      </c>
      <c r="Q310" s="18">
        <f t="shared" si="45"/>
        <v>55839.545746016629</v>
      </c>
      <c r="R310" s="18">
        <f t="shared" si="46"/>
        <v>370907.01497800043</v>
      </c>
    </row>
    <row r="311" spans="7:18" x14ac:dyDescent="0.3">
      <c r="G311">
        <v>306</v>
      </c>
      <c r="H311" s="17">
        <v>54149</v>
      </c>
      <c r="I311" s="18">
        <f t="shared" si="47"/>
        <v>55839.545746016629</v>
      </c>
      <c r="J311" s="18">
        <f t="shared" si="40"/>
        <v>1216.0885736983614</v>
      </c>
      <c r="K311" s="18">
        <f t="shared" si="41"/>
        <v>843.82493539158395</v>
      </c>
      <c r="L311" s="16">
        <f t="shared" si="42"/>
        <v>0.18133921201214909</v>
      </c>
      <c r="M311" s="18">
        <f t="shared" si="43"/>
        <v>372.26363830677752</v>
      </c>
      <c r="N311" s="16">
        <f t="shared" si="44"/>
        <v>7.9999999999999988E-2</v>
      </c>
      <c r="O311" s="18">
        <f t="shared" si="48"/>
        <v>110737.07918937498</v>
      </c>
      <c r="P311" s="18">
        <f t="shared" si="49"/>
        <v>261386.02436232381</v>
      </c>
      <c r="Q311" s="18">
        <f t="shared" si="45"/>
        <v>54995.720810625047</v>
      </c>
      <c r="R311" s="18">
        <f t="shared" si="46"/>
        <v>372123.10355169879</v>
      </c>
    </row>
    <row r="312" spans="7:18" x14ac:dyDescent="0.3">
      <c r="G312">
        <v>307</v>
      </c>
      <c r="H312" s="17">
        <v>54179</v>
      </c>
      <c r="I312" s="18">
        <f t="shared" si="47"/>
        <v>54995.720810625047</v>
      </c>
      <c r="J312" s="18">
        <f t="shared" si="40"/>
        <v>1216.0885736983614</v>
      </c>
      <c r="K312" s="18">
        <f t="shared" si="41"/>
        <v>849.450434960861</v>
      </c>
      <c r="L312" s="16">
        <f t="shared" si="42"/>
        <v>0.1853490611502448</v>
      </c>
      <c r="M312" s="18">
        <f t="shared" si="43"/>
        <v>366.63813873750036</v>
      </c>
      <c r="N312" s="16">
        <f t="shared" si="44"/>
        <v>0.08</v>
      </c>
      <c r="O312" s="18">
        <f t="shared" si="48"/>
        <v>111586.52962433585</v>
      </c>
      <c r="P312" s="18">
        <f t="shared" si="49"/>
        <v>261752.66250106131</v>
      </c>
      <c r="Q312" s="18">
        <f t="shared" si="45"/>
        <v>54146.270375664186</v>
      </c>
      <c r="R312" s="18">
        <f t="shared" si="46"/>
        <v>373339.19212539715</v>
      </c>
    </row>
    <row r="313" spans="7:18" x14ac:dyDescent="0.3">
      <c r="G313">
        <v>308</v>
      </c>
      <c r="H313" s="17">
        <v>54210</v>
      </c>
      <c r="I313" s="18">
        <f t="shared" si="47"/>
        <v>54146.270375664186</v>
      </c>
      <c r="J313" s="18">
        <f t="shared" si="40"/>
        <v>1216.0885736983614</v>
      </c>
      <c r="K313" s="18">
        <f t="shared" si="41"/>
        <v>855.11343786060013</v>
      </c>
      <c r="L313" s="16">
        <f t="shared" si="42"/>
        <v>0.189511875575813</v>
      </c>
      <c r="M313" s="18">
        <f t="shared" si="43"/>
        <v>360.97513583776129</v>
      </c>
      <c r="N313" s="16">
        <f t="shared" si="44"/>
        <v>8.0000000000000016E-2</v>
      </c>
      <c r="O313" s="18">
        <f t="shared" si="48"/>
        <v>112441.64306219644</v>
      </c>
      <c r="P313" s="18">
        <f t="shared" si="49"/>
        <v>262113.63763689908</v>
      </c>
      <c r="Q313" s="18">
        <f t="shared" si="45"/>
        <v>53291.156937803586</v>
      </c>
      <c r="R313" s="18">
        <f t="shared" si="46"/>
        <v>374555.28069909551</v>
      </c>
    </row>
    <row r="314" spans="7:18" x14ac:dyDescent="0.3">
      <c r="G314">
        <v>309</v>
      </c>
      <c r="H314" s="17">
        <v>54240</v>
      </c>
      <c r="I314" s="18">
        <f t="shared" si="47"/>
        <v>53291.156937803586</v>
      </c>
      <c r="J314" s="18">
        <f t="shared" si="40"/>
        <v>1216.0885736983614</v>
      </c>
      <c r="K314" s="18">
        <f t="shared" si="41"/>
        <v>860.81419411300408</v>
      </c>
      <c r="L314" s="16">
        <f t="shared" si="42"/>
        <v>0.19383648100212919</v>
      </c>
      <c r="M314" s="18">
        <f t="shared" si="43"/>
        <v>355.27437958535728</v>
      </c>
      <c r="N314" s="16">
        <f t="shared" si="44"/>
        <v>0.08</v>
      </c>
      <c r="O314" s="18">
        <f t="shared" si="48"/>
        <v>113302.45725630944</v>
      </c>
      <c r="P314" s="18">
        <f t="shared" si="49"/>
        <v>262468.91201648442</v>
      </c>
      <c r="Q314" s="18">
        <f t="shared" si="45"/>
        <v>52430.342743690584</v>
      </c>
      <c r="R314" s="18">
        <f t="shared" si="46"/>
        <v>375771.36927279388</v>
      </c>
    </row>
    <row r="315" spans="7:18" x14ac:dyDescent="0.3">
      <c r="G315">
        <v>310</v>
      </c>
      <c r="H315" s="17">
        <v>54271</v>
      </c>
      <c r="I315" s="18">
        <f t="shared" si="47"/>
        <v>52430.342743690584</v>
      </c>
      <c r="J315" s="18">
        <f t="shared" si="40"/>
        <v>1216.0885736983614</v>
      </c>
      <c r="K315" s="18">
        <f t="shared" si="41"/>
        <v>866.55295540709085</v>
      </c>
      <c r="L315" s="16">
        <f t="shared" si="42"/>
        <v>0.19833239534060554</v>
      </c>
      <c r="M315" s="18">
        <f t="shared" si="43"/>
        <v>349.53561829127057</v>
      </c>
      <c r="N315" s="16">
        <f t="shared" si="44"/>
        <v>0.08</v>
      </c>
      <c r="O315" s="18">
        <f t="shared" si="48"/>
        <v>114169.01021171654</v>
      </c>
      <c r="P315" s="18">
        <f t="shared" si="49"/>
        <v>262818.44763477572</v>
      </c>
      <c r="Q315" s="18">
        <f t="shared" si="45"/>
        <v>51563.789788283495</v>
      </c>
      <c r="R315" s="18">
        <f t="shared" si="46"/>
        <v>376987.45784649224</v>
      </c>
    </row>
    <row r="316" spans="7:18" x14ac:dyDescent="0.3">
      <c r="G316">
        <v>311</v>
      </c>
      <c r="H316" s="17">
        <v>54302</v>
      </c>
      <c r="I316" s="18">
        <f t="shared" si="47"/>
        <v>51563.789788283495</v>
      </c>
      <c r="J316" s="18">
        <f t="shared" si="40"/>
        <v>1216.0885736983614</v>
      </c>
      <c r="K316" s="18">
        <f t="shared" si="41"/>
        <v>872.32997510980476</v>
      </c>
      <c r="L316" s="16">
        <f t="shared" si="42"/>
        <v>0.20300989792057961</v>
      </c>
      <c r="M316" s="18">
        <f t="shared" si="43"/>
        <v>343.75859858855665</v>
      </c>
      <c r="N316" s="16">
        <f t="shared" si="44"/>
        <v>0.08</v>
      </c>
      <c r="O316" s="18">
        <f t="shared" si="48"/>
        <v>115041.34018682635</v>
      </c>
      <c r="P316" s="18">
        <f t="shared" si="49"/>
        <v>263162.2062333643</v>
      </c>
      <c r="Q316" s="18">
        <f t="shared" si="45"/>
        <v>50691.459813173693</v>
      </c>
      <c r="R316" s="18">
        <f t="shared" si="46"/>
        <v>378203.54642019066</v>
      </c>
    </row>
    <row r="317" spans="7:18" x14ac:dyDescent="0.3">
      <c r="G317">
        <v>312</v>
      </c>
      <c r="H317" s="17">
        <v>54332</v>
      </c>
      <c r="I317" s="18">
        <f t="shared" si="47"/>
        <v>50691.459813173693</v>
      </c>
      <c r="J317" s="18">
        <f t="shared" si="40"/>
        <v>1216.0885736983614</v>
      </c>
      <c r="K317" s="18">
        <f t="shared" si="41"/>
        <v>878.14550827720336</v>
      </c>
      <c r="L317" s="16">
        <f t="shared" si="42"/>
        <v>0.20788010718499556</v>
      </c>
      <c r="M317" s="18">
        <f t="shared" si="43"/>
        <v>337.943065421158</v>
      </c>
      <c r="N317" s="16">
        <f t="shared" si="44"/>
        <v>0.08</v>
      </c>
      <c r="O317" s="18">
        <f t="shared" si="48"/>
        <v>115919.48569510355</v>
      </c>
      <c r="P317" s="18">
        <f t="shared" si="49"/>
        <v>263500.14929878543</v>
      </c>
      <c r="Q317" s="18">
        <f t="shared" si="45"/>
        <v>49813.314304896492</v>
      </c>
      <c r="R317" s="18">
        <f t="shared" si="46"/>
        <v>379419.63499388896</v>
      </c>
    </row>
    <row r="318" spans="7:18" x14ac:dyDescent="0.3">
      <c r="G318">
        <v>313</v>
      </c>
      <c r="H318" s="17">
        <v>54363</v>
      </c>
      <c r="I318" s="18">
        <f t="shared" si="47"/>
        <v>49813.314304896492</v>
      </c>
      <c r="J318" s="18">
        <f t="shared" si="40"/>
        <v>1216.0885736983614</v>
      </c>
      <c r="K318" s="18">
        <f t="shared" si="41"/>
        <v>883.9998116657182</v>
      </c>
      <c r="L318" s="16">
        <f t="shared" si="42"/>
        <v>0.21295506809804635</v>
      </c>
      <c r="M318" s="18">
        <f t="shared" si="43"/>
        <v>332.08876203264327</v>
      </c>
      <c r="N318" s="16">
        <f t="shared" si="44"/>
        <v>7.9999999999999988E-2</v>
      </c>
      <c r="O318" s="18">
        <f t="shared" si="48"/>
        <v>116803.48550676927</v>
      </c>
      <c r="P318" s="18">
        <f t="shared" si="49"/>
        <v>263832.23806081805</v>
      </c>
      <c r="Q318" s="18">
        <f t="shared" si="45"/>
        <v>48929.314493230777</v>
      </c>
      <c r="R318" s="18">
        <f t="shared" si="46"/>
        <v>380635.72356758732</v>
      </c>
    </row>
    <row r="319" spans="7:18" x14ac:dyDescent="0.3">
      <c r="G319">
        <v>314</v>
      </c>
      <c r="H319" s="17">
        <v>54393</v>
      </c>
      <c r="I319" s="18">
        <f t="shared" si="47"/>
        <v>48929.314493230777</v>
      </c>
      <c r="J319" s="18">
        <f t="shared" si="40"/>
        <v>1216.0885736983614</v>
      </c>
      <c r="K319" s="18">
        <f t="shared" si="41"/>
        <v>889.89314374348953</v>
      </c>
      <c r="L319" s="16">
        <f t="shared" si="42"/>
        <v>0.21824785071123859</v>
      </c>
      <c r="M319" s="18">
        <f t="shared" si="43"/>
        <v>326.19542995487188</v>
      </c>
      <c r="N319" s="16">
        <f t="shared" si="44"/>
        <v>0.08</v>
      </c>
      <c r="O319" s="18">
        <f t="shared" si="48"/>
        <v>117693.37865051276</v>
      </c>
      <c r="P319" s="18">
        <f t="shared" si="49"/>
        <v>264158.43349077291</v>
      </c>
      <c r="Q319" s="18">
        <f t="shared" si="45"/>
        <v>48039.421349487289</v>
      </c>
      <c r="R319" s="18">
        <f t="shared" si="46"/>
        <v>381851.81214128569</v>
      </c>
    </row>
    <row r="320" spans="7:18" x14ac:dyDescent="0.3">
      <c r="G320">
        <v>315</v>
      </c>
      <c r="H320" s="17">
        <v>54424</v>
      </c>
      <c r="I320" s="18">
        <f t="shared" si="47"/>
        <v>48039.421349487289</v>
      </c>
      <c r="J320" s="18">
        <f t="shared" si="40"/>
        <v>1216.0885736983614</v>
      </c>
      <c r="K320" s="18">
        <f t="shared" si="41"/>
        <v>895.82576470177946</v>
      </c>
      <c r="L320" s="16">
        <f t="shared" si="42"/>
        <v>0.22377266158590156</v>
      </c>
      <c r="M320" s="18">
        <f t="shared" si="43"/>
        <v>320.26280899658195</v>
      </c>
      <c r="N320" s="16">
        <f t="shared" si="44"/>
        <v>0.08</v>
      </c>
      <c r="O320" s="18">
        <f t="shared" si="48"/>
        <v>118589.20441521454</v>
      </c>
      <c r="P320" s="18">
        <f t="shared" si="49"/>
        <v>264478.69629976951</v>
      </c>
      <c r="Q320" s="18">
        <f t="shared" si="45"/>
        <v>47143.595584785508</v>
      </c>
      <c r="R320" s="18">
        <f t="shared" si="46"/>
        <v>383067.90071498405</v>
      </c>
    </row>
    <row r="321" spans="7:18" x14ac:dyDescent="0.3">
      <c r="G321">
        <v>316</v>
      </c>
      <c r="H321" s="17">
        <v>54455</v>
      </c>
      <c r="I321" s="18">
        <f t="shared" si="47"/>
        <v>47143.595584785508</v>
      </c>
      <c r="J321" s="18">
        <f t="shared" si="40"/>
        <v>1216.0885736983614</v>
      </c>
      <c r="K321" s="18">
        <f t="shared" si="41"/>
        <v>901.79793646645794</v>
      </c>
      <c r="L321" s="16">
        <f t="shared" si="42"/>
        <v>0.22954497007203045</v>
      </c>
      <c r="M321" s="18">
        <f t="shared" si="43"/>
        <v>314.29063723190342</v>
      </c>
      <c r="N321" s="16">
        <f t="shared" si="44"/>
        <v>0.08</v>
      </c>
      <c r="O321" s="18">
        <f t="shared" si="48"/>
        <v>119491.002351681</v>
      </c>
      <c r="P321" s="18">
        <f t="shared" si="49"/>
        <v>264792.98693700141</v>
      </c>
      <c r="Q321" s="18">
        <f t="shared" si="45"/>
        <v>46241.79764831905</v>
      </c>
      <c r="R321" s="18">
        <f t="shared" si="46"/>
        <v>384283.98928868241</v>
      </c>
    </row>
    <row r="322" spans="7:18" x14ac:dyDescent="0.3">
      <c r="G322">
        <v>317</v>
      </c>
      <c r="H322" s="17">
        <v>54483</v>
      </c>
      <c r="I322" s="18">
        <f t="shared" si="47"/>
        <v>46241.79764831905</v>
      </c>
      <c r="J322" s="18">
        <f t="shared" si="40"/>
        <v>1216.0885736983614</v>
      </c>
      <c r="K322" s="18">
        <f t="shared" si="41"/>
        <v>907.80992270956767</v>
      </c>
      <c r="L322" s="16">
        <f t="shared" si="42"/>
        <v>0.23558165180697321</v>
      </c>
      <c r="M322" s="18">
        <f t="shared" si="43"/>
        <v>308.27865098879369</v>
      </c>
      <c r="N322" s="16">
        <f t="shared" si="44"/>
        <v>0.08</v>
      </c>
      <c r="O322" s="18">
        <f t="shared" si="48"/>
        <v>120398.81227439057</v>
      </c>
      <c r="P322" s="18">
        <f t="shared" si="49"/>
        <v>265101.26558799017</v>
      </c>
      <c r="Q322" s="18">
        <f t="shared" si="45"/>
        <v>45333.987725609484</v>
      </c>
      <c r="R322" s="18">
        <f t="shared" si="46"/>
        <v>385500.07786238077</v>
      </c>
    </row>
    <row r="323" spans="7:18" x14ac:dyDescent="0.3">
      <c r="G323">
        <v>318</v>
      </c>
      <c r="H323" s="17">
        <v>54514</v>
      </c>
      <c r="I323" s="18">
        <f t="shared" si="47"/>
        <v>45333.987725609484</v>
      </c>
      <c r="J323" s="18">
        <f t="shared" si="40"/>
        <v>1216.0885736983614</v>
      </c>
      <c r="K323" s="18">
        <f t="shared" si="41"/>
        <v>913.86198886096486</v>
      </c>
      <c r="L323" s="16">
        <f t="shared" si="42"/>
        <v>0.24190115223719033</v>
      </c>
      <c r="M323" s="18">
        <f t="shared" si="43"/>
        <v>302.22658483739656</v>
      </c>
      <c r="N323" s="16">
        <f t="shared" si="44"/>
        <v>7.9999999999999988E-2</v>
      </c>
      <c r="O323" s="18">
        <f t="shared" si="48"/>
        <v>121312.67426325154</v>
      </c>
      <c r="P323" s="18">
        <f t="shared" si="49"/>
        <v>265403.49217282759</v>
      </c>
      <c r="Q323" s="18">
        <f t="shared" si="45"/>
        <v>44420.125736748516</v>
      </c>
      <c r="R323" s="18">
        <f t="shared" si="46"/>
        <v>386716.16643607913</v>
      </c>
    </row>
    <row r="324" spans="7:18" x14ac:dyDescent="0.3">
      <c r="G324">
        <v>319</v>
      </c>
      <c r="H324" s="17">
        <v>54544</v>
      </c>
      <c r="I324" s="18">
        <f t="shared" si="47"/>
        <v>44420.125736748516</v>
      </c>
      <c r="J324" s="18">
        <f t="shared" si="40"/>
        <v>1216.0885736983614</v>
      </c>
      <c r="K324" s="18">
        <f t="shared" si="41"/>
        <v>919.95440212003791</v>
      </c>
      <c r="L324" s="16">
        <f t="shared" si="42"/>
        <v>0.24852367350026611</v>
      </c>
      <c r="M324" s="18">
        <f t="shared" si="43"/>
        <v>296.13417157832345</v>
      </c>
      <c r="N324" s="16">
        <f t="shared" si="44"/>
        <v>0.08</v>
      </c>
      <c r="O324" s="18">
        <f t="shared" si="48"/>
        <v>122232.62866537158</v>
      </c>
      <c r="P324" s="18">
        <f t="shared" si="49"/>
        <v>265699.62634440593</v>
      </c>
      <c r="Q324" s="18">
        <f t="shared" si="45"/>
        <v>43500.171334628481</v>
      </c>
      <c r="R324" s="18">
        <f t="shared" si="46"/>
        <v>387932.25500977749</v>
      </c>
    </row>
    <row r="325" spans="7:18" x14ac:dyDescent="0.3">
      <c r="G325">
        <v>320</v>
      </c>
      <c r="H325" s="17">
        <v>54575</v>
      </c>
      <c r="I325" s="18">
        <f t="shared" si="47"/>
        <v>43500.171334628481</v>
      </c>
      <c r="J325" s="18">
        <f t="shared" si="40"/>
        <v>1216.0885736983614</v>
      </c>
      <c r="K325" s="18">
        <f t="shared" si="41"/>
        <v>926.08743146750487</v>
      </c>
      <c r="L325" s="16">
        <f t="shared" si="42"/>
        <v>0.25547138865550795</v>
      </c>
      <c r="M325" s="18">
        <f t="shared" si="43"/>
        <v>290.00114223085654</v>
      </c>
      <c r="N325" s="16">
        <f t="shared" si="44"/>
        <v>0.08</v>
      </c>
      <c r="O325" s="18">
        <f t="shared" si="48"/>
        <v>123158.71609683908</v>
      </c>
      <c r="P325" s="18">
        <f t="shared" si="49"/>
        <v>265989.6274866368</v>
      </c>
      <c r="Q325" s="18">
        <f t="shared" si="45"/>
        <v>42574.083903160979</v>
      </c>
      <c r="R325" s="18">
        <f t="shared" si="46"/>
        <v>389148.34358347591</v>
      </c>
    </row>
    <row r="326" spans="7:18" x14ac:dyDescent="0.3">
      <c r="G326">
        <v>321</v>
      </c>
      <c r="H326" s="17">
        <v>54605</v>
      </c>
      <c r="I326" s="18">
        <f t="shared" si="47"/>
        <v>42574.083903160979</v>
      </c>
      <c r="J326" s="18">
        <f t="shared" ref="J326:J365" si="50">$I$6/((($K$2)-1)/($K$1*$K$2))</f>
        <v>1216.0885736983614</v>
      </c>
      <c r="K326" s="18">
        <f t="shared" ref="K326:K365" si="51">J326-M326</f>
        <v>932.2613476772882</v>
      </c>
      <c r="L326" s="16">
        <f t="shared" ref="L326:L365" si="52">(K326/I326)*12</f>
        <v>0.26276868804913617</v>
      </c>
      <c r="M326" s="18">
        <f t="shared" ref="M326:M365" si="53">I326*($H$1/12)</f>
        <v>283.82722602107322</v>
      </c>
      <c r="N326" s="16">
        <f t="shared" ref="N326:N365" si="54">(M326/I326)*12</f>
        <v>0.08</v>
      </c>
      <c r="O326" s="18">
        <f t="shared" si="48"/>
        <v>124090.97744451636</v>
      </c>
      <c r="P326" s="18">
        <f t="shared" si="49"/>
        <v>266273.4547126579</v>
      </c>
      <c r="Q326" s="18">
        <f t="shared" ref="Q326:Q365" si="55">I326-K326</f>
        <v>41641.82255548369</v>
      </c>
      <c r="R326" s="18">
        <f t="shared" ref="R326:R365" si="56">O326+P326</f>
        <v>390364.43215717428</v>
      </c>
    </row>
    <row r="327" spans="7:18" x14ac:dyDescent="0.3">
      <c r="G327">
        <v>322</v>
      </c>
      <c r="H327" s="17">
        <v>54636</v>
      </c>
      <c r="I327" s="18">
        <f t="shared" ref="I327:I365" si="57">Q326</f>
        <v>41641.82255548369</v>
      </c>
      <c r="J327" s="18">
        <f t="shared" si="50"/>
        <v>1216.0885736983614</v>
      </c>
      <c r="K327" s="18">
        <f t="shared" si="51"/>
        <v>938.4764233284701</v>
      </c>
      <c r="L327" s="16">
        <f t="shared" si="52"/>
        <v>0.27044246358181118</v>
      </c>
      <c r="M327" s="18">
        <f t="shared" si="53"/>
        <v>277.61215036989131</v>
      </c>
      <c r="N327" s="16">
        <f t="shared" si="54"/>
        <v>8.0000000000000016E-2</v>
      </c>
      <c r="O327" s="18">
        <f t="shared" ref="O327:O365" si="58">O326+K327</f>
        <v>125029.45386784483</v>
      </c>
      <c r="P327" s="18">
        <f t="shared" ref="P327:P365" si="59">P326+M327</f>
        <v>266551.06686302781</v>
      </c>
      <c r="Q327" s="18">
        <f t="shared" si="55"/>
        <v>40703.346132155217</v>
      </c>
      <c r="R327" s="18">
        <f t="shared" si="56"/>
        <v>391580.52073087264</v>
      </c>
    </row>
    <row r="328" spans="7:18" x14ac:dyDescent="0.3">
      <c r="G328">
        <v>323</v>
      </c>
      <c r="H328" s="17">
        <v>54667</v>
      </c>
      <c r="I328" s="18">
        <f t="shared" si="57"/>
        <v>40703.346132155217</v>
      </c>
      <c r="J328" s="18">
        <f t="shared" si="50"/>
        <v>1216.0885736983614</v>
      </c>
      <c r="K328" s="18">
        <f t="shared" si="51"/>
        <v>944.73293281732663</v>
      </c>
      <c r="L328" s="16">
        <f t="shared" si="52"/>
        <v>0.27852243786050723</v>
      </c>
      <c r="M328" s="18">
        <f t="shared" si="53"/>
        <v>271.35564088103479</v>
      </c>
      <c r="N328" s="16">
        <f t="shared" si="54"/>
        <v>0.08</v>
      </c>
      <c r="O328" s="18">
        <f t="shared" si="58"/>
        <v>125974.18680066215</v>
      </c>
      <c r="P328" s="18">
        <f t="shared" si="59"/>
        <v>266822.42250390886</v>
      </c>
      <c r="Q328" s="18">
        <f t="shared" si="55"/>
        <v>39758.613199337888</v>
      </c>
      <c r="R328" s="18">
        <f t="shared" si="56"/>
        <v>392796.609304571</v>
      </c>
    </row>
    <row r="329" spans="7:18" x14ac:dyDescent="0.3">
      <c r="G329">
        <v>324</v>
      </c>
      <c r="H329" s="17">
        <v>54697</v>
      </c>
      <c r="I329" s="18">
        <f t="shared" si="57"/>
        <v>39758.613199337888</v>
      </c>
      <c r="J329" s="18">
        <f t="shared" si="50"/>
        <v>1216.0885736983614</v>
      </c>
      <c r="K329" s="18">
        <f t="shared" si="51"/>
        <v>951.03115236944222</v>
      </c>
      <c r="L329" s="16">
        <f t="shared" si="52"/>
        <v>0.28704154672636717</v>
      </c>
      <c r="M329" s="18">
        <f t="shared" si="53"/>
        <v>265.05742132891925</v>
      </c>
      <c r="N329" s="16">
        <f t="shared" si="54"/>
        <v>7.9999999999999988E-2</v>
      </c>
      <c r="O329" s="18">
        <f t="shared" si="58"/>
        <v>126925.21795303159</v>
      </c>
      <c r="P329" s="18">
        <f t="shared" si="59"/>
        <v>267087.47992523777</v>
      </c>
      <c r="Q329" s="18">
        <f t="shared" si="55"/>
        <v>38807.582046968448</v>
      </c>
      <c r="R329" s="18">
        <f t="shared" si="56"/>
        <v>394012.69787826936</v>
      </c>
    </row>
    <row r="330" spans="7:18" x14ac:dyDescent="0.3">
      <c r="G330">
        <v>325</v>
      </c>
      <c r="H330" s="17">
        <v>54728</v>
      </c>
      <c r="I330" s="18">
        <f t="shared" si="57"/>
        <v>38807.582046968448</v>
      </c>
      <c r="J330" s="18">
        <f t="shared" si="50"/>
        <v>1216.0885736983614</v>
      </c>
      <c r="K330" s="18">
        <f t="shared" si="51"/>
        <v>957.37136005190507</v>
      </c>
      <c r="L330" s="16">
        <f t="shared" si="52"/>
        <v>0.29603638553719969</v>
      </c>
      <c r="M330" s="18">
        <f t="shared" si="53"/>
        <v>258.71721364645634</v>
      </c>
      <c r="N330" s="16">
        <f t="shared" si="54"/>
        <v>0.08</v>
      </c>
      <c r="O330" s="18">
        <f t="shared" si="58"/>
        <v>127882.5893130835</v>
      </c>
      <c r="P330" s="18">
        <f t="shared" si="59"/>
        <v>267346.19713888422</v>
      </c>
      <c r="Q330" s="18">
        <f t="shared" si="55"/>
        <v>37850.210686916544</v>
      </c>
      <c r="R330" s="18">
        <f t="shared" si="56"/>
        <v>395228.78645196772</v>
      </c>
    </row>
    <row r="331" spans="7:18" x14ac:dyDescent="0.3">
      <c r="G331">
        <v>326</v>
      </c>
      <c r="H331" s="17">
        <v>54758</v>
      </c>
      <c r="I331" s="18">
        <f t="shared" si="57"/>
        <v>37850.210686916544</v>
      </c>
      <c r="J331" s="18">
        <f t="shared" si="50"/>
        <v>1216.0885736983614</v>
      </c>
      <c r="K331" s="18">
        <f t="shared" si="51"/>
        <v>963.75383578558444</v>
      </c>
      <c r="L331" s="16">
        <f t="shared" si="52"/>
        <v>0.30554773195554852</v>
      </c>
      <c r="M331" s="18">
        <f t="shared" si="53"/>
        <v>252.33473791277697</v>
      </c>
      <c r="N331" s="16">
        <f t="shared" si="54"/>
        <v>0.08</v>
      </c>
      <c r="O331" s="18">
        <f t="shared" si="58"/>
        <v>128846.34314886908</v>
      </c>
      <c r="P331" s="18">
        <f t="shared" si="59"/>
        <v>267598.53187679697</v>
      </c>
      <c r="Q331" s="18">
        <f t="shared" si="55"/>
        <v>36886.456851130963</v>
      </c>
      <c r="R331" s="18">
        <f t="shared" si="56"/>
        <v>396444.87502566609</v>
      </c>
    </row>
    <row r="332" spans="7:18" x14ac:dyDescent="0.3">
      <c r="G332">
        <v>327</v>
      </c>
      <c r="H332" s="17">
        <v>54789</v>
      </c>
      <c r="I332" s="18">
        <f t="shared" si="57"/>
        <v>36886.456851130963</v>
      </c>
      <c r="J332" s="18">
        <f t="shared" si="50"/>
        <v>1216.0885736983614</v>
      </c>
      <c r="K332" s="18">
        <f t="shared" si="51"/>
        <v>970.17886135748836</v>
      </c>
      <c r="L332" s="16">
        <f t="shared" si="52"/>
        <v>0.31562116099348003</v>
      </c>
      <c r="M332" s="18">
        <f t="shared" si="53"/>
        <v>245.90971234087311</v>
      </c>
      <c r="N332" s="16">
        <f t="shared" si="54"/>
        <v>0.08</v>
      </c>
      <c r="O332" s="18">
        <f t="shared" si="58"/>
        <v>129816.52201022657</v>
      </c>
      <c r="P332" s="18">
        <f t="shared" si="59"/>
        <v>267844.44158913783</v>
      </c>
      <c r="Q332" s="18">
        <f t="shared" si="55"/>
        <v>35916.277989773473</v>
      </c>
      <c r="R332" s="18">
        <f t="shared" si="56"/>
        <v>397660.96359936439</v>
      </c>
    </row>
    <row r="333" spans="7:18" x14ac:dyDescent="0.3">
      <c r="G333">
        <v>328</v>
      </c>
      <c r="H333" s="17">
        <v>54820</v>
      </c>
      <c r="I333" s="18">
        <f t="shared" si="57"/>
        <v>35916.277989773473</v>
      </c>
      <c r="J333" s="18">
        <f t="shared" si="50"/>
        <v>1216.0885736983614</v>
      </c>
      <c r="K333" s="18">
        <f t="shared" si="51"/>
        <v>976.64672043320491</v>
      </c>
      <c r="L333" s="16">
        <f t="shared" si="52"/>
        <v>0.32630777188369725</v>
      </c>
      <c r="M333" s="18">
        <f t="shared" si="53"/>
        <v>239.44185326515651</v>
      </c>
      <c r="N333" s="16">
        <f t="shared" si="54"/>
        <v>0.08</v>
      </c>
      <c r="O333" s="18">
        <f t="shared" si="58"/>
        <v>130793.16873065977</v>
      </c>
      <c r="P333" s="18">
        <f t="shared" si="59"/>
        <v>268083.88344240299</v>
      </c>
      <c r="Q333" s="18">
        <f t="shared" si="55"/>
        <v>34939.631269340265</v>
      </c>
      <c r="R333" s="18">
        <f t="shared" si="56"/>
        <v>398877.05217306275</v>
      </c>
    </row>
    <row r="334" spans="7:18" x14ac:dyDescent="0.3">
      <c r="G334">
        <v>329</v>
      </c>
      <c r="H334" s="17">
        <v>54848</v>
      </c>
      <c r="I334" s="18">
        <f t="shared" si="57"/>
        <v>34939.631269340265</v>
      </c>
      <c r="J334" s="18">
        <f t="shared" si="50"/>
        <v>1216.0885736983614</v>
      </c>
      <c r="K334" s="18">
        <f t="shared" si="51"/>
        <v>983.15769856942632</v>
      </c>
      <c r="L334" s="16">
        <f t="shared" si="52"/>
        <v>0.33766505123898766</v>
      </c>
      <c r="M334" s="18">
        <f t="shared" si="53"/>
        <v>232.93087512893513</v>
      </c>
      <c r="N334" s="16">
        <f t="shared" si="54"/>
        <v>0.08</v>
      </c>
      <c r="O334" s="18">
        <f t="shared" si="58"/>
        <v>131776.3264292292</v>
      </c>
      <c r="P334" s="18">
        <f t="shared" si="59"/>
        <v>268316.81431753194</v>
      </c>
      <c r="Q334" s="18">
        <f t="shared" si="55"/>
        <v>33956.473570770839</v>
      </c>
      <c r="R334" s="18">
        <f t="shared" si="56"/>
        <v>400093.14074676111</v>
      </c>
    </row>
    <row r="335" spans="7:18" x14ac:dyDescent="0.3">
      <c r="G335">
        <v>330</v>
      </c>
      <c r="H335" s="17">
        <v>54879</v>
      </c>
      <c r="I335" s="18">
        <f t="shared" si="57"/>
        <v>33956.473570770839</v>
      </c>
      <c r="J335" s="18">
        <f t="shared" si="50"/>
        <v>1216.0885736983614</v>
      </c>
      <c r="K335" s="18">
        <f t="shared" si="51"/>
        <v>989.71208322655582</v>
      </c>
      <c r="L335" s="16">
        <f t="shared" si="52"/>
        <v>0.34975790327479117</v>
      </c>
      <c r="M335" s="18">
        <f t="shared" si="53"/>
        <v>226.3764904718056</v>
      </c>
      <c r="N335" s="16">
        <f t="shared" si="54"/>
        <v>0.08</v>
      </c>
      <c r="O335" s="18">
        <f t="shared" si="58"/>
        <v>132766.03851245577</v>
      </c>
      <c r="P335" s="18">
        <f t="shared" si="59"/>
        <v>268543.19080800377</v>
      </c>
      <c r="Q335" s="18">
        <f t="shared" si="55"/>
        <v>32966.761487544281</v>
      </c>
      <c r="R335" s="18">
        <f t="shared" si="56"/>
        <v>401309.22932045953</v>
      </c>
    </row>
    <row r="336" spans="7:18" x14ac:dyDescent="0.3">
      <c r="G336">
        <v>331</v>
      </c>
      <c r="H336" s="17">
        <v>54909</v>
      </c>
      <c r="I336" s="18">
        <f t="shared" si="57"/>
        <v>32966.761487544281</v>
      </c>
      <c r="J336" s="18">
        <f t="shared" si="50"/>
        <v>1216.0885736983614</v>
      </c>
      <c r="K336" s="18">
        <f t="shared" si="51"/>
        <v>996.31016378139952</v>
      </c>
      <c r="L336" s="16">
        <f t="shared" si="52"/>
        <v>0.36265988607628274</v>
      </c>
      <c r="M336" s="18">
        <f t="shared" si="53"/>
        <v>219.77840991696189</v>
      </c>
      <c r="N336" s="16">
        <f t="shared" si="54"/>
        <v>0.08</v>
      </c>
      <c r="O336" s="18">
        <f t="shared" si="58"/>
        <v>133762.34867623716</v>
      </c>
      <c r="P336" s="18">
        <f t="shared" si="59"/>
        <v>268762.96921792073</v>
      </c>
      <c r="Q336" s="18">
        <f t="shared" si="55"/>
        <v>31970.451323762882</v>
      </c>
      <c r="R336" s="18">
        <f t="shared" si="56"/>
        <v>402525.3178941579</v>
      </c>
    </row>
    <row r="337" spans="7:18" x14ac:dyDescent="0.3">
      <c r="G337">
        <v>332</v>
      </c>
      <c r="H337" s="17">
        <v>54940</v>
      </c>
      <c r="I337" s="18">
        <f t="shared" si="57"/>
        <v>31970.451323762882</v>
      </c>
      <c r="J337" s="18">
        <f t="shared" si="50"/>
        <v>1216.0885736983614</v>
      </c>
      <c r="K337" s="18">
        <f t="shared" si="51"/>
        <v>1002.9522315399422</v>
      </c>
      <c r="L337" s="16">
        <f t="shared" si="52"/>
        <v>0.37645470364485156</v>
      </c>
      <c r="M337" s="18">
        <f t="shared" si="53"/>
        <v>213.13634215841921</v>
      </c>
      <c r="N337" s="16">
        <f t="shared" si="54"/>
        <v>0.08</v>
      </c>
      <c r="O337" s="18">
        <f t="shared" si="58"/>
        <v>134765.3009077771</v>
      </c>
      <c r="P337" s="18">
        <f t="shared" si="59"/>
        <v>268976.10556007916</v>
      </c>
      <c r="Q337" s="18">
        <f t="shared" si="55"/>
        <v>30967.499092222941</v>
      </c>
      <c r="R337" s="18">
        <f t="shared" si="56"/>
        <v>403741.40646785626</v>
      </c>
    </row>
    <row r="338" spans="7:18" x14ac:dyDescent="0.3">
      <c r="G338">
        <v>333</v>
      </c>
      <c r="H338" s="17">
        <v>54970</v>
      </c>
      <c r="I338" s="18">
        <f t="shared" si="57"/>
        <v>30967.499092222941</v>
      </c>
      <c r="J338" s="18">
        <f t="shared" si="50"/>
        <v>1216.0885736983614</v>
      </c>
      <c r="K338" s="18">
        <f t="shared" si="51"/>
        <v>1009.6385797502085</v>
      </c>
      <c r="L338" s="16">
        <f t="shared" si="52"/>
        <v>0.39123801766882693</v>
      </c>
      <c r="M338" s="18">
        <f t="shared" si="53"/>
        <v>206.44999394815295</v>
      </c>
      <c r="N338" s="16">
        <f t="shared" si="54"/>
        <v>0.08</v>
      </c>
      <c r="O338" s="18">
        <f t="shared" si="58"/>
        <v>135774.9394875273</v>
      </c>
      <c r="P338" s="18">
        <f t="shared" si="59"/>
        <v>269182.55555402732</v>
      </c>
      <c r="Q338" s="18">
        <f t="shared" si="55"/>
        <v>29957.860512472733</v>
      </c>
      <c r="R338" s="18">
        <f t="shared" si="56"/>
        <v>404957.49504155462</v>
      </c>
    </row>
    <row r="339" spans="7:18" x14ac:dyDescent="0.3">
      <c r="G339">
        <v>334</v>
      </c>
      <c r="H339" s="17">
        <v>55001</v>
      </c>
      <c r="I339" s="18">
        <f t="shared" si="57"/>
        <v>29957.860512472733</v>
      </c>
      <c r="J339" s="18">
        <f t="shared" si="50"/>
        <v>1216.0885736983614</v>
      </c>
      <c r="K339" s="18">
        <f t="shared" si="51"/>
        <v>1016.3695036152099</v>
      </c>
      <c r="L339" s="16">
        <f t="shared" si="52"/>
        <v>0.40711966190992255</v>
      </c>
      <c r="M339" s="18">
        <f t="shared" si="53"/>
        <v>199.71907008315156</v>
      </c>
      <c r="N339" s="16">
        <f t="shared" si="54"/>
        <v>0.08</v>
      </c>
      <c r="O339" s="18">
        <f t="shared" si="58"/>
        <v>136791.30899114252</v>
      </c>
      <c r="P339" s="18">
        <f t="shared" si="59"/>
        <v>269382.27462411049</v>
      </c>
      <c r="Q339" s="18">
        <f t="shared" si="55"/>
        <v>28941.491008857523</v>
      </c>
      <c r="R339" s="18">
        <f t="shared" si="56"/>
        <v>406173.58361525298</v>
      </c>
    </row>
    <row r="340" spans="7:18" x14ac:dyDescent="0.3">
      <c r="G340">
        <v>335</v>
      </c>
      <c r="H340" s="17">
        <v>55032</v>
      </c>
      <c r="I340" s="18">
        <f t="shared" si="57"/>
        <v>28941.491008857523</v>
      </c>
      <c r="J340" s="18">
        <f t="shared" si="50"/>
        <v>1216.0885736983614</v>
      </c>
      <c r="K340" s="18">
        <f t="shared" si="51"/>
        <v>1023.1453003059779</v>
      </c>
      <c r="L340" s="16">
        <f t="shared" si="52"/>
        <v>0.4242263676019366</v>
      </c>
      <c r="M340" s="18">
        <f t="shared" si="53"/>
        <v>192.9432733923835</v>
      </c>
      <c r="N340" s="16">
        <f t="shared" si="54"/>
        <v>0.08</v>
      </c>
      <c r="O340" s="18">
        <f t="shared" si="58"/>
        <v>137814.45429144849</v>
      </c>
      <c r="P340" s="18">
        <f t="shared" si="59"/>
        <v>269575.21789750288</v>
      </c>
      <c r="Q340" s="18">
        <f t="shared" si="55"/>
        <v>27918.345708551544</v>
      </c>
      <c r="R340" s="18">
        <f t="shared" si="56"/>
        <v>407389.6721889514</v>
      </c>
    </row>
    <row r="341" spans="7:18" x14ac:dyDescent="0.3">
      <c r="G341">
        <f t="shared" ref="G341:G365" si="60">G340+1</f>
        <v>336</v>
      </c>
      <c r="H341" s="17"/>
      <c r="I341" s="18">
        <f t="shared" si="57"/>
        <v>27918.345708551544</v>
      </c>
      <c r="J341" s="18">
        <f t="shared" si="50"/>
        <v>1216.0885736983614</v>
      </c>
      <c r="K341" s="18">
        <f t="shared" si="51"/>
        <v>1029.9662689746845</v>
      </c>
      <c r="L341" s="16">
        <f t="shared" si="52"/>
        <v>0.4427051429451424</v>
      </c>
      <c r="M341" s="18">
        <f t="shared" si="53"/>
        <v>186.12230472367696</v>
      </c>
      <c r="N341" s="16">
        <f t="shared" si="54"/>
        <v>0.08</v>
      </c>
      <c r="O341" s="18">
        <f t="shared" si="58"/>
        <v>138844.42056042317</v>
      </c>
      <c r="P341" s="18">
        <f t="shared" si="59"/>
        <v>269761.34020222654</v>
      </c>
      <c r="Q341" s="18">
        <f t="shared" si="55"/>
        <v>26888.37943957686</v>
      </c>
      <c r="R341" s="18">
        <f t="shared" si="56"/>
        <v>408605.7607626497</v>
      </c>
    </row>
    <row r="342" spans="7:18" x14ac:dyDescent="0.3">
      <c r="G342">
        <f t="shared" si="60"/>
        <v>337</v>
      </c>
      <c r="H342" s="17"/>
      <c r="I342" s="18">
        <f t="shared" si="57"/>
        <v>26888.37943957686</v>
      </c>
      <c r="J342" s="18">
        <f t="shared" si="50"/>
        <v>1216.0885736983614</v>
      </c>
      <c r="K342" s="18">
        <f t="shared" si="51"/>
        <v>1036.832710767849</v>
      </c>
      <c r="L342" s="16">
        <f t="shared" si="52"/>
        <v>0.46272749747427644</v>
      </c>
      <c r="M342" s="18">
        <f t="shared" si="53"/>
        <v>179.25586293051242</v>
      </c>
      <c r="N342" s="16">
        <f t="shared" si="54"/>
        <v>0.08</v>
      </c>
      <c r="O342" s="18">
        <f t="shared" si="58"/>
        <v>139881.25327119103</v>
      </c>
      <c r="P342" s="18">
        <f t="shared" si="59"/>
        <v>269940.59606515703</v>
      </c>
      <c r="Q342" s="18">
        <f t="shared" si="55"/>
        <v>25851.546728809011</v>
      </c>
      <c r="R342" s="18">
        <f t="shared" si="56"/>
        <v>409821.84933634807</v>
      </c>
    </row>
    <row r="343" spans="7:18" x14ac:dyDescent="0.3">
      <c r="G343">
        <f t="shared" si="60"/>
        <v>338</v>
      </c>
      <c r="H343" s="17"/>
      <c r="I343" s="18">
        <f t="shared" si="57"/>
        <v>25851.546728809011</v>
      </c>
      <c r="J343" s="18">
        <f t="shared" si="50"/>
        <v>1216.0885736983614</v>
      </c>
      <c r="K343" s="18">
        <f t="shared" si="51"/>
        <v>1043.7449288396347</v>
      </c>
      <c r="L343" s="16">
        <f t="shared" si="52"/>
        <v>0.4844947684355691</v>
      </c>
      <c r="M343" s="18">
        <f t="shared" si="53"/>
        <v>172.34364485872675</v>
      </c>
      <c r="N343" s="16">
        <f t="shared" si="54"/>
        <v>0.08</v>
      </c>
      <c r="O343" s="18">
        <f t="shared" si="58"/>
        <v>140924.99820003068</v>
      </c>
      <c r="P343" s="18">
        <f t="shared" si="59"/>
        <v>270112.93971001578</v>
      </c>
      <c r="Q343" s="18">
        <f t="shared" si="55"/>
        <v>24807.801799969377</v>
      </c>
      <c r="R343" s="18">
        <f t="shared" si="56"/>
        <v>411037.93791004643</v>
      </c>
    </row>
    <row r="344" spans="7:18" x14ac:dyDescent="0.3">
      <c r="G344">
        <f t="shared" si="60"/>
        <v>339</v>
      </c>
      <c r="H344" s="17"/>
      <c r="I344" s="18">
        <f t="shared" si="57"/>
        <v>24807.801799969377</v>
      </c>
      <c r="J344" s="18">
        <f t="shared" si="50"/>
        <v>1216.0885736983614</v>
      </c>
      <c r="K344" s="18">
        <f t="shared" si="51"/>
        <v>1050.7032283652322</v>
      </c>
      <c r="L344" s="16">
        <f t="shared" si="52"/>
        <v>0.50824489981205634</v>
      </c>
      <c r="M344" s="18">
        <f t="shared" si="53"/>
        <v>165.38534533312918</v>
      </c>
      <c r="N344" s="16">
        <f t="shared" si="54"/>
        <v>0.08</v>
      </c>
      <c r="O344" s="18">
        <f t="shared" si="58"/>
        <v>141975.7014283959</v>
      </c>
      <c r="P344" s="18">
        <f t="shared" si="59"/>
        <v>270278.32505534892</v>
      </c>
      <c r="Q344" s="18">
        <f t="shared" si="55"/>
        <v>23757.098571604143</v>
      </c>
      <c r="R344" s="18">
        <f t="shared" si="56"/>
        <v>412254.02648374485</v>
      </c>
    </row>
    <row r="345" spans="7:18" x14ac:dyDescent="0.3">
      <c r="G345">
        <f t="shared" si="60"/>
        <v>340</v>
      </c>
      <c r="H345" s="17"/>
      <c r="I345" s="18">
        <f t="shared" si="57"/>
        <v>23757.098571604143</v>
      </c>
      <c r="J345" s="18">
        <f t="shared" si="50"/>
        <v>1216.0885736983614</v>
      </c>
      <c r="K345" s="18">
        <f t="shared" si="51"/>
        <v>1057.7079165543337</v>
      </c>
      <c r="L345" s="16">
        <f t="shared" si="52"/>
        <v>0.53426115821326792</v>
      </c>
      <c r="M345" s="18">
        <f t="shared" si="53"/>
        <v>158.38065714402762</v>
      </c>
      <c r="N345" s="16">
        <f t="shared" si="54"/>
        <v>0.08</v>
      </c>
      <c r="O345" s="18">
        <f t="shared" si="58"/>
        <v>143033.40934495023</v>
      </c>
      <c r="P345" s="18">
        <f t="shared" si="59"/>
        <v>270436.70571249293</v>
      </c>
      <c r="Q345" s="18">
        <f t="shared" si="55"/>
        <v>22699.39065504981</v>
      </c>
      <c r="R345" s="18">
        <f t="shared" si="56"/>
        <v>413470.11505744315</v>
      </c>
    </row>
    <row r="346" spans="7:18" x14ac:dyDescent="0.3">
      <c r="G346">
        <f t="shared" si="60"/>
        <v>341</v>
      </c>
      <c r="H346" s="17"/>
      <c r="I346" s="18">
        <f t="shared" si="57"/>
        <v>22699.39065504981</v>
      </c>
      <c r="J346" s="18">
        <f t="shared" si="50"/>
        <v>1216.0885736983614</v>
      </c>
      <c r="K346" s="18">
        <f t="shared" si="51"/>
        <v>1064.759302664696</v>
      </c>
      <c r="L346" s="16">
        <f t="shared" si="52"/>
        <v>0.56288346353182372</v>
      </c>
      <c r="M346" s="18">
        <f t="shared" si="53"/>
        <v>151.32927103366541</v>
      </c>
      <c r="N346" s="16">
        <f t="shared" si="54"/>
        <v>0.08</v>
      </c>
      <c r="O346" s="18">
        <f t="shared" si="58"/>
        <v>144098.16864761492</v>
      </c>
      <c r="P346" s="18">
        <f t="shared" si="59"/>
        <v>270588.03498352657</v>
      </c>
      <c r="Q346" s="18">
        <f t="shared" si="55"/>
        <v>21634.631352385113</v>
      </c>
      <c r="R346" s="18">
        <f t="shared" si="56"/>
        <v>414686.20363114146</v>
      </c>
    </row>
    <row r="347" spans="7:18" x14ac:dyDescent="0.3">
      <c r="G347">
        <f t="shared" si="60"/>
        <v>342</v>
      </c>
      <c r="H347" s="17"/>
      <c r="I347" s="18">
        <f t="shared" si="57"/>
        <v>21634.631352385113</v>
      </c>
      <c r="J347" s="18">
        <f t="shared" si="50"/>
        <v>1216.0885736983614</v>
      </c>
      <c r="K347" s="18">
        <f t="shared" si="51"/>
        <v>1071.8576980157941</v>
      </c>
      <c r="L347" s="16">
        <f t="shared" si="52"/>
        <v>0.59452329770211332</v>
      </c>
      <c r="M347" s="18">
        <f t="shared" si="53"/>
        <v>144.23087568256744</v>
      </c>
      <c r="N347" s="16">
        <f t="shared" si="54"/>
        <v>8.0000000000000016E-2</v>
      </c>
      <c r="O347" s="18">
        <f t="shared" si="58"/>
        <v>145170.0263456307</v>
      </c>
      <c r="P347" s="18">
        <f t="shared" si="59"/>
        <v>270732.26585920912</v>
      </c>
      <c r="Q347" s="18">
        <f t="shared" si="55"/>
        <v>20562.773654369317</v>
      </c>
      <c r="R347" s="18">
        <f t="shared" si="56"/>
        <v>415902.29220483982</v>
      </c>
    </row>
    <row r="348" spans="7:18" x14ac:dyDescent="0.3">
      <c r="G348">
        <f t="shared" si="60"/>
        <v>343</v>
      </c>
      <c r="H348" s="17"/>
      <c r="I348" s="18">
        <f t="shared" si="57"/>
        <v>20562.773654369317</v>
      </c>
      <c r="J348" s="18">
        <f t="shared" si="50"/>
        <v>1216.0885736983614</v>
      </c>
      <c r="K348" s="18">
        <f t="shared" si="51"/>
        <v>1079.0034160025659</v>
      </c>
      <c r="L348" s="16">
        <f t="shared" si="52"/>
        <v>0.62968358304520389</v>
      </c>
      <c r="M348" s="18">
        <f t="shared" si="53"/>
        <v>137.08515769579546</v>
      </c>
      <c r="N348" s="16">
        <f t="shared" si="54"/>
        <v>0.08</v>
      </c>
      <c r="O348" s="18">
        <f t="shared" si="58"/>
        <v>146249.02976163325</v>
      </c>
      <c r="P348" s="18">
        <f t="shared" si="59"/>
        <v>270869.35101690493</v>
      </c>
      <c r="Q348" s="18">
        <f t="shared" si="55"/>
        <v>19483.770238366753</v>
      </c>
      <c r="R348" s="18">
        <f t="shared" si="56"/>
        <v>417118.38077853818</v>
      </c>
    </row>
    <row r="349" spans="7:18" x14ac:dyDescent="0.3">
      <c r="G349">
        <f t="shared" si="60"/>
        <v>344</v>
      </c>
      <c r="H349" s="17"/>
      <c r="I349" s="18">
        <f t="shared" si="57"/>
        <v>19483.770238366753</v>
      </c>
      <c r="J349" s="18">
        <f t="shared" si="50"/>
        <v>1216.0885736983614</v>
      </c>
      <c r="K349" s="18">
        <f t="shared" si="51"/>
        <v>1086.1967721092497</v>
      </c>
      <c r="L349" s="16">
        <f t="shared" si="52"/>
        <v>0.66898557650018842</v>
      </c>
      <c r="M349" s="18">
        <f t="shared" si="53"/>
        <v>129.89180158911171</v>
      </c>
      <c r="N349" s="16">
        <f t="shared" si="54"/>
        <v>8.0000000000000016E-2</v>
      </c>
      <c r="O349" s="18">
        <f t="shared" si="58"/>
        <v>147335.22653374251</v>
      </c>
      <c r="P349" s="18">
        <f t="shared" si="59"/>
        <v>270999.24281849404</v>
      </c>
      <c r="Q349" s="18">
        <f t="shared" si="55"/>
        <v>18397.573466257505</v>
      </c>
      <c r="R349" s="18">
        <f t="shared" si="56"/>
        <v>418334.46935223654</v>
      </c>
    </row>
    <row r="350" spans="7:18" x14ac:dyDescent="0.3">
      <c r="G350">
        <f t="shared" si="60"/>
        <v>345</v>
      </c>
      <c r="H350" s="17"/>
      <c r="I350" s="18">
        <f t="shared" si="57"/>
        <v>18397.573466257505</v>
      </c>
      <c r="J350" s="18">
        <f t="shared" si="50"/>
        <v>1216.0885736983614</v>
      </c>
      <c r="K350" s="18">
        <f t="shared" si="51"/>
        <v>1093.4380839233113</v>
      </c>
      <c r="L350" s="16">
        <f t="shared" si="52"/>
        <v>0.71320584919229046</v>
      </c>
      <c r="M350" s="18">
        <f t="shared" si="53"/>
        <v>122.65048977505005</v>
      </c>
      <c r="N350" s="16">
        <f t="shared" si="54"/>
        <v>0.08</v>
      </c>
      <c r="O350" s="18">
        <f t="shared" si="58"/>
        <v>148428.66461766581</v>
      </c>
      <c r="P350" s="18">
        <f t="shared" si="59"/>
        <v>271121.89330826909</v>
      </c>
      <c r="Q350" s="18">
        <f t="shared" si="55"/>
        <v>17304.135382334192</v>
      </c>
      <c r="R350" s="18">
        <f t="shared" si="56"/>
        <v>419550.5579259349</v>
      </c>
    </row>
    <row r="351" spans="7:18" x14ac:dyDescent="0.3">
      <c r="G351">
        <f t="shared" si="60"/>
        <v>346</v>
      </c>
      <c r="H351" s="17"/>
      <c r="I351" s="18">
        <f t="shared" si="57"/>
        <v>17304.135382334192</v>
      </c>
      <c r="J351" s="18">
        <f t="shared" si="50"/>
        <v>1216.0885736983614</v>
      </c>
      <c r="K351" s="18">
        <f t="shared" si="51"/>
        <v>1100.7276711494667</v>
      </c>
      <c r="L351" s="16">
        <f t="shared" si="52"/>
        <v>0.76332805782821178</v>
      </c>
      <c r="M351" s="18">
        <f t="shared" si="53"/>
        <v>115.36090254889463</v>
      </c>
      <c r="N351" s="16">
        <f t="shared" si="54"/>
        <v>0.08</v>
      </c>
      <c r="O351" s="18">
        <f t="shared" si="58"/>
        <v>149529.39228881529</v>
      </c>
      <c r="P351" s="18">
        <f t="shared" si="59"/>
        <v>271237.25421081798</v>
      </c>
      <c r="Q351" s="18">
        <f t="shared" si="55"/>
        <v>16203.407711184725</v>
      </c>
      <c r="R351" s="18">
        <f t="shared" si="56"/>
        <v>420766.64649963327</v>
      </c>
    </row>
    <row r="352" spans="7:18" x14ac:dyDescent="0.3">
      <c r="G352">
        <f t="shared" si="60"/>
        <v>347</v>
      </c>
      <c r="H352" s="17"/>
      <c r="I352" s="18">
        <f t="shared" si="57"/>
        <v>16203.407711184725</v>
      </c>
      <c r="J352" s="18">
        <f t="shared" si="50"/>
        <v>1216.0885736983614</v>
      </c>
      <c r="K352" s="18">
        <f t="shared" si="51"/>
        <v>1108.0658556237966</v>
      </c>
      <c r="L352" s="16">
        <f t="shared" si="52"/>
        <v>0.8206169038323452</v>
      </c>
      <c r="M352" s="18">
        <f t="shared" si="53"/>
        <v>108.02271807456485</v>
      </c>
      <c r="N352" s="16">
        <f t="shared" si="54"/>
        <v>0.08</v>
      </c>
      <c r="O352" s="18">
        <f t="shared" si="58"/>
        <v>150637.45814443909</v>
      </c>
      <c r="P352" s="18">
        <f t="shared" si="59"/>
        <v>271345.27692889253</v>
      </c>
      <c r="Q352" s="18">
        <f t="shared" si="55"/>
        <v>15095.34185556093</v>
      </c>
      <c r="R352" s="18">
        <f t="shared" si="56"/>
        <v>421982.73507333163</v>
      </c>
    </row>
    <row r="353" spans="7:18" x14ac:dyDescent="0.3">
      <c r="G353">
        <f t="shared" si="60"/>
        <v>348</v>
      </c>
      <c r="H353" s="17"/>
      <c r="I353" s="18">
        <f t="shared" si="57"/>
        <v>15095.34185556093</v>
      </c>
      <c r="J353" s="18">
        <f t="shared" si="50"/>
        <v>1216.0885736983614</v>
      </c>
      <c r="K353" s="18">
        <f t="shared" si="51"/>
        <v>1115.4529613279551</v>
      </c>
      <c r="L353" s="16">
        <f t="shared" si="52"/>
        <v>0.88672622746893526</v>
      </c>
      <c r="M353" s="18">
        <f t="shared" si="53"/>
        <v>100.63561237040621</v>
      </c>
      <c r="N353" s="16">
        <f t="shared" si="54"/>
        <v>0.08</v>
      </c>
      <c r="O353" s="18">
        <f t="shared" si="58"/>
        <v>151752.91110576704</v>
      </c>
      <c r="P353" s="18">
        <f t="shared" si="59"/>
        <v>271445.91254126292</v>
      </c>
      <c r="Q353" s="18">
        <f t="shared" si="55"/>
        <v>13979.888894232974</v>
      </c>
      <c r="R353" s="18">
        <f t="shared" si="56"/>
        <v>423198.82364702993</v>
      </c>
    </row>
    <row r="354" spans="7:18" x14ac:dyDescent="0.3">
      <c r="G354">
        <f t="shared" si="60"/>
        <v>349</v>
      </c>
      <c r="H354" s="17"/>
      <c r="I354" s="18">
        <f t="shared" si="57"/>
        <v>13979.888894232974</v>
      </c>
      <c r="J354" s="18">
        <f t="shared" si="50"/>
        <v>1216.0885736983614</v>
      </c>
      <c r="K354" s="18">
        <f t="shared" si="51"/>
        <v>1122.8893144034748</v>
      </c>
      <c r="L354" s="16">
        <f t="shared" si="52"/>
        <v>0.9638611490253195</v>
      </c>
      <c r="M354" s="18">
        <f t="shared" si="53"/>
        <v>93.199259294886502</v>
      </c>
      <c r="N354" s="16">
        <f t="shared" si="54"/>
        <v>0.08</v>
      </c>
      <c r="O354" s="18">
        <f t="shared" si="58"/>
        <v>152875.8004201705</v>
      </c>
      <c r="P354" s="18">
        <f t="shared" si="59"/>
        <v>271539.11180055782</v>
      </c>
      <c r="Q354" s="18">
        <f t="shared" si="55"/>
        <v>12856.999579829499</v>
      </c>
      <c r="R354" s="18">
        <f t="shared" si="56"/>
        <v>424414.91222072835</v>
      </c>
    </row>
    <row r="355" spans="7:18" x14ac:dyDescent="0.3">
      <c r="G355">
        <f t="shared" si="60"/>
        <v>350</v>
      </c>
      <c r="H355" s="17"/>
      <c r="I355" s="18">
        <f t="shared" si="57"/>
        <v>12856.999579829499</v>
      </c>
      <c r="J355" s="18">
        <f t="shared" si="50"/>
        <v>1216.0885736983614</v>
      </c>
      <c r="K355" s="18">
        <f t="shared" si="51"/>
        <v>1130.3752431661646</v>
      </c>
      <c r="L355" s="16">
        <f t="shared" si="52"/>
        <v>1.0550286506405766</v>
      </c>
      <c r="M355" s="18">
        <f t="shared" si="53"/>
        <v>85.713330532196665</v>
      </c>
      <c r="N355" s="16">
        <f t="shared" si="54"/>
        <v>0.08</v>
      </c>
      <c r="O355" s="18">
        <f t="shared" si="58"/>
        <v>154006.17566333667</v>
      </c>
      <c r="P355" s="18">
        <f t="shared" si="59"/>
        <v>271624.82513109001</v>
      </c>
      <c r="Q355" s="18">
        <f t="shared" si="55"/>
        <v>11726.624336663333</v>
      </c>
      <c r="R355" s="18">
        <f t="shared" si="56"/>
        <v>425631.00079442665</v>
      </c>
    </row>
    <row r="356" spans="7:18" x14ac:dyDescent="0.3">
      <c r="G356">
        <f t="shared" si="60"/>
        <v>351</v>
      </c>
      <c r="H356" s="17"/>
      <c r="I356" s="18">
        <f t="shared" si="57"/>
        <v>11726.624336663333</v>
      </c>
      <c r="J356" s="18">
        <f t="shared" si="50"/>
        <v>1216.0885736983614</v>
      </c>
      <c r="K356" s="18">
        <f t="shared" si="51"/>
        <v>1137.9110781206059</v>
      </c>
      <c r="L356" s="16">
        <f t="shared" si="52"/>
        <v>1.164438507231367</v>
      </c>
      <c r="M356" s="18">
        <f t="shared" si="53"/>
        <v>78.177495577755565</v>
      </c>
      <c r="N356" s="16">
        <f t="shared" si="54"/>
        <v>0.08</v>
      </c>
      <c r="O356" s="18">
        <f t="shared" si="58"/>
        <v>155144.08674145729</v>
      </c>
      <c r="P356" s="18">
        <f t="shared" si="59"/>
        <v>271703.00262666779</v>
      </c>
      <c r="Q356" s="18">
        <f t="shared" si="55"/>
        <v>10588.713258542728</v>
      </c>
      <c r="R356" s="18">
        <f t="shared" si="56"/>
        <v>426847.08936812507</v>
      </c>
    </row>
    <row r="357" spans="7:18" x14ac:dyDescent="0.3">
      <c r="G357">
        <f t="shared" si="60"/>
        <v>352</v>
      </c>
      <c r="H357" s="17"/>
      <c r="I357" s="18">
        <f t="shared" si="57"/>
        <v>10588.713258542728</v>
      </c>
      <c r="J357" s="18">
        <f t="shared" si="50"/>
        <v>1216.0885736983614</v>
      </c>
      <c r="K357" s="18">
        <f t="shared" si="51"/>
        <v>1145.4971519747432</v>
      </c>
      <c r="L357" s="16">
        <f t="shared" si="52"/>
        <v>1.2981715047016684</v>
      </c>
      <c r="M357" s="18">
        <f t="shared" si="53"/>
        <v>70.591421723618197</v>
      </c>
      <c r="N357" s="16">
        <f t="shared" si="54"/>
        <v>8.0000000000000016E-2</v>
      </c>
      <c r="O357" s="18">
        <f t="shared" si="58"/>
        <v>156289.58389343202</v>
      </c>
      <c r="P357" s="18">
        <f t="shared" si="59"/>
        <v>271773.59404839139</v>
      </c>
      <c r="Q357" s="18">
        <f t="shared" si="55"/>
        <v>9443.2161065679848</v>
      </c>
      <c r="R357" s="18">
        <f t="shared" si="56"/>
        <v>428063.17794182338</v>
      </c>
    </row>
    <row r="358" spans="7:18" x14ac:dyDescent="0.3">
      <c r="G358">
        <f t="shared" si="60"/>
        <v>353</v>
      </c>
      <c r="H358" s="17"/>
      <c r="I358" s="18">
        <f t="shared" si="57"/>
        <v>9443.2161065679848</v>
      </c>
      <c r="J358" s="18">
        <f t="shared" si="50"/>
        <v>1216.0885736983614</v>
      </c>
      <c r="K358" s="18">
        <f t="shared" si="51"/>
        <v>1153.1337996545749</v>
      </c>
      <c r="L358" s="16">
        <f t="shared" si="52"/>
        <v>1.4653488218098185</v>
      </c>
      <c r="M358" s="18">
        <f t="shared" si="53"/>
        <v>62.954774043786571</v>
      </c>
      <c r="N358" s="16">
        <f t="shared" si="54"/>
        <v>0.08</v>
      </c>
      <c r="O358" s="18">
        <f t="shared" si="58"/>
        <v>157442.7176930866</v>
      </c>
      <c r="P358" s="18">
        <f t="shared" si="59"/>
        <v>271836.5488224352</v>
      </c>
      <c r="Q358" s="18">
        <f t="shared" si="55"/>
        <v>8290.0823069134094</v>
      </c>
      <c r="R358" s="18">
        <f t="shared" si="56"/>
        <v>429279.2665155218</v>
      </c>
    </row>
    <row r="359" spans="7:18" x14ac:dyDescent="0.3">
      <c r="G359">
        <f t="shared" si="60"/>
        <v>354</v>
      </c>
      <c r="H359" s="17"/>
      <c r="I359" s="18">
        <f t="shared" si="57"/>
        <v>8290.0823069134094</v>
      </c>
      <c r="J359" s="18">
        <f t="shared" si="50"/>
        <v>1216.0885736983614</v>
      </c>
      <c r="K359" s="18">
        <f t="shared" si="51"/>
        <v>1160.8213583189388</v>
      </c>
      <c r="L359" s="16">
        <f t="shared" si="52"/>
        <v>1.6803037393501676</v>
      </c>
      <c r="M359" s="18">
        <f t="shared" si="53"/>
        <v>55.26721537942273</v>
      </c>
      <c r="N359" s="16">
        <f t="shared" si="54"/>
        <v>0.08</v>
      </c>
      <c r="O359" s="18">
        <f t="shared" si="58"/>
        <v>158603.53905140553</v>
      </c>
      <c r="P359" s="18">
        <f t="shared" si="59"/>
        <v>271891.8160378146</v>
      </c>
      <c r="Q359" s="18">
        <f t="shared" si="55"/>
        <v>7129.2609485944704</v>
      </c>
      <c r="R359" s="18">
        <f t="shared" si="56"/>
        <v>430495.3550892201</v>
      </c>
    </row>
    <row r="360" spans="7:18" x14ac:dyDescent="0.3">
      <c r="G360">
        <f t="shared" si="60"/>
        <v>355</v>
      </c>
      <c r="H360" s="17"/>
      <c r="I360" s="18">
        <f t="shared" si="57"/>
        <v>7129.2609485944704</v>
      </c>
      <c r="J360" s="18">
        <f t="shared" si="50"/>
        <v>1216.0885736983614</v>
      </c>
      <c r="K360" s="18">
        <f t="shared" si="51"/>
        <v>1168.5601673743984</v>
      </c>
      <c r="L360" s="16">
        <f t="shared" si="52"/>
        <v>1.966925058516388</v>
      </c>
      <c r="M360" s="18">
        <f t="shared" si="53"/>
        <v>47.528406323963139</v>
      </c>
      <c r="N360" s="16">
        <f t="shared" si="54"/>
        <v>0.08</v>
      </c>
      <c r="O360" s="18">
        <f t="shared" si="58"/>
        <v>159772.09921877994</v>
      </c>
      <c r="P360" s="18">
        <f t="shared" si="59"/>
        <v>271939.34444413858</v>
      </c>
      <c r="Q360" s="18">
        <f t="shared" si="55"/>
        <v>5960.7007812200718</v>
      </c>
      <c r="R360" s="18">
        <f t="shared" si="56"/>
        <v>431711.44366291852</v>
      </c>
    </row>
    <row r="361" spans="7:18" x14ac:dyDescent="0.3">
      <c r="G361">
        <f t="shared" si="60"/>
        <v>356</v>
      </c>
      <c r="H361" s="17"/>
      <c r="I361" s="18">
        <f t="shared" si="57"/>
        <v>5960.7007812200718</v>
      </c>
      <c r="J361" s="18">
        <f t="shared" si="50"/>
        <v>1216.0885736983614</v>
      </c>
      <c r="K361" s="18">
        <f t="shared" si="51"/>
        <v>1176.3505684902275</v>
      </c>
      <c r="L361" s="16">
        <f t="shared" si="52"/>
        <v>2.3682126213007697</v>
      </c>
      <c r="M361" s="18">
        <f t="shared" si="53"/>
        <v>39.738005208133814</v>
      </c>
      <c r="N361" s="16">
        <f t="shared" si="54"/>
        <v>0.08</v>
      </c>
      <c r="O361" s="18">
        <f t="shared" si="58"/>
        <v>160948.44978727016</v>
      </c>
      <c r="P361" s="18">
        <f t="shared" si="59"/>
        <v>271979.08244934672</v>
      </c>
      <c r="Q361" s="18">
        <f t="shared" si="55"/>
        <v>4784.3502127298443</v>
      </c>
      <c r="R361" s="18">
        <f t="shared" si="56"/>
        <v>432927.53223661688</v>
      </c>
    </row>
    <row r="362" spans="7:18" x14ac:dyDescent="0.3">
      <c r="G362">
        <f t="shared" si="60"/>
        <v>357</v>
      </c>
      <c r="H362" s="17"/>
      <c r="I362" s="18">
        <f t="shared" si="57"/>
        <v>4784.3502127298443</v>
      </c>
      <c r="J362" s="18">
        <f t="shared" si="50"/>
        <v>1216.0885736983614</v>
      </c>
      <c r="K362" s="18">
        <f t="shared" si="51"/>
        <v>1184.1929056134959</v>
      </c>
      <c r="L362" s="16">
        <f t="shared" si="52"/>
        <v>2.9701661114924649</v>
      </c>
      <c r="M362" s="18">
        <f t="shared" si="53"/>
        <v>31.89566808486563</v>
      </c>
      <c r="N362" s="16">
        <f t="shared" si="54"/>
        <v>0.08</v>
      </c>
      <c r="O362" s="18">
        <f t="shared" si="58"/>
        <v>162132.64269288364</v>
      </c>
      <c r="P362" s="18">
        <f t="shared" si="59"/>
        <v>272010.97811743157</v>
      </c>
      <c r="Q362" s="18">
        <f t="shared" si="55"/>
        <v>3600.1573071163484</v>
      </c>
      <c r="R362" s="18">
        <f t="shared" si="56"/>
        <v>434143.62081031525</v>
      </c>
    </row>
    <row r="363" spans="7:18" x14ac:dyDescent="0.3">
      <c r="G363">
        <f t="shared" si="60"/>
        <v>358</v>
      </c>
      <c r="H363" s="17"/>
      <c r="I363" s="18">
        <f t="shared" si="57"/>
        <v>3600.1573071163484</v>
      </c>
      <c r="J363" s="18">
        <f t="shared" si="50"/>
        <v>1216.0885736983614</v>
      </c>
      <c r="K363" s="18">
        <f t="shared" si="51"/>
        <v>1192.0875249842525</v>
      </c>
      <c r="L363" s="16">
        <f t="shared" si="52"/>
        <v>3.9734514576722981</v>
      </c>
      <c r="M363" s="18">
        <f t="shared" si="53"/>
        <v>24.00104871410899</v>
      </c>
      <c r="N363" s="16">
        <f t="shared" si="54"/>
        <v>0.08</v>
      </c>
      <c r="O363" s="18">
        <f t="shared" si="58"/>
        <v>163324.73021786791</v>
      </c>
      <c r="P363" s="18">
        <f t="shared" si="59"/>
        <v>272034.97916614567</v>
      </c>
      <c r="Q363" s="18">
        <f t="shared" si="55"/>
        <v>2408.069782132096</v>
      </c>
      <c r="R363" s="18">
        <f t="shared" si="56"/>
        <v>435359.70938401355</v>
      </c>
    </row>
    <row r="364" spans="7:18" x14ac:dyDescent="0.3">
      <c r="G364">
        <f t="shared" si="60"/>
        <v>359</v>
      </c>
      <c r="H364" s="17"/>
      <c r="I364" s="18">
        <f t="shared" si="57"/>
        <v>2408.069782132096</v>
      </c>
      <c r="J364" s="18">
        <f t="shared" si="50"/>
        <v>1216.0885736983614</v>
      </c>
      <c r="K364" s="18">
        <f t="shared" si="51"/>
        <v>1200.0347751508141</v>
      </c>
      <c r="L364" s="16">
        <f t="shared" si="52"/>
        <v>5.9800664451923371</v>
      </c>
      <c r="M364" s="18">
        <f t="shared" si="53"/>
        <v>16.053798547547306</v>
      </c>
      <c r="N364" s="16">
        <f t="shared" si="54"/>
        <v>7.9999999999999988E-2</v>
      </c>
      <c r="O364" s="18">
        <f t="shared" si="58"/>
        <v>164524.76499301873</v>
      </c>
      <c r="P364" s="18">
        <f t="shared" si="59"/>
        <v>272051.03296469321</v>
      </c>
      <c r="Q364" s="18">
        <f t="shared" si="55"/>
        <v>1208.0350069812819</v>
      </c>
      <c r="R364" s="18">
        <f t="shared" si="56"/>
        <v>436575.79795771197</v>
      </c>
    </row>
    <row r="365" spans="7:18" x14ac:dyDescent="0.3">
      <c r="G365">
        <f t="shared" si="60"/>
        <v>360</v>
      </c>
      <c r="H365" s="17"/>
      <c r="I365" s="18">
        <f t="shared" si="57"/>
        <v>1208.0350069812819</v>
      </c>
      <c r="J365" s="18">
        <f t="shared" si="50"/>
        <v>1216.0885736983614</v>
      </c>
      <c r="K365" s="18">
        <f t="shared" si="51"/>
        <v>1208.0350069851529</v>
      </c>
      <c r="L365" s="16">
        <f t="shared" si="52"/>
        <v>12.000000000038451</v>
      </c>
      <c r="M365" s="18">
        <f t="shared" si="53"/>
        <v>8.0535667132085464</v>
      </c>
      <c r="N365" s="16">
        <f t="shared" si="54"/>
        <v>0.08</v>
      </c>
      <c r="O365" s="18">
        <f t="shared" si="58"/>
        <v>165732.80000000389</v>
      </c>
      <c r="P365" s="62">
        <f t="shared" si="59"/>
        <v>272059.08653140644</v>
      </c>
      <c r="Q365" s="18">
        <f t="shared" si="55"/>
        <v>-3.8710368244210258E-9</v>
      </c>
      <c r="R365" s="62">
        <f t="shared" si="56"/>
        <v>437791.88653141033</v>
      </c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EFEB-B67B-4411-9C07-268E5FF2CFA0}">
  <dimension ref="A1:F10"/>
  <sheetViews>
    <sheetView workbookViewId="0">
      <selection activeCell="H9" sqref="H9"/>
    </sheetView>
  </sheetViews>
  <sheetFormatPr defaultRowHeight="14.4" x14ac:dyDescent="0.3"/>
  <cols>
    <col min="1" max="1" width="13.5546875" bestFit="1" customWidth="1"/>
    <col min="2" max="2" width="25.109375" customWidth="1"/>
    <col min="3" max="3" width="14.88671875" bestFit="1" customWidth="1"/>
    <col min="5" max="5" width="14.44140625" bestFit="1" customWidth="1"/>
  </cols>
  <sheetData>
    <row r="1" spans="1:6" ht="43.2" x14ac:dyDescent="0.3">
      <c r="A1" s="74"/>
      <c r="B1" s="103" t="s">
        <v>144</v>
      </c>
      <c r="C1" s="103" t="s">
        <v>147</v>
      </c>
      <c r="D1" s="104" t="s">
        <v>158</v>
      </c>
      <c r="E1" s="103" t="s">
        <v>148</v>
      </c>
      <c r="F1" s="104" t="s">
        <v>162</v>
      </c>
    </row>
    <row r="2" spans="1:6" x14ac:dyDescent="0.3">
      <c r="A2" s="84" t="s">
        <v>168</v>
      </c>
      <c r="B2" s="100">
        <v>0.8</v>
      </c>
      <c r="C2" s="101" t="s">
        <v>149</v>
      </c>
      <c r="D2" s="101" t="s">
        <v>149</v>
      </c>
      <c r="E2" s="101">
        <v>80</v>
      </c>
      <c r="F2" s="101">
        <v>80</v>
      </c>
    </row>
    <row r="3" spans="1:6" x14ac:dyDescent="0.3">
      <c r="A3" s="84" t="s">
        <v>145</v>
      </c>
      <c r="B3" s="101">
        <v>8</v>
      </c>
      <c r="C3" s="101">
        <v>8.75</v>
      </c>
      <c r="D3" s="101">
        <v>7.75</v>
      </c>
      <c r="E3" s="101">
        <v>13</v>
      </c>
      <c r="F3" s="101">
        <v>13.5</v>
      </c>
    </row>
    <row r="4" spans="1:6" x14ac:dyDescent="0.3">
      <c r="A4" s="84" t="s">
        <v>146</v>
      </c>
      <c r="B4" s="101" t="s">
        <v>150</v>
      </c>
      <c r="C4" s="101" t="s">
        <v>150</v>
      </c>
      <c r="D4" s="101" t="s">
        <v>159</v>
      </c>
      <c r="E4" s="101" t="s">
        <v>150</v>
      </c>
      <c r="F4" s="101" t="s">
        <v>159</v>
      </c>
    </row>
    <row r="5" spans="1:6" ht="43.2" x14ac:dyDescent="0.3">
      <c r="A5" s="84" t="s">
        <v>151</v>
      </c>
      <c r="B5" s="102" t="s">
        <v>153</v>
      </c>
      <c r="C5" s="101" t="s">
        <v>152</v>
      </c>
      <c r="D5" s="101"/>
      <c r="E5" s="101" t="s">
        <v>152</v>
      </c>
      <c r="F5" s="101"/>
    </row>
    <row r="6" spans="1:6" x14ac:dyDescent="0.3">
      <c r="A6" s="84" t="s">
        <v>154</v>
      </c>
      <c r="B6" s="101" t="s">
        <v>155</v>
      </c>
      <c r="C6" s="101" t="s">
        <v>157</v>
      </c>
      <c r="D6" s="101" t="s">
        <v>160</v>
      </c>
      <c r="E6" s="101" t="s">
        <v>156</v>
      </c>
      <c r="F6" s="101">
        <v>30</v>
      </c>
    </row>
    <row r="7" spans="1:6" ht="57.6" x14ac:dyDescent="0.3">
      <c r="A7" s="84" t="s">
        <v>161</v>
      </c>
      <c r="B7" s="101" t="s">
        <v>166</v>
      </c>
      <c r="C7" s="102" t="s">
        <v>167</v>
      </c>
      <c r="D7" s="101"/>
      <c r="E7" s="102" t="s">
        <v>163</v>
      </c>
      <c r="F7" s="101" t="s">
        <v>163</v>
      </c>
    </row>
    <row r="8" spans="1:6" x14ac:dyDescent="0.3">
      <c r="A8" s="84" t="s">
        <v>164</v>
      </c>
      <c r="B8" s="74"/>
      <c r="C8" s="74" t="s">
        <v>165</v>
      </c>
      <c r="D8" s="74"/>
      <c r="E8" s="74"/>
      <c r="F8" s="74"/>
    </row>
    <row r="9" spans="1:6" ht="72" x14ac:dyDescent="0.3">
      <c r="A9" s="84" t="s">
        <v>169</v>
      </c>
      <c r="B9" s="101" t="s">
        <v>170</v>
      </c>
      <c r="C9" s="101" t="s">
        <v>170</v>
      </c>
      <c r="D9" s="74" t="s">
        <v>170</v>
      </c>
      <c r="E9" s="102" t="s">
        <v>171</v>
      </c>
      <c r="F9" s="101" t="s">
        <v>170</v>
      </c>
    </row>
    <row r="10" spans="1:6" ht="43.2" x14ac:dyDescent="0.3">
      <c r="A10" s="74"/>
      <c r="B10" s="74"/>
      <c r="C10" s="74"/>
      <c r="D10" s="74"/>
      <c r="E10" s="75" t="s">
        <v>172</v>
      </c>
      <c r="F10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Independence 1930 Condos</vt:lpstr>
      <vt:lpstr>1930 Independence Amortization</vt:lpstr>
      <vt:lpstr>Amortization Schedule</vt:lpstr>
      <vt:lpstr>Flipping Calculator</vt:lpstr>
      <vt:lpstr>2921 Admiralty Bay</vt:lpstr>
      <vt:lpstr>McRae Road Amorization</vt:lpstr>
      <vt:lpstr>McRae Road Condos</vt:lpstr>
      <vt:lpstr>Hard Money Lender Calculator</vt:lpstr>
      <vt:lpstr>HELOC Calculator</vt:lpstr>
      <vt:lpstr>Lenders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2022-11-13T23:11:24Z</dcterms:created>
  <dcterms:modified xsi:type="dcterms:W3CDTF">2024-11-09T01:47:24Z</dcterms:modified>
</cp:coreProperties>
</file>