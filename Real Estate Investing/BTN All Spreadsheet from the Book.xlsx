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8_{842C0ABB-3B47-451B-A1F6-0079C85177AD}" xr6:coauthVersionLast="47" xr6:coauthVersionMax="47" xr10:uidLastSave="{00000000-0000-0000-0000-000000000000}"/>
  <bookViews>
    <workbookView xWindow="-108" yWindow="-108" windowWidth="23256" windowHeight="12456" activeTab="16" xr2:uid="{786D4EB7-B6A6-4578-9D75-B51000D1F9E8}"/>
  </bookViews>
  <sheets>
    <sheet name="Sheet3" sheetId="16" state="hidden" r:id="rId1"/>
    <sheet name="Chapter 1" sheetId="28" r:id="rId2"/>
    <sheet name="IP Examples" sheetId="10" state="hidden" r:id="rId3"/>
    <sheet name="Chapter 2" sheetId="29" r:id="rId4"/>
    <sheet name="Chapter 3" sheetId="30" r:id="rId5"/>
    <sheet name="Chapter 4" sheetId="31" r:id="rId6"/>
    <sheet name="Chapter 6" sheetId="33" r:id="rId7"/>
    <sheet name="Chapter 8" sheetId="35" r:id="rId8"/>
    <sheet name="Chapter 9" sheetId="34" r:id="rId9"/>
    <sheet name="Chapter 10" sheetId="4" r:id="rId10"/>
    <sheet name="Chapter 11" sheetId="36" r:id="rId11"/>
    <sheet name="Chapter 12" sheetId="27" r:id="rId12"/>
    <sheet name="Chapter 14" sheetId="37" r:id="rId13"/>
    <sheet name="Chapter 15" sheetId="38" r:id="rId14"/>
    <sheet name="Chapter 17" sheetId="62" r:id="rId15"/>
    <sheet name="Chapter 18" sheetId="41" r:id="rId16"/>
    <sheet name="Chapter 20" sheetId="42" r:id="rId17"/>
    <sheet name="Chapter 21" sheetId="40" r:id="rId18"/>
    <sheet name="Chapter 22" sheetId="50" r:id="rId19"/>
    <sheet name="Chapter 23" sheetId="58" r:id="rId20"/>
    <sheet name="Chapter 24" sheetId="52" r:id="rId21"/>
    <sheet name="Chapter 25" sheetId="60" r:id="rId22"/>
    <sheet name="Chapter 26" sheetId="59" r:id="rId23"/>
    <sheet name="Chapter 28" sheetId="61" r:id="rId24"/>
    <sheet name="Finance Other" sheetId="26" state="hidden" r:id="rId25"/>
    <sheet name="Financing Intro" sheetId="25" state="hidden" r:id="rId26"/>
    <sheet name="Chapter 30 - Balloon" sheetId="8" r:id="rId27"/>
    <sheet name="Chapter 30 - Full" sheetId="7" r:id="rId28"/>
    <sheet name="Chapter 31" sheetId="55" r:id="rId29"/>
    <sheet name="Chapter 34" sheetId="56" r:id="rId30"/>
    <sheet name="Chapter 27 (16)" sheetId="57" state="hidden" r:id="rId31"/>
    <sheet name="Chapter 27 (2)" sheetId="43" state="hidden" r:id="rId32"/>
    <sheet name="Chapter 27 (3)" sheetId="44" state="hidden" r:id="rId33"/>
    <sheet name="Chapter 27 (4)" sheetId="45" state="hidden" r:id="rId34"/>
    <sheet name="Chapter 27 (5)" sheetId="46" state="hidden" r:id="rId35"/>
    <sheet name="Chapter 27 (6)" sheetId="47" state="hidden" r:id="rId36"/>
    <sheet name="Chapter 27 (7)" sheetId="48" state="hidden" r:id="rId37"/>
    <sheet name="Chapter 27 (8)" sheetId="49" state="hidden" r:id="rId38"/>
    <sheet name="Chapter 27" sheetId="39" state="hidden" r:id="rId39"/>
    <sheet name="Compounding and CAGR" sheetId="18" state="hidden" r:id="rId40"/>
    <sheet name="Final Proforma" sheetId="13" state="hidden" r:id="rId41"/>
    <sheet name="Spare Mort Calc" sheetId="23" state="hidden" r:id="rId42"/>
    <sheet name="Chapter 37" sheetId="24" r:id="rId43"/>
    <sheet name="Mortgage Calculator_IP" sheetId="12" state="hidden" r:id="rId44"/>
    <sheet name="RE Metrics" sheetId="22" state="hidden" r:id="rId45"/>
    <sheet name="AAGR" sheetId="17" state="hidden" r:id="rId46"/>
    <sheet name="Fin Statements" sheetId="21" state="hidden" r:id="rId47"/>
    <sheet name="Example PFS" sheetId="11" state="hidden" r:id="rId48"/>
    <sheet name="TVM Examples" sheetId="3" state="hidden" r:id="rId49"/>
    <sheet name="Js Images" sheetId="1" state="hidden" r:id="rId50"/>
    <sheet name="IRR Final" sheetId="19" state="hidden" r:id="rId51"/>
    <sheet name="J example" sheetId="6" state="hidden" r:id="rId52"/>
  </sheets>
  <definedNames>
    <definedName name="_xlnm.Print_Area" localSheetId="46">'Fin Statements'!$B$2:$C$30</definedName>
    <definedName name="_xlnm.Print_Area" localSheetId="49">'Js Images'!$B$2:$C$30</definedName>
    <definedName name="_xlnm.Print_Area" localSheetId="44">'RE Metrics'!#REF!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42" l="1"/>
  <c r="C18" i="42"/>
  <c r="F15" i="40"/>
  <c r="C32" i="38"/>
  <c r="C30" i="38"/>
  <c r="R6" i="8"/>
  <c r="AH39" i="8"/>
  <c r="AI42" i="8"/>
  <c r="AI39" i="8"/>
  <c r="H45" i="58"/>
  <c r="I33" i="40"/>
  <c r="J33" i="40"/>
  <c r="K33" i="40"/>
  <c r="K32" i="40"/>
  <c r="J32" i="40"/>
  <c r="I32" i="40"/>
  <c r="F34" i="40"/>
  <c r="F33" i="40"/>
  <c r="C24" i="42"/>
  <c r="C25" i="42" s="1"/>
  <c r="D7" i="62"/>
  <c r="H32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7" i="34"/>
  <c r="D32" i="34"/>
  <c r="D29" i="34"/>
  <c r="D30" i="34"/>
  <c r="D31" i="34"/>
  <c r="D28" i="34"/>
  <c r="D21" i="34"/>
  <c r="D18" i="34"/>
  <c r="D19" i="34"/>
  <c r="D20" i="34"/>
  <c r="D17" i="34"/>
  <c r="C8" i="35"/>
  <c r="C9" i="35" s="1"/>
  <c r="C10" i="35" s="1"/>
  <c r="C11" i="35" s="1"/>
  <c r="C12" i="35" s="1"/>
  <c r="C13" i="35" s="1"/>
  <c r="C14" i="35" s="1"/>
  <c r="C15" i="35" s="1"/>
  <c r="C16" i="35" s="1"/>
  <c r="C17" i="35" s="1"/>
  <c r="C7" i="35"/>
  <c r="C31" i="56"/>
  <c r="E31" i="56"/>
  <c r="D31" i="56"/>
  <c r="C23" i="56"/>
  <c r="D23" i="56" s="1"/>
  <c r="D22" i="56"/>
  <c r="D21" i="56"/>
  <c r="D20" i="56"/>
  <c r="D19" i="56"/>
  <c r="C15" i="56"/>
  <c r="D15" i="56"/>
  <c r="D14" i="56"/>
  <c r="D13" i="56"/>
  <c r="D12" i="56"/>
  <c r="D11" i="56"/>
  <c r="D4" i="56"/>
  <c r="D5" i="56"/>
  <c r="D6" i="56"/>
  <c r="D7" i="56"/>
  <c r="D3" i="56"/>
  <c r="E5" i="55"/>
  <c r="E4" i="55"/>
  <c r="G47" i="61"/>
  <c r="E47" i="61"/>
  <c r="H44" i="61"/>
  <c r="F43" i="61"/>
  <c r="F47" i="61" s="1"/>
  <c r="G38" i="61"/>
  <c r="G39" i="61" s="1"/>
  <c r="E31" i="61"/>
  <c r="G30" i="61"/>
  <c r="G29" i="61"/>
  <c r="G28" i="61"/>
  <c r="F27" i="61"/>
  <c r="F31" i="61" s="1"/>
  <c r="G21" i="61"/>
  <c r="G20" i="61" s="1"/>
  <c r="G22" i="61" s="1"/>
  <c r="G16" i="61"/>
  <c r="G10" i="61"/>
  <c r="C26" i="60"/>
  <c r="C29" i="60" s="1"/>
  <c r="C30" i="60" s="1"/>
  <c r="I17" i="60"/>
  <c r="C16" i="60"/>
  <c r="C19" i="60" s="1"/>
  <c r="C20" i="60" s="1"/>
  <c r="I10" i="60"/>
  <c r="C8" i="60"/>
  <c r="I5" i="60"/>
  <c r="G12" i="52"/>
  <c r="G9" i="52"/>
  <c r="G10" i="52"/>
  <c r="G11" i="52"/>
  <c r="G8" i="52"/>
  <c r="G13" i="52" s="1"/>
  <c r="F82" i="59"/>
  <c r="D82" i="59"/>
  <c r="G79" i="59"/>
  <c r="E78" i="59"/>
  <c r="E82" i="59" s="1"/>
  <c r="F10" i="59"/>
  <c r="F9" i="59"/>
  <c r="F11" i="59" s="1"/>
  <c r="F5" i="59"/>
  <c r="C79" i="58"/>
  <c r="C33" i="58"/>
  <c r="C31" i="58"/>
  <c r="D30" i="58"/>
  <c r="D29" i="58"/>
  <c r="D28" i="58"/>
  <c r="D27" i="58"/>
  <c r="D26" i="58"/>
  <c r="D25" i="58"/>
  <c r="D24" i="58"/>
  <c r="C32" i="58" s="1"/>
  <c r="C17" i="58"/>
  <c r="C15" i="58"/>
  <c r="D14" i="58"/>
  <c r="D13" i="58"/>
  <c r="D12" i="58"/>
  <c r="D11" i="58"/>
  <c r="D10" i="58"/>
  <c r="D9" i="58"/>
  <c r="D8" i="58"/>
  <c r="D7" i="58"/>
  <c r="D6" i="58"/>
  <c r="D5" i="58"/>
  <c r="C61" i="58"/>
  <c r="C60" i="58"/>
  <c r="C59" i="58"/>
  <c r="C58" i="58"/>
  <c r="C57" i="58"/>
  <c r="C56" i="58"/>
  <c r="C55" i="58"/>
  <c r="C54" i="58"/>
  <c r="C53" i="58"/>
  <c r="H49" i="58"/>
  <c r="H62" i="58" s="1"/>
  <c r="C49" i="58"/>
  <c r="C62" i="58" s="1"/>
  <c r="H44" i="58"/>
  <c r="H39" i="58"/>
  <c r="H41" i="58" s="1"/>
  <c r="H52" i="58" s="1"/>
  <c r="C39" i="58"/>
  <c r="C41" i="58" s="1"/>
  <c r="C52" i="58" s="1"/>
  <c r="D40" i="50"/>
  <c r="D28" i="50"/>
  <c r="D16" i="50"/>
  <c r="D7" i="40"/>
  <c r="D8" i="40" s="1"/>
  <c r="D9" i="40" s="1"/>
  <c r="D10" i="40" s="1"/>
  <c r="D11" i="40" s="1"/>
  <c r="D12" i="40" s="1"/>
  <c r="D13" i="40" s="1"/>
  <c r="D14" i="40" s="1"/>
  <c r="D15" i="40" s="1"/>
  <c r="C20" i="40" s="1"/>
  <c r="D20" i="40" l="1"/>
  <c r="C21" i="40"/>
  <c r="C22" i="40" s="1"/>
  <c r="C23" i="40" s="1"/>
  <c r="C24" i="40" s="1"/>
  <c r="C25" i="40" s="1"/>
  <c r="C26" i="40" s="1"/>
  <c r="C27" i="40" s="1"/>
  <c r="C28" i="40" s="1"/>
  <c r="G27" i="61"/>
  <c r="G31" i="61" s="1"/>
  <c r="H43" i="61"/>
  <c r="H47" i="61" s="1"/>
  <c r="G78" i="59"/>
  <c r="G82" i="59" s="1"/>
  <c r="C16" i="58"/>
  <c r="C63" i="58"/>
  <c r="H55" i="58"/>
  <c r="H53" i="58"/>
  <c r="H60" i="58"/>
  <c r="H58" i="58"/>
  <c r="H54" i="58"/>
  <c r="H59" i="58"/>
  <c r="H56" i="58"/>
  <c r="H61" i="58"/>
  <c r="H57" i="58"/>
  <c r="D21" i="40" l="1"/>
  <c r="D22" i="40" s="1"/>
  <c r="D23" i="40" s="1"/>
  <c r="D24" i="40" s="1"/>
  <c r="D25" i="40" s="1"/>
  <c r="D26" i="40" s="1"/>
  <c r="D27" i="40" s="1"/>
  <c r="D28" i="40" s="1"/>
  <c r="H63" i="58"/>
  <c r="C17" i="42" l="1"/>
  <c r="C7" i="42"/>
  <c r="C8" i="42" s="1"/>
  <c r="C9" i="42" s="1"/>
  <c r="C10" i="42" s="1"/>
  <c r="C11" i="42" s="1"/>
  <c r="C12" i="42" s="1"/>
  <c r="C13" i="42" s="1"/>
  <c r="C14" i="42" s="1"/>
  <c r="C15" i="42" s="1"/>
  <c r="E33" i="36"/>
  <c r="C23" i="36"/>
  <c r="E29" i="36" s="1"/>
  <c r="D44" i="36"/>
  <c r="E15" i="36"/>
  <c r="E16" i="36"/>
  <c r="E17" i="36"/>
  <c r="E18" i="36"/>
  <c r="E14" i="36"/>
  <c r="E48" i="4"/>
  <c r="E49" i="4"/>
  <c r="E50" i="4"/>
  <c r="E51" i="4"/>
  <c r="E47" i="4"/>
  <c r="E28" i="4"/>
  <c r="E29" i="4"/>
  <c r="E30" i="4"/>
  <c r="E31" i="4"/>
  <c r="E32" i="4"/>
  <c r="E33" i="4"/>
  <c r="E34" i="4"/>
  <c r="E35" i="4"/>
  <c r="E36" i="4"/>
  <c r="E27" i="4"/>
  <c r="E26" i="4"/>
  <c r="E37" i="4" s="1"/>
  <c r="D26" i="4"/>
  <c r="D37" i="4" s="1"/>
  <c r="E8" i="4"/>
  <c r="E9" i="4"/>
  <c r="E10" i="4"/>
  <c r="E11" i="4"/>
  <c r="E12" i="4"/>
  <c r="E13" i="4"/>
  <c r="E14" i="4"/>
  <c r="E15" i="4"/>
  <c r="E16" i="4"/>
  <c r="E7" i="4"/>
  <c r="E6" i="4"/>
  <c r="D6" i="4"/>
  <c r="E18" i="4" s="1"/>
  <c r="C17" i="33"/>
  <c r="C16" i="33"/>
  <c r="E16" i="33"/>
  <c r="E17" i="33"/>
  <c r="C18" i="33" s="1"/>
  <c r="E15" i="33"/>
  <c r="E8" i="33"/>
  <c r="E9" i="33"/>
  <c r="E10" i="33"/>
  <c r="E11" i="33"/>
  <c r="E7" i="33"/>
  <c r="D30" i="33"/>
  <c r="D31" i="33" s="1"/>
  <c r="D32" i="33" s="1"/>
  <c r="D33" i="33" s="1"/>
  <c r="D34" i="33" s="1"/>
  <c r="D35" i="33" s="1"/>
  <c r="D36" i="33" s="1"/>
  <c r="D37" i="33" s="1"/>
  <c r="D38" i="33" s="1"/>
  <c r="D39" i="33" s="1"/>
  <c r="D40" i="33" s="1"/>
  <c r="D41" i="33" s="1"/>
  <c r="D42" i="33" s="1"/>
  <c r="D43" i="33" s="1"/>
  <c r="D44" i="33" s="1"/>
  <c r="D45" i="33" s="1"/>
  <c r="D46" i="33" s="1"/>
  <c r="D47" i="33" s="1"/>
  <c r="D48" i="33" s="1"/>
  <c r="D49" i="33" s="1"/>
  <c r="D50" i="33" s="1"/>
  <c r="D51" i="33" s="1"/>
  <c r="D52" i="33" s="1"/>
  <c r="D53" i="33" s="1"/>
  <c r="D54" i="33" s="1"/>
  <c r="D55" i="33" s="1"/>
  <c r="D56" i="33" s="1"/>
  <c r="D57" i="33" s="1"/>
  <c r="D58" i="33" s="1"/>
  <c r="D59" i="33" s="1"/>
  <c r="C30" i="33"/>
  <c r="C31" i="33" s="1"/>
  <c r="F31" i="31"/>
  <c r="C33" i="38" l="1"/>
  <c r="E52" i="4"/>
  <c r="E28" i="36"/>
  <c r="E32" i="36"/>
  <c r="E31" i="36"/>
  <c r="E30" i="36"/>
  <c r="E19" i="36"/>
  <c r="E38" i="4"/>
  <c r="E17" i="4"/>
  <c r="E18" i="33"/>
  <c r="C19" i="33"/>
  <c r="E19" i="33" s="1"/>
  <c r="C32" i="33"/>
  <c r="F31" i="33"/>
  <c r="F30" i="33"/>
  <c r="F32" i="33" l="1"/>
  <c r="C33" i="33"/>
  <c r="F33" i="33" l="1"/>
  <c r="C34" i="33"/>
  <c r="C35" i="33" l="1"/>
  <c r="F34" i="33"/>
  <c r="C36" i="33" l="1"/>
  <c r="F35" i="33"/>
  <c r="C37" i="33" l="1"/>
  <c r="F36" i="33"/>
  <c r="C38" i="33" l="1"/>
  <c r="F37" i="33"/>
  <c r="C39" i="33" l="1"/>
  <c r="F38" i="33"/>
  <c r="C40" i="33" l="1"/>
  <c r="F39" i="33"/>
  <c r="C41" i="33" l="1"/>
  <c r="F40" i="33"/>
  <c r="C42" i="33" l="1"/>
  <c r="F41" i="33"/>
  <c r="C43" i="33" l="1"/>
  <c r="F42" i="33"/>
  <c r="C44" i="33" l="1"/>
  <c r="F43" i="33"/>
  <c r="F44" i="33" l="1"/>
  <c r="C45" i="33"/>
  <c r="C46" i="33" l="1"/>
  <c r="F45" i="33"/>
  <c r="C47" i="33" l="1"/>
  <c r="F46" i="33"/>
  <c r="C48" i="33" l="1"/>
  <c r="F47" i="33"/>
  <c r="F48" i="33" l="1"/>
  <c r="C49" i="33"/>
  <c r="F49" i="33" l="1"/>
  <c r="C50" i="33"/>
  <c r="C51" i="33" l="1"/>
  <c r="F50" i="33"/>
  <c r="C52" i="33" l="1"/>
  <c r="F51" i="33"/>
  <c r="C53" i="33" l="1"/>
  <c r="F52" i="33"/>
  <c r="C54" i="33" l="1"/>
  <c r="F53" i="33"/>
  <c r="C55" i="33" l="1"/>
  <c r="F54" i="33"/>
  <c r="C56" i="33" l="1"/>
  <c r="F55" i="33"/>
  <c r="C57" i="33" l="1"/>
  <c r="F56" i="33"/>
  <c r="C58" i="33" l="1"/>
  <c r="F57" i="33"/>
  <c r="C59" i="33" l="1"/>
  <c r="F59" i="33" s="1"/>
  <c r="F58" i="33"/>
  <c r="F31" i="30" l="1"/>
  <c r="F18" i="30"/>
  <c r="F12" i="30"/>
  <c r="F20" i="30" s="1"/>
  <c r="C30" i="29"/>
  <c r="C20" i="29"/>
  <c r="C13" i="29"/>
  <c r="C11" i="29"/>
  <c r="U49" i="28"/>
  <c r="U50" i="28" s="1"/>
  <c r="U51" i="28" s="1"/>
  <c r="U52" i="28" s="1"/>
  <c r="U53" i="28" s="1"/>
  <c r="U54" i="28" s="1"/>
  <c r="U55" i="28" s="1"/>
  <c r="U56" i="28" s="1"/>
  <c r="U57" i="28" s="1"/>
  <c r="U58" i="28" s="1"/>
  <c r="U59" i="28" s="1"/>
  <c r="U60" i="28" s="1"/>
  <c r="N7" i="1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J31" i="28"/>
  <c r="S44" i="28"/>
  <c r="S36" i="28"/>
  <c r="P26" i="28"/>
  <c r="S17" i="28"/>
  <c r="S26" i="28" s="1"/>
  <c r="F34" i="28"/>
  <c r="C34" i="28"/>
  <c r="F36" i="28" s="1"/>
  <c r="J18" i="28"/>
  <c r="J17" i="28"/>
  <c r="J14" i="28"/>
  <c r="J13" i="28"/>
  <c r="C45" i="27"/>
  <c r="C46" i="27" s="1"/>
  <c r="C42" i="27"/>
  <c r="C38" i="27"/>
  <c r="C24" i="27"/>
  <c r="C31" i="27"/>
  <c r="C15" i="27"/>
  <c r="C9" i="27"/>
  <c r="C11" i="27" s="1"/>
  <c r="C16" i="27" s="1"/>
  <c r="C18" i="27" s="1"/>
  <c r="J20" i="28" l="1"/>
  <c r="M17" i="28" s="1"/>
  <c r="C47" i="27"/>
  <c r="C14" i="29"/>
  <c r="C22" i="29" s="1"/>
  <c r="C34" i="29" s="1"/>
  <c r="C35" i="29" s="1"/>
  <c r="C37" i="29" s="1"/>
  <c r="F39" i="30"/>
  <c r="F33" i="30"/>
  <c r="M15" i="28"/>
  <c r="M18" i="28" s="1"/>
  <c r="M13" i="28"/>
  <c r="S28" i="28"/>
  <c r="F40" i="30" l="1"/>
  <c r="F37" i="30"/>
  <c r="F41" i="30" s="1"/>
  <c r="M20" i="28"/>
  <c r="H82" i="26" l="1"/>
  <c r="F82" i="26"/>
  <c r="I79" i="26"/>
  <c r="G78" i="26"/>
  <c r="G82" i="26" s="1"/>
  <c r="H50" i="26"/>
  <c r="H51" i="26" s="1"/>
  <c r="I78" i="26" l="1"/>
  <c r="I82" i="26" s="1"/>
  <c r="G43" i="26"/>
  <c r="H43" i="26"/>
  <c r="H41" i="26"/>
  <c r="H42" i="26"/>
  <c r="H40" i="26"/>
  <c r="H39" i="26"/>
  <c r="G39" i="26"/>
  <c r="F43" i="26"/>
  <c r="H33" i="26"/>
  <c r="H32" i="26" s="1"/>
  <c r="H34" i="26" s="1"/>
  <c r="H17" i="26"/>
  <c r="B26" i="26"/>
  <c r="B27" i="26" s="1"/>
  <c r="B42" i="26"/>
  <c r="B41" i="26"/>
  <c r="B38" i="26"/>
  <c r="B23" i="26"/>
  <c r="H28" i="26" l="1"/>
  <c r="H21" i="26"/>
  <c r="H20" i="26"/>
  <c r="H22" i="26"/>
  <c r="H10" i="26"/>
  <c r="B8" i="26"/>
  <c r="H5" i="26"/>
  <c r="H16" i="25"/>
  <c r="H10" i="25"/>
  <c r="H5" i="25"/>
  <c r="B8" i="25"/>
  <c r="C16" i="18" l="1"/>
  <c r="S11" i="18"/>
  <c r="S10" i="18"/>
  <c r="S9" i="18"/>
  <c r="S8" i="18"/>
  <c r="C69" i="11"/>
  <c r="B24" i="24" l="1"/>
  <c r="K37" i="24"/>
  <c r="J37" i="24"/>
  <c r="H37" i="24"/>
  <c r="J22" i="24"/>
  <c r="K50" i="24"/>
  <c r="K54" i="24" s="1"/>
  <c r="K56" i="24" s="1"/>
  <c r="J50" i="24"/>
  <c r="J54" i="24" s="1"/>
  <c r="J56" i="24" s="1"/>
  <c r="I56" i="24"/>
  <c r="I59" i="24" s="1"/>
  <c r="K52" i="24"/>
  <c r="J52" i="24"/>
  <c r="H50" i="24"/>
  <c r="H52" i="24" s="1"/>
  <c r="K34" i="24"/>
  <c r="K36" i="24"/>
  <c r="I37" i="24"/>
  <c r="I38" i="24" s="1"/>
  <c r="J36" i="24"/>
  <c r="J34" i="24"/>
  <c r="H34" i="24"/>
  <c r="H40" i="24" s="1"/>
  <c r="J21" i="24"/>
  <c r="I22" i="24"/>
  <c r="J19" i="24"/>
  <c r="H19" i="24"/>
  <c r="H22" i="24" l="1"/>
  <c r="J25" i="24"/>
  <c r="H23" i="24"/>
  <c r="I50" i="24"/>
  <c r="I54" i="24" s="1"/>
  <c r="H54" i="24"/>
  <c r="H56" i="24" s="1"/>
  <c r="H57" i="24" s="1"/>
  <c r="J59" i="24"/>
  <c r="J57" i="24"/>
  <c r="K59" i="24"/>
  <c r="K57" i="24"/>
  <c r="H59" i="24"/>
  <c r="I57" i="24"/>
  <c r="H36" i="24"/>
  <c r="K38" i="24"/>
  <c r="K40" i="24"/>
  <c r="J40" i="24"/>
  <c r="J38" i="24"/>
  <c r="H38" i="24"/>
  <c r="I40" i="24"/>
  <c r="J26" i="24"/>
  <c r="J23" i="24"/>
  <c r="H21" i="24"/>
  <c r="H25" i="24"/>
  <c r="I25" i="24"/>
  <c r="I23" i="24"/>
  <c r="J10" i="24"/>
  <c r="I7" i="24"/>
  <c r="I10" i="24" s="1"/>
  <c r="J4" i="24"/>
  <c r="H4" i="24"/>
  <c r="H7" i="24" s="1"/>
  <c r="D4" i="24"/>
  <c r="B4" i="24"/>
  <c r="U33" i="23"/>
  <c r="A27" i="23"/>
  <c r="B3" i="23"/>
  <c r="K2" i="23" s="1"/>
  <c r="A18" i="23"/>
  <c r="B19" i="23" s="1"/>
  <c r="B7" i="23"/>
  <c r="B6" i="23"/>
  <c r="B5" i="23"/>
  <c r="B4" i="23"/>
  <c r="J6" i="22"/>
  <c r="J5" i="22"/>
  <c r="D6" i="24" l="1"/>
  <c r="D10" i="24" s="1"/>
  <c r="D11" i="24" s="1"/>
  <c r="H10" i="24"/>
  <c r="J8" i="24"/>
  <c r="B6" i="24"/>
  <c r="C6" i="24" s="1"/>
  <c r="D13" i="24"/>
  <c r="H8" i="24"/>
  <c r="H6" i="24"/>
  <c r="J11" i="24"/>
  <c r="I8" i="24"/>
  <c r="M2" i="23"/>
  <c r="G2" i="23"/>
  <c r="I2" i="23" s="1"/>
  <c r="B20" i="23"/>
  <c r="B8" i="23"/>
  <c r="E19" i="22"/>
  <c r="E20" i="22"/>
  <c r="E21" i="22"/>
  <c r="E18" i="22"/>
  <c r="D11" i="22"/>
  <c r="D10" i="22"/>
  <c r="E10" i="22" s="1"/>
  <c r="E11" i="22"/>
  <c r="E6" i="22"/>
  <c r="E5" i="22"/>
  <c r="C146" i="21"/>
  <c r="H144" i="21"/>
  <c r="C147" i="21"/>
  <c r="C145" i="21"/>
  <c r="H124" i="21"/>
  <c r="H123" i="21"/>
  <c r="H118" i="21"/>
  <c r="C177" i="21"/>
  <c r="C173" i="21"/>
  <c r="C137" i="21"/>
  <c r="C124" i="21"/>
  <c r="C118" i="21"/>
  <c r="C126" i="21" s="1"/>
  <c r="C139" i="21" s="1"/>
  <c r="C143" i="21" s="1"/>
  <c r="C61" i="21"/>
  <c r="C52" i="21"/>
  <c r="C44" i="21"/>
  <c r="C42" i="21"/>
  <c r="O32" i="21"/>
  <c r="N32" i="21"/>
  <c r="C29" i="21"/>
  <c r="N20" i="21"/>
  <c r="O19" i="21"/>
  <c r="O20" i="21" s="1"/>
  <c r="O14" i="21"/>
  <c r="N14" i="21"/>
  <c r="I9" i="21"/>
  <c r="I19" i="21" s="1"/>
  <c r="F9" i="21"/>
  <c r="F29" i="21" s="1"/>
  <c r="D8" i="24" l="1"/>
  <c r="C13" i="24"/>
  <c r="C8" i="24"/>
  <c r="C10" i="24" s="1"/>
  <c r="C11" i="24" s="1"/>
  <c r="B8" i="24"/>
  <c r="B10" i="24" s="1"/>
  <c r="B11" i="24" s="1"/>
  <c r="B13" i="24"/>
  <c r="F2" i="23"/>
  <c r="B9" i="23"/>
  <c r="B10" i="23" s="1"/>
  <c r="F31" i="21"/>
  <c r="C45" i="21"/>
  <c r="C53" i="21" s="1"/>
  <c r="C65" i="21" s="1"/>
  <c r="C66" i="21" s="1"/>
  <c r="C68" i="21" s="1"/>
  <c r="H127" i="21"/>
  <c r="H129" i="21" s="1"/>
  <c r="H143" i="21" s="1"/>
  <c r="D14" i="24" l="1"/>
  <c r="F3" i="23"/>
  <c r="H2" i="23"/>
  <c r="H137" i="21"/>
  <c r="F62" i="11"/>
  <c r="C62" i="11"/>
  <c r="F29" i="11"/>
  <c r="J2" i="23" l="1"/>
  <c r="K3" i="23"/>
  <c r="F4" i="23"/>
  <c r="H139" i="21"/>
  <c r="H141" i="21" s="1"/>
  <c r="C51" i="13"/>
  <c r="H27" i="19"/>
  <c r="H14" i="19"/>
  <c r="C14" i="19"/>
  <c r="C27" i="19" s="1"/>
  <c r="H9" i="19"/>
  <c r="H10" i="19" s="1"/>
  <c r="C19" i="19"/>
  <c r="C20" i="19"/>
  <c r="C21" i="19"/>
  <c r="C22" i="19"/>
  <c r="C23" i="19"/>
  <c r="C24" i="19"/>
  <c r="C25" i="19"/>
  <c r="C26" i="19"/>
  <c r="C18" i="19"/>
  <c r="H4" i="19"/>
  <c r="H6" i="19" s="1"/>
  <c r="C4" i="19"/>
  <c r="C6" i="19" s="1"/>
  <c r="C17" i="19" s="1"/>
  <c r="F5" i="23" l="1"/>
  <c r="M3" i="23"/>
  <c r="G3" i="23"/>
  <c r="H17" i="19"/>
  <c r="H23" i="19"/>
  <c r="H21" i="19"/>
  <c r="H20" i="19"/>
  <c r="H19" i="19"/>
  <c r="H18" i="19"/>
  <c r="H22" i="19"/>
  <c r="H24" i="19"/>
  <c r="H25" i="19"/>
  <c r="H26" i="19"/>
  <c r="C28" i="19"/>
  <c r="I3" i="23" l="1"/>
  <c r="H3" i="23"/>
  <c r="F6" i="23"/>
  <c r="H28" i="19"/>
  <c r="F7" i="23" l="1"/>
  <c r="K4" i="23"/>
  <c r="J3" i="23"/>
  <c r="H64" i="18"/>
  <c r="H62" i="18"/>
  <c r="I61" i="18"/>
  <c r="I60" i="18"/>
  <c r="I59" i="18"/>
  <c r="I58" i="18"/>
  <c r="I57" i="18"/>
  <c r="I56" i="18"/>
  <c r="I55" i="18"/>
  <c r="H48" i="18"/>
  <c r="H46" i="18"/>
  <c r="I45" i="18"/>
  <c r="I44" i="18"/>
  <c r="I43" i="18"/>
  <c r="I42" i="18"/>
  <c r="I41" i="18"/>
  <c r="I40" i="18"/>
  <c r="I39" i="18"/>
  <c r="I38" i="18"/>
  <c r="I37" i="18"/>
  <c r="I36" i="18"/>
  <c r="M18" i="18" a="1"/>
  <c r="M18" i="18" s="1"/>
  <c r="K17" i="18"/>
  <c r="M20" i="18" s="1"/>
  <c r="K7" i="18"/>
  <c r="D8" i="18"/>
  <c r="D9" i="18"/>
  <c r="D10" i="18"/>
  <c r="D7" i="18"/>
  <c r="G11" i="17"/>
  <c r="H10" i="17"/>
  <c r="H9" i="17"/>
  <c r="H8" i="17"/>
  <c r="H7" i="17"/>
  <c r="H12" i="17" s="1"/>
  <c r="C18" i="17"/>
  <c r="C11" i="17"/>
  <c r="D12" i="17"/>
  <c r="D8" i="17"/>
  <c r="D9" i="17"/>
  <c r="D10" i="17"/>
  <c r="D7" i="17"/>
  <c r="D17" i="17"/>
  <c r="D16" i="17"/>
  <c r="D19" i="17" s="1"/>
  <c r="C25" i="13"/>
  <c r="C24" i="13"/>
  <c r="C26" i="13" s="1"/>
  <c r="D51" i="13"/>
  <c r="F3" i="13"/>
  <c r="I3" i="13" s="1"/>
  <c r="C23" i="3"/>
  <c r="B23" i="3"/>
  <c r="C40" i="13"/>
  <c r="AG52" i="13"/>
  <c r="B6" i="12"/>
  <c r="B5" i="12"/>
  <c r="B4" i="12"/>
  <c r="B2" i="12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I32" i="13"/>
  <c r="J32" i="13"/>
  <c r="K32" i="13"/>
  <c r="L32" i="13"/>
  <c r="M32" i="13"/>
  <c r="I33" i="13"/>
  <c r="J33" i="13"/>
  <c r="K33" i="13"/>
  <c r="L33" i="13"/>
  <c r="M33" i="13"/>
  <c r="I34" i="13"/>
  <c r="J34" i="13"/>
  <c r="K34" i="13"/>
  <c r="L34" i="13"/>
  <c r="M34" i="13"/>
  <c r="I35" i="13"/>
  <c r="J35" i="13"/>
  <c r="K35" i="13"/>
  <c r="L35" i="13"/>
  <c r="M35" i="13"/>
  <c r="C14" i="13"/>
  <c r="I4" i="13"/>
  <c r="B1" i="12"/>
  <c r="E32" i="13"/>
  <c r="F32" i="13"/>
  <c r="G32" i="13"/>
  <c r="H32" i="13"/>
  <c r="E33" i="13"/>
  <c r="F33" i="13"/>
  <c r="G33" i="13"/>
  <c r="H33" i="13"/>
  <c r="E34" i="13"/>
  <c r="F34" i="13"/>
  <c r="G34" i="13"/>
  <c r="H34" i="13"/>
  <c r="E35" i="13"/>
  <c r="F35" i="13"/>
  <c r="G35" i="13"/>
  <c r="H35" i="13"/>
  <c r="D33" i="13"/>
  <c r="D34" i="13"/>
  <c r="D35" i="13"/>
  <c r="D32" i="13"/>
  <c r="E25" i="13"/>
  <c r="H63" i="18" l="1"/>
  <c r="H47" i="18"/>
  <c r="M4" i="23"/>
  <c r="G4" i="23"/>
  <c r="F8" i="23"/>
  <c r="C27" i="13"/>
  <c r="K8" i="18"/>
  <c r="E51" i="13"/>
  <c r="R51" i="13"/>
  <c r="AF25" i="13"/>
  <c r="W51" i="13"/>
  <c r="M51" i="13"/>
  <c r="L51" i="13"/>
  <c r="K51" i="13"/>
  <c r="J51" i="13"/>
  <c r="AG51" i="13"/>
  <c r="AG57" i="13" s="1"/>
  <c r="U51" i="13"/>
  <c r="AC51" i="13"/>
  <c r="Z51" i="13"/>
  <c r="V51" i="13"/>
  <c r="T51" i="13"/>
  <c r="Y51" i="13"/>
  <c r="S51" i="13"/>
  <c r="I51" i="13"/>
  <c r="Q51" i="13"/>
  <c r="X51" i="13"/>
  <c r="S25" i="13"/>
  <c r="AE25" i="13"/>
  <c r="T25" i="13"/>
  <c r="L25" i="13"/>
  <c r="I25" i="13"/>
  <c r="K25" i="13"/>
  <c r="P25" i="13"/>
  <c r="O25" i="13"/>
  <c r="J25" i="13"/>
  <c r="R25" i="13"/>
  <c r="AG25" i="13"/>
  <c r="Q25" i="13"/>
  <c r="AD25" i="13"/>
  <c r="AA25" i="13"/>
  <c r="N25" i="13"/>
  <c r="AB25" i="13"/>
  <c r="AF51" i="13"/>
  <c r="P51" i="13"/>
  <c r="Z25" i="13"/>
  <c r="Y25" i="13"/>
  <c r="AC25" i="13"/>
  <c r="AE51" i="13"/>
  <c r="O51" i="13"/>
  <c r="AD51" i="13"/>
  <c r="N51" i="13"/>
  <c r="X25" i="13"/>
  <c r="W25" i="13"/>
  <c r="V25" i="13"/>
  <c r="AB51" i="13"/>
  <c r="M25" i="13"/>
  <c r="AA51" i="13"/>
  <c r="U25" i="13"/>
  <c r="B3" i="12"/>
  <c r="B7" i="12"/>
  <c r="H51" i="13"/>
  <c r="G51" i="13"/>
  <c r="F51" i="13"/>
  <c r="H25" i="13"/>
  <c r="D25" i="13"/>
  <c r="G25" i="13"/>
  <c r="F25" i="13"/>
  <c r="F9" i="23" l="1"/>
  <c r="H4" i="23"/>
  <c r="I4" i="23"/>
  <c r="K9" i="18"/>
  <c r="AG53" i="13"/>
  <c r="AG54" i="13" s="1"/>
  <c r="B8" i="12"/>
  <c r="B9" i="12" s="1"/>
  <c r="B10" i="12" s="1"/>
  <c r="J4" i="23" l="1"/>
  <c r="K5" i="23"/>
  <c r="F10" i="23"/>
  <c r="K10" i="18"/>
  <c r="D30" i="10"/>
  <c r="F30" i="10"/>
  <c r="G30" i="10"/>
  <c r="H30" i="10"/>
  <c r="C30" i="10"/>
  <c r="G27" i="10"/>
  <c r="G26" i="10"/>
  <c r="E23" i="10"/>
  <c r="E19" i="10"/>
  <c r="A18" i="12"/>
  <c r="B19" i="12" s="1"/>
  <c r="K2" i="12"/>
  <c r="D7" i="10"/>
  <c r="E7" i="10"/>
  <c r="C7" i="10"/>
  <c r="E5" i="10"/>
  <c r="D5" i="10"/>
  <c r="C5" i="10"/>
  <c r="C53" i="11"/>
  <c r="F44" i="11"/>
  <c r="F53" i="11" s="1"/>
  <c r="J13" i="11"/>
  <c r="J12" i="11"/>
  <c r="J9" i="11"/>
  <c r="J8" i="11"/>
  <c r="C29" i="11"/>
  <c r="J42" i="11" l="1"/>
  <c r="J45" i="11" s="1"/>
  <c r="J40" i="11"/>
  <c r="F11" i="23"/>
  <c r="M5" i="23"/>
  <c r="G5" i="23"/>
  <c r="K11" i="18"/>
  <c r="D8" i="10"/>
  <c r="C8" i="10"/>
  <c r="E8" i="10"/>
  <c r="E24" i="10"/>
  <c r="M2" i="12"/>
  <c r="G2" i="12"/>
  <c r="I2" i="12" s="1"/>
  <c r="B20" i="12"/>
  <c r="J15" i="11"/>
  <c r="J44" i="11" s="1"/>
  <c r="J47" i="11" s="1"/>
  <c r="C9" i="10" s="1"/>
  <c r="F55" i="11"/>
  <c r="F31" i="11"/>
  <c r="T23" i="8"/>
  <c r="H5" i="23" l="1"/>
  <c r="I5" i="23"/>
  <c r="F12" i="23"/>
  <c r="K12" i="18"/>
  <c r="Y24" i="13"/>
  <c r="X24" i="13"/>
  <c r="V24" i="13"/>
  <c r="W24" i="13"/>
  <c r="R24" i="13"/>
  <c r="P24" i="13"/>
  <c r="H24" i="13"/>
  <c r="AB24" i="13"/>
  <c r="N24" i="13"/>
  <c r="L24" i="13"/>
  <c r="I24" i="13"/>
  <c r="K24" i="13"/>
  <c r="M24" i="13"/>
  <c r="E24" i="13"/>
  <c r="D24" i="13"/>
  <c r="U24" i="13"/>
  <c r="AD24" i="13"/>
  <c r="J24" i="13"/>
  <c r="AC24" i="13"/>
  <c r="AF24" i="13"/>
  <c r="Z24" i="13"/>
  <c r="G24" i="13"/>
  <c r="AA24" i="13"/>
  <c r="AE24" i="13"/>
  <c r="O24" i="13"/>
  <c r="F24" i="13"/>
  <c r="AG24" i="13"/>
  <c r="T24" i="13"/>
  <c r="Q24" i="13"/>
  <c r="S24" i="13"/>
  <c r="F11" i="13"/>
  <c r="E26" i="10"/>
  <c r="E27" i="10" s="1"/>
  <c r="E30" i="10"/>
  <c r="D9" i="10"/>
  <c r="C10" i="10"/>
  <c r="C11" i="10" s="1"/>
  <c r="F2" i="12"/>
  <c r="H2" i="12" s="1"/>
  <c r="A18" i="8"/>
  <c r="B19" i="8" s="1"/>
  <c r="B7" i="8"/>
  <c r="B3" i="8"/>
  <c r="K2" i="8" s="1"/>
  <c r="F13" i="23" l="1"/>
  <c r="J5" i="23"/>
  <c r="K6" i="23"/>
  <c r="D26" i="13"/>
  <c r="D27" i="13" s="1"/>
  <c r="N26" i="13"/>
  <c r="N27" i="13"/>
  <c r="V26" i="13"/>
  <c r="V27" i="13"/>
  <c r="Q26" i="13"/>
  <c r="Q27" i="13"/>
  <c r="Q30" i="13" s="1"/>
  <c r="K26" i="13"/>
  <c r="K27" i="13"/>
  <c r="L26" i="13"/>
  <c r="L27" i="13"/>
  <c r="L42" i="13" s="1"/>
  <c r="AE26" i="13"/>
  <c r="AE27" i="13"/>
  <c r="AE31" i="13" s="1"/>
  <c r="AB26" i="13"/>
  <c r="AB27" i="13"/>
  <c r="AB30" i="13" s="1"/>
  <c r="AA26" i="13"/>
  <c r="AA27" i="13" s="1"/>
  <c r="H26" i="13"/>
  <c r="H27" i="13"/>
  <c r="G26" i="13"/>
  <c r="G27" i="13"/>
  <c r="G42" i="13" s="1"/>
  <c r="P26" i="13"/>
  <c r="P27" i="13"/>
  <c r="P42" i="13" s="1"/>
  <c r="Z26" i="13"/>
  <c r="Z27" i="13"/>
  <c r="Z31" i="13" s="1"/>
  <c r="R26" i="13"/>
  <c r="R27" i="13"/>
  <c r="R42" i="13" s="1"/>
  <c r="AF26" i="13"/>
  <c r="AF27" i="13"/>
  <c r="AF30" i="13" s="1"/>
  <c r="W26" i="13"/>
  <c r="W27" i="13"/>
  <c r="W42" i="13" s="1"/>
  <c r="AC26" i="13"/>
  <c r="AC27" i="13" s="1"/>
  <c r="J26" i="13"/>
  <c r="J27" i="13"/>
  <c r="J42" i="13" s="1"/>
  <c r="X26" i="13"/>
  <c r="X27" i="13"/>
  <c r="X42" i="13" s="1"/>
  <c r="E26" i="13"/>
  <c r="E27" i="13"/>
  <c r="E42" i="13" s="1"/>
  <c r="T26" i="13"/>
  <c r="T27" i="13"/>
  <c r="T42" i="13" s="1"/>
  <c r="I26" i="13"/>
  <c r="I27" i="13"/>
  <c r="I31" i="13" s="1"/>
  <c r="F26" i="13"/>
  <c r="F27" i="13"/>
  <c r="F42" i="13" s="1"/>
  <c r="AD26" i="13"/>
  <c r="AD27" i="13"/>
  <c r="AD42" i="13" s="1"/>
  <c r="Y26" i="13"/>
  <c r="Y27" i="13" s="1"/>
  <c r="S26" i="13"/>
  <c r="S27" i="13"/>
  <c r="S30" i="13" s="1"/>
  <c r="M26" i="13"/>
  <c r="M27" i="13"/>
  <c r="AG26" i="13"/>
  <c r="AG27" i="13"/>
  <c r="AG42" i="13" s="1"/>
  <c r="O26" i="13"/>
  <c r="O27" i="13"/>
  <c r="O30" i="13" s="1"/>
  <c r="U26" i="13"/>
  <c r="U27" i="13"/>
  <c r="U42" i="13" s="1"/>
  <c r="K13" i="18"/>
  <c r="N30" i="13"/>
  <c r="N42" i="13"/>
  <c r="N31" i="13"/>
  <c r="M42" i="13"/>
  <c r="M31" i="13"/>
  <c r="M30" i="13"/>
  <c r="M36" i="13" s="1"/>
  <c r="M38" i="13" s="1"/>
  <c r="S31" i="13"/>
  <c r="H30" i="13"/>
  <c r="H31" i="13"/>
  <c r="H42" i="13"/>
  <c r="K42" i="13"/>
  <c r="K30" i="13"/>
  <c r="K31" i="13"/>
  <c r="V31" i="13"/>
  <c r="V42" i="13"/>
  <c r="V30" i="13"/>
  <c r="V36" i="13" s="1"/>
  <c r="V38" i="13" s="1"/>
  <c r="U31" i="13"/>
  <c r="X31" i="13"/>
  <c r="AG30" i="13"/>
  <c r="C42" i="13"/>
  <c r="C30" i="13"/>
  <c r="C31" i="13"/>
  <c r="J30" i="13"/>
  <c r="F17" i="13"/>
  <c r="F13" i="13"/>
  <c r="E9" i="10"/>
  <c r="E10" i="10" s="1"/>
  <c r="E11" i="10" s="1"/>
  <c r="D10" i="10"/>
  <c r="D11" i="10" s="1"/>
  <c r="F3" i="12"/>
  <c r="F4" i="12" s="1"/>
  <c r="J2" i="12"/>
  <c r="K3" i="12"/>
  <c r="M2" i="8"/>
  <c r="G2" i="8"/>
  <c r="I2" i="8" s="1"/>
  <c r="B20" i="8"/>
  <c r="B8" i="8"/>
  <c r="M6" i="23" l="1"/>
  <c r="G6" i="23"/>
  <c r="F14" i="23"/>
  <c r="W31" i="13"/>
  <c r="AE42" i="13"/>
  <c r="Z30" i="13"/>
  <c r="G30" i="13"/>
  <c r="U30" i="13"/>
  <c r="G31" i="13"/>
  <c r="AE30" i="13"/>
  <c r="Z42" i="13"/>
  <c r="AA42" i="13"/>
  <c r="AA31" i="13"/>
  <c r="AA30" i="13"/>
  <c r="AA36" i="13" s="1"/>
  <c r="AA38" i="13" s="1"/>
  <c r="AC42" i="13"/>
  <c r="AC30" i="13"/>
  <c r="AC31" i="13"/>
  <c r="AC36" i="13" s="1"/>
  <c r="AC38" i="13" s="1"/>
  <c r="Y42" i="13"/>
  <c r="Y30" i="13"/>
  <c r="Y36" i="13" s="1"/>
  <c r="Y38" i="13" s="1"/>
  <c r="Y31" i="13"/>
  <c r="D31" i="13"/>
  <c r="D30" i="13"/>
  <c r="D36" i="13" s="1"/>
  <c r="D38" i="13" s="1"/>
  <c r="D42" i="13"/>
  <c r="AB31" i="13"/>
  <c r="AB36" i="13" s="1"/>
  <c r="AB38" i="13" s="1"/>
  <c r="W30" i="13"/>
  <c r="AB42" i="13"/>
  <c r="Q31" i="13"/>
  <c r="Q36" i="13" s="1"/>
  <c r="Q38" i="13" s="1"/>
  <c r="R31" i="13"/>
  <c r="R30" i="13"/>
  <c r="R36" i="13" s="1"/>
  <c r="R38" i="13" s="1"/>
  <c r="AD31" i="13"/>
  <c r="AD36" i="13" s="1"/>
  <c r="AD38" i="13" s="1"/>
  <c r="F31" i="13"/>
  <c r="F36" i="13" s="1"/>
  <c r="F38" i="13" s="1"/>
  <c r="T30" i="13"/>
  <c r="AG31" i="13"/>
  <c r="AG36" i="13" s="1"/>
  <c r="AG38" i="13" s="1"/>
  <c r="AF42" i="13"/>
  <c r="L30" i="13"/>
  <c r="L36" i="13" s="1"/>
  <c r="L38" i="13" s="1"/>
  <c r="AD30" i="13"/>
  <c r="F30" i="13"/>
  <c r="O31" i="13"/>
  <c r="AF31" i="13"/>
  <c r="AF36" i="13" s="1"/>
  <c r="AF38" i="13" s="1"/>
  <c r="O42" i="13"/>
  <c r="Q42" i="13"/>
  <c r="P30" i="13"/>
  <c r="J31" i="13"/>
  <c r="J36" i="13" s="1"/>
  <c r="J38" i="13" s="1"/>
  <c r="P31" i="13"/>
  <c r="I42" i="13"/>
  <c r="X30" i="13"/>
  <c r="X36" i="13" s="1"/>
  <c r="X38" i="13" s="1"/>
  <c r="E31" i="13"/>
  <c r="S42" i="13"/>
  <c r="I30" i="13"/>
  <c r="I36" i="13" s="1"/>
  <c r="I38" i="13" s="1"/>
  <c r="L31" i="13"/>
  <c r="T31" i="13"/>
  <c r="T36" i="13" s="1"/>
  <c r="T38" i="13" s="1"/>
  <c r="E30" i="13"/>
  <c r="K14" i="18"/>
  <c r="O36" i="13"/>
  <c r="O38" i="13" s="1"/>
  <c r="N36" i="13"/>
  <c r="N38" i="13" s="1"/>
  <c r="K36" i="13"/>
  <c r="K38" i="13" s="1"/>
  <c r="U36" i="13"/>
  <c r="U38" i="13" s="1"/>
  <c r="H36" i="13"/>
  <c r="H38" i="13" s="1"/>
  <c r="Z36" i="13"/>
  <c r="Z38" i="13" s="1"/>
  <c r="AE36" i="13"/>
  <c r="AE38" i="13" s="1"/>
  <c r="S36" i="13"/>
  <c r="S38" i="13" s="1"/>
  <c r="C36" i="13"/>
  <c r="C38" i="13" s="1"/>
  <c r="F18" i="13" s="1"/>
  <c r="F14" i="13"/>
  <c r="F15" i="13" s="1"/>
  <c r="F41" i="13"/>
  <c r="V41" i="13"/>
  <c r="V44" i="13" s="1"/>
  <c r="V60" i="13" s="1"/>
  <c r="AD41" i="13"/>
  <c r="AF41" i="13"/>
  <c r="G41" i="13"/>
  <c r="W41" i="13"/>
  <c r="Y41" i="13"/>
  <c r="H41" i="13"/>
  <c r="X41" i="13"/>
  <c r="I41" i="13"/>
  <c r="R41" i="13"/>
  <c r="J41" i="13"/>
  <c r="Z41" i="13"/>
  <c r="O41" i="13"/>
  <c r="Q41" i="13"/>
  <c r="K41" i="13"/>
  <c r="AA41" i="13"/>
  <c r="AE41" i="13"/>
  <c r="AG41" i="13"/>
  <c r="S41" i="13"/>
  <c r="U41" i="13"/>
  <c r="L41" i="13"/>
  <c r="AB41" i="13"/>
  <c r="M41" i="13"/>
  <c r="M44" i="13" s="1"/>
  <c r="M60" i="13" s="1"/>
  <c r="AC41" i="13"/>
  <c r="N41" i="13"/>
  <c r="P41" i="13"/>
  <c r="C41" i="13"/>
  <c r="D41" i="13"/>
  <c r="T41" i="13"/>
  <c r="E41" i="13"/>
  <c r="F5" i="12"/>
  <c r="M3" i="12"/>
  <c r="G3" i="12"/>
  <c r="B9" i="8"/>
  <c r="B10" i="8" s="1"/>
  <c r="F2" i="8"/>
  <c r="F15" i="23" l="1"/>
  <c r="H6" i="23"/>
  <c r="I6" i="23"/>
  <c r="G36" i="13"/>
  <c r="G38" i="13" s="1"/>
  <c r="P36" i="13"/>
  <c r="P38" i="13" s="1"/>
  <c r="W36" i="13"/>
  <c r="W38" i="13" s="1"/>
  <c r="E36" i="13"/>
  <c r="E38" i="13" s="1"/>
  <c r="G44" i="13"/>
  <c r="G60" i="13" s="1"/>
  <c r="AG44" i="13"/>
  <c r="AG60" i="13" s="1"/>
  <c r="T44" i="13"/>
  <c r="T60" i="13" s="1"/>
  <c r="O44" i="13"/>
  <c r="O60" i="13" s="1"/>
  <c r="D44" i="13"/>
  <c r="D60" i="13" s="1"/>
  <c r="J44" i="13"/>
  <c r="J60" i="13" s="1"/>
  <c r="P44" i="13"/>
  <c r="P60" i="13" s="1"/>
  <c r="K15" i="18"/>
  <c r="X44" i="13"/>
  <c r="X60" i="13" s="1"/>
  <c r="AF44" i="13"/>
  <c r="AF60" i="13" s="1"/>
  <c r="U44" i="13"/>
  <c r="U60" i="13" s="1"/>
  <c r="AB44" i="13"/>
  <c r="AB60" i="13" s="1"/>
  <c r="N44" i="13"/>
  <c r="N60" i="13" s="1"/>
  <c r="I44" i="13"/>
  <c r="I60" i="13" s="1"/>
  <c r="K44" i="13"/>
  <c r="K60" i="13" s="1"/>
  <c r="AC44" i="13"/>
  <c r="AC60" i="13" s="1"/>
  <c r="Z44" i="13"/>
  <c r="Z60" i="13" s="1"/>
  <c r="C44" i="13"/>
  <c r="C60" i="13" s="1"/>
  <c r="E44" i="13"/>
  <c r="E60" i="13" s="1"/>
  <c r="Q44" i="13"/>
  <c r="Q60" i="13" s="1"/>
  <c r="R44" i="13"/>
  <c r="R60" i="13" s="1"/>
  <c r="H44" i="13"/>
  <c r="H60" i="13" s="1"/>
  <c r="L44" i="13"/>
  <c r="L60" i="13" s="1"/>
  <c r="AD44" i="13"/>
  <c r="AD60" i="13" s="1"/>
  <c r="F19" i="13"/>
  <c r="F44" i="13"/>
  <c r="F60" i="13" s="1"/>
  <c r="W44" i="13"/>
  <c r="W60" i="13" s="1"/>
  <c r="Y44" i="13"/>
  <c r="Y60" i="13" s="1"/>
  <c r="S44" i="13"/>
  <c r="S60" i="13" s="1"/>
  <c r="AE44" i="13"/>
  <c r="AE60" i="13" s="1"/>
  <c r="AA44" i="13"/>
  <c r="AA60" i="13" s="1"/>
  <c r="M47" i="13"/>
  <c r="M49" i="13" s="1"/>
  <c r="M45" i="13"/>
  <c r="G45" i="13"/>
  <c r="G47" i="13"/>
  <c r="G49" i="13" s="1"/>
  <c r="AG47" i="13"/>
  <c r="AG49" i="13" s="1"/>
  <c r="AG45" i="13"/>
  <c r="V45" i="13"/>
  <c r="V47" i="13"/>
  <c r="V49" i="13" s="1"/>
  <c r="T45" i="13"/>
  <c r="I3" i="12"/>
  <c r="H3" i="12"/>
  <c r="F6" i="12"/>
  <c r="H2" i="8"/>
  <c r="F3" i="8"/>
  <c r="B8" i="7"/>
  <c r="B4" i="7"/>
  <c r="B5" i="7"/>
  <c r="K7" i="23" l="1"/>
  <c r="J6" i="23"/>
  <c r="F16" i="23"/>
  <c r="O45" i="13"/>
  <c r="AF47" i="13"/>
  <c r="AF49" i="13" s="1"/>
  <c r="AF45" i="13"/>
  <c r="D47" i="13"/>
  <c r="D49" i="13" s="1"/>
  <c r="D45" i="13"/>
  <c r="J45" i="13"/>
  <c r="P45" i="13"/>
  <c r="P47" i="13"/>
  <c r="P49" i="13" s="1"/>
  <c r="J47" i="13"/>
  <c r="J49" i="13" s="1"/>
  <c r="T47" i="13"/>
  <c r="T49" i="13" s="1"/>
  <c r="O47" i="13"/>
  <c r="O49" i="13" s="1"/>
  <c r="AB47" i="13"/>
  <c r="AB49" i="13" s="1"/>
  <c r="X47" i="13"/>
  <c r="X49" i="13" s="1"/>
  <c r="AB45" i="13"/>
  <c r="N47" i="13"/>
  <c r="N49" i="13" s="1"/>
  <c r="X45" i="13"/>
  <c r="I45" i="13"/>
  <c r="N45" i="13"/>
  <c r="K18" i="18"/>
  <c r="M21" i="18" s="1"/>
  <c r="K16" i="18"/>
  <c r="Q45" i="13"/>
  <c r="I47" i="13"/>
  <c r="I49" i="13" s="1"/>
  <c r="K45" i="13"/>
  <c r="K47" i="13"/>
  <c r="K49" i="13" s="1"/>
  <c r="Q47" i="13"/>
  <c r="Q49" i="13" s="1"/>
  <c r="U45" i="13"/>
  <c r="U47" i="13"/>
  <c r="U49" i="13" s="1"/>
  <c r="E45" i="13"/>
  <c r="AC47" i="13"/>
  <c r="AC49" i="13" s="1"/>
  <c r="Z45" i="13"/>
  <c r="E47" i="13"/>
  <c r="E49" i="13" s="1"/>
  <c r="AC45" i="13"/>
  <c r="L45" i="13"/>
  <c r="Z47" i="13"/>
  <c r="Z49" i="13" s="1"/>
  <c r="W45" i="13"/>
  <c r="L47" i="13"/>
  <c r="L49" i="13" s="1"/>
  <c r="W47" i="13"/>
  <c r="W49" i="13" s="1"/>
  <c r="AD47" i="13"/>
  <c r="AD49" i="13" s="1"/>
  <c r="C45" i="13"/>
  <c r="AE45" i="13"/>
  <c r="AD45" i="13"/>
  <c r="C56" i="13"/>
  <c r="D56" i="13" s="1"/>
  <c r="H45" i="13"/>
  <c r="C47" i="13"/>
  <c r="C49" i="13" s="1"/>
  <c r="F45" i="13"/>
  <c r="AE47" i="13"/>
  <c r="AE49" i="13" s="1"/>
  <c r="Y45" i="13"/>
  <c r="Y47" i="13"/>
  <c r="Y49" i="13" s="1"/>
  <c r="F47" i="13"/>
  <c r="F49" i="13" s="1"/>
  <c r="H47" i="13"/>
  <c r="H49" i="13" s="1"/>
  <c r="I7" i="13"/>
  <c r="R45" i="13"/>
  <c r="R47" i="13"/>
  <c r="R49" i="13" s="1"/>
  <c r="S45" i="13"/>
  <c r="S47" i="13"/>
  <c r="S49" i="13" s="1"/>
  <c r="AA47" i="13"/>
  <c r="AA49" i="13" s="1"/>
  <c r="AA45" i="13"/>
  <c r="F7" i="12"/>
  <c r="J3" i="12"/>
  <c r="K4" i="12"/>
  <c r="J2" i="8"/>
  <c r="K3" i="8"/>
  <c r="F4" i="8"/>
  <c r="B9" i="7"/>
  <c r="B10" i="7" s="1"/>
  <c r="B11" i="7" s="1"/>
  <c r="K3" i="7"/>
  <c r="M3" i="7" s="1"/>
  <c r="C39" i="6"/>
  <c r="C27" i="6"/>
  <c r="C15" i="6"/>
  <c r="F17" i="23" l="1"/>
  <c r="M7" i="23"/>
  <c r="G7" i="23"/>
  <c r="I6" i="13"/>
  <c r="E56" i="13"/>
  <c r="G4" i="12"/>
  <c r="M4" i="12"/>
  <c r="F8" i="12"/>
  <c r="F5" i="8"/>
  <c r="G3" i="8"/>
  <c r="M3" i="8"/>
  <c r="F3" i="7"/>
  <c r="F4" i="7" s="1"/>
  <c r="G3" i="7"/>
  <c r="I3" i="7" s="1"/>
  <c r="C7" i="3"/>
  <c r="C8" i="3" s="1"/>
  <c r="B7" i="3"/>
  <c r="B8" i="3" s="1"/>
  <c r="H7" i="23" l="1"/>
  <c r="I7" i="23"/>
  <c r="F18" i="23"/>
  <c r="F56" i="13"/>
  <c r="F9" i="12"/>
  <c r="H4" i="12"/>
  <c r="I4" i="12"/>
  <c r="I3" i="8"/>
  <c r="H3" i="8"/>
  <c r="F6" i="8"/>
  <c r="H3" i="7"/>
  <c r="F5" i="7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172" i="1"/>
  <c r="C168" i="1"/>
  <c r="C135" i="1"/>
  <c r="C124" i="1"/>
  <c r="C118" i="1"/>
  <c r="C126" i="1" s="1"/>
  <c r="C137" i="1" s="1"/>
  <c r="C141" i="1" s="1"/>
  <c r="C61" i="1"/>
  <c r="C52" i="1"/>
  <c r="C44" i="1"/>
  <c r="C42" i="1"/>
  <c r="C45" i="1" s="1"/>
  <c r="C53" i="1" s="1"/>
  <c r="C65" i="1" s="1"/>
  <c r="C66" i="1" s="1"/>
  <c r="C68" i="1" s="1"/>
  <c r="O32" i="1"/>
  <c r="N32" i="1"/>
  <c r="C29" i="1"/>
  <c r="N20" i="1"/>
  <c r="O19" i="1"/>
  <c r="O20" i="1" s="1"/>
  <c r="O14" i="1"/>
  <c r="N14" i="1"/>
  <c r="I9" i="1"/>
  <c r="I19" i="1" s="1"/>
  <c r="F9" i="1"/>
  <c r="F29" i="1" s="1"/>
  <c r="F19" i="23" l="1"/>
  <c r="J7" i="23"/>
  <c r="K8" i="23"/>
  <c r="G56" i="13"/>
  <c r="J4" i="12"/>
  <c r="K5" i="12"/>
  <c r="F10" i="12"/>
  <c r="F7" i="8"/>
  <c r="J3" i="8"/>
  <c r="K4" i="8"/>
  <c r="J3" i="7"/>
  <c r="K4" i="7"/>
  <c r="M4" i="7" s="1"/>
  <c r="F6" i="7"/>
  <c r="C24" i="3"/>
  <c r="C21" i="3"/>
  <c r="B21" i="3"/>
  <c r="B24" i="3"/>
  <c r="F31" i="1"/>
  <c r="M8" i="23" l="1"/>
  <c r="G8" i="23"/>
  <c r="F20" i="23"/>
  <c r="H56" i="13"/>
  <c r="F11" i="12"/>
  <c r="M5" i="12"/>
  <c r="G5" i="12"/>
  <c r="F8" i="8"/>
  <c r="M4" i="8"/>
  <c r="G4" i="8"/>
  <c r="G4" i="7"/>
  <c r="F7" i="7"/>
  <c r="F21" i="23" l="1"/>
  <c r="H8" i="23"/>
  <c r="I8" i="23"/>
  <c r="I56" i="13"/>
  <c r="H5" i="12"/>
  <c r="I5" i="12"/>
  <c r="F12" i="12"/>
  <c r="H4" i="8"/>
  <c r="I4" i="8"/>
  <c r="F9" i="8"/>
  <c r="I4" i="7"/>
  <c r="H4" i="7"/>
  <c r="F8" i="7"/>
  <c r="K9" i="23" l="1"/>
  <c r="J8" i="23"/>
  <c r="F22" i="23"/>
  <c r="J56" i="13"/>
  <c r="F13" i="12"/>
  <c r="K6" i="12"/>
  <c r="J5" i="12"/>
  <c r="F10" i="8"/>
  <c r="K5" i="8"/>
  <c r="J4" i="8"/>
  <c r="K5" i="7"/>
  <c r="M5" i="7" s="1"/>
  <c r="J4" i="7"/>
  <c r="F9" i="7"/>
  <c r="F23" i="23" l="1"/>
  <c r="M9" i="23"/>
  <c r="G9" i="23"/>
  <c r="K56" i="13"/>
  <c r="M6" i="12"/>
  <c r="G6" i="12"/>
  <c r="F14" i="12"/>
  <c r="M5" i="8"/>
  <c r="G5" i="8"/>
  <c r="F11" i="8"/>
  <c r="G5" i="7"/>
  <c r="F10" i="7"/>
  <c r="H9" i="23" l="1"/>
  <c r="I9" i="23"/>
  <c r="F24" i="23"/>
  <c r="L56" i="13"/>
  <c r="H6" i="12"/>
  <c r="I6" i="12"/>
  <c r="F15" i="12"/>
  <c r="H5" i="8"/>
  <c r="I5" i="8"/>
  <c r="F12" i="8"/>
  <c r="H5" i="7"/>
  <c r="I5" i="7"/>
  <c r="F11" i="7"/>
  <c r="F25" i="23" l="1"/>
  <c r="J9" i="23"/>
  <c r="K10" i="23"/>
  <c r="M56" i="13"/>
  <c r="F16" i="12"/>
  <c r="K7" i="12"/>
  <c r="J6" i="12"/>
  <c r="J5" i="8"/>
  <c r="K6" i="8"/>
  <c r="F13" i="8"/>
  <c r="P14" i="8" s="1"/>
  <c r="J5" i="7"/>
  <c r="K6" i="7"/>
  <c r="M6" i="7" s="1"/>
  <c r="F12" i="7"/>
  <c r="M10" i="23" l="1"/>
  <c r="G10" i="23"/>
  <c r="F26" i="23"/>
  <c r="N56" i="13"/>
  <c r="M7" i="12"/>
  <c r="G7" i="12"/>
  <c r="F17" i="12"/>
  <c r="F14" i="8"/>
  <c r="G6" i="8"/>
  <c r="M6" i="8"/>
  <c r="G6" i="7"/>
  <c r="F13" i="7"/>
  <c r="F27" i="23" l="1"/>
  <c r="H10" i="23"/>
  <c r="I10" i="23"/>
  <c r="O56" i="13"/>
  <c r="H7" i="12"/>
  <c r="I7" i="12"/>
  <c r="F18" i="12"/>
  <c r="F15" i="8"/>
  <c r="H6" i="8"/>
  <c r="I6" i="8"/>
  <c r="I6" i="7"/>
  <c r="H6" i="7"/>
  <c r="F14" i="7"/>
  <c r="K11" i="23" l="1"/>
  <c r="J10" i="23"/>
  <c r="F28" i="23"/>
  <c r="P56" i="13"/>
  <c r="F19" i="12"/>
  <c r="J7" i="12"/>
  <c r="K8" i="12"/>
  <c r="K7" i="8"/>
  <c r="J6" i="8"/>
  <c r="F16" i="8"/>
  <c r="J6" i="7"/>
  <c r="K7" i="7"/>
  <c r="M7" i="7" s="1"/>
  <c r="F15" i="7"/>
  <c r="F29" i="23" l="1"/>
  <c r="M11" i="23"/>
  <c r="G11" i="23"/>
  <c r="Q56" i="13"/>
  <c r="M8" i="12"/>
  <c r="G8" i="12"/>
  <c r="F20" i="12"/>
  <c r="M7" i="8"/>
  <c r="G7" i="8"/>
  <c r="F17" i="8"/>
  <c r="G7" i="7"/>
  <c r="F16" i="7"/>
  <c r="H11" i="23" l="1"/>
  <c r="I11" i="23"/>
  <c r="F30" i="23"/>
  <c r="R56" i="13"/>
  <c r="H8" i="12"/>
  <c r="I8" i="12"/>
  <c r="F21" i="12"/>
  <c r="F18" i="8"/>
  <c r="H7" i="8"/>
  <c r="I7" i="8"/>
  <c r="H7" i="7"/>
  <c r="I7" i="7"/>
  <c r="F17" i="7"/>
  <c r="F31" i="23" l="1"/>
  <c r="J11" i="23"/>
  <c r="K12" i="23"/>
  <c r="S56" i="13"/>
  <c r="F22" i="12"/>
  <c r="J8" i="12"/>
  <c r="K9" i="12"/>
  <c r="K8" i="8"/>
  <c r="J7" i="8"/>
  <c r="F19" i="8"/>
  <c r="J7" i="7"/>
  <c r="K8" i="7"/>
  <c r="M8" i="7" s="1"/>
  <c r="F18" i="7"/>
  <c r="M12" i="23" l="1"/>
  <c r="G12" i="23"/>
  <c r="F32" i="23"/>
  <c r="T56" i="13"/>
  <c r="G9" i="12"/>
  <c r="M9" i="12"/>
  <c r="F23" i="12"/>
  <c r="F20" i="8"/>
  <c r="M8" i="8"/>
  <c r="G8" i="8"/>
  <c r="G8" i="7"/>
  <c r="F19" i="7"/>
  <c r="F33" i="23" l="1"/>
  <c r="H12" i="23"/>
  <c r="I12" i="23"/>
  <c r="U56" i="13"/>
  <c r="F24" i="12"/>
  <c r="H9" i="12"/>
  <c r="I9" i="12"/>
  <c r="H8" i="8"/>
  <c r="I8" i="8"/>
  <c r="F21" i="8"/>
  <c r="H8" i="7"/>
  <c r="I8" i="7"/>
  <c r="F20" i="7"/>
  <c r="K13" i="23" l="1"/>
  <c r="J12" i="23"/>
  <c r="F34" i="23"/>
  <c r="V56" i="13"/>
  <c r="J9" i="12"/>
  <c r="K10" i="12"/>
  <c r="F25" i="12"/>
  <c r="F22" i="8"/>
  <c r="K9" i="8"/>
  <c r="J8" i="8"/>
  <c r="J8" i="7"/>
  <c r="K9" i="7"/>
  <c r="M9" i="7" s="1"/>
  <c r="F21" i="7"/>
  <c r="F35" i="23" l="1"/>
  <c r="M13" i="23"/>
  <c r="R14" i="23"/>
  <c r="P8" i="23" s="1"/>
  <c r="G13" i="23"/>
  <c r="W56" i="13"/>
  <c r="F26" i="12"/>
  <c r="M10" i="12"/>
  <c r="G10" i="12"/>
  <c r="M9" i="8"/>
  <c r="G9" i="8"/>
  <c r="F23" i="8"/>
  <c r="G9" i="7"/>
  <c r="F22" i="7"/>
  <c r="H13" i="23" l="1"/>
  <c r="I13" i="23"/>
  <c r="F36" i="23"/>
  <c r="X56" i="13"/>
  <c r="H10" i="12"/>
  <c r="I10" i="12"/>
  <c r="F27" i="12"/>
  <c r="F24" i="8"/>
  <c r="H9" i="8"/>
  <c r="I9" i="8"/>
  <c r="H9" i="7"/>
  <c r="I9" i="7"/>
  <c r="F23" i="7"/>
  <c r="F37" i="23" l="1"/>
  <c r="P14" i="23"/>
  <c r="P5" i="23" s="1"/>
  <c r="J13" i="23"/>
  <c r="K14" i="23"/>
  <c r="Y56" i="13"/>
  <c r="F28" i="12"/>
  <c r="K11" i="12"/>
  <c r="J10" i="12"/>
  <c r="J9" i="8"/>
  <c r="K10" i="8"/>
  <c r="F25" i="8"/>
  <c r="P15" i="8" s="1"/>
  <c r="J9" i="7"/>
  <c r="K10" i="7"/>
  <c r="M10" i="7" s="1"/>
  <c r="F24" i="7"/>
  <c r="Q14" i="23" l="1"/>
  <c r="M14" i="23"/>
  <c r="G14" i="23"/>
  <c r="F38" i="23"/>
  <c r="Z56" i="13"/>
  <c r="G11" i="12"/>
  <c r="M11" i="12"/>
  <c r="F29" i="12"/>
  <c r="M10" i="8"/>
  <c r="G10" i="8"/>
  <c r="F26" i="8"/>
  <c r="G10" i="7"/>
  <c r="F25" i="7"/>
  <c r="H14" i="23" l="1"/>
  <c r="I14" i="23"/>
  <c r="F39" i="23"/>
  <c r="P6" i="23"/>
  <c r="S14" i="23"/>
  <c r="P7" i="23" s="1"/>
  <c r="AA56" i="13"/>
  <c r="H11" i="12"/>
  <c r="I11" i="12"/>
  <c r="F30" i="12"/>
  <c r="F27" i="8"/>
  <c r="H10" i="8"/>
  <c r="I10" i="8"/>
  <c r="H10" i="7"/>
  <c r="I10" i="7"/>
  <c r="F26" i="7"/>
  <c r="F40" i="23" l="1"/>
  <c r="J14" i="23"/>
  <c r="K15" i="23"/>
  <c r="AB56" i="13"/>
  <c r="F31" i="12"/>
  <c r="J11" i="12"/>
  <c r="K12" i="12"/>
  <c r="K11" i="8"/>
  <c r="J10" i="8"/>
  <c r="F28" i="8"/>
  <c r="J10" i="7"/>
  <c r="K11" i="7"/>
  <c r="M11" i="7" s="1"/>
  <c r="F27" i="7"/>
  <c r="F41" i="23" l="1"/>
  <c r="M15" i="23"/>
  <c r="G15" i="23"/>
  <c r="AC56" i="13"/>
  <c r="G12" i="12"/>
  <c r="M12" i="12"/>
  <c r="F32" i="12"/>
  <c r="F29" i="8"/>
  <c r="M11" i="8"/>
  <c r="G11" i="8"/>
  <c r="G11" i="7"/>
  <c r="F28" i="7"/>
  <c r="H15" i="23" l="1"/>
  <c r="I15" i="23"/>
  <c r="F42" i="23"/>
  <c r="AD56" i="13"/>
  <c r="F33" i="12"/>
  <c r="H12" i="12"/>
  <c r="I12" i="12"/>
  <c r="H11" i="8"/>
  <c r="I11" i="8"/>
  <c r="F30" i="8"/>
  <c r="H11" i="7"/>
  <c r="I11" i="7"/>
  <c r="F29" i="7"/>
  <c r="F43" i="23" l="1"/>
  <c r="K16" i="23"/>
  <c r="J15" i="23"/>
  <c r="AE56" i="13"/>
  <c r="J12" i="12"/>
  <c r="K13" i="12"/>
  <c r="R14" i="12" s="1"/>
  <c r="P8" i="12" s="1"/>
  <c r="C52" i="13" s="1"/>
  <c r="C57" i="13" s="1"/>
  <c r="C58" i="13" s="1"/>
  <c r="C61" i="13" s="1"/>
  <c r="F34" i="12"/>
  <c r="F31" i="8"/>
  <c r="J11" i="8"/>
  <c r="K12" i="8"/>
  <c r="J11" i="7"/>
  <c r="K12" i="7"/>
  <c r="M12" i="7" s="1"/>
  <c r="F30" i="7"/>
  <c r="M16" i="23" l="1"/>
  <c r="G16" i="23"/>
  <c r="F44" i="23"/>
  <c r="AF56" i="13"/>
  <c r="C53" i="13"/>
  <c r="C54" i="13" s="1"/>
  <c r="M13" i="12"/>
  <c r="G13" i="12"/>
  <c r="F35" i="12"/>
  <c r="M12" i="8"/>
  <c r="G12" i="8"/>
  <c r="F32" i="8"/>
  <c r="G12" i="7"/>
  <c r="F31" i="7"/>
  <c r="H16" i="23" l="1"/>
  <c r="I16" i="23"/>
  <c r="F45" i="23"/>
  <c r="AG56" i="13"/>
  <c r="F36" i="12"/>
  <c r="H13" i="12"/>
  <c r="I13" i="12"/>
  <c r="H12" i="8"/>
  <c r="I12" i="8"/>
  <c r="F33" i="8"/>
  <c r="H12" i="7"/>
  <c r="I12" i="7"/>
  <c r="F32" i="7"/>
  <c r="F46" i="23" l="1"/>
  <c r="J16" i="23"/>
  <c r="K17" i="23"/>
  <c r="AG58" i="13"/>
  <c r="P14" i="12"/>
  <c r="P5" i="12" s="1"/>
  <c r="K14" i="12"/>
  <c r="J13" i="12"/>
  <c r="F37" i="12"/>
  <c r="F34" i="8"/>
  <c r="K13" i="8"/>
  <c r="U14" i="8" s="1"/>
  <c r="J12" i="8"/>
  <c r="J12" i="7"/>
  <c r="K13" i="7"/>
  <c r="M13" i="7" s="1"/>
  <c r="F33" i="7"/>
  <c r="M17" i="23" l="1"/>
  <c r="G17" i="23"/>
  <c r="F47" i="23"/>
  <c r="I8" i="13"/>
  <c r="AG61" i="13"/>
  <c r="AG62" i="13" s="1"/>
  <c r="I5" i="13"/>
  <c r="F38" i="12"/>
  <c r="Q14" i="12"/>
  <c r="M14" i="12"/>
  <c r="G14" i="12"/>
  <c r="M13" i="8"/>
  <c r="G13" i="8"/>
  <c r="Q14" i="8" s="1"/>
  <c r="F35" i="8"/>
  <c r="G13" i="7"/>
  <c r="F34" i="7"/>
  <c r="F48" i="23" l="1"/>
  <c r="H17" i="23"/>
  <c r="I17" i="23"/>
  <c r="S14" i="12"/>
  <c r="P7" i="12" s="1"/>
  <c r="P6" i="12"/>
  <c r="H14" i="12"/>
  <c r="I14" i="12"/>
  <c r="F39" i="12"/>
  <c r="H13" i="8"/>
  <c r="R14" i="8" s="1"/>
  <c r="I13" i="8"/>
  <c r="F36" i="8"/>
  <c r="H13" i="7"/>
  <c r="I13" i="7"/>
  <c r="F35" i="7"/>
  <c r="F49" i="23" l="1"/>
  <c r="J17" i="23"/>
  <c r="K18" i="23"/>
  <c r="F40" i="12"/>
  <c r="J14" i="12"/>
  <c r="K15" i="12"/>
  <c r="F37" i="8"/>
  <c r="P16" i="8" s="1"/>
  <c r="S14" i="8"/>
  <c r="K14" i="8"/>
  <c r="J13" i="8"/>
  <c r="T14" i="8" s="1"/>
  <c r="J13" i="7"/>
  <c r="K14" i="7"/>
  <c r="M14" i="7" s="1"/>
  <c r="F36" i="7"/>
  <c r="G18" i="23" l="1"/>
  <c r="M18" i="23"/>
  <c r="F50" i="23"/>
  <c r="F41" i="12"/>
  <c r="M15" i="12"/>
  <c r="G15" i="12"/>
  <c r="F38" i="8"/>
  <c r="M14" i="8"/>
  <c r="G14" i="8"/>
  <c r="G14" i="7"/>
  <c r="F37" i="7"/>
  <c r="F51" i="23" l="1"/>
  <c r="H18" i="23"/>
  <c r="I18" i="23"/>
  <c r="H15" i="12"/>
  <c r="I15" i="12"/>
  <c r="F42" i="12"/>
  <c r="H14" i="8"/>
  <c r="I14" i="8"/>
  <c r="F39" i="8"/>
  <c r="H14" i="7"/>
  <c r="I14" i="7"/>
  <c r="P15" i="7" s="1"/>
  <c r="F38" i="7"/>
  <c r="J18" i="23" l="1"/>
  <c r="K19" i="23"/>
  <c r="F52" i="23"/>
  <c r="F43" i="12"/>
  <c r="K16" i="12"/>
  <c r="J15" i="12"/>
  <c r="F40" i="8"/>
  <c r="J14" i="8"/>
  <c r="K15" i="8"/>
  <c r="J14" i="7"/>
  <c r="Q15" i="7" s="1"/>
  <c r="R15" i="7" s="1"/>
  <c r="K15" i="7"/>
  <c r="M15" i="7" s="1"/>
  <c r="F39" i="7"/>
  <c r="M19" i="23" l="1"/>
  <c r="G19" i="23"/>
  <c r="F53" i="23"/>
  <c r="F44" i="12"/>
  <c r="M16" i="12"/>
  <c r="G16" i="12"/>
  <c r="M15" i="8"/>
  <c r="G15" i="8"/>
  <c r="F41" i="8"/>
  <c r="G15" i="7"/>
  <c r="F40" i="7"/>
  <c r="H19" i="23" l="1"/>
  <c r="I19" i="23"/>
  <c r="F54" i="23"/>
  <c r="H16" i="12"/>
  <c r="I16" i="12"/>
  <c r="F45" i="12"/>
  <c r="F42" i="8"/>
  <c r="H15" i="8"/>
  <c r="I15" i="8"/>
  <c r="H15" i="7"/>
  <c r="I15" i="7"/>
  <c r="F41" i="7"/>
  <c r="F55" i="23" l="1"/>
  <c r="K20" i="23"/>
  <c r="J19" i="23"/>
  <c r="F46" i="12"/>
  <c r="J16" i="12"/>
  <c r="K17" i="12"/>
  <c r="K16" i="8"/>
  <c r="J15" i="8"/>
  <c r="F43" i="8"/>
  <c r="J15" i="7"/>
  <c r="K16" i="7"/>
  <c r="M16" i="7" s="1"/>
  <c r="F42" i="7"/>
  <c r="M20" i="23" l="1"/>
  <c r="G20" i="23"/>
  <c r="F56" i="23"/>
  <c r="M17" i="12"/>
  <c r="G17" i="12"/>
  <c r="F47" i="12"/>
  <c r="G16" i="8"/>
  <c r="M16" i="8"/>
  <c r="F44" i="8"/>
  <c r="G16" i="7"/>
  <c r="F43" i="7"/>
  <c r="F57" i="23" l="1"/>
  <c r="H20" i="23"/>
  <c r="I20" i="23"/>
  <c r="F48" i="12"/>
  <c r="H17" i="12"/>
  <c r="I17" i="12"/>
  <c r="F45" i="8"/>
  <c r="H16" i="8"/>
  <c r="I16" i="8"/>
  <c r="H16" i="7"/>
  <c r="I16" i="7"/>
  <c r="F44" i="7"/>
  <c r="K21" i="23" l="1"/>
  <c r="J20" i="23"/>
  <c r="F58" i="23"/>
  <c r="J17" i="12"/>
  <c r="K18" i="12"/>
  <c r="F49" i="12"/>
  <c r="K17" i="8"/>
  <c r="J16" i="8"/>
  <c r="F46" i="8"/>
  <c r="J16" i="7"/>
  <c r="K17" i="7"/>
  <c r="M17" i="7" s="1"/>
  <c r="F45" i="7"/>
  <c r="F59" i="23" l="1"/>
  <c r="M21" i="23"/>
  <c r="G21" i="23"/>
  <c r="F50" i="12"/>
  <c r="G18" i="12"/>
  <c r="M18" i="12"/>
  <c r="F47" i="8"/>
  <c r="M17" i="8"/>
  <c r="G17" i="8"/>
  <c r="G17" i="7"/>
  <c r="F46" i="7"/>
  <c r="H21" i="23" l="1"/>
  <c r="I21" i="23"/>
  <c r="F60" i="23"/>
  <c r="H18" i="12"/>
  <c r="I18" i="12"/>
  <c r="F51" i="12"/>
  <c r="F48" i="8"/>
  <c r="H17" i="8"/>
  <c r="I17" i="8"/>
  <c r="H17" i="7"/>
  <c r="I17" i="7"/>
  <c r="F47" i="7"/>
  <c r="F61" i="23" l="1"/>
  <c r="J21" i="23"/>
  <c r="K22" i="23"/>
  <c r="F52" i="12"/>
  <c r="K19" i="12"/>
  <c r="J18" i="12"/>
  <c r="J17" i="8"/>
  <c r="K18" i="8"/>
  <c r="F49" i="8"/>
  <c r="P17" i="8" s="1"/>
  <c r="J17" i="7"/>
  <c r="K18" i="7"/>
  <c r="M18" i="7" s="1"/>
  <c r="F48" i="7"/>
  <c r="M22" i="23" l="1"/>
  <c r="G22" i="23"/>
  <c r="F62" i="23"/>
  <c r="M19" i="12"/>
  <c r="G19" i="12"/>
  <c r="F53" i="12"/>
  <c r="M18" i="8"/>
  <c r="G18" i="8"/>
  <c r="F50" i="8"/>
  <c r="G18" i="7"/>
  <c r="F49" i="7"/>
  <c r="F63" i="23" l="1"/>
  <c r="H22" i="23"/>
  <c r="I22" i="23"/>
  <c r="F54" i="12"/>
  <c r="H19" i="12"/>
  <c r="I19" i="12"/>
  <c r="H18" i="8"/>
  <c r="I18" i="8"/>
  <c r="F51" i="8"/>
  <c r="H18" i="7"/>
  <c r="I18" i="7"/>
  <c r="F50" i="7"/>
  <c r="J22" i="23" l="1"/>
  <c r="K23" i="23"/>
  <c r="F64" i="23"/>
  <c r="K20" i="12"/>
  <c r="J19" i="12"/>
  <c r="F55" i="12"/>
  <c r="F52" i="8"/>
  <c r="K19" i="8"/>
  <c r="J18" i="8"/>
  <c r="J18" i="7"/>
  <c r="K19" i="7"/>
  <c r="M19" i="7" s="1"/>
  <c r="F51" i="7"/>
  <c r="F65" i="23" l="1"/>
  <c r="G23" i="23"/>
  <c r="M23" i="23"/>
  <c r="F56" i="12"/>
  <c r="M20" i="12"/>
  <c r="G20" i="12"/>
  <c r="M19" i="8"/>
  <c r="G19" i="8"/>
  <c r="F53" i="8"/>
  <c r="G19" i="7"/>
  <c r="F52" i="7"/>
  <c r="H23" i="23" l="1"/>
  <c r="I23" i="23"/>
  <c r="F66" i="23"/>
  <c r="H20" i="12"/>
  <c r="I20" i="12"/>
  <c r="F57" i="12"/>
  <c r="H19" i="8"/>
  <c r="I19" i="8"/>
  <c r="F54" i="8"/>
  <c r="H19" i="7"/>
  <c r="I19" i="7"/>
  <c r="F53" i="7"/>
  <c r="F67" i="23" l="1"/>
  <c r="K24" i="23"/>
  <c r="J23" i="23"/>
  <c r="F58" i="12"/>
  <c r="J20" i="12"/>
  <c r="K21" i="12"/>
  <c r="F55" i="8"/>
  <c r="J19" i="8"/>
  <c r="K20" i="8"/>
  <c r="J19" i="7"/>
  <c r="K20" i="7"/>
  <c r="M20" i="7" s="1"/>
  <c r="F54" i="7"/>
  <c r="M24" i="23" l="1"/>
  <c r="G24" i="23"/>
  <c r="F68" i="23"/>
  <c r="M21" i="12"/>
  <c r="G21" i="12"/>
  <c r="F59" i="12"/>
  <c r="M20" i="8"/>
  <c r="G20" i="8"/>
  <c r="F56" i="8"/>
  <c r="G20" i="7"/>
  <c r="F55" i="7"/>
  <c r="F69" i="23" l="1"/>
  <c r="H24" i="23"/>
  <c r="I24" i="23"/>
  <c r="F60" i="12"/>
  <c r="H21" i="12"/>
  <c r="I21" i="12"/>
  <c r="H20" i="8"/>
  <c r="I20" i="8"/>
  <c r="F57" i="8"/>
  <c r="H20" i="7"/>
  <c r="I20" i="7"/>
  <c r="F56" i="7"/>
  <c r="J24" i="23" l="1"/>
  <c r="K25" i="23"/>
  <c r="F70" i="23"/>
  <c r="K22" i="12"/>
  <c r="J21" i="12"/>
  <c r="F61" i="12"/>
  <c r="F58" i="8"/>
  <c r="J20" i="8"/>
  <c r="K21" i="8"/>
  <c r="J20" i="7"/>
  <c r="K21" i="7"/>
  <c r="M21" i="7" s="1"/>
  <c r="F57" i="7"/>
  <c r="F71" i="23" l="1"/>
  <c r="M25" i="23"/>
  <c r="R15" i="23"/>
  <c r="Q8" i="23" s="1"/>
  <c r="G25" i="23"/>
  <c r="F62" i="12"/>
  <c r="M22" i="12"/>
  <c r="G22" i="12"/>
  <c r="M21" i="8"/>
  <c r="G21" i="8"/>
  <c r="F59" i="8"/>
  <c r="G21" i="7"/>
  <c r="F58" i="7"/>
  <c r="H25" i="23" l="1"/>
  <c r="I25" i="23"/>
  <c r="F72" i="23"/>
  <c r="H22" i="12"/>
  <c r="I22" i="12"/>
  <c r="F63" i="12"/>
  <c r="F60" i="8"/>
  <c r="H21" i="8"/>
  <c r="I21" i="8"/>
  <c r="H21" i="7"/>
  <c r="I21" i="7"/>
  <c r="F59" i="7"/>
  <c r="F73" i="23" l="1"/>
  <c r="P15" i="23"/>
  <c r="Q5" i="23" s="1"/>
  <c r="J25" i="23"/>
  <c r="K26" i="23"/>
  <c r="F64" i="12"/>
  <c r="J22" i="12"/>
  <c r="K23" i="12"/>
  <c r="K22" i="8"/>
  <c r="J21" i="8"/>
  <c r="F61" i="8"/>
  <c r="P18" i="8" s="1"/>
  <c r="J21" i="7"/>
  <c r="K22" i="7"/>
  <c r="M22" i="7" s="1"/>
  <c r="F60" i="7"/>
  <c r="M26" i="23" l="1"/>
  <c r="G26" i="23"/>
  <c r="Q15" i="23"/>
  <c r="F74" i="23"/>
  <c r="M23" i="12"/>
  <c r="G23" i="12"/>
  <c r="F65" i="12"/>
  <c r="F62" i="8"/>
  <c r="M22" i="8"/>
  <c r="G22" i="8"/>
  <c r="G22" i="7"/>
  <c r="F61" i="7"/>
  <c r="F75" i="23" l="1"/>
  <c r="S15" i="23"/>
  <c r="Q6" i="23"/>
  <c r="Q7" i="23" s="1"/>
  <c r="H26" i="23"/>
  <c r="I26" i="23"/>
  <c r="F66" i="12"/>
  <c r="H23" i="12"/>
  <c r="I23" i="12"/>
  <c r="H22" i="8"/>
  <c r="I22" i="8"/>
  <c r="F63" i="8"/>
  <c r="H22" i="7"/>
  <c r="I22" i="7"/>
  <c r="F62" i="7"/>
  <c r="K27" i="23" l="1"/>
  <c r="J26" i="23"/>
  <c r="F76" i="23"/>
  <c r="K24" i="12"/>
  <c r="J23" i="12"/>
  <c r="F67" i="12"/>
  <c r="F64" i="8"/>
  <c r="K23" i="8"/>
  <c r="J22" i="8"/>
  <c r="J22" i="7"/>
  <c r="K23" i="7"/>
  <c r="M23" i="7" s="1"/>
  <c r="F63" i="7"/>
  <c r="F77" i="23" l="1"/>
  <c r="M27" i="23"/>
  <c r="G27" i="23"/>
  <c r="F68" i="12"/>
  <c r="M24" i="12"/>
  <c r="G24" i="12"/>
  <c r="M23" i="8"/>
  <c r="G23" i="8"/>
  <c r="F65" i="8"/>
  <c r="G23" i="7"/>
  <c r="F64" i="7"/>
  <c r="H27" i="23" l="1"/>
  <c r="I27" i="23"/>
  <c r="F78" i="23"/>
  <c r="H24" i="12"/>
  <c r="I24" i="12"/>
  <c r="F69" i="12"/>
  <c r="F66" i="8"/>
  <c r="H23" i="8"/>
  <c r="I23" i="8"/>
  <c r="H23" i="7"/>
  <c r="I23" i="7"/>
  <c r="F65" i="7"/>
  <c r="F79" i="23" l="1"/>
  <c r="J27" i="23"/>
  <c r="K28" i="23"/>
  <c r="F70" i="12"/>
  <c r="K25" i="12"/>
  <c r="R15" i="12" s="1"/>
  <c r="Q8" i="12" s="1"/>
  <c r="D52" i="13" s="1"/>
  <c r="D57" i="13" s="1"/>
  <c r="D58" i="13" s="1"/>
  <c r="D61" i="13" s="1"/>
  <c r="D62" i="13" s="1"/>
  <c r="J24" i="12"/>
  <c r="J23" i="8"/>
  <c r="K24" i="8"/>
  <c r="F67" i="8"/>
  <c r="J23" i="7"/>
  <c r="K24" i="7"/>
  <c r="M24" i="7" s="1"/>
  <c r="F66" i="7"/>
  <c r="M28" i="23" l="1"/>
  <c r="G28" i="23"/>
  <c r="F80" i="23"/>
  <c r="D53" i="13"/>
  <c r="D54" i="13" s="1"/>
  <c r="G25" i="12"/>
  <c r="M25" i="12"/>
  <c r="F71" i="12"/>
  <c r="M24" i="8"/>
  <c r="G24" i="8"/>
  <c r="F68" i="8"/>
  <c r="G24" i="7"/>
  <c r="F67" i="7"/>
  <c r="F81" i="23" l="1"/>
  <c r="H28" i="23"/>
  <c r="I28" i="23"/>
  <c r="F72" i="12"/>
  <c r="H25" i="12"/>
  <c r="I25" i="12"/>
  <c r="H24" i="8"/>
  <c r="I24" i="8"/>
  <c r="F69" i="8"/>
  <c r="H24" i="7"/>
  <c r="I24" i="7"/>
  <c r="F68" i="7"/>
  <c r="K29" i="23" l="1"/>
  <c r="J28" i="23"/>
  <c r="F82" i="23"/>
  <c r="P15" i="12"/>
  <c r="Q5" i="12" s="1"/>
  <c r="J25" i="12"/>
  <c r="K26" i="12"/>
  <c r="F73" i="12"/>
  <c r="F70" i="8"/>
  <c r="K25" i="8"/>
  <c r="U15" i="8" s="1"/>
  <c r="J24" i="8"/>
  <c r="J24" i="7"/>
  <c r="K25" i="7"/>
  <c r="M25" i="7" s="1"/>
  <c r="F69" i="7"/>
  <c r="F83" i="23" l="1"/>
  <c r="M29" i="23"/>
  <c r="G29" i="23"/>
  <c r="F74" i="12"/>
  <c r="G26" i="12"/>
  <c r="M26" i="12"/>
  <c r="Q15" i="12"/>
  <c r="M25" i="8"/>
  <c r="G25" i="8"/>
  <c r="Q15" i="8" s="1"/>
  <c r="F71" i="8"/>
  <c r="G25" i="7"/>
  <c r="F70" i="7"/>
  <c r="H29" i="23" l="1"/>
  <c r="I29" i="23"/>
  <c r="F84" i="23"/>
  <c r="S15" i="12"/>
  <c r="Q6" i="12"/>
  <c r="Q7" i="12" s="1"/>
  <c r="H26" i="12"/>
  <c r="I26" i="12"/>
  <c r="F75" i="12"/>
  <c r="F72" i="8"/>
  <c r="H25" i="8"/>
  <c r="R15" i="8" s="1"/>
  <c r="I25" i="8"/>
  <c r="H25" i="7"/>
  <c r="I25" i="7"/>
  <c r="F71" i="7"/>
  <c r="F85" i="23" l="1"/>
  <c r="J29" i="23"/>
  <c r="K30" i="23"/>
  <c r="F76" i="12"/>
  <c r="K27" i="12"/>
  <c r="J26" i="12"/>
  <c r="S15" i="8"/>
  <c r="J25" i="8"/>
  <c r="T15" i="8" s="1"/>
  <c r="K26" i="8"/>
  <c r="F73" i="8"/>
  <c r="P19" i="8" s="1"/>
  <c r="J25" i="7"/>
  <c r="K26" i="7"/>
  <c r="M26" i="7" s="1"/>
  <c r="F72" i="7"/>
  <c r="M30" i="23" l="1"/>
  <c r="G30" i="23"/>
  <c r="F86" i="23"/>
  <c r="G27" i="12"/>
  <c r="M27" i="12"/>
  <c r="F77" i="12"/>
  <c r="F74" i="8"/>
  <c r="M26" i="8"/>
  <c r="G26" i="8"/>
  <c r="G26" i="7"/>
  <c r="F73" i="7"/>
  <c r="F87" i="23" l="1"/>
  <c r="H30" i="23"/>
  <c r="I30" i="23"/>
  <c r="F78" i="12"/>
  <c r="H27" i="12"/>
  <c r="I27" i="12"/>
  <c r="H26" i="8"/>
  <c r="I26" i="8"/>
  <c r="F75" i="8"/>
  <c r="H26" i="7"/>
  <c r="I26" i="7"/>
  <c r="P16" i="7" s="1"/>
  <c r="F74" i="7"/>
  <c r="K31" i="23" l="1"/>
  <c r="J30" i="23"/>
  <c r="F88" i="23"/>
  <c r="J27" i="12"/>
  <c r="K28" i="12"/>
  <c r="F79" i="12"/>
  <c r="F76" i="8"/>
  <c r="K27" i="8"/>
  <c r="J26" i="8"/>
  <c r="J26" i="7"/>
  <c r="Q16" i="7" s="1"/>
  <c r="R16" i="7" s="1"/>
  <c r="K27" i="7"/>
  <c r="M27" i="7" s="1"/>
  <c r="F75" i="7"/>
  <c r="F89" i="23" l="1"/>
  <c r="M31" i="23"/>
  <c r="G31" i="23"/>
  <c r="F80" i="12"/>
  <c r="M28" i="12"/>
  <c r="G28" i="12"/>
  <c r="F77" i="8"/>
  <c r="M27" i="8"/>
  <c r="G27" i="8"/>
  <c r="G27" i="7"/>
  <c r="F76" i="7"/>
  <c r="H31" i="23" l="1"/>
  <c r="I31" i="23"/>
  <c r="F90" i="23"/>
  <c r="H28" i="12"/>
  <c r="I28" i="12"/>
  <c r="F81" i="12"/>
  <c r="H27" i="8"/>
  <c r="I27" i="8"/>
  <c r="F78" i="8"/>
  <c r="H27" i="7"/>
  <c r="I27" i="7"/>
  <c r="F77" i="7"/>
  <c r="F91" i="23" l="1"/>
  <c r="J31" i="23"/>
  <c r="K32" i="23"/>
  <c r="F82" i="12"/>
  <c r="K29" i="12"/>
  <c r="J28" i="12"/>
  <c r="F79" i="8"/>
  <c r="J27" i="8"/>
  <c r="K28" i="8"/>
  <c r="J27" i="7"/>
  <c r="K28" i="7"/>
  <c r="M28" i="7" s="1"/>
  <c r="F78" i="7"/>
  <c r="M32" i="23" l="1"/>
  <c r="G32" i="23"/>
  <c r="F92" i="23"/>
  <c r="G29" i="12"/>
  <c r="M29" i="12"/>
  <c r="F83" i="12"/>
  <c r="M28" i="8"/>
  <c r="G28" i="8"/>
  <c r="F80" i="8"/>
  <c r="G28" i="7"/>
  <c r="F79" i="7"/>
  <c r="F93" i="23" l="1"/>
  <c r="H32" i="23"/>
  <c r="I32" i="23"/>
  <c r="F84" i="12"/>
  <c r="H29" i="12"/>
  <c r="I29" i="12"/>
  <c r="H28" i="8"/>
  <c r="I28" i="8"/>
  <c r="F81" i="8"/>
  <c r="H28" i="7"/>
  <c r="I28" i="7"/>
  <c r="F80" i="7"/>
  <c r="K33" i="23" l="1"/>
  <c r="J32" i="23"/>
  <c r="F94" i="23"/>
  <c r="J29" i="12"/>
  <c r="K30" i="12"/>
  <c r="F85" i="12"/>
  <c r="F82" i="8"/>
  <c r="K29" i="8"/>
  <c r="J28" i="8"/>
  <c r="J28" i="7"/>
  <c r="K29" i="7"/>
  <c r="M29" i="7" s="1"/>
  <c r="F81" i="7"/>
  <c r="F95" i="23" l="1"/>
  <c r="M33" i="23"/>
  <c r="G33" i="23"/>
  <c r="M30" i="12"/>
  <c r="G30" i="12"/>
  <c r="F86" i="12"/>
  <c r="M29" i="8"/>
  <c r="G29" i="8"/>
  <c r="F83" i="8"/>
  <c r="G29" i="7"/>
  <c r="F82" i="7"/>
  <c r="H33" i="23" l="1"/>
  <c r="I33" i="23"/>
  <c r="F96" i="23"/>
  <c r="F87" i="12"/>
  <c r="H30" i="12"/>
  <c r="I30" i="12"/>
  <c r="H29" i="8"/>
  <c r="I29" i="8"/>
  <c r="F84" i="8"/>
  <c r="H29" i="7"/>
  <c r="I29" i="7"/>
  <c r="F83" i="7"/>
  <c r="F97" i="23" l="1"/>
  <c r="J33" i="23"/>
  <c r="K34" i="23"/>
  <c r="K31" i="12"/>
  <c r="J30" i="12"/>
  <c r="F88" i="12"/>
  <c r="F85" i="8"/>
  <c r="P20" i="8" s="1"/>
  <c r="J29" i="8"/>
  <c r="K30" i="8"/>
  <c r="J29" i="7"/>
  <c r="K30" i="7"/>
  <c r="M30" i="7" s="1"/>
  <c r="F84" i="7"/>
  <c r="M34" i="23" l="1"/>
  <c r="G34" i="23"/>
  <c r="F98" i="23"/>
  <c r="F89" i="12"/>
  <c r="M31" i="12"/>
  <c r="G31" i="12"/>
  <c r="G30" i="8"/>
  <c r="M30" i="8"/>
  <c r="F86" i="8"/>
  <c r="G30" i="7"/>
  <c r="F85" i="7"/>
  <c r="F99" i="23" l="1"/>
  <c r="H34" i="23"/>
  <c r="I34" i="23"/>
  <c r="F90" i="12"/>
  <c r="H31" i="12"/>
  <c r="I31" i="12"/>
  <c r="F87" i="8"/>
  <c r="H30" i="8"/>
  <c r="I30" i="8"/>
  <c r="H30" i="7"/>
  <c r="I30" i="7"/>
  <c r="F86" i="7"/>
  <c r="K35" i="23" l="1"/>
  <c r="J34" i="23"/>
  <c r="F100" i="23"/>
  <c r="J31" i="12"/>
  <c r="K32" i="12"/>
  <c r="F91" i="12"/>
  <c r="K31" i="8"/>
  <c r="J30" i="8"/>
  <c r="F88" i="8"/>
  <c r="J30" i="7"/>
  <c r="K31" i="7"/>
  <c r="M31" i="7" s="1"/>
  <c r="F87" i="7"/>
  <c r="F101" i="23" l="1"/>
  <c r="M35" i="23"/>
  <c r="G35" i="23"/>
  <c r="F92" i="12"/>
  <c r="G32" i="12"/>
  <c r="M32" i="12"/>
  <c r="F89" i="8"/>
  <c r="M31" i="8"/>
  <c r="G31" i="8"/>
  <c r="G31" i="7"/>
  <c r="F88" i="7"/>
  <c r="H35" i="23" l="1"/>
  <c r="I35" i="23"/>
  <c r="F102" i="23"/>
  <c r="F93" i="12"/>
  <c r="H32" i="12"/>
  <c r="I32" i="12"/>
  <c r="H31" i="8"/>
  <c r="I31" i="8"/>
  <c r="F90" i="8"/>
  <c r="H31" i="7"/>
  <c r="I31" i="7"/>
  <c r="F89" i="7"/>
  <c r="F103" i="23" l="1"/>
  <c r="J35" i="23"/>
  <c r="K36" i="23"/>
  <c r="J32" i="12"/>
  <c r="K33" i="12"/>
  <c r="F94" i="12"/>
  <c r="F91" i="8"/>
  <c r="J31" i="8"/>
  <c r="K32" i="8"/>
  <c r="J31" i="7"/>
  <c r="K32" i="7"/>
  <c r="M32" i="7" s="1"/>
  <c r="F90" i="7"/>
  <c r="M36" i="23" l="1"/>
  <c r="G36" i="23"/>
  <c r="F104" i="23"/>
  <c r="F95" i="12"/>
  <c r="M33" i="12"/>
  <c r="G33" i="12"/>
  <c r="M32" i="8"/>
  <c r="G32" i="8"/>
  <c r="F92" i="8"/>
  <c r="G32" i="7"/>
  <c r="F91" i="7"/>
  <c r="F105" i="23" l="1"/>
  <c r="H36" i="23"/>
  <c r="I36" i="23"/>
  <c r="H33" i="12"/>
  <c r="I33" i="12"/>
  <c r="F96" i="12"/>
  <c r="F93" i="8"/>
  <c r="H32" i="8"/>
  <c r="I32" i="8"/>
  <c r="H32" i="7"/>
  <c r="I32" i="7"/>
  <c r="F92" i="7"/>
  <c r="K37" i="23" l="1"/>
  <c r="J36" i="23"/>
  <c r="F106" i="23"/>
  <c r="F97" i="12"/>
  <c r="K34" i="12"/>
  <c r="J33" i="12"/>
  <c r="K33" i="8"/>
  <c r="J32" i="8"/>
  <c r="F94" i="8"/>
  <c r="J32" i="7"/>
  <c r="K33" i="7"/>
  <c r="M33" i="7" s="1"/>
  <c r="F93" i="7"/>
  <c r="F107" i="23" l="1"/>
  <c r="M37" i="23"/>
  <c r="R16" i="23"/>
  <c r="R8" i="23" s="1"/>
  <c r="G37" i="23"/>
  <c r="M34" i="12"/>
  <c r="G34" i="12"/>
  <c r="F98" i="12"/>
  <c r="F95" i="8"/>
  <c r="M33" i="8"/>
  <c r="G33" i="8"/>
  <c r="G33" i="7"/>
  <c r="F94" i="7"/>
  <c r="H37" i="23" l="1"/>
  <c r="I37" i="23"/>
  <c r="F108" i="23"/>
  <c r="H34" i="12"/>
  <c r="I34" i="12"/>
  <c r="F99" i="12"/>
  <c r="H33" i="8"/>
  <c r="I33" i="8"/>
  <c r="F96" i="8"/>
  <c r="H33" i="7"/>
  <c r="I33" i="7"/>
  <c r="F95" i="7"/>
  <c r="F109" i="23" l="1"/>
  <c r="P16" i="23"/>
  <c r="R5" i="23" s="1"/>
  <c r="J37" i="23"/>
  <c r="K38" i="23"/>
  <c r="F100" i="12"/>
  <c r="J34" i="12"/>
  <c r="K35" i="12"/>
  <c r="F97" i="8"/>
  <c r="P21" i="8" s="1"/>
  <c r="J33" i="8"/>
  <c r="K34" i="8"/>
  <c r="J33" i="7"/>
  <c r="K34" i="7"/>
  <c r="M34" i="7" s="1"/>
  <c r="F96" i="7"/>
  <c r="M38" i="23" l="1"/>
  <c r="G38" i="23"/>
  <c r="Q16" i="23"/>
  <c r="F110" i="23"/>
  <c r="M35" i="12"/>
  <c r="G35" i="12"/>
  <c r="F101" i="12"/>
  <c r="M34" i="8"/>
  <c r="G34" i="8"/>
  <c r="F98" i="8"/>
  <c r="G34" i="7"/>
  <c r="F97" i="7"/>
  <c r="F111" i="23" l="1"/>
  <c r="S16" i="23"/>
  <c r="R6" i="23"/>
  <c r="R7" i="23" s="1"/>
  <c r="H38" i="23"/>
  <c r="I38" i="23"/>
  <c r="F102" i="12"/>
  <c r="H35" i="12"/>
  <c r="I35" i="12"/>
  <c r="F99" i="8"/>
  <c r="H34" i="8"/>
  <c r="I34" i="8"/>
  <c r="H34" i="7"/>
  <c r="I34" i="7"/>
  <c r="F98" i="7"/>
  <c r="J38" i="23" l="1"/>
  <c r="K39" i="23"/>
  <c r="F112" i="23"/>
  <c r="J35" i="12"/>
  <c r="K36" i="12"/>
  <c r="F103" i="12"/>
  <c r="K35" i="8"/>
  <c r="J34" i="8"/>
  <c r="F100" i="8"/>
  <c r="J34" i="7"/>
  <c r="K35" i="7"/>
  <c r="M35" i="7" s="1"/>
  <c r="F99" i="7"/>
  <c r="F113" i="23" l="1"/>
  <c r="M39" i="23"/>
  <c r="G39" i="23"/>
  <c r="F104" i="12"/>
  <c r="M36" i="12"/>
  <c r="G36" i="12"/>
  <c r="F101" i="8"/>
  <c r="G35" i="8"/>
  <c r="M35" i="8"/>
  <c r="G35" i="7"/>
  <c r="F100" i="7"/>
  <c r="H39" i="23" l="1"/>
  <c r="I39" i="23"/>
  <c r="F114" i="23"/>
  <c r="H36" i="12"/>
  <c r="I36" i="12"/>
  <c r="F105" i="12"/>
  <c r="H35" i="8"/>
  <c r="I35" i="8"/>
  <c r="F102" i="8"/>
  <c r="H35" i="7"/>
  <c r="I35" i="7"/>
  <c r="F101" i="7"/>
  <c r="F115" i="23" l="1"/>
  <c r="J39" i="23"/>
  <c r="K40" i="23"/>
  <c r="F106" i="12"/>
  <c r="K37" i="12"/>
  <c r="R16" i="12" s="1"/>
  <c r="R8" i="12" s="1"/>
  <c r="E52" i="13" s="1"/>
  <c r="E57" i="13" s="1"/>
  <c r="E58" i="13" s="1"/>
  <c r="E61" i="13" s="1"/>
  <c r="E62" i="13" s="1"/>
  <c r="J36" i="12"/>
  <c r="F103" i="8"/>
  <c r="J35" i="8"/>
  <c r="K36" i="8"/>
  <c r="J35" i="7"/>
  <c r="K36" i="7"/>
  <c r="M36" i="7" s="1"/>
  <c r="F102" i="7"/>
  <c r="F116" i="23" l="1"/>
  <c r="M40" i="23"/>
  <c r="G40" i="23"/>
  <c r="E53" i="13"/>
  <c r="E54" i="13" s="1"/>
  <c r="G37" i="12"/>
  <c r="M37" i="12"/>
  <c r="F107" i="12"/>
  <c r="M36" i="8"/>
  <c r="G36" i="8"/>
  <c r="F104" i="8"/>
  <c r="G36" i="7"/>
  <c r="F103" i="7"/>
  <c r="H40" i="23" l="1"/>
  <c r="I40" i="23"/>
  <c r="F117" i="23"/>
  <c r="F108" i="12"/>
  <c r="H37" i="12"/>
  <c r="I37" i="12"/>
  <c r="F105" i="8"/>
  <c r="H36" i="8"/>
  <c r="I36" i="8"/>
  <c r="H36" i="7"/>
  <c r="I36" i="7"/>
  <c r="F104" i="7"/>
  <c r="F118" i="23" l="1"/>
  <c r="K41" i="23"/>
  <c r="J40" i="23"/>
  <c r="K38" i="12"/>
  <c r="J37" i="12"/>
  <c r="P16" i="12"/>
  <c r="R5" i="12" s="1"/>
  <c r="F109" i="12"/>
  <c r="K37" i="8"/>
  <c r="U16" i="8" s="1"/>
  <c r="J36" i="8"/>
  <c r="F106" i="8"/>
  <c r="J36" i="7"/>
  <c r="K37" i="7"/>
  <c r="M37" i="7" s="1"/>
  <c r="F105" i="7"/>
  <c r="M41" i="23" l="1"/>
  <c r="G41" i="23"/>
  <c r="F119" i="23"/>
  <c r="Q16" i="12"/>
  <c r="F110" i="12"/>
  <c r="M38" i="12"/>
  <c r="G38" i="12"/>
  <c r="F107" i="8"/>
  <c r="M37" i="8"/>
  <c r="G37" i="8"/>
  <c r="Q16" i="8" s="1"/>
  <c r="G37" i="7"/>
  <c r="F106" i="7"/>
  <c r="F120" i="23" l="1"/>
  <c r="H41" i="23"/>
  <c r="I41" i="23"/>
  <c r="S16" i="12"/>
  <c r="R6" i="12"/>
  <c r="F111" i="12"/>
  <c r="H38" i="12"/>
  <c r="I38" i="12"/>
  <c r="F108" i="8"/>
  <c r="H37" i="8"/>
  <c r="R16" i="8" s="1"/>
  <c r="I37" i="8"/>
  <c r="H37" i="7"/>
  <c r="I37" i="7"/>
  <c r="F107" i="7"/>
  <c r="K42" i="23" l="1"/>
  <c r="J41" i="23"/>
  <c r="F121" i="23"/>
  <c r="R7" i="12"/>
  <c r="J38" i="12"/>
  <c r="K39" i="12"/>
  <c r="F112" i="12"/>
  <c r="S16" i="8"/>
  <c r="J37" i="8"/>
  <c r="T16" i="8" s="1"/>
  <c r="K38" i="8"/>
  <c r="F109" i="8"/>
  <c r="P22" i="8" s="1"/>
  <c r="J37" i="7"/>
  <c r="K38" i="7"/>
  <c r="M38" i="7" s="1"/>
  <c r="F108" i="7"/>
  <c r="M42" i="23" l="1"/>
  <c r="G42" i="23"/>
  <c r="F122" i="23"/>
  <c r="F113" i="12"/>
  <c r="G39" i="12"/>
  <c r="M39" i="12"/>
  <c r="F110" i="8"/>
  <c r="M38" i="8"/>
  <c r="G38" i="8"/>
  <c r="G38" i="7"/>
  <c r="F109" i="7"/>
  <c r="F123" i="23" l="1"/>
  <c r="H42" i="23"/>
  <c r="I42" i="23"/>
  <c r="H39" i="12"/>
  <c r="I39" i="12"/>
  <c r="F114" i="12"/>
  <c r="H38" i="8"/>
  <c r="I38" i="8"/>
  <c r="F111" i="8"/>
  <c r="H38" i="7"/>
  <c r="I38" i="7"/>
  <c r="P17" i="7" s="1"/>
  <c r="F110" i="7"/>
  <c r="K43" i="23" l="1"/>
  <c r="J42" i="23"/>
  <c r="F124" i="23"/>
  <c r="F115" i="12"/>
  <c r="J39" i="12"/>
  <c r="K40" i="12"/>
  <c r="F112" i="8"/>
  <c r="K39" i="8"/>
  <c r="J38" i="8"/>
  <c r="J38" i="7"/>
  <c r="Q17" i="7" s="1"/>
  <c r="R17" i="7" s="1"/>
  <c r="K39" i="7"/>
  <c r="M39" i="7" s="1"/>
  <c r="F111" i="7"/>
  <c r="F125" i="23" l="1"/>
  <c r="M43" i="23"/>
  <c r="G43" i="23"/>
  <c r="G40" i="12"/>
  <c r="M40" i="12"/>
  <c r="F116" i="12"/>
  <c r="M39" i="8"/>
  <c r="G39" i="8"/>
  <c r="F113" i="8"/>
  <c r="G39" i="7"/>
  <c r="F112" i="7"/>
  <c r="F126" i="23" l="1"/>
  <c r="H43" i="23"/>
  <c r="I43" i="23"/>
  <c r="F117" i="12"/>
  <c r="H40" i="12"/>
  <c r="I40" i="12"/>
  <c r="F114" i="8"/>
  <c r="H39" i="8"/>
  <c r="I39" i="8"/>
  <c r="H39" i="7"/>
  <c r="I39" i="7"/>
  <c r="F113" i="7"/>
  <c r="J43" i="23" l="1"/>
  <c r="K44" i="23"/>
  <c r="F127" i="23"/>
  <c r="K41" i="12"/>
  <c r="J40" i="12"/>
  <c r="F118" i="12"/>
  <c r="F115" i="8"/>
  <c r="J39" i="8"/>
  <c r="K40" i="8"/>
  <c r="J39" i="7"/>
  <c r="K40" i="7"/>
  <c r="M40" i="7" s="1"/>
  <c r="F114" i="7"/>
  <c r="F128" i="23" l="1"/>
  <c r="M44" i="23"/>
  <c r="G44" i="23"/>
  <c r="G41" i="12"/>
  <c r="M41" i="12"/>
  <c r="F119" i="12"/>
  <c r="M40" i="8"/>
  <c r="G40" i="8"/>
  <c r="F116" i="8"/>
  <c r="G40" i="7"/>
  <c r="F115" i="7"/>
  <c r="H44" i="23" l="1"/>
  <c r="I44" i="23"/>
  <c r="F129" i="23"/>
  <c r="F120" i="12"/>
  <c r="H41" i="12"/>
  <c r="I41" i="12"/>
  <c r="H40" i="8"/>
  <c r="I40" i="8"/>
  <c r="F117" i="8"/>
  <c r="H40" i="7"/>
  <c r="I40" i="7"/>
  <c r="F116" i="7"/>
  <c r="F130" i="23" l="1"/>
  <c r="K45" i="23"/>
  <c r="J44" i="23"/>
  <c r="K42" i="12"/>
  <c r="J41" i="12"/>
  <c r="F121" i="12"/>
  <c r="F118" i="8"/>
  <c r="K41" i="8"/>
  <c r="J40" i="8"/>
  <c r="J40" i="7"/>
  <c r="K41" i="7"/>
  <c r="M41" i="7" s="1"/>
  <c r="F117" i="7"/>
  <c r="M45" i="23" l="1"/>
  <c r="G45" i="23"/>
  <c r="F131" i="23"/>
  <c r="F122" i="12"/>
  <c r="M42" i="12"/>
  <c r="G42" i="12"/>
  <c r="M41" i="8"/>
  <c r="G41" i="8"/>
  <c r="F119" i="8"/>
  <c r="G41" i="7"/>
  <c r="F118" i="7"/>
  <c r="F132" i="23" l="1"/>
  <c r="H45" i="23"/>
  <c r="I45" i="23"/>
  <c r="H42" i="12"/>
  <c r="I42" i="12"/>
  <c r="F123" i="12"/>
  <c r="H41" i="8"/>
  <c r="I41" i="8"/>
  <c r="F120" i="8"/>
  <c r="H41" i="7"/>
  <c r="I41" i="7"/>
  <c r="F119" i="7"/>
  <c r="J45" i="23" l="1"/>
  <c r="K46" i="23"/>
  <c r="F133" i="23"/>
  <c r="F124" i="12"/>
  <c r="J42" i="12"/>
  <c r="K43" i="12"/>
  <c r="F121" i="8"/>
  <c r="J41" i="8"/>
  <c r="K42" i="8"/>
  <c r="J41" i="7"/>
  <c r="K42" i="7"/>
  <c r="M42" i="7" s="1"/>
  <c r="F120" i="7"/>
  <c r="F134" i="23" l="1"/>
  <c r="M46" i="23"/>
  <c r="G46" i="23"/>
  <c r="G43" i="12"/>
  <c r="M43" i="12"/>
  <c r="F125" i="12"/>
  <c r="M42" i="8"/>
  <c r="G42" i="8"/>
  <c r="F122" i="8"/>
  <c r="G42" i="7"/>
  <c r="F121" i="7"/>
  <c r="H46" i="23" l="1"/>
  <c r="I46" i="23"/>
  <c r="F135" i="23"/>
  <c r="H43" i="12"/>
  <c r="I43" i="12"/>
  <c r="F126" i="12"/>
  <c r="F123" i="8"/>
  <c r="H42" i="8"/>
  <c r="I42" i="8"/>
  <c r="H42" i="7"/>
  <c r="I42" i="7"/>
  <c r="F122" i="7"/>
  <c r="F136" i="23" l="1"/>
  <c r="J46" i="23"/>
  <c r="K47" i="23"/>
  <c r="F127" i="12"/>
  <c r="K44" i="12"/>
  <c r="J43" i="12"/>
  <c r="J42" i="8"/>
  <c r="K43" i="8"/>
  <c r="F124" i="8"/>
  <c r="J42" i="7"/>
  <c r="K43" i="7"/>
  <c r="M43" i="7" s="1"/>
  <c r="F123" i="7"/>
  <c r="M47" i="23" l="1"/>
  <c r="G47" i="23"/>
  <c r="F137" i="23"/>
  <c r="M44" i="12"/>
  <c r="G44" i="12"/>
  <c r="F128" i="12"/>
  <c r="F125" i="8"/>
  <c r="M43" i="8"/>
  <c r="G43" i="8"/>
  <c r="G43" i="7"/>
  <c r="F124" i="7"/>
  <c r="F138" i="23" l="1"/>
  <c r="H47" i="23"/>
  <c r="I47" i="23"/>
  <c r="F129" i="12"/>
  <c r="H44" i="12"/>
  <c r="I44" i="12"/>
  <c r="H43" i="8"/>
  <c r="I43" i="8"/>
  <c r="F126" i="8"/>
  <c r="H43" i="7"/>
  <c r="I43" i="7"/>
  <c r="F125" i="7"/>
  <c r="F139" i="23" l="1"/>
  <c r="K48" i="23"/>
  <c r="J47" i="23"/>
  <c r="J44" i="12"/>
  <c r="K45" i="12"/>
  <c r="F130" i="12"/>
  <c r="F127" i="8"/>
  <c r="K44" i="8"/>
  <c r="J43" i="8"/>
  <c r="J43" i="7"/>
  <c r="K44" i="7"/>
  <c r="M44" i="7" s="1"/>
  <c r="F126" i="7"/>
  <c r="M48" i="23" l="1"/>
  <c r="G48" i="23"/>
  <c r="F140" i="23"/>
  <c r="F131" i="12"/>
  <c r="G45" i="12"/>
  <c r="M45" i="12"/>
  <c r="M44" i="8"/>
  <c r="G44" i="8"/>
  <c r="F128" i="8"/>
  <c r="G44" i="7"/>
  <c r="F127" i="7"/>
  <c r="F141" i="23" l="1"/>
  <c r="H48" i="23"/>
  <c r="I48" i="23"/>
  <c r="H45" i="12"/>
  <c r="I45" i="12"/>
  <c r="F132" i="12"/>
  <c r="F129" i="8"/>
  <c r="H44" i="8"/>
  <c r="I44" i="8"/>
  <c r="H44" i="7"/>
  <c r="I44" i="7"/>
  <c r="F128" i="7"/>
  <c r="F142" i="23" l="1"/>
  <c r="J48" i="23"/>
  <c r="K49" i="23"/>
  <c r="F133" i="12"/>
  <c r="J45" i="12"/>
  <c r="K46" i="12"/>
  <c r="K45" i="8"/>
  <c r="J44" i="8"/>
  <c r="F130" i="8"/>
  <c r="J44" i="7"/>
  <c r="K45" i="7"/>
  <c r="M45" i="7" s="1"/>
  <c r="F129" i="7"/>
  <c r="M49" i="23" l="1"/>
  <c r="R17" i="23"/>
  <c r="S8" i="23" s="1"/>
  <c r="G49" i="23"/>
  <c r="F143" i="23"/>
  <c r="M46" i="12"/>
  <c r="G46" i="12"/>
  <c r="F134" i="12"/>
  <c r="F131" i="8"/>
  <c r="G45" i="8"/>
  <c r="M45" i="8"/>
  <c r="G45" i="7"/>
  <c r="F130" i="7"/>
  <c r="F144" i="23" l="1"/>
  <c r="H49" i="23"/>
  <c r="I49" i="23"/>
  <c r="F135" i="12"/>
  <c r="H46" i="12"/>
  <c r="I46" i="12"/>
  <c r="H45" i="8"/>
  <c r="I45" i="8"/>
  <c r="F132" i="8"/>
  <c r="H45" i="7"/>
  <c r="I45" i="7"/>
  <c r="F131" i="7"/>
  <c r="P17" i="23" l="1"/>
  <c r="S5" i="23" s="1"/>
  <c r="K50" i="23"/>
  <c r="J49" i="23"/>
  <c r="F145" i="23"/>
  <c r="K47" i="12"/>
  <c r="J46" i="12"/>
  <c r="F136" i="12"/>
  <c r="F133" i="8"/>
  <c r="P24" i="8" s="1"/>
  <c r="J45" i="8"/>
  <c r="K46" i="8"/>
  <c r="J45" i="7"/>
  <c r="K46" i="7"/>
  <c r="M46" i="7" s="1"/>
  <c r="F132" i="7"/>
  <c r="M50" i="23" l="1"/>
  <c r="G50" i="23"/>
  <c r="Q17" i="23"/>
  <c r="F146" i="23"/>
  <c r="F137" i="12"/>
  <c r="M47" i="12"/>
  <c r="G47" i="12"/>
  <c r="M46" i="8"/>
  <c r="G46" i="8"/>
  <c r="F134" i="8"/>
  <c r="G46" i="7"/>
  <c r="F133" i="7"/>
  <c r="H50" i="23" l="1"/>
  <c r="I50" i="23"/>
  <c r="F147" i="23"/>
  <c r="S6" i="23"/>
  <c r="S7" i="23" s="1"/>
  <c r="S17" i="23"/>
  <c r="H47" i="12"/>
  <c r="I47" i="12"/>
  <c r="F138" i="12"/>
  <c r="F135" i="8"/>
  <c r="H46" i="8"/>
  <c r="I46" i="8"/>
  <c r="H46" i="7"/>
  <c r="I46" i="7"/>
  <c r="F134" i="7"/>
  <c r="F148" i="23" l="1"/>
  <c r="K51" i="23"/>
  <c r="J50" i="23"/>
  <c r="F139" i="12"/>
  <c r="J47" i="12"/>
  <c r="K48" i="12"/>
  <c r="K47" i="8"/>
  <c r="J46" i="8"/>
  <c r="F136" i="8"/>
  <c r="J46" i="7"/>
  <c r="K47" i="7"/>
  <c r="M47" i="7" s="1"/>
  <c r="F135" i="7"/>
  <c r="M51" i="23" l="1"/>
  <c r="G51" i="23"/>
  <c r="F149" i="23"/>
  <c r="M48" i="12"/>
  <c r="G48" i="12"/>
  <c r="F140" i="12"/>
  <c r="F137" i="8"/>
  <c r="M47" i="8"/>
  <c r="G47" i="8"/>
  <c r="G47" i="7"/>
  <c r="F136" i="7"/>
  <c r="F150" i="23" l="1"/>
  <c r="H51" i="23"/>
  <c r="I51" i="23"/>
  <c r="F141" i="12"/>
  <c r="H48" i="12"/>
  <c r="I48" i="12"/>
  <c r="H47" i="8"/>
  <c r="I47" i="8"/>
  <c r="F138" i="8"/>
  <c r="H47" i="7"/>
  <c r="I47" i="7"/>
  <c r="F137" i="7"/>
  <c r="J51" i="23" l="1"/>
  <c r="K52" i="23"/>
  <c r="F151" i="23"/>
  <c r="F142" i="12"/>
  <c r="K49" i="12"/>
  <c r="R17" i="12" s="1"/>
  <c r="S8" i="12" s="1"/>
  <c r="F52" i="13" s="1"/>
  <c r="F57" i="13" s="1"/>
  <c r="F58" i="13" s="1"/>
  <c r="F61" i="13" s="1"/>
  <c r="F62" i="13" s="1"/>
  <c r="J48" i="12"/>
  <c r="F139" i="8"/>
  <c r="J47" i="8"/>
  <c r="K48" i="8"/>
  <c r="J47" i="7"/>
  <c r="K48" i="7"/>
  <c r="M48" i="7" s="1"/>
  <c r="F138" i="7"/>
  <c r="F152" i="23" l="1"/>
  <c r="M52" i="23"/>
  <c r="G52" i="23"/>
  <c r="F53" i="13"/>
  <c r="F54" i="13" s="1"/>
  <c r="M49" i="12"/>
  <c r="G49" i="12"/>
  <c r="F143" i="12"/>
  <c r="M48" i="8"/>
  <c r="G48" i="8"/>
  <c r="F140" i="8"/>
  <c r="G48" i="7"/>
  <c r="F139" i="7"/>
  <c r="H52" i="23" l="1"/>
  <c r="I52" i="23"/>
  <c r="F153" i="23"/>
  <c r="F144" i="12"/>
  <c r="H49" i="12"/>
  <c r="I49" i="12"/>
  <c r="H48" i="8"/>
  <c r="I48" i="8"/>
  <c r="F141" i="8"/>
  <c r="H48" i="7"/>
  <c r="I48" i="7"/>
  <c r="F140" i="7"/>
  <c r="F154" i="23" l="1"/>
  <c r="K53" i="23"/>
  <c r="J52" i="23"/>
  <c r="P17" i="12"/>
  <c r="S5" i="12" s="1"/>
  <c r="K50" i="12"/>
  <c r="J49" i="12"/>
  <c r="F145" i="12"/>
  <c r="F142" i="8"/>
  <c r="K49" i="8"/>
  <c r="U17" i="8" s="1"/>
  <c r="J48" i="8"/>
  <c r="J48" i="7"/>
  <c r="K49" i="7"/>
  <c r="M49" i="7" s="1"/>
  <c r="F141" i="7"/>
  <c r="M53" i="23" l="1"/>
  <c r="G53" i="23"/>
  <c r="F155" i="23"/>
  <c r="F146" i="12"/>
  <c r="Q17" i="12"/>
  <c r="G50" i="12"/>
  <c r="M50" i="12"/>
  <c r="M49" i="8"/>
  <c r="G49" i="8"/>
  <c r="Q17" i="8" s="1"/>
  <c r="F143" i="8"/>
  <c r="G49" i="7"/>
  <c r="F142" i="7"/>
  <c r="H53" i="23" l="1"/>
  <c r="I53" i="23"/>
  <c r="F156" i="23"/>
  <c r="S17" i="12"/>
  <c r="S6" i="12"/>
  <c r="S7" i="12" s="1"/>
  <c r="H50" i="12"/>
  <c r="I50" i="12"/>
  <c r="F147" i="12"/>
  <c r="H49" i="8"/>
  <c r="R17" i="8" s="1"/>
  <c r="I49" i="8"/>
  <c r="F144" i="8"/>
  <c r="H49" i="7"/>
  <c r="I49" i="7"/>
  <c r="F143" i="7"/>
  <c r="F157" i="23" l="1"/>
  <c r="J53" i="23"/>
  <c r="K54" i="23"/>
  <c r="F148" i="12"/>
  <c r="J50" i="12"/>
  <c r="K51" i="12"/>
  <c r="F145" i="8"/>
  <c r="P25" i="8" s="1"/>
  <c r="S17" i="8"/>
  <c r="K50" i="8"/>
  <c r="J49" i="8"/>
  <c r="T17" i="8" s="1"/>
  <c r="J49" i="7"/>
  <c r="K50" i="7"/>
  <c r="M50" i="7" s="1"/>
  <c r="F144" i="7"/>
  <c r="M54" i="23" l="1"/>
  <c r="G54" i="23"/>
  <c r="F158" i="23"/>
  <c r="M51" i="12"/>
  <c r="G51" i="12"/>
  <c r="F149" i="12"/>
  <c r="F146" i="8"/>
  <c r="M50" i="8"/>
  <c r="G50" i="8"/>
  <c r="G50" i="7"/>
  <c r="F145" i="7"/>
  <c r="F159" i="23" l="1"/>
  <c r="H54" i="23"/>
  <c r="I54" i="23"/>
  <c r="F150" i="12"/>
  <c r="H51" i="12"/>
  <c r="I51" i="12"/>
  <c r="H50" i="8"/>
  <c r="I50" i="8"/>
  <c r="F147" i="8"/>
  <c r="H50" i="7"/>
  <c r="I50" i="7"/>
  <c r="P18" i="7" s="1"/>
  <c r="F146" i="7"/>
  <c r="K55" i="23" l="1"/>
  <c r="J54" i="23"/>
  <c r="F160" i="23"/>
  <c r="J51" i="12"/>
  <c r="K52" i="12"/>
  <c r="F151" i="12"/>
  <c r="F148" i="8"/>
  <c r="J50" i="8"/>
  <c r="K51" i="8"/>
  <c r="J50" i="7"/>
  <c r="Q18" i="7" s="1"/>
  <c r="R18" i="7" s="1"/>
  <c r="K51" i="7"/>
  <c r="M51" i="7" s="1"/>
  <c r="F147" i="7"/>
  <c r="F161" i="23" l="1"/>
  <c r="M55" i="23"/>
  <c r="G55" i="23"/>
  <c r="F152" i="12"/>
  <c r="M52" i="12"/>
  <c r="G52" i="12"/>
  <c r="M51" i="8"/>
  <c r="G51" i="8"/>
  <c r="F149" i="8"/>
  <c r="G51" i="7"/>
  <c r="F148" i="7"/>
  <c r="H55" i="23" l="1"/>
  <c r="I55" i="23"/>
  <c r="F162" i="23"/>
  <c r="H52" i="12"/>
  <c r="I52" i="12"/>
  <c r="F153" i="12"/>
  <c r="F150" i="8"/>
  <c r="H51" i="8"/>
  <c r="I51" i="8"/>
  <c r="H51" i="7"/>
  <c r="I51" i="7"/>
  <c r="F149" i="7"/>
  <c r="F163" i="23" l="1"/>
  <c r="J55" i="23"/>
  <c r="K56" i="23"/>
  <c r="F154" i="12"/>
  <c r="J52" i="12"/>
  <c r="K53" i="12"/>
  <c r="J51" i="8"/>
  <c r="K52" i="8"/>
  <c r="F151" i="8"/>
  <c r="J51" i="7"/>
  <c r="K52" i="7"/>
  <c r="M52" i="7" s="1"/>
  <c r="F150" i="7"/>
  <c r="M56" i="23" l="1"/>
  <c r="G56" i="23"/>
  <c r="F164" i="23"/>
  <c r="M53" i="12"/>
  <c r="G53" i="12"/>
  <c r="F155" i="12"/>
  <c r="G52" i="8"/>
  <c r="M52" i="8"/>
  <c r="F152" i="8"/>
  <c r="G52" i="7"/>
  <c r="F151" i="7"/>
  <c r="F165" i="23" l="1"/>
  <c r="H56" i="23"/>
  <c r="I56" i="23"/>
  <c r="H53" i="12"/>
  <c r="I53" i="12"/>
  <c r="F156" i="12"/>
  <c r="F153" i="8"/>
  <c r="H52" i="8"/>
  <c r="I52" i="8"/>
  <c r="H52" i="7"/>
  <c r="I52" i="7"/>
  <c r="F152" i="7"/>
  <c r="J56" i="23" l="1"/>
  <c r="K57" i="23"/>
  <c r="F166" i="23"/>
  <c r="F157" i="12"/>
  <c r="K54" i="12"/>
  <c r="J53" i="12"/>
  <c r="J52" i="8"/>
  <c r="K53" i="8"/>
  <c r="F154" i="8"/>
  <c r="J52" i="7"/>
  <c r="K53" i="7"/>
  <c r="M53" i="7" s="1"/>
  <c r="F153" i="7"/>
  <c r="F167" i="23" l="1"/>
  <c r="M57" i="23"/>
  <c r="G57" i="23"/>
  <c r="M54" i="12"/>
  <c r="G54" i="12"/>
  <c r="F158" i="12"/>
  <c r="F155" i="8"/>
  <c r="M53" i="8"/>
  <c r="G53" i="8"/>
  <c r="G53" i="7"/>
  <c r="F154" i="7"/>
  <c r="F168" i="23" l="1"/>
  <c r="H57" i="23"/>
  <c r="I57" i="23"/>
  <c r="F159" i="12"/>
  <c r="H54" i="12"/>
  <c r="I54" i="12"/>
  <c r="H53" i="8"/>
  <c r="I53" i="8"/>
  <c r="F156" i="8"/>
  <c r="H53" i="7"/>
  <c r="I53" i="7"/>
  <c r="F155" i="7"/>
  <c r="J57" i="23" l="1"/>
  <c r="K58" i="23"/>
  <c r="F169" i="23"/>
  <c r="K55" i="12"/>
  <c r="J54" i="12"/>
  <c r="F160" i="12"/>
  <c r="F157" i="8"/>
  <c r="P26" i="8" s="1"/>
  <c r="J53" i="8"/>
  <c r="K54" i="8"/>
  <c r="J53" i="7"/>
  <c r="K54" i="7"/>
  <c r="M54" i="7" s="1"/>
  <c r="F156" i="7"/>
  <c r="M58" i="23" l="1"/>
  <c r="G58" i="23"/>
  <c r="F170" i="23"/>
  <c r="G55" i="12"/>
  <c r="M55" i="12"/>
  <c r="F161" i="12"/>
  <c r="F158" i="8"/>
  <c r="M54" i="8"/>
  <c r="G54" i="8"/>
  <c r="G54" i="7"/>
  <c r="F157" i="7"/>
  <c r="H58" i="23" l="1"/>
  <c r="I58" i="23"/>
  <c r="F171" i="23"/>
  <c r="F162" i="12"/>
  <c r="H55" i="12"/>
  <c r="I55" i="12"/>
  <c r="H54" i="8"/>
  <c r="I54" i="8"/>
  <c r="F159" i="8"/>
  <c r="H54" i="7"/>
  <c r="I54" i="7"/>
  <c r="F158" i="7"/>
  <c r="F172" i="23" l="1"/>
  <c r="J58" i="23"/>
  <c r="K59" i="23"/>
  <c r="J55" i="12"/>
  <c r="K56" i="12"/>
  <c r="F163" i="12"/>
  <c r="F160" i="8"/>
  <c r="J54" i="8"/>
  <c r="K55" i="8"/>
  <c r="J54" i="7"/>
  <c r="K55" i="7"/>
  <c r="M55" i="7" s="1"/>
  <c r="F159" i="7"/>
  <c r="M59" i="23" l="1"/>
  <c r="G59" i="23"/>
  <c r="F173" i="23"/>
  <c r="F164" i="12"/>
  <c r="M56" i="12"/>
  <c r="G56" i="12"/>
  <c r="M55" i="8"/>
  <c r="G55" i="8"/>
  <c r="F161" i="8"/>
  <c r="G55" i="7"/>
  <c r="F160" i="7"/>
  <c r="H59" i="23" l="1"/>
  <c r="I59" i="23"/>
  <c r="F174" i="23"/>
  <c r="H56" i="12"/>
  <c r="I56" i="12"/>
  <c r="F165" i="12"/>
  <c r="F162" i="8"/>
  <c r="H55" i="8"/>
  <c r="I55" i="8"/>
  <c r="I55" i="7"/>
  <c r="H55" i="7"/>
  <c r="F161" i="7"/>
  <c r="F175" i="23" l="1"/>
  <c r="K60" i="23"/>
  <c r="J59" i="23"/>
  <c r="F166" i="12"/>
  <c r="J56" i="12"/>
  <c r="K57" i="12"/>
  <c r="J55" i="8"/>
  <c r="K56" i="8"/>
  <c r="F163" i="8"/>
  <c r="J55" i="7"/>
  <c r="K56" i="7"/>
  <c r="M56" i="7" s="1"/>
  <c r="F162" i="7"/>
  <c r="M60" i="23" l="1"/>
  <c r="G60" i="23"/>
  <c r="F176" i="23"/>
  <c r="F167" i="12"/>
  <c r="M57" i="12"/>
  <c r="G57" i="12"/>
  <c r="F164" i="8"/>
  <c r="M56" i="8"/>
  <c r="G56" i="8"/>
  <c r="G56" i="7"/>
  <c r="F163" i="7"/>
  <c r="F177" i="23" l="1"/>
  <c r="H60" i="23"/>
  <c r="I60" i="23"/>
  <c r="H57" i="12"/>
  <c r="I57" i="12"/>
  <c r="F168" i="12"/>
  <c r="H56" i="8"/>
  <c r="I56" i="8"/>
  <c r="F165" i="8"/>
  <c r="H56" i="7"/>
  <c r="I56" i="7"/>
  <c r="F164" i="7"/>
  <c r="J60" i="23" l="1"/>
  <c r="K61" i="23"/>
  <c r="F178" i="23"/>
  <c r="F169" i="12"/>
  <c r="K58" i="12"/>
  <c r="J57" i="12"/>
  <c r="F166" i="8"/>
  <c r="K57" i="8"/>
  <c r="J56" i="8"/>
  <c r="J56" i="7"/>
  <c r="K57" i="7"/>
  <c r="M57" i="7" s="1"/>
  <c r="F165" i="7"/>
  <c r="F179" i="23" l="1"/>
  <c r="R18" i="23"/>
  <c r="T8" i="23" s="1"/>
  <c r="M61" i="23"/>
  <c r="G61" i="23"/>
  <c r="G58" i="12"/>
  <c r="M58" i="12"/>
  <c r="F170" i="12"/>
  <c r="M57" i="8"/>
  <c r="G57" i="8"/>
  <c r="F167" i="8"/>
  <c r="G57" i="7"/>
  <c r="F166" i="7"/>
  <c r="H61" i="23" l="1"/>
  <c r="I61" i="23"/>
  <c r="F180" i="23"/>
  <c r="H58" i="12"/>
  <c r="I58" i="12"/>
  <c r="F171" i="12"/>
  <c r="F168" i="8"/>
  <c r="H57" i="8"/>
  <c r="I57" i="8"/>
  <c r="H57" i="7"/>
  <c r="I57" i="7"/>
  <c r="F167" i="7"/>
  <c r="F181" i="23" l="1"/>
  <c r="P18" i="23"/>
  <c r="T5" i="23" s="1"/>
  <c r="J61" i="23"/>
  <c r="K62" i="23"/>
  <c r="F172" i="12"/>
  <c r="J58" i="12"/>
  <c r="K59" i="12"/>
  <c r="J57" i="8"/>
  <c r="K58" i="8"/>
  <c r="F169" i="8"/>
  <c r="P27" i="8" s="1"/>
  <c r="J57" i="7"/>
  <c r="K58" i="7"/>
  <c r="M58" i="7" s="1"/>
  <c r="F168" i="7"/>
  <c r="F182" i="23" l="1"/>
  <c r="M62" i="23"/>
  <c r="G62" i="23"/>
  <c r="Q18" i="23"/>
  <c r="M59" i="12"/>
  <c r="G59" i="12"/>
  <c r="F173" i="12"/>
  <c r="F170" i="8"/>
  <c r="M58" i="8"/>
  <c r="G58" i="8"/>
  <c r="G58" i="7"/>
  <c r="F169" i="7"/>
  <c r="H62" i="23" l="1"/>
  <c r="I62" i="23"/>
  <c r="T6" i="23"/>
  <c r="T7" i="23" s="1"/>
  <c r="S18" i="23"/>
  <c r="F183" i="23"/>
  <c r="F174" i="12"/>
  <c r="H59" i="12"/>
  <c r="I59" i="12"/>
  <c r="H58" i="8"/>
  <c r="I58" i="8"/>
  <c r="F171" i="8"/>
  <c r="H58" i="7"/>
  <c r="I58" i="7"/>
  <c r="F170" i="7"/>
  <c r="F184" i="23" l="1"/>
  <c r="K63" i="23"/>
  <c r="J62" i="23"/>
  <c r="K60" i="12"/>
  <c r="J59" i="12"/>
  <c r="F175" i="12"/>
  <c r="F172" i="8"/>
  <c r="K59" i="8"/>
  <c r="J58" i="8"/>
  <c r="J58" i="7"/>
  <c r="K59" i="7"/>
  <c r="M59" i="7" s="1"/>
  <c r="F171" i="7"/>
  <c r="F185" i="23" l="1"/>
  <c r="M63" i="23"/>
  <c r="G63" i="23"/>
  <c r="M60" i="12"/>
  <c r="G60" i="12"/>
  <c r="F176" i="12"/>
  <c r="M59" i="8"/>
  <c r="G59" i="8"/>
  <c r="F173" i="8"/>
  <c r="G59" i="7"/>
  <c r="F172" i="7"/>
  <c r="F186" i="23" l="1"/>
  <c r="H63" i="23"/>
  <c r="I63" i="23"/>
  <c r="F177" i="12"/>
  <c r="H60" i="12"/>
  <c r="I60" i="12"/>
  <c r="F174" i="8"/>
  <c r="H59" i="8"/>
  <c r="I59" i="8"/>
  <c r="H59" i="7"/>
  <c r="I59" i="7"/>
  <c r="F173" i="7"/>
  <c r="J63" i="23" l="1"/>
  <c r="K64" i="23"/>
  <c r="F187" i="23"/>
  <c r="F178" i="12"/>
  <c r="J60" i="12"/>
  <c r="K61" i="12"/>
  <c r="R18" i="12" s="1"/>
  <c r="T8" i="12" s="1"/>
  <c r="G52" i="13" s="1"/>
  <c r="G57" i="13" s="1"/>
  <c r="G58" i="13" s="1"/>
  <c r="G61" i="13" s="1"/>
  <c r="G62" i="13" s="1"/>
  <c r="J59" i="8"/>
  <c r="K60" i="8"/>
  <c r="F175" i="8"/>
  <c r="J59" i="7"/>
  <c r="K60" i="7"/>
  <c r="M60" i="7" s="1"/>
  <c r="F174" i="7"/>
  <c r="F188" i="23" l="1"/>
  <c r="M64" i="23"/>
  <c r="G64" i="23"/>
  <c r="G53" i="13"/>
  <c r="G54" i="13" s="1"/>
  <c r="M61" i="12"/>
  <c r="G61" i="12"/>
  <c r="F179" i="12"/>
  <c r="M60" i="8"/>
  <c r="G60" i="8"/>
  <c r="F176" i="8"/>
  <c r="G60" i="7"/>
  <c r="F175" i="7"/>
  <c r="H64" i="23" l="1"/>
  <c r="I64" i="23"/>
  <c r="F189" i="23"/>
  <c r="H61" i="12"/>
  <c r="I61" i="12"/>
  <c r="F180" i="12"/>
  <c r="H60" i="8"/>
  <c r="I60" i="8"/>
  <c r="F177" i="8"/>
  <c r="H60" i="7"/>
  <c r="I60" i="7"/>
  <c r="F176" i="7"/>
  <c r="F190" i="23" l="1"/>
  <c r="K65" i="23"/>
  <c r="J64" i="23"/>
  <c r="F181" i="12"/>
  <c r="P18" i="12"/>
  <c r="T5" i="12" s="1"/>
  <c r="K62" i="12"/>
  <c r="J61" i="12"/>
  <c r="F178" i="8"/>
  <c r="K61" i="8"/>
  <c r="U18" i="8" s="1"/>
  <c r="J60" i="8"/>
  <c r="J60" i="7"/>
  <c r="K61" i="7"/>
  <c r="M61" i="7" s="1"/>
  <c r="F177" i="7"/>
  <c r="M65" i="23" l="1"/>
  <c r="G65" i="23"/>
  <c r="F191" i="23"/>
  <c r="F182" i="12"/>
  <c r="Q18" i="12"/>
  <c r="M62" i="12"/>
  <c r="G62" i="12"/>
  <c r="F179" i="8"/>
  <c r="M61" i="8"/>
  <c r="G61" i="8"/>
  <c r="Q18" i="8" s="1"/>
  <c r="G61" i="7"/>
  <c r="F178" i="7"/>
  <c r="F192" i="23" l="1"/>
  <c r="H65" i="23"/>
  <c r="I65" i="23"/>
  <c r="S18" i="12"/>
  <c r="T6" i="12"/>
  <c r="T7" i="12" s="1"/>
  <c r="H62" i="12"/>
  <c r="I62" i="12"/>
  <c r="F183" i="12"/>
  <c r="H61" i="8"/>
  <c r="R18" i="8" s="1"/>
  <c r="I61" i="8"/>
  <c r="F180" i="8"/>
  <c r="H61" i="7"/>
  <c r="I61" i="7"/>
  <c r="F179" i="7"/>
  <c r="F193" i="23" l="1"/>
  <c r="J65" i="23"/>
  <c r="K66" i="23"/>
  <c r="F184" i="12"/>
  <c r="J62" i="12"/>
  <c r="K63" i="12"/>
  <c r="F181" i="8"/>
  <c r="P28" i="8" s="1"/>
  <c r="S18" i="8"/>
  <c r="K62" i="8"/>
  <c r="J61" i="8"/>
  <c r="T18" i="8" s="1"/>
  <c r="J61" i="7"/>
  <c r="K62" i="7"/>
  <c r="M62" i="7" s="1"/>
  <c r="F180" i="7"/>
  <c r="M66" i="23" l="1"/>
  <c r="G66" i="23"/>
  <c r="F194" i="23"/>
  <c r="M63" i="12"/>
  <c r="G63" i="12"/>
  <c r="F185" i="12"/>
  <c r="F182" i="8"/>
  <c r="M62" i="8"/>
  <c r="G62" i="8"/>
  <c r="G62" i="7"/>
  <c r="F181" i="7"/>
  <c r="F195" i="23" l="1"/>
  <c r="H66" i="23"/>
  <c r="I66" i="23"/>
  <c r="F186" i="12"/>
  <c r="H63" i="12"/>
  <c r="I63" i="12"/>
  <c r="H62" i="8"/>
  <c r="I62" i="8"/>
  <c r="F183" i="8"/>
  <c r="H62" i="7"/>
  <c r="I62" i="7"/>
  <c r="P19" i="7" s="1"/>
  <c r="F182" i="7"/>
  <c r="J66" i="23" l="1"/>
  <c r="K67" i="23"/>
  <c r="F196" i="23"/>
  <c r="K64" i="12"/>
  <c r="J63" i="12"/>
  <c r="F187" i="12"/>
  <c r="F184" i="8"/>
  <c r="J62" i="8"/>
  <c r="K63" i="8"/>
  <c r="J62" i="7"/>
  <c r="Q19" i="7" s="1"/>
  <c r="R19" i="7" s="1"/>
  <c r="K63" i="7"/>
  <c r="M63" i="7" s="1"/>
  <c r="F183" i="7"/>
  <c r="F197" i="23" l="1"/>
  <c r="M67" i="23"/>
  <c r="G67" i="23"/>
  <c r="M64" i="12"/>
  <c r="G64" i="12"/>
  <c r="F188" i="12"/>
  <c r="G63" i="8"/>
  <c r="M63" i="8"/>
  <c r="F185" i="8"/>
  <c r="G63" i="7"/>
  <c r="F184" i="7"/>
  <c r="F198" i="23" l="1"/>
  <c r="H67" i="23"/>
  <c r="I67" i="23"/>
  <c r="F189" i="12"/>
  <c r="H64" i="12"/>
  <c r="I64" i="12"/>
  <c r="F186" i="8"/>
  <c r="H63" i="8"/>
  <c r="I63" i="8"/>
  <c r="H63" i="7"/>
  <c r="I63" i="7"/>
  <c r="F185" i="7"/>
  <c r="J67" i="23" l="1"/>
  <c r="K68" i="23"/>
  <c r="F199" i="23"/>
  <c r="K65" i="12"/>
  <c r="J64" i="12"/>
  <c r="F190" i="12"/>
  <c r="J63" i="8"/>
  <c r="K64" i="8"/>
  <c r="F187" i="8"/>
  <c r="J63" i="7"/>
  <c r="K64" i="7"/>
  <c r="M64" i="7" s="1"/>
  <c r="F186" i="7"/>
  <c r="F200" i="23" l="1"/>
  <c r="M68" i="23"/>
  <c r="G68" i="23"/>
  <c r="M65" i="12"/>
  <c r="G65" i="12"/>
  <c r="F191" i="12"/>
  <c r="F188" i="8"/>
  <c r="M64" i="8"/>
  <c r="G64" i="8"/>
  <c r="G64" i="7"/>
  <c r="F187" i="7"/>
  <c r="H68" i="23" l="1"/>
  <c r="I68" i="23"/>
  <c r="F201" i="23"/>
  <c r="F192" i="12"/>
  <c r="H65" i="12"/>
  <c r="I65" i="12"/>
  <c r="F189" i="8"/>
  <c r="H64" i="8"/>
  <c r="I64" i="8"/>
  <c r="H64" i="7"/>
  <c r="I64" i="7"/>
  <c r="F188" i="7"/>
  <c r="F202" i="23" l="1"/>
  <c r="K69" i="23"/>
  <c r="J68" i="23"/>
  <c r="J65" i="12"/>
  <c r="K66" i="12"/>
  <c r="F193" i="12"/>
  <c r="J64" i="8"/>
  <c r="K65" i="8"/>
  <c r="F190" i="8"/>
  <c r="J64" i="7"/>
  <c r="K65" i="7"/>
  <c r="M65" i="7" s="1"/>
  <c r="F189" i="7"/>
  <c r="M69" i="23" l="1"/>
  <c r="G69" i="23"/>
  <c r="F203" i="23"/>
  <c r="F194" i="12"/>
  <c r="G66" i="12"/>
  <c r="M66" i="12"/>
  <c r="F191" i="8"/>
  <c r="M65" i="8"/>
  <c r="G65" i="8"/>
  <c r="G65" i="7"/>
  <c r="F190" i="7"/>
  <c r="F204" i="23" l="1"/>
  <c r="H69" i="23"/>
  <c r="I69" i="23"/>
  <c r="H66" i="12"/>
  <c r="I66" i="12"/>
  <c r="F195" i="12"/>
  <c r="H65" i="8"/>
  <c r="I65" i="8"/>
  <c r="F192" i="8"/>
  <c r="H65" i="7"/>
  <c r="I65" i="7"/>
  <c r="F191" i="7"/>
  <c r="J69" i="23" l="1"/>
  <c r="K70" i="23"/>
  <c r="F205" i="23"/>
  <c r="F196" i="12"/>
  <c r="K67" i="12"/>
  <c r="J66" i="12"/>
  <c r="F193" i="8"/>
  <c r="P29" i="8" s="1"/>
  <c r="K66" i="8"/>
  <c r="J65" i="8"/>
  <c r="J65" i="7"/>
  <c r="K66" i="7"/>
  <c r="M66" i="7" s="1"/>
  <c r="F192" i="7"/>
  <c r="M70" i="23" l="1"/>
  <c r="G70" i="23"/>
  <c r="F206" i="23"/>
  <c r="M67" i="12"/>
  <c r="G67" i="12"/>
  <c r="F197" i="12"/>
  <c r="M66" i="8"/>
  <c r="G66" i="8"/>
  <c r="F194" i="8"/>
  <c r="G66" i="7"/>
  <c r="F193" i="7"/>
  <c r="F207" i="23" l="1"/>
  <c r="H70" i="23"/>
  <c r="I70" i="23"/>
  <c r="F198" i="12"/>
  <c r="H67" i="12"/>
  <c r="I67" i="12"/>
  <c r="F195" i="8"/>
  <c r="H66" i="8"/>
  <c r="I66" i="8"/>
  <c r="H66" i="7"/>
  <c r="I66" i="7"/>
  <c r="F194" i="7"/>
  <c r="K71" i="23" l="1"/>
  <c r="J70" i="23"/>
  <c r="F208" i="23"/>
  <c r="J67" i="12"/>
  <c r="K68" i="12"/>
  <c r="F199" i="12"/>
  <c r="J66" i="8"/>
  <c r="K67" i="8"/>
  <c r="F196" i="8"/>
  <c r="J66" i="7"/>
  <c r="K67" i="7"/>
  <c r="M67" i="7" s="1"/>
  <c r="F195" i="7"/>
  <c r="F209" i="23" l="1"/>
  <c r="M71" i="23"/>
  <c r="G71" i="23"/>
  <c r="F200" i="12"/>
  <c r="G68" i="12"/>
  <c r="M68" i="12"/>
  <c r="M67" i="8"/>
  <c r="G67" i="8"/>
  <c r="F197" i="8"/>
  <c r="G67" i="7"/>
  <c r="F196" i="7"/>
  <c r="H71" i="23" l="1"/>
  <c r="I71" i="23"/>
  <c r="F210" i="23"/>
  <c r="H68" i="12"/>
  <c r="I68" i="12"/>
  <c r="F201" i="12"/>
  <c r="F198" i="8"/>
  <c r="H67" i="8"/>
  <c r="I67" i="8"/>
  <c r="H67" i="7"/>
  <c r="I67" i="7"/>
  <c r="F197" i="7"/>
  <c r="F211" i="23" l="1"/>
  <c r="J71" i="23"/>
  <c r="K72" i="23"/>
  <c r="F202" i="12"/>
  <c r="K69" i="12"/>
  <c r="J68" i="12"/>
  <c r="J67" i="8"/>
  <c r="K68" i="8"/>
  <c r="F199" i="8"/>
  <c r="J67" i="7"/>
  <c r="K68" i="7"/>
  <c r="M68" i="7" s="1"/>
  <c r="F198" i="7"/>
  <c r="M72" i="23" l="1"/>
  <c r="G72" i="23"/>
  <c r="F212" i="23"/>
  <c r="M69" i="12"/>
  <c r="G69" i="12"/>
  <c r="F203" i="12"/>
  <c r="F200" i="8"/>
  <c r="M68" i="8"/>
  <c r="G68" i="8"/>
  <c r="G68" i="7"/>
  <c r="F199" i="7"/>
  <c r="F213" i="23" l="1"/>
  <c r="H72" i="23"/>
  <c r="I72" i="23"/>
  <c r="F204" i="12"/>
  <c r="H69" i="12"/>
  <c r="I69" i="12"/>
  <c r="H68" i="8"/>
  <c r="I68" i="8"/>
  <c r="F201" i="8"/>
  <c r="H68" i="7"/>
  <c r="I68" i="7"/>
  <c r="F200" i="7"/>
  <c r="J72" i="23" l="1"/>
  <c r="K73" i="23"/>
  <c r="F214" i="23"/>
  <c r="J69" i="12"/>
  <c r="K70" i="12"/>
  <c r="F205" i="12"/>
  <c r="F202" i="8"/>
  <c r="K69" i="8"/>
  <c r="J68" i="8"/>
  <c r="J68" i="7"/>
  <c r="K69" i="7"/>
  <c r="M69" i="7" s="1"/>
  <c r="F201" i="7"/>
  <c r="F215" i="23" l="1"/>
  <c r="G73" i="23"/>
  <c r="M73" i="23"/>
  <c r="R19" i="23"/>
  <c r="U8" i="23" s="1"/>
  <c r="M70" i="12"/>
  <c r="G70" i="12"/>
  <c r="F206" i="12"/>
  <c r="M69" i="8"/>
  <c r="G69" i="8"/>
  <c r="F203" i="8"/>
  <c r="G69" i="7"/>
  <c r="F202" i="7"/>
  <c r="F216" i="23" l="1"/>
  <c r="H73" i="23"/>
  <c r="I73" i="23"/>
  <c r="F207" i="12"/>
  <c r="H70" i="12"/>
  <c r="I70" i="12"/>
  <c r="H69" i="8"/>
  <c r="I69" i="8"/>
  <c r="F204" i="8"/>
  <c r="H69" i="7"/>
  <c r="I69" i="7"/>
  <c r="F203" i="7"/>
  <c r="P19" i="23" l="1"/>
  <c r="U5" i="23" s="1"/>
  <c r="K74" i="23"/>
  <c r="J73" i="23"/>
  <c r="F217" i="23"/>
  <c r="K71" i="12"/>
  <c r="J70" i="12"/>
  <c r="F208" i="12"/>
  <c r="F205" i="8"/>
  <c r="P30" i="8" s="1"/>
  <c r="J69" i="8"/>
  <c r="K70" i="8"/>
  <c r="J69" i="7"/>
  <c r="K70" i="7"/>
  <c r="M70" i="7" s="1"/>
  <c r="F204" i="7"/>
  <c r="F218" i="23" l="1"/>
  <c r="Q19" i="23"/>
  <c r="M74" i="23"/>
  <c r="G74" i="23"/>
  <c r="F209" i="12"/>
  <c r="G71" i="12"/>
  <c r="M71" i="12"/>
  <c r="M70" i="8"/>
  <c r="G70" i="8"/>
  <c r="F206" i="8"/>
  <c r="G70" i="7"/>
  <c r="F205" i="7"/>
  <c r="U6" i="23" l="1"/>
  <c r="U7" i="23" s="1"/>
  <c r="S19" i="23"/>
  <c r="H74" i="23"/>
  <c r="I74" i="23"/>
  <c r="F219" i="23"/>
  <c r="H71" i="12"/>
  <c r="I71" i="12"/>
  <c r="F210" i="12"/>
  <c r="F207" i="8"/>
  <c r="H70" i="8"/>
  <c r="I70" i="8"/>
  <c r="H70" i="7"/>
  <c r="I70" i="7"/>
  <c r="F206" i="7"/>
  <c r="F220" i="23" l="1"/>
  <c r="J74" i="23"/>
  <c r="K75" i="23"/>
  <c r="F211" i="12"/>
  <c r="J71" i="12"/>
  <c r="K72" i="12"/>
  <c r="J70" i="8"/>
  <c r="K71" i="8"/>
  <c r="F208" i="8"/>
  <c r="J70" i="7"/>
  <c r="K71" i="7"/>
  <c r="M71" i="7" s="1"/>
  <c r="F207" i="7"/>
  <c r="M75" i="23" l="1"/>
  <c r="G75" i="23"/>
  <c r="F221" i="23"/>
  <c r="M72" i="12"/>
  <c r="G72" i="12"/>
  <c r="F212" i="12"/>
  <c r="F209" i="8"/>
  <c r="M71" i="8"/>
  <c r="G71" i="8"/>
  <c r="G71" i="7"/>
  <c r="F208" i="7"/>
  <c r="F222" i="23" l="1"/>
  <c r="H75" i="23"/>
  <c r="I75" i="23"/>
  <c r="F213" i="12"/>
  <c r="H72" i="12"/>
  <c r="I72" i="12"/>
  <c r="F210" i="8"/>
  <c r="H71" i="8"/>
  <c r="I71" i="8"/>
  <c r="H71" i="7"/>
  <c r="I71" i="7"/>
  <c r="F209" i="7"/>
  <c r="J75" i="23" l="1"/>
  <c r="K76" i="23"/>
  <c r="F223" i="23"/>
  <c r="K73" i="12"/>
  <c r="R19" i="12" s="1"/>
  <c r="U8" i="12" s="1"/>
  <c r="H52" i="13" s="1"/>
  <c r="H57" i="13" s="1"/>
  <c r="H58" i="13" s="1"/>
  <c r="H61" i="13" s="1"/>
  <c r="H62" i="13" s="1"/>
  <c r="J72" i="12"/>
  <c r="F214" i="12"/>
  <c r="J71" i="8"/>
  <c r="K72" i="8"/>
  <c r="F211" i="8"/>
  <c r="J71" i="7"/>
  <c r="K72" i="7"/>
  <c r="M72" i="7" s="1"/>
  <c r="F210" i="7"/>
  <c r="M76" i="23" l="1"/>
  <c r="G76" i="23"/>
  <c r="F224" i="23"/>
  <c r="H53" i="13"/>
  <c r="H54" i="13" s="1"/>
  <c r="F215" i="12"/>
  <c r="M73" i="12"/>
  <c r="G73" i="12"/>
  <c r="F212" i="8"/>
  <c r="M72" i="8"/>
  <c r="G72" i="8"/>
  <c r="G72" i="7"/>
  <c r="F211" i="7"/>
  <c r="F225" i="23" l="1"/>
  <c r="H76" i="23"/>
  <c r="I76" i="23"/>
  <c r="H73" i="12"/>
  <c r="I73" i="12"/>
  <c r="F216" i="12"/>
  <c r="H72" i="8"/>
  <c r="I72" i="8"/>
  <c r="F213" i="8"/>
  <c r="H72" i="7"/>
  <c r="I72" i="7"/>
  <c r="F212" i="7"/>
  <c r="K77" i="23" l="1"/>
  <c r="J76" i="23"/>
  <c r="F226" i="23"/>
  <c r="F217" i="12"/>
  <c r="P19" i="12"/>
  <c r="U5" i="12" s="1"/>
  <c r="J73" i="12"/>
  <c r="K74" i="12"/>
  <c r="F214" i="8"/>
  <c r="J72" i="8"/>
  <c r="K73" i="8"/>
  <c r="U19" i="8" s="1"/>
  <c r="J72" i="7"/>
  <c r="K73" i="7"/>
  <c r="M73" i="7" s="1"/>
  <c r="F213" i="7"/>
  <c r="M77" i="23" l="1"/>
  <c r="G77" i="23"/>
  <c r="F227" i="23"/>
  <c r="F218" i="12"/>
  <c r="G74" i="12"/>
  <c r="M74" i="12"/>
  <c r="Q19" i="12"/>
  <c r="M73" i="8"/>
  <c r="G73" i="8"/>
  <c r="Q19" i="8" s="1"/>
  <c r="F215" i="8"/>
  <c r="G73" i="7"/>
  <c r="F214" i="7"/>
  <c r="F228" i="23" l="1"/>
  <c r="H77" i="23"/>
  <c r="I77" i="23"/>
  <c r="S19" i="12"/>
  <c r="U6" i="12"/>
  <c r="U7" i="12" s="1"/>
  <c r="H74" i="12"/>
  <c r="I74" i="12"/>
  <c r="F219" i="12"/>
  <c r="F216" i="8"/>
  <c r="H73" i="8"/>
  <c r="R19" i="8" s="1"/>
  <c r="I73" i="8"/>
  <c r="H73" i="7"/>
  <c r="I73" i="7"/>
  <c r="F215" i="7"/>
  <c r="K78" i="23" l="1"/>
  <c r="J77" i="23"/>
  <c r="F229" i="23"/>
  <c r="F220" i="12"/>
  <c r="K75" i="12"/>
  <c r="J74" i="12"/>
  <c r="S19" i="8"/>
  <c r="K74" i="8"/>
  <c r="J73" i="8"/>
  <c r="T19" i="8" s="1"/>
  <c r="F217" i="8"/>
  <c r="P31" i="8" s="1"/>
  <c r="J73" i="7"/>
  <c r="K74" i="7"/>
  <c r="M74" i="7" s="1"/>
  <c r="F216" i="7"/>
  <c r="M78" i="23" l="1"/>
  <c r="G78" i="23"/>
  <c r="F230" i="23"/>
  <c r="M75" i="12"/>
  <c r="G75" i="12"/>
  <c r="F221" i="12"/>
  <c r="F218" i="8"/>
  <c r="M74" i="8"/>
  <c r="G74" i="8"/>
  <c r="G74" i="7"/>
  <c r="F217" i="7"/>
  <c r="F231" i="23" l="1"/>
  <c r="H78" i="23"/>
  <c r="I78" i="23"/>
  <c r="F222" i="12"/>
  <c r="H75" i="12"/>
  <c r="I75" i="12"/>
  <c r="H74" i="8"/>
  <c r="I74" i="8"/>
  <c r="F219" i="8"/>
  <c r="H74" i="7"/>
  <c r="I74" i="7"/>
  <c r="P20" i="7" s="1"/>
  <c r="F218" i="7"/>
  <c r="F232" i="23" l="1"/>
  <c r="J78" i="23"/>
  <c r="K79" i="23"/>
  <c r="J75" i="12"/>
  <c r="K76" i="12"/>
  <c r="F223" i="12"/>
  <c r="F220" i="8"/>
  <c r="J74" i="8"/>
  <c r="K75" i="8"/>
  <c r="J74" i="7"/>
  <c r="Q20" i="7" s="1"/>
  <c r="R20" i="7" s="1"/>
  <c r="K75" i="7"/>
  <c r="M75" i="7" s="1"/>
  <c r="F219" i="7"/>
  <c r="M79" i="23" l="1"/>
  <c r="G79" i="23"/>
  <c r="F233" i="23"/>
  <c r="M76" i="12"/>
  <c r="G76" i="12"/>
  <c r="F224" i="12"/>
  <c r="M75" i="8"/>
  <c r="G75" i="8"/>
  <c r="F221" i="8"/>
  <c r="G75" i="7"/>
  <c r="F220" i="7"/>
  <c r="F234" i="23" l="1"/>
  <c r="H79" i="23"/>
  <c r="I79" i="23"/>
  <c r="H76" i="12"/>
  <c r="I76" i="12"/>
  <c r="F225" i="12"/>
  <c r="H75" i="8"/>
  <c r="I75" i="8"/>
  <c r="F222" i="8"/>
  <c r="H75" i="7"/>
  <c r="I75" i="7"/>
  <c r="F221" i="7"/>
  <c r="K80" i="23" l="1"/>
  <c r="J79" i="23"/>
  <c r="F235" i="23"/>
  <c r="F226" i="12"/>
  <c r="K77" i="12"/>
  <c r="J76" i="12"/>
  <c r="F223" i="8"/>
  <c r="K76" i="8"/>
  <c r="J75" i="8"/>
  <c r="J75" i="7"/>
  <c r="K76" i="7"/>
  <c r="M76" i="7" s="1"/>
  <c r="F222" i="7"/>
  <c r="F236" i="23" l="1"/>
  <c r="M80" i="23"/>
  <c r="G80" i="23"/>
  <c r="M77" i="12"/>
  <c r="G77" i="12"/>
  <c r="F227" i="12"/>
  <c r="F224" i="8"/>
  <c r="M76" i="8"/>
  <c r="G76" i="8"/>
  <c r="G76" i="7"/>
  <c r="F223" i="7"/>
  <c r="H80" i="23" l="1"/>
  <c r="I80" i="23"/>
  <c r="F237" i="23"/>
  <c r="H77" i="12"/>
  <c r="I77" i="12"/>
  <c r="F228" i="12"/>
  <c r="H76" i="8"/>
  <c r="I76" i="8"/>
  <c r="F225" i="8"/>
  <c r="H76" i="7"/>
  <c r="I76" i="7"/>
  <c r="F224" i="7"/>
  <c r="F238" i="23" l="1"/>
  <c r="J80" i="23"/>
  <c r="K81" i="23"/>
  <c r="F229" i="12"/>
  <c r="J77" i="12"/>
  <c r="K78" i="12"/>
  <c r="F226" i="8"/>
  <c r="J76" i="8"/>
  <c r="K77" i="8"/>
  <c r="J76" i="7"/>
  <c r="K77" i="7"/>
  <c r="M77" i="7" s="1"/>
  <c r="F225" i="7"/>
  <c r="M81" i="23" l="1"/>
  <c r="G81" i="23"/>
  <c r="F239" i="23"/>
  <c r="M78" i="12"/>
  <c r="G78" i="12"/>
  <c r="F230" i="12"/>
  <c r="M77" i="8"/>
  <c r="G77" i="8"/>
  <c r="F227" i="8"/>
  <c r="G77" i="7"/>
  <c r="F226" i="7"/>
  <c r="F240" i="23" l="1"/>
  <c r="H81" i="23"/>
  <c r="I81" i="23"/>
  <c r="F231" i="12"/>
  <c r="H78" i="12"/>
  <c r="I78" i="12"/>
  <c r="F228" i="8"/>
  <c r="H77" i="8"/>
  <c r="I77" i="8"/>
  <c r="H77" i="7"/>
  <c r="I77" i="7"/>
  <c r="F227" i="7"/>
  <c r="F241" i="23" l="1"/>
  <c r="J81" i="23"/>
  <c r="K82" i="23"/>
  <c r="K79" i="12"/>
  <c r="J78" i="12"/>
  <c r="F232" i="12"/>
  <c r="J77" i="8"/>
  <c r="K78" i="8"/>
  <c r="F229" i="8"/>
  <c r="P32" i="8" s="1"/>
  <c r="J77" i="7"/>
  <c r="K78" i="7"/>
  <c r="M78" i="7" s="1"/>
  <c r="F228" i="7"/>
  <c r="M82" i="23" l="1"/>
  <c r="G82" i="23"/>
  <c r="F242" i="23"/>
  <c r="F233" i="12"/>
  <c r="M79" i="12"/>
  <c r="G79" i="12"/>
  <c r="F230" i="8"/>
  <c r="M78" i="8"/>
  <c r="G78" i="8"/>
  <c r="G78" i="7"/>
  <c r="F229" i="7"/>
  <c r="F243" i="23" l="1"/>
  <c r="H82" i="23"/>
  <c r="I82" i="23"/>
  <c r="H79" i="12"/>
  <c r="I79" i="12"/>
  <c r="F234" i="12"/>
  <c r="F231" i="8"/>
  <c r="H78" i="8"/>
  <c r="I78" i="8"/>
  <c r="H78" i="7"/>
  <c r="I78" i="7"/>
  <c r="F230" i="7"/>
  <c r="J82" i="23" l="1"/>
  <c r="K83" i="23"/>
  <c r="F244" i="23"/>
  <c r="F235" i="12"/>
  <c r="J79" i="12"/>
  <c r="K80" i="12"/>
  <c r="F232" i="8"/>
  <c r="J78" i="8"/>
  <c r="K79" i="8"/>
  <c r="J78" i="7"/>
  <c r="K79" i="7"/>
  <c r="M79" i="7" s="1"/>
  <c r="F231" i="7"/>
  <c r="F245" i="23" l="1"/>
  <c r="M83" i="23"/>
  <c r="G83" i="23"/>
  <c r="M80" i="12"/>
  <c r="G80" i="12"/>
  <c r="F236" i="12"/>
  <c r="M79" i="8"/>
  <c r="G79" i="8"/>
  <c r="F233" i="8"/>
  <c r="G79" i="7"/>
  <c r="F232" i="7"/>
  <c r="H83" i="23" l="1"/>
  <c r="I83" i="23"/>
  <c r="F246" i="23"/>
  <c r="H80" i="12"/>
  <c r="I80" i="12"/>
  <c r="F237" i="12"/>
  <c r="H79" i="8"/>
  <c r="I79" i="8"/>
  <c r="F234" i="8"/>
  <c r="H79" i="7"/>
  <c r="I79" i="7"/>
  <c r="F233" i="7"/>
  <c r="F247" i="23" l="1"/>
  <c r="K84" i="23"/>
  <c r="J83" i="23"/>
  <c r="F238" i="12"/>
  <c r="K81" i="12"/>
  <c r="J80" i="12"/>
  <c r="F235" i="8"/>
  <c r="K80" i="8"/>
  <c r="J79" i="8"/>
  <c r="J79" i="7"/>
  <c r="K80" i="7"/>
  <c r="M80" i="7" s="1"/>
  <c r="F234" i="7"/>
  <c r="M84" i="23" l="1"/>
  <c r="G84" i="23"/>
  <c r="F248" i="23"/>
  <c r="M81" i="12"/>
  <c r="G81" i="12"/>
  <c r="F239" i="12"/>
  <c r="M80" i="8"/>
  <c r="G80" i="8"/>
  <c r="F236" i="8"/>
  <c r="G80" i="7"/>
  <c r="F235" i="7"/>
  <c r="F249" i="23" l="1"/>
  <c r="H84" i="23"/>
  <c r="I84" i="23"/>
  <c r="F240" i="12"/>
  <c r="H81" i="12"/>
  <c r="I81" i="12"/>
  <c r="F237" i="8"/>
  <c r="H80" i="8"/>
  <c r="I80" i="8"/>
  <c r="H80" i="7"/>
  <c r="I80" i="7"/>
  <c r="F236" i="7"/>
  <c r="K85" i="23" l="1"/>
  <c r="J84" i="23"/>
  <c r="F250" i="23"/>
  <c r="J81" i="12"/>
  <c r="K82" i="12"/>
  <c r="F241" i="12"/>
  <c r="K81" i="8"/>
  <c r="J80" i="8"/>
  <c r="F238" i="8"/>
  <c r="J80" i="7"/>
  <c r="K81" i="7"/>
  <c r="M81" i="7" s="1"/>
  <c r="F237" i="7"/>
  <c r="F251" i="23" l="1"/>
  <c r="R20" i="23"/>
  <c r="V8" i="23" s="1"/>
  <c r="M85" i="23"/>
  <c r="G85" i="23"/>
  <c r="F242" i="12"/>
  <c r="M82" i="12"/>
  <c r="G82" i="12"/>
  <c r="M81" i="8"/>
  <c r="G81" i="8"/>
  <c r="F239" i="8"/>
  <c r="G81" i="7"/>
  <c r="F238" i="7"/>
  <c r="F252" i="23" l="1"/>
  <c r="H85" i="23"/>
  <c r="I85" i="23"/>
  <c r="F243" i="12"/>
  <c r="H82" i="12"/>
  <c r="I82" i="12"/>
  <c r="F240" i="8"/>
  <c r="H81" i="8"/>
  <c r="I81" i="8"/>
  <c r="H81" i="7"/>
  <c r="I81" i="7"/>
  <c r="F239" i="7"/>
  <c r="P20" i="23" l="1"/>
  <c r="V5" i="23" s="1"/>
  <c r="J85" i="23"/>
  <c r="K86" i="23"/>
  <c r="F253" i="23"/>
  <c r="K83" i="12"/>
  <c r="J82" i="12"/>
  <c r="F244" i="12"/>
  <c r="K82" i="8"/>
  <c r="J81" i="8"/>
  <c r="F241" i="8"/>
  <c r="P33" i="8" s="1"/>
  <c r="J81" i="7"/>
  <c r="K82" i="7"/>
  <c r="M82" i="7" s="1"/>
  <c r="F240" i="7"/>
  <c r="F254" i="23" l="1"/>
  <c r="M86" i="23"/>
  <c r="G86" i="23"/>
  <c r="Q20" i="23"/>
  <c r="F245" i="12"/>
  <c r="M83" i="12"/>
  <c r="G83" i="12"/>
  <c r="M82" i="8"/>
  <c r="G82" i="8"/>
  <c r="F242" i="8"/>
  <c r="G82" i="7"/>
  <c r="F241" i="7"/>
  <c r="F255" i="23" l="1"/>
  <c r="S20" i="23"/>
  <c r="V6" i="23"/>
  <c r="V7" i="23" s="1"/>
  <c r="H86" i="23"/>
  <c r="I86" i="23"/>
  <c r="H83" i="12"/>
  <c r="I83" i="12"/>
  <c r="F246" i="12"/>
  <c r="H82" i="8"/>
  <c r="I82" i="8"/>
  <c r="F243" i="8"/>
  <c r="H82" i="7"/>
  <c r="I82" i="7"/>
  <c r="F242" i="7"/>
  <c r="K87" i="23" l="1"/>
  <c r="J86" i="23"/>
  <c r="F256" i="23"/>
  <c r="F247" i="12"/>
  <c r="J83" i="12"/>
  <c r="K84" i="12"/>
  <c r="F244" i="8"/>
  <c r="K83" i="8"/>
  <c r="J82" i="8"/>
  <c r="J82" i="7"/>
  <c r="K83" i="7"/>
  <c r="M83" i="7" s="1"/>
  <c r="F243" i="7"/>
  <c r="F257" i="23" l="1"/>
  <c r="M87" i="23"/>
  <c r="G87" i="23"/>
  <c r="G84" i="12"/>
  <c r="M84" i="12"/>
  <c r="F248" i="12"/>
  <c r="M83" i="8"/>
  <c r="G83" i="8"/>
  <c r="F245" i="8"/>
  <c r="G83" i="7"/>
  <c r="F244" i="7"/>
  <c r="H87" i="23" l="1"/>
  <c r="I87" i="23"/>
  <c r="F258" i="23"/>
  <c r="F249" i="12"/>
  <c r="H84" i="12"/>
  <c r="I84" i="12"/>
  <c r="F246" i="8"/>
  <c r="H83" i="8"/>
  <c r="I83" i="8"/>
  <c r="H83" i="7"/>
  <c r="I83" i="7"/>
  <c r="F245" i="7"/>
  <c r="F259" i="23" l="1"/>
  <c r="J87" i="23"/>
  <c r="K88" i="23"/>
  <c r="F250" i="12"/>
  <c r="K85" i="12"/>
  <c r="R20" i="12" s="1"/>
  <c r="V8" i="12" s="1"/>
  <c r="I52" i="13" s="1"/>
  <c r="I57" i="13" s="1"/>
  <c r="I58" i="13" s="1"/>
  <c r="I61" i="13" s="1"/>
  <c r="I62" i="13" s="1"/>
  <c r="J84" i="12"/>
  <c r="J83" i="8"/>
  <c r="K84" i="8"/>
  <c r="F247" i="8"/>
  <c r="J83" i="7"/>
  <c r="K84" i="7"/>
  <c r="M84" i="7" s="1"/>
  <c r="F246" i="7"/>
  <c r="M88" i="23" l="1"/>
  <c r="G88" i="23"/>
  <c r="F260" i="23"/>
  <c r="I53" i="13"/>
  <c r="I54" i="13" s="1"/>
  <c r="M85" i="12"/>
  <c r="G85" i="12"/>
  <c r="F251" i="12"/>
  <c r="M84" i="8"/>
  <c r="G84" i="8"/>
  <c r="F248" i="8"/>
  <c r="G84" i="7"/>
  <c r="F247" i="7"/>
  <c r="F261" i="23" l="1"/>
  <c r="H88" i="23"/>
  <c r="I88" i="23"/>
  <c r="F252" i="12"/>
  <c r="H85" i="12"/>
  <c r="I85" i="12"/>
  <c r="F249" i="8"/>
  <c r="H84" i="8"/>
  <c r="I84" i="8"/>
  <c r="H84" i="7"/>
  <c r="I84" i="7"/>
  <c r="F248" i="7"/>
  <c r="K89" i="23" l="1"/>
  <c r="J88" i="23"/>
  <c r="F262" i="23"/>
  <c r="P20" i="12"/>
  <c r="V5" i="12" s="1"/>
  <c r="J85" i="12"/>
  <c r="K86" i="12"/>
  <c r="F253" i="12"/>
  <c r="J84" i="8"/>
  <c r="K85" i="8"/>
  <c r="U20" i="8" s="1"/>
  <c r="F250" i="8"/>
  <c r="J84" i="7"/>
  <c r="K85" i="7"/>
  <c r="M85" i="7" s="1"/>
  <c r="F249" i="7"/>
  <c r="F263" i="23" l="1"/>
  <c r="M89" i="23"/>
  <c r="G89" i="23"/>
  <c r="Q20" i="12"/>
  <c r="F254" i="12"/>
  <c r="M86" i="12"/>
  <c r="G86" i="12"/>
  <c r="M85" i="8"/>
  <c r="G85" i="8"/>
  <c r="Q20" i="8" s="1"/>
  <c r="F251" i="8"/>
  <c r="G85" i="7"/>
  <c r="F250" i="7"/>
  <c r="H89" i="23" l="1"/>
  <c r="I89" i="23"/>
  <c r="F264" i="23"/>
  <c r="S20" i="12"/>
  <c r="V6" i="12"/>
  <c r="V7" i="12" s="1"/>
  <c r="H86" i="12"/>
  <c r="I86" i="12"/>
  <c r="F255" i="12"/>
  <c r="F252" i="8"/>
  <c r="H85" i="8"/>
  <c r="R20" i="8" s="1"/>
  <c r="I85" i="8"/>
  <c r="H85" i="7"/>
  <c r="I85" i="7"/>
  <c r="F251" i="7"/>
  <c r="F265" i="23" l="1"/>
  <c r="J89" i="23"/>
  <c r="K90" i="23"/>
  <c r="F256" i="12"/>
  <c r="J86" i="12"/>
  <c r="K87" i="12"/>
  <c r="S20" i="8"/>
  <c r="J85" i="8"/>
  <c r="T20" i="8" s="1"/>
  <c r="K86" i="8"/>
  <c r="F253" i="8"/>
  <c r="P34" i="8" s="1"/>
  <c r="J85" i="7"/>
  <c r="K86" i="7"/>
  <c r="M86" i="7" s="1"/>
  <c r="F252" i="7"/>
  <c r="M90" i="23" l="1"/>
  <c r="G90" i="23"/>
  <c r="F266" i="23"/>
  <c r="M87" i="12"/>
  <c r="G87" i="12"/>
  <c r="F257" i="12"/>
  <c r="F254" i="8"/>
  <c r="M86" i="8"/>
  <c r="G86" i="8"/>
  <c r="G86" i="7"/>
  <c r="F253" i="7"/>
  <c r="F267" i="23" l="1"/>
  <c r="H90" i="23"/>
  <c r="I90" i="23"/>
  <c r="H87" i="12"/>
  <c r="I87" i="12"/>
  <c r="F258" i="12"/>
  <c r="H86" i="8"/>
  <c r="I86" i="8"/>
  <c r="F255" i="8"/>
  <c r="H86" i="7"/>
  <c r="I86" i="7"/>
  <c r="P21" i="7" s="1"/>
  <c r="F254" i="7"/>
  <c r="F268" i="23" l="1"/>
  <c r="J90" i="23"/>
  <c r="K91" i="23"/>
  <c r="F259" i="12"/>
  <c r="K88" i="12"/>
  <c r="J87" i="12"/>
  <c r="F256" i="8"/>
  <c r="K87" i="8"/>
  <c r="J86" i="8"/>
  <c r="J86" i="7"/>
  <c r="Q21" i="7" s="1"/>
  <c r="R21" i="7" s="1"/>
  <c r="K87" i="7"/>
  <c r="M87" i="7" s="1"/>
  <c r="F255" i="7"/>
  <c r="M91" i="23" l="1"/>
  <c r="G91" i="23"/>
  <c r="F269" i="23"/>
  <c r="M88" i="12"/>
  <c r="G88" i="12"/>
  <c r="F260" i="12"/>
  <c r="M87" i="8"/>
  <c r="G87" i="8"/>
  <c r="F257" i="8"/>
  <c r="G87" i="7"/>
  <c r="F256" i="7"/>
  <c r="H91" i="23" l="1"/>
  <c r="I91" i="23"/>
  <c r="F270" i="23"/>
  <c r="F261" i="12"/>
  <c r="H88" i="12"/>
  <c r="I88" i="12"/>
  <c r="H87" i="8"/>
  <c r="I87" i="8"/>
  <c r="F258" i="8"/>
  <c r="H87" i="7"/>
  <c r="I87" i="7"/>
  <c r="F257" i="7"/>
  <c r="F271" i="23" l="1"/>
  <c r="J91" i="23"/>
  <c r="K92" i="23"/>
  <c r="F262" i="12"/>
  <c r="J88" i="12"/>
  <c r="K89" i="12"/>
  <c r="F259" i="8"/>
  <c r="J87" i="8"/>
  <c r="K88" i="8"/>
  <c r="J87" i="7"/>
  <c r="K88" i="7"/>
  <c r="M88" i="7" s="1"/>
  <c r="F258" i="7"/>
  <c r="M92" i="23" l="1"/>
  <c r="G92" i="23"/>
  <c r="F272" i="23"/>
  <c r="G89" i="12"/>
  <c r="M89" i="12"/>
  <c r="F263" i="12"/>
  <c r="M88" i="8"/>
  <c r="G88" i="8"/>
  <c r="F260" i="8"/>
  <c r="G88" i="7"/>
  <c r="F259" i="7"/>
  <c r="F273" i="23" l="1"/>
  <c r="H92" i="23"/>
  <c r="I92" i="23"/>
  <c r="F264" i="12"/>
  <c r="H89" i="12"/>
  <c r="I89" i="12"/>
  <c r="F261" i="8"/>
  <c r="H88" i="8"/>
  <c r="I88" i="8"/>
  <c r="H88" i="7"/>
  <c r="I88" i="7"/>
  <c r="F260" i="7"/>
  <c r="J92" i="23" l="1"/>
  <c r="K93" i="23"/>
  <c r="F274" i="23"/>
  <c r="J89" i="12"/>
  <c r="K90" i="12"/>
  <c r="F265" i="12"/>
  <c r="J88" i="8"/>
  <c r="K89" i="8"/>
  <c r="F262" i="8"/>
  <c r="J88" i="7"/>
  <c r="K89" i="7"/>
  <c r="M89" i="7" s="1"/>
  <c r="F261" i="7"/>
  <c r="F275" i="23" l="1"/>
  <c r="M93" i="23"/>
  <c r="G93" i="23"/>
  <c r="M90" i="12"/>
  <c r="G90" i="12"/>
  <c r="F266" i="12"/>
  <c r="F263" i="8"/>
  <c r="M89" i="8"/>
  <c r="G89" i="8"/>
  <c r="G89" i="7"/>
  <c r="F262" i="7"/>
  <c r="H93" i="23" l="1"/>
  <c r="I93" i="23"/>
  <c r="F276" i="23"/>
  <c r="F267" i="12"/>
  <c r="H90" i="12"/>
  <c r="I90" i="12"/>
  <c r="H89" i="8"/>
  <c r="I89" i="8"/>
  <c r="F264" i="8"/>
  <c r="H89" i="7"/>
  <c r="I89" i="7"/>
  <c r="F263" i="7"/>
  <c r="F277" i="23" l="1"/>
  <c r="K94" i="23"/>
  <c r="J93" i="23"/>
  <c r="K91" i="12"/>
  <c r="J90" i="12"/>
  <c r="F268" i="12"/>
  <c r="F265" i="8"/>
  <c r="P35" i="8" s="1"/>
  <c r="K90" i="8"/>
  <c r="J89" i="8"/>
  <c r="J89" i="7"/>
  <c r="K90" i="7"/>
  <c r="M90" i="7" s="1"/>
  <c r="F264" i="7"/>
  <c r="M94" i="23" l="1"/>
  <c r="G94" i="23"/>
  <c r="F278" i="23"/>
  <c r="F269" i="12"/>
  <c r="M91" i="12"/>
  <c r="G91" i="12"/>
  <c r="G90" i="8"/>
  <c r="M90" i="8"/>
  <c r="F266" i="8"/>
  <c r="G90" i="7"/>
  <c r="F265" i="7"/>
  <c r="H94" i="23" l="1"/>
  <c r="I94" i="23"/>
  <c r="F279" i="23"/>
  <c r="F270" i="12"/>
  <c r="H91" i="12"/>
  <c r="I91" i="12"/>
  <c r="F267" i="8"/>
  <c r="H90" i="8"/>
  <c r="I90" i="8"/>
  <c r="H90" i="7"/>
  <c r="I90" i="7"/>
  <c r="F266" i="7"/>
  <c r="F280" i="23" l="1"/>
  <c r="J94" i="23"/>
  <c r="K95" i="23"/>
  <c r="J91" i="12"/>
  <c r="K92" i="12"/>
  <c r="F271" i="12"/>
  <c r="F268" i="8"/>
  <c r="J90" i="8"/>
  <c r="K91" i="8"/>
  <c r="J90" i="7"/>
  <c r="K91" i="7"/>
  <c r="M91" i="7" s="1"/>
  <c r="F267" i="7"/>
  <c r="M95" i="23" l="1"/>
  <c r="G95" i="23"/>
  <c r="F281" i="23"/>
  <c r="F272" i="12"/>
  <c r="M92" i="12"/>
  <c r="G92" i="12"/>
  <c r="F269" i="8"/>
  <c r="M91" i="8"/>
  <c r="G91" i="8"/>
  <c r="G91" i="7"/>
  <c r="F268" i="7"/>
  <c r="F282" i="23" l="1"/>
  <c r="H95" i="23"/>
  <c r="I95" i="23"/>
  <c r="F273" i="12"/>
  <c r="H92" i="12"/>
  <c r="I92" i="12"/>
  <c r="H91" i="8"/>
  <c r="I91" i="8"/>
  <c r="F270" i="8"/>
  <c r="H91" i="7"/>
  <c r="I91" i="7"/>
  <c r="F269" i="7"/>
  <c r="F283" i="23" l="1"/>
  <c r="K96" i="23"/>
  <c r="J95" i="23"/>
  <c r="J92" i="12"/>
  <c r="K93" i="12"/>
  <c r="F274" i="12"/>
  <c r="F271" i="8"/>
  <c r="J91" i="8"/>
  <c r="K92" i="8"/>
  <c r="J91" i="7"/>
  <c r="K92" i="7"/>
  <c r="M92" i="7" s="1"/>
  <c r="F270" i="7"/>
  <c r="M96" i="23" l="1"/>
  <c r="G96" i="23"/>
  <c r="F284" i="23"/>
  <c r="G93" i="12"/>
  <c r="M93" i="12"/>
  <c r="F275" i="12"/>
  <c r="M92" i="8"/>
  <c r="G92" i="8"/>
  <c r="F272" i="8"/>
  <c r="G92" i="7"/>
  <c r="F271" i="7"/>
  <c r="F285" i="23" l="1"/>
  <c r="H96" i="23"/>
  <c r="I96" i="23"/>
  <c r="F276" i="12"/>
  <c r="H93" i="12"/>
  <c r="I93" i="12"/>
  <c r="F273" i="8"/>
  <c r="H92" i="8"/>
  <c r="I92" i="8"/>
  <c r="H92" i="7"/>
  <c r="I92" i="7"/>
  <c r="F272" i="7"/>
  <c r="J96" i="23" l="1"/>
  <c r="K97" i="23"/>
  <c r="F286" i="23"/>
  <c r="K94" i="12"/>
  <c r="J93" i="12"/>
  <c r="F277" i="12"/>
  <c r="K93" i="8"/>
  <c r="J92" i="8"/>
  <c r="F274" i="8"/>
  <c r="J92" i="7"/>
  <c r="K93" i="7"/>
  <c r="M93" i="7" s="1"/>
  <c r="F273" i="7"/>
  <c r="F287" i="23" l="1"/>
  <c r="M97" i="23"/>
  <c r="R21" i="23"/>
  <c r="W8" i="23" s="1"/>
  <c r="G97" i="23"/>
  <c r="F278" i="12"/>
  <c r="M94" i="12"/>
  <c r="G94" i="12"/>
  <c r="M93" i="8"/>
  <c r="G93" i="8"/>
  <c r="F275" i="8"/>
  <c r="G93" i="7"/>
  <c r="F274" i="7"/>
  <c r="H97" i="23" l="1"/>
  <c r="I97" i="23"/>
  <c r="F288" i="23"/>
  <c r="H94" i="12"/>
  <c r="I94" i="12"/>
  <c r="F279" i="12"/>
  <c r="F276" i="8"/>
  <c r="H93" i="8"/>
  <c r="I93" i="8"/>
  <c r="H93" i="7"/>
  <c r="I93" i="7"/>
  <c r="F275" i="7"/>
  <c r="P21" i="23" l="1"/>
  <c r="W5" i="23" s="1"/>
  <c r="F289" i="23"/>
  <c r="J97" i="23"/>
  <c r="K98" i="23"/>
  <c r="F280" i="12"/>
  <c r="J94" i="12"/>
  <c r="K95" i="12"/>
  <c r="K94" i="8"/>
  <c r="J93" i="8"/>
  <c r="F277" i="8"/>
  <c r="P36" i="8" s="1"/>
  <c r="J93" i="7"/>
  <c r="K94" i="7"/>
  <c r="M94" i="7" s="1"/>
  <c r="F276" i="7"/>
  <c r="M98" i="23" l="1"/>
  <c r="G98" i="23"/>
  <c r="Q21" i="23"/>
  <c r="F290" i="23"/>
  <c r="M95" i="12"/>
  <c r="G95" i="12"/>
  <c r="F281" i="12"/>
  <c r="F278" i="8"/>
  <c r="M94" i="8"/>
  <c r="G94" i="8"/>
  <c r="G94" i="7"/>
  <c r="F277" i="7"/>
  <c r="F291" i="23" l="1"/>
  <c r="S21" i="23"/>
  <c r="W6" i="23"/>
  <c r="W7" i="23" s="1"/>
  <c r="H98" i="23"/>
  <c r="I98" i="23"/>
  <c r="F282" i="12"/>
  <c r="H95" i="12"/>
  <c r="I95" i="12"/>
  <c r="H94" i="8"/>
  <c r="I94" i="8"/>
  <c r="F279" i="8"/>
  <c r="H94" i="7"/>
  <c r="I94" i="7"/>
  <c r="F278" i="7"/>
  <c r="K99" i="23" l="1"/>
  <c r="J98" i="23"/>
  <c r="F292" i="23"/>
  <c r="K96" i="12"/>
  <c r="J95" i="12"/>
  <c r="F283" i="12"/>
  <c r="F280" i="8"/>
  <c r="J94" i="8"/>
  <c r="K95" i="8"/>
  <c r="J94" i="7"/>
  <c r="K95" i="7"/>
  <c r="M95" i="7" s="1"/>
  <c r="F279" i="7"/>
  <c r="M99" i="23" l="1"/>
  <c r="G99" i="23"/>
  <c r="F293" i="23"/>
  <c r="M96" i="12"/>
  <c r="G96" i="12"/>
  <c r="F284" i="12"/>
  <c r="M95" i="8"/>
  <c r="G95" i="8"/>
  <c r="F281" i="8"/>
  <c r="G95" i="7"/>
  <c r="F280" i="7"/>
  <c r="F294" i="23" l="1"/>
  <c r="H99" i="23"/>
  <c r="I99" i="23"/>
  <c r="F285" i="12"/>
  <c r="H96" i="12"/>
  <c r="I96" i="12"/>
  <c r="F282" i="8"/>
  <c r="H95" i="8"/>
  <c r="I95" i="8"/>
  <c r="H95" i="7"/>
  <c r="I95" i="7"/>
  <c r="F281" i="7"/>
  <c r="K100" i="23" l="1"/>
  <c r="J99" i="23"/>
  <c r="F295" i="23"/>
  <c r="K97" i="12"/>
  <c r="R21" i="12" s="1"/>
  <c r="W8" i="12" s="1"/>
  <c r="J52" i="13" s="1"/>
  <c r="J57" i="13" s="1"/>
  <c r="J58" i="13" s="1"/>
  <c r="J61" i="13" s="1"/>
  <c r="J62" i="13" s="1"/>
  <c r="J96" i="12"/>
  <c r="F286" i="12"/>
  <c r="K96" i="8"/>
  <c r="J95" i="8"/>
  <c r="F283" i="8"/>
  <c r="J95" i="7"/>
  <c r="K96" i="7"/>
  <c r="M96" i="7" s="1"/>
  <c r="F282" i="7"/>
  <c r="M100" i="23" l="1"/>
  <c r="G100" i="23"/>
  <c r="F296" i="23"/>
  <c r="J53" i="13"/>
  <c r="J54" i="13" s="1"/>
  <c r="F287" i="12"/>
  <c r="M97" i="12"/>
  <c r="G97" i="12"/>
  <c r="F284" i="8"/>
  <c r="M96" i="8"/>
  <c r="G96" i="8"/>
  <c r="G96" i="7"/>
  <c r="F283" i="7"/>
  <c r="F297" i="23" l="1"/>
  <c r="H100" i="23"/>
  <c r="I100" i="23"/>
  <c r="H97" i="12"/>
  <c r="I97" i="12"/>
  <c r="F288" i="12"/>
  <c r="H96" i="8"/>
  <c r="I96" i="8"/>
  <c r="F285" i="8"/>
  <c r="H96" i="7"/>
  <c r="I96" i="7"/>
  <c r="F284" i="7"/>
  <c r="J100" i="23" l="1"/>
  <c r="K101" i="23"/>
  <c r="F298" i="23"/>
  <c r="F289" i="12"/>
  <c r="P21" i="12"/>
  <c r="W5" i="12" s="1"/>
  <c r="K98" i="12"/>
  <c r="J97" i="12"/>
  <c r="F286" i="8"/>
  <c r="J96" i="8"/>
  <c r="K97" i="8"/>
  <c r="U21" i="8" s="1"/>
  <c r="J96" i="7"/>
  <c r="K97" i="7"/>
  <c r="M97" i="7" s="1"/>
  <c r="F285" i="7"/>
  <c r="F299" i="23" l="1"/>
  <c r="M101" i="23"/>
  <c r="G101" i="23"/>
  <c r="Q21" i="12"/>
  <c r="G98" i="12"/>
  <c r="M98" i="12"/>
  <c r="F290" i="12"/>
  <c r="M97" i="8"/>
  <c r="G97" i="8"/>
  <c r="Q21" i="8" s="1"/>
  <c r="F287" i="8"/>
  <c r="G97" i="7"/>
  <c r="F286" i="7"/>
  <c r="H101" i="23" l="1"/>
  <c r="I101" i="23"/>
  <c r="F300" i="23"/>
  <c r="S21" i="12"/>
  <c r="W6" i="12"/>
  <c r="W7" i="12" s="1"/>
  <c r="F291" i="12"/>
  <c r="H98" i="12"/>
  <c r="I98" i="12"/>
  <c r="F288" i="8"/>
  <c r="H97" i="8"/>
  <c r="R21" i="8" s="1"/>
  <c r="I97" i="8"/>
  <c r="H97" i="7"/>
  <c r="I97" i="7"/>
  <c r="F287" i="7"/>
  <c r="F301" i="23" l="1"/>
  <c r="J101" i="23"/>
  <c r="K102" i="23"/>
  <c r="J98" i="12"/>
  <c r="K99" i="12"/>
  <c r="F292" i="12"/>
  <c r="S21" i="8"/>
  <c r="K98" i="8"/>
  <c r="J97" i="8"/>
  <c r="T21" i="8" s="1"/>
  <c r="F289" i="8"/>
  <c r="P37" i="8" s="1"/>
  <c r="J97" i="7"/>
  <c r="K98" i="7"/>
  <c r="M98" i="7" s="1"/>
  <c r="F288" i="7"/>
  <c r="M102" i="23" l="1"/>
  <c r="G102" i="23"/>
  <c r="F302" i="23"/>
  <c r="F293" i="12"/>
  <c r="M99" i="12"/>
  <c r="G99" i="12"/>
  <c r="F290" i="8"/>
  <c r="M98" i="8"/>
  <c r="G98" i="8"/>
  <c r="G98" i="7"/>
  <c r="F289" i="7"/>
  <c r="F303" i="23" l="1"/>
  <c r="H102" i="23"/>
  <c r="I102" i="23"/>
  <c r="H99" i="12"/>
  <c r="I99" i="12"/>
  <c r="F294" i="12"/>
  <c r="H98" i="8"/>
  <c r="I98" i="8"/>
  <c r="F291" i="8"/>
  <c r="H98" i="7"/>
  <c r="I98" i="7"/>
  <c r="P22" i="7" s="1"/>
  <c r="F290" i="7"/>
  <c r="K103" i="23" l="1"/>
  <c r="J102" i="23"/>
  <c r="F304" i="23"/>
  <c r="F295" i="12"/>
  <c r="J99" i="12"/>
  <c r="K100" i="12"/>
  <c r="F292" i="8"/>
  <c r="J98" i="8"/>
  <c r="K99" i="8"/>
  <c r="J98" i="7"/>
  <c r="Q22" i="7" s="1"/>
  <c r="R22" i="7" s="1"/>
  <c r="K99" i="7"/>
  <c r="M99" i="7" s="1"/>
  <c r="F291" i="7"/>
  <c r="F305" i="23" l="1"/>
  <c r="M103" i="23"/>
  <c r="G103" i="23"/>
  <c r="M100" i="12"/>
  <c r="G100" i="12"/>
  <c r="F296" i="12"/>
  <c r="M99" i="8"/>
  <c r="G99" i="8"/>
  <c r="F293" i="8"/>
  <c r="G99" i="7"/>
  <c r="F292" i="7"/>
  <c r="F306" i="23" l="1"/>
  <c r="H103" i="23"/>
  <c r="I103" i="23"/>
  <c r="F297" i="12"/>
  <c r="H100" i="12"/>
  <c r="I100" i="12"/>
  <c r="F294" i="8"/>
  <c r="H99" i="8"/>
  <c r="I99" i="8"/>
  <c r="H99" i="7"/>
  <c r="I99" i="7"/>
  <c r="F293" i="7"/>
  <c r="J103" i="23" l="1"/>
  <c r="K104" i="23"/>
  <c r="F307" i="23"/>
  <c r="K101" i="12"/>
  <c r="J100" i="12"/>
  <c r="F298" i="12"/>
  <c r="K100" i="8"/>
  <c r="J99" i="8"/>
  <c r="F295" i="8"/>
  <c r="J99" i="7"/>
  <c r="K100" i="7"/>
  <c r="M100" i="7" s="1"/>
  <c r="F294" i="7"/>
  <c r="M104" i="23" l="1"/>
  <c r="G104" i="23"/>
  <c r="F308" i="23"/>
  <c r="F299" i="12"/>
  <c r="M101" i="12"/>
  <c r="G101" i="12"/>
  <c r="F296" i="8"/>
  <c r="M100" i="8"/>
  <c r="G100" i="8"/>
  <c r="G100" i="7"/>
  <c r="F295" i="7"/>
  <c r="F309" i="23" l="1"/>
  <c r="H104" i="23"/>
  <c r="I104" i="23"/>
  <c r="H101" i="12"/>
  <c r="I101" i="12"/>
  <c r="F300" i="12"/>
  <c r="H100" i="8"/>
  <c r="I100" i="8"/>
  <c r="F297" i="8"/>
  <c r="H100" i="7"/>
  <c r="I100" i="7"/>
  <c r="F296" i="7"/>
  <c r="F310" i="23" l="1"/>
  <c r="J104" i="23"/>
  <c r="K105" i="23"/>
  <c r="F301" i="12"/>
  <c r="J101" i="12"/>
  <c r="K102" i="12"/>
  <c r="F298" i="8"/>
  <c r="J100" i="8"/>
  <c r="K101" i="8"/>
  <c r="J100" i="7"/>
  <c r="K101" i="7"/>
  <c r="M101" i="7" s="1"/>
  <c r="F297" i="7"/>
  <c r="M105" i="23" l="1"/>
  <c r="G105" i="23"/>
  <c r="F311" i="23"/>
  <c r="M102" i="12"/>
  <c r="G102" i="12"/>
  <c r="F302" i="12"/>
  <c r="M101" i="8"/>
  <c r="G101" i="8"/>
  <c r="F299" i="8"/>
  <c r="G101" i="7"/>
  <c r="F298" i="7"/>
  <c r="F312" i="23" l="1"/>
  <c r="H105" i="23"/>
  <c r="I105" i="23"/>
  <c r="F303" i="12"/>
  <c r="H102" i="12"/>
  <c r="I102" i="12"/>
  <c r="H101" i="8"/>
  <c r="I101" i="8"/>
  <c r="F300" i="8"/>
  <c r="H101" i="7"/>
  <c r="I101" i="7"/>
  <c r="F299" i="7"/>
  <c r="K106" i="23" l="1"/>
  <c r="J105" i="23"/>
  <c r="F313" i="23"/>
  <c r="K103" i="12"/>
  <c r="J102" i="12"/>
  <c r="F304" i="12"/>
  <c r="F301" i="8"/>
  <c r="P38" i="8" s="1"/>
  <c r="K102" i="8"/>
  <c r="J101" i="8"/>
  <c r="J101" i="7"/>
  <c r="K102" i="7"/>
  <c r="M102" i="7" s="1"/>
  <c r="F300" i="7"/>
  <c r="M106" i="23" l="1"/>
  <c r="G106" i="23"/>
  <c r="F314" i="23"/>
  <c r="F305" i="12"/>
  <c r="M103" i="12"/>
  <c r="G103" i="12"/>
  <c r="M102" i="8"/>
  <c r="G102" i="8"/>
  <c r="F302" i="8"/>
  <c r="G102" i="7"/>
  <c r="F301" i="7"/>
  <c r="F315" i="23" l="1"/>
  <c r="H106" i="23"/>
  <c r="I106" i="23"/>
  <c r="H103" i="12"/>
  <c r="I103" i="12"/>
  <c r="F306" i="12"/>
  <c r="F303" i="8"/>
  <c r="H102" i="8"/>
  <c r="I102" i="8"/>
  <c r="H102" i="7"/>
  <c r="I102" i="7"/>
  <c r="F302" i="7"/>
  <c r="J106" i="23" l="1"/>
  <c r="K107" i="23"/>
  <c r="F316" i="23"/>
  <c r="F307" i="12"/>
  <c r="J103" i="12"/>
  <c r="K104" i="12"/>
  <c r="J102" i="8"/>
  <c r="K103" i="8"/>
  <c r="F304" i="8"/>
  <c r="J102" i="7"/>
  <c r="K103" i="7"/>
  <c r="M103" i="7" s="1"/>
  <c r="F303" i="7"/>
  <c r="F317" i="23" l="1"/>
  <c r="M107" i="23"/>
  <c r="G107" i="23"/>
  <c r="M104" i="12"/>
  <c r="G104" i="12"/>
  <c r="F308" i="12"/>
  <c r="F305" i="8"/>
  <c r="M103" i="8"/>
  <c r="G103" i="8"/>
  <c r="G103" i="7"/>
  <c r="F304" i="7"/>
  <c r="H107" i="23" l="1"/>
  <c r="I107" i="23"/>
  <c r="F318" i="23"/>
  <c r="F309" i="12"/>
  <c r="H104" i="12"/>
  <c r="I104" i="12"/>
  <c r="H103" i="8"/>
  <c r="I103" i="8"/>
  <c r="F306" i="8"/>
  <c r="H103" i="7"/>
  <c r="I103" i="7"/>
  <c r="F305" i="7"/>
  <c r="F319" i="23" l="1"/>
  <c r="J107" i="23"/>
  <c r="K108" i="23"/>
  <c r="K105" i="12"/>
  <c r="J104" i="12"/>
  <c r="F310" i="12"/>
  <c r="F307" i="8"/>
  <c r="J103" i="8"/>
  <c r="K104" i="8"/>
  <c r="J103" i="7"/>
  <c r="K104" i="7"/>
  <c r="M104" i="7" s="1"/>
  <c r="F306" i="7"/>
  <c r="M108" i="23" l="1"/>
  <c r="G108" i="23"/>
  <c r="F320" i="23"/>
  <c r="M105" i="12"/>
  <c r="G105" i="12"/>
  <c r="F311" i="12"/>
  <c r="F308" i="8"/>
  <c r="M104" i="8"/>
  <c r="G104" i="8"/>
  <c r="G104" i="7"/>
  <c r="F307" i="7"/>
  <c r="H108" i="23" l="1"/>
  <c r="I108" i="23"/>
  <c r="F321" i="23"/>
  <c r="F312" i="12"/>
  <c r="H105" i="12"/>
  <c r="I105" i="12"/>
  <c r="H104" i="8"/>
  <c r="I104" i="8"/>
  <c r="F309" i="8"/>
  <c r="H104" i="7"/>
  <c r="I104" i="7"/>
  <c r="F308" i="7"/>
  <c r="F322" i="23" l="1"/>
  <c r="K109" i="23"/>
  <c r="J108" i="23"/>
  <c r="K106" i="12"/>
  <c r="J105" i="12"/>
  <c r="F313" i="12"/>
  <c r="F310" i="8"/>
  <c r="K105" i="8"/>
  <c r="J104" i="8"/>
  <c r="J104" i="7"/>
  <c r="K105" i="7"/>
  <c r="M105" i="7" s="1"/>
  <c r="F309" i="7"/>
  <c r="M109" i="23" l="1"/>
  <c r="R22" i="23"/>
  <c r="X8" i="23" s="1"/>
  <c r="G109" i="23"/>
  <c r="F323" i="23"/>
  <c r="F314" i="12"/>
  <c r="M106" i="12"/>
  <c r="G106" i="12"/>
  <c r="M105" i="8"/>
  <c r="G105" i="8"/>
  <c r="F311" i="8"/>
  <c r="G105" i="7"/>
  <c r="F310" i="7"/>
  <c r="F324" i="23" l="1"/>
  <c r="H109" i="23"/>
  <c r="I109" i="23"/>
  <c r="F315" i="12"/>
  <c r="H106" i="12"/>
  <c r="I106" i="12"/>
  <c r="H105" i="8"/>
  <c r="I105" i="8"/>
  <c r="F312" i="8"/>
  <c r="H105" i="7"/>
  <c r="I105" i="7"/>
  <c r="F311" i="7"/>
  <c r="P22" i="23" l="1"/>
  <c r="X5" i="23" s="1"/>
  <c r="J109" i="23"/>
  <c r="K110" i="23"/>
  <c r="F325" i="23"/>
  <c r="J106" i="12"/>
  <c r="K107" i="12"/>
  <c r="F316" i="12"/>
  <c r="F313" i="8"/>
  <c r="P39" i="8" s="1"/>
  <c r="J105" i="8"/>
  <c r="K106" i="8"/>
  <c r="J105" i="7"/>
  <c r="K106" i="7"/>
  <c r="M106" i="7" s="1"/>
  <c r="F312" i="7"/>
  <c r="F326" i="23" l="1"/>
  <c r="M110" i="23"/>
  <c r="G110" i="23"/>
  <c r="Q22" i="23"/>
  <c r="F317" i="12"/>
  <c r="G107" i="12"/>
  <c r="M107" i="12"/>
  <c r="M106" i="8"/>
  <c r="G106" i="8"/>
  <c r="F314" i="8"/>
  <c r="G106" i="7"/>
  <c r="F313" i="7"/>
  <c r="S22" i="23" l="1"/>
  <c r="X6" i="23"/>
  <c r="X7" i="23" s="1"/>
  <c r="H110" i="23"/>
  <c r="I110" i="23"/>
  <c r="F327" i="23"/>
  <c r="F318" i="12"/>
  <c r="H107" i="12"/>
  <c r="I107" i="12"/>
  <c r="F315" i="8"/>
  <c r="H106" i="8"/>
  <c r="I106" i="8"/>
  <c r="H106" i="7"/>
  <c r="I106" i="7"/>
  <c r="F314" i="7"/>
  <c r="F328" i="23" l="1"/>
  <c r="K111" i="23"/>
  <c r="J110" i="23"/>
  <c r="F319" i="12"/>
  <c r="J107" i="12"/>
  <c r="K108" i="12"/>
  <c r="K107" i="8"/>
  <c r="J106" i="8"/>
  <c r="F316" i="8"/>
  <c r="J106" i="7"/>
  <c r="K107" i="7"/>
  <c r="M107" i="7" s="1"/>
  <c r="F315" i="7"/>
  <c r="M111" i="23" l="1"/>
  <c r="G111" i="23"/>
  <c r="F329" i="23"/>
  <c r="M108" i="12"/>
  <c r="G108" i="12"/>
  <c r="F320" i="12"/>
  <c r="F317" i="8"/>
  <c r="M107" i="8"/>
  <c r="G107" i="8"/>
  <c r="G107" i="7"/>
  <c r="F316" i="7"/>
  <c r="F330" i="23" l="1"/>
  <c r="H111" i="23"/>
  <c r="I111" i="23"/>
  <c r="F321" i="12"/>
  <c r="H108" i="12"/>
  <c r="I108" i="12"/>
  <c r="H107" i="8"/>
  <c r="I107" i="8"/>
  <c r="F318" i="8"/>
  <c r="H107" i="7"/>
  <c r="I107" i="7"/>
  <c r="F317" i="7"/>
  <c r="J111" i="23" l="1"/>
  <c r="K112" i="23"/>
  <c r="F331" i="23"/>
  <c r="J108" i="12"/>
  <c r="K109" i="12"/>
  <c r="R22" i="12" s="1"/>
  <c r="X8" i="12" s="1"/>
  <c r="K52" i="13" s="1"/>
  <c r="K57" i="13" s="1"/>
  <c r="K58" i="13" s="1"/>
  <c r="K61" i="13" s="1"/>
  <c r="K62" i="13" s="1"/>
  <c r="F322" i="12"/>
  <c r="F319" i="8"/>
  <c r="J107" i="8"/>
  <c r="K108" i="8"/>
  <c r="J107" i="7"/>
  <c r="K108" i="7"/>
  <c r="M108" i="7" s="1"/>
  <c r="F318" i="7"/>
  <c r="F332" i="23" l="1"/>
  <c r="M112" i="23"/>
  <c r="G112" i="23"/>
  <c r="K53" i="13"/>
  <c r="K54" i="13" s="1"/>
  <c r="F323" i="12"/>
  <c r="M109" i="12"/>
  <c r="G109" i="12"/>
  <c r="G108" i="8"/>
  <c r="M108" i="8"/>
  <c r="F320" i="8"/>
  <c r="G108" i="7"/>
  <c r="F319" i="7"/>
  <c r="H112" i="23" l="1"/>
  <c r="I112" i="23"/>
  <c r="F333" i="23"/>
  <c r="H109" i="12"/>
  <c r="I109" i="12"/>
  <c r="F324" i="12"/>
  <c r="F321" i="8"/>
  <c r="H108" i="8"/>
  <c r="I108" i="8"/>
  <c r="H108" i="7"/>
  <c r="I108" i="7"/>
  <c r="F320" i="7"/>
  <c r="F334" i="23" l="1"/>
  <c r="J112" i="23"/>
  <c r="K113" i="23"/>
  <c r="F325" i="12"/>
  <c r="P22" i="12"/>
  <c r="X5" i="12" s="1"/>
  <c r="K110" i="12"/>
  <c r="J109" i="12"/>
  <c r="K109" i="8"/>
  <c r="U22" i="8" s="1"/>
  <c r="P23" i="8" s="1"/>
  <c r="R23" i="8" s="1"/>
  <c r="J108" i="8"/>
  <c r="F322" i="8"/>
  <c r="J108" i="7"/>
  <c r="K109" i="7"/>
  <c r="M109" i="7" s="1"/>
  <c r="F321" i="7"/>
  <c r="F335" i="23" l="1"/>
  <c r="M113" i="23"/>
  <c r="G113" i="23"/>
  <c r="Q22" i="12"/>
  <c r="M110" i="12"/>
  <c r="G110" i="12"/>
  <c r="F326" i="12"/>
  <c r="F323" i="8"/>
  <c r="M109" i="8"/>
  <c r="G109" i="8"/>
  <c r="Q22" i="8" s="1"/>
  <c r="G109" i="7"/>
  <c r="F322" i="7"/>
  <c r="H113" i="23" l="1"/>
  <c r="I113" i="23"/>
  <c r="F336" i="23"/>
  <c r="S22" i="12"/>
  <c r="X6" i="12"/>
  <c r="X7" i="12" s="1"/>
  <c r="F327" i="12"/>
  <c r="H110" i="12"/>
  <c r="I110" i="12"/>
  <c r="H109" i="8"/>
  <c r="R22" i="8" s="1"/>
  <c r="I109" i="8"/>
  <c r="F324" i="8"/>
  <c r="H109" i="7"/>
  <c r="I109" i="7"/>
  <c r="F323" i="7"/>
  <c r="F337" i="23" l="1"/>
  <c r="K114" i="23"/>
  <c r="J113" i="23"/>
  <c r="J110" i="12"/>
  <c r="K111" i="12"/>
  <c r="F328" i="12"/>
  <c r="F325" i="8"/>
  <c r="P40" i="8" s="1"/>
  <c r="S22" i="8"/>
  <c r="S23" i="8" s="1"/>
  <c r="K110" i="8"/>
  <c r="J109" i="8"/>
  <c r="T22" i="8" s="1"/>
  <c r="J109" i="7"/>
  <c r="K110" i="7"/>
  <c r="M110" i="7" s="1"/>
  <c r="F324" i="7"/>
  <c r="F338" i="23" l="1"/>
  <c r="M114" i="23"/>
  <c r="G114" i="23"/>
  <c r="M111" i="12"/>
  <c r="G111" i="12"/>
  <c r="F329" i="12"/>
  <c r="M110" i="8"/>
  <c r="G110" i="8"/>
  <c r="F326" i="8"/>
  <c r="G110" i="7"/>
  <c r="F325" i="7"/>
  <c r="H114" i="23" l="1"/>
  <c r="I114" i="23"/>
  <c r="F339" i="23"/>
  <c r="F330" i="12"/>
  <c r="H111" i="12"/>
  <c r="I111" i="12"/>
  <c r="H110" i="8"/>
  <c r="I110" i="8"/>
  <c r="F327" i="8"/>
  <c r="H110" i="7"/>
  <c r="I110" i="7"/>
  <c r="P23" i="7" s="1"/>
  <c r="F326" i="7"/>
  <c r="F340" i="23" l="1"/>
  <c r="J114" i="23"/>
  <c r="K115" i="23"/>
  <c r="K112" i="12"/>
  <c r="J111" i="12"/>
  <c r="F331" i="12"/>
  <c r="F328" i="8"/>
  <c r="J110" i="8"/>
  <c r="K111" i="8"/>
  <c r="J110" i="7"/>
  <c r="Q23" i="7" s="1"/>
  <c r="R23" i="7" s="1"/>
  <c r="K111" i="7"/>
  <c r="M111" i="7" s="1"/>
  <c r="F327" i="7"/>
  <c r="M115" i="23" l="1"/>
  <c r="G115" i="23"/>
  <c r="F341" i="23"/>
  <c r="F332" i="12"/>
  <c r="M112" i="12"/>
  <c r="G112" i="12"/>
  <c r="M111" i="8"/>
  <c r="G111" i="8"/>
  <c r="F329" i="8"/>
  <c r="G111" i="7"/>
  <c r="F328" i="7"/>
  <c r="F342" i="23" l="1"/>
  <c r="H115" i="23"/>
  <c r="I115" i="23"/>
  <c r="H112" i="12"/>
  <c r="I112" i="12"/>
  <c r="F333" i="12"/>
  <c r="F330" i="8"/>
  <c r="H111" i="8"/>
  <c r="I111" i="8"/>
  <c r="H111" i="7"/>
  <c r="I111" i="7"/>
  <c r="F329" i="7"/>
  <c r="J115" i="23" l="1"/>
  <c r="K116" i="23"/>
  <c r="F343" i="23"/>
  <c r="F334" i="12"/>
  <c r="J112" i="12"/>
  <c r="K113" i="12"/>
  <c r="K112" i="8"/>
  <c r="J111" i="8"/>
  <c r="F331" i="8"/>
  <c r="J111" i="7"/>
  <c r="K112" i="7"/>
  <c r="M112" i="7" s="1"/>
  <c r="F330" i="7"/>
  <c r="F344" i="23" l="1"/>
  <c r="M116" i="23"/>
  <c r="G116" i="23"/>
  <c r="F335" i="12"/>
  <c r="M113" i="12"/>
  <c r="G113" i="12"/>
  <c r="F332" i="8"/>
  <c r="M112" i="8"/>
  <c r="G112" i="8"/>
  <c r="G112" i="7"/>
  <c r="F331" i="7"/>
  <c r="F345" i="23" l="1"/>
  <c r="H116" i="23"/>
  <c r="I116" i="23"/>
  <c r="H113" i="12"/>
  <c r="I113" i="12"/>
  <c r="F336" i="12"/>
  <c r="H112" i="8"/>
  <c r="I112" i="8"/>
  <c r="F333" i="8"/>
  <c r="H112" i="7"/>
  <c r="I112" i="7"/>
  <c r="F332" i="7"/>
  <c r="F346" i="23" l="1"/>
  <c r="J116" i="23"/>
  <c r="K117" i="23"/>
  <c r="F337" i="12"/>
  <c r="K114" i="12"/>
  <c r="J113" i="12"/>
  <c r="F334" i="8"/>
  <c r="J112" i="8"/>
  <c r="K113" i="8"/>
  <c r="J112" i="7"/>
  <c r="K113" i="7"/>
  <c r="M113" i="7" s="1"/>
  <c r="F333" i="7"/>
  <c r="F347" i="23" l="1"/>
  <c r="M117" i="23"/>
  <c r="G117" i="23"/>
  <c r="M114" i="12"/>
  <c r="G114" i="12"/>
  <c r="F338" i="12"/>
  <c r="M113" i="8"/>
  <c r="G113" i="8"/>
  <c r="F335" i="8"/>
  <c r="G113" i="7"/>
  <c r="F334" i="7"/>
  <c r="F348" i="23" l="1"/>
  <c r="H117" i="23"/>
  <c r="I117" i="23"/>
  <c r="F339" i="12"/>
  <c r="H114" i="12"/>
  <c r="I114" i="12"/>
  <c r="F336" i="8"/>
  <c r="H113" i="8"/>
  <c r="I113" i="8"/>
  <c r="H113" i="7"/>
  <c r="I113" i="7"/>
  <c r="F335" i="7"/>
  <c r="K118" i="23" l="1"/>
  <c r="J117" i="23"/>
  <c r="F349" i="23"/>
  <c r="F340" i="12"/>
  <c r="J114" i="12"/>
  <c r="K115" i="12"/>
  <c r="K114" i="8"/>
  <c r="J113" i="8"/>
  <c r="F337" i="8"/>
  <c r="P41" i="8" s="1"/>
  <c r="J113" i="7"/>
  <c r="K114" i="7"/>
  <c r="M114" i="7" s="1"/>
  <c r="F336" i="7"/>
  <c r="M118" i="23" l="1"/>
  <c r="G118" i="23"/>
  <c r="F350" i="23"/>
  <c r="G115" i="12"/>
  <c r="M115" i="12"/>
  <c r="F341" i="12"/>
  <c r="F338" i="8"/>
  <c r="M114" i="8"/>
  <c r="G114" i="8"/>
  <c r="G114" i="7"/>
  <c r="F337" i="7"/>
  <c r="F351" i="23" l="1"/>
  <c r="H118" i="23"/>
  <c r="I118" i="23"/>
  <c r="F342" i="12"/>
  <c r="H115" i="12"/>
  <c r="I115" i="12"/>
  <c r="H114" i="8"/>
  <c r="I114" i="8"/>
  <c r="F339" i="8"/>
  <c r="H114" i="7"/>
  <c r="I114" i="7"/>
  <c r="F338" i="7"/>
  <c r="J118" i="23" l="1"/>
  <c r="K119" i="23"/>
  <c r="F352" i="23"/>
  <c r="K116" i="12"/>
  <c r="J115" i="12"/>
  <c r="F343" i="12"/>
  <c r="F340" i="8"/>
  <c r="K115" i="8"/>
  <c r="J114" i="8"/>
  <c r="J114" i="7"/>
  <c r="K115" i="7"/>
  <c r="M115" i="7" s="1"/>
  <c r="F339" i="7"/>
  <c r="F353" i="23" l="1"/>
  <c r="M119" i="23"/>
  <c r="G119" i="23"/>
  <c r="F344" i="12"/>
  <c r="M116" i="12"/>
  <c r="G116" i="12"/>
  <c r="M115" i="8"/>
  <c r="G115" i="8"/>
  <c r="F341" i="8"/>
  <c r="G115" i="7"/>
  <c r="F340" i="7"/>
  <c r="F354" i="23" l="1"/>
  <c r="H119" i="23"/>
  <c r="I119" i="23"/>
  <c r="H116" i="12"/>
  <c r="I116" i="12"/>
  <c r="F345" i="12"/>
  <c r="H115" i="8"/>
  <c r="I115" i="8"/>
  <c r="F342" i="8"/>
  <c r="H115" i="7"/>
  <c r="I115" i="7"/>
  <c r="F341" i="7"/>
  <c r="F355" i="23" l="1"/>
  <c r="J119" i="23"/>
  <c r="K120" i="23"/>
  <c r="F346" i="12"/>
  <c r="J116" i="12"/>
  <c r="K117" i="12"/>
  <c r="F343" i="8"/>
  <c r="J115" i="8"/>
  <c r="K116" i="8"/>
  <c r="J115" i="7"/>
  <c r="K116" i="7"/>
  <c r="M116" i="7" s="1"/>
  <c r="F342" i="7"/>
  <c r="M120" i="23" l="1"/>
  <c r="G120" i="23"/>
  <c r="F356" i="23"/>
  <c r="M117" i="12"/>
  <c r="G117" i="12"/>
  <c r="F347" i="12"/>
  <c r="M116" i="8"/>
  <c r="G116" i="8"/>
  <c r="F344" i="8"/>
  <c r="G116" i="7"/>
  <c r="F343" i="7"/>
  <c r="F357" i="23" l="1"/>
  <c r="H120" i="23"/>
  <c r="I120" i="23"/>
  <c r="F348" i="12"/>
  <c r="H117" i="12"/>
  <c r="I117" i="12"/>
  <c r="F345" i="8"/>
  <c r="H116" i="8"/>
  <c r="I116" i="8"/>
  <c r="H116" i="7"/>
  <c r="I116" i="7"/>
  <c r="F344" i="7"/>
  <c r="K121" i="23" l="1"/>
  <c r="J120" i="23"/>
  <c r="F358" i="23"/>
  <c r="K118" i="12"/>
  <c r="J117" i="12"/>
  <c r="F349" i="12"/>
  <c r="J116" i="8"/>
  <c r="K117" i="8"/>
  <c r="F346" i="8"/>
  <c r="J116" i="7"/>
  <c r="K117" i="7"/>
  <c r="M117" i="7" s="1"/>
  <c r="F345" i="7"/>
  <c r="F359" i="23" l="1"/>
  <c r="R23" i="23"/>
  <c r="Y8" i="23" s="1"/>
  <c r="M121" i="23"/>
  <c r="G121" i="23"/>
  <c r="M118" i="12"/>
  <c r="G118" i="12"/>
  <c r="F350" i="12"/>
  <c r="F347" i="8"/>
  <c r="M117" i="8"/>
  <c r="G117" i="8"/>
  <c r="G117" i="7"/>
  <c r="F346" i="7"/>
  <c r="H121" i="23" l="1"/>
  <c r="I121" i="23"/>
  <c r="F360" i="23"/>
  <c r="F351" i="12"/>
  <c r="H118" i="12"/>
  <c r="I118" i="12"/>
  <c r="F348" i="8"/>
  <c r="H117" i="8"/>
  <c r="I117" i="8"/>
  <c r="H117" i="7"/>
  <c r="I117" i="7"/>
  <c r="F347" i="7"/>
  <c r="F361" i="23" l="1"/>
  <c r="P23" i="23"/>
  <c r="Y5" i="23" s="1"/>
  <c r="J121" i="23"/>
  <c r="K122" i="23"/>
  <c r="K119" i="12"/>
  <c r="J118" i="12"/>
  <c r="F352" i="12"/>
  <c r="K118" i="8"/>
  <c r="J117" i="8"/>
  <c r="F349" i="8"/>
  <c r="P42" i="8" s="1"/>
  <c r="J117" i="7"/>
  <c r="K118" i="7"/>
  <c r="M118" i="7" s="1"/>
  <c r="F348" i="7"/>
  <c r="Q23" i="23" l="1"/>
  <c r="M122" i="23"/>
  <c r="G122" i="23"/>
  <c r="F362" i="23"/>
  <c r="M119" i="12"/>
  <c r="G119" i="12"/>
  <c r="F353" i="12"/>
  <c r="F350" i="8"/>
  <c r="M118" i="8"/>
  <c r="G118" i="8"/>
  <c r="G118" i="7"/>
  <c r="F349" i="7"/>
  <c r="H122" i="23" l="1"/>
  <c r="I122" i="23"/>
  <c r="S23" i="23"/>
  <c r="Y6" i="23"/>
  <c r="Y7" i="23" s="1"/>
  <c r="H119" i="12"/>
  <c r="I119" i="12"/>
  <c r="F354" i="12"/>
  <c r="H118" i="8"/>
  <c r="I118" i="8"/>
  <c r="F351" i="8"/>
  <c r="H118" i="7"/>
  <c r="I118" i="7"/>
  <c r="F350" i="7"/>
  <c r="J122" i="23" l="1"/>
  <c r="K123" i="23"/>
  <c r="F355" i="12"/>
  <c r="K120" i="12"/>
  <c r="J119" i="12"/>
  <c r="F352" i="8"/>
  <c r="J118" i="8"/>
  <c r="K119" i="8"/>
  <c r="J118" i="7"/>
  <c r="K119" i="7"/>
  <c r="M119" i="7" s="1"/>
  <c r="F351" i="7"/>
  <c r="M123" i="23" l="1"/>
  <c r="G123" i="23"/>
  <c r="M120" i="12"/>
  <c r="G120" i="12"/>
  <c r="F356" i="12"/>
  <c r="M119" i="8"/>
  <c r="G119" i="8"/>
  <c r="F353" i="8"/>
  <c r="G119" i="7"/>
  <c r="F352" i="7"/>
  <c r="H123" i="23" l="1"/>
  <c r="I123" i="23"/>
  <c r="F357" i="12"/>
  <c r="H120" i="12"/>
  <c r="I120" i="12"/>
  <c r="F354" i="8"/>
  <c r="H119" i="8"/>
  <c r="I119" i="8"/>
  <c r="H119" i="7"/>
  <c r="I119" i="7"/>
  <c r="F353" i="7"/>
  <c r="K124" i="23" l="1"/>
  <c r="J123" i="23"/>
  <c r="F358" i="12"/>
  <c r="J120" i="12"/>
  <c r="K121" i="12"/>
  <c r="R23" i="12" s="1"/>
  <c r="Y8" i="12" s="1"/>
  <c r="L52" i="13" s="1"/>
  <c r="L57" i="13" s="1"/>
  <c r="L58" i="13" s="1"/>
  <c r="L61" i="13" s="1"/>
  <c r="L62" i="13" s="1"/>
  <c r="F355" i="8"/>
  <c r="K120" i="8"/>
  <c r="J119" i="8"/>
  <c r="J119" i="7"/>
  <c r="K120" i="7"/>
  <c r="M120" i="7" s="1"/>
  <c r="F354" i="7"/>
  <c r="M124" i="23" l="1"/>
  <c r="G124" i="23"/>
  <c r="L53" i="13"/>
  <c r="L54" i="13" s="1"/>
  <c r="M121" i="12"/>
  <c r="G121" i="12"/>
  <c r="F359" i="12"/>
  <c r="M120" i="8"/>
  <c r="G120" i="8"/>
  <c r="F356" i="8"/>
  <c r="G120" i="7"/>
  <c r="F355" i="7"/>
  <c r="H124" i="23" l="1"/>
  <c r="I124" i="23"/>
  <c r="F360" i="12"/>
  <c r="H121" i="12"/>
  <c r="I121" i="12"/>
  <c r="H120" i="8"/>
  <c r="I120" i="8"/>
  <c r="F357" i="8"/>
  <c r="H120" i="7"/>
  <c r="I120" i="7"/>
  <c r="F356" i="7"/>
  <c r="K125" i="23" l="1"/>
  <c r="J124" i="23"/>
  <c r="P23" i="12"/>
  <c r="Y5" i="12" s="1"/>
  <c r="J121" i="12"/>
  <c r="K122" i="12"/>
  <c r="F361" i="12"/>
  <c r="F358" i="8"/>
  <c r="J120" i="8"/>
  <c r="K121" i="8"/>
  <c r="J120" i="7"/>
  <c r="K121" i="7"/>
  <c r="M121" i="7" s="1"/>
  <c r="F357" i="7"/>
  <c r="M125" i="23" l="1"/>
  <c r="G125" i="23"/>
  <c r="F362" i="12"/>
  <c r="M122" i="12"/>
  <c r="G122" i="12"/>
  <c r="Q23" i="12"/>
  <c r="M121" i="8"/>
  <c r="G121" i="8"/>
  <c r="F359" i="8"/>
  <c r="G121" i="7"/>
  <c r="F358" i="7"/>
  <c r="H125" i="23" l="1"/>
  <c r="I125" i="23"/>
  <c r="S23" i="12"/>
  <c r="Y6" i="12"/>
  <c r="Y7" i="12" s="1"/>
  <c r="H122" i="12"/>
  <c r="I122" i="12"/>
  <c r="H121" i="8"/>
  <c r="I121" i="8"/>
  <c r="F360" i="8"/>
  <c r="H121" i="7"/>
  <c r="I121" i="7"/>
  <c r="F359" i="7"/>
  <c r="J125" i="23" l="1"/>
  <c r="K126" i="23"/>
  <c r="K123" i="12"/>
  <c r="J122" i="12"/>
  <c r="F361" i="8"/>
  <c r="P43" i="8" s="1"/>
  <c r="K122" i="8"/>
  <c r="J121" i="8"/>
  <c r="J121" i="7"/>
  <c r="K122" i="7"/>
  <c r="M122" i="7" s="1"/>
  <c r="F360" i="7"/>
  <c r="M126" i="23" l="1"/>
  <c r="G126" i="23"/>
  <c r="M123" i="12"/>
  <c r="G123" i="12"/>
  <c r="M122" i="8"/>
  <c r="G122" i="8"/>
  <c r="F362" i="8"/>
  <c r="G122" i="7"/>
  <c r="F361" i="7"/>
  <c r="H126" i="23" l="1"/>
  <c r="I126" i="23"/>
  <c r="H123" i="12"/>
  <c r="I123" i="12"/>
  <c r="H122" i="8"/>
  <c r="I122" i="8"/>
  <c r="H122" i="7"/>
  <c r="I122" i="7"/>
  <c r="P24" i="7" s="1"/>
  <c r="F362" i="7"/>
  <c r="K127" i="23" l="1"/>
  <c r="J126" i="23"/>
  <c r="K124" i="12"/>
  <c r="J123" i="12"/>
  <c r="J122" i="8"/>
  <c r="K123" i="8"/>
  <c r="J122" i="7"/>
  <c r="Q24" i="7" s="1"/>
  <c r="R24" i="7" s="1"/>
  <c r="K123" i="7"/>
  <c r="M123" i="7" s="1"/>
  <c r="F363" i="7"/>
  <c r="M127" i="23" l="1"/>
  <c r="G127" i="23"/>
  <c r="M124" i="12"/>
  <c r="G124" i="12"/>
  <c r="M123" i="8"/>
  <c r="G123" i="8"/>
  <c r="G123" i="7"/>
  <c r="H127" i="23" l="1"/>
  <c r="I127" i="23"/>
  <c r="H124" i="12"/>
  <c r="I124" i="12"/>
  <c r="H123" i="8"/>
  <c r="I123" i="8"/>
  <c r="H123" i="7"/>
  <c r="I123" i="7"/>
  <c r="J127" i="23" l="1"/>
  <c r="K128" i="23"/>
  <c r="K125" i="12"/>
  <c r="J124" i="12"/>
  <c r="K124" i="8"/>
  <c r="J123" i="8"/>
  <c r="J123" i="7"/>
  <c r="K124" i="7"/>
  <c r="M124" i="7" s="1"/>
  <c r="M128" i="23" l="1"/>
  <c r="G128" i="23"/>
  <c r="M125" i="12"/>
  <c r="G125" i="12"/>
  <c r="M124" i="8"/>
  <c r="G124" i="8"/>
  <c r="G124" i="7"/>
  <c r="H128" i="23" l="1"/>
  <c r="I128" i="23"/>
  <c r="H125" i="12"/>
  <c r="I125" i="12"/>
  <c r="H124" i="8"/>
  <c r="I124" i="8"/>
  <c r="H124" i="7"/>
  <c r="I124" i="7"/>
  <c r="K129" i="23" l="1"/>
  <c r="J128" i="23"/>
  <c r="J125" i="12"/>
  <c r="K126" i="12"/>
  <c r="J124" i="8"/>
  <c r="K125" i="8"/>
  <c r="J124" i="7"/>
  <c r="K125" i="7"/>
  <c r="M125" i="7" s="1"/>
  <c r="M129" i="23" l="1"/>
  <c r="G129" i="23"/>
  <c r="G126" i="12"/>
  <c r="M126" i="12"/>
  <c r="M125" i="8"/>
  <c r="G125" i="8"/>
  <c r="G125" i="7"/>
  <c r="H129" i="23" l="1"/>
  <c r="I129" i="23"/>
  <c r="H126" i="12"/>
  <c r="I126" i="12"/>
  <c r="H125" i="8"/>
  <c r="I125" i="8"/>
  <c r="H125" i="7"/>
  <c r="I125" i="7"/>
  <c r="J129" i="23" l="1"/>
  <c r="K130" i="23"/>
  <c r="K127" i="12"/>
  <c r="J126" i="12"/>
  <c r="J125" i="8"/>
  <c r="K126" i="8"/>
  <c r="J125" i="7"/>
  <c r="K126" i="7"/>
  <c r="M126" i="7" s="1"/>
  <c r="M130" i="23" l="1"/>
  <c r="G130" i="23"/>
  <c r="M127" i="12"/>
  <c r="G127" i="12"/>
  <c r="M126" i="8"/>
  <c r="G126" i="8"/>
  <c r="G126" i="7"/>
  <c r="H130" i="23" l="1"/>
  <c r="I130" i="23"/>
  <c r="H127" i="12"/>
  <c r="I127" i="12"/>
  <c r="H126" i="8"/>
  <c r="I126" i="8"/>
  <c r="H126" i="7"/>
  <c r="I126" i="7"/>
  <c r="J130" i="23" l="1"/>
  <c r="K131" i="23"/>
  <c r="J127" i="12"/>
  <c r="K128" i="12"/>
  <c r="K127" i="8"/>
  <c r="J126" i="8"/>
  <c r="J126" i="7"/>
  <c r="K127" i="7"/>
  <c r="M127" i="7" s="1"/>
  <c r="M131" i="23" l="1"/>
  <c r="G131" i="23"/>
  <c r="M128" i="12"/>
  <c r="G128" i="12"/>
  <c r="M127" i="8"/>
  <c r="G127" i="8"/>
  <c r="G127" i="7"/>
  <c r="H131" i="23" l="1"/>
  <c r="I131" i="23"/>
  <c r="H128" i="12"/>
  <c r="I128" i="12"/>
  <c r="H127" i="8"/>
  <c r="I127" i="8"/>
  <c r="H127" i="7"/>
  <c r="I127" i="7"/>
  <c r="J131" i="23" l="1"/>
  <c r="K132" i="23"/>
  <c r="K129" i="12"/>
  <c r="J128" i="12"/>
  <c r="J127" i="8"/>
  <c r="K128" i="8"/>
  <c r="J127" i="7"/>
  <c r="K128" i="7"/>
  <c r="M128" i="7" s="1"/>
  <c r="M132" i="23" l="1"/>
  <c r="G132" i="23"/>
  <c r="M129" i="12"/>
  <c r="G129" i="12"/>
  <c r="M128" i="8"/>
  <c r="G128" i="8"/>
  <c r="G128" i="7"/>
  <c r="H132" i="23" l="1"/>
  <c r="I132" i="23"/>
  <c r="H129" i="12"/>
  <c r="I129" i="12"/>
  <c r="H128" i="8"/>
  <c r="I128" i="8"/>
  <c r="H128" i="7"/>
  <c r="I128" i="7"/>
  <c r="K133" i="23" l="1"/>
  <c r="J132" i="23"/>
  <c r="J129" i="12"/>
  <c r="K130" i="12"/>
  <c r="K129" i="8"/>
  <c r="J128" i="8"/>
  <c r="J128" i="7"/>
  <c r="K129" i="7"/>
  <c r="M129" i="7" s="1"/>
  <c r="M133" i="23" l="1"/>
  <c r="R24" i="23"/>
  <c r="Z8" i="23" s="1"/>
  <c r="G133" i="23"/>
  <c r="M130" i="12"/>
  <c r="G130" i="12"/>
  <c r="M129" i="8"/>
  <c r="G129" i="8"/>
  <c r="G129" i="7"/>
  <c r="H133" i="23" l="1"/>
  <c r="I133" i="23"/>
  <c r="H130" i="12"/>
  <c r="I130" i="12"/>
  <c r="H129" i="8"/>
  <c r="I129" i="8"/>
  <c r="H129" i="7"/>
  <c r="I129" i="7"/>
  <c r="P24" i="23" l="1"/>
  <c r="Z5" i="23" s="1"/>
  <c r="J133" i="23"/>
  <c r="K134" i="23"/>
  <c r="J130" i="12"/>
  <c r="K131" i="12"/>
  <c r="J129" i="8"/>
  <c r="K130" i="8"/>
  <c r="J129" i="7"/>
  <c r="K130" i="7"/>
  <c r="M130" i="7" s="1"/>
  <c r="Q24" i="23" l="1"/>
  <c r="M134" i="23"/>
  <c r="G134" i="23"/>
  <c r="M131" i="12"/>
  <c r="G131" i="12"/>
  <c r="M130" i="8"/>
  <c r="G130" i="8"/>
  <c r="G130" i="7"/>
  <c r="H134" i="23" l="1"/>
  <c r="I134" i="23"/>
  <c r="Z6" i="23"/>
  <c r="Z7" i="23" s="1"/>
  <c r="S24" i="23"/>
  <c r="H131" i="12"/>
  <c r="I131" i="12"/>
  <c r="H130" i="8"/>
  <c r="I130" i="8"/>
  <c r="H130" i="7"/>
  <c r="I130" i="7"/>
  <c r="J134" i="23" l="1"/>
  <c r="K135" i="23"/>
  <c r="K132" i="12"/>
  <c r="J131" i="12"/>
  <c r="K131" i="8"/>
  <c r="J130" i="8"/>
  <c r="J130" i="7"/>
  <c r="K131" i="7"/>
  <c r="M131" i="7" s="1"/>
  <c r="M135" i="23" l="1"/>
  <c r="G135" i="23"/>
  <c r="M132" i="12"/>
  <c r="G132" i="12"/>
  <c r="M131" i="8"/>
  <c r="G131" i="8"/>
  <c r="G131" i="7"/>
  <c r="H135" i="23" l="1"/>
  <c r="I135" i="23"/>
  <c r="H132" i="12"/>
  <c r="I132" i="12"/>
  <c r="H131" i="8"/>
  <c r="I131" i="8"/>
  <c r="H131" i="7"/>
  <c r="I131" i="7"/>
  <c r="J135" i="23" l="1"/>
  <c r="K136" i="23"/>
  <c r="K133" i="12"/>
  <c r="R24" i="12" s="1"/>
  <c r="Z8" i="12" s="1"/>
  <c r="M52" i="13" s="1"/>
  <c r="M57" i="13" s="1"/>
  <c r="M58" i="13" s="1"/>
  <c r="M61" i="13" s="1"/>
  <c r="M62" i="13" s="1"/>
  <c r="J132" i="12"/>
  <c r="J131" i="8"/>
  <c r="K132" i="8"/>
  <c r="J131" i="7"/>
  <c r="K132" i="7"/>
  <c r="M132" i="7" s="1"/>
  <c r="M136" i="23" l="1"/>
  <c r="G136" i="23"/>
  <c r="M53" i="13"/>
  <c r="M54" i="13" s="1"/>
  <c r="M133" i="12"/>
  <c r="G133" i="12"/>
  <c r="M132" i="8"/>
  <c r="G132" i="8"/>
  <c r="G132" i="7"/>
  <c r="H136" i="23" l="1"/>
  <c r="I136" i="23"/>
  <c r="H133" i="12"/>
  <c r="I133" i="12"/>
  <c r="H132" i="8"/>
  <c r="I132" i="8"/>
  <c r="H132" i="7"/>
  <c r="I132" i="7"/>
  <c r="K137" i="23" l="1"/>
  <c r="J136" i="23"/>
  <c r="P24" i="12"/>
  <c r="Z5" i="12" s="1"/>
  <c r="J133" i="12"/>
  <c r="K134" i="12"/>
  <c r="K133" i="8"/>
  <c r="U24" i="8" s="1"/>
  <c r="J132" i="8"/>
  <c r="J132" i="7"/>
  <c r="K133" i="7"/>
  <c r="M133" i="7" s="1"/>
  <c r="M137" i="23" l="1"/>
  <c r="G137" i="23"/>
  <c r="M134" i="12"/>
  <c r="G134" i="12"/>
  <c r="Q24" i="12"/>
  <c r="M133" i="8"/>
  <c r="G133" i="8"/>
  <c r="Q24" i="8" s="1"/>
  <c r="G133" i="7"/>
  <c r="H137" i="23" l="1"/>
  <c r="I137" i="23"/>
  <c r="S24" i="12"/>
  <c r="Z6" i="12"/>
  <c r="Z7" i="12" s="1"/>
  <c r="H134" i="12"/>
  <c r="I134" i="12"/>
  <c r="H133" i="8"/>
  <c r="R24" i="8" s="1"/>
  <c r="I133" i="8"/>
  <c r="H133" i="7"/>
  <c r="I133" i="7"/>
  <c r="K138" i="23" l="1"/>
  <c r="J137" i="23"/>
  <c r="K135" i="12"/>
  <c r="J134" i="12"/>
  <c r="S24" i="8"/>
  <c r="J133" i="8"/>
  <c r="T24" i="8" s="1"/>
  <c r="K134" i="8"/>
  <c r="J133" i="7"/>
  <c r="K134" i="7"/>
  <c r="M134" i="7" s="1"/>
  <c r="M138" i="23" l="1"/>
  <c r="G138" i="23"/>
  <c r="M135" i="12"/>
  <c r="G135" i="12"/>
  <c r="M134" i="8"/>
  <c r="G134" i="8"/>
  <c r="G134" i="7"/>
  <c r="H138" i="23" l="1"/>
  <c r="I138" i="23"/>
  <c r="H135" i="12"/>
  <c r="I135" i="12"/>
  <c r="H134" i="8"/>
  <c r="I134" i="8"/>
  <c r="H134" i="7"/>
  <c r="I134" i="7"/>
  <c r="P25" i="7" s="1"/>
  <c r="J138" i="23" l="1"/>
  <c r="K139" i="23"/>
  <c r="J135" i="12"/>
  <c r="K136" i="12"/>
  <c r="K135" i="8"/>
  <c r="J134" i="8"/>
  <c r="J134" i="7"/>
  <c r="Q25" i="7" s="1"/>
  <c r="R25" i="7" s="1"/>
  <c r="K135" i="7"/>
  <c r="M135" i="7" s="1"/>
  <c r="M139" i="23" l="1"/>
  <c r="G139" i="23"/>
  <c r="M136" i="12"/>
  <c r="G136" i="12"/>
  <c r="M135" i="8"/>
  <c r="G135" i="8"/>
  <c r="G135" i="7"/>
  <c r="H139" i="23" l="1"/>
  <c r="I139" i="23"/>
  <c r="H136" i="12"/>
  <c r="I136" i="12"/>
  <c r="H135" i="8"/>
  <c r="I135" i="8"/>
  <c r="H135" i="7"/>
  <c r="I135" i="7"/>
  <c r="K140" i="23" l="1"/>
  <c r="J139" i="23"/>
  <c r="K137" i="12"/>
  <c r="J136" i="12"/>
  <c r="J135" i="8"/>
  <c r="K136" i="8"/>
  <c r="J135" i="7"/>
  <c r="K136" i="7"/>
  <c r="M136" i="7" s="1"/>
  <c r="M140" i="23" l="1"/>
  <c r="G140" i="23"/>
  <c r="M137" i="12"/>
  <c r="G137" i="12"/>
  <c r="M136" i="8"/>
  <c r="G136" i="8"/>
  <c r="G136" i="7"/>
  <c r="H140" i="23" l="1"/>
  <c r="I140" i="23"/>
  <c r="H137" i="12"/>
  <c r="I137" i="12"/>
  <c r="H136" i="8"/>
  <c r="I136" i="8"/>
  <c r="H136" i="7"/>
  <c r="I136" i="7"/>
  <c r="J140" i="23" l="1"/>
  <c r="K141" i="23"/>
  <c r="J137" i="12"/>
  <c r="K138" i="12"/>
  <c r="J136" i="8"/>
  <c r="K137" i="8"/>
  <c r="J136" i="7"/>
  <c r="K137" i="7"/>
  <c r="M137" i="7" s="1"/>
  <c r="M141" i="23" l="1"/>
  <c r="G141" i="23"/>
  <c r="M138" i="12"/>
  <c r="G138" i="12"/>
  <c r="M137" i="8"/>
  <c r="G137" i="8"/>
  <c r="G137" i="7"/>
  <c r="H141" i="23" l="1"/>
  <c r="I141" i="23"/>
  <c r="H138" i="12"/>
  <c r="I138" i="12"/>
  <c r="H137" i="8"/>
  <c r="I137" i="8"/>
  <c r="H137" i="7"/>
  <c r="I137" i="7"/>
  <c r="K142" i="23" l="1"/>
  <c r="J141" i="23"/>
  <c r="K139" i="12"/>
  <c r="J138" i="12"/>
  <c r="K138" i="8"/>
  <c r="J137" i="8"/>
  <c r="J137" i="7"/>
  <c r="K138" i="7"/>
  <c r="M138" i="7" s="1"/>
  <c r="M142" i="23" l="1"/>
  <c r="G142" i="23"/>
  <c r="M139" i="12"/>
  <c r="G139" i="12"/>
  <c r="M138" i="8"/>
  <c r="G138" i="8"/>
  <c r="G138" i="7"/>
  <c r="H142" i="23" l="1"/>
  <c r="I142" i="23"/>
  <c r="H139" i="12"/>
  <c r="I139" i="12"/>
  <c r="H138" i="8"/>
  <c r="I138" i="8"/>
  <c r="H138" i="7"/>
  <c r="I138" i="7"/>
  <c r="J142" i="23" l="1"/>
  <c r="K143" i="23"/>
  <c r="J139" i="12"/>
  <c r="K140" i="12"/>
  <c r="J138" i="8"/>
  <c r="K139" i="8"/>
  <c r="J138" i="7"/>
  <c r="K139" i="7"/>
  <c r="M139" i="7" s="1"/>
  <c r="M143" i="23" l="1"/>
  <c r="G143" i="23"/>
  <c r="M140" i="12"/>
  <c r="G140" i="12"/>
  <c r="M139" i="8"/>
  <c r="G139" i="8"/>
  <c r="G139" i="7"/>
  <c r="H143" i="23" l="1"/>
  <c r="I143" i="23"/>
  <c r="H140" i="12"/>
  <c r="I140" i="12"/>
  <c r="H139" i="8"/>
  <c r="I139" i="8"/>
  <c r="H139" i="7"/>
  <c r="I139" i="7"/>
  <c r="K144" i="23" l="1"/>
  <c r="J143" i="23"/>
  <c r="J140" i="12"/>
  <c r="K141" i="12"/>
  <c r="K140" i="8"/>
  <c r="J139" i="8"/>
  <c r="J139" i="7"/>
  <c r="K140" i="7"/>
  <c r="M140" i="7" s="1"/>
  <c r="M144" i="23" l="1"/>
  <c r="G144" i="23"/>
  <c r="M141" i="12"/>
  <c r="G141" i="12"/>
  <c r="M140" i="8"/>
  <c r="G140" i="8"/>
  <c r="G140" i="7"/>
  <c r="H144" i="23" l="1"/>
  <c r="I144" i="23"/>
  <c r="H141" i="12"/>
  <c r="I141" i="12"/>
  <c r="H140" i="8"/>
  <c r="I140" i="8"/>
  <c r="H140" i="7"/>
  <c r="I140" i="7"/>
  <c r="J144" i="23" l="1"/>
  <c r="K145" i="23"/>
  <c r="K142" i="12"/>
  <c r="J141" i="12"/>
  <c r="J140" i="8"/>
  <c r="K141" i="8"/>
  <c r="J140" i="7"/>
  <c r="K141" i="7"/>
  <c r="M141" i="7" s="1"/>
  <c r="R25" i="23" l="1"/>
  <c r="AA8" i="23" s="1"/>
  <c r="M145" i="23"/>
  <c r="G145" i="23"/>
  <c r="M142" i="12"/>
  <c r="G142" i="12"/>
  <c r="M141" i="8"/>
  <c r="G141" i="8"/>
  <c r="G141" i="7"/>
  <c r="H145" i="23" l="1"/>
  <c r="I145" i="23"/>
  <c r="H142" i="12"/>
  <c r="I142" i="12"/>
  <c r="H141" i="8"/>
  <c r="I141" i="8"/>
  <c r="H141" i="7"/>
  <c r="I141" i="7"/>
  <c r="P25" i="23" l="1"/>
  <c r="AA5" i="23" s="1"/>
  <c r="K146" i="23"/>
  <c r="J145" i="23"/>
  <c r="J142" i="12"/>
  <c r="K143" i="12"/>
  <c r="K142" i="8"/>
  <c r="J141" i="8"/>
  <c r="J141" i="7"/>
  <c r="K142" i="7"/>
  <c r="M142" i="7" s="1"/>
  <c r="M146" i="23" l="1"/>
  <c r="G146" i="23"/>
  <c r="Q25" i="23"/>
  <c r="M143" i="12"/>
  <c r="G143" i="12"/>
  <c r="M142" i="8"/>
  <c r="G142" i="8"/>
  <c r="G142" i="7"/>
  <c r="S25" i="23" l="1"/>
  <c r="AA6" i="23"/>
  <c r="AA7" i="23" s="1"/>
  <c r="H146" i="23"/>
  <c r="I146" i="23"/>
  <c r="H143" i="12"/>
  <c r="I143" i="12"/>
  <c r="H142" i="8"/>
  <c r="I142" i="8"/>
  <c r="H142" i="7"/>
  <c r="I142" i="7"/>
  <c r="K147" i="23" l="1"/>
  <c r="J146" i="23"/>
  <c r="K144" i="12"/>
  <c r="J143" i="12"/>
  <c r="J142" i="8"/>
  <c r="K143" i="8"/>
  <c r="J142" i="7"/>
  <c r="K143" i="7"/>
  <c r="M143" i="7" s="1"/>
  <c r="M147" i="23" l="1"/>
  <c r="G147" i="23"/>
  <c r="G144" i="12"/>
  <c r="M144" i="12"/>
  <c r="M143" i="8"/>
  <c r="G143" i="8"/>
  <c r="G143" i="7"/>
  <c r="H147" i="23" l="1"/>
  <c r="I147" i="23"/>
  <c r="H144" i="12"/>
  <c r="I144" i="12"/>
  <c r="H143" i="8"/>
  <c r="I143" i="8"/>
  <c r="H143" i="7"/>
  <c r="I143" i="7"/>
  <c r="J147" i="23" l="1"/>
  <c r="K148" i="23"/>
  <c r="J144" i="12"/>
  <c r="K145" i="12"/>
  <c r="R25" i="12" s="1"/>
  <c r="AA8" i="12" s="1"/>
  <c r="N52" i="13" s="1"/>
  <c r="N57" i="13" s="1"/>
  <c r="N58" i="13" s="1"/>
  <c r="N61" i="13" s="1"/>
  <c r="N62" i="13" s="1"/>
  <c r="K144" i="8"/>
  <c r="J143" i="8"/>
  <c r="J143" i="7"/>
  <c r="K144" i="7"/>
  <c r="M144" i="7" s="1"/>
  <c r="M148" i="23" l="1"/>
  <c r="G148" i="23"/>
  <c r="N53" i="13"/>
  <c r="N54" i="13" s="1"/>
  <c r="M145" i="12"/>
  <c r="G145" i="12"/>
  <c r="M144" i="8"/>
  <c r="G144" i="8"/>
  <c r="G144" i="7"/>
  <c r="H148" i="23" l="1"/>
  <c r="I148" i="23"/>
  <c r="H145" i="12"/>
  <c r="I145" i="12"/>
  <c r="H144" i="8"/>
  <c r="I144" i="8"/>
  <c r="H144" i="7"/>
  <c r="I144" i="7"/>
  <c r="K149" i="23" l="1"/>
  <c r="J148" i="23"/>
  <c r="P25" i="12"/>
  <c r="AA5" i="12" s="1"/>
  <c r="K146" i="12"/>
  <c r="J145" i="12"/>
  <c r="J144" i="8"/>
  <c r="K145" i="8"/>
  <c r="U25" i="8" s="1"/>
  <c r="J144" i="7"/>
  <c r="K145" i="7"/>
  <c r="M145" i="7" s="1"/>
  <c r="M149" i="23" l="1"/>
  <c r="G149" i="23"/>
  <c r="Q25" i="12"/>
  <c r="M146" i="12"/>
  <c r="G146" i="12"/>
  <c r="M145" i="8"/>
  <c r="G145" i="8"/>
  <c r="Q25" i="8" s="1"/>
  <c r="G145" i="7"/>
  <c r="H149" i="23" l="1"/>
  <c r="I149" i="23"/>
  <c r="S25" i="12"/>
  <c r="AA6" i="12"/>
  <c r="AA7" i="12" s="1"/>
  <c r="H146" i="12"/>
  <c r="I146" i="12"/>
  <c r="H145" i="8"/>
  <c r="R25" i="8" s="1"/>
  <c r="I145" i="8"/>
  <c r="H145" i="7"/>
  <c r="I145" i="7"/>
  <c r="K150" i="23" l="1"/>
  <c r="J149" i="23"/>
  <c r="J146" i="12"/>
  <c r="K147" i="12"/>
  <c r="S25" i="8"/>
  <c r="K146" i="8"/>
  <c r="J145" i="8"/>
  <c r="T25" i="8" s="1"/>
  <c r="J145" i="7"/>
  <c r="K146" i="7"/>
  <c r="M146" i="7" s="1"/>
  <c r="M150" i="23" l="1"/>
  <c r="G150" i="23"/>
  <c r="G147" i="12"/>
  <c r="M147" i="12"/>
  <c r="M146" i="8"/>
  <c r="G146" i="8"/>
  <c r="G146" i="7"/>
  <c r="H150" i="23" l="1"/>
  <c r="I150" i="23"/>
  <c r="H147" i="12"/>
  <c r="I147" i="12"/>
  <c r="H146" i="8"/>
  <c r="I146" i="8"/>
  <c r="H146" i="7"/>
  <c r="I146" i="7"/>
  <c r="P26" i="7" s="1"/>
  <c r="K151" i="23" l="1"/>
  <c r="J150" i="23"/>
  <c r="J147" i="12"/>
  <c r="K148" i="12"/>
  <c r="J146" i="8"/>
  <c r="K147" i="8"/>
  <c r="J146" i="7"/>
  <c r="Q26" i="7" s="1"/>
  <c r="R26" i="7" s="1"/>
  <c r="K147" i="7"/>
  <c r="M147" i="7" s="1"/>
  <c r="M151" i="23" l="1"/>
  <c r="G151" i="23"/>
  <c r="M148" i="12"/>
  <c r="G148" i="12"/>
  <c r="M147" i="8"/>
  <c r="G147" i="8"/>
  <c r="G147" i="7"/>
  <c r="H151" i="23" l="1"/>
  <c r="I151" i="23"/>
  <c r="H148" i="12"/>
  <c r="I148" i="12"/>
  <c r="H147" i="8"/>
  <c r="I147" i="8"/>
  <c r="H147" i="7"/>
  <c r="I147" i="7"/>
  <c r="J151" i="23" l="1"/>
  <c r="K152" i="23"/>
  <c r="J148" i="12"/>
  <c r="K149" i="12"/>
  <c r="K148" i="8"/>
  <c r="J147" i="8"/>
  <c r="J147" i="7"/>
  <c r="K148" i="7"/>
  <c r="M148" i="7" s="1"/>
  <c r="M152" i="23" l="1"/>
  <c r="G152" i="23"/>
  <c r="M149" i="12"/>
  <c r="G149" i="12"/>
  <c r="M148" i="8"/>
  <c r="G148" i="8"/>
  <c r="G148" i="7"/>
  <c r="H152" i="23" l="1"/>
  <c r="I152" i="23"/>
  <c r="H149" i="12"/>
  <c r="I149" i="12"/>
  <c r="H148" i="8"/>
  <c r="I148" i="8"/>
  <c r="H148" i="7"/>
  <c r="I148" i="7"/>
  <c r="J152" i="23" l="1"/>
  <c r="K153" i="23"/>
  <c r="K150" i="12"/>
  <c r="J149" i="12"/>
  <c r="J148" i="8"/>
  <c r="K149" i="8"/>
  <c r="J148" i="7"/>
  <c r="K149" i="7"/>
  <c r="M149" i="7" s="1"/>
  <c r="M153" i="23" l="1"/>
  <c r="G153" i="23"/>
  <c r="M150" i="12"/>
  <c r="G150" i="12"/>
  <c r="M149" i="8"/>
  <c r="G149" i="8"/>
  <c r="G149" i="7"/>
  <c r="H153" i="23" l="1"/>
  <c r="I153" i="23"/>
  <c r="H150" i="12"/>
  <c r="I150" i="12"/>
  <c r="H149" i="8"/>
  <c r="I149" i="8"/>
  <c r="H149" i="7"/>
  <c r="I149" i="7"/>
  <c r="J153" i="23" l="1"/>
  <c r="K154" i="23"/>
  <c r="J150" i="12"/>
  <c r="K151" i="12"/>
  <c r="K150" i="8"/>
  <c r="J149" i="8"/>
  <c r="J149" i="7"/>
  <c r="K150" i="7"/>
  <c r="M150" i="7" s="1"/>
  <c r="M154" i="23" l="1"/>
  <c r="G154" i="23"/>
  <c r="M151" i="12"/>
  <c r="G151" i="12"/>
  <c r="M150" i="8"/>
  <c r="G150" i="8"/>
  <c r="G150" i="7"/>
  <c r="H154" i="23" l="1"/>
  <c r="I154" i="23"/>
  <c r="H151" i="12"/>
  <c r="I151" i="12"/>
  <c r="H150" i="8"/>
  <c r="I150" i="8"/>
  <c r="H150" i="7"/>
  <c r="I150" i="7"/>
  <c r="K155" i="23" l="1"/>
  <c r="J154" i="23"/>
  <c r="K152" i="12"/>
  <c r="J151" i="12"/>
  <c r="J150" i="8"/>
  <c r="K151" i="8"/>
  <c r="J150" i="7"/>
  <c r="K151" i="7"/>
  <c r="M151" i="7" s="1"/>
  <c r="M155" i="23" l="1"/>
  <c r="G155" i="23"/>
  <c r="M152" i="12"/>
  <c r="G152" i="12"/>
  <c r="M151" i="8"/>
  <c r="G151" i="8"/>
  <c r="G151" i="7"/>
  <c r="H155" i="23" l="1"/>
  <c r="I155" i="23"/>
  <c r="H152" i="12"/>
  <c r="I152" i="12"/>
  <c r="H151" i="8"/>
  <c r="I151" i="8"/>
  <c r="H151" i="7"/>
  <c r="I151" i="7"/>
  <c r="K156" i="23" l="1"/>
  <c r="J155" i="23"/>
  <c r="J152" i="12"/>
  <c r="K153" i="12"/>
  <c r="K152" i="8"/>
  <c r="J151" i="8"/>
  <c r="J151" i="7"/>
  <c r="K152" i="7"/>
  <c r="M152" i="7" s="1"/>
  <c r="M156" i="23" l="1"/>
  <c r="G156" i="23"/>
  <c r="M153" i="12"/>
  <c r="G153" i="12"/>
  <c r="M152" i="8"/>
  <c r="G152" i="8"/>
  <c r="G152" i="7"/>
  <c r="H156" i="23" l="1"/>
  <c r="I156" i="23"/>
  <c r="H153" i="12"/>
  <c r="I153" i="12"/>
  <c r="H152" i="8"/>
  <c r="I152" i="8"/>
  <c r="H152" i="7"/>
  <c r="I152" i="7"/>
  <c r="J156" i="23" l="1"/>
  <c r="K157" i="23"/>
  <c r="K154" i="12"/>
  <c r="J153" i="12"/>
  <c r="J152" i="8"/>
  <c r="K153" i="8"/>
  <c r="J152" i="7"/>
  <c r="K153" i="7"/>
  <c r="M153" i="7" s="1"/>
  <c r="M157" i="23" l="1"/>
  <c r="R26" i="23"/>
  <c r="AB8" i="23" s="1"/>
  <c r="G157" i="23"/>
  <c r="G154" i="12"/>
  <c r="M154" i="12"/>
  <c r="M153" i="8"/>
  <c r="G153" i="8"/>
  <c r="G153" i="7"/>
  <c r="H157" i="23" l="1"/>
  <c r="I157" i="23"/>
  <c r="H154" i="12"/>
  <c r="I154" i="12"/>
  <c r="H153" i="8"/>
  <c r="I153" i="8"/>
  <c r="H153" i="7"/>
  <c r="I153" i="7"/>
  <c r="P26" i="23" l="1"/>
  <c r="AB5" i="23" s="1"/>
  <c r="K158" i="23"/>
  <c r="J157" i="23"/>
  <c r="J154" i="12"/>
  <c r="K155" i="12"/>
  <c r="K154" i="8"/>
  <c r="J153" i="8"/>
  <c r="J153" i="7"/>
  <c r="K154" i="7"/>
  <c r="M154" i="7" s="1"/>
  <c r="Q26" i="23" l="1"/>
  <c r="M158" i="23"/>
  <c r="G158" i="23"/>
  <c r="M155" i="12"/>
  <c r="G155" i="12"/>
  <c r="M154" i="8"/>
  <c r="G154" i="8"/>
  <c r="G154" i="7"/>
  <c r="H158" i="23" l="1"/>
  <c r="I158" i="23"/>
  <c r="AB6" i="23"/>
  <c r="AB7" i="23" s="1"/>
  <c r="S26" i="23"/>
  <c r="H155" i="12"/>
  <c r="I155" i="12"/>
  <c r="H154" i="8"/>
  <c r="I154" i="8"/>
  <c r="H154" i="7"/>
  <c r="I154" i="7"/>
  <c r="J158" i="23" l="1"/>
  <c r="K159" i="23"/>
  <c r="K156" i="12"/>
  <c r="J155" i="12"/>
  <c r="J154" i="8"/>
  <c r="K155" i="8"/>
  <c r="J154" i="7"/>
  <c r="K155" i="7"/>
  <c r="M155" i="7" s="1"/>
  <c r="M159" i="23" l="1"/>
  <c r="G159" i="23"/>
  <c r="M156" i="12"/>
  <c r="G156" i="12"/>
  <c r="M155" i="8"/>
  <c r="G155" i="8"/>
  <c r="G155" i="7"/>
  <c r="H159" i="23" l="1"/>
  <c r="I159" i="23"/>
  <c r="H156" i="12"/>
  <c r="I156" i="12"/>
  <c r="H155" i="8"/>
  <c r="I155" i="8"/>
  <c r="H155" i="7"/>
  <c r="I155" i="7"/>
  <c r="J159" i="23" l="1"/>
  <c r="K160" i="23"/>
  <c r="J156" i="12"/>
  <c r="K157" i="12"/>
  <c r="R26" i="12" s="1"/>
  <c r="AB8" i="12" s="1"/>
  <c r="O52" i="13" s="1"/>
  <c r="O57" i="13" s="1"/>
  <c r="O58" i="13" s="1"/>
  <c r="O61" i="13" s="1"/>
  <c r="O62" i="13" s="1"/>
  <c r="J155" i="8"/>
  <c r="K156" i="8"/>
  <c r="J155" i="7"/>
  <c r="K156" i="7"/>
  <c r="M156" i="7" s="1"/>
  <c r="M160" i="23" l="1"/>
  <c r="G160" i="23"/>
  <c r="O53" i="13"/>
  <c r="O54" i="13" s="1"/>
  <c r="M157" i="12"/>
  <c r="G157" i="12"/>
  <c r="M156" i="8"/>
  <c r="G156" i="8"/>
  <c r="G156" i="7"/>
  <c r="H160" i="23" l="1"/>
  <c r="I160" i="23"/>
  <c r="H157" i="12"/>
  <c r="I157" i="12"/>
  <c r="H156" i="8"/>
  <c r="I156" i="8"/>
  <c r="H156" i="7"/>
  <c r="I156" i="7"/>
  <c r="J160" i="23" l="1"/>
  <c r="K161" i="23"/>
  <c r="P26" i="12"/>
  <c r="AB5" i="12" s="1"/>
  <c r="K158" i="12"/>
  <c r="J157" i="12"/>
  <c r="K157" i="8"/>
  <c r="U26" i="8" s="1"/>
  <c r="J156" i="8"/>
  <c r="J156" i="7"/>
  <c r="K157" i="7"/>
  <c r="M157" i="7" s="1"/>
  <c r="M161" i="23" l="1"/>
  <c r="G161" i="23"/>
  <c r="Q26" i="12"/>
  <c r="M158" i="12"/>
  <c r="G158" i="12"/>
  <c r="M157" i="8"/>
  <c r="G157" i="8"/>
  <c r="Q26" i="8" s="1"/>
  <c r="G157" i="7"/>
  <c r="H161" i="23" l="1"/>
  <c r="I161" i="23"/>
  <c r="S26" i="12"/>
  <c r="AB6" i="12"/>
  <c r="AB7" i="12" s="1"/>
  <c r="H158" i="12"/>
  <c r="I158" i="12"/>
  <c r="H157" i="8"/>
  <c r="R26" i="8" s="1"/>
  <c r="I157" i="8"/>
  <c r="H157" i="7"/>
  <c r="I157" i="7"/>
  <c r="J161" i="23" l="1"/>
  <c r="K162" i="23"/>
  <c r="K159" i="12"/>
  <c r="J158" i="12"/>
  <c r="S26" i="8"/>
  <c r="J157" i="8"/>
  <c r="T26" i="8" s="1"/>
  <c r="K158" i="8"/>
  <c r="J157" i="7"/>
  <c r="K158" i="7"/>
  <c r="M158" i="7" s="1"/>
  <c r="M162" i="23" l="1"/>
  <c r="G162" i="23"/>
  <c r="M159" i="12"/>
  <c r="G159" i="12"/>
  <c r="M158" i="8"/>
  <c r="G158" i="8"/>
  <c r="G158" i="7"/>
  <c r="H162" i="23" l="1"/>
  <c r="I162" i="23"/>
  <c r="H159" i="12"/>
  <c r="I159" i="12"/>
  <c r="H158" i="8"/>
  <c r="I158" i="8"/>
  <c r="H158" i="7"/>
  <c r="I158" i="7"/>
  <c r="P27" i="7" s="1"/>
  <c r="J162" i="23" l="1"/>
  <c r="K163" i="23"/>
  <c r="J159" i="12"/>
  <c r="K160" i="12"/>
  <c r="K159" i="8"/>
  <c r="J158" i="8"/>
  <c r="J158" i="7"/>
  <c r="Q27" i="7" s="1"/>
  <c r="R27" i="7" s="1"/>
  <c r="K159" i="7"/>
  <c r="M159" i="7" s="1"/>
  <c r="M163" i="23" l="1"/>
  <c r="G163" i="23"/>
  <c r="M160" i="12"/>
  <c r="G160" i="12"/>
  <c r="M159" i="8"/>
  <c r="G159" i="8"/>
  <c r="G159" i="7"/>
  <c r="H163" i="23" l="1"/>
  <c r="I163" i="23"/>
  <c r="H160" i="12"/>
  <c r="I160" i="12"/>
  <c r="H159" i="8"/>
  <c r="I159" i="8"/>
  <c r="H159" i="7"/>
  <c r="I159" i="7"/>
  <c r="J163" i="23" l="1"/>
  <c r="K164" i="23"/>
  <c r="K161" i="12"/>
  <c r="J160" i="12"/>
  <c r="J159" i="8"/>
  <c r="K160" i="8"/>
  <c r="J159" i="7"/>
  <c r="K160" i="7"/>
  <c r="M160" i="7" s="1"/>
  <c r="M164" i="23" l="1"/>
  <c r="G164" i="23"/>
  <c r="M161" i="12"/>
  <c r="G161" i="12"/>
  <c r="M160" i="8"/>
  <c r="G160" i="8"/>
  <c r="G160" i="7"/>
  <c r="H164" i="23" l="1"/>
  <c r="I164" i="23"/>
  <c r="H161" i="12"/>
  <c r="I161" i="12"/>
  <c r="H160" i="8"/>
  <c r="I160" i="8"/>
  <c r="H160" i="7"/>
  <c r="I160" i="7"/>
  <c r="K165" i="23" l="1"/>
  <c r="J164" i="23"/>
  <c r="J161" i="12"/>
  <c r="K162" i="12"/>
  <c r="K161" i="8"/>
  <c r="J160" i="8"/>
  <c r="J160" i="7"/>
  <c r="K161" i="7"/>
  <c r="M161" i="7" s="1"/>
  <c r="M165" i="23" l="1"/>
  <c r="G165" i="23"/>
  <c r="M162" i="12"/>
  <c r="G162" i="12"/>
  <c r="M161" i="8"/>
  <c r="G161" i="8"/>
  <c r="G161" i="7"/>
  <c r="H165" i="23" l="1"/>
  <c r="I165" i="23"/>
  <c r="H162" i="12"/>
  <c r="I162" i="12"/>
  <c r="H161" i="8"/>
  <c r="I161" i="8"/>
  <c r="H161" i="7"/>
  <c r="I161" i="7"/>
  <c r="J165" i="23" l="1"/>
  <c r="K166" i="23"/>
  <c r="K163" i="12"/>
  <c r="J162" i="12"/>
  <c r="J161" i="8"/>
  <c r="K162" i="8"/>
  <c r="J161" i="7"/>
  <c r="K162" i="7"/>
  <c r="M162" i="7" s="1"/>
  <c r="M166" i="23" l="1"/>
  <c r="G166" i="23"/>
  <c r="M163" i="12"/>
  <c r="G163" i="12"/>
  <c r="M162" i="8"/>
  <c r="G162" i="8"/>
  <c r="G162" i="7"/>
  <c r="H166" i="23" l="1"/>
  <c r="I166" i="23"/>
  <c r="H163" i="12"/>
  <c r="I163" i="12"/>
  <c r="H162" i="8"/>
  <c r="I162" i="8"/>
  <c r="H162" i="7"/>
  <c r="I162" i="7"/>
  <c r="J166" i="23" l="1"/>
  <c r="K167" i="23"/>
  <c r="J163" i="12"/>
  <c r="K164" i="12"/>
  <c r="K163" i="8"/>
  <c r="J162" i="8"/>
  <c r="J162" i="7"/>
  <c r="K163" i="7"/>
  <c r="M163" i="7" s="1"/>
  <c r="M167" i="23" l="1"/>
  <c r="G167" i="23"/>
  <c r="M164" i="12"/>
  <c r="G164" i="12"/>
  <c r="G163" i="8"/>
  <c r="M163" i="8"/>
  <c r="G163" i="7"/>
  <c r="H167" i="23" l="1"/>
  <c r="I167" i="23"/>
  <c r="H164" i="12"/>
  <c r="I164" i="12"/>
  <c r="H163" i="8"/>
  <c r="I163" i="8"/>
  <c r="H163" i="7"/>
  <c r="I163" i="7"/>
  <c r="K168" i="23" l="1"/>
  <c r="J167" i="23"/>
  <c r="K165" i="12"/>
  <c r="J164" i="12"/>
  <c r="J163" i="8"/>
  <c r="K164" i="8"/>
  <c r="J163" i="7"/>
  <c r="K164" i="7"/>
  <c r="M164" i="7" s="1"/>
  <c r="M168" i="23" l="1"/>
  <c r="G168" i="23"/>
  <c r="G165" i="12"/>
  <c r="M165" i="12"/>
  <c r="M164" i="8"/>
  <c r="G164" i="8"/>
  <c r="G164" i="7"/>
  <c r="H168" i="23" l="1"/>
  <c r="I168" i="23"/>
  <c r="H165" i="12"/>
  <c r="I165" i="12"/>
  <c r="H164" i="8"/>
  <c r="I164" i="8"/>
  <c r="H164" i="7"/>
  <c r="I164" i="7"/>
  <c r="J168" i="23" l="1"/>
  <c r="K169" i="23"/>
  <c r="J165" i="12"/>
  <c r="K166" i="12"/>
  <c r="K165" i="8"/>
  <c r="J164" i="8"/>
  <c r="J164" i="7"/>
  <c r="K165" i="7"/>
  <c r="M165" i="7" s="1"/>
  <c r="M169" i="23" l="1"/>
  <c r="R27" i="23"/>
  <c r="AC8" i="23" s="1"/>
  <c r="G169" i="23"/>
  <c r="M166" i="12"/>
  <c r="G166" i="12"/>
  <c r="M165" i="8"/>
  <c r="G165" i="8"/>
  <c r="G165" i="7"/>
  <c r="H169" i="23" l="1"/>
  <c r="I169" i="23"/>
  <c r="H166" i="12"/>
  <c r="I166" i="12"/>
  <c r="H165" i="8"/>
  <c r="I165" i="8"/>
  <c r="H165" i="7"/>
  <c r="I165" i="7"/>
  <c r="P27" i="23" l="1"/>
  <c r="AC5" i="23" s="1"/>
  <c r="J169" i="23"/>
  <c r="K170" i="23"/>
  <c r="J166" i="12"/>
  <c r="K167" i="12"/>
  <c r="J165" i="8"/>
  <c r="K166" i="8"/>
  <c r="J165" i="7"/>
  <c r="K166" i="7"/>
  <c r="M166" i="7" s="1"/>
  <c r="Q27" i="23" l="1"/>
  <c r="M170" i="23"/>
  <c r="G170" i="23"/>
  <c r="M167" i="12"/>
  <c r="G167" i="12"/>
  <c r="M166" i="8"/>
  <c r="G166" i="8"/>
  <c r="G166" i="7"/>
  <c r="AC6" i="23" l="1"/>
  <c r="AC7" i="23" s="1"/>
  <c r="S27" i="23"/>
  <c r="H170" i="23"/>
  <c r="I170" i="23"/>
  <c r="H167" i="12"/>
  <c r="I167" i="12"/>
  <c r="H166" i="8"/>
  <c r="I166" i="8"/>
  <c r="H166" i="7"/>
  <c r="I166" i="7"/>
  <c r="J170" i="23" l="1"/>
  <c r="K171" i="23"/>
  <c r="K168" i="12"/>
  <c r="J167" i="12"/>
  <c r="K167" i="8"/>
  <c r="J166" i="8"/>
  <c r="J166" i="7"/>
  <c r="K167" i="7"/>
  <c r="M167" i="7" s="1"/>
  <c r="M171" i="23" l="1"/>
  <c r="G171" i="23"/>
  <c r="M168" i="12"/>
  <c r="G168" i="12"/>
  <c r="M167" i="8"/>
  <c r="G167" i="8"/>
  <c r="G167" i="7"/>
  <c r="H171" i="23" l="1"/>
  <c r="I171" i="23"/>
  <c r="H168" i="12"/>
  <c r="I168" i="12"/>
  <c r="H167" i="8"/>
  <c r="I167" i="8"/>
  <c r="H167" i="7"/>
  <c r="I167" i="7"/>
  <c r="K172" i="23" l="1"/>
  <c r="J171" i="23"/>
  <c r="J168" i="12"/>
  <c r="K169" i="12"/>
  <c r="R27" i="12" s="1"/>
  <c r="AC8" i="12" s="1"/>
  <c r="P52" i="13" s="1"/>
  <c r="P57" i="13" s="1"/>
  <c r="P58" i="13" s="1"/>
  <c r="P61" i="13" s="1"/>
  <c r="P62" i="13" s="1"/>
  <c r="J167" i="8"/>
  <c r="K168" i="8"/>
  <c r="J167" i="7"/>
  <c r="K168" i="7"/>
  <c r="M168" i="7" s="1"/>
  <c r="M172" i="23" l="1"/>
  <c r="G172" i="23"/>
  <c r="P53" i="13"/>
  <c r="P54" i="13" s="1"/>
  <c r="M169" i="12"/>
  <c r="G169" i="12"/>
  <c r="M168" i="8"/>
  <c r="G168" i="8"/>
  <c r="G168" i="7"/>
  <c r="H172" i="23" l="1"/>
  <c r="I172" i="23"/>
  <c r="H169" i="12"/>
  <c r="I169" i="12"/>
  <c r="H168" i="8"/>
  <c r="I168" i="8"/>
  <c r="H168" i="7"/>
  <c r="I168" i="7"/>
  <c r="J172" i="23" l="1"/>
  <c r="K173" i="23"/>
  <c r="P27" i="12"/>
  <c r="AC5" i="12" s="1"/>
  <c r="J169" i="12"/>
  <c r="K170" i="12"/>
  <c r="K169" i="8"/>
  <c r="U27" i="8" s="1"/>
  <c r="J168" i="8"/>
  <c r="J168" i="7"/>
  <c r="K169" i="7"/>
  <c r="M169" i="7" s="1"/>
  <c r="M173" i="23" l="1"/>
  <c r="G173" i="23"/>
  <c r="G170" i="12"/>
  <c r="M170" i="12"/>
  <c r="Q27" i="12"/>
  <c r="M169" i="8"/>
  <c r="G169" i="8"/>
  <c r="Q27" i="8" s="1"/>
  <c r="G169" i="7"/>
  <c r="H173" i="23" l="1"/>
  <c r="I173" i="23"/>
  <c r="S27" i="12"/>
  <c r="AC6" i="12"/>
  <c r="AC7" i="12" s="1"/>
  <c r="H170" i="12"/>
  <c r="I170" i="12"/>
  <c r="H169" i="8"/>
  <c r="R27" i="8" s="1"/>
  <c r="I169" i="8"/>
  <c r="H169" i="7"/>
  <c r="I169" i="7"/>
  <c r="K174" i="23" l="1"/>
  <c r="J173" i="23"/>
  <c r="K171" i="12"/>
  <c r="J170" i="12"/>
  <c r="S27" i="8"/>
  <c r="J169" i="8"/>
  <c r="T27" i="8" s="1"/>
  <c r="K170" i="8"/>
  <c r="J169" i="7"/>
  <c r="K170" i="7"/>
  <c r="M170" i="7" s="1"/>
  <c r="M174" i="23" l="1"/>
  <c r="G174" i="23"/>
  <c r="M171" i="12"/>
  <c r="G171" i="12"/>
  <c r="M170" i="8"/>
  <c r="G170" i="8"/>
  <c r="G170" i="7"/>
  <c r="H174" i="23" l="1"/>
  <c r="I174" i="23"/>
  <c r="H171" i="12"/>
  <c r="I171" i="12"/>
  <c r="H170" i="8"/>
  <c r="I170" i="8"/>
  <c r="H170" i="7"/>
  <c r="I170" i="7"/>
  <c r="P28" i="7" s="1"/>
  <c r="J174" i="23" l="1"/>
  <c r="K175" i="23"/>
  <c r="J171" i="12"/>
  <c r="K172" i="12"/>
  <c r="K171" i="8"/>
  <c r="J170" i="8"/>
  <c r="J170" i="7"/>
  <c r="Q28" i="7" s="1"/>
  <c r="R28" i="7" s="1"/>
  <c r="K171" i="7"/>
  <c r="M171" i="7" s="1"/>
  <c r="M175" i="23" l="1"/>
  <c r="G175" i="23"/>
  <c r="M172" i="12"/>
  <c r="G172" i="12"/>
  <c r="M171" i="8"/>
  <c r="G171" i="8"/>
  <c r="G171" i="7"/>
  <c r="H175" i="23" l="1"/>
  <c r="I175" i="23"/>
  <c r="H172" i="12"/>
  <c r="I172" i="12"/>
  <c r="H171" i="8"/>
  <c r="I171" i="8"/>
  <c r="H171" i="7"/>
  <c r="I171" i="7"/>
  <c r="K176" i="23" l="1"/>
  <c r="J175" i="23"/>
  <c r="K173" i="12"/>
  <c r="J172" i="12"/>
  <c r="J171" i="8"/>
  <c r="K172" i="8"/>
  <c r="J171" i="7"/>
  <c r="K172" i="7"/>
  <c r="M172" i="7" s="1"/>
  <c r="M176" i="23" l="1"/>
  <c r="G176" i="23"/>
  <c r="M173" i="12"/>
  <c r="G173" i="12"/>
  <c r="M172" i="8"/>
  <c r="G172" i="8"/>
  <c r="G172" i="7"/>
  <c r="H176" i="23" l="1"/>
  <c r="I176" i="23"/>
  <c r="H173" i="12"/>
  <c r="I173" i="12"/>
  <c r="H172" i="8"/>
  <c r="I172" i="8"/>
  <c r="H172" i="7"/>
  <c r="I172" i="7"/>
  <c r="K177" i="23" l="1"/>
  <c r="J176" i="23"/>
  <c r="K174" i="12"/>
  <c r="J173" i="12"/>
  <c r="K173" i="8"/>
  <c r="J172" i="8"/>
  <c r="J172" i="7"/>
  <c r="K173" i="7"/>
  <c r="M173" i="7" s="1"/>
  <c r="M177" i="23" l="1"/>
  <c r="G177" i="23"/>
  <c r="M174" i="12"/>
  <c r="G174" i="12"/>
  <c r="M173" i="8"/>
  <c r="G173" i="8"/>
  <c r="G173" i="7"/>
  <c r="H177" i="23" l="1"/>
  <c r="I177" i="23"/>
  <c r="H174" i="12"/>
  <c r="I174" i="12"/>
  <c r="H173" i="8"/>
  <c r="I173" i="8"/>
  <c r="H173" i="7"/>
  <c r="I173" i="7"/>
  <c r="J177" i="23" l="1"/>
  <c r="K178" i="23"/>
  <c r="K175" i="12"/>
  <c r="J174" i="12"/>
  <c r="J173" i="8"/>
  <c r="K174" i="8"/>
  <c r="J173" i="7"/>
  <c r="K174" i="7"/>
  <c r="M174" i="7" s="1"/>
  <c r="M178" i="23" l="1"/>
  <c r="G178" i="23"/>
  <c r="M175" i="12"/>
  <c r="G175" i="12"/>
  <c r="M174" i="8"/>
  <c r="G174" i="8"/>
  <c r="G174" i="7"/>
  <c r="H178" i="23" l="1"/>
  <c r="I178" i="23"/>
  <c r="H175" i="12"/>
  <c r="I175" i="12"/>
  <c r="H174" i="8"/>
  <c r="I174" i="8"/>
  <c r="H174" i="7"/>
  <c r="I174" i="7"/>
  <c r="K179" i="23" l="1"/>
  <c r="J178" i="23"/>
  <c r="J175" i="12"/>
  <c r="K176" i="12"/>
  <c r="K175" i="8"/>
  <c r="J174" i="8"/>
  <c r="J174" i="7"/>
  <c r="K175" i="7"/>
  <c r="M175" i="7" s="1"/>
  <c r="M179" i="23" l="1"/>
  <c r="G179" i="23"/>
  <c r="G176" i="12"/>
  <c r="M176" i="12"/>
  <c r="M175" i="8"/>
  <c r="G175" i="8"/>
  <c r="G175" i="7"/>
  <c r="H179" i="23" l="1"/>
  <c r="I179" i="23"/>
  <c r="H176" i="12"/>
  <c r="I176" i="12"/>
  <c r="H175" i="8"/>
  <c r="I175" i="8"/>
  <c r="H175" i="7"/>
  <c r="I175" i="7"/>
  <c r="J179" i="23" l="1"/>
  <c r="K180" i="23"/>
  <c r="K177" i="12"/>
  <c r="J176" i="12"/>
  <c r="J175" i="8"/>
  <c r="K176" i="8"/>
  <c r="J175" i="7"/>
  <c r="K176" i="7"/>
  <c r="M176" i="7" s="1"/>
  <c r="M180" i="23" l="1"/>
  <c r="G180" i="23"/>
  <c r="M177" i="12"/>
  <c r="G177" i="12"/>
  <c r="M176" i="8"/>
  <c r="G176" i="8"/>
  <c r="G176" i="7"/>
  <c r="H180" i="23" l="1"/>
  <c r="I180" i="23"/>
  <c r="H177" i="12"/>
  <c r="I177" i="12"/>
  <c r="H176" i="8"/>
  <c r="I176" i="8"/>
  <c r="H176" i="7"/>
  <c r="I176" i="7"/>
  <c r="K181" i="23" l="1"/>
  <c r="J180" i="23"/>
  <c r="J177" i="12"/>
  <c r="K178" i="12"/>
  <c r="K177" i="8"/>
  <c r="J176" i="8"/>
  <c r="J176" i="7"/>
  <c r="K177" i="7"/>
  <c r="M177" i="7" s="1"/>
  <c r="M181" i="23" l="1"/>
  <c r="R28" i="23"/>
  <c r="AD8" i="23" s="1"/>
  <c r="G181" i="23"/>
  <c r="M178" i="12"/>
  <c r="G178" i="12"/>
  <c r="M177" i="8"/>
  <c r="G177" i="8"/>
  <c r="G177" i="7"/>
  <c r="H181" i="23" l="1"/>
  <c r="I181" i="23"/>
  <c r="H178" i="12"/>
  <c r="I178" i="12"/>
  <c r="H177" i="8"/>
  <c r="I177" i="8"/>
  <c r="H177" i="7"/>
  <c r="I177" i="7"/>
  <c r="P28" i="23" l="1"/>
  <c r="AD5" i="23" s="1"/>
  <c r="J181" i="23"/>
  <c r="K182" i="23"/>
  <c r="K179" i="12"/>
  <c r="J178" i="12"/>
  <c r="J177" i="8"/>
  <c r="K178" i="8"/>
  <c r="J177" i="7"/>
  <c r="K178" i="7"/>
  <c r="M178" i="7" s="1"/>
  <c r="M182" i="23" l="1"/>
  <c r="G182" i="23"/>
  <c r="Q28" i="23"/>
  <c r="M179" i="12"/>
  <c r="G179" i="12"/>
  <c r="M178" i="8"/>
  <c r="G178" i="8"/>
  <c r="G178" i="7"/>
  <c r="S28" i="23" l="1"/>
  <c r="AD6" i="23"/>
  <c r="AD7" i="23" s="1"/>
  <c r="H182" i="23"/>
  <c r="I182" i="23"/>
  <c r="H179" i="12"/>
  <c r="I179" i="12"/>
  <c r="H178" i="8"/>
  <c r="I178" i="8"/>
  <c r="H178" i="7"/>
  <c r="I178" i="7"/>
  <c r="K183" i="23" l="1"/>
  <c r="J182" i="23"/>
  <c r="J179" i="12"/>
  <c r="K180" i="12"/>
  <c r="K179" i="8"/>
  <c r="J178" i="8"/>
  <c r="J178" i="7"/>
  <c r="K179" i="7"/>
  <c r="M179" i="7" s="1"/>
  <c r="M183" i="23" l="1"/>
  <c r="G183" i="23"/>
  <c r="M180" i="12"/>
  <c r="G180" i="12"/>
  <c r="M179" i="8"/>
  <c r="G179" i="8"/>
  <c r="G179" i="7"/>
  <c r="H183" i="23" l="1"/>
  <c r="I183" i="23"/>
  <c r="H180" i="12"/>
  <c r="I180" i="12"/>
  <c r="H179" i="8"/>
  <c r="I179" i="8"/>
  <c r="H179" i="7"/>
  <c r="I179" i="7"/>
  <c r="J183" i="23" l="1"/>
  <c r="K184" i="23"/>
  <c r="K181" i="12"/>
  <c r="R28" i="12" s="1"/>
  <c r="AD8" i="12" s="1"/>
  <c r="Q52" i="13" s="1"/>
  <c r="Q57" i="13" s="1"/>
  <c r="Q58" i="13" s="1"/>
  <c r="Q61" i="13" s="1"/>
  <c r="Q62" i="13" s="1"/>
  <c r="J180" i="12"/>
  <c r="J179" i="8"/>
  <c r="K180" i="8"/>
  <c r="J179" i="7"/>
  <c r="K180" i="7"/>
  <c r="M180" i="7" s="1"/>
  <c r="M184" i="23" l="1"/>
  <c r="G184" i="23"/>
  <c r="Q53" i="13"/>
  <c r="Q54" i="13" s="1"/>
  <c r="M181" i="12"/>
  <c r="G181" i="12"/>
  <c r="M180" i="8"/>
  <c r="G180" i="8"/>
  <c r="G180" i="7"/>
  <c r="H184" i="23" l="1"/>
  <c r="I184" i="23"/>
  <c r="H181" i="12"/>
  <c r="I181" i="12"/>
  <c r="H180" i="8"/>
  <c r="I180" i="8"/>
  <c r="H180" i="7"/>
  <c r="I180" i="7"/>
  <c r="K185" i="23" l="1"/>
  <c r="J184" i="23"/>
  <c r="P28" i="12"/>
  <c r="AD5" i="12" s="1"/>
  <c r="J181" i="12"/>
  <c r="K182" i="12"/>
  <c r="K181" i="8"/>
  <c r="U28" i="8" s="1"/>
  <c r="J180" i="8"/>
  <c r="J180" i="7"/>
  <c r="K181" i="7"/>
  <c r="M181" i="7" s="1"/>
  <c r="M185" i="23" l="1"/>
  <c r="G185" i="23"/>
  <c r="M182" i="12"/>
  <c r="G182" i="12"/>
  <c r="Q28" i="12"/>
  <c r="M181" i="8"/>
  <c r="G181" i="8"/>
  <c r="Q28" i="8" s="1"/>
  <c r="G181" i="7"/>
  <c r="H185" i="23" l="1"/>
  <c r="I185" i="23"/>
  <c r="S28" i="12"/>
  <c r="AD6" i="12"/>
  <c r="AD7" i="12" s="1"/>
  <c r="H182" i="12"/>
  <c r="I182" i="12"/>
  <c r="H181" i="8"/>
  <c r="R28" i="8" s="1"/>
  <c r="I181" i="8"/>
  <c r="H181" i="7"/>
  <c r="I181" i="7"/>
  <c r="J185" i="23" l="1"/>
  <c r="K186" i="23"/>
  <c r="K183" i="12"/>
  <c r="J182" i="12"/>
  <c r="S28" i="8"/>
  <c r="J181" i="8"/>
  <c r="T28" i="8" s="1"/>
  <c r="K182" i="8"/>
  <c r="J181" i="7"/>
  <c r="K182" i="7"/>
  <c r="M182" i="7" s="1"/>
  <c r="M186" i="23" l="1"/>
  <c r="G186" i="23"/>
  <c r="M183" i="12"/>
  <c r="G183" i="12"/>
  <c r="M182" i="8"/>
  <c r="G182" i="8"/>
  <c r="G182" i="7"/>
  <c r="H186" i="23" l="1"/>
  <c r="I186" i="23"/>
  <c r="H183" i="12"/>
  <c r="I183" i="12"/>
  <c r="H182" i="8"/>
  <c r="I182" i="8"/>
  <c r="H182" i="7"/>
  <c r="I182" i="7"/>
  <c r="P29" i="7" s="1"/>
  <c r="K187" i="23" l="1"/>
  <c r="J186" i="23"/>
  <c r="K184" i="12"/>
  <c r="J183" i="12"/>
  <c r="K183" i="8"/>
  <c r="J182" i="8"/>
  <c r="J182" i="7"/>
  <c r="Q29" i="7" s="1"/>
  <c r="R29" i="7" s="1"/>
  <c r="K183" i="7"/>
  <c r="M183" i="7" s="1"/>
  <c r="M187" i="23" l="1"/>
  <c r="G187" i="23"/>
  <c r="M184" i="12"/>
  <c r="G184" i="12"/>
  <c r="M183" i="8"/>
  <c r="G183" i="8"/>
  <c r="G183" i="7"/>
  <c r="H187" i="23" l="1"/>
  <c r="I187" i="23"/>
  <c r="H184" i="12"/>
  <c r="I184" i="12"/>
  <c r="H183" i="8"/>
  <c r="I183" i="8"/>
  <c r="H183" i="7"/>
  <c r="I183" i="7"/>
  <c r="J187" i="23" l="1"/>
  <c r="K188" i="23"/>
  <c r="J184" i="12"/>
  <c r="K185" i="12"/>
  <c r="J183" i="8"/>
  <c r="K184" i="8"/>
  <c r="J183" i="7"/>
  <c r="K184" i="7"/>
  <c r="M184" i="7" s="1"/>
  <c r="M188" i="23" l="1"/>
  <c r="G188" i="23"/>
  <c r="M185" i="12"/>
  <c r="G185" i="12"/>
  <c r="M184" i="8"/>
  <c r="G184" i="8"/>
  <c r="G184" i="7"/>
  <c r="H188" i="23" l="1"/>
  <c r="I188" i="23"/>
  <c r="H185" i="12"/>
  <c r="I185" i="12"/>
  <c r="H184" i="8"/>
  <c r="I184" i="8"/>
  <c r="H184" i="7"/>
  <c r="I184" i="7"/>
  <c r="J188" i="23" l="1"/>
  <c r="K189" i="23"/>
  <c r="K186" i="12"/>
  <c r="J185" i="12"/>
  <c r="J184" i="8"/>
  <c r="K185" i="8"/>
  <c r="J184" i="7"/>
  <c r="K185" i="7"/>
  <c r="M185" i="7" s="1"/>
  <c r="M189" i="23" l="1"/>
  <c r="G189" i="23"/>
  <c r="M186" i="12"/>
  <c r="G186" i="12"/>
  <c r="M185" i="8"/>
  <c r="G185" i="8"/>
  <c r="G185" i="7"/>
  <c r="H189" i="23" l="1"/>
  <c r="I189" i="23"/>
  <c r="H186" i="12"/>
  <c r="I186" i="12"/>
  <c r="H185" i="8"/>
  <c r="I185" i="8"/>
  <c r="H185" i="7"/>
  <c r="I185" i="7"/>
  <c r="K190" i="23" l="1"/>
  <c r="J189" i="23"/>
  <c r="J186" i="12"/>
  <c r="K187" i="12"/>
  <c r="K186" i="8"/>
  <c r="J185" i="8"/>
  <c r="J185" i="7"/>
  <c r="K186" i="7"/>
  <c r="M186" i="7" s="1"/>
  <c r="M190" i="23" l="1"/>
  <c r="G190" i="23"/>
  <c r="G187" i="12"/>
  <c r="M187" i="12"/>
  <c r="M186" i="8"/>
  <c r="G186" i="8"/>
  <c r="G186" i="7"/>
  <c r="H190" i="23" l="1"/>
  <c r="I190" i="23"/>
  <c r="H187" i="12"/>
  <c r="I187" i="12"/>
  <c r="H186" i="8"/>
  <c r="I186" i="8"/>
  <c r="H186" i="7"/>
  <c r="I186" i="7"/>
  <c r="K191" i="23" l="1"/>
  <c r="J190" i="23"/>
  <c r="K188" i="12"/>
  <c r="J187" i="12"/>
  <c r="J186" i="8"/>
  <c r="K187" i="8"/>
  <c r="J186" i="7"/>
  <c r="K187" i="7"/>
  <c r="M187" i="7" s="1"/>
  <c r="M191" i="23" l="1"/>
  <c r="G191" i="23"/>
  <c r="M188" i="12"/>
  <c r="G188" i="12"/>
  <c r="M187" i="8"/>
  <c r="G187" i="8"/>
  <c r="G187" i="7"/>
  <c r="H191" i="23" l="1"/>
  <c r="I191" i="23"/>
  <c r="H188" i="12"/>
  <c r="I188" i="12"/>
  <c r="H187" i="8"/>
  <c r="I187" i="8"/>
  <c r="H187" i="7"/>
  <c r="I187" i="7"/>
  <c r="J191" i="23" l="1"/>
  <c r="K192" i="23"/>
  <c r="J188" i="12"/>
  <c r="K189" i="12"/>
  <c r="K188" i="8"/>
  <c r="J187" i="8"/>
  <c r="J187" i="7"/>
  <c r="K188" i="7"/>
  <c r="M188" i="7" s="1"/>
  <c r="M192" i="23" l="1"/>
  <c r="G192" i="23"/>
  <c r="M189" i="12"/>
  <c r="G189" i="12"/>
  <c r="M188" i="8"/>
  <c r="G188" i="8"/>
  <c r="G188" i="7"/>
  <c r="H192" i="23" l="1"/>
  <c r="I192" i="23"/>
  <c r="H189" i="12"/>
  <c r="I189" i="12"/>
  <c r="H188" i="8"/>
  <c r="I188" i="8"/>
  <c r="H188" i="7"/>
  <c r="I188" i="7"/>
  <c r="K193" i="23" l="1"/>
  <c r="J192" i="23"/>
  <c r="K190" i="12"/>
  <c r="J189" i="12"/>
  <c r="K189" i="8"/>
  <c r="J188" i="8"/>
  <c r="J188" i="7"/>
  <c r="K189" i="7"/>
  <c r="M189" i="7" s="1"/>
  <c r="M193" i="23" l="1"/>
  <c r="R29" i="23"/>
  <c r="AE8" i="23" s="1"/>
  <c r="G193" i="23"/>
  <c r="G190" i="12"/>
  <c r="M190" i="12"/>
  <c r="M189" i="8"/>
  <c r="G189" i="8"/>
  <c r="G189" i="7"/>
  <c r="H193" i="23" l="1"/>
  <c r="I193" i="23"/>
  <c r="H190" i="12"/>
  <c r="I190" i="12"/>
  <c r="H189" i="8"/>
  <c r="I189" i="8"/>
  <c r="H189" i="7"/>
  <c r="I189" i="7"/>
  <c r="P29" i="23" l="1"/>
  <c r="AE5" i="23" s="1"/>
  <c r="J193" i="23"/>
  <c r="K194" i="23"/>
  <c r="J190" i="12"/>
  <c r="K191" i="12"/>
  <c r="J189" i="8"/>
  <c r="K190" i="8"/>
  <c r="J189" i="7"/>
  <c r="K190" i="7"/>
  <c r="M190" i="7" s="1"/>
  <c r="M194" i="23" l="1"/>
  <c r="G194" i="23"/>
  <c r="Q29" i="23"/>
  <c r="M191" i="12"/>
  <c r="G191" i="12"/>
  <c r="M190" i="8"/>
  <c r="G190" i="8"/>
  <c r="G190" i="7"/>
  <c r="AE6" i="23" l="1"/>
  <c r="AE7" i="23" s="1"/>
  <c r="S29" i="23"/>
  <c r="H194" i="23"/>
  <c r="I194" i="23"/>
  <c r="H191" i="12"/>
  <c r="I191" i="12"/>
  <c r="H190" i="8"/>
  <c r="I190" i="8"/>
  <c r="H190" i="7"/>
  <c r="I190" i="7"/>
  <c r="K195" i="23" l="1"/>
  <c r="J194" i="23"/>
  <c r="K192" i="12"/>
  <c r="J191" i="12"/>
  <c r="K191" i="8"/>
  <c r="J190" i="8"/>
  <c r="J190" i="7"/>
  <c r="K191" i="7"/>
  <c r="M191" i="7" s="1"/>
  <c r="M195" i="23" l="1"/>
  <c r="G195" i="23"/>
  <c r="M192" i="12"/>
  <c r="G192" i="12"/>
  <c r="M191" i="8"/>
  <c r="G191" i="8"/>
  <c r="G191" i="7"/>
  <c r="H195" i="23" l="1"/>
  <c r="I195" i="23"/>
  <c r="H192" i="12"/>
  <c r="I192" i="12"/>
  <c r="H191" i="8"/>
  <c r="I191" i="8"/>
  <c r="H191" i="7"/>
  <c r="I191" i="7"/>
  <c r="J195" i="23" l="1"/>
  <c r="K196" i="23"/>
  <c r="J192" i="12"/>
  <c r="K193" i="12"/>
  <c r="R29" i="12" s="1"/>
  <c r="AE8" i="12" s="1"/>
  <c r="R52" i="13" s="1"/>
  <c r="R57" i="13" s="1"/>
  <c r="R58" i="13" s="1"/>
  <c r="R61" i="13" s="1"/>
  <c r="R62" i="13" s="1"/>
  <c r="J191" i="8"/>
  <c r="K192" i="8"/>
  <c r="J191" i="7"/>
  <c r="K192" i="7"/>
  <c r="M192" i="7" s="1"/>
  <c r="M196" i="23" l="1"/>
  <c r="G196" i="23"/>
  <c r="R53" i="13"/>
  <c r="R54" i="13" s="1"/>
  <c r="M193" i="12"/>
  <c r="G193" i="12"/>
  <c r="M192" i="8"/>
  <c r="G192" i="8"/>
  <c r="G192" i="7"/>
  <c r="H196" i="23" l="1"/>
  <c r="I196" i="23"/>
  <c r="H193" i="12"/>
  <c r="I193" i="12"/>
  <c r="H192" i="8"/>
  <c r="I192" i="8"/>
  <c r="H192" i="7"/>
  <c r="I192" i="7"/>
  <c r="K197" i="23" l="1"/>
  <c r="J196" i="23"/>
  <c r="P29" i="12"/>
  <c r="AE5" i="12" s="1"/>
  <c r="K194" i="12"/>
  <c r="J193" i="12"/>
  <c r="K193" i="8"/>
  <c r="U29" i="8" s="1"/>
  <c r="J192" i="8"/>
  <c r="J192" i="7"/>
  <c r="K193" i="7"/>
  <c r="M193" i="7" s="1"/>
  <c r="M197" i="23" l="1"/>
  <c r="G197" i="23"/>
  <c r="Q29" i="12"/>
  <c r="M194" i="12"/>
  <c r="G194" i="12"/>
  <c r="M193" i="8"/>
  <c r="G193" i="8"/>
  <c r="Q29" i="8" s="1"/>
  <c r="G193" i="7"/>
  <c r="H197" i="23" l="1"/>
  <c r="I197" i="23"/>
  <c r="S29" i="12"/>
  <c r="AE6" i="12"/>
  <c r="AE7" i="12" s="1"/>
  <c r="H194" i="12"/>
  <c r="I194" i="12"/>
  <c r="H193" i="8"/>
  <c r="R29" i="8" s="1"/>
  <c r="I193" i="8"/>
  <c r="H193" i="7"/>
  <c r="I193" i="7"/>
  <c r="K198" i="23" l="1"/>
  <c r="J197" i="23"/>
  <c r="J194" i="12"/>
  <c r="K195" i="12"/>
  <c r="S29" i="8"/>
  <c r="J193" i="8"/>
  <c r="T29" i="8" s="1"/>
  <c r="K194" i="8"/>
  <c r="J193" i="7"/>
  <c r="K194" i="7"/>
  <c r="M194" i="7" s="1"/>
  <c r="M198" i="23" l="1"/>
  <c r="G198" i="23"/>
  <c r="M195" i="12"/>
  <c r="G195" i="12"/>
  <c r="M194" i="8"/>
  <c r="G194" i="8"/>
  <c r="G194" i="7"/>
  <c r="H198" i="23" l="1"/>
  <c r="I198" i="23"/>
  <c r="H195" i="12"/>
  <c r="I195" i="12"/>
  <c r="H194" i="8"/>
  <c r="I194" i="8"/>
  <c r="H194" i="7"/>
  <c r="I194" i="7"/>
  <c r="P30" i="7" s="1"/>
  <c r="J198" i="23" l="1"/>
  <c r="K199" i="23"/>
  <c r="K196" i="12"/>
  <c r="J195" i="12"/>
  <c r="K195" i="8"/>
  <c r="J194" i="8"/>
  <c r="J194" i="7"/>
  <c r="Q30" i="7" s="1"/>
  <c r="R30" i="7" s="1"/>
  <c r="K195" i="7"/>
  <c r="M195" i="7" s="1"/>
  <c r="M199" i="23" l="1"/>
  <c r="G199" i="23"/>
  <c r="M196" i="12"/>
  <c r="G196" i="12"/>
  <c r="M195" i="8"/>
  <c r="G195" i="8"/>
  <c r="G195" i="7"/>
  <c r="H199" i="23" l="1"/>
  <c r="I199" i="23"/>
  <c r="H196" i="12"/>
  <c r="I196" i="12"/>
  <c r="H195" i="8"/>
  <c r="I195" i="8"/>
  <c r="H195" i="7"/>
  <c r="I195" i="7"/>
  <c r="J199" i="23" l="1"/>
  <c r="K200" i="23"/>
  <c r="J196" i="12"/>
  <c r="K197" i="12"/>
  <c r="K196" i="8"/>
  <c r="J195" i="8"/>
  <c r="J195" i="7"/>
  <c r="K196" i="7"/>
  <c r="M196" i="7" s="1"/>
  <c r="M200" i="23" l="1"/>
  <c r="G200" i="23"/>
  <c r="M197" i="12"/>
  <c r="G197" i="12"/>
  <c r="M196" i="8"/>
  <c r="G196" i="8"/>
  <c r="G196" i="7"/>
  <c r="H200" i="23" l="1"/>
  <c r="I200" i="23"/>
  <c r="H197" i="12"/>
  <c r="I197" i="12"/>
  <c r="H196" i="8"/>
  <c r="I196" i="8"/>
  <c r="H196" i="7"/>
  <c r="I196" i="7"/>
  <c r="J200" i="23" l="1"/>
  <c r="K201" i="23"/>
  <c r="K198" i="12"/>
  <c r="J197" i="12"/>
  <c r="J196" i="8"/>
  <c r="K197" i="8"/>
  <c r="J196" i="7"/>
  <c r="K197" i="7"/>
  <c r="M197" i="7" s="1"/>
  <c r="M201" i="23" l="1"/>
  <c r="G201" i="23"/>
  <c r="M198" i="12"/>
  <c r="G198" i="12"/>
  <c r="M197" i="8"/>
  <c r="G197" i="8"/>
  <c r="G197" i="7"/>
  <c r="H201" i="23" l="1"/>
  <c r="I201" i="23"/>
  <c r="H198" i="12"/>
  <c r="I198" i="12"/>
  <c r="H197" i="8"/>
  <c r="I197" i="8"/>
  <c r="H197" i="7"/>
  <c r="I197" i="7"/>
  <c r="K202" i="23" l="1"/>
  <c r="J201" i="23"/>
  <c r="J198" i="12"/>
  <c r="K199" i="12"/>
  <c r="K198" i="8"/>
  <c r="J197" i="8"/>
  <c r="J197" i="7"/>
  <c r="K198" i="7"/>
  <c r="M198" i="7" s="1"/>
  <c r="M202" i="23" l="1"/>
  <c r="G202" i="23"/>
  <c r="G199" i="12"/>
  <c r="M199" i="12"/>
  <c r="M198" i="8"/>
  <c r="G198" i="8"/>
  <c r="G198" i="7"/>
  <c r="H202" i="23" l="1"/>
  <c r="I202" i="23"/>
  <c r="H199" i="12"/>
  <c r="I199" i="12"/>
  <c r="H198" i="8"/>
  <c r="I198" i="8"/>
  <c r="H198" i="7"/>
  <c r="I198" i="7"/>
  <c r="J202" i="23" l="1"/>
  <c r="K203" i="23"/>
  <c r="K200" i="12"/>
  <c r="J199" i="12"/>
  <c r="J198" i="8"/>
  <c r="K199" i="8"/>
  <c r="J198" i="7"/>
  <c r="K199" i="7"/>
  <c r="M199" i="7" s="1"/>
  <c r="M203" i="23" l="1"/>
  <c r="G203" i="23"/>
  <c r="M200" i="12"/>
  <c r="G200" i="12"/>
  <c r="M199" i="8"/>
  <c r="G199" i="8"/>
  <c r="G199" i="7"/>
  <c r="H203" i="23" l="1"/>
  <c r="I203" i="23"/>
  <c r="H200" i="12"/>
  <c r="I200" i="12"/>
  <c r="H199" i="8"/>
  <c r="I199" i="8"/>
  <c r="H199" i="7"/>
  <c r="I199" i="7"/>
  <c r="J203" i="23" l="1"/>
  <c r="K204" i="23"/>
  <c r="J200" i="12"/>
  <c r="K201" i="12"/>
  <c r="K200" i="8"/>
  <c r="J199" i="8"/>
  <c r="J199" i="7"/>
  <c r="K200" i="7"/>
  <c r="M200" i="7" s="1"/>
  <c r="M204" i="23" l="1"/>
  <c r="G204" i="23"/>
  <c r="M201" i="12"/>
  <c r="G201" i="12"/>
  <c r="M200" i="8"/>
  <c r="G200" i="8"/>
  <c r="G200" i="7"/>
  <c r="H204" i="23" l="1"/>
  <c r="I204" i="23"/>
  <c r="H201" i="12"/>
  <c r="I201" i="12"/>
  <c r="H200" i="8"/>
  <c r="I200" i="8"/>
  <c r="H200" i="7"/>
  <c r="I200" i="7"/>
  <c r="J204" i="23" l="1"/>
  <c r="K205" i="23"/>
  <c r="K202" i="12"/>
  <c r="J201" i="12"/>
  <c r="K201" i="8"/>
  <c r="J200" i="8"/>
  <c r="J200" i="7"/>
  <c r="K201" i="7"/>
  <c r="M201" i="7" s="1"/>
  <c r="R30" i="23" l="1"/>
  <c r="AF8" i="23" s="1"/>
  <c r="M205" i="23"/>
  <c r="G205" i="23"/>
  <c r="M202" i="12"/>
  <c r="G202" i="12"/>
  <c r="M201" i="8"/>
  <c r="G201" i="8"/>
  <c r="G201" i="7"/>
  <c r="H205" i="23" l="1"/>
  <c r="I205" i="23"/>
  <c r="H202" i="12"/>
  <c r="I202" i="12"/>
  <c r="H201" i="8"/>
  <c r="I201" i="8"/>
  <c r="H201" i="7"/>
  <c r="I201" i="7"/>
  <c r="P30" i="23" l="1"/>
  <c r="AF5" i="23" s="1"/>
  <c r="J205" i="23"/>
  <c r="K206" i="23"/>
  <c r="J202" i="12"/>
  <c r="K203" i="12"/>
  <c r="J201" i="8"/>
  <c r="K202" i="8"/>
  <c r="J201" i="7"/>
  <c r="K202" i="7"/>
  <c r="M202" i="7" s="1"/>
  <c r="M206" i="23" l="1"/>
  <c r="G206" i="23"/>
  <c r="Q30" i="23"/>
  <c r="M203" i="12"/>
  <c r="G203" i="12"/>
  <c r="M202" i="8"/>
  <c r="G202" i="8"/>
  <c r="G202" i="7"/>
  <c r="AF6" i="23" l="1"/>
  <c r="AF7" i="23" s="1"/>
  <c r="S30" i="23"/>
  <c r="H206" i="23"/>
  <c r="I206" i="23"/>
  <c r="H203" i="12"/>
  <c r="I203" i="12"/>
  <c r="H202" i="8"/>
  <c r="I202" i="8"/>
  <c r="H202" i="7"/>
  <c r="I202" i="7"/>
  <c r="K207" i="23" l="1"/>
  <c r="J206" i="23"/>
  <c r="K204" i="12"/>
  <c r="J203" i="12"/>
  <c r="K203" i="8"/>
  <c r="J202" i="8"/>
  <c r="J202" i="7"/>
  <c r="K203" i="7"/>
  <c r="M203" i="7" s="1"/>
  <c r="M207" i="23" l="1"/>
  <c r="G207" i="23"/>
  <c r="M204" i="12"/>
  <c r="G204" i="12"/>
  <c r="M203" i="8"/>
  <c r="G203" i="8"/>
  <c r="G203" i="7"/>
  <c r="H207" i="23" l="1"/>
  <c r="I207" i="23"/>
  <c r="H204" i="12"/>
  <c r="I204" i="12"/>
  <c r="H203" i="8"/>
  <c r="I203" i="8"/>
  <c r="H203" i="7"/>
  <c r="I203" i="7"/>
  <c r="J207" i="23" l="1"/>
  <c r="K208" i="23"/>
  <c r="J204" i="12"/>
  <c r="K205" i="12"/>
  <c r="R30" i="12" s="1"/>
  <c r="AF8" i="12" s="1"/>
  <c r="S52" i="13" s="1"/>
  <c r="S57" i="13" s="1"/>
  <c r="S58" i="13" s="1"/>
  <c r="S61" i="13" s="1"/>
  <c r="S62" i="13" s="1"/>
  <c r="J203" i="8"/>
  <c r="K204" i="8"/>
  <c r="J203" i="7"/>
  <c r="K204" i="7"/>
  <c r="M204" i="7" s="1"/>
  <c r="M208" i="23" l="1"/>
  <c r="G208" i="23"/>
  <c r="S53" i="13"/>
  <c r="S54" i="13" s="1"/>
  <c r="M205" i="12"/>
  <c r="G205" i="12"/>
  <c r="M204" i="8"/>
  <c r="G204" i="8"/>
  <c r="G204" i="7"/>
  <c r="H208" i="23" l="1"/>
  <c r="I208" i="23"/>
  <c r="H205" i="12"/>
  <c r="I205" i="12"/>
  <c r="H204" i="8"/>
  <c r="I204" i="8"/>
  <c r="H204" i="7"/>
  <c r="I204" i="7"/>
  <c r="K209" i="23" l="1"/>
  <c r="J208" i="23"/>
  <c r="P30" i="12"/>
  <c r="AF5" i="12" s="1"/>
  <c r="K206" i="12"/>
  <c r="J205" i="12"/>
  <c r="K205" i="8"/>
  <c r="U30" i="8" s="1"/>
  <c r="J204" i="8"/>
  <c r="J204" i="7"/>
  <c r="K205" i="7"/>
  <c r="M205" i="7" s="1"/>
  <c r="M209" i="23" l="1"/>
  <c r="G209" i="23"/>
  <c r="Q30" i="12"/>
  <c r="M206" i="12"/>
  <c r="G206" i="12"/>
  <c r="M205" i="8"/>
  <c r="G205" i="8"/>
  <c r="Q30" i="8" s="1"/>
  <c r="G205" i="7"/>
  <c r="H209" i="23" l="1"/>
  <c r="I209" i="23"/>
  <c r="S30" i="12"/>
  <c r="AF6" i="12"/>
  <c r="AF7" i="12" s="1"/>
  <c r="H206" i="12"/>
  <c r="I206" i="12"/>
  <c r="H205" i="8"/>
  <c r="R30" i="8" s="1"/>
  <c r="I205" i="8"/>
  <c r="H205" i="7"/>
  <c r="I205" i="7"/>
  <c r="J209" i="23" l="1"/>
  <c r="K210" i="23"/>
  <c r="J206" i="12"/>
  <c r="K207" i="12"/>
  <c r="S30" i="8"/>
  <c r="J205" i="8"/>
  <c r="T30" i="8" s="1"/>
  <c r="K206" i="8"/>
  <c r="J205" i="7"/>
  <c r="K206" i="7"/>
  <c r="M206" i="7" s="1"/>
  <c r="M210" i="23" l="1"/>
  <c r="G210" i="23"/>
  <c r="M207" i="12"/>
  <c r="G207" i="12"/>
  <c r="M206" i="8"/>
  <c r="G206" i="8"/>
  <c r="G206" i="7"/>
  <c r="H210" i="23" l="1"/>
  <c r="I210" i="23"/>
  <c r="H207" i="12"/>
  <c r="I207" i="12"/>
  <c r="H206" i="8"/>
  <c r="I206" i="8"/>
  <c r="H206" i="7"/>
  <c r="I206" i="7"/>
  <c r="P31" i="7" s="1"/>
  <c r="K211" i="23" l="1"/>
  <c r="J210" i="23"/>
  <c r="K208" i="12"/>
  <c r="J207" i="12"/>
  <c r="K207" i="8"/>
  <c r="J206" i="8"/>
  <c r="J206" i="7"/>
  <c r="Q31" i="7" s="1"/>
  <c r="R31" i="7" s="1"/>
  <c r="K207" i="7"/>
  <c r="M207" i="7" s="1"/>
  <c r="M211" i="23" l="1"/>
  <c r="G211" i="23"/>
  <c r="G208" i="12"/>
  <c r="M208" i="12"/>
  <c r="M207" i="8"/>
  <c r="G207" i="8"/>
  <c r="G207" i="7"/>
  <c r="H211" i="23" l="1"/>
  <c r="I211" i="23"/>
  <c r="H208" i="12"/>
  <c r="I208" i="12"/>
  <c r="H207" i="8"/>
  <c r="I207" i="8"/>
  <c r="H207" i="7"/>
  <c r="I207" i="7"/>
  <c r="K212" i="23" l="1"/>
  <c r="J211" i="23"/>
  <c r="J208" i="12"/>
  <c r="K209" i="12"/>
  <c r="J207" i="8"/>
  <c r="K208" i="8"/>
  <c r="J207" i="7"/>
  <c r="K208" i="7"/>
  <c r="M208" i="7" s="1"/>
  <c r="M212" i="23" l="1"/>
  <c r="G212" i="23"/>
  <c r="M209" i="12"/>
  <c r="G209" i="12"/>
  <c r="M208" i="8"/>
  <c r="G208" i="8"/>
  <c r="G208" i="7"/>
  <c r="H212" i="23" l="1"/>
  <c r="I212" i="23"/>
  <c r="H209" i="12"/>
  <c r="I209" i="12"/>
  <c r="H208" i="8"/>
  <c r="I208" i="8"/>
  <c r="H208" i="7"/>
  <c r="I208" i="7"/>
  <c r="J212" i="23" l="1"/>
  <c r="K213" i="23"/>
  <c r="K210" i="12"/>
  <c r="J209" i="12"/>
  <c r="K209" i="8"/>
  <c r="J208" i="8"/>
  <c r="J208" i="7"/>
  <c r="K209" i="7"/>
  <c r="M209" i="7" s="1"/>
  <c r="M213" i="23" l="1"/>
  <c r="G213" i="23"/>
  <c r="M210" i="12"/>
  <c r="G210" i="12"/>
  <c r="M209" i="8"/>
  <c r="G209" i="8"/>
  <c r="G209" i="7"/>
  <c r="H213" i="23" l="1"/>
  <c r="I213" i="23"/>
  <c r="H210" i="12"/>
  <c r="I210" i="12"/>
  <c r="H209" i="8"/>
  <c r="I209" i="8"/>
  <c r="H209" i="7"/>
  <c r="I209" i="7"/>
  <c r="J213" i="23" l="1"/>
  <c r="K214" i="23"/>
  <c r="J210" i="12"/>
  <c r="K211" i="12"/>
  <c r="J209" i="8"/>
  <c r="K210" i="8"/>
  <c r="J209" i="7"/>
  <c r="K210" i="7"/>
  <c r="M210" i="7" s="1"/>
  <c r="M214" i="23" l="1"/>
  <c r="G214" i="23"/>
  <c r="M211" i="12"/>
  <c r="G211" i="12"/>
  <c r="M210" i="8"/>
  <c r="G210" i="8"/>
  <c r="G210" i="7"/>
  <c r="H214" i="23" l="1"/>
  <c r="I214" i="23"/>
  <c r="H211" i="12"/>
  <c r="I211" i="12"/>
  <c r="H210" i="8"/>
  <c r="I210" i="8"/>
  <c r="H210" i="7"/>
  <c r="I210" i="7"/>
  <c r="J214" i="23" l="1"/>
  <c r="K215" i="23"/>
  <c r="K212" i="12"/>
  <c r="J211" i="12"/>
  <c r="K211" i="8"/>
  <c r="J210" i="8"/>
  <c r="J210" i="7"/>
  <c r="K211" i="7"/>
  <c r="M211" i="7" s="1"/>
  <c r="M215" i="23" l="1"/>
  <c r="G215" i="23"/>
  <c r="M212" i="12"/>
  <c r="G212" i="12"/>
  <c r="M211" i="8"/>
  <c r="G211" i="8"/>
  <c r="G211" i="7"/>
  <c r="H215" i="23" l="1"/>
  <c r="I215" i="23"/>
  <c r="H212" i="12"/>
  <c r="I212" i="12"/>
  <c r="H211" i="8"/>
  <c r="I211" i="8"/>
  <c r="H211" i="7"/>
  <c r="I211" i="7"/>
  <c r="K216" i="23" l="1"/>
  <c r="J215" i="23"/>
  <c r="J212" i="12"/>
  <c r="K213" i="12"/>
  <c r="J211" i="8"/>
  <c r="K212" i="8"/>
  <c r="J211" i="7"/>
  <c r="K212" i="7"/>
  <c r="M212" i="7" s="1"/>
  <c r="M216" i="23" l="1"/>
  <c r="G216" i="23"/>
  <c r="M213" i="12"/>
  <c r="G213" i="12"/>
  <c r="M212" i="8"/>
  <c r="G212" i="8"/>
  <c r="G212" i="7"/>
  <c r="H216" i="23" l="1"/>
  <c r="I216" i="23"/>
  <c r="H213" i="12"/>
  <c r="I213" i="12"/>
  <c r="H212" i="8"/>
  <c r="I212" i="8"/>
  <c r="H212" i="7"/>
  <c r="I212" i="7"/>
  <c r="J216" i="23" l="1"/>
  <c r="K217" i="23"/>
  <c r="K214" i="12"/>
  <c r="J213" i="12"/>
  <c r="K213" i="8"/>
  <c r="J212" i="8"/>
  <c r="J212" i="7"/>
  <c r="K213" i="7"/>
  <c r="M213" i="7" s="1"/>
  <c r="R31" i="23" l="1"/>
  <c r="AG8" i="23" s="1"/>
  <c r="M217" i="23"/>
  <c r="G217" i="23"/>
  <c r="M214" i="12"/>
  <c r="G214" i="12"/>
  <c r="M213" i="8"/>
  <c r="G213" i="8"/>
  <c r="G213" i="7"/>
  <c r="H217" i="23" l="1"/>
  <c r="I217" i="23"/>
  <c r="H214" i="12"/>
  <c r="I214" i="12"/>
  <c r="H213" i="8"/>
  <c r="I213" i="8"/>
  <c r="H213" i="7"/>
  <c r="I213" i="7"/>
  <c r="P31" i="23" l="1"/>
  <c r="AG5" i="23" s="1"/>
  <c r="J217" i="23"/>
  <c r="K218" i="23"/>
  <c r="J214" i="12"/>
  <c r="K215" i="12"/>
  <c r="J213" i="8"/>
  <c r="K214" i="8"/>
  <c r="J213" i="7"/>
  <c r="K214" i="7"/>
  <c r="M214" i="7" s="1"/>
  <c r="M218" i="23" l="1"/>
  <c r="G218" i="23"/>
  <c r="Q31" i="23"/>
  <c r="M215" i="12"/>
  <c r="G215" i="12"/>
  <c r="M214" i="8"/>
  <c r="G214" i="8"/>
  <c r="G214" i="7"/>
  <c r="H218" i="23" l="1"/>
  <c r="I218" i="23"/>
  <c r="AG6" i="23"/>
  <c r="AG7" i="23" s="1"/>
  <c r="S31" i="23"/>
  <c r="H215" i="12"/>
  <c r="I215" i="12"/>
  <c r="H214" i="8"/>
  <c r="I214" i="8"/>
  <c r="H214" i="7"/>
  <c r="I214" i="7"/>
  <c r="K219" i="23" l="1"/>
  <c r="J218" i="23"/>
  <c r="K216" i="12"/>
  <c r="J215" i="12"/>
  <c r="K215" i="8"/>
  <c r="J214" i="8"/>
  <c r="J214" i="7"/>
  <c r="K215" i="7"/>
  <c r="M215" i="7" s="1"/>
  <c r="M219" i="23" l="1"/>
  <c r="G219" i="23"/>
  <c r="M216" i="12"/>
  <c r="G216" i="12"/>
  <c r="M215" i="8"/>
  <c r="G215" i="8"/>
  <c r="G215" i="7"/>
  <c r="H219" i="23" l="1"/>
  <c r="I219" i="23"/>
  <c r="H216" i="12"/>
  <c r="I216" i="12"/>
  <c r="H215" i="8"/>
  <c r="I215" i="8"/>
  <c r="H215" i="7"/>
  <c r="I215" i="7"/>
  <c r="J219" i="23" l="1"/>
  <c r="K220" i="23"/>
  <c r="J216" i="12"/>
  <c r="K217" i="12"/>
  <c r="R31" i="12" s="1"/>
  <c r="AG8" i="12" s="1"/>
  <c r="T52" i="13" s="1"/>
  <c r="T57" i="13" s="1"/>
  <c r="T58" i="13" s="1"/>
  <c r="T61" i="13" s="1"/>
  <c r="T62" i="13" s="1"/>
  <c r="J215" i="8"/>
  <c r="K216" i="8"/>
  <c r="J215" i="7"/>
  <c r="K216" i="7"/>
  <c r="M216" i="7" s="1"/>
  <c r="M220" i="23" l="1"/>
  <c r="G220" i="23"/>
  <c r="T53" i="13"/>
  <c r="T54" i="13" s="1"/>
  <c r="M217" i="12"/>
  <c r="G217" i="12"/>
  <c r="M216" i="8"/>
  <c r="G216" i="8"/>
  <c r="G216" i="7"/>
  <c r="H220" i="23" l="1"/>
  <c r="I220" i="23"/>
  <c r="H217" i="12"/>
  <c r="I217" i="12"/>
  <c r="H216" i="8"/>
  <c r="I216" i="8"/>
  <c r="H216" i="7"/>
  <c r="I216" i="7"/>
  <c r="K221" i="23" l="1"/>
  <c r="J220" i="23"/>
  <c r="P31" i="12"/>
  <c r="AG5" i="12" s="1"/>
  <c r="K218" i="12"/>
  <c r="J217" i="12"/>
  <c r="K217" i="8"/>
  <c r="U31" i="8" s="1"/>
  <c r="J216" i="8"/>
  <c r="J216" i="7"/>
  <c r="K217" i="7"/>
  <c r="M217" i="7" s="1"/>
  <c r="M221" i="23" l="1"/>
  <c r="G221" i="23"/>
  <c r="Q31" i="12"/>
  <c r="M218" i="12"/>
  <c r="G218" i="12"/>
  <c r="M217" i="8"/>
  <c r="G217" i="8"/>
  <c r="Q31" i="8" s="1"/>
  <c r="G217" i="7"/>
  <c r="H221" i="23" l="1"/>
  <c r="I221" i="23"/>
  <c r="S31" i="12"/>
  <c r="AG6" i="12"/>
  <c r="AG7" i="12" s="1"/>
  <c r="H218" i="12"/>
  <c r="I218" i="12"/>
  <c r="H217" i="8"/>
  <c r="R31" i="8" s="1"/>
  <c r="I217" i="8"/>
  <c r="H217" i="7"/>
  <c r="I217" i="7"/>
  <c r="J221" i="23" l="1"/>
  <c r="K222" i="23"/>
  <c r="J218" i="12"/>
  <c r="K219" i="12"/>
  <c r="S31" i="8"/>
  <c r="J217" i="8"/>
  <c r="T31" i="8" s="1"/>
  <c r="K218" i="8"/>
  <c r="J217" i="7"/>
  <c r="K218" i="7"/>
  <c r="M218" i="7" s="1"/>
  <c r="M222" i="23" l="1"/>
  <c r="G222" i="23"/>
  <c r="G219" i="12"/>
  <c r="M219" i="12"/>
  <c r="M218" i="8"/>
  <c r="G218" i="8"/>
  <c r="G218" i="7"/>
  <c r="H222" i="23" l="1"/>
  <c r="I222" i="23"/>
  <c r="H219" i="12"/>
  <c r="I219" i="12"/>
  <c r="H218" i="8"/>
  <c r="I218" i="8"/>
  <c r="H218" i="7"/>
  <c r="I218" i="7"/>
  <c r="P32" i="7" s="1"/>
  <c r="K223" i="23" l="1"/>
  <c r="J222" i="23"/>
  <c r="K220" i="12"/>
  <c r="J219" i="12"/>
  <c r="K219" i="8"/>
  <c r="J218" i="8"/>
  <c r="J218" i="7"/>
  <c r="Q32" i="7" s="1"/>
  <c r="R32" i="7" s="1"/>
  <c r="K219" i="7"/>
  <c r="M219" i="7" s="1"/>
  <c r="M223" i="23" l="1"/>
  <c r="G223" i="23"/>
  <c r="M220" i="12"/>
  <c r="G220" i="12"/>
  <c r="M219" i="8"/>
  <c r="G219" i="8"/>
  <c r="G219" i="7"/>
  <c r="H223" i="23" l="1"/>
  <c r="I223" i="23"/>
  <c r="H220" i="12"/>
  <c r="I220" i="12"/>
  <c r="H219" i="8"/>
  <c r="I219" i="8"/>
  <c r="H219" i="7"/>
  <c r="I219" i="7"/>
  <c r="J223" i="23" l="1"/>
  <c r="K224" i="23"/>
  <c r="J220" i="12"/>
  <c r="K221" i="12"/>
  <c r="J219" i="8"/>
  <c r="K220" i="8"/>
  <c r="J219" i="7"/>
  <c r="K220" i="7"/>
  <c r="M220" i="7" s="1"/>
  <c r="M224" i="23" l="1"/>
  <c r="G224" i="23"/>
  <c r="M221" i="12"/>
  <c r="G221" i="12"/>
  <c r="M220" i="8"/>
  <c r="G220" i="8"/>
  <c r="G220" i="7"/>
  <c r="H224" i="23" l="1"/>
  <c r="I224" i="23"/>
  <c r="H221" i="12"/>
  <c r="I221" i="12"/>
  <c r="H220" i="8"/>
  <c r="I220" i="8"/>
  <c r="H220" i="7"/>
  <c r="I220" i="7"/>
  <c r="K225" i="23" l="1"/>
  <c r="J224" i="23"/>
  <c r="K222" i="12"/>
  <c r="J221" i="12"/>
  <c r="J220" i="8"/>
  <c r="K221" i="8"/>
  <c r="J220" i="7"/>
  <c r="K221" i="7"/>
  <c r="M221" i="7" s="1"/>
  <c r="M225" i="23" l="1"/>
  <c r="G225" i="23"/>
  <c r="M222" i="12"/>
  <c r="G222" i="12"/>
  <c r="M221" i="8"/>
  <c r="G221" i="8"/>
  <c r="G221" i="7"/>
  <c r="H225" i="23" l="1"/>
  <c r="I225" i="23"/>
  <c r="H222" i="12"/>
  <c r="I222" i="12"/>
  <c r="H221" i="8"/>
  <c r="I221" i="8"/>
  <c r="H221" i="7"/>
  <c r="I221" i="7"/>
  <c r="J225" i="23" l="1"/>
  <c r="K226" i="23"/>
  <c r="J222" i="12"/>
  <c r="K223" i="12"/>
  <c r="K222" i="8"/>
  <c r="J221" i="8"/>
  <c r="J221" i="7"/>
  <c r="K222" i="7"/>
  <c r="M222" i="7" s="1"/>
  <c r="M226" i="23" l="1"/>
  <c r="G226" i="23"/>
  <c r="M223" i="12"/>
  <c r="G223" i="12"/>
  <c r="M222" i="8"/>
  <c r="G222" i="8"/>
  <c r="G222" i="7"/>
  <c r="H226" i="23" l="1"/>
  <c r="I226" i="23"/>
  <c r="H223" i="12"/>
  <c r="I223" i="12"/>
  <c r="H222" i="8"/>
  <c r="I222" i="8"/>
  <c r="H222" i="7"/>
  <c r="I222" i="7"/>
  <c r="J226" i="23" l="1"/>
  <c r="K227" i="23"/>
  <c r="J223" i="12"/>
  <c r="K224" i="12"/>
  <c r="J222" i="8"/>
  <c r="K223" i="8"/>
  <c r="J222" i="7"/>
  <c r="K223" i="7"/>
  <c r="M223" i="7" s="1"/>
  <c r="M227" i="23" l="1"/>
  <c r="G227" i="23"/>
  <c r="M224" i="12"/>
  <c r="G224" i="12"/>
  <c r="M223" i="8"/>
  <c r="G223" i="8"/>
  <c r="G223" i="7"/>
  <c r="H227" i="23" l="1"/>
  <c r="I227" i="23"/>
  <c r="H224" i="12"/>
  <c r="I224" i="12"/>
  <c r="H223" i="8"/>
  <c r="I223" i="8"/>
  <c r="H223" i="7"/>
  <c r="I223" i="7"/>
  <c r="J227" i="23" l="1"/>
  <c r="K228" i="23"/>
  <c r="K225" i="12"/>
  <c r="J224" i="12"/>
  <c r="K224" i="8"/>
  <c r="J223" i="8"/>
  <c r="J223" i="7"/>
  <c r="K224" i="7"/>
  <c r="M224" i="7" s="1"/>
  <c r="M228" i="23" l="1"/>
  <c r="G228" i="23"/>
  <c r="M225" i="12"/>
  <c r="G225" i="12"/>
  <c r="M224" i="8"/>
  <c r="G224" i="8"/>
  <c r="G224" i="7"/>
  <c r="H228" i="23" l="1"/>
  <c r="I228" i="23"/>
  <c r="H225" i="12"/>
  <c r="I225" i="12"/>
  <c r="H224" i="8"/>
  <c r="I224" i="8"/>
  <c r="H224" i="7"/>
  <c r="I224" i="7"/>
  <c r="K229" i="23" l="1"/>
  <c r="J228" i="23"/>
  <c r="J225" i="12"/>
  <c r="K226" i="12"/>
  <c r="J224" i="8"/>
  <c r="K225" i="8"/>
  <c r="J224" i="7"/>
  <c r="K225" i="7"/>
  <c r="M225" i="7" s="1"/>
  <c r="M229" i="23" l="1"/>
  <c r="R32" i="23"/>
  <c r="AH8" i="23" s="1"/>
  <c r="G229" i="23"/>
  <c r="M226" i="12"/>
  <c r="G226" i="12"/>
  <c r="M225" i="8"/>
  <c r="G225" i="8"/>
  <c r="G225" i="7"/>
  <c r="H229" i="23" l="1"/>
  <c r="I229" i="23"/>
  <c r="H226" i="12"/>
  <c r="I226" i="12"/>
  <c r="H225" i="8"/>
  <c r="I225" i="8"/>
  <c r="H225" i="7"/>
  <c r="I225" i="7"/>
  <c r="P32" i="23" l="1"/>
  <c r="AH5" i="23" s="1"/>
  <c r="J229" i="23"/>
  <c r="K230" i="23"/>
  <c r="K227" i="12"/>
  <c r="J226" i="12"/>
  <c r="K226" i="8"/>
  <c r="J225" i="8"/>
  <c r="J225" i="7"/>
  <c r="K226" i="7"/>
  <c r="M226" i="7" s="1"/>
  <c r="M230" i="23" l="1"/>
  <c r="G230" i="23"/>
  <c r="Q32" i="23"/>
  <c r="M227" i="12"/>
  <c r="G227" i="12"/>
  <c r="M226" i="8"/>
  <c r="G226" i="8"/>
  <c r="G226" i="7"/>
  <c r="H230" i="23" l="1"/>
  <c r="I230" i="23"/>
  <c r="AH6" i="23"/>
  <c r="AH7" i="23" s="1"/>
  <c r="S32" i="23"/>
  <c r="H227" i="12"/>
  <c r="I227" i="12"/>
  <c r="H226" i="8"/>
  <c r="I226" i="8"/>
  <c r="H226" i="7"/>
  <c r="I226" i="7"/>
  <c r="K231" i="23" l="1"/>
  <c r="J230" i="23"/>
  <c r="J227" i="12"/>
  <c r="K228" i="12"/>
  <c r="J226" i="8"/>
  <c r="K227" i="8"/>
  <c r="J226" i="7"/>
  <c r="K227" i="7"/>
  <c r="M227" i="7" s="1"/>
  <c r="M231" i="23" l="1"/>
  <c r="G231" i="23"/>
  <c r="M228" i="12"/>
  <c r="G228" i="12"/>
  <c r="M227" i="8"/>
  <c r="G227" i="8"/>
  <c r="G227" i="7"/>
  <c r="H231" i="23" l="1"/>
  <c r="I231" i="23"/>
  <c r="H228" i="12"/>
  <c r="I228" i="12"/>
  <c r="H227" i="8"/>
  <c r="I227" i="8"/>
  <c r="H227" i="7"/>
  <c r="I227" i="7"/>
  <c r="J231" i="23" l="1"/>
  <c r="K232" i="23"/>
  <c r="K229" i="12"/>
  <c r="R32" i="12" s="1"/>
  <c r="AH8" i="12" s="1"/>
  <c r="U52" i="13" s="1"/>
  <c r="U57" i="13" s="1"/>
  <c r="U58" i="13" s="1"/>
  <c r="U61" i="13" s="1"/>
  <c r="U62" i="13" s="1"/>
  <c r="J228" i="12"/>
  <c r="K228" i="8"/>
  <c r="J227" i="8"/>
  <c r="J227" i="7"/>
  <c r="K228" i="7"/>
  <c r="M228" i="7" s="1"/>
  <c r="M232" i="23" l="1"/>
  <c r="G232" i="23"/>
  <c r="U53" i="13"/>
  <c r="U54" i="13" s="1"/>
  <c r="M229" i="12"/>
  <c r="G229" i="12"/>
  <c r="M228" i="8"/>
  <c r="G228" i="8"/>
  <c r="G228" i="7"/>
  <c r="H232" i="23" l="1"/>
  <c r="I232" i="23"/>
  <c r="H229" i="12"/>
  <c r="I229" i="12"/>
  <c r="H228" i="8"/>
  <c r="I228" i="8"/>
  <c r="H228" i="7"/>
  <c r="I228" i="7"/>
  <c r="K233" i="23" l="1"/>
  <c r="J232" i="23"/>
  <c r="P32" i="12"/>
  <c r="AH5" i="12" s="1"/>
  <c r="J229" i="12"/>
  <c r="K230" i="12"/>
  <c r="J228" i="8"/>
  <c r="K229" i="8"/>
  <c r="U32" i="8" s="1"/>
  <c r="J228" i="7"/>
  <c r="K229" i="7"/>
  <c r="M229" i="7" s="1"/>
  <c r="M233" i="23" l="1"/>
  <c r="G233" i="23"/>
  <c r="M230" i="12"/>
  <c r="G230" i="12"/>
  <c r="Q32" i="12"/>
  <c r="M229" i="8"/>
  <c r="G229" i="8"/>
  <c r="Q32" i="8" s="1"/>
  <c r="G229" i="7"/>
  <c r="H233" i="23" l="1"/>
  <c r="I233" i="23"/>
  <c r="S32" i="12"/>
  <c r="AH6" i="12"/>
  <c r="AH7" i="12" s="1"/>
  <c r="H230" i="12"/>
  <c r="I230" i="12"/>
  <c r="H229" i="8"/>
  <c r="R32" i="8" s="1"/>
  <c r="I229" i="8"/>
  <c r="H229" i="7"/>
  <c r="I229" i="7"/>
  <c r="J233" i="23" l="1"/>
  <c r="K234" i="23"/>
  <c r="J230" i="12"/>
  <c r="K231" i="12"/>
  <c r="S32" i="8"/>
  <c r="J229" i="8"/>
  <c r="T32" i="8" s="1"/>
  <c r="K230" i="8"/>
  <c r="J229" i="7"/>
  <c r="K230" i="7"/>
  <c r="M230" i="7" s="1"/>
  <c r="M234" i="23" l="1"/>
  <c r="G234" i="23"/>
  <c r="M231" i="12"/>
  <c r="G231" i="12"/>
  <c r="M230" i="8"/>
  <c r="G230" i="8"/>
  <c r="G230" i="7"/>
  <c r="H234" i="23" l="1"/>
  <c r="I234" i="23"/>
  <c r="H231" i="12"/>
  <c r="I231" i="12"/>
  <c r="H230" i="8"/>
  <c r="I230" i="8"/>
  <c r="H230" i="7"/>
  <c r="I230" i="7"/>
  <c r="P33" i="7" s="1"/>
  <c r="K235" i="23" l="1"/>
  <c r="J234" i="23"/>
  <c r="J231" i="12"/>
  <c r="K232" i="12"/>
  <c r="J230" i="8"/>
  <c r="K231" i="8"/>
  <c r="J230" i="7"/>
  <c r="Q33" i="7" s="1"/>
  <c r="R33" i="7" s="1"/>
  <c r="K231" i="7"/>
  <c r="M231" i="7" s="1"/>
  <c r="M235" i="23" l="1"/>
  <c r="G235" i="23"/>
  <c r="M232" i="12"/>
  <c r="G232" i="12"/>
  <c r="M231" i="8"/>
  <c r="G231" i="8"/>
  <c r="G231" i="7"/>
  <c r="H235" i="23" l="1"/>
  <c r="I235" i="23"/>
  <c r="H232" i="12"/>
  <c r="I232" i="12"/>
  <c r="H231" i="8"/>
  <c r="I231" i="8"/>
  <c r="H231" i="7"/>
  <c r="I231" i="7"/>
  <c r="K236" i="23" l="1"/>
  <c r="J235" i="23"/>
  <c r="K233" i="12"/>
  <c r="J232" i="12"/>
  <c r="K232" i="8"/>
  <c r="J231" i="8"/>
  <c r="J231" i="7"/>
  <c r="K232" i="7"/>
  <c r="M232" i="7" s="1"/>
  <c r="M236" i="23" l="1"/>
  <c r="G236" i="23"/>
  <c r="M233" i="12"/>
  <c r="G233" i="12"/>
  <c r="M232" i="8"/>
  <c r="G232" i="8"/>
  <c r="G232" i="7"/>
  <c r="H236" i="23" l="1"/>
  <c r="I236" i="23"/>
  <c r="H233" i="12"/>
  <c r="I233" i="12"/>
  <c r="H232" i="8"/>
  <c r="I232" i="8"/>
  <c r="H232" i="7"/>
  <c r="I232" i="7"/>
  <c r="J236" i="23" l="1"/>
  <c r="K237" i="23"/>
  <c r="J233" i="12"/>
  <c r="K234" i="12"/>
  <c r="J232" i="8"/>
  <c r="K233" i="8"/>
  <c r="J232" i="7"/>
  <c r="K233" i="7"/>
  <c r="M233" i="7" s="1"/>
  <c r="M237" i="23" l="1"/>
  <c r="G237" i="23"/>
  <c r="M234" i="12"/>
  <c r="G234" i="12"/>
  <c r="M233" i="8"/>
  <c r="G233" i="8"/>
  <c r="G233" i="7"/>
  <c r="H237" i="23" l="1"/>
  <c r="I237" i="23"/>
  <c r="H234" i="12"/>
  <c r="I234" i="12"/>
  <c r="H233" i="8"/>
  <c r="I233" i="8"/>
  <c r="H233" i="7"/>
  <c r="I233" i="7"/>
  <c r="J237" i="23" l="1"/>
  <c r="K238" i="23"/>
  <c r="K235" i="12"/>
  <c r="J234" i="12"/>
  <c r="K234" i="8"/>
  <c r="J233" i="8"/>
  <c r="J233" i="7"/>
  <c r="K234" i="7"/>
  <c r="M234" i="7" s="1"/>
  <c r="M238" i="23" l="1"/>
  <c r="G238" i="23"/>
  <c r="M235" i="12"/>
  <c r="G235" i="12"/>
  <c r="M234" i="8"/>
  <c r="G234" i="8"/>
  <c r="G234" i="7"/>
  <c r="H238" i="23" l="1"/>
  <c r="I238" i="23"/>
  <c r="H235" i="12"/>
  <c r="I235" i="12"/>
  <c r="H234" i="8"/>
  <c r="I234" i="8"/>
  <c r="H234" i="7"/>
  <c r="I234" i="7"/>
  <c r="K239" i="23" l="1"/>
  <c r="J238" i="23"/>
  <c r="J235" i="12"/>
  <c r="K236" i="12"/>
  <c r="J234" i="8"/>
  <c r="K235" i="8"/>
  <c r="J234" i="7"/>
  <c r="K235" i="7"/>
  <c r="M235" i="7" s="1"/>
  <c r="M239" i="23" l="1"/>
  <c r="G239" i="23"/>
  <c r="M236" i="12"/>
  <c r="G236" i="12"/>
  <c r="M235" i="8"/>
  <c r="G235" i="8"/>
  <c r="G235" i="7"/>
  <c r="H239" i="23" l="1"/>
  <c r="I239" i="23"/>
  <c r="H236" i="12"/>
  <c r="I236" i="12"/>
  <c r="H235" i="8"/>
  <c r="I235" i="8"/>
  <c r="H235" i="7"/>
  <c r="I235" i="7"/>
  <c r="J239" i="23" l="1"/>
  <c r="K240" i="23"/>
  <c r="K237" i="12"/>
  <c r="J236" i="12"/>
  <c r="K236" i="8"/>
  <c r="J235" i="8"/>
  <c r="J235" i="7"/>
  <c r="K236" i="7"/>
  <c r="M236" i="7" s="1"/>
  <c r="M240" i="23" l="1"/>
  <c r="G240" i="23"/>
  <c r="M237" i="12"/>
  <c r="G237" i="12"/>
  <c r="M236" i="8"/>
  <c r="G236" i="8"/>
  <c r="G236" i="7"/>
  <c r="H240" i="23" l="1"/>
  <c r="I240" i="23"/>
  <c r="H237" i="12"/>
  <c r="I237" i="12"/>
  <c r="H236" i="8"/>
  <c r="I236" i="8"/>
  <c r="H236" i="7"/>
  <c r="I236" i="7"/>
  <c r="K241" i="23" l="1"/>
  <c r="J240" i="23"/>
  <c r="J237" i="12"/>
  <c r="K238" i="12"/>
  <c r="J236" i="8"/>
  <c r="K237" i="8"/>
  <c r="J236" i="7"/>
  <c r="K237" i="7"/>
  <c r="M237" i="7" s="1"/>
  <c r="M241" i="23" l="1"/>
  <c r="R33" i="23"/>
  <c r="AI8" i="23" s="1"/>
  <c r="G241" i="23"/>
  <c r="M238" i="12"/>
  <c r="G238" i="12"/>
  <c r="M237" i="8"/>
  <c r="G237" i="8"/>
  <c r="G237" i="7"/>
  <c r="H241" i="23" l="1"/>
  <c r="I241" i="23"/>
  <c r="H238" i="12"/>
  <c r="I238" i="12"/>
  <c r="H237" i="8"/>
  <c r="I237" i="8"/>
  <c r="H237" i="7"/>
  <c r="I237" i="7"/>
  <c r="P33" i="23" l="1"/>
  <c r="AI5" i="23" s="1"/>
  <c r="J241" i="23"/>
  <c r="K242" i="23"/>
  <c r="K239" i="12"/>
  <c r="J238" i="12"/>
  <c r="K238" i="8"/>
  <c r="J237" i="8"/>
  <c r="J237" i="7"/>
  <c r="K238" i="7"/>
  <c r="M238" i="7" s="1"/>
  <c r="Q33" i="23" l="1"/>
  <c r="M242" i="23"/>
  <c r="G242" i="23"/>
  <c r="M239" i="12"/>
  <c r="G239" i="12"/>
  <c r="M238" i="8"/>
  <c r="G238" i="8"/>
  <c r="G238" i="7"/>
  <c r="H242" i="23" l="1"/>
  <c r="I242" i="23"/>
  <c r="AI6" i="23"/>
  <c r="AI7" i="23" s="1"/>
  <c r="S33" i="23"/>
  <c r="H239" i="12"/>
  <c r="I239" i="12"/>
  <c r="H238" i="8"/>
  <c r="I238" i="8"/>
  <c r="H238" i="7"/>
  <c r="I238" i="7"/>
  <c r="J242" i="23" l="1"/>
  <c r="K243" i="23"/>
  <c r="J239" i="12"/>
  <c r="K240" i="12"/>
  <c r="J238" i="8"/>
  <c r="K239" i="8"/>
  <c r="J238" i="7"/>
  <c r="K239" i="7"/>
  <c r="M239" i="7" s="1"/>
  <c r="M243" i="23" l="1"/>
  <c r="G243" i="23"/>
  <c r="M240" i="12"/>
  <c r="G240" i="12"/>
  <c r="M239" i="8"/>
  <c r="G239" i="8"/>
  <c r="G239" i="7"/>
  <c r="H243" i="23" l="1"/>
  <c r="I243" i="23"/>
  <c r="H240" i="12"/>
  <c r="I240" i="12"/>
  <c r="H239" i="8"/>
  <c r="I239" i="8"/>
  <c r="H239" i="7"/>
  <c r="I239" i="7"/>
  <c r="J243" i="23" l="1"/>
  <c r="K244" i="23"/>
  <c r="K241" i="12"/>
  <c r="R33" i="12" s="1"/>
  <c r="AI8" i="12" s="1"/>
  <c r="V52" i="13" s="1"/>
  <c r="V57" i="13" s="1"/>
  <c r="V58" i="13" s="1"/>
  <c r="V61" i="13" s="1"/>
  <c r="V62" i="13" s="1"/>
  <c r="J240" i="12"/>
  <c r="K240" i="8"/>
  <c r="J239" i="8"/>
  <c r="J239" i="7"/>
  <c r="K240" i="7"/>
  <c r="M240" i="7" s="1"/>
  <c r="M244" i="23" l="1"/>
  <c r="G244" i="23"/>
  <c r="V53" i="13"/>
  <c r="V54" i="13" s="1"/>
  <c r="M241" i="12"/>
  <c r="G241" i="12"/>
  <c r="M240" i="8"/>
  <c r="G240" i="8"/>
  <c r="G240" i="7"/>
  <c r="H244" i="23" l="1"/>
  <c r="I244" i="23"/>
  <c r="H241" i="12"/>
  <c r="I241" i="12"/>
  <c r="H240" i="8"/>
  <c r="I240" i="8"/>
  <c r="H240" i="7"/>
  <c r="I240" i="7"/>
  <c r="K245" i="23" l="1"/>
  <c r="J244" i="23"/>
  <c r="P33" i="12"/>
  <c r="AI5" i="12" s="1"/>
  <c r="J241" i="12"/>
  <c r="K242" i="12"/>
  <c r="J240" i="8"/>
  <c r="K241" i="8"/>
  <c r="U33" i="8" s="1"/>
  <c r="J240" i="7"/>
  <c r="K241" i="7"/>
  <c r="M241" i="7" s="1"/>
  <c r="M245" i="23" l="1"/>
  <c r="G245" i="23"/>
  <c r="G242" i="12"/>
  <c r="M242" i="12"/>
  <c r="Q33" i="12"/>
  <c r="M241" i="8"/>
  <c r="G241" i="8"/>
  <c r="Q33" i="8" s="1"/>
  <c r="G241" i="7"/>
  <c r="H245" i="23" l="1"/>
  <c r="I245" i="23"/>
  <c r="S33" i="12"/>
  <c r="AI6" i="12"/>
  <c r="AI7" i="12" s="1"/>
  <c r="H242" i="12"/>
  <c r="I242" i="12"/>
  <c r="H241" i="8"/>
  <c r="R33" i="8" s="1"/>
  <c r="I241" i="8"/>
  <c r="H241" i="7"/>
  <c r="I241" i="7"/>
  <c r="K246" i="23" l="1"/>
  <c r="J245" i="23"/>
  <c r="K243" i="12"/>
  <c r="J242" i="12"/>
  <c r="S33" i="8"/>
  <c r="K242" i="8"/>
  <c r="J241" i="8"/>
  <c r="T33" i="8" s="1"/>
  <c r="J241" i="7"/>
  <c r="K242" i="7"/>
  <c r="M242" i="7" s="1"/>
  <c r="M246" i="23" l="1"/>
  <c r="G246" i="23"/>
  <c r="M243" i="12"/>
  <c r="G243" i="12"/>
  <c r="M242" i="8"/>
  <c r="G242" i="8"/>
  <c r="G242" i="7"/>
  <c r="H246" i="23" l="1"/>
  <c r="I246" i="23"/>
  <c r="H243" i="12"/>
  <c r="I243" i="12"/>
  <c r="H242" i="8"/>
  <c r="I242" i="8"/>
  <c r="H242" i="7"/>
  <c r="I242" i="7"/>
  <c r="P34" i="7" s="1"/>
  <c r="J246" i="23" l="1"/>
  <c r="K247" i="23"/>
  <c r="J243" i="12"/>
  <c r="K244" i="12"/>
  <c r="J242" i="8"/>
  <c r="K243" i="8"/>
  <c r="J242" i="7"/>
  <c r="Q34" i="7" s="1"/>
  <c r="R34" i="7" s="1"/>
  <c r="K243" i="7"/>
  <c r="M243" i="7" s="1"/>
  <c r="M247" i="23" l="1"/>
  <c r="G247" i="23"/>
  <c r="M244" i="12"/>
  <c r="G244" i="12"/>
  <c r="M243" i="8"/>
  <c r="G243" i="8"/>
  <c r="G243" i="7"/>
  <c r="H247" i="23" l="1"/>
  <c r="I247" i="23"/>
  <c r="H244" i="12"/>
  <c r="I244" i="12"/>
  <c r="H243" i="8"/>
  <c r="I243" i="8"/>
  <c r="H243" i="7"/>
  <c r="I243" i="7"/>
  <c r="J247" i="23" l="1"/>
  <c r="K248" i="23"/>
  <c r="K245" i="12"/>
  <c r="J244" i="12"/>
  <c r="K244" i="8"/>
  <c r="J243" i="8"/>
  <c r="J243" i="7"/>
  <c r="K244" i="7"/>
  <c r="M244" i="7" s="1"/>
  <c r="M248" i="23" l="1"/>
  <c r="G248" i="23"/>
  <c r="M245" i="12"/>
  <c r="G245" i="12"/>
  <c r="M244" i="8"/>
  <c r="G244" i="8"/>
  <c r="G244" i="7"/>
  <c r="H248" i="23" l="1"/>
  <c r="I248" i="23"/>
  <c r="H245" i="12"/>
  <c r="I245" i="12"/>
  <c r="H244" i="8"/>
  <c r="I244" i="8"/>
  <c r="H244" i="7"/>
  <c r="I244" i="7"/>
  <c r="K249" i="23" l="1"/>
  <c r="J248" i="23"/>
  <c r="J245" i="12"/>
  <c r="K246" i="12"/>
  <c r="J244" i="8"/>
  <c r="K245" i="8"/>
  <c r="J244" i="7"/>
  <c r="K245" i="7"/>
  <c r="M245" i="7" s="1"/>
  <c r="M249" i="23" l="1"/>
  <c r="G249" i="23"/>
  <c r="M246" i="12"/>
  <c r="G246" i="12"/>
  <c r="M245" i="8"/>
  <c r="G245" i="8"/>
  <c r="G245" i="7"/>
  <c r="H249" i="23" l="1"/>
  <c r="I249" i="23"/>
  <c r="H246" i="12"/>
  <c r="I246" i="12"/>
  <c r="H245" i="8"/>
  <c r="I245" i="8"/>
  <c r="H245" i="7"/>
  <c r="I245" i="7"/>
  <c r="J249" i="23" l="1"/>
  <c r="K250" i="23"/>
  <c r="K247" i="12"/>
  <c r="J246" i="12"/>
  <c r="K246" i="8"/>
  <c r="J245" i="8"/>
  <c r="J245" i="7"/>
  <c r="K246" i="7"/>
  <c r="M246" i="7" s="1"/>
  <c r="M250" i="23" l="1"/>
  <c r="G250" i="23"/>
  <c r="M247" i="12"/>
  <c r="G247" i="12"/>
  <c r="M246" i="8"/>
  <c r="G246" i="8"/>
  <c r="G246" i="7"/>
  <c r="H250" i="23" l="1"/>
  <c r="I250" i="23"/>
  <c r="H247" i="12"/>
  <c r="I247" i="12"/>
  <c r="H246" i="8"/>
  <c r="I246" i="8"/>
  <c r="H246" i="7"/>
  <c r="I246" i="7"/>
  <c r="J250" i="23" l="1"/>
  <c r="K251" i="23"/>
  <c r="J247" i="12"/>
  <c r="K248" i="12"/>
  <c r="J246" i="8"/>
  <c r="K247" i="8"/>
  <c r="J246" i="7"/>
  <c r="K247" i="7"/>
  <c r="M247" i="7" s="1"/>
  <c r="M251" i="23" l="1"/>
  <c r="G251" i="23"/>
  <c r="M248" i="12"/>
  <c r="G248" i="12"/>
  <c r="M247" i="8"/>
  <c r="G247" i="8"/>
  <c r="G247" i="7"/>
  <c r="H251" i="23" l="1"/>
  <c r="I251" i="23"/>
  <c r="H248" i="12"/>
  <c r="I248" i="12"/>
  <c r="H247" i="8"/>
  <c r="I247" i="8"/>
  <c r="H247" i="7"/>
  <c r="I247" i="7"/>
  <c r="K252" i="23" l="1"/>
  <c r="J251" i="23"/>
  <c r="K249" i="12"/>
  <c r="J248" i="12"/>
  <c r="K248" i="8"/>
  <c r="J247" i="8"/>
  <c r="J247" i="7"/>
  <c r="K248" i="7"/>
  <c r="M248" i="7" s="1"/>
  <c r="M252" i="23" l="1"/>
  <c r="G252" i="23"/>
  <c r="M249" i="12"/>
  <c r="G249" i="12"/>
  <c r="M248" i="8"/>
  <c r="G248" i="8"/>
  <c r="G248" i="7"/>
  <c r="H252" i="23" l="1"/>
  <c r="I252" i="23"/>
  <c r="H249" i="12"/>
  <c r="I249" i="12"/>
  <c r="H248" i="8"/>
  <c r="I248" i="8"/>
  <c r="H248" i="7"/>
  <c r="I248" i="7"/>
  <c r="J252" i="23" l="1"/>
  <c r="K253" i="23"/>
  <c r="K250" i="12"/>
  <c r="J249" i="12"/>
  <c r="J248" i="8"/>
  <c r="K249" i="8"/>
  <c r="J248" i="7"/>
  <c r="K249" i="7"/>
  <c r="M249" i="7" s="1"/>
  <c r="M253" i="23" l="1"/>
  <c r="R34" i="23"/>
  <c r="AJ8" i="23" s="1"/>
  <c r="G253" i="23"/>
  <c r="M250" i="12"/>
  <c r="G250" i="12"/>
  <c r="M249" i="8"/>
  <c r="G249" i="8"/>
  <c r="G249" i="7"/>
  <c r="H253" i="23" l="1"/>
  <c r="I253" i="23"/>
  <c r="H250" i="12"/>
  <c r="I250" i="12"/>
  <c r="H249" i="8"/>
  <c r="I249" i="8"/>
  <c r="H249" i="7"/>
  <c r="I249" i="7"/>
  <c r="P34" i="23" l="1"/>
  <c r="AJ5" i="23" s="1"/>
  <c r="J253" i="23"/>
  <c r="K254" i="23"/>
  <c r="J250" i="12"/>
  <c r="K251" i="12"/>
  <c r="K250" i="8"/>
  <c r="J249" i="8"/>
  <c r="J249" i="7"/>
  <c r="K250" i="7"/>
  <c r="M250" i="7" s="1"/>
  <c r="M254" i="23" l="1"/>
  <c r="G254" i="23"/>
  <c r="Q34" i="23"/>
  <c r="M251" i="12"/>
  <c r="G251" i="12"/>
  <c r="M250" i="8"/>
  <c r="G250" i="8"/>
  <c r="G250" i="7"/>
  <c r="H254" i="23" l="1"/>
  <c r="I254" i="23"/>
  <c r="AJ6" i="23"/>
  <c r="AJ7" i="23" s="1"/>
  <c r="S34" i="23"/>
  <c r="H251" i="12"/>
  <c r="I251" i="12"/>
  <c r="H250" i="8"/>
  <c r="I250" i="8"/>
  <c r="H250" i="7"/>
  <c r="I250" i="7"/>
  <c r="K255" i="23" l="1"/>
  <c r="J254" i="23"/>
  <c r="K252" i="12"/>
  <c r="J251" i="12"/>
  <c r="J250" i="8"/>
  <c r="K251" i="8"/>
  <c r="J250" i="7"/>
  <c r="K251" i="7"/>
  <c r="M251" i="7" s="1"/>
  <c r="M255" i="23" l="1"/>
  <c r="G255" i="23"/>
  <c r="M252" i="12"/>
  <c r="G252" i="12"/>
  <c r="M251" i="8"/>
  <c r="G251" i="8"/>
  <c r="G251" i="7"/>
  <c r="H255" i="23" l="1"/>
  <c r="I255" i="23"/>
  <c r="H252" i="12"/>
  <c r="I252" i="12"/>
  <c r="H251" i="8"/>
  <c r="I251" i="8"/>
  <c r="H251" i="7"/>
  <c r="I251" i="7"/>
  <c r="J255" i="23" l="1"/>
  <c r="K256" i="23"/>
  <c r="J252" i="12"/>
  <c r="K253" i="12"/>
  <c r="R34" i="12" s="1"/>
  <c r="AJ8" i="12" s="1"/>
  <c r="W52" i="13" s="1"/>
  <c r="W57" i="13" s="1"/>
  <c r="W58" i="13" s="1"/>
  <c r="W61" i="13" s="1"/>
  <c r="W62" i="13" s="1"/>
  <c r="K252" i="8"/>
  <c r="J251" i="8"/>
  <c r="J251" i="7"/>
  <c r="K252" i="7"/>
  <c r="M252" i="7" s="1"/>
  <c r="M256" i="23" l="1"/>
  <c r="G256" i="23"/>
  <c r="W53" i="13"/>
  <c r="W54" i="13" s="1"/>
  <c r="M253" i="12"/>
  <c r="G253" i="12"/>
  <c r="M252" i="8"/>
  <c r="G252" i="8"/>
  <c r="G252" i="7"/>
  <c r="H256" i="23" l="1"/>
  <c r="I256" i="23"/>
  <c r="H253" i="12"/>
  <c r="I253" i="12"/>
  <c r="H252" i="8"/>
  <c r="I252" i="8"/>
  <c r="H252" i="7"/>
  <c r="I252" i="7"/>
  <c r="J256" i="23" l="1"/>
  <c r="K257" i="23"/>
  <c r="P34" i="12"/>
  <c r="AJ5" i="12" s="1"/>
  <c r="K254" i="12"/>
  <c r="J253" i="12"/>
  <c r="J252" i="8"/>
  <c r="K253" i="8"/>
  <c r="U34" i="8" s="1"/>
  <c r="J252" i="7"/>
  <c r="K253" i="7"/>
  <c r="M253" i="7" s="1"/>
  <c r="M257" i="23" l="1"/>
  <c r="G257" i="23"/>
  <c r="Q34" i="12"/>
  <c r="M254" i="12"/>
  <c r="G254" i="12"/>
  <c r="M253" i="8"/>
  <c r="G253" i="8"/>
  <c r="Q34" i="8" s="1"/>
  <c r="G253" i="7"/>
  <c r="H257" i="23" l="1"/>
  <c r="I257" i="23"/>
  <c r="S34" i="12"/>
  <c r="AJ6" i="12"/>
  <c r="AJ7" i="12" s="1"/>
  <c r="H254" i="12"/>
  <c r="I254" i="12"/>
  <c r="H253" i="8"/>
  <c r="R34" i="8" s="1"/>
  <c r="I253" i="8"/>
  <c r="H253" i="7"/>
  <c r="I253" i="7"/>
  <c r="J257" i="23" l="1"/>
  <c r="K258" i="23"/>
  <c r="J254" i="12"/>
  <c r="K255" i="12"/>
  <c r="S34" i="8"/>
  <c r="K254" i="8"/>
  <c r="J253" i="8"/>
  <c r="T34" i="8" s="1"/>
  <c r="J253" i="7"/>
  <c r="K254" i="7"/>
  <c r="M254" i="7" s="1"/>
  <c r="M258" i="23" l="1"/>
  <c r="G258" i="23"/>
  <c r="M255" i="12"/>
  <c r="G255" i="12"/>
  <c r="M254" i="8"/>
  <c r="G254" i="8"/>
  <c r="G254" i="7"/>
  <c r="H258" i="23" l="1"/>
  <c r="I258" i="23"/>
  <c r="H255" i="12"/>
  <c r="I255" i="12"/>
  <c r="H254" i="8"/>
  <c r="I254" i="8"/>
  <c r="H254" i="7"/>
  <c r="I254" i="7"/>
  <c r="P35" i="7" s="1"/>
  <c r="J258" i="23" l="1"/>
  <c r="K259" i="23"/>
  <c r="K256" i="12"/>
  <c r="J255" i="12"/>
  <c r="J254" i="8"/>
  <c r="K255" i="8"/>
  <c r="J254" i="7"/>
  <c r="Q35" i="7" s="1"/>
  <c r="R35" i="7" s="1"/>
  <c r="K255" i="7"/>
  <c r="M255" i="7" s="1"/>
  <c r="M259" i="23" l="1"/>
  <c r="G259" i="23"/>
  <c r="M256" i="12"/>
  <c r="G256" i="12"/>
  <c r="M255" i="8"/>
  <c r="G255" i="8"/>
  <c r="G255" i="7"/>
  <c r="H259" i="23" l="1"/>
  <c r="I259" i="23"/>
  <c r="H256" i="12"/>
  <c r="I256" i="12"/>
  <c r="H255" i="8"/>
  <c r="I255" i="8"/>
  <c r="H255" i="7"/>
  <c r="I255" i="7"/>
  <c r="J259" i="23" l="1"/>
  <c r="K260" i="23"/>
  <c r="J256" i="12"/>
  <c r="K257" i="12"/>
  <c r="K256" i="8"/>
  <c r="J255" i="8"/>
  <c r="J255" i="7"/>
  <c r="K256" i="7"/>
  <c r="M256" i="7" s="1"/>
  <c r="M260" i="23" l="1"/>
  <c r="G260" i="23"/>
  <c r="M257" i="12"/>
  <c r="G257" i="12"/>
  <c r="M256" i="8"/>
  <c r="G256" i="8"/>
  <c r="G256" i="7"/>
  <c r="H260" i="23" l="1"/>
  <c r="I260" i="23"/>
  <c r="H257" i="12"/>
  <c r="I257" i="12"/>
  <c r="H256" i="8"/>
  <c r="I256" i="8"/>
  <c r="H256" i="7"/>
  <c r="I256" i="7"/>
  <c r="K261" i="23" l="1"/>
  <c r="J260" i="23"/>
  <c r="K258" i="12"/>
  <c r="J257" i="12"/>
  <c r="J256" i="8"/>
  <c r="K257" i="8"/>
  <c r="J256" i="7"/>
  <c r="K257" i="7"/>
  <c r="M257" i="7" s="1"/>
  <c r="M261" i="23" l="1"/>
  <c r="G261" i="23"/>
  <c r="M258" i="12"/>
  <c r="G258" i="12"/>
  <c r="M257" i="8"/>
  <c r="G257" i="8"/>
  <c r="G257" i="7"/>
  <c r="H261" i="23" l="1"/>
  <c r="I261" i="23"/>
  <c r="H258" i="12"/>
  <c r="I258" i="12"/>
  <c r="H257" i="8"/>
  <c r="I257" i="8"/>
  <c r="H257" i="7"/>
  <c r="I257" i="7"/>
  <c r="J261" i="23" l="1"/>
  <c r="K262" i="23"/>
  <c r="J258" i="12"/>
  <c r="K259" i="12"/>
  <c r="K258" i="8"/>
  <c r="J257" i="8"/>
  <c r="J257" i="7"/>
  <c r="K258" i="7"/>
  <c r="M258" i="7" s="1"/>
  <c r="M262" i="23" l="1"/>
  <c r="G262" i="23"/>
  <c r="M259" i="12"/>
  <c r="G259" i="12"/>
  <c r="M258" i="8"/>
  <c r="G258" i="8"/>
  <c r="G258" i="7"/>
  <c r="H262" i="23" l="1"/>
  <c r="I262" i="23"/>
  <c r="H259" i="12"/>
  <c r="I259" i="12"/>
  <c r="H258" i="8"/>
  <c r="I258" i="8"/>
  <c r="H258" i="7"/>
  <c r="I258" i="7"/>
  <c r="K263" i="23" l="1"/>
  <c r="J262" i="23"/>
  <c r="J259" i="12"/>
  <c r="K260" i="12"/>
  <c r="J258" i="8"/>
  <c r="K259" i="8"/>
  <c r="J258" i="7"/>
  <c r="K259" i="7"/>
  <c r="M259" i="7" s="1"/>
  <c r="M263" i="23" l="1"/>
  <c r="G263" i="23"/>
  <c r="G260" i="12"/>
  <c r="M260" i="12"/>
  <c r="M259" i="8"/>
  <c r="G259" i="8"/>
  <c r="G259" i="7"/>
  <c r="H263" i="23" l="1"/>
  <c r="I263" i="23"/>
  <c r="H260" i="12"/>
  <c r="I260" i="12"/>
  <c r="H259" i="8"/>
  <c r="I259" i="8"/>
  <c r="H259" i="7"/>
  <c r="I259" i="7"/>
  <c r="J263" i="23" l="1"/>
  <c r="K264" i="23"/>
  <c r="K261" i="12"/>
  <c r="J260" i="12"/>
  <c r="J259" i="8"/>
  <c r="K260" i="8"/>
  <c r="J259" i="7"/>
  <c r="K260" i="7"/>
  <c r="M260" i="7" s="1"/>
  <c r="M264" i="23" l="1"/>
  <c r="G264" i="23"/>
  <c r="M261" i="12"/>
  <c r="G261" i="12"/>
  <c r="M260" i="8"/>
  <c r="G260" i="8"/>
  <c r="G260" i="7"/>
  <c r="H264" i="23" l="1"/>
  <c r="I264" i="23"/>
  <c r="H261" i="12"/>
  <c r="I261" i="12"/>
  <c r="H260" i="8"/>
  <c r="I260" i="8"/>
  <c r="H260" i="7"/>
  <c r="I260" i="7"/>
  <c r="J264" i="23" l="1"/>
  <c r="K265" i="23"/>
  <c r="J261" i="12"/>
  <c r="K262" i="12"/>
  <c r="K261" i="8"/>
  <c r="J260" i="8"/>
  <c r="J260" i="7"/>
  <c r="K261" i="7"/>
  <c r="M261" i="7" s="1"/>
  <c r="R35" i="23" l="1"/>
  <c r="AK8" i="23" s="1"/>
  <c r="M265" i="23"/>
  <c r="G265" i="23"/>
  <c r="M262" i="12"/>
  <c r="G262" i="12"/>
  <c r="M261" i="8"/>
  <c r="G261" i="8"/>
  <c r="G261" i="7"/>
  <c r="H265" i="23" l="1"/>
  <c r="I265" i="23"/>
  <c r="H262" i="12"/>
  <c r="I262" i="12"/>
  <c r="H261" i="8"/>
  <c r="I261" i="8"/>
  <c r="H261" i="7"/>
  <c r="I261" i="7"/>
  <c r="P35" i="23" l="1"/>
  <c r="AK5" i="23" s="1"/>
  <c r="J265" i="23"/>
  <c r="K266" i="23"/>
  <c r="K263" i="12"/>
  <c r="J262" i="12"/>
  <c r="K262" i="8"/>
  <c r="J261" i="8"/>
  <c r="J261" i="7"/>
  <c r="K262" i="7"/>
  <c r="M262" i="7" s="1"/>
  <c r="M266" i="23" l="1"/>
  <c r="G266" i="23"/>
  <c r="Q35" i="23"/>
  <c r="M263" i="12"/>
  <c r="G263" i="12"/>
  <c r="M262" i="8"/>
  <c r="G262" i="8"/>
  <c r="G262" i="7"/>
  <c r="AK6" i="23" l="1"/>
  <c r="AK7" i="23" s="1"/>
  <c r="S35" i="23"/>
  <c r="H266" i="23"/>
  <c r="I266" i="23"/>
  <c r="H263" i="12"/>
  <c r="I263" i="12"/>
  <c r="H262" i="8"/>
  <c r="I262" i="8"/>
  <c r="H262" i="7"/>
  <c r="I262" i="7"/>
  <c r="K267" i="23" l="1"/>
  <c r="J266" i="23"/>
  <c r="J263" i="12"/>
  <c r="K264" i="12"/>
  <c r="J262" i="8"/>
  <c r="K263" i="8"/>
  <c r="J262" i="7"/>
  <c r="K263" i="7"/>
  <c r="M263" i="7" s="1"/>
  <c r="M267" i="23" l="1"/>
  <c r="G267" i="23"/>
  <c r="M264" i="12"/>
  <c r="G264" i="12"/>
  <c r="M263" i="8"/>
  <c r="G263" i="8"/>
  <c r="G263" i="7"/>
  <c r="H267" i="23" l="1"/>
  <c r="I267" i="23"/>
  <c r="H264" i="12"/>
  <c r="I264" i="12"/>
  <c r="H263" i="8"/>
  <c r="I263" i="8"/>
  <c r="H263" i="7"/>
  <c r="I263" i="7"/>
  <c r="J267" i="23" l="1"/>
  <c r="K268" i="23"/>
  <c r="K265" i="12"/>
  <c r="R35" i="12" s="1"/>
  <c r="AK8" i="12" s="1"/>
  <c r="X52" i="13" s="1"/>
  <c r="X57" i="13" s="1"/>
  <c r="X58" i="13" s="1"/>
  <c r="X61" i="13" s="1"/>
  <c r="X62" i="13" s="1"/>
  <c r="J264" i="12"/>
  <c r="K264" i="8"/>
  <c r="J263" i="8"/>
  <c r="J263" i="7"/>
  <c r="K264" i="7"/>
  <c r="M264" i="7" s="1"/>
  <c r="M268" i="23" l="1"/>
  <c r="G268" i="23"/>
  <c r="X53" i="13"/>
  <c r="X54" i="13" s="1"/>
  <c r="M265" i="12"/>
  <c r="G265" i="12"/>
  <c r="M264" i="8"/>
  <c r="G264" i="8"/>
  <c r="G264" i="7"/>
  <c r="H268" i="23" l="1"/>
  <c r="I268" i="23"/>
  <c r="H265" i="12"/>
  <c r="I265" i="12"/>
  <c r="H264" i="8"/>
  <c r="I264" i="8"/>
  <c r="H264" i="7"/>
  <c r="I264" i="7"/>
  <c r="K269" i="23" l="1"/>
  <c r="J268" i="23"/>
  <c r="P35" i="12"/>
  <c r="AK5" i="12" s="1"/>
  <c r="J265" i="12"/>
  <c r="K266" i="12"/>
  <c r="J264" i="8"/>
  <c r="K265" i="8"/>
  <c r="U35" i="8" s="1"/>
  <c r="J264" i="7"/>
  <c r="K265" i="7"/>
  <c r="M265" i="7" s="1"/>
  <c r="M269" i="23" l="1"/>
  <c r="G269" i="23"/>
  <c r="M266" i="12"/>
  <c r="G266" i="12"/>
  <c r="Q35" i="12"/>
  <c r="M265" i="8"/>
  <c r="G265" i="8"/>
  <c r="Q35" i="8" s="1"/>
  <c r="G265" i="7"/>
  <c r="H269" i="23" l="1"/>
  <c r="I269" i="23"/>
  <c r="S35" i="12"/>
  <c r="AK6" i="12"/>
  <c r="AK7" i="12" s="1"/>
  <c r="H266" i="12"/>
  <c r="I266" i="12"/>
  <c r="H265" i="8"/>
  <c r="R35" i="8" s="1"/>
  <c r="I265" i="8"/>
  <c r="H265" i="7"/>
  <c r="I265" i="7"/>
  <c r="K270" i="23" l="1"/>
  <c r="J269" i="23"/>
  <c r="K267" i="12"/>
  <c r="J266" i="12"/>
  <c r="S35" i="8"/>
  <c r="K266" i="8"/>
  <c r="J265" i="8"/>
  <c r="T35" i="8" s="1"/>
  <c r="J265" i="7"/>
  <c r="K266" i="7"/>
  <c r="M266" i="7" s="1"/>
  <c r="M270" i="23" l="1"/>
  <c r="G270" i="23"/>
  <c r="M267" i="12"/>
  <c r="G267" i="12"/>
  <c r="M266" i="8"/>
  <c r="G266" i="8"/>
  <c r="G266" i="7"/>
  <c r="H270" i="23" l="1"/>
  <c r="I270" i="23"/>
  <c r="H267" i="12"/>
  <c r="I267" i="12"/>
  <c r="H266" i="8"/>
  <c r="I266" i="8"/>
  <c r="H266" i="7"/>
  <c r="I266" i="7"/>
  <c r="P36" i="7" s="1"/>
  <c r="J270" i="23" l="1"/>
  <c r="K271" i="23"/>
  <c r="J267" i="12"/>
  <c r="K268" i="12"/>
  <c r="J266" i="8"/>
  <c r="K267" i="8"/>
  <c r="J266" i="7"/>
  <c r="Q36" i="7" s="1"/>
  <c r="R36" i="7" s="1"/>
  <c r="K267" i="7"/>
  <c r="M267" i="7" s="1"/>
  <c r="M271" i="23" l="1"/>
  <c r="G271" i="23"/>
  <c r="M268" i="12"/>
  <c r="G268" i="12"/>
  <c r="M267" i="8"/>
  <c r="G267" i="8"/>
  <c r="G267" i="7"/>
  <c r="H271" i="23" l="1"/>
  <c r="I271" i="23"/>
  <c r="H268" i="12"/>
  <c r="I268" i="12"/>
  <c r="H267" i="8"/>
  <c r="I267" i="8"/>
  <c r="H267" i="7"/>
  <c r="I267" i="7"/>
  <c r="K272" i="23" l="1"/>
  <c r="J271" i="23"/>
  <c r="K269" i="12"/>
  <c r="J268" i="12"/>
  <c r="K268" i="8"/>
  <c r="J267" i="8"/>
  <c r="J267" i="7"/>
  <c r="K268" i="7"/>
  <c r="M268" i="7" s="1"/>
  <c r="M272" i="23" l="1"/>
  <c r="G272" i="23"/>
  <c r="M269" i="12"/>
  <c r="G269" i="12"/>
  <c r="M268" i="8"/>
  <c r="G268" i="8"/>
  <c r="G268" i="7"/>
  <c r="H272" i="23" l="1"/>
  <c r="I272" i="23"/>
  <c r="H269" i="12"/>
  <c r="I269" i="12"/>
  <c r="H268" i="8"/>
  <c r="I268" i="8"/>
  <c r="H268" i="7"/>
  <c r="I268" i="7"/>
  <c r="K273" i="23" l="1"/>
  <c r="J272" i="23"/>
  <c r="J269" i="12"/>
  <c r="K270" i="12"/>
  <c r="J268" i="8"/>
  <c r="K269" i="8"/>
  <c r="J268" i="7"/>
  <c r="K269" i="7"/>
  <c r="M269" i="7" s="1"/>
  <c r="M273" i="23" l="1"/>
  <c r="G273" i="23"/>
  <c r="M270" i="12"/>
  <c r="G270" i="12"/>
  <c r="M269" i="8"/>
  <c r="G269" i="8"/>
  <c r="G269" i="7"/>
  <c r="H273" i="23" l="1"/>
  <c r="I273" i="23"/>
  <c r="H270" i="12"/>
  <c r="I270" i="12"/>
  <c r="H269" i="8"/>
  <c r="I269" i="8"/>
  <c r="H269" i="7"/>
  <c r="I269" i="7"/>
  <c r="J273" i="23" l="1"/>
  <c r="K274" i="23"/>
  <c r="K271" i="12"/>
  <c r="J270" i="12"/>
  <c r="K270" i="8"/>
  <c r="J269" i="8"/>
  <c r="J269" i="7"/>
  <c r="K270" i="7"/>
  <c r="M270" i="7" s="1"/>
  <c r="M274" i="23" l="1"/>
  <c r="G274" i="23"/>
  <c r="M271" i="12"/>
  <c r="G271" i="12"/>
  <c r="M270" i="8"/>
  <c r="G270" i="8"/>
  <c r="G270" i="7"/>
  <c r="H274" i="23" l="1"/>
  <c r="I274" i="23"/>
  <c r="H271" i="12"/>
  <c r="I271" i="12"/>
  <c r="H270" i="8"/>
  <c r="I270" i="8"/>
  <c r="H270" i="7"/>
  <c r="I270" i="7"/>
  <c r="K275" i="23" l="1"/>
  <c r="J274" i="23"/>
  <c r="J271" i="12"/>
  <c r="K272" i="12"/>
  <c r="J270" i="8"/>
  <c r="K271" i="8"/>
  <c r="J270" i="7"/>
  <c r="K271" i="7"/>
  <c r="M271" i="7" s="1"/>
  <c r="M275" i="23" l="1"/>
  <c r="G275" i="23"/>
  <c r="M272" i="12"/>
  <c r="G272" i="12"/>
  <c r="M271" i="8"/>
  <c r="G271" i="8"/>
  <c r="G271" i="7"/>
  <c r="H275" i="23" l="1"/>
  <c r="I275" i="23"/>
  <c r="H272" i="12"/>
  <c r="I272" i="12"/>
  <c r="H271" i="8"/>
  <c r="I271" i="8"/>
  <c r="H271" i="7"/>
  <c r="I271" i="7"/>
  <c r="J275" i="23" l="1"/>
  <c r="K276" i="23"/>
  <c r="K273" i="12"/>
  <c r="J272" i="12"/>
  <c r="K272" i="8"/>
  <c r="J271" i="8"/>
  <c r="J271" i="7"/>
  <c r="K272" i="7"/>
  <c r="M272" i="7" s="1"/>
  <c r="M276" i="23" l="1"/>
  <c r="G276" i="23"/>
  <c r="M273" i="12"/>
  <c r="G273" i="12"/>
  <c r="M272" i="8"/>
  <c r="G272" i="8"/>
  <c r="G272" i="7"/>
  <c r="H276" i="23" l="1"/>
  <c r="I276" i="23"/>
  <c r="H273" i="12"/>
  <c r="I273" i="12"/>
  <c r="H272" i="8"/>
  <c r="I272" i="8"/>
  <c r="H272" i="7"/>
  <c r="I272" i="7"/>
  <c r="K277" i="23" l="1"/>
  <c r="J276" i="23"/>
  <c r="J273" i="12"/>
  <c r="K274" i="12"/>
  <c r="J272" i="8"/>
  <c r="K273" i="8"/>
  <c r="J272" i="7"/>
  <c r="K273" i="7"/>
  <c r="M273" i="7" s="1"/>
  <c r="M277" i="23" l="1"/>
  <c r="R36" i="23"/>
  <c r="AL8" i="23" s="1"/>
  <c r="G277" i="23"/>
  <c r="M274" i="12"/>
  <c r="G274" i="12"/>
  <c r="M273" i="8"/>
  <c r="G273" i="8"/>
  <c r="G273" i="7"/>
  <c r="H277" i="23" l="1"/>
  <c r="I277" i="23"/>
  <c r="H274" i="12"/>
  <c r="I274" i="12"/>
  <c r="H273" i="8"/>
  <c r="I273" i="8"/>
  <c r="H273" i="7"/>
  <c r="I273" i="7"/>
  <c r="P36" i="23" l="1"/>
  <c r="AL5" i="23" s="1"/>
  <c r="J277" i="23"/>
  <c r="K278" i="23"/>
  <c r="K275" i="12"/>
  <c r="J274" i="12"/>
  <c r="K274" i="8"/>
  <c r="J273" i="8"/>
  <c r="J273" i="7"/>
  <c r="K274" i="7"/>
  <c r="M274" i="7" s="1"/>
  <c r="Q36" i="23" l="1"/>
  <c r="M278" i="23"/>
  <c r="G278" i="23"/>
  <c r="M275" i="12"/>
  <c r="G275" i="12"/>
  <c r="M274" i="8"/>
  <c r="G274" i="8"/>
  <c r="G274" i="7"/>
  <c r="H278" i="23" l="1"/>
  <c r="I278" i="23"/>
  <c r="S36" i="23"/>
  <c r="AL6" i="23"/>
  <c r="AL7" i="23" s="1"/>
  <c r="H275" i="12"/>
  <c r="I275" i="12"/>
  <c r="H274" i="8"/>
  <c r="I274" i="8"/>
  <c r="H274" i="7"/>
  <c r="I274" i="7"/>
  <c r="J278" i="23" l="1"/>
  <c r="K279" i="23"/>
  <c r="J275" i="12"/>
  <c r="K276" i="12"/>
  <c r="J274" i="8"/>
  <c r="K275" i="8"/>
  <c r="J274" i="7"/>
  <c r="K275" i="7"/>
  <c r="M275" i="7" s="1"/>
  <c r="M279" i="23" l="1"/>
  <c r="G279" i="23"/>
  <c r="M276" i="12"/>
  <c r="G276" i="12"/>
  <c r="M275" i="8"/>
  <c r="G275" i="8"/>
  <c r="G275" i="7"/>
  <c r="H279" i="23" l="1"/>
  <c r="I279" i="23"/>
  <c r="H276" i="12"/>
  <c r="I276" i="12"/>
  <c r="H275" i="8"/>
  <c r="I275" i="8"/>
  <c r="H275" i="7"/>
  <c r="I275" i="7"/>
  <c r="J279" i="23" l="1"/>
  <c r="K280" i="23"/>
  <c r="K277" i="12"/>
  <c r="R36" i="12" s="1"/>
  <c r="AL8" i="12" s="1"/>
  <c r="Y52" i="13" s="1"/>
  <c r="Y57" i="13" s="1"/>
  <c r="Y58" i="13" s="1"/>
  <c r="Y61" i="13" s="1"/>
  <c r="Y62" i="13" s="1"/>
  <c r="J276" i="12"/>
  <c r="K276" i="8"/>
  <c r="J275" i="8"/>
  <c r="J275" i="7"/>
  <c r="K276" i="7"/>
  <c r="M276" i="7" s="1"/>
  <c r="M280" i="23" l="1"/>
  <c r="G280" i="23"/>
  <c r="Y53" i="13"/>
  <c r="Y54" i="13" s="1"/>
  <c r="M277" i="12"/>
  <c r="G277" i="12"/>
  <c r="M276" i="8"/>
  <c r="G276" i="8"/>
  <c r="G276" i="7"/>
  <c r="H280" i="23" l="1"/>
  <c r="I280" i="23"/>
  <c r="H277" i="12"/>
  <c r="I277" i="12"/>
  <c r="H276" i="8"/>
  <c r="I276" i="8"/>
  <c r="H276" i="7"/>
  <c r="I276" i="7"/>
  <c r="K281" i="23" l="1"/>
  <c r="J280" i="23"/>
  <c r="P36" i="12"/>
  <c r="AL5" i="12" s="1"/>
  <c r="J277" i="12"/>
  <c r="K278" i="12"/>
  <c r="J276" i="8"/>
  <c r="K277" i="8"/>
  <c r="U36" i="8" s="1"/>
  <c r="J276" i="7"/>
  <c r="K277" i="7"/>
  <c r="M277" i="7" s="1"/>
  <c r="M281" i="23" l="1"/>
  <c r="G281" i="23"/>
  <c r="M278" i="12"/>
  <c r="G278" i="12"/>
  <c r="Q36" i="12"/>
  <c r="M277" i="8"/>
  <c r="G277" i="8"/>
  <c r="Q36" i="8" s="1"/>
  <c r="G277" i="7"/>
  <c r="H281" i="23" l="1"/>
  <c r="I281" i="23"/>
  <c r="S36" i="12"/>
  <c r="AL6" i="12"/>
  <c r="H278" i="12"/>
  <c r="I278" i="12"/>
  <c r="H277" i="8"/>
  <c r="R36" i="8" s="1"/>
  <c r="I277" i="8"/>
  <c r="H277" i="7"/>
  <c r="I277" i="7"/>
  <c r="J281" i="23" l="1"/>
  <c r="K282" i="23"/>
  <c r="AL7" i="12"/>
  <c r="K279" i="12"/>
  <c r="J278" i="12"/>
  <c r="S36" i="8"/>
  <c r="K278" i="8"/>
  <c r="J277" i="8"/>
  <c r="T36" i="8" s="1"/>
  <c r="J277" i="7"/>
  <c r="K278" i="7"/>
  <c r="M278" i="7" s="1"/>
  <c r="M282" i="23" l="1"/>
  <c r="G282" i="23"/>
  <c r="M279" i="12"/>
  <c r="G279" i="12"/>
  <c r="M278" i="8"/>
  <c r="G278" i="8"/>
  <c r="G278" i="7"/>
  <c r="H282" i="23" l="1"/>
  <c r="I282" i="23"/>
  <c r="H279" i="12"/>
  <c r="I279" i="12"/>
  <c r="H278" i="8"/>
  <c r="I278" i="8"/>
  <c r="H278" i="7"/>
  <c r="I278" i="7"/>
  <c r="P37" i="7" s="1"/>
  <c r="K283" i="23" l="1"/>
  <c r="J282" i="23"/>
  <c r="J279" i="12"/>
  <c r="K280" i="12"/>
  <c r="J278" i="8"/>
  <c r="K279" i="8"/>
  <c r="J278" i="7"/>
  <c r="Q37" i="7" s="1"/>
  <c r="R37" i="7" s="1"/>
  <c r="K279" i="7"/>
  <c r="M279" i="7" s="1"/>
  <c r="M283" i="23" l="1"/>
  <c r="G283" i="23"/>
  <c r="M280" i="12"/>
  <c r="G280" i="12"/>
  <c r="M279" i="8"/>
  <c r="G279" i="8"/>
  <c r="G279" i="7"/>
  <c r="H283" i="23" l="1"/>
  <c r="I283" i="23"/>
  <c r="H280" i="12"/>
  <c r="I280" i="12"/>
  <c r="H279" i="8"/>
  <c r="I279" i="8"/>
  <c r="H279" i="7"/>
  <c r="I279" i="7"/>
  <c r="J283" i="23" l="1"/>
  <c r="K284" i="23"/>
  <c r="K281" i="12"/>
  <c r="J280" i="12"/>
  <c r="K280" i="8"/>
  <c r="J279" i="8"/>
  <c r="J279" i="7"/>
  <c r="K280" i="7"/>
  <c r="M280" i="7" s="1"/>
  <c r="M284" i="23" l="1"/>
  <c r="G284" i="23"/>
  <c r="M281" i="12"/>
  <c r="G281" i="12"/>
  <c r="M280" i="8"/>
  <c r="G280" i="8"/>
  <c r="G280" i="7"/>
  <c r="H284" i="23" l="1"/>
  <c r="I284" i="23"/>
  <c r="H281" i="12"/>
  <c r="I281" i="12"/>
  <c r="H280" i="8"/>
  <c r="I280" i="8"/>
  <c r="H280" i="7"/>
  <c r="I280" i="7"/>
  <c r="K285" i="23" l="1"/>
  <c r="J284" i="23"/>
  <c r="J281" i="12"/>
  <c r="K282" i="12"/>
  <c r="J280" i="8"/>
  <c r="K281" i="8"/>
  <c r="J280" i="7"/>
  <c r="K281" i="7"/>
  <c r="M281" i="7" s="1"/>
  <c r="M285" i="23" l="1"/>
  <c r="G285" i="23"/>
  <c r="M282" i="12"/>
  <c r="G282" i="12"/>
  <c r="M281" i="8"/>
  <c r="G281" i="8"/>
  <c r="G281" i="7"/>
  <c r="H285" i="23" l="1"/>
  <c r="I285" i="23"/>
  <c r="H282" i="12"/>
  <c r="I282" i="12"/>
  <c r="H281" i="8"/>
  <c r="I281" i="8"/>
  <c r="H281" i="7"/>
  <c r="I281" i="7"/>
  <c r="J285" i="23" l="1"/>
  <c r="K286" i="23"/>
  <c r="K283" i="12"/>
  <c r="J282" i="12"/>
  <c r="K282" i="8"/>
  <c r="J281" i="8"/>
  <c r="J281" i="7"/>
  <c r="K282" i="7"/>
  <c r="M282" i="7" s="1"/>
  <c r="M286" i="23" l="1"/>
  <c r="G286" i="23"/>
  <c r="M283" i="12"/>
  <c r="G283" i="12"/>
  <c r="M282" i="8"/>
  <c r="G282" i="8"/>
  <c r="G282" i="7"/>
  <c r="H286" i="23" l="1"/>
  <c r="I286" i="23"/>
  <c r="H283" i="12"/>
  <c r="I283" i="12"/>
  <c r="H282" i="8"/>
  <c r="I282" i="8"/>
  <c r="H282" i="7"/>
  <c r="I282" i="7"/>
  <c r="J286" i="23" l="1"/>
  <c r="K287" i="23"/>
  <c r="J283" i="12"/>
  <c r="K284" i="12"/>
  <c r="J282" i="8"/>
  <c r="K283" i="8"/>
  <c r="J282" i="7"/>
  <c r="K283" i="7"/>
  <c r="M283" i="7" s="1"/>
  <c r="M287" i="23" l="1"/>
  <c r="G287" i="23"/>
  <c r="M284" i="12"/>
  <c r="G284" i="12"/>
  <c r="M283" i="8"/>
  <c r="G283" i="8"/>
  <c r="G283" i="7"/>
  <c r="H287" i="23" l="1"/>
  <c r="I287" i="23"/>
  <c r="H284" i="12"/>
  <c r="I284" i="12"/>
  <c r="H283" i="8"/>
  <c r="I283" i="8"/>
  <c r="H283" i="7"/>
  <c r="I283" i="7"/>
  <c r="K288" i="23" l="1"/>
  <c r="J287" i="23"/>
  <c r="J284" i="12"/>
  <c r="K285" i="12"/>
  <c r="K284" i="8"/>
  <c r="J283" i="8"/>
  <c r="J283" i="7"/>
  <c r="K284" i="7"/>
  <c r="M284" i="7" s="1"/>
  <c r="M288" i="23" l="1"/>
  <c r="G288" i="23"/>
  <c r="M285" i="12"/>
  <c r="G285" i="12"/>
  <c r="M284" i="8"/>
  <c r="G284" i="8"/>
  <c r="G284" i="7"/>
  <c r="H288" i="23" l="1"/>
  <c r="I288" i="23"/>
  <c r="H285" i="12"/>
  <c r="I285" i="12"/>
  <c r="H284" i="8"/>
  <c r="I284" i="8"/>
  <c r="H284" i="7"/>
  <c r="I284" i="7"/>
  <c r="J288" i="23" l="1"/>
  <c r="K289" i="23"/>
  <c r="K286" i="12"/>
  <c r="J285" i="12"/>
  <c r="J284" i="8"/>
  <c r="K285" i="8"/>
  <c r="J284" i="7"/>
  <c r="K285" i="7"/>
  <c r="M285" i="7" s="1"/>
  <c r="M289" i="23" l="1"/>
  <c r="R37" i="23"/>
  <c r="AM8" i="23" s="1"/>
  <c r="G289" i="23"/>
  <c r="M286" i="12"/>
  <c r="G286" i="12"/>
  <c r="M285" i="8"/>
  <c r="G285" i="8"/>
  <c r="G285" i="7"/>
  <c r="H289" i="23" l="1"/>
  <c r="I289" i="23"/>
  <c r="H286" i="12"/>
  <c r="I286" i="12"/>
  <c r="H285" i="8"/>
  <c r="I285" i="8"/>
  <c r="H285" i="7"/>
  <c r="I285" i="7"/>
  <c r="P37" i="23" l="1"/>
  <c r="AM5" i="23" s="1"/>
  <c r="K290" i="23"/>
  <c r="J289" i="23"/>
  <c r="K287" i="12"/>
  <c r="J286" i="12"/>
  <c r="K286" i="8"/>
  <c r="J285" i="8"/>
  <c r="J285" i="7"/>
  <c r="K286" i="7"/>
  <c r="M286" i="7" s="1"/>
  <c r="M290" i="23" l="1"/>
  <c r="G290" i="23"/>
  <c r="Q37" i="23"/>
  <c r="M287" i="12"/>
  <c r="G287" i="12"/>
  <c r="M286" i="8"/>
  <c r="G286" i="8"/>
  <c r="G286" i="7"/>
  <c r="H290" i="23" l="1"/>
  <c r="I290" i="23"/>
  <c r="AM6" i="23"/>
  <c r="AM7" i="23" s="1"/>
  <c r="S37" i="23"/>
  <c r="H287" i="12"/>
  <c r="I287" i="12"/>
  <c r="H286" i="8"/>
  <c r="I286" i="8"/>
  <c r="H286" i="7"/>
  <c r="I286" i="7"/>
  <c r="K291" i="23" l="1"/>
  <c r="J290" i="23"/>
  <c r="J287" i="12"/>
  <c r="K288" i="12"/>
  <c r="J286" i="8"/>
  <c r="K287" i="8"/>
  <c r="J286" i="7"/>
  <c r="K287" i="7"/>
  <c r="M287" i="7" s="1"/>
  <c r="M291" i="23" l="1"/>
  <c r="G291" i="23"/>
  <c r="M288" i="12"/>
  <c r="G288" i="12"/>
  <c r="M287" i="8"/>
  <c r="G287" i="8"/>
  <c r="G287" i="7"/>
  <c r="H291" i="23" l="1"/>
  <c r="I291" i="23"/>
  <c r="H288" i="12"/>
  <c r="I288" i="12"/>
  <c r="H287" i="8"/>
  <c r="I287" i="8"/>
  <c r="H287" i="7"/>
  <c r="I287" i="7"/>
  <c r="J291" i="23" l="1"/>
  <c r="K292" i="23"/>
  <c r="K289" i="12"/>
  <c r="R37" i="12" s="1"/>
  <c r="AM8" i="12" s="1"/>
  <c r="Z52" i="13" s="1"/>
  <c r="Z57" i="13" s="1"/>
  <c r="Z58" i="13" s="1"/>
  <c r="Z61" i="13" s="1"/>
  <c r="Z62" i="13" s="1"/>
  <c r="J288" i="12"/>
  <c r="J287" i="8"/>
  <c r="K288" i="8"/>
  <c r="J287" i="7"/>
  <c r="K288" i="7"/>
  <c r="M288" i="7" s="1"/>
  <c r="M292" i="23" l="1"/>
  <c r="G292" i="23"/>
  <c r="Z53" i="13"/>
  <c r="Z54" i="13" s="1"/>
  <c r="M289" i="12"/>
  <c r="G289" i="12"/>
  <c r="M288" i="8"/>
  <c r="G288" i="8"/>
  <c r="G288" i="7"/>
  <c r="H292" i="23" l="1"/>
  <c r="I292" i="23"/>
  <c r="H289" i="12"/>
  <c r="I289" i="12"/>
  <c r="H288" i="8"/>
  <c r="I288" i="8"/>
  <c r="H288" i="7"/>
  <c r="I288" i="7"/>
  <c r="K293" i="23" l="1"/>
  <c r="J292" i="23"/>
  <c r="P37" i="12"/>
  <c r="AM5" i="12" s="1"/>
  <c r="J289" i="12"/>
  <c r="K290" i="12"/>
  <c r="K289" i="8"/>
  <c r="U37" i="8" s="1"/>
  <c r="J288" i="8"/>
  <c r="J288" i="7"/>
  <c r="K289" i="7"/>
  <c r="M289" i="7" s="1"/>
  <c r="M293" i="23" l="1"/>
  <c r="G293" i="23"/>
  <c r="M290" i="12"/>
  <c r="G290" i="12"/>
  <c r="Q37" i="12"/>
  <c r="M289" i="8"/>
  <c r="G289" i="8"/>
  <c r="Q37" i="8" s="1"/>
  <c r="G289" i="7"/>
  <c r="H293" i="23" l="1"/>
  <c r="I293" i="23"/>
  <c r="S37" i="12"/>
  <c r="AM6" i="12"/>
  <c r="AM7" i="12" s="1"/>
  <c r="H290" i="12"/>
  <c r="I290" i="12"/>
  <c r="H289" i="8"/>
  <c r="R37" i="8" s="1"/>
  <c r="I289" i="8"/>
  <c r="H289" i="7"/>
  <c r="I289" i="7"/>
  <c r="J293" i="23" l="1"/>
  <c r="K294" i="23"/>
  <c r="K291" i="12"/>
  <c r="J290" i="12"/>
  <c r="S37" i="8"/>
  <c r="J289" i="8"/>
  <c r="T37" i="8" s="1"/>
  <c r="K290" i="8"/>
  <c r="J289" i="7"/>
  <c r="K290" i="7"/>
  <c r="M290" i="7" s="1"/>
  <c r="M294" i="23" l="1"/>
  <c r="G294" i="23"/>
  <c r="M291" i="12"/>
  <c r="G291" i="12"/>
  <c r="M290" i="8"/>
  <c r="G290" i="8"/>
  <c r="G290" i="7"/>
  <c r="H294" i="23" l="1"/>
  <c r="I294" i="23"/>
  <c r="H291" i="12"/>
  <c r="I291" i="12"/>
  <c r="H290" i="8"/>
  <c r="I290" i="8"/>
  <c r="H290" i="7"/>
  <c r="I290" i="7"/>
  <c r="P38" i="7" s="1"/>
  <c r="K295" i="23" l="1"/>
  <c r="J294" i="23"/>
  <c r="K292" i="12"/>
  <c r="J291" i="12"/>
  <c r="J290" i="8"/>
  <c r="K291" i="8"/>
  <c r="J290" i="7"/>
  <c r="Q38" i="7" s="1"/>
  <c r="R38" i="7" s="1"/>
  <c r="K291" i="7"/>
  <c r="M291" i="7" s="1"/>
  <c r="M295" i="23" l="1"/>
  <c r="G295" i="23"/>
  <c r="G292" i="12"/>
  <c r="M292" i="12"/>
  <c r="M291" i="8"/>
  <c r="G291" i="8"/>
  <c r="G291" i="7"/>
  <c r="H295" i="23" l="1"/>
  <c r="I295" i="23"/>
  <c r="H292" i="12"/>
  <c r="I292" i="12"/>
  <c r="H291" i="8"/>
  <c r="I291" i="8"/>
  <c r="H291" i="7"/>
  <c r="I291" i="7"/>
  <c r="J295" i="23" l="1"/>
  <c r="K296" i="23"/>
  <c r="J292" i="12"/>
  <c r="K293" i="12"/>
  <c r="J291" i="8"/>
  <c r="K292" i="8"/>
  <c r="J291" i="7"/>
  <c r="K292" i="7"/>
  <c r="M292" i="7" s="1"/>
  <c r="M296" i="23" l="1"/>
  <c r="G296" i="23"/>
  <c r="M293" i="12"/>
  <c r="G293" i="12"/>
  <c r="M292" i="8"/>
  <c r="G292" i="8"/>
  <c r="G292" i="7"/>
  <c r="H296" i="23" l="1"/>
  <c r="I296" i="23"/>
  <c r="H293" i="12"/>
  <c r="I293" i="12"/>
  <c r="H292" i="8"/>
  <c r="I292" i="8"/>
  <c r="H292" i="7"/>
  <c r="I292" i="7"/>
  <c r="J296" i="23" l="1"/>
  <c r="K297" i="23"/>
  <c r="K294" i="12"/>
  <c r="J293" i="12"/>
  <c r="K293" i="8"/>
  <c r="J292" i="8"/>
  <c r="J292" i="7"/>
  <c r="K293" i="7"/>
  <c r="M293" i="7" s="1"/>
  <c r="M297" i="23" l="1"/>
  <c r="G297" i="23"/>
  <c r="M294" i="12"/>
  <c r="G294" i="12"/>
  <c r="M293" i="8"/>
  <c r="G293" i="8"/>
  <c r="G293" i="7"/>
  <c r="H297" i="23" l="1"/>
  <c r="I297" i="23"/>
  <c r="H294" i="12"/>
  <c r="I294" i="12"/>
  <c r="H293" i="8"/>
  <c r="I293" i="8"/>
  <c r="H293" i="7"/>
  <c r="I293" i="7"/>
  <c r="K298" i="23" l="1"/>
  <c r="J297" i="23"/>
  <c r="J294" i="12"/>
  <c r="K295" i="12"/>
  <c r="J293" i="8"/>
  <c r="K294" i="8"/>
  <c r="J293" i="7"/>
  <c r="K294" i="7"/>
  <c r="M294" i="7" s="1"/>
  <c r="M298" i="23" l="1"/>
  <c r="G298" i="23"/>
  <c r="M295" i="12"/>
  <c r="G295" i="12"/>
  <c r="M294" i="8"/>
  <c r="G294" i="8"/>
  <c r="G294" i="7"/>
  <c r="H298" i="23" l="1"/>
  <c r="I298" i="23"/>
  <c r="H295" i="12"/>
  <c r="I295" i="12"/>
  <c r="H294" i="8"/>
  <c r="I294" i="8"/>
  <c r="H294" i="7"/>
  <c r="I294" i="7"/>
  <c r="J298" i="23" l="1"/>
  <c r="K299" i="23"/>
  <c r="K296" i="12"/>
  <c r="J295" i="12"/>
  <c r="K295" i="8"/>
  <c r="J294" i="8"/>
  <c r="J294" i="7"/>
  <c r="K295" i="7"/>
  <c r="M295" i="7" s="1"/>
  <c r="M299" i="23" l="1"/>
  <c r="G299" i="23"/>
  <c r="M296" i="12"/>
  <c r="G296" i="12"/>
  <c r="M295" i="8"/>
  <c r="G295" i="8"/>
  <c r="G295" i="7"/>
  <c r="H299" i="23" l="1"/>
  <c r="I299" i="23"/>
  <c r="H296" i="12"/>
  <c r="I296" i="12"/>
  <c r="H295" i="8"/>
  <c r="I295" i="8"/>
  <c r="H295" i="7"/>
  <c r="I295" i="7"/>
  <c r="K300" i="23" l="1"/>
  <c r="J299" i="23"/>
  <c r="J296" i="12"/>
  <c r="K297" i="12"/>
  <c r="J295" i="8"/>
  <c r="K296" i="8"/>
  <c r="J295" i="7"/>
  <c r="K296" i="7"/>
  <c r="M296" i="7" s="1"/>
  <c r="M300" i="23" l="1"/>
  <c r="G300" i="23"/>
  <c r="M297" i="12"/>
  <c r="G297" i="12"/>
  <c r="M296" i="8"/>
  <c r="G296" i="8"/>
  <c r="G296" i="7"/>
  <c r="H300" i="23" l="1"/>
  <c r="I300" i="23"/>
  <c r="H297" i="12"/>
  <c r="I297" i="12"/>
  <c r="H296" i="8"/>
  <c r="I296" i="8"/>
  <c r="H296" i="7"/>
  <c r="I296" i="7"/>
  <c r="J300" i="23" l="1"/>
  <c r="K301" i="23"/>
  <c r="K298" i="12"/>
  <c r="J297" i="12"/>
  <c r="K297" i="8"/>
  <c r="J296" i="8"/>
  <c r="J296" i="7"/>
  <c r="K297" i="7"/>
  <c r="M297" i="7" s="1"/>
  <c r="M301" i="23" l="1"/>
  <c r="R38" i="23"/>
  <c r="AN8" i="23" s="1"/>
  <c r="G301" i="23"/>
  <c r="M298" i="12"/>
  <c r="G298" i="12"/>
  <c r="M297" i="8"/>
  <c r="G297" i="8"/>
  <c r="G297" i="7"/>
  <c r="H301" i="23" l="1"/>
  <c r="I301" i="23"/>
  <c r="H298" i="12"/>
  <c r="I298" i="12"/>
  <c r="H297" i="8"/>
  <c r="I297" i="8"/>
  <c r="H297" i="7"/>
  <c r="I297" i="7"/>
  <c r="P38" i="23" l="1"/>
  <c r="AN5" i="23" s="1"/>
  <c r="K302" i="23"/>
  <c r="J301" i="23"/>
  <c r="J298" i="12"/>
  <c r="K299" i="12"/>
  <c r="J297" i="8"/>
  <c r="K298" i="8"/>
  <c r="J297" i="7"/>
  <c r="K298" i="7"/>
  <c r="M298" i="7" s="1"/>
  <c r="M302" i="23" l="1"/>
  <c r="G302" i="23"/>
  <c r="Q38" i="23"/>
  <c r="M299" i="12"/>
  <c r="G299" i="12"/>
  <c r="M298" i="8"/>
  <c r="G298" i="8"/>
  <c r="G298" i="7"/>
  <c r="S38" i="23" l="1"/>
  <c r="AN6" i="23"/>
  <c r="AN7" i="23" s="1"/>
  <c r="H302" i="23"/>
  <c r="I302" i="23"/>
  <c r="H299" i="12"/>
  <c r="I299" i="12"/>
  <c r="H298" i="8"/>
  <c r="I298" i="8"/>
  <c r="H298" i="7"/>
  <c r="I298" i="7"/>
  <c r="J302" i="23" l="1"/>
  <c r="K303" i="23"/>
  <c r="K300" i="12"/>
  <c r="J299" i="12"/>
  <c r="J298" i="8"/>
  <c r="K299" i="8"/>
  <c r="J298" i="7"/>
  <c r="K299" i="7"/>
  <c r="M299" i="7" s="1"/>
  <c r="M303" i="23" l="1"/>
  <c r="G303" i="23"/>
  <c r="M300" i="12"/>
  <c r="G300" i="12"/>
  <c r="M299" i="8"/>
  <c r="G299" i="8"/>
  <c r="G299" i="7"/>
  <c r="H303" i="23" l="1"/>
  <c r="I303" i="23"/>
  <c r="H300" i="12"/>
  <c r="I300" i="12"/>
  <c r="H299" i="8"/>
  <c r="I299" i="8"/>
  <c r="H299" i="7"/>
  <c r="I299" i="7"/>
  <c r="K304" i="23" l="1"/>
  <c r="J303" i="23"/>
  <c r="J300" i="12"/>
  <c r="K301" i="12"/>
  <c r="R38" i="12" s="1"/>
  <c r="AN8" i="12" s="1"/>
  <c r="AA52" i="13" s="1"/>
  <c r="AA57" i="13" s="1"/>
  <c r="AA58" i="13" s="1"/>
  <c r="AA61" i="13" s="1"/>
  <c r="AA62" i="13" s="1"/>
  <c r="K300" i="8"/>
  <c r="J299" i="8"/>
  <c r="J299" i="7"/>
  <c r="K300" i="7"/>
  <c r="M300" i="7" s="1"/>
  <c r="M304" i="23" l="1"/>
  <c r="G304" i="23"/>
  <c r="AA53" i="13"/>
  <c r="AA54" i="13" s="1"/>
  <c r="M301" i="12"/>
  <c r="G301" i="12"/>
  <c r="M300" i="8"/>
  <c r="G300" i="8"/>
  <c r="G300" i="7"/>
  <c r="H304" i="23" l="1"/>
  <c r="I304" i="23"/>
  <c r="H301" i="12"/>
  <c r="I301" i="12"/>
  <c r="H300" i="8"/>
  <c r="I300" i="8"/>
  <c r="H300" i="7"/>
  <c r="I300" i="7"/>
  <c r="J304" i="23" l="1"/>
  <c r="K305" i="23"/>
  <c r="P38" i="12"/>
  <c r="AN5" i="12" s="1"/>
  <c r="K302" i="12"/>
  <c r="J301" i="12"/>
  <c r="J300" i="8"/>
  <c r="K301" i="8"/>
  <c r="U38" i="8" s="1"/>
  <c r="J300" i="7"/>
  <c r="K301" i="7"/>
  <c r="M301" i="7" s="1"/>
  <c r="M305" i="23" l="1"/>
  <c r="G305" i="23"/>
  <c r="Q38" i="12"/>
  <c r="G302" i="12"/>
  <c r="M302" i="12"/>
  <c r="M301" i="8"/>
  <c r="G301" i="8"/>
  <c r="Q38" i="8" s="1"/>
  <c r="G301" i="7"/>
  <c r="H305" i="23" l="1"/>
  <c r="I305" i="23"/>
  <c r="S38" i="12"/>
  <c r="AN6" i="12"/>
  <c r="AN7" i="12" s="1"/>
  <c r="H302" i="12"/>
  <c r="I302" i="12"/>
  <c r="H301" i="8"/>
  <c r="R38" i="8" s="1"/>
  <c r="I301" i="8"/>
  <c r="H301" i="7"/>
  <c r="I301" i="7"/>
  <c r="K306" i="23" l="1"/>
  <c r="J305" i="23"/>
  <c r="K303" i="12"/>
  <c r="J302" i="12"/>
  <c r="S38" i="8"/>
  <c r="J301" i="8"/>
  <c r="T38" i="8" s="1"/>
  <c r="K302" i="8"/>
  <c r="J301" i="7"/>
  <c r="K302" i="7"/>
  <c r="M302" i="7" s="1"/>
  <c r="M306" i="23" l="1"/>
  <c r="G306" i="23"/>
  <c r="M303" i="12"/>
  <c r="G303" i="12"/>
  <c r="M302" i="8"/>
  <c r="G302" i="8"/>
  <c r="G302" i="7"/>
  <c r="H306" i="23" l="1"/>
  <c r="I306" i="23"/>
  <c r="H303" i="12"/>
  <c r="I303" i="12"/>
  <c r="H302" i="8"/>
  <c r="I302" i="8"/>
  <c r="H302" i="7"/>
  <c r="I302" i="7"/>
  <c r="P39" i="7" s="1"/>
  <c r="J306" i="23" l="1"/>
  <c r="K307" i="23"/>
  <c r="J303" i="12"/>
  <c r="K304" i="12"/>
  <c r="J302" i="8"/>
  <c r="K303" i="8"/>
  <c r="J302" i="7"/>
  <c r="Q39" i="7" s="1"/>
  <c r="R39" i="7" s="1"/>
  <c r="K303" i="7"/>
  <c r="M303" i="7" s="1"/>
  <c r="M307" i="23" l="1"/>
  <c r="G307" i="23"/>
  <c r="M304" i="12"/>
  <c r="G304" i="12"/>
  <c r="M303" i="8"/>
  <c r="G303" i="8"/>
  <c r="G303" i="7"/>
  <c r="H307" i="23" l="1"/>
  <c r="I307" i="23"/>
  <c r="H304" i="12"/>
  <c r="I304" i="12"/>
  <c r="H303" i="8"/>
  <c r="I303" i="8"/>
  <c r="H303" i="7"/>
  <c r="I303" i="7"/>
  <c r="K308" i="23" l="1"/>
  <c r="J307" i="23"/>
  <c r="K305" i="12"/>
  <c r="J304" i="12"/>
  <c r="K304" i="8"/>
  <c r="J303" i="8"/>
  <c r="J303" i="7"/>
  <c r="K304" i="7"/>
  <c r="M304" i="7" s="1"/>
  <c r="M308" i="23" l="1"/>
  <c r="G308" i="23"/>
  <c r="M305" i="12"/>
  <c r="G305" i="12"/>
  <c r="M304" i="8"/>
  <c r="G304" i="8"/>
  <c r="G304" i="7"/>
  <c r="H308" i="23" l="1"/>
  <c r="I308" i="23"/>
  <c r="H305" i="12"/>
  <c r="I305" i="12"/>
  <c r="H304" i="8"/>
  <c r="I304" i="8"/>
  <c r="H304" i="7"/>
  <c r="I304" i="7"/>
  <c r="J308" i="23" l="1"/>
  <c r="K309" i="23"/>
  <c r="K306" i="12"/>
  <c r="J305" i="12"/>
  <c r="J304" i="8"/>
  <c r="K305" i="8"/>
  <c r="J304" i="7"/>
  <c r="K305" i="7"/>
  <c r="M305" i="7" s="1"/>
  <c r="M309" i="23" l="1"/>
  <c r="G309" i="23"/>
  <c r="M306" i="12"/>
  <c r="G306" i="12"/>
  <c r="M305" i="8"/>
  <c r="G305" i="8"/>
  <c r="G305" i="7"/>
  <c r="H309" i="23" l="1"/>
  <c r="I309" i="23"/>
  <c r="H306" i="12"/>
  <c r="I306" i="12"/>
  <c r="H305" i="8"/>
  <c r="I305" i="8"/>
  <c r="H305" i="7"/>
  <c r="I305" i="7"/>
  <c r="J309" i="23" l="1"/>
  <c r="K310" i="23"/>
  <c r="J306" i="12"/>
  <c r="K307" i="12"/>
  <c r="K306" i="8"/>
  <c r="J305" i="8"/>
  <c r="J305" i="7"/>
  <c r="K306" i="7"/>
  <c r="M306" i="7" s="1"/>
  <c r="M310" i="23" l="1"/>
  <c r="G310" i="23"/>
  <c r="M307" i="12"/>
  <c r="G307" i="12"/>
  <c r="M306" i="8"/>
  <c r="G306" i="8"/>
  <c r="G306" i="7"/>
  <c r="H310" i="23" l="1"/>
  <c r="I310" i="23"/>
  <c r="H307" i="12"/>
  <c r="I307" i="12"/>
  <c r="H306" i="8"/>
  <c r="I306" i="8"/>
  <c r="H306" i="7"/>
  <c r="I306" i="7"/>
  <c r="K311" i="23" l="1"/>
  <c r="J310" i="23"/>
  <c r="J307" i="12"/>
  <c r="K308" i="12"/>
  <c r="J306" i="8"/>
  <c r="K307" i="8"/>
  <c r="J306" i="7"/>
  <c r="K307" i="7"/>
  <c r="M307" i="7" s="1"/>
  <c r="M311" i="23" l="1"/>
  <c r="G311" i="23"/>
  <c r="M308" i="12"/>
  <c r="G308" i="12"/>
  <c r="M307" i="8"/>
  <c r="G307" i="8"/>
  <c r="G307" i="7"/>
  <c r="H311" i="23" l="1"/>
  <c r="I311" i="23"/>
  <c r="H308" i="12"/>
  <c r="I308" i="12"/>
  <c r="H307" i="8"/>
  <c r="I307" i="8"/>
  <c r="H307" i="7"/>
  <c r="I307" i="7"/>
  <c r="J311" i="23" l="1"/>
  <c r="K312" i="23"/>
  <c r="J308" i="12"/>
  <c r="K309" i="12"/>
  <c r="K308" i="8"/>
  <c r="J307" i="8"/>
  <c r="J307" i="7"/>
  <c r="K308" i="7"/>
  <c r="M308" i="7" s="1"/>
  <c r="M312" i="23" l="1"/>
  <c r="G312" i="23"/>
  <c r="M309" i="12"/>
  <c r="G309" i="12"/>
  <c r="M308" i="8"/>
  <c r="G308" i="8"/>
  <c r="G308" i="7"/>
  <c r="H312" i="23" l="1"/>
  <c r="I312" i="23"/>
  <c r="H309" i="12"/>
  <c r="I309" i="12"/>
  <c r="H308" i="8"/>
  <c r="I308" i="8"/>
  <c r="H308" i="7"/>
  <c r="I308" i="7"/>
  <c r="K313" i="23" l="1"/>
  <c r="J312" i="23"/>
  <c r="K310" i="12"/>
  <c r="J309" i="12"/>
  <c r="J308" i="8"/>
  <c r="K309" i="8"/>
  <c r="J308" i="7"/>
  <c r="K309" i="7"/>
  <c r="M309" i="7" s="1"/>
  <c r="M313" i="23" l="1"/>
  <c r="R39" i="23"/>
  <c r="AO8" i="23" s="1"/>
  <c r="G313" i="23"/>
  <c r="M310" i="12"/>
  <c r="G310" i="12"/>
  <c r="M309" i="8"/>
  <c r="G309" i="8"/>
  <c r="G309" i="7"/>
  <c r="H313" i="23" l="1"/>
  <c r="I313" i="23"/>
  <c r="H310" i="12"/>
  <c r="I310" i="12"/>
  <c r="H309" i="8"/>
  <c r="I309" i="8"/>
  <c r="H309" i="7"/>
  <c r="I309" i="7"/>
  <c r="P39" i="23" l="1"/>
  <c r="AO5" i="23" s="1"/>
  <c r="J313" i="23"/>
  <c r="K314" i="23"/>
  <c r="J310" i="12"/>
  <c r="K311" i="12"/>
  <c r="K310" i="8"/>
  <c r="J309" i="8"/>
  <c r="J309" i="7"/>
  <c r="K310" i="7"/>
  <c r="M310" i="7" s="1"/>
  <c r="Q39" i="23" l="1"/>
  <c r="M314" i="23"/>
  <c r="G314" i="23"/>
  <c r="M311" i="12"/>
  <c r="G311" i="12"/>
  <c r="M310" i="8"/>
  <c r="G310" i="8"/>
  <c r="G310" i="7"/>
  <c r="H314" i="23" l="1"/>
  <c r="I314" i="23"/>
  <c r="S39" i="23"/>
  <c r="AO6" i="23"/>
  <c r="AO7" i="23" s="1"/>
  <c r="H311" i="12"/>
  <c r="I311" i="12"/>
  <c r="H310" i="8"/>
  <c r="I310" i="8"/>
  <c r="H310" i="7"/>
  <c r="I310" i="7"/>
  <c r="J314" i="23" l="1"/>
  <c r="K315" i="23"/>
  <c r="K312" i="12"/>
  <c r="J311" i="12"/>
  <c r="J310" i="8"/>
  <c r="K311" i="8"/>
  <c r="J310" i="7"/>
  <c r="K311" i="7"/>
  <c r="M311" i="7" s="1"/>
  <c r="M315" i="23" l="1"/>
  <c r="G315" i="23"/>
  <c r="M312" i="12"/>
  <c r="G312" i="12"/>
  <c r="M311" i="8"/>
  <c r="G311" i="8"/>
  <c r="G311" i="7"/>
  <c r="H315" i="23" l="1"/>
  <c r="I315" i="23"/>
  <c r="H312" i="12"/>
  <c r="I312" i="12"/>
  <c r="H311" i="8"/>
  <c r="I311" i="8"/>
  <c r="H311" i="7"/>
  <c r="I311" i="7"/>
  <c r="K316" i="23" l="1"/>
  <c r="J315" i="23"/>
  <c r="J312" i="12"/>
  <c r="K313" i="12"/>
  <c r="R39" i="12" s="1"/>
  <c r="AO8" i="12" s="1"/>
  <c r="AB52" i="13" s="1"/>
  <c r="AB57" i="13" s="1"/>
  <c r="AB58" i="13" s="1"/>
  <c r="AB61" i="13" s="1"/>
  <c r="AB62" i="13" s="1"/>
  <c r="K312" i="8"/>
  <c r="J311" i="8"/>
  <c r="J311" i="7"/>
  <c r="K312" i="7"/>
  <c r="M312" i="7" s="1"/>
  <c r="M316" i="23" l="1"/>
  <c r="G316" i="23"/>
  <c r="AB53" i="13"/>
  <c r="AB54" i="13" s="1"/>
  <c r="M313" i="12"/>
  <c r="G313" i="12"/>
  <c r="M312" i="8"/>
  <c r="G312" i="8"/>
  <c r="G312" i="7"/>
  <c r="H316" i="23" l="1"/>
  <c r="I316" i="23"/>
  <c r="H313" i="12"/>
  <c r="I313" i="12"/>
  <c r="H312" i="8"/>
  <c r="I312" i="8"/>
  <c r="H312" i="7"/>
  <c r="I312" i="7"/>
  <c r="J316" i="23" l="1"/>
  <c r="K317" i="23"/>
  <c r="P39" i="12"/>
  <c r="AO5" i="12" s="1"/>
  <c r="K314" i="12"/>
  <c r="J313" i="12"/>
  <c r="J312" i="8"/>
  <c r="K313" i="8"/>
  <c r="U39" i="8" s="1"/>
  <c r="J312" i="7"/>
  <c r="K313" i="7"/>
  <c r="M313" i="7" s="1"/>
  <c r="M317" i="23" l="1"/>
  <c r="G317" i="23"/>
  <c r="Q39" i="12"/>
  <c r="M314" i="12"/>
  <c r="G314" i="12"/>
  <c r="M313" i="8"/>
  <c r="G313" i="8"/>
  <c r="Q39" i="8" s="1"/>
  <c r="G313" i="7"/>
  <c r="H317" i="23" l="1"/>
  <c r="I317" i="23"/>
  <c r="S39" i="12"/>
  <c r="AO6" i="12"/>
  <c r="AO7" i="12" s="1"/>
  <c r="H314" i="12"/>
  <c r="I314" i="12"/>
  <c r="H313" i="8"/>
  <c r="R39" i="8" s="1"/>
  <c r="I313" i="8"/>
  <c r="H313" i="7"/>
  <c r="I313" i="7"/>
  <c r="K318" i="23" l="1"/>
  <c r="J317" i="23"/>
  <c r="J314" i="12"/>
  <c r="K315" i="12"/>
  <c r="S39" i="8"/>
  <c r="K314" i="8"/>
  <c r="J313" i="8"/>
  <c r="T39" i="8" s="1"/>
  <c r="J313" i="7"/>
  <c r="K314" i="7"/>
  <c r="M314" i="7" s="1"/>
  <c r="M318" i="23" l="1"/>
  <c r="G318" i="23"/>
  <c r="M315" i="12"/>
  <c r="G315" i="12"/>
  <c r="M314" i="8"/>
  <c r="G314" i="8"/>
  <c r="G314" i="7"/>
  <c r="H318" i="23" l="1"/>
  <c r="I318" i="23"/>
  <c r="H315" i="12"/>
  <c r="I315" i="12"/>
  <c r="H314" i="8"/>
  <c r="I314" i="8"/>
  <c r="H314" i="7"/>
  <c r="I314" i="7"/>
  <c r="P40" i="7" s="1"/>
  <c r="J318" i="23" l="1"/>
  <c r="K319" i="23"/>
  <c r="K316" i="12"/>
  <c r="J315" i="12"/>
  <c r="K315" i="8"/>
  <c r="J314" i="8"/>
  <c r="J314" i="7"/>
  <c r="Q40" i="7" s="1"/>
  <c r="R40" i="7" s="1"/>
  <c r="K315" i="7"/>
  <c r="M315" i="7" s="1"/>
  <c r="M319" i="23" l="1"/>
  <c r="G319" i="23"/>
  <c r="M316" i="12"/>
  <c r="G316" i="12"/>
  <c r="M315" i="8"/>
  <c r="G315" i="8"/>
  <c r="G315" i="7"/>
  <c r="H319" i="23" l="1"/>
  <c r="I319" i="23"/>
  <c r="H316" i="12"/>
  <c r="I316" i="12"/>
  <c r="H315" i="8"/>
  <c r="I315" i="8"/>
  <c r="H315" i="7"/>
  <c r="I315" i="7"/>
  <c r="K320" i="23" l="1"/>
  <c r="J319" i="23"/>
  <c r="J316" i="12"/>
  <c r="K317" i="12"/>
  <c r="J315" i="8"/>
  <c r="K316" i="8"/>
  <c r="J315" i="7"/>
  <c r="K316" i="7"/>
  <c r="M316" i="7" s="1"/>
  <c r="M320" i="23" l="1"/>
  <c r="G320" i="23"/>
  <c r="M317" i="12"/>
  <c r="G317" i="12"/>
  <c r="M316" i="8"/>
  <c r="G316" i="8"/>
  <c r="G316" i="7"/>
  <c r="H320" i="23" l="1"/>
  <c r="I320" i="23"/>
  <c r="H317" i="12"/>
  <c r="I317" i="12"/>
  <c r="H316" i="8"/>
  <c r="I316" i="8"/>
  <c r="H316" i="7"/>
  <c r="I316" i="7"/>
  <c r="J320" i="23" l="1"/>
  <c r="K321" i="23"/>
  <c r="K318" i="12"/>
  <c r="J317" i="12"/>
  <c r="K317" i="8"/>
  <c r="J316" i="8"/>
  <c r="J316" i="7"/>
  <c r="K317" i="7"/>
  <c r="M317" i="7" s="1"/>
  <c r="M321" i="23" l="1"/>
  <c r="G321" i="23"/>
  <c r="G318" i="12"/>
  <c r="M318" i="12"/>
  <c r="M317" i="8"/>
  <c r="G317" i="8"/>
  <c r="G317" i="7"/>
  <c r="H321" i="23" l="1"/>
  <c r="I321" i="23"/>
  <c r="H318" i="12"/>
  <c r="I318" i="12"/>
  <c r="H317" i="8"/>
  <c r="I317" i="8"/>
  <c r="H317" i="7"/>
  <c r="I317" i="7"/>
  <c r="K322" i="23" l="1"/>
  <c r="J321" i="23"/>
  <c r="J318" i="12"/>
  <c r="K319" i="12"/>
  <c r="J317" i="8"/>
  <c r="K318" i="8"/>
  <c r="J317" i="7"/>
  <c r="K318" i="7"/>
  <c r="M318" i="7" s="1"/>
  <c r="M322" i="23" l="1"/>
  <c r="G322" i="23"/>
  <c r="M319" i="12"/>
  <c r="G319" i="12"/>
  <c r="M318" i="8"/>
  <c r="G318" i="8"/>
  <c r="G318" i="7"/>
  <c r="H322" i="23" l="1"/>
  <c r="I322" i="23"/>
  <c r="H319" i="12"/>
  <c r="I319" i="12"/>
  <c r="H318" i="8"/>
  <c r="I318" i="8"/>
  <c r="H318" i="7"/>
  <c r="I318" i="7"/>
  <c r="J322" i="23" l="1"/>
  <c r="K323" i="23"/>
  <c r="K320" i="12"/>
  <c r="J319" i="12"/>
  <c r="K319" i="8"/>
  <c r="J318" i="8"/>
  <c r="J318" i="7"/>
  <c r="K319" i="7"/>
  <c r="M319" i="7" s="1"/>
  <c r="M323" i="23" l="1"/>
  <c r="G323" i="23"/>
  <c r="M320" i="12"/>
  <c r="G320" i="12"/>
  <c r="M319" i="8"/>
  <c r="G319" i="8"/>
  <c r="G319" i="7"/>
  <c r="H323" i="23" l="1"/>
  <c r="I323" i="23"/>
  <c r="H320" i="12"/>
  <c r="I320" i="12"/>
  <c r="H319" i="8"/>
  <c r="I319" i="8"/>
  <c r="H319" i="7"/>
  <c r="I319" i="7"/>
  <c r="J323" i="23" l="1"/>
  <c r="K324" i="23"/>
  <c r="J320" i="12"/>
  <c r="K321" i="12"/>
  <c r="J319" i="8"/>
  <c r="K320" i="8"/>
  <c r="J319" i="7"/>
  <c r="K320" i="7"/>
  <c r="M320" i="7" s="1"/>
  <c r="M324" i="23" l="1"/>
  <c r="G324" i="23"/>
  <c r="M321" i="12"/>
  <c r="G321" i="12"/>
  <c r="M320" i="8"/>
  <c r="G320" i="8"/>
  <c r="G320" i="7"/>
  <c r="H324" i="23" l="1"/>
  <c r="I324" i="23"/>
  <c r="H321" i="12"/>
  <c r="I321" i="12"/>
  <c r="H320" i="8"/>
  <c r="I320" i="8"/>
  <c r="H320" i="7"/>
  <c r="I320" i="7"/>
  <c r="K325" i="23" l="1"/>
  <c r="J324" i="23"/>
  <c r="K322" i="12"/>
  <c r="J321" i="12"/>
  <c r="K321" i="8"/>
  <c r="J320" i="8"/>
  <c r="J320" i="7"/>
  <c r="K321" i="7"/>
  <c r="M321" i="7" s="1"/>
  <c r="M325" i="23" l="1"/>
  <c r="R40" i="23"/>
  <c r="AP8" i="23" s="1"/>
  <c r="G325" i="23"/>
  <c r="M322" i="12"/>
  <c r="G322" i="12"/>
  <c r="M321" i="8"/>
  <c r="G321" i="8"/>
  <c r="G321" i="7"/>
  <c r="H325" i="23" l="1"/>
  <c r="I325" i="23"/>
  <c r="H322" i="12"/>
  <c r="I322" i="12"/>
  <c r="H321" i="8"/>
  <c r="I321" i="8"/>
  <c r="H321" i="7"/>
  <c r="I321" i="7"/>
  <c r="P40" i="23" l="1"/>
  <c r="AP5" i="23" s="1"/>
  <c r="J325" i="23"/>
  <c r="K326" i="23"/>
  <c r="J322" i="12"/>
  <c r="K323" i="12"/>
  <c r="J321" i="8"/>
  <c r="K322" i="8"/>
  <c r="J321" i="7"/>
  <c r="K322" i="7"/>
  <c r="M322" i="7" s="1"/>
  <c r="M326" i="23" l="1"/>
  <c r="G326" i="23"/>
  <c r="Q40" i="23"/>
  <c r="M323" i="12"/>
  <c r="G323" i="12"/>
  <c r="M322" i="8"/>
  <c r="G322" i="8"/>
  <c r="G322" i="7"/>
  <c r="AP6" i="23" l="1"/>
  <c r="AP7" i="23" s="1"/>
  <c r="S40" i="23"/>
  <c r="H326" i="23"/>
  <c r="I326" i="23"/>
  <c r="H323" i="12"/>
  <c r="I323" i="12"/>
  <c r="H322" i="8"/>
  <c r="I322" i="8"/>
  <c r="H322" i="7"/>
  <c r="I322" i="7"/>
  <c r="K327" i="23" l="1"/>
  <c r="J326" i="23"/>
  <c r="K324" i="12"/>
  <c r="J323" i="12"/>
  <c r="K323" i="8"/>
  <c r="J322" i="8"/>
  <c r="J322" i="7"/>
  <c r="K323" i="7"/>
  <c r="M323" i="7" s="1"/>
  <c r="M327" i="23" l="1"/>
  <c r="G327" i="23"/>
  <c r="M324" i="12"/>
  <c r="G324" i="12"/>
  <c r="M323" i="8"/>
  <c r="G323" i="8"/>
  <c r="G323" i="7"/>
  <c r="H327" i="23" l="1"/>
  <c r="I327" i="23"/>
  <c r="H324" i="12"/>
  <c r="I324" i="12"/>
  <c r="H323" i="8"/>
  <c r="I323" i="8"/>
  <c r="H323" i="7"/>
  <c r="I323" i="7"/>
  <c r="J327" i="23" l="1"/>
  <c r="K328" i="23"/>
  <c r="J324" i="12"/>
  <c r="K325" i="12"/>
  <c r="R40" i="12" s="1"/>
  <c r="AP8" i="12" s="1"/>
  <c r="AC52" i="13" s="1"/>
  <c r="AC57" i="13" s="1"/>
  <c r="AC58" i="13" s="1"/>
  <c r="AC61" i="13" s="1"/>
  <c r="AC62" i="13" s="1"/>
  <c r="J323" i="8"/>
  <c r="K324" i="8"/>
  <c r="J323" i="7"/>
  <c r="K324" i="7"/>
  <c r="M324" i="7" s="1"/>
  <c r="M328" i="23" l="1"/>
  <c r="G328" i="23"/>
  <c r="AC53" i="13"/>
  <c r="AC54" i="13" s="1"/>
  <c r="M325" i="12"/>
  <c r="G325" i="12"/>
  <c r="M324" i="8"/>
  <c r="G324" i="8"/>
  <c r="G324" i="7"/>
  <c r="H328" i="23" l="1"/>
  <c r="I328" i="23"/>
  <c r="H325" i="12"/>
  <c r="I325" i="12"/>
  <c r="H324" i="8"/>
  <c r="I324" i="8"/>
  <c r="H324" i="7"/>
  <c r="I324" i="7"/>
  <c r="K329" i="23" l="1"/>
  <c r="J328" i="23"/>
  <c r="P40" i="12"/>
  <c r="AP5" i="12" s="1"/>
  <c r="K326" i="12"/>
  <c r="J325" i="12"/>
  <c r="K325" i="8"/>
  <c r="U40" i="8" s="1"/>
  <c r="J324" i="8"/>
  <c r="J324" i="7"/>
  <c r="K325" i="7"/>
  <c r="M325" i="7" s="1"/>
  <c r="M329" i="23" l="1"/>
  <c r="G329" i="23"/>
  <c r="Q40" i="12"/>
  <c r="M326" i="12"/>
  <c r="G326" i="12"/>
  <c r="M325" i="8"/>
  <c r="G325" i="8"/>
  <c r="Q40" i="8" s="1"/>
  <c r="G325" i="7"/>
  <c r="H329" i="23" l="1"/>
  <c r="I329" i="23"/>
  <c r="S40" i="12"/>
  <c r="AP6" i="12"/>
  <c r="AP7" i="12" s="1"/>
  <c r="H326" i="12"/>
  <c r="I326" i="12"/>
  <c r="H325" i="8"/>
  <c r="R40" i="8" s="1"/>
  <c r="I325" i="8"/>
  <c r="H325" i="7"/>
  <c r="I325" i="7"/>
  <c r="J329" i="23" l="1"/>
  <c r="K330" i="23"/>
  <c r="J326" i="12"/>
  <c r="K327" i="12"/>
  <c r="S40" i="8"/>
  <c r="J325" i="8"/>
  <c r="T40" i="8" s="1"/>
  <c r="K326" i="8"/>
  <c r="J325" i="7"/>
  <c r="K326" i="7"/>
  <c r="M326" i="7" s="1"/>
  <c r="M330" i="23" l="1"/>
  <c r="G330" i="23"/>
  <c r="M327" i="12"/>
  <c r="G327" i="12"/>
  <c r="M326" i="8"/>
  <c r="G326" i="8"/>
  <c r="G326" i="7"/>
  <c r="H330" i="23" l="1"/>
  <c r="I330" i="23"/>
  <c r="H327" i="12"/>
  <c r="I327" i="12"/>
  <c r="H326" i="8"/>
  <c r="I326" i="8"/>
  <c r="H326" i="7"/>
  <c r="I326" i="7"/>
  <c r="P41" i="7" s="1"/>
  <c r="K331" i="23" l="1"/>
  <c r="J330" i="23"/>
  <c r="K328" i="12"/>
  <c r="J327" i="12"/>
  <c r="K327" i="8"/>
  <c r="J326" i="8"/>
  <c r="J326" i="7"/>
  <c r="Q41" i="7" s="1"/>
  <c r="R41" i="7" s="1"/>
  <c r="K327" i="7"/>
  <c r="M327" i="7" s="1"/>
  <c r="M331" i="23" l="1"/>
  <c r="G331" i="23"/>
  <c r="M328" i="12"/>
  <c r="G328" i="12"/>
  <c r="M327" i="8"/>
  <c r="G327" i="8"/>
  <c r="G327" i="7"/>
  <c r="H331" i="23" l="1"/>
  <c r="I331" i="23"/>
  <c r="H328" i="12"/>
  <c r="I328" i="12"/>
  <c r="H327" i="8"/>
  <c r="I327" i="8"/>
  <c r="H327" i="7"/>
  <c r="I327" i="7"/>
  <c r="J331" i="23" l="1"/>
  <c r="K332" i="23"/>
  <c r="J328" i="12"/>
  <c r="K329" i="12"/>
  <c r="J327" i="8"/>
  <c r="K328" i="8"/>
  <c r="J327" i="7"/>
  <c r="K328" i="7"/>
  <c r="M328" i="7" s="1"/>
  <c r="M332" i="23" l="1"/>
  <c r="G332" i="23"/>
  <c r="M329" i="12"/>
  <c r="G329" i="12"/>
  <c r="M328" i="8"/>
  <c r="G328" i="8"/>
  <c r="G328" i="7"/>
  <c r="H332" i="23" l="1"/>
  <c r="I332" i="23"/>
  <c r="H329" i="12"/>
  <c r="I329" i="12"/>
  <c r="H328" i="8"/>
  <c r="I328" i="8"/>
  <c r="H328" i="7"/>
  <c r="I328" i="7"/>
  <c r="J332" i="23" l="1"/>
  <c r="K333" i="23"/>
  <c r="K330" i="12"/>
  <c r="J329" i="12"/>
  <c r="K329" i="8"/>
  <c r="J328" i="8"/>
  <c r="J328" i="7"/>
  <c r="K329" i="7"/>
  <c r="M329" i="7" s="1"/>
  <c r="M333" i="23" l="1"/>
  <c r="G333" i="23"/>
  <c r="M330" i="12"/>
  <c r="G330" i="12"/>
  <c r="M329" i="8"/>
  <c r="G329" i="8"/>
  <c r="G329" i="7"/>
  <c r="H333" i="23" l="1"/>
  <c r="I333" i="23"/>
  <c r="H330" i="12"/>
  <c r="I330" i="12"/>
  <c r="H329" i="8"/>
  <c r="I329" i="8"/>
  <c r="H329" i="7"/>
  <c r="I329" i="7"/>
  <c r="K334" i="23" l="1"/>
  <c r="J333" i="23"/>
  <c r="J330" i="12"/>
  <c r="K331" i="12"/>
  <c r="J329" i="8"/>
  <c r="K330" i="8"/>
  <c r="J329" i="7"/>
  <c r="K330" i="7"/>
  <c r="M330" i="7" s="1"/>
  <c r="M334" i="23" l="1"/>
  <c r="G334" i="23"/>
  <c r="M331" i="12"/>
  <c r="G331" i="12"/>
  <c r="M330" i="8"/>
  <c r="G330" i="8"/>
  <c r="G330" i="7"/>
  <c r="H334" i="23" l="1"/>
  <c r="I334" i="23"/>
  <c r="H331" i="12"/>
  <c r="I331" i="12"/>
  <c r="H330" i="8"/>
  <c r="I330" i="8"/>
  <c r="H330" i="7"/>
  <c r="I330" i="7"/>
  <c r="J334" i="23" l="1"/>
  <c r="K335" i="23"/>
  <c r="K332" i="12"/>
  <c r="J331" i="12"/>
  <c r="K331" i="8"/>
  <c r="J330" i="8"/>
  <c r="J330" i="7"/>
  <c r="K331" i="7"/>
  <c r="M331" i="7" s="1"/>
  <c r="M335" i="23" l="1"/>
  <c r="G335" i="23"/>
  <c r="M332" i="12"/>
  <c r="G332" i="12"/>
  <c r="M331" i="8"/>
  <c r="G331" i="8"/>
  <c r="G331" i="7"/>
  <c r="H335" i="23" l="1"/>
  <c r="I335" i="23"/>
  <c r="H332" i="12"/>
  <c r="I332" i="12"/>
  <c r="H331" i="8"/>
  <c r="I331" i="8"/>
  <c r="H331" i="7"/>
  <c r="I331" i="7"/>
  <c r="K336" i="23" l="1"/>
  <c r="J335" i="23"/>
  <c r="J332" i="12"/>
  <c r="K333" i="12"/>
  <c r="J331" i="8"/>
  <c r="K332" i="8"/>
  <c r="J331" i="7"/>
  <c r="K332" i="7"/>
  <c r="M332" i="7" s="1"/>
  <c r="M336" i="23" l="1"/>
  <c r="G336" i="23"/>
  <c r="M333" i="12"/>
  <c r="G333" i="12"/>
  <c r="M332" i="8"/>
  <c r="G332" i="8"/>
  <c r="G332" i="7"/>
  <c r="H336" i="23" l="1"/>
  <c r="I336" i="23"/>
  <c r="H333" i="12"/>
  <c r="I333" i="12"/>
  <c r="H332" i="8"/>
  <c r="I332" i="8"/>
  <c r="H332" i="7"/>
  <c r="I332" i="7"/>
  <c r="J336" i="23" l="1"/>
  <c r="K337" i="23"/>
  <c r="K334" i="12"/>
  <c r="J333" i="12"/>
  <c r="K333" i="8"/>
  <c r="J332" i="8"/>
  <c r="J332" i="7"/>
  <c r="K333" i="7"/>
  <c r="M333" i="7" s="1"/>
  <c r="R41" i="23" l="1"/>
  <c r="AQ8" i="23" s="1"/>
  <c r="M337" i="23"/>
  <c r="G337" i="23"/>
  <c r="M334" i="12"/>
  <c r="G334" i="12"/>
  <c r="M333" i="8"/>
  <c r="G333" i="8"/>
  <c r="G333" i="7"/>
  <c r="H337" i="23" l="1"/>
  <c r="I337" i="23"/>
  <c r="H334" i="12"/>
  <c r="I334" i="12"/>
  <c r="H333" i="8"/>
  <c r="I333" i="8"/>
  <c r="H333" i="7"/>
  <c r="I333" i="7"/>
  <c r="P41" i="23" l="1"/>
  <c r="AQ5" i="23" s="1"/>
  <c r="K338" i="23"/>
  <c r="J337" i="23"/>
  <c r="J334" i="12"/>
  <c r="K335" i="12"/>
  <c r="J333" i="8"/>
  <c r="K334" i="8"/>
  <c r="J333" i="7"/>
  <c r="K334" i="7"/>
  <c r="M334" i="7" s="1"/>
  <c r="M338" i="23" l="1"/>
  <c r="G338" i="23"/>
  <c r="Q41" i="23"/>
  <c r="M335" i="12"/>
  <c r="G335" i="12"/>
  <c r="M334" i="8"/>
  <c r="G334" i="8"/>
  <c r="G334" i="7"/>
  <c r="S41" i="23" l="1"/>
  <c r="AQ6" i="23"/>
  <c r="AQ7" i="23" s="1"/>
  <c r="H338" i="23"/>
  <c r="I338" i="23"/>
  <c r="H335" i="12"/>
  <c r="I335" i="12"/>
  <c r="H334" i="8"/>
  <c r="I334" i="8"/>
  <c r="H334" i="7"/>
  <c r="I334" i="7"/>
  <c r="K339" i="23" l="1"/>
  <c r="J338" i="23"/>
  <c r="K336" i="12"/>
  <c r="J335" i="12"/>
  <c r="K335" i="8"/>
  <c r="J334" i="8"/>
  <c r="J334" i="7"/>
  <c r="K335" i="7"/>
  <c r="M335" i="7" s="1"/>
  <c r="M339" i="23" l="1"/>
  <c r="G339" i="23"/>
  <c r="M336" i="12"/>
  <c r="G336" i="12"/>
  <c r="M335" i="8"/>
  <c r="G335" i="8"/>
  <c r="G335" i="7"/>
  <c r="H339" i="23" l="1"/>
  <c r="I339" i="23"/>
  <c r="H336" i="12"/>
  <c r="I336" i="12"/>
  <c r="H335" i="8"/>
  <c r="I335" i="8"/>
  <c r="H335" i="7"/>
  <c r="I335" i="7"/>
  <c r="J339" i="23" l="1"/>
  <c r="K340" i="23"/>
  <c r="J336" i="12"/>
  <c r="K337" i="12"/>
  <c r="R41" i="12" s="1"/>
  <c r="AQ8" i="12" s="1"/>
  <c r="AD52" i="13" s="1"/>
  <c r="AD57" i="13" s="1"/>
  <c r="AD58" i="13" s="1"/>
  <c r="AD61" i="13" s="1"/>
  <c r="AD62" i="13" s="1"/>
  <c r="J335" i="8"/>
  <c r="K336" i="8"/>
  <c r="J335" i="7"/>
  <c r="K336" i="7"/>
  <c r="M336" i="7" s="1"/>
  <c r="M340" i="23" l="1"/>
  <c r="G340" i="23"/>
  <c r="AD53" i="13"/>
  <c r="AD54" i="13" s="1"/>
  <c r="M337" i="12"/>
  <c r="G337" i="12"/>
  <c r="M336" i="8"/>
  <c r="G336" i="8"/>
  <c r="G336" i="7"/>
  <c r="H340" i="23" l="1"/>
  <c r="I340" i="23"/>
  <c r="H337" i="12"/>
  <c r="I337" i="12"/>
  <c r="H336" i="8"/>
  <c r="I336" i="8"/>
  <c r="H336" i="7"/>
  <c r="I336" i="7"/>
  <c r="K341" i="23" l="1"/>
  <c r="J340" i="23"/>
  <c r="P41" i="12"/>
  <c r="AQ5" i="12" s="1"/>
  <c r="J337" i="12"/>
  <c r="K338" i="12"/>
  <c r="K337" i="8"/>
  <c r="U41" i="8" s="1"/>
  <c r="J336" i="8"/>
  <c r="J336" i="7"/>
  <c r="K337" i="7"/>
  <c r="M337" i="7" s="1"/>
  <c r="M341" i="23" l="1"/>
  <c r="G341" i="23"/>
  <c r="Q41" i="12"/>
  <c r="M338" i="12"/>
  <c r="G338" i="12"/>
  <c r="M337" i="8"/>
  <c r="G337" i="8"/>
  <c r="Q41" i="8" s="1"/>
  <c r="G337" i="7"/>
  <c r="H341" i="23" l="1"/>
  <c r="I341" i="23"/>
  <c r="S41" i="12"/>
  <c r="AQ6" i="12"/>
  <c r="AQ7" i="12" s="1"/>
  <c r="H338" i="12"/>
  <c r="I338" i="12"/>
  <c r="H337" i="8"/>
  <c r="R41" i="8" s="1"/>
  <c r="I337" i="8"/>
  <c r="H337" i="7"/>
  <c r="I337" i="7"/>
  <c r="J341" i="23" l="1"/>
  <c r="K342" i="23"/>
  <c r="J338" i="12"/>
  <c r="K339" i="12"/>
  <c r="S41" i="8"/>
  <c r="J337" i="8"/>
  <c r="T41" i="8" s="1"/>
  <c r="K338" i="8"/>
  <c r="J337" i="7"/>
  <c r="K338" i="7"/>
  <c r="M338" i="7" s="1"/>
  <c r="M342" i="23" l="1"/>
  <c r="G342" i="23"/>
  <c r="M339" i="12"/>
  <c r="G339" i="12"/>
  <c r="M338" i="8"/>
  <c r="G338" i="8"/>
  <c r="G338" i="7"/>
  <c r="H342" i="23" l="1"/>
  <c r="I342" i="23"/>
  <c r="H339" i="12"/>
  <c r="I339" i="12"/>
  <c r="H338" i="8"/>
  <c r="I338" i="8"/>
  <c r="H338" i="7"/>
  <c r="I338" i="7"/>
  <c r="P42" i="7" s="1"/>
  <c r="J342" i="23" l="1"/>
  <c r="K343" i="23"/>
  <c r="K340" i="12"/>
  <c r="J339" i="12"/>
  <c r="K339" i="8"/>
  <c r="J338" i="8"/>
  <c r="J338" i="7"/>
  <c r="Q42" i="7" s="1"/>
  <c r="R42" i="7" s="1"/>
  <c r="K339" i="7"/>
  <c r="M339" i="7" s="1"/>
  <c r="M343" i="23" l="1"/>
  <c r="G343" i="23"/>
  <c r="M340" i="12"/>
  <c r="G340" i="12"/>
  <c r="M339" i="8"/>
  <c r="G339" i="8"/>
  <c r="G339" i="7"/>
  <c r="H343" i="23" l="1"/>
  <c r="I343" i="23"/>
  <c r="H340" i="12"/>
  <c r="I340" i="12"/>
  <c r="H339" i="8"/>
  <c r="I339" i="8"/>
  <c r="H339" i="7"/>
  <c r="I339" i="7"/>
  <c r="J343" i="23" l="1"/>
  <c r="K344" i="23"/>
  <c r="J340" i="12"/>
  <c r="K341" i="12"/>
  <c r="J339" i="8"/>
  <c r="K340" i="8"/>
  <c r="J339" i="7"/>
  <c r="K340" i="7"/>
  <c r="M340" i="7" s="1"/>
  <c r="M344" i="23" l="1"/>
  <c r="G344" i="23"/>
  <c r="M341" i="12"/>
  <c r="G341" i="12"/>
  <c r="M340" i="8"/>
  <c r="G340" i="8"/>
  <c r="G340" i="7"/>
  <c r="H344" i="23" l="1"/>
  <c r="I344" i="23"/>
  <c r="H341" i="12"/>
  <c r="I341" i="12"/>
  <c r="H340" i="8"/>
  <c r="I340" i="8"/>
  <c r="H340" i="7"/>
  <c r="I340" i="7"/>
  <c r="K345" i="23" l="1"/>
  <c r="J344" i="23"/>
  <c r="K342" i="12"/>
  <c r="J341" i="12"/>
  <c r="K341" i="8"/>
  <c r="J340" i="8"/>
  <c r="J340" i="7"/>
  <c r="K341" i="7"/>
  <c r="M341" i="7" s="1"/>
  <c r="M345" i="23" l="1"/>
  <c r="G345" i="23"/>
  <c r="M342" i="12"/>
  <c r="G342" i="12"/>
  <c r="M341" i="8"/>
  <c r="G341" i="8"/>
  <c r="G341" i="7"/>
  <c r="H345" i="23" l="1"/>
  <c r="I345" i="23"/>
  <c r="H342" i="12"/>
  <c r="I342" i="12"/>
  <c r="H341" i="8"/>
  <c r="I341" i="8"/>
  <c r="H341" i="7"/>
  <c r="I341" i="7"/>
  <c r="J345" i="23" l="1"/>
  <c r="K346" i="23"/>
  <c r="J342" i="12"/>
  <c r="K343" i="12"/>
  <c r="J341" i="8"/>
  <c r="K342" i="8"/>
  <c r="J341" i="7"/>
  <c r="K342" i="7"/>
  <c r="M342" i="7" s="1"/>
  <c r="M346" i="23" l="1"/>
  <c r="G346" i="23"/>
  <c r="M343" i="12"/>
  <c r="G343" i="12"/>
  <c r="M342" i="8"/>
  <c r="G342" i="8"/>
  <c r="G342" i="7"/>
  <c r="H346" i="23" l="1"/>
  <c r="I346" i="23"/>
  <c r="H343" i="12"/>
  <c r="I343" i="12"/>
  <c r="H342" i="8"/>
  <c r="I342" i="8"/>
  <c r="H342" i="7"/>
  <c r="I342" i="7"/>
  <c r="K347" i="23" l="1"/>
  <c r="J346" i="23"/>
  <c r="J343" i="12"/>
  <c r="K344" i="12"/>
  <c r="K343" i="8"/>
  <c r="J342" i="8"/>
  <c r="J342" i="7"/>
  <c r="K343" i="7"/>
  <c r="M343" i="7" s="1"/>
  <c r="M347" i="23" l="1"/>
  <c r="G347" i="23"/>
  <c r="M344" i="12"/>
  <c r="G344" i="12"/>
  <c r="M343" i="8"/>
  <c r="G343" i="8"/>
  <c r="G343" i="7"/>
  <c r="H347" i="23" l="1"/>
  <c r="I347" i="23"/>
  <c r="H344" i="12"/>
  <c r="I344" i="12"/>
  <c r="H343" i="8"/>
  <c r="I343" i="8"/>
  <c r="H343" i="7"/>
  <c r="I343" i="7"/>
  <c r="J347" i="23" l="1"/>
  <c r="K348" i="23"/>
  <c r="K345" i="12"/>
  <c r="J344" i="12"/>
  <c r="J343" i="8"/>
  <c r="K344" i="8"/>
  <c r="J343" i="7"/>
  <c r="K344" i="7"/>
  <c r="M344" i="7" s="1"/>
  <c r="M348" i="23" l="1"/>
  <c r="G348" i="23"/>
  <c r="G345" i="12"/>
  <c r="M345" i="12"/>
  <c r="M344" i="8"/>
  <c r="G344" i="8"/>
  <c r="G344" i="7"/>
  <c r="H348" i="23" l="1"/>
  <c r="I348" i="23"/>
  <c r="H345" i="12"/>
  <c r="I345" i="12"/>
  <c r="H344" i="8"/>
  <c r="I344" i="8"/>
  <c r="H344" i="7"/>
  <c r="I344" i="7"/>
  <c r="K349" i="23" l="1"/>
  <c r="J348" i="23"/>
  <c r="J345" i="12"/>
  <c r="K346" i="12"/>
  <c r="K345" i="8"/>
  <c r="J344" i="8"/>
  <c r="J344" i="7"/>
  <c r="K345" i="7"/>
  <c r="M345" i="7" s="1"/>
  <c r="M349" i="23" l="1"/>
  <c r="R42" i="23"/>
  <c r="AR8" i="23" s="1"/>
  <c r="G349" i="23"/>
  <c r="M346" i="12"/>
  <c r="G346" i="12"/>
  <c r="M345" i="8"/>
  <c r="G345" i="8"/>
  <c r="G345" i="7"/>
  <c r="H349" i="23" l="1"/>
  <c r="I349" i="23"/>
  <c r="H346" i="12"/>
  <c r="I346" i="12"/>
  <c r="H345" i="8"/>
  <c r="I345" i="8"/>
  <c r="H345" i="7"/>
  <c r="I345" i="7"/>
  <c r="P42" i="23" l="1"/>
  <c r="AR5" i="23" s="1"/>
  <c r="J349" i="23"/>
  <c r="K350" i="23"/>
  <c r="K347" i="12"/>
  <c r="J346" i="12"/>
  <c r="J345" i="8"/>
  <c r="K346" i="8"/>
  <c r="J345" i="7"/>
  <c r="K346" i="7"/>
  <c r="M346" i="7" s="1"/>
  <c r="M350" i="23" l="1"/>
  <c r="G350" i="23"/>
  <c r="Q42" i="23"/>
  <c r="M347" i="12"/>
  <c r="G347" i="12"/>
  <c r="M346" i="8"/>
  <c r="G346" i="8"/>
  <c r="G346" i="7"/>
  <c r="AR6" i="23" l="1"/>
  <c r="AR7" i="23" s="1"/>
  <c r="S42" i="23"/>
  <c r="H350" i="23"/>
  <c r="I350" i="23"/>
  <c r="H347" i="12"/>
  <c r="I347" i="12"/>
  <c r="H346" i="8"/>
  <c r="I346" i="8"/>
  <c r="H346" i="7"/>
  <c r="I346" i="7"/>
  <c r="K351" i="23" l="1"/>
  <c r="J350" i="23"/>
  <c r="J347" i="12"/>
  <c r="K348" i="12"/>
  <c r="K347" i="8"/>
  <c r="J346" i="8"/>
  <c r="J346" i="7"/>
  <c r="K347" i="7"/>
  <c r="M347" i="7" s="1"/>
  <c r="M351" i="23" l="1"/>
  <c r="G351" i="23"/>
  <c r="M348" i="12"/>
  <c r="G348" i="12"/>
  <c r="M347" i="8"/>
  <c r="G347" i="8"/>
  <c r="G347" i="7"/>
  <c r="H351" i="23" l="1"/>
  <c r="I351" i="23"/>
  <c r="H348" i="12"/>
  <c r="I348" i="12"/>
  <c r="H347" i="8"/>
  <c r="I347" i="8"/>
  <c r="H347" i="7"/>
  <c r="I347" i="7"/>
  <c r="J351" i="23" l="1"/>
  <c r="K352" i="23"/>
  <c r="J348" i="12"/>
  <c r="K349" i="12"/>
  <c r="R42" i="12" s="1"/>
  <c r="AR8" i="12" s="1"/>
  <c r="AE52" i="13" s="1"/>
  <c r="AE57" i="13" s="1"/>
  <c r="AE58" i="13" s="1"/>
  <c r="AE61" i="13" s="1"/>
  <c r="AE62" i="13" s="1"/>
  <c r="J347" i="8"/>
  <c r="K348" i="8"/>
  <c r="J347" i="7"/>
  <c r="K348" i="7"/>
  <c r="M348" i="7" s="1"/>
  <c r="M352" i="23" l="1"/>
  <c r="G352" i="23"/>
  <c r="AE53" i="13"/>
  <c r="AE54" i="13" s="1"/>
  <c r="M349" i="12"/>
  <c r="G349" i="12"/>
  <c r="M348" i="8"/>
  <c r="G348" i="8"/>
  <c r="G348" i="7"/>
  <c r="H352" i="23" l="1"/>
  <c r="I352" i="23"/>
  <c r="H349" i="12"/>
  <c r="I349" i="12"/>
  <c r="H348" i="8"/>
  <c r="I348" i="8"/>
  <c r="H348" i="7"/>
  <c r="I348" i="7"/>
  <c r="K353" i="23" l="1"/>
  <c r="J352" i="23"/>
  <c r="P42" i="12"/>
  <c r="AR5" i="12" s="1"/>
  <c r="K350" i="12"/>
  <c r="J349" i="12"/>
  <c r="K349" i="8"/>
  <c r="U42" i="8" s="1"/>
  <c r="J348" i="8"/>
  <c r="J348" i="7"/>
  <c r="K349" i="7"/>
  <c r="M349" i="7" s="1"/>
  <c r="M353" i="23" l="1"/>
  <c r="G353" i="23"/>
  <c r="Q42" i="12"/>
  <c r="M350" i="12"/>
  <c r="G350" i="12"/>
  <c r="M349" i="8"/>
  <c r="G349" i="8"/>
  <c r="Q42" i="8" s="1"/>
  <c r="G349" i="7"/>
  <c r="H353" i="23" l="1"/>
  <c r="I353" i="23"/>
  <c r="S42" i="12"/>
  <c r="AR6" i="12"/>
  <c r="AR7" i="12" s="1"/>
  <c r="H350" i="12"/>
  <c r="I350" i="12"/>
  <c r="H349" i="8"/>
  <c r="R42" i="8" s="1"/>
  <c r="I349" i="8"/>
  <c r="H349" i="7"/>
  <c r="I349" i="7"/>
  <c r="K354" i="23" l="1"/>
  <c r="J353" i="23"/>
  <c r="K351" i="12"/>
  <c r="J350" i="12"/>
  <c r="S42" i="8"/>
  <c r="J349" i="8"/>
  <c r="T42" i="8" s="1"/>
  <c r="K350" i="8"/>
  <c r="J349" i="7"/>
  <c r="K350" i="7"/>
  <c r="M350" i="7" s="1"/>
  <c r="M354" i="23" l="1"/>
  <c r="G354" i="23"/>
  <c r="M351" i="12"/>
  <c r="G351" i="12"/>
  <c r="M350" i="8"/>
  <c r="G350" i="8"/>
  <c r="G350" i="7"/>
  <c r="H354" i="23" l="1"/>
  <c r="I354" i="23"/>
  <c r="H351" i="12"/>
  <c r="I351" i="12"/>
  <c r="H350" i="8"/>
  <c r="I350" i="8"/>
  <c r="H350" i="7"/>
  <c r="I350" i="7"/>
  <c r="P43" i="7" s="1"/>
  <c r="J354" i="23" l="1"/>
  <c r="K355" i="23"/>
  <c r="J351" i="12"/>
  <c r="K352" i="12"/>
  <c r="J350" i="8"/>
  <c r="K351" i="8"/>
  <c r="J350" i="7"/>
  <c r="Q43" i="7" s="1"/>
  <c r="R43" i="7" s="1"/>
  <c r="K351" i="7"/>
  <c r="M351" i="7" s="1"/>
  <c r="M355" i="23" l="1"/>
  <c r="G355" i="23"/>
  <c r="M352" i="12"/>
  <c r="G352" i="12"/>
  <c r="M351" i="8"/>
  <c r="G351" i="8"/>
  <c r="G351" i="7"/>
  <c r="H355" i="23" l="1"/>
  <c r="I355" i="23"/>
  <c r="H352" i="12"/>
  <c r="I352" i="12"/>
  <c r="H351" i="8"/>
  <c r="I351" i="8"/>
  <c r="H351" i="7"/>
  <c r="I351" i="7"/>
  <c r="K356" i="23" l="1"/>
  <c r="J355" i="23"/>
  <c r="K353" i="12"/>
  <c r="J352" i="12"/>
  <c r="J351" i="8"/>
  <c r="K352" i="8"/>
  <c r="J351" i="7"/>
  <c r="K352" i="7"/>
  <c r="M352" i="7" s="1"/>
  <c r="M356" i="23" l="1"/>
  <c r="G356" i="23"/>
  <c r="M353" i="12"/>
  <c r="G353" i="12"/>
  <c r="M352" i="8"/>
  <c r="G352" i="8"/>
  <c r="G352" i="7"/>
  <c r="H356" i="23" l="1"/>
  <c r="I356" i="23"/>
  <c r="H353" i="12"/>
  <c r="I353" i="12"/>
  <c r="H352" i="8"/>
  <c r="I352" i="8"/>
  <c r="H352" i="7"/>
  <c r="I352" i="7"/>
  <c r="J356" i="23" l="1"/>
  <c r="K357" i="23"/>
  <c r="J353" i="12"/>
  <c r="K354" i="12"/>
  <c r="K353" i="8"/>
  <c r="J352" i="8"/>
  <c r="J352" i="7"/>
  <c r="K353" i="7"/>
  <c r="M353" i="7" s="1"/>
  <c r="M357" i="23" l="1"/>
  <c r="G357" i="23"/>
  <c r="M354" i="12"/>
  <c r="G354" i="12"/>
  <c r="M353" i="8"/>
  <c r="G353" i="8"/>
  <c r="G353" i="7"/>
  <c r="H357" i="23" l="1"/>
  <c r="I357" i="23"/>
  <c r="H354" i="12"/>
  <c r="I354" i="12"/>
  <c r="H353" i="8"/>
  <c r="I353" i="8"/>
  <c r="H353" i="7"/>
  <c r="I353" i="7"/>
  <c r="K358" i="23" l="1"/>
  <c r="J357" i="23"/>
  <c r="K355" i="12"/>
  <c r="J354" i="12"/>
  <c r="K354" i="8"/>
  <c r="J353" i="8"/>
  <c r="J353" i="7"/>
  <c r="K354" i="7"/>
  <c r="M354" i="7" s="1"/>
  <c r="M358" i="23" l="1"/>
  <c r="G358" i="23"/>
  <c r="M355" i="12"/>
  <c r="G355" i="12"/>
  <c r="M354" i="8"/>
  <c r="G354" i="8"/>
  <c r="G354" i="7"/>
  <c r="H358" i="23" l="1"/>
  <c r="I358" i="23"/>
  <c r="H355" i="12"/>
  <c r="I355" i="12"/>
  <c r="H354" i="8"/>
  <c r="I354" i="8"/>
  <c r="H354" i="7"/>
  <c r="I354" i="7"/>
  <c r="J358" i="23" l="1"/>
  <c r="K359" i="23"/>
  <c r="J355" i="12"/>
  <c r="K356" i="12"/>
  <c r="J354" i="8"/>
  <c r="K355" i="8"/>
  <c r="J354" i="7"/>
  <c r="K355" i="7"/>
  <c r="M355" i="7" s="1"/>
  <c r="M359" i="23" l="1"/>
  <c r="G359" i="23"/>
  <c r="M356" i="12"/>
  <c r="G356" i="12"/>
  <c r="M355" i="8"/>
  <c r="G355" i="8"/>
  <c r="G355" i="7"/>
  <c r="H359" i="23" l="1"/>
  <c r="I359" i="23"/>
  <c r="H356" i="12"/>
  <c r="I356" i="12"/>
  <c r="H355" i="8"/>
  <c r="I355" i="8"/>
  <c r="H355" i="7"/>
  <c r="I355" i="7"/>
  <c r="K360" i="23" l="1"/>
  <c r="J359" i="23"/>
  <c r="K357" i="12"/>
  <c r="J356" i="12"/>
  <c r="K356" i="8"/>
  <c r="J355" i="8"/>
  <c r="J355" i="7"/>
  <c r="K356" i="7"/>
  <c r="M356" i="7" s="1"/>
  <c r="M360" i="23" l="1"/>
  <c r="G360" i="23"/>
  <c r="M357" i="12"/>
  <c r="G357" i="12"/>
  <c r="M356" i="8"/>
  <c r="G356" i="8"/>
  <c r="G356" i="7"/>
  <c r="H360" i="23" l="1"/>
  <c r="I360" i="23"/>
  <c r="H357" i="12"/>
  <c r="I357" i="12"/>
  <c r="H356" i="8"/>
  <c r="I356" i="8"/>
  <c r="H356" i="7"/>
  <c r="I356" i="7"/>
  <c r="K361" i="23" l="1"/>
  <c r="J360" i="23"/>
  <c r="J357" i="12"/>
  <c r="K358" i="12"/>
  <c r="J356" i="8"/>
  <c r="K357" i="8"/>
  <c r="J356" i="7"/>
  <c r="K357" i="7"/>
  <c r="M357" i="7" s="1"/>
  <c r="M361" i="23" l="1"/>
  <c r="R43" i="23"/>
  <c r="AS8" i="23" s="1"/>
  <c r="G361" i="23"/>
  <c r="M358" i="12"/>
  <c r="G358" i="12"/>
  <c r="M357" i="8"/>
  <c r="G357" i="8"/>
  <c r="G357" i="7"/>
  <c r="H361" i="23" l="1"/>
  <c r="I361" i="23"/>
  <c r="H358" i="12"/>
  <c r="I358" i="12"/>
  <c r="H357" i="8"/>
  <c r="I357" i="8"/>
  <c r="H357" i="7"/>
  <c r="I357" i="7"/>
  <c r="P43" i="23" l="1"/>
  <c r="AS5" i="23" s="1"/>
  <c r="J361" i="23"/>
  <c r="K362" i="23"/>
  <c r="J358" i="12"/>
  <c r="K359" i="12"/>
  <c r="K358" i="8"/>
  <c r="J357" i="8"/>
  <c r="J357" i="7"/>
  <c r="K358" i="7"/>
  <c r="M358" i="7" s="1"/>
  <c r="M362" i="23" l="1"/>
  <c r="G362" i="23"/>
  <c r="Q43" i="23"/>
  <c r="M359" i="12"/>
  <c r="G359" i="12"/>
  <c r="M358" i="8"/>
  <c r="G358" i="8"/>
  <c r="G358" i="7"/>
  <c r="S43" i="23" l="1"/>
  <c r="AS6" i="23"/>
  <c r="AS7" i="23" s="1"/>
  <c r="H362" i="23"/>
  <c r="J362" i="23" s="1"/>
  <c r="I362" i="23"/>
  <c r="H359" i="12"/>
  <c r="I359" i="12"/>
  <c r="H358" i="8"/>
  <c r="I358" i="8"/>
  <c r="H358" i="7"/>
  <c r="I358" i="7"/>
  <c r="K360" i="12" l="1"/>
  <c r="J359" i="12"/>
  <c r="J358" i="8"/>
  <c r="K359" i="8"/>
  <c r="J358" i="7"/>
  <c r="K359" i="7"/>
  <c r="M359" i="7" s="1"/>
  <c r="M360" i="12" l="1"/>
  <c r="G360" i="12"/>
  <c r="M359" i="8"/>
  <c r="G359" i="8"/>
  <c r="G359" i="7"/>
  <c r="H360" i="12" l="1"/>
  <c r="I360" i="12"/>
  <c r="H359" i="8"/>
  <c r="I359" i="8"/>
  <c r="H359" i="7"/>
  <c r="I359" i="7"/>
  <c r="J360" i="12" l="1"/>
  <c r="K361" i="12"/>
  <c r="R43" i="12" s="1"/>
  <c r="AS8" i="12" s="1"/>
  <c r="AF52" i="13" s="1"/>
  <c r="AF57" i="13" s="1"/>
  <c r="AF58" i="13" s="1"/>
  <c r="AF61" i="13" s="1"/>
  <c r="AF62" i="13" s="1"/>
  <c r="K360" i="8"/>
  <c r="J359" i="8"/>
  <c r="J359" i="7"/>
  <c r="K360" i="7"/>
  <c r="M360" i="7" s="1"/>
  <c r="AF53" i="13" l="1"/>
  <c r="AF54" i="13" s="1"/>
  <c r="M361" i="12"/>
  <c r="G361" i="12"/>
  <c r="M360" i="8"/>
  <c r="G360" i="8"/>
  <c r="G360" i="7"/>
  <c r="H361" i="12" l="1"/>
  <c r="I361" i="12"/>
  <c r="H360" i="8"/>
  <c r="I360" i="8"/>
  <c r="H360" i="7"/>
  <c r="I360" i="7"/>
  <c r="P43" i="12" l="1"/>
  <c r="AS5" i="12" s="1"/>
  <c r="K362" i="12"/>
  <c r="J361" i="12"/>
  <c r="J360" i="8"/>
  <c r="K361" i="8"/>
  <c r="U43" i="8" s="1"/>
  <c r="J360" i="7"/>
  <c r="K361" i="7"/>
  <c r="M361" i="7" s="1"/>
  <c r="Q43" i="12" l="1"/>
  <c r="M362" i="12"/>
  <c r="G362" i="12"/>
  <c r="M361" i="8"/>
  <c r="G361" i="8"/>
  <c r="Q43" i="8" s="1"/>
  <c r="G361" i="7"/>
  <c r="S43" i="12" l="1"/>
  <c r="AS6" i="12"/>
  <c r="AS7" i="12" s="1"/>
  <c r="H362" i="12"/>
  <c r="J362" i="12" s="1"/>
  <c r="I362" i="12"/>
  <c r="H361" i="8"/>
  <c r="R43" i="8" s="1"/>
  <c r="I361" i="8"/>
  <c r="H361" i="7"/>
  <c r="I361" i="7"/>
  <c r="S43" i="8" l="1"/>
  <c r="K362" i="8"/>
  <c r="J361" i="8"/>
  <c r="T43" i="8" s="1"/>
  <c r="J361" i="7"/>
  <c r="K362" i="7"/>
  <c r="M362" i="7" s="1"/>
  <c r="M362" i="8" l="1"/>
  <c r="G362" i="8"/>
  <c r="G362" i="7"/>
  <c r="H362" i="8" l="1"/>
  <c r="J362" i="8" s="1"/>
  <c r="I362" i="8"/>
  <c r="H362" i="7"/>
  <c r="I362" i="7"/>
  <c r="P44" i="7" s="1"/>
  <c r="K363" i="7" l="1"/>
  <c r="J362" i="7"/>
  <c r="Q44" i="7" s="1"/>
  <c r="R44" i="7" s="1"/>
  <c r="G363" i="7" l="1"/>
  <c r="M363" i="7"/>
  <c r="H363" i="7"/>
  <c r="I363" i="7"/>
  <c r="J363" i="7"/>
  <c r="D16" i="18"/>
  <c r="C17" i="18" s="1"/>
  <c r="D17" i="18" l="1"/>
  <c r="C18" i="18"/>
  <c r="D18" i="18" s="1"/>
  <c r="C19" i="18" s="1"/>
  <c r="D19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<sst xmlns="http://schemas.openxmlformats.org/spreadsheetml/2006/main" count="2030" uniqueCount="605">
  <si>
    <t>PERSONAL FINANCIAL STATEMENT</t>
  </si>
  <si>
    <t>As of December 31, 2019</t>
  </si>
  <si>
    <t>Assets</t>
  </si>
  <si>
    <t>Liabilities</t>
  </si>
  <si>
    <t>Estimated Value</t>
  </si>
  <si>
    <t>Cash or Cash Equivalent</t>
  </si>
  <si>
    <t>Loans</t>
  </si>
  <si>
    <t>NO LOAN</t>
  </si>
  <si>
    <t>LOAN @ 4.5%</t>
  </si>
  <si>
    <t>LOAN @ 7%</t>
  </si>
  <si>
    <t>Cash On Hand</t>
  </si>
  <si>
    <t>Mortgage - Personal Residence</t>
  </si>
  <si>
    <t>Purchase Price</t>
  </si>
  <si>
    <t>Bank - Checking Account</t>
  </si>
  <si>
    <t>School Loan</t>
  </si>
  <si>
    <t>Loan Amount</t>
  </si>
  <si>
    <t>Money Owed From Bill Jones</t>
  </si>
  <si>
    <t>Money Owed to Bob Smith</t>
  </si>
  <si>
    <t>Down Payment (DP)</t>
  </si>
  <si>
    <t>Interest Rate</t>
  </si>
  <si>
    <t>N/A</t>
  </si>
  <si>
    <t>Retirement Accounts</t>
  </si>
  <si>
    <t>Revolving Debt</t>
  </si>
  <si>
    <t>Cash Flow</t>
  </si>
  <si>
    <t>Self-Directed IRA</t>
  </si>
  <si>
    <t>Credit Cards</t>
  </si>
  <si>
    <t>ROI (Cash Flow / DP)</t>
  </si>
  <si>
    <t>Investments</t>
  </si>
  <si>
    <t>Other</t>
  </si>
  <si>
    <t>Stocks</t>
  </si>
  <si>
    <t>Estimated Taxes Owed on April 15</t>
  </si>
  <si>
    <t>Bonds</t>
  </si>
  <si>
    <t>Cap Rate</t>
  </si>
  <si>
    <t>Liabilities Total</t>
  </si>
  <si>
    <t>Loan Constant</t>
  </si>
  <si>
    <t>Business Interests</t>
  </si>
  <si>
    <t>Leverage</t>
  </si>
  <si>
    <t>Value of ABC Properties, LLC</t>
  </si>
  <si>
    <t>Real/Personal Property Owned</t>
  </si>
  <si>
    <t>Personal Residence</t>
  </si>
  <si>
    <t>2012 Honda Civic</t>
  </si>
  <si>
    <t>Jewelry</t>
  </si>
  <si>
    <t>Furniture and Household Goods</t>
  </si>
  <si>
    <t>Assets Total</t>
  </si>
  <si>
    <t>Estimated Net Worth:</t>
  </si>
  <si>
    <t>BALANCE SHEET</t>
  </si>
  <si>
    <t>FOR YEAR ENDING DECEMBER 31, 2018</t>
  </si>
  <si>
    <t>ASSETS</t>
  </si>
  <si>
    <t>Investement in 123 Main Street</t>
  </si>
  <si>
    <t>Land</t>
  </si>
  <si>
    <t>Buildings / Improvements</t>
  </si>
  <si>
    <t>Furniture &amp; Fixtures</t>
  </si>
  <si>
    <t>Accumulated Depreciation</t>
  </si>
  <si>
    <t>Other Assets</t>
  </si>
  <si>
    <t>Cash in Operating Account</t>
  </si>
  <si>
    <t>Replacement Reserves</t>
  </si>
  <si>
    <t>Rents Receivable</t>
  </si>
  <si>
    <t>Tenant Security Deposits</t>
  </si>
  <si>
    <t>TOTAL ASSETS</t>
  </si>
  <si>
    <t>LIABILITIES &amp; OWNER EQUITY</t>
  </si>
  <si>
    <t>Mortgage Principal Balance</t>
  </si>
  <si>
    <t>Accounts Payable</t>
  </si>
  <si>
    <t>Taxes Payable</t>
  </si>
  <si>
    <t>TOTAL LIABILITIES</t>
  </si>
  <si>
    <t>Owner Equity</t>
  </si>
  <si>
    <t>Initial Contributions</t>
  </si>
  <si>
    <t>Retained Earnings</t>
  </si>
  <si>
    <t>TOTAL OWNER EQUITY</t>
  </si>
  <si>
    <t>TOTAL LIABILITIES &amp; OWNERS EQUITY</t>
  </si>
  <si>
    <t>PROFIT &amp; LOSS STATEMENT - AWESOME FLIPS, LLC</t>
  </si>
  <si>
    <t>For the Fiscal Year 2018 (Jan 1 - Dec 31, 2018)</t>
  </si>
  <si>
    <t>INCOME</t>
  </si>
  <si>
    <t>Revenue Source #1</t>
  </si>
  <si>
    <t>Revenue Source #2</t>
  </si>
  <si>
    <t>…</t>
  </si>
  <si>
    <t>TOTAL INCOME:</t>
  </si>
  <si>
    <t>Cost of Goods Sold (COGS) #1</t>
  </si>
  <si>
    <t>Cost of Goods Sold (COGS) #2</t>
  </si>
  <si>
    <t>TOTAL COGS:</t>
  </si>
  <si>
    <t>GROSS PROFIT:</t>
  </si>
  <si>
    <t>EXPENSES</t>
  </si>
  <si>
    <t>Expense Source #1</t>
  </si>
  <si>
    <t>Expense Source #2</t>
  </si>
  <si>
    <t>TOTAL OPERATING EXPENSES:</t>
  </si>
  <si>
    <t>OPERATING INCOME:</t>
  </si>
  <si>
    <t>PROFIT &amp; LOSS STATEMENT</t>
  </si>
  <si>
    <t>PROFITABLITY:</t>
  </si>
  <si>
    <t>Revenue from Sale of Properties</t>
  </si>
  <si>
    <t>Revenue from Commissions</t>
  </si>
  <si>
    <t>TOTAL INCOME</t>
  </si>
  <si>
    <t>Property Purchase Costs</t>
  </si>
  <si>
    <t>Rehab Labor</t>
  </si>
  <si>
    <t>Rehab Materials</t>
  </si>
  <si>
    <t>Closing Costs</t>
  </si>
  <si>
    <t>TOTAL COGS</t>
  </si>
  <si>
    <t>GROSS PROFIT</t>
  </si>
  <si>
    <t>Rent</t>
  </si>
  <si>
    <t>Owner Salary</t>
  </si>
  <si>
    <t>Insurance</t>
  </si>
  <si>
    <t>Office Supplies</t>
  </si>
  <si>
    <t>Tools</t>
  </si>
  <si>
    <t>Utilities</t>
  </si>
  <si>
    <t>2018 Taxes</t>
  </si>
  <si>
    <t>NET INCOME:</t>
  </si>
  <si>
    <t>INCOME STATEMENT - 123 MAIN STREET</t>
  </si>
  <si>
    <t>Potential Gross Income</t>
  </si>
  <si>
    <t>Vacancy &amp; Rent Loss</t>
  </si>
  <si>
    <t>Other Income</t>
  </si>
  <si>
    <t>EFFECTIVE GROSS INCOME:</t>
  </si>
  <si>
    <t>Operating Expense #1</t>
  </si>
  <si>
    <t>Operating Expense #2</t>
  </si>
  <si>
    <t>Operating Expense #3</t>
  </si>
  <si>
    <t>NET OPERATING INCOME:</t>
  </si>
  <si>
    <t>DEBT SERVICE:</t>
  </si>
  <si>
    <t>CAPITAL EXPENDITURES:</t>
  </si>
  <si>
    <t>CASH FLOW BEFORE TAXES:</t>
  </si>
  <si>
    <t>Income Taxes</t>
  </si>
  <si>
    <t>CASH FLOW AFTER TAXES:</t>
  </si>
  <si>
    <t>Ana</t>
  </si>
  <si>
    <t>Year</t>
  </si>
  <si>
    <t>Expected Cashflow</t>
  </si>
  <si>
    <t>Initial Investment</t>
  </si>
  <si>
    <t>Total Cashflow</t>
  </si>
  <si>
    <t>Discount Rate</t>
  </si>
  <si>
    <t>PV</t>
  </si>
  <si>
    <t>NPV</t>
  </si>
  <si>
    <t>IRR</t>
  </si>
  <si>
    <t>Initial Cost</t>
  </si>
  <si>
    <t>Net Present Value</t>
  </si>
  <si>
    <t>Cashflow</t>
  </si>
  <si>
    <t>Present Value</t>
  </si>
  <si>
    <t>Month</t>
  </si>
  <si>
    <t>Cashflows</t>
  </si>
  <si>
    <t>Down Payment (%)</t>
  </si>
  <si>
    <t>Loan Amount (Principal)</t>
  </si>
  <si>
    <t>Annual Interest Rate</t>
  </si>
  <si>
    <t>Term (Years)</t>
  </si>
  <si>
    <t>Payments/year</t>
  </si>
  <si>
    <t>Total Payments</t>
  </si>
  <si>
    <t>Payment per Period</t>
  </si>
  <si>
    <t>Sum of Payments</t>
  </si>
  <si>
    <t>Interest Cost</t>
  </si>
  <si>
    <t>Payment Number</t>
  </si>
  <si>
    <t>Payment ($)</t>
  </si>
  <si>
    <t>Interest Paid</t>
  </si>
  <si>
    <t>Prinicipal Paid</t>
  </si>
  <si>
    <t>Principal Balance</t>
  </si>
  <si>
    <t>Total Interest Paid</t>
  </si>
  <si>
    <t>Total Principal Paid</t>
  </si>
  <si>
    <t>Sale Price</t>
  </si>
  <si>
    <t>Profit</t>
  </si>
  <si>
    <t>Principal/Year</t>
  </si>
  <si>
    <t>Full</t>
  </si>
  <si>
    <t>Total Interest</t>
  </si>
  <si>
    <t>Rent Loss</t>
  </si>
  <si>
    <t xml:space="preserve">Total Operating Expenses </t>
  </si>
  <si>
    <t>Net Operating Income</t>
  </si>
  <si>
    <t>Debt Service</t>
  </si>
  <si>
    <t xml:space="preserve">Capital Expenditures </t>
  </si>
  <si>
    <t>Cash Flow Before Taxes</t>
  </si>
  <si>
    <t xml:space="preserve">Cash Flow After Taxes </t>
  </si>
  <si>
    <t>Income Property Pro Forma</t>
  </si>
  <si>
    <t xml:space="preserve">Expenses </t>
  </si>
  <si>
    <t>Income</t>
  </si>
  <si>
    <t>Effective Gross Income</t>
  </si>
  <si>
    <t>Total Liquid Assets</t>
  </si>
  <si>
    <t>Expenses</t>
  </si>
  <si>
    <t xml:space="preserve">Monthly Salary </t>
  </si>
  <si>
    <t>Tax Witholdings</t>
  </si>
  <si>
    <t>Student Loan Payments</t>
  </si>
  <si>
    <t>Ridesharing Income</t>
  </si>
  <si>
    <t>Food &amp; Groceries</t>
  </si>
  <si>
    <t>Entertainment</t>
  </si>
  <si>
    <t xml:space="preserve">Gas </t>
  </si>
  <si>
    <t>Total Income</t>
  </si>
  <si>
    <t>Total Expenses</t>
  </si>
  <si>
    <t xml:space="preserve">Misc. </t>
  </si>
  <si>
    <t>Car Loan</t>
  </si>
  <si>
    <t xml:space="preserve">Car loan payments </t>
  </si>
  <si>
    <t>Liquid Assets</t>
  </si>
  <si>
    <t>Required reserve</t>
  </si>
  <si>
    <t>Desired reserve (months)</t>
  </si>
  <si>
    <t>Investable Assets</t>
  </si>
  <si>
    <t>STR</t>
  </si>
  <si>
    <t xml:space="preserve">Price </t>
  </si>
  <si>
    <t>Expected Down Payment</t>
  </si>
  <si>
    <t xml:space="preserve">Rental </t>
  </si>
  <si>
    <t xml:space="preserve">House Hack </t>
  </si>
  <si>
    <t xml:space="preserve">Closing Costs </t>
  </si>
  <si>
    <t xml:space="preserve">Reserve Funds </t>
  </si>
  <si>
    <t>Cash Needed</t>
  </si>
  <si>
    <t>Cash on Hand</t>
  </si>
  <si>
    <t>Cash Remaining</t>
  </si>
  <si>
    <t>Time to Afford (Months)</t>
  </si>
  <si>
    <t>* different down payment amounts for House hack</t>
  </si>
  <si>
    <t>* interest only vs fully amortized for STR</t>
  </si>
  <si>
    <t>* Two interest rates</t>
  </si>
  <si>
    <t xml:space="preserve">457 Main St. </t>
  </si>
  <si>
    <t xml:space="preserve"> 38 Holland Dr. </t>
  </si>
  <si>
    <t>845 Chestnut Rd.</t>
  </si>
  <si>
    <t xml:space="preserve">Loan Option 1 </t>
  </si>
  <si>
    <t xml:space="preserve">* play our scenarios and explain pros/cons of each </t>
  </si>
  <si>
    <t>Estimated Closing Costs</t>
  </si>
  <si>
    <t>PMI per Period</t>
  </si>
  <si>
    <t>Interest Cost + PMI</t>
  </si>
  <si>
    <t xml:space="preserve">* should we model an equity partner scenario? Maybe we do this in the flipping section? </t>
  </si>
  <si>
    <t xml:space="preserve">Cap Rate </t>
  </si>
  <si>
    <t xml:space="preserve">Breakeven loan value </t>
  </si>
  <si>
    <t>Taxes</t>
  </si>
  <si>
    <t>Property Management</t>
  </si>
  <si>
    <t xml:space="preserve">Repairs &amp; Maintenance </t>
  </si>
  <si>
    <t>Professional Fees (Accounting &amp; Lawyers)</t>
  </si>
  <si>
    <t xml:space="preserve">Utilities </t>
  </si>
  <si>
    <t>Assumptions</t>
  </si>
  <si>
    <t>Expense Growth Rate</t>
  </si>
  <si>
    <t xml:space="preserve">Income Growth Rate </t>
  </si>
  <si>
    <t>Property Tax</t>
  </si>
  <si>
    <t>Property Management Fee</t>
  </si>
  <si>
    <t>Repairs and Maintenance Reserve (%)</t>
  </si>
  <si>
    <t>Capex Reserve (%)</t>
  </si>
  <si>
    <t>Income Tax (%)</t>
  </si>
  <si>
    <t>P&amp;I Per Period</t>
  </si>
  <si>
    <t>Total payment per period</t>
  </si>
  <si>
    <t xml:space="preserve">Financing Details </t>
  </si>
  <si>
    <t>CAGR</t>
  </si>
  <si>
    <t>Total Invested</t>
  </si>
  <si>
    <t>Estimated Property Value</t>
  </si>
  <si>
    <t>Property Appreciation</t>
  </si>
  <si>
    <t>Principle Remaining on Loan</t>
  </si>
  <si>
    <t>Equity</t>
  </si>
  <si>
    <t>Cumulative Cashflow</t>
  </si>
  <si>
    <t>Equity minus invested cash</t>
  </si>
  <si>
    <t>ROI</t>
  </si>
  <si>
    <t>AAROI</t>
  </si>
  <si>
    <t>Commission Paid at Sale</t>
  </si>
  <si>
    <t>Annual</t>
  </si>
  <si>
    <t>Down Payment + Closing Costs</t>
  </si>
  <si>
    <t>Outputs</t>
  </si>
  <si>
    <t>Year (for XIRR)</t>
  </si>
  <si>
    <t>ARV</t>
  </si>
  <si>
    <t>Est Cap Rate</t>
  </si>
  <si>
    <t>Cash-on-Cash Return</t>
  </si>
  <si>
    <t>Simple ROI</t>
  </si>
  <si>
    <t>Starting Income (Annual</t>
  </si>
  <si>
    <t>Other Income (Annual)</t>
  </si>
  <si>
    <t xml:space="preserve">Vacancy Rate </t>
  </si>
  <si>
    <t>Appreciation</t>
  </si>
  <si>
    <t>Compounding</t>
  </si>
  <si>
    <t xml:space="preserve">Financing </t>
  </si>
  <si>
    <t xml:space="preserve">Same property, different strategies? </t>
  </si>
  <si>
    <t xml:space="preserve">3 different properties? </t>
  </si>
  <si>
    <t xml:space="preserve">* bonus videos of doing this analysis </t>
  </si>
  <si>
    <t xml:space="preserve">* </t>
  </si>
  <si>
    <t/>
  </si>
  <si>
    <t>Year 0</t>
  </si>
  <si>
    <t>Year 1</t>
  </si>
  <si>
    <t>Year 2</t>
  </si>
  <si>
    <t>Year 4</t>
  </si>
  <si>
    <t>Year 3</t>
  </si>
  <si>
    <t>AAGR</t>
  </si>
  <si>
    <t>Annual ROI</t>
  </si>
  <si>
    <t>Year-End Balance</t>
  </si>
  <si>
    <t>Return</t>
  </si>
  <si>
    <t>Year 5</t>
  </si>
  <si>
    <t>Year 6</t>
  </si>
  <si>
    <t>Year 7</t>
  </si>
  <si>
    <t>Year 8</t>
  </si>
  <si>
    <t>Year 9</t>
  </si>
  <si>
    <t>N/A (Sold)</t>
  </si>
  <si>
    <t>Annual Growth Rate</t>
  </si>
  <si>
    <t>Portfolio Value</t>
  </si>
  <si>
    <t>Investment 1</t>
  </si>
  <si>
    <t>Year 10</t>
  </si>
  <si>
    <t>Account Balance</t>
  </si>
  <si>
    <t>Investment 2</t>
  </si>
  <si>
    <t>Formula</t>
  </si>
  <si>
    <t xml:space="preserve">Purchas Price </t>
  </si>
  <si>
    <t xml:space="preserve">Rehab Costs </t>
  </si>
  <si>
    <t>Rehab Timeframe</t>
  </si>
  <si>
    <t>Down Payment</t>
  </si>
  <si>
    <t>Total Initial Investment</t>
  </si>
  <si>
    <t xml:space="preserve">Current Rent </t>
  </si>
  <si>
    <t>Post-Rehab Rent</t>
  </si>
  <si>
    <t>Rent Inflation</t>
  </si>
  <si>
    <t>Annual Expenses</t>
  </si>
  <si>
    <t>6 Months</t>
  </si>
  <si>
    <t>Property Apprecition</t>
  </si>
  <si>
    <t xml:space="preserve">PERSONAL FINANCIAL STATEMENT: John Robinson </t>
  </si>
  <si>
    <t>ABC Properties LLC</t>
  </si>
  <si>
    <t>As of December 31, 2021</t>
  </si>
  <si>
    <t xml:space="preserve">LIQUID ASSETS: John Robinson </t>
  </si>
  <si>
    <t xml:space="preserve"> INVESTABLE ASSETS: John Robinson </t>
  </si>
  <si>
    <t>2013 Honda CRV</t>
  </si>
  <si>
    <t xml:space="preserve">SAVINGS RATE: John Robinson </t>
  </si>
  <si>
    <t>Average Income</t>
  </si>
  <si>
    <t>May Expenses</t>
  </si>
  <si>
    <t>June Expenses</t>
  </si>
  <si>
    <t>July Expenses</t>
  </si>
  <si>
    <t>Average Expenses</t>
  </si>
  <si>
    <t>Rideshare Income May</t>
  </si>
  <si>
    <t>Rideshare Income June</t>
  </si>
  <si>
    <t xml:space="preserve">Rideshare Income July </t>
  </si>
  <si>
    <t>Savings Rate</t>
  </si>
  <si>
    <t xml:space="preserve">Mortgage Payments </t>
  </si>
  <si>
    <t>Starting Liquid Assets</t>
  </si>
  <si>
    <t>Investment Amount</t>
  </si>
  <si>
    <t>Ending Liquid Assets</t>
  </si>
  <si>
    <t>Invement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</si>
  <si>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</si>
  <si>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</si>
  <si>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</si>
  <si>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</si>
  <si>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</si>
  <si>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</si>
  <si>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</si>
  <si>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</si>
  <si>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</si>
  <si>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</si>
  <si>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</si>
  <si>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</si>
  <si>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</si>
  <si>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Monthly Expenses</t>
  </si>
  <si>
    <t>Monthly Income</t>
  </si>
  <si>
    <t>PROFIT &amp; LOSS STATEMENT - RENTAL CORP, LLC</t>
  </si>
  <si>
    <t>For the Fiscal Year 2022(Jan 1 - Dec 31, 2022)</t>
  </si>
  <si>
    <t>Rental Income</t>
  </si>
  <si>
    <t>Repairs &amp; Maintenance</t>
  </si>
  <si>
    <t xml:space="preserve">Professional Services </t>
  </si>
  <si>
    <t>NET OPERATING INCOME</t>
  </si>
  <si>
    <t>CASHFLOW</t>
  </si>
  <si>
    <t>FOR YEAR ENDING DECEMBER 31, 2022</t>
  </si>
  <si>
    <t>As of December 31, 2022</t>
  </si>
  <si>
    <t>2022 Taxes</t>
  </si>
  <si>
    <t>FINANCING</t>
  </si>
  <si>
    <t>Principle &amp; Interest (Mortgage)</t>
  </si>
  <si>
    <t>PRE TAX CASHFLOW</t>
  </si>
  <si>
    <t>GROSS INCOME</t>
  </si>
  <si>
    <t>OPERATING EXPENSES</t>
  </si>
  <si>
    <t>CAPITAL EXPENDITURES</t>
  </si>
  <si>
    <t>Capex</t>
  </si>
  <si>
    <t>Gross Profit Margin</t>
  </si>
  <si>
    <t>Operating Profit Margin</t>
  </si>
  <si>
    <t>Net Profit Margin</t>
  </si>
  <si>
    <t>Property 1</t>
  </si>
  <si>
    <t>Property 2</t>
  </si>
  <si>
    <t xml:space="preserve">Purchase Price </t>
  </si>
  <si>
    <t>Annual Rent</t>
  </si>
  <si>
    <t>GSM</t>
  </si>
  <si>
    <t>GRM</t>
  </si>
  <si>
    <t>RTP</t>
  </si>
  <si>
    <t>Monthly Rent</t>
  </si>
  <si>
    <t xml:space="preserve">North Lake </t>
  </si>
  <si>
    <t>South Lake</t>
  </si>
  <si>
    <t xml:space="preserve">West Lake </t>
  </si>
  <si>
    <t xml:space="preserve">East Lake </t>
  </si>
  <si>
    <t>Median Purchase Price</t>
  </si>
  <si>
    <t xml:space="preserve">Median Rent </t>
  </si>
  <si>
    <t>Neighborhood</t>
  </si>
  <si>
    <t>Proceeds at Sale</t>
  </si>
  <si>
    <t>Profit at Sale (Total Return)</t>
  </si>
  <si>
    <t>NOI</t>
  </si>
  <si>
    <t>TDS</t>
  </si>
  <si>
    <t>DSCR</t>
  </si>
  <si>
    <t>Time of Purchase</t>
  </si>
  <si>
    <t>5 Years Later</t>
  </si>
  <si>
    <t>Property Value</t>
  </si>
  <si>
    <t>Loan Balance</t>
  </si>
  <si>
    <t>Return on Equity</t>
  </si>
  <si>
    <t>Refinance</t>
  </si>
  <si>
    <t>New Purchase</t>
  </si>
  <si>
    <t>e</t>
  </si>
  <si>
    <t>Equity ($)</t>
  </si>
  <si>
    <t>Equity (%)</t>
  </si>
  <si>
    <t>Purchase</t>
  </si>
  <si>
    <t>Rehab Costs</t>
  </si>
  <si>
    <t>Total Cash Invested</t>
  </si>
  <si>
    <t>After Rehab</t>
  </si>
  <si>
    <t>After Refinance</t>
  </si>
  <si>
    <t>Cash Out</t>
  </si>
  <si>
    <t xml:space="preserve">New Purchase 1 </t>
  </si>
  <si>
    <t>New Purchase 2</t>
  </si>
  <si>
    <t>Selling Scenario 2</t>
  </si>
  <si>
    <t>First example</t>
  </si>
  <si>
    <t>Refi Scenario</t>
  </si>
  <si>
    <t>8 Years Later</t>
  </si>
  <si>
    <t xml:space="preserve">Investor Story </t>
  </si>
  <si>
    <t>Required Reserves</t>
  </si>
  <si>
    <t>PROFIT &amp; LOSS STATEMENT - GREAT FLIPS, LLC</t>
  </si>
  <si>
    <t>year 3</t>
  </si>
  <si>
    <t>Annual Profit</t>
  </si>
  <si>
    <t xml:space="preserve">Primary Owner </t>
  </si>
  <si>
    <t>Capital Contribution</t>
  </si>
  <si>
    <t>Operating Reserve</t>
  </si>
  <si>
    <t>Total</t>
  </si>
  <si>
    <t>Capital Type</t>
  </si>
  <si>
    <t>Equity Capital</t>
  </si>
  <si>
    <t>Financing Type</t>
  </si>
  <si>
    <t>None (self-financed)</t>
  </si>
  <si>
    <t>Capital Source</t>
  </si>
  <si>
    <t>Mortgage Company</t>
  </si>
  <si>
    <t>Debt</t>
  </si>
  <si>
    <t xml:space="preserve">Debt </t>
  </si>
  <si>
    <t>Primary Owner (Sponsor)</t>
  </si>
  <si>
    <t>Investor Partner</t>
  </si>
  <si>
    <t>Equity Financing</t>
  </si>
  <si>
    <t xml:space="preserve">Equity Capital </t>
  </si>
  <si>
    <t>Common Equity</t>
  </si>
  <si>
    <t xml:space="preserve">Preferred Equity </t>
  </si>
  <si>
    <t>Expense</t>
  </si>
  <si>
    <t>Amount</t>
  </si>
  <si>
    <t>None (Sponsor)</t>
  </si>
  <si>
    <t>200 Post Rd.</t>
  </si>
  <si>
    <t>Deal Proceeds</t>
  </si>
  <si>
    <t>Preferred Equity</t>
  </si>
  <si>
    <t>Mezzanine Debt</t>
  </si>
  <si>
    <t>Senior Debt</t>
  </si>
  <si>
    <t>Common Equity (Brian)</t>
  </si>
  <si>
    <t>Preferred Equity (Melissa)</t>
  </si>
  <si>
    <t>Senior Debt (Mortgage Company)</t>
  </si>
  <si>
    <t>Gross Potential Rent</t>
  </si>
  <si>
    <t xml:space="preserve">Rent Loss </t>
  </si>
  <si>
    <t>GROSS OPERATING INCOME:</t>
  </si>
  <si>
    <t>Property Taxes</t>
  </si>
  <si>
    <t>Turnover</t>
  </si>
  <si>
    <t>Lawn Care</t>
  </si>
  <si>
    <t xml:space="preserve">Snow Removal </t>
  </si>
  <si>
    <t>Dumpster/Trash Removal</t>
  </si>
  <si>
    <t>Grounds Cleanup</t>
  </si>
  <si>
    <t>Office Costs</t>
  </si>
  <si>
    <t>Legal</t>
  </si>
  <si>
    <t>Accounting</t>
  </si>
  <si>
    <t>OPERATING EXPENSES:</t>
  </si>
  <si>
    <t>CAPITAL EXPENSES:</t>
  </si>
  <si>
    <t>CASH FLOW</t>
  </si>
  <si>
    <t xml:space="preserve">PROFIT &amp; LOSS STATEMENT - Catherine Corp </t>
  </si>
  <si>
    <t>-</t>
  </si>
  <si>
    <t>Structure Value (%)</t>
  </si>
  <si>
    <t>Depreciation Period (Years)</t>
  </si>
  <si>
    <t>Depreciation ($)</t>
  </si>
  <si>
    <t>Amortization Period (Years)</t>
  </si>
  <si>
    <t>Amortization ($)</t>
  </si>
  <si>
    <t>Taxable Income</t>
  </si>
  <si>
    <t>Tax Rate</t>
  </si>
  <si>
    <t>Taxes Owed</t>
  </si>
  <si>
    <t>Capital Expenses</t>
  </si>
  <si>
    <t xml:space="preserve">Adjusted Basis </t>
  </si>
  <si>
    <t>Basis</t>
  </si>
  <si>
    <t>Taxable Gain</t>
  </si>
  <si>
    <t>Depreciation Recapture</t>
  </si>
  <si>
    <t>Depreciation Recapture Rate</t>
  </si>
  <si>
    <t>Depreciation Recapture Owed</t>
  </si>
  <si>
    <t>Capital Gains</t>
  </si>
  <si>
    <t>Total Tax Owed</t>
  </si>
  <si>
    <t>1. Assets</t>
  </si>
  <si>
    <t>2. Liabilities</t>
  </si>
  <si>
    <t>3. Full PFS</t>
  </si>
  <si>
    <t xml:space="preserve">Savings Rate </t>
  </si>
  <si>
    <t>3 Images from Savings Rate Table</t>
  </si>
  <si>
    <t>CASH FLOW BEFORE TAX</t>
  </si>
  <si>
    <t>Tax Withholdings</t>
  </si>
  <si>
    <t>Desired Reserve (months)</t>
  </si>
  <si>
    <t>Required Reserve ($)</t>
  </si>
  <si>
    <t>Investment(s)</t>
  </si>
  <si>
    <t>VARIABLE EXPENSES: John Robinson</t>
  </si>
  <si>
    <t>VARIABLE INCOME: John Robinson</t>
  </si>
  <si>
    <t>Investment in 123 Main Street</t>
  </si>
  <si>
    <t>Compounding Interest</t>
  </si>
  <si>
    <t>Simple Interest</t>
  </si>
  <si>
    <t>Principal</t>
  </si>
  <si>
    <t>ROR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</si>
  <si>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</si>
  <si>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</si>
  <si>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</si>
  <si>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</si>
  <si>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</si>
  <si>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</si>
  <si>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</si>
  <si>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</si>
  <si>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</si>
  <si>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</si>
  <si>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</si>
  <si>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</si>
  <si>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End of Year</t>
  </si>
  <si>
    <t>FV</t>
  </si>
  <si>
    <t>Present Value =</t>
  </si>
  <si>
    <t>Compounding vs. Simple % Difference</t>
  </si>
  <si>
    <t>Property #1</t>
  </si>
  <si>
    <t>Property #2</t>
  </si>
  <si>
    <t>Totals:</t>
  </si>
  <si>
    <t>Added rounding functions here</t>
  </si>
  <si>
    <t>Capital Gains Tax Owed</t>
  </si>
  <si>
    <t>Capital Gains Tax Rate</t>
  </si>
  <si>
    <t>Return Metric</t>
  </si>
  <si>
    <t>Answers Q1</t>
  </si>
  <si>
    <t>Answers Q2</t>
  </si>
  <si>
    <t>Answers Q3</t>
  </si>
  <si>
    <t>Answers Q4</t>
  </si>
  <si>
    <t>X</t>
  </si>
  <si>
    <t>Net Operating Income (NOI)</t>
  </si>
  <si>
    <t>Cash Flow (CF)</t>
  </si>
  <si>
    <t>Return on Investment (ROI)</t>
  </si>
  <si>
    <t>Equity Multiplier (EM)</t>
  </si>
  <si>
    <t>Capitalization Rate (Cap Rate)</t>
  </si>
  <si>
    <t>Average Annual Return (AAR)</t>
  </si>
  <si>
    <t>Compound Annual Growth Rate (CAGR)</t>
  </si>
  <si>
    <t>Internal Rate of Return (IRR)</t>
  </si>
  <si>
    <t>Deal #1</t>
  </si>
  <si>
    <t>Deal #2</t>
  </si>
  <si>
    <t>Deal #3</t>
  </si>
  <si>
    <t>Value (Asking Price)</t>
  </si>
  <si>
    <t>% Change</t>
  </si>
  <si>
    <t>SCENARIO #1</t>
  </si>
  <si>
    <t>SCENARIO #2</t>
  </si>
  <si>
    <t>SCENARIO #3</t>
  </si>
  <si>
    <t>SCENARIO #4</t>
  </si>
  <si>
    <t>Balance</t>
  </si>
  <si>
    <t>Date</t>
  </si>
  <si>
    <t>Month #</t>
  </si>
  <si>
    <t>S</t>
  </si>
  <si>
    <t>Scenario 1</t>
  </si>
  <si>
    <t>Scenario 2</t>
  </si>
  <si>
    <t>Property Sale</t>
  </si>
  <si>
    <t>Annualized ROI</t>
  </si>
  <si>
    <t>Rent Growth</t>
  </si>
  <si>
    <t>Math Check</t>
  </si>
  <si>
    <t>Equity(Brian)</t>
  </si>
  <si>
    <t>Equity (Melissa)</t>
  </si>
  <si>
    <t>Debt (Mortgage Company)</t>
  </si>
  <si>
    <t>Debt 2</t>
  </si>
  <si>
    <t>Debt 1</t>
  </si>
  <si>
    <t>Do Not Delete</t>
  </si>
  <si>
    <t>Monthly</t>
  </si>
  <si>
    <t>ROI (Cash Flow/DP)</t>
  </si>
  <si>
    <t>No Loan</t>
  </si>
  <si>
    <t>Loan @ 4.5%</t>
  </si>
  <si>
    <t>Loan @ 7%</t>
  </si>
  <si>
    <t xml:space="preserve"> </t>
  </si>
  <si>
    <t>Money Owed from Bill Jones</t>
  </si>
  <si>
    <t>ABC Properties, LLC</t>
  </si>
  <si>
    <t xml:space="preserve">Car Loan payments </t>
  </si>
  <si>
    <t>TOTAL LIABILITIES &amp; OWNER EQUITY</t>
  </si>
  <si>
    <t>For the Fiscal Year 2022 (Jan. 1 - Dec. 31, 2022)</t>
  </si>
  <si>
    <t xml:space="preserve">PROFIT &amp; LOSS STATEMENT - Catherine Corp. </t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</si>
  <si>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</si>
  <si>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3)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</si>
  <si>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4)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</si>
  <si>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5)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</si>
  <si>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6)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</si>
  <si>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7)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</si>
  <si>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8)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</si>
  <si>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9)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</si>
  <si>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10)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</si>
  <si>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11)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</si>
  <si>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12)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</si>
  <si>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13)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</si>
  <si>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14)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</si>
  <si>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15)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</si>
  <si>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16)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</si>
  <si>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17)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</si>
  <si>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18)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</si>
  <si>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19)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</si>
  <si>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20)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</si>
  <si>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21)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</si>
  <si>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22)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</si>
  <si>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23)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</si>
  <si>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24)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</si>
  <si>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25)</t>
    </r>
  </si>
  <si>
    <t>Equation</t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</si>
  <si>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1)</t>
    </r>
  </si>
  <si>
    <r>
      <t>PV = (9,600 ÷ (1+.12)</t>
    </r>
    <r>
      <rPr>
        <vertAlign val="superscript"/>
        <sz val="11"/>
        <color theme="1"/>
        <rFont val="Calibri (Body)"/>
      </rPr>
      <t>1</t>
    </r>
  </si>
  <si>
    <r>
      <t>PV = (9,600 ÷ (1+.12)</t>
    </r>
    <r>
      <rPr>
        <vertAlign val="superscript"/>
        <sz val="11"/>
        <color theme="1"/>
        <rFont val="Calibri (Body)"/>
      </rPr>
      <t>2</t>
    </r>
  </si>
  <si>
    <r>
      <t>PV = (9,600 ÷ (1+.12</t>
    </r>
    <r>
      <rPr>
        <vertAlign val="superscript"/>
        <sz val="11"/>
        <color theme="1"/>
        <rFont val="Calibri (Body)"/>
      </rPr>
      <t>)3</t>
    </r>
  </si>
  <si>
    <r>
      <t>PV = (9,600 ÷ (1+.12)</t>
    </r>
    <r>
      <rPr>
        <vertAlign val="superscript"/>
        <sz val="11"/>
        <color theme="1"/>
        <rFont val="Calibri (Body)"/>
      </rPr>
      <t>4</t>
    </r>
  </si>
  <si>
    <r>
      <t>PV = (9,600 ÷ (1+.12)</t>
    </r>
    <r>
      <rPr>
        <vertAlign val="superscript"/>
        <sz val="11"/>
        <color theme="1"/>
        <rFont val="Calibri (Body)"/>
      </rPr>
      <t>5</t>
    </r>
  </si>
  <si>
    <r>
      <t>PV = (9,600 ÷ (1+.12)</t>
    </r>
    <r>
      <rPr>
        <vertAlign val="superscript"/>
        <sz val="11"/>
        <color theme="1"/>
        <rFont val="Calibri (Body)"/>
      </rPr>
      <t>6</t>
    </r>
  </si>
  <si>
    <r>
      <t>PV = (9,600 ÷ (1+.12)</t>
    </r>
    <r>
      <rPr>
        <vertAlign val="superscript"/>
        <sz val="11"/>
        <color theme="1"/>
        <rFont val="Calibri (Body)"/>
      </rPr>
      <t>7</t>
    </r>
  </si>
  <si>
    <r>
      <t>PV = (9,600 ÷ (1+.12)</t>
    </r>
    <r>
      <rPr>
        <vertAlign val="superscript"/>
        <sz val="11"/>
        <color theme="1"/>
        <rFont val="Calibri (Body)"/>
      </rPr>
      <t>8</t>
    </r>
  </si>
  <si>
    <r>
      <t>PV = (9,600 ÷ (1+.12)</t>
    </r>
    <r>
      <rPr>
        <vertAlign val="superscript"/>
        <sz val="11"/>
        <color theme="1"/>
        <rFont val="Calibri (Body)"/>
      </rPr>
      <t>9</t>
    </r>
  </si>
  <si>
    <r>
      <t>PV = (9,600 ÷ (1+.12)</t>
    </r>
    <r>
      <rPr>
        <vertAlign val="superscript"/>
        <sz val="11"/>
        <color theme="1"/>
        <rFont val="Calibri (Body)"/>
      </rPr>
      <t>10</t>
    </r>
  </si>
  <si>
    <t>Mortgage "Points"</t>
  </si>
  <si>
    <t>Purchase Costs</t>
  </si>
  <si>
    <t>Capital Expenditures</t>
  </si>
  <si>
    <t xml:space="preserve">Sellings Costs </t>
  </si>
  <si>
    <t>Ending Value</t>
  </si>
  <si>
    <t>AAR = 10%</t>
  </si>
  <si>
    <t>Current Value</t>
  </si>
  <si>
    <t>Hold Period (Years)</t>
  </si>
  <si>
    <t>Rehab Time Frame</t>
  </si>
  <si>
    <t>Rehab &amp; CapEx</t>
  </si>
  <si>
    <t>Cash Flows</t>
  </si>
  <si>
    <t>Prinicpal Paid</t>
  </si>
  <si>
    <t>Principal Paid</t>
  </si>
  <si>
    <t>For Year Ending December 31, 2022</t>
  </si>
  <si>
    <t>Buildings/Improvements</t>
  </si>
  <si>
    <t>For the Fiscal Year 2022 (Jan. 1–Dec. 31, 2022)</t>
  </si>
  <si>
    <t>All images in Chapter 2 derived from this table</t>
  </si>
  <si>
    <t>All images in Chapter 3 derived from these 2 tables</t>
  </si>
  <si>
    <t>All images in Chapter 4 derived from these 2 tables</t>
  </si>
  <si>
    <t>Structure Cost ($)</t>
  </si>
  <si>
    <t>Cash-on-Cash Return (COC)</t>
  </si>
  <si>
    <t>Cash Flow After Taxes</t>
  </si>
  <si>
    <t>Cap Rate (NOI ÷ Value)</t>
  </si>
  <si>
    <t>AAR</t>
  </si>
  <si>
    <t>Selling Scenario 1</t>
  </si>
  <si>
    <t>Personal Financial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</si>
</sst>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€-2]\ #,##0.00"/>
    <numFmt numFmtId="165" formatCode="0.0%"/>
    <numFmt numFmtId="166" formatCode="_(&quot;$&quot;* #,##0_);_(&quot;$&quot;* \(#,##0\);_(&quot;$&quot;* &quot;-&quot;??_);_(@_)"/>
    <numFmt numFmtId="167" formatCode="&quot;$&quot;#,##0"/>
    <numFmt numFmtId="168" formatCode="0.0000%"/>
    <numFmt numFmtId="169" formatCode="0.0"/>
    <numFmt numFmtId="170" formatCode="0.000%"/>
    <numFmt numFmtId="171" formatCode="_(* #,##0.0_);_(* \(#,##0.0\);_(* &quot;-&quot;??_);_(@_)"/>
    <numFmt numFmtId="172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name val="Arial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ymbol"/>
      <charset val="2"/>
    </font>
    <font>
      <sz val="8"/>
      <color theme="1"/>
      <name val="Calibri Light"/>
      <family val="2"/>
    </font>
    <font>
      <vertAlign val="superscript"/>
      <sz val="11"/>
      <color theme="1"/>
      <name val="Calibri (Body)"/>
    </font>
    <font>
      <sz val="11"/>
      <color theme="1"/>
      <name val="Open Sans"/>
      <family val="2"/>
    </font>
    <font>
      <sz val="14"/>
      <color rgb="FFFF0000"/>
      <name val="Open Sans"/>
      <family val="2"/>
    </font>
    <font>
      <b/>
      <sz val="11"/>
      <name val="Open Sans"/>
      <family val="2"/>
    </font>
    <font>
      <sz val="11"/>
      <name val="Open Sans"/>
      <family val="2"/>
    </font>
    <font>
      <b/>
      <i/>
      <sz val="11"/>
      <name val="Open Sans"/>
      <family val="2"/>
    </font>
    <font>
      <b/>
      <sz val="11"/>
      <color theme="1"/>
      <name val="Open Sans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71">
    <xf numFmtId="0" fontId="0" fillId="0" borderId="0" xfId="0"/>
    <xf numFmtId="0" fontId="8" fillId="0" borderId="0" xfId="2" applyFont="1"/>
    <xf numFmtId="0" fontId="5" fillId="0" borderId="0" xfId="2" applyAlignment="1">
      <alignment vertical="center"/>
    </xf>
    <xf numFmtId="164" fontId="5" fillId="0" borderId="0" xfId="2" applyNumberFormat="1" applyAlignment="1">
      <alignment vertical="center"/>
    </xf>
    <xf numFmtId="0" fontId="5" fillId="0" borderId="0" xfId="2"/>
    <xf numFmtId="0" fontId="10" fillId="0" borderId="0" xfId="2" applyFont="1" applyAlignment="1">
      <alignment vertical="center"/>
    </xf>
    <xf numFmtId="164" fontId="10" fillId="0" borderId="0" xfId="2" applyNumberFormat="1" applyFont="1" applyAlignment="1">
      <alignment vertical="center"/>
    </xf>
    <xf numFmtId="164" fontId="9" fillId="0" borderId="0" xfId="2" applyNumberFormat="1" applyFont="1" applyAlignment="1">
      <alignment horizontal="center" vertical="center"/>
    </xf>
    <xf numFmtId="0" fontId="9" fillId="2" borderId="2" xfId="2" applyFont="1" applyFill="1" applyBorder="1" applyAlignment="1">
      <alignment vertical="center" wrapText="1"/>
    </xf>
    <xf numFmtId="44" fontId="11" fillId="2" borderId="2" xfId="3" applyFont="1" applyFill="1" applyBorder="1" applyAlignment="1">
      <alignment vertical="center"/>
    </xf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0" borderId="2" xfId="2" applyFont="1" applyBorder="1" applyAlignment="1">
      <alignment vertical="center" wrapText="1"/>
    </xf>
    <xf numFmtId="44" fontId="11" fillId="0" borderId="2" xfId="3" applyFont="1" applyBorder="1" applyAlignment="1">
      <alignment vertical="center"/>
    </xf>
    <xf numFmtId="0" fontId="4" fillId="0" borderId="6" xfId="0" applyFont="1" applyBorder="1"/>
    <xf numFmtId="6" fontId="0" fillId="0" borderId="7" xfId="0" applyNumberFormat="1" applyBorder="1" applyAlignment="1">
      <alignment horizontal="center"/>
    </xf>
    <xf numFmtId="6" fontId="0" fillId="0" borderId="8" xfId="0" applyNumberFormat="1" applyBorder="1" applyAlignment="1">
      <alignment horizontal="center"/>
    </xf>
    <xf numFmtId="44" fontId="11" fillId="0" borderId="2" xfId="3" quotePrefix="1" applyFont="1" applyBorder="1" applyAlignment="1">
      <alignment vertic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4" fillId="0" borderId="9" xfId="0" applyFont="1" applyBorder="1"/>
    <xf numFmtId="165" fontId="0" fillId="0" borderId="10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9" fillId="2" borderId="0" xfId="2" applyFont="1" applyFill="1" applyAlignment="1">
      <alignment vertical="center"/>
    </xf>
    <xf numFmtId="44" fontId="9" fillId="2" borderId="0" xfId="3" applyFont="1" applyFill="1" applyAlignment="1">
      <alignment horizontal="center" vertical="center"/>
    </xf>
    <xf numFmtId="165" fontId="0" fillId="0" borderId="7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44" fontId="9" fillId="2" borderId="12" xfId="3" applyFont="1" applyFill="1" applyBorder="1" applyAlignment="1">
      <alignment vertical="center"/>
    </xf>
    <xf numFmtId="0" fontId="5" fillId="0" borderId="2" xfId="2" applyBorder="1" applyAlignment="1">
      <alignment vertical="center" wrapText="1"/>
    </xf>
    <xf numFmtId="44" fontId="3" fillId="0" borderId="2" xfId="3" applyFont="1" applyBorder="1" applyAlignment="1">
      <alignment vertical="center"/>
    </xf>
    <xf numFmtId="0" fontId="9" fillId="0" borderId="0" xfId="2" applyFont="1" applyAlignment="1">
      <alignment vertical="center"/>
    </xf>
    <xf numFmtId="44" fontId="9" fillId="0" borderId="0" xfId="3" applyFont="1" applyAlignment="1">
      <alignment horizontal="center" vertical="center"/>
    </xf>
    <xf numFmtId="0" fontId="12" fillId="3" borderId="13" xfId="2" applyFont="1" applyFill="1" applyBorder="1" applyAlignment="1">
      <alignment vertical="center"/>
    </xf>
    <xf numFmtId="44" fontId="6" fillId="3" borderId="13" xfId="3" applyFont="1" applyFill="1" applyBorder="1" applyAlignment="1">
      <alignment vertical="center"/>
    </xf>
    <xf numFmtId="14" fontId="6" fillId="3" borderId="13" xfId="2" applyNumberFormat="1" applyFont="1" applyFill="1" applyBorder="1" applyAlignment="1">
      <alignment vertical="center"/>
    </xf>
    <xf numFmtId="0" fontId="13" fillId="3" borderId="13" xfId="2" applyFont="1" applyFill="1" applyBorder="1" applyAlignment="1">
      <alignment horizontal="right" vertical="center" indent="2"/>
    </xf>
    <xf numFmtId="44" fontId="13" fillId="3" borderId="13" xfId="3" applyFont="1" applyFill="1" applyBorder="1" applyAlignment="1">
      <alignment vertical="center"/>
    </xf>
    <xf numFmtId="0" fontId="10" fillId="0" borderId="2" xfId="2" applyFont="1" applyBorder="1" applyAlignment="1">
      <alignment horizontal="left" vertical="center" wrapText="1" indent="2"/>
    </xf>
    <xf numFmtId="166" fontId="11" fillId="0" borderId="2" xfId="3" applyNumberFormat="1" applyFont="1" applyBorder="1" applyAlignment="1">
      <alignment vertical="center"/>
    </xf>
    <xf numFmtId="166" fontId="11" fillId="0" borderId="14" xfId="3" applyNumberFormat="1" applyFont="1" applyBorder="1" applyAlignment="1">
      <alignment vertical="center"/>
    </xf>
    <xf numFmtId="166" fontId="11" fillId="0" borderId="15" xfId="3" applyNumberFormat="1" applyFont="1" applyBorder="1" applyAlignment="1">
      <alignment vertical="center"/>
    </xf>
    <xf numFmtId="166" fontId="11" fillId="0" borderId="16" xfId="3" applyNumberFormat="1" applyFont="1" applyBorder="1" applyAlignment="1">
      <alignment vertical="center"/>
    </xf>
    <xf numFmtId="0" fontId="9" fillId="0" borderId="2" xfId="2" applyFont="1" applyBorder="1" applyAlignment="1">
      <alignment vertical="center" wrapText="1"/>
    </xf>
    <xf numFmtId="166" fontId="16" fillId="0" borderId="15" xfId="3" applyNumberFormat="1" applyFont="1" applyBorder="1" applyAlignment="1">
      <alignment vertical="center"/>
    </xf>
    <xf numFmtId="166" fontId="11" fillId="2" borderId="2" xfId="3" applyNumberFormat="1" applyFont="1" applyFill="1" applyBorder="1" applyAlignment="1">
      <alignment vertical="center"/>
    </xf>
    <xf numFmtId="166" fontId="16" fillId="0" borderId="2" xfId="3" applyNumberFormat="1" applyFont="1" applyBorder="1" applyAlignment="1">
      <alignment vertical="center"/>
    </xf>
    <xf numFmtId="0" fontId="10" fillId="0" borderId="2" xfId="2" applyFont="1" applyBorder="1" applyAlignment="1">
      <alignment horizontal="left" vertical="center" wrapText="1"/>
    </xf>
    <xf numFmtId="166" fontId="11" fillId="0" borderId="0" xfId="3" applyNumberFormat="1" applyFont="1" applyAlignment="1">
      <alignment vertical="center"/>
    </xf>
    <xf numFmtId="0" fontId="9" fillId="0" borderId="2" xfId="2" applyFont="1" applyBorder="1" applyAlignment="1">
      <alignment horizontal="right" vertical="center" wrapText="1"/>
    </xf>
    <xf numFmtId="44" fontId="11" fillId="0" borderId="17" xfId="3" applyFont="1" applyBorder="1" applyAlignment="1">
      <alignment vertical="center"/>
    </xf>
    <xf numFmtId="0" fontId="9" fillId="4" borderId="13" xfId="2" applyFont="1" applyFill="1" applyBorder="1" applyAlignment="1">
      <alignment horizontal="right" vertical="center"/>
    </xf>
    <xf numFmtId="166" fontId="16" fillId="4" borderId="13" xfId="3" applyNumberFormat="1" applyFont="1" applyFill="1" applyBorder="1" applyAlignment="1">
      <alignment vertical="center"/>
    </xf>
    <xf numFmtId="44" fontId="11" fillId="0" borderId="15" xfId="3" applyFont="1" applyBorder="1" applyAlignment="1">
      <alignment vertical="center"/>
    </xf>
    <xf numFmtId="44" fontId="16" fillId="0" borderId="15" xfId="3" applyFont="1" applyBorder="1" applyAlignment="1">
      <alignment vertical="center"/>
    </xf>
    <xf numFmtId="0" fontId="9" fillId="4" borderId="16" xfId="2" applyFont="1" applyFill="1" applyBorder="1" applyAlignment="1">
      <alignment horizontal="right" vertical="center"/>
    </xf>
    <xf numFmtId="44" fontId="16" fillId="4" borderId="16" xfId="3" applyFont="1" applyFill="1" applyBorder="1" applyAlignment="1">
      <alignment vertical="center"/>
    </xf>
    <xf numFmtId="0" fontId="10" fillId="0" borderId="17" xfId="2" applyFont="1" applyBorder="1" applyAlignment="1">
      <alignment horizontal="right" vertical="center" wrapText="1"/>
    </xf>
    <xf numFmtId="44" fontId="16" fillId="4" borderId="13" xfId="3" applyFont="1" applyFill="1" applyBorder="1" applyAlignment="1">
      <alignment vertical="center"/>
    </xf>
    <xf numFmtId="0" fontId="9" fillId="0" borderId="17" xfId="2" applyFont="1" applyBorder="1" applyAlignment="1">
      <alignment horizontal="right" vertical="center" wrapText="1"/>
    </xf>
    <xf numFmtId="44" fontId="16" fillId="0" borderId="17" xfId="3" applyFont="1" applyBorder="1" applyAlignment="1">
      <alignment vertical="center"/>
    </xf>
    <xf numFmtId="0" fontId="0" fillId="0" borderId="0" xfId="0" applyAlignment="1">
      <alignment horizontal="left"/>
    </xf>
    <xf numFmtId="166" fontId="0" fillId="0" borderId="0" xfId="4" applyNumberFormat="1" applyFont="1"/>
    <xf numFmtId="166" fontId="0" fillId="0" borderId="0" xfId="0" applyNumberFormat="1"/>
    <xf numFmtId="0" fontId="4" fillId="0" borderId="16" xfId="0" applyFont="1" applyBorder="1"/>
    <xf numFmtId="166" fontId="4" fillId="0" borderId="16" xfId="0" applyNumberFormat="1" applyFont="1" applyBorder="1"/>
    <xf numFmtId="0" fontId="4" fillId="0" borderId="1" xfId="0" applyFont="1" applyBorder="1"/>
    <xf numFmtId="9" fontId="0" fillId="0" borderId="0" xfId="1" applyFont="1" applyAlignment="1">
      <alignment horizontal="right"/>
    </xf>
    <xf numFmtId="14" fontId="0" fillId="0" borderId="0" xfId="0" applyNumberFormat="1"/>
    <xf numFmtId="17" fontId="0" fillId="0" borderId="0" xfId="0" applyNumberFormat="1"/>
    <xf numFmtId="9" fontId="4" fillId="0" borderId="16" xfId="1" applyFont="1" applyBorder="1"/>
    <xf numFmtId="3" fontId="4" fillId="0" borderId="1" xfId="0" applyNumberFormat="1" applyFont="1" applyBorder="1"/>
    <xf numFmtId="167" fontId="0" fillId="0" borderId="0" xfId="4" applyNumberFormat="1" applyFont="1"/>
    <xf numFmtId="167" fontId="0" fillId="0" borderId="0" xfId="0" applyNumberFormat="1"/>
    <xf numFmtId="6" fontId="0" fillId="0" borderId="0" xfId="0" applyNumberFormat="1"/>
    <xf numFmtId="168" fontId="0" fillId="0" borderId="0" xfId="1" applyNumberFormat="1" applyFont="1"/>
    <xf numFmtId="8" fontId="0" fillId="0" borderId="0" xfId="0" applyNumberFormat="1"/>
    <xf numFmtId="0" fontId="4" fillId="0" borderId="0" xfId="0" applyFont="1"/>
    <xf numFmtId="6" fontId="18" fillId="0" borderId="0" xfId="0" applyNumberFormat="1" applyFont="1"/>
    <xf numFmtId="9" fontId="18" fillId="0" borderId="0" xfId="1" applyFont="1"/>
    <xf numFmtId="0" fontId="18" fillId="0" borderId="0" xfId="0" applyFont="1"/>
    <xf numFmtId="8" fontId="0" fillId="0" borderId="0" xfId="4" applyNumberFormat="1" applyFont="1"/>
    <xf numFmtId="0" fontId="0" fillId="0" borderId="0" xfId="0" applyAlignment="1">
      <alignment horizontal="right"/>
    </xf>
    <xf numFmtId="44" fontId="0" fillId="0" borderId="0" xfId="4" applyFont="1"/>
    <xf numFmtId="44" fontId="0" fillId="0" borderId="0" xfId="0" applyNumberFormat="1"/>
    <xf numFmtId="0" fontId="0" fillId="4" borderId="13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169" fontId="0" fillId="0" borderId="0" xfId="0" applyNumberFormat="1"/>
    <xf numFmtId="0" fontId="0" fillId="6" borderId="0" xfId="0" applyFill="1"/>
    <xf numFmtId="10" fontId="18" fillId="0" borderId="0" xfId="1" applyNumberFormat="1" applyFont="1"/>
    <xf numFmtId="44" fontId="0" fillId="0" borderId="0" xfId="4" applyFont="1" applyFill="1"/>
    <xf numFmtId="9" fontId="0" fillId="0" borderId="0" xfId="1" applyFont="1"/>
    <xf numFmtId="165" fontId="0" fillId="0" borderId="0" xfId="1" applyNumberFormat="1" applyFont="1"/>
    <xf numFmtId="44" fontId="0" fillId="0" borderId="0" xfId="4" applyFont="1" applyFill="1" applyBorder="1"/>
    <xf numFmtId="43" fontId="18" fillId="0" borderId="0" xfId="5" applyFont="1"/>
    <xf numFmtId="6" fontId="0" fillId="0" borderId="0" xfId="1" applyNumberFormat="1" applyFont="1"/>
    <xf numFmtId="9" fontId="0" fillId="0" borderId="0" xfId="1" applyFont="1" applyFill="1" applyBorder="1"/>
    <xf numFmtId="6" fontId="0" fillId="0" borderId="0" xfId="1" applyNumberFormat="1" applyFont="1" applyFill="1" applyBorder="1"/>
    <xf numFmtId="6" fontId="0" fillId="4" borderId="13" xfId="4" applyNumberFormat="1" applyFont="1" applyFill="1" applyBorder="1"/>
    <xf numFmtId="0" fontId="0" fillId="4" borderId="16" xfId="0" applyFill="1" applyBorder="1"/>
    <xf numFmtId="0" fontId="0" fillId="4" borderId="1" xfId="0" applyFill="1" applyBorder="1"/>
    <xf numFmtId="6" fontId="18" fillId="7" borderId="0" xfId="0" applyNumberFormat="1" applyFont="1" applyFill="1"/>
    <xf numFmtId="9" fontId="18" fillId="7" borderId="0" xfId="1" applyFont="1" applyFill="1"/>
    <xf numFmtId="10" fontId="18" fillId="7" borderId="0" xfId="1" applyNumberFormat="1" applyFont="1" applyFill="1"/>
    <xf numFmtId="0" fontId="18" fillId="7" borderId="0" xfId="0" applyFont="1" applyFill="1"/>
    <xf numFmtId="9" fontId="18" fillId="7" borderId="0" xfId="0" applyNumberFormat="1" applyFont="1" applyFill="1"/>
    <xf numFmtId="166" fontId="0" fillId="4" borderId="13" xfId="4" applyNumberFormat="1" applyFont="1" applyFill="1" applyBorder="1"/>
    <xf numFmtId="166" fontId="0" fillId="4" borderId="16" xfId="4" applyNumberFormat="1" applyFont="1" applyFill="1" applyBorder="1"/>
    <xf numFmtId="166" fontId="0" fillId="4" borderId="1" xfId="4" applyNumberFormat="1" applyFont="1" applyFill="1" applyBorder="1"/>
    <xf numFmtId="166" fontId="18" fillId="7" borderId="0" xfId="4" applyNumberFormat="1" applyFont="1" applyFill="1"/>
    <xf numFmtId="6" fontId="0" fillId="0" borderId="0" xfId="4" applyNumberFormat="1" applyFont="1"/>
    <xf numFmtId="8" fontId="19" fillId="0" borderId="0" xfId="0" applyNumberFormat="1" applyFont="1"/>
    <xf numFmtId="0" fontId="0" fillId="0" borderId="0" xfId="0" quotePrefix="1"/>
    <xf numFmtId="0" fontId="4" fillId="6" borderId="0" xfId="0" applyFont="1" applyFill="1"/>
    <xf numFmtId="0" fontId="0" fillId="0" borderId="1" xfId="0" applyBorder="1"/>
    <xf numFmtId="166" fontId="0" fillId="0" borderId="1" xfId="4" applyNumberFormat="1" applyFont="1" applyBorder="1"/>
    <xf numFmtId="9" fontId="0" fillId="0" borderId="1" xfId="1" applyFont="1" applyBorder="1"/>
    <xf numFmtId="9" fontId="4" fillId="0" borderId="0" xfId="1" applyFont="1"/>
    <xf numFmtId="9" fontId="0" fillId="0" borderId="0" xfId="0" applyNumberFormat="1"/>
    <xf numFmtId="170" fontId="0" fillId="0" borderId="0" xfId="1" applyNumberFormat="1" applyFont="1"/>
    <xf numFmtId="0" fontId="0" fillId="0" borderId="16" xfId="0" applyBorder="1"/>
    <xf numFmtId="10" fontId="4" fillId="0" borderId="0" xfId="1" applyNumberFormat="1" applyFont="1" applyBorder="1"/>
    <xf numFmtId="10" fontId="4" fillId="0" borderId="16" xfId="1" applyNumberFormat="1" applyFont="1" applyBorder="1"/>
    <xf numFmtId="166" fontId="0" fillId="0" borderId="0" xfId="4" applyNumberFormat="1" applyFont="1" applyFill="1"/>
    <xf numFmtId="0" fontId="4" fillId="6" borderId="1" xfId="0" applyFont="1" applyFill="1" applyBorder="1"/>
    <xf numFmtId="9" fontId="4" fillId="0" borderId="0" xfId="1" applyFont="1" applyBorder="1"/>
    <xf numFmtId="0" fontId="4" fillId="6" borderId="1" xfId="0" applyFont="1" applyFill="1" applyBorder="1" applyAlignment="1">
      <alignment horizontal="right"/>
    </xf>
    <xf numFmtId="9" fontId="0" fillId="0" borderId="0" xfId="1" applyFont="1" applyBorder="1"/>
    <xf numFmtId="0" fontId="15" fillId="0" borderId="0" xfId="2" applyFont="1" applyAlignment="1">
      <alignment vertical="center"/>
    </xf>
    <xf numFmtId="164" fontId="15" fillId="0" borderId="0" xfId="2" applyNumberFormat="1" applyFont="1" applyAlignment="1">
      <alignment vertical="center"/>
    </xf>
    <xf numFmtId="0" fontId="15" fillId="0" borderId="0" xfId="2" applyFont="1"/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164" fontId="13" fillId="0" borderId="0" xfId="2" applyNumberFormat="1" applyFont="1" applyAlignment="1">
      <alignment horizontal="center" vertical="center"/>
    </xf>
    <xf numFmtId="0" fontId="21" fillId="0" borderId="2" xfId="2" applyFont="1" applyBorder="1" applyAlignment="1">
      <alignment vertical="center" wrapText="1"/>
    </xf>
    <xf numFmtId="44" fontId="0" fillId="0" borderId="2" xfId="3" applyFont="1" applyBorder="1" applyAlignment="1">
      <alignment vertical="center"/>
    </xf>
    <xf numFmtId="44" fontId="0" fillId="0" borderId="2" xfId="3" quotePrefix="1" applyFont="1" applyBorder="1" applyAlignment="1">
      <alignment vertical="center"/>
    </xf>
    <xf numFmtId="0" fontId="13" fillId="0" borderId="0" xfId="2" applyFont="1" applyAlignment="1">
      <alignment vertical="center"/>
    </xf>
    <xf numFmtId="44" fontId="13" fillId="0" borderId="0" xfId="3" applyFont="1" applyAlignment="1">
      <alignment horizontal="center" vertical="center"/>
    </xf>
    <xf numFmtId="0" fontId="15" fillId="0" borderId="2" xfId="2" applyFont="1" applyBorder="1" applyAlignment="1">
      <alignment vertical="center" wrapText="1"/>
    </xf>
    <xf numFmtId="0" fontId="21" fillId="0" borderId="0" xfId="2" applyFont="1" applyAlignment="1">
      <alignment vertical="center" wrapText="1"/>
    </xf>
    <xf numFmtId="44" fontId="0" fillId="0" borderId="0" xfId="3" quotePrefix="1" applyFont="1" applyBorder="1" applyAlignment="1">
      <alignment vertical="center"/>
    </xf>
    <xf numFmtId="44" fontId="13" fillId="0" borderId="16" xfId="3" applyFont="1" applyFill="1" applyBorder="1" applyAlignment="1">
      <alignment vertical="center"/>
    </xf>
    <xf numFmtId="0" fontId="15" fillId="0" borderId="0" xfId="2" applyFont="1" applyAlignment="1">
      <alignment vertical="center" wrapText="1"/>
    </xf>
    <xf numFmtId="44" fontId="0" fillId="0" borderId="0" xfId="3" applyFont="1" applyBorder="1" applyAlignment="1">
      <alignment vertical="center"/>
    </xf>
    <xf numFmtId="0" fontId="22" fillId="3" borderId="13" xfId="2" applyFont="1" applyFill="1" applyBorder="1" applyAlignment="1">
      <alignment vertical="center"/>
    </xf>
    <xf numFmtId="44" fontId="14" fillId="3" borderId="13" xfId="3" applyFont="1" applyFill="1" applyBorder="1" applyAlignment="1">
      <alignment vertical="center"/>
    </xf>
    <xf numFmtId="14" fontId="14" fillId="3" borderId="13" xfId="2" applyNumberFormat="1" applyFont="1" applyFill="1" applyBorder="1" applyAlignment="1">
      <alignment vertical="center"/>
    </xf>
    <xf numFmtId="0" fontId="13" fillId="6" borderId="0" xfId="2" applyFont="1" applyFill="1" applyAlignment="1">
      <alignment vertical="center"/>
    </xf>
    <xf numFmtId="44" fontId="13" fillId="6" borderId="12" xfId="3" applyFont="1" applyFill="1" applyBorder="1" applyAlignment="1">
      <alignment vertical="center"/>
    </xf>
    <xf numFmtId="0" fontId="13" fillId="6" borderId="2" xfId="2" applyFont="1" applyFill="1" applyBorder="1" applyAlignment="1">
      <alignment vertical="center" wrapText="1"/>
    </xf>
    <xf numFmtId="44" fontId="0" fillId="6" borderId="2" xfId="3" applyFont="1" applyFill="1" applyBorder="1" applyAlignment="1">
      <alignment vertical="center"/>
    </xf>
    <xf numFmtId="44" fontId="13" fillId="6" borderId="0" xfId="3" applyFont="1" applyFill="1" applyAlignment="1">
      <alignment horizontal="center" vertical="center"/>
    </xf>
    <xf numFmtId="44" fontId="0" fillId="0" borderId="0" xfId="3" applyFont="1" applyFill="1" applyBorder="1" applyAlignment="1">
      <alignment vertical="center"/>
    </xf>
    <xf numFmtId="0" fontId="9" fillId="6" borderId="2" xfId="2" applyFont="1" applyFill="1" applyBorder="1" applyAlignment="1">
      <alignment vertical="center" wrapText="1"/>
    </xf>
    <xf numFmtId="44" fontId="11" fillId="6" borderId="2" xfId="3" applyFont="1" applyFill="1" applyBorder="1" applyAlignment="1">
      <alignment vertical="center"/>
    </xf>
    <xf numFmtId="166" fontId="11" fillId="6" borderId="2" xfId="3" applyNumberFormat="1" applyFont="1" applyFill="1" applyBorder="1" applyAlignment="1">
      <alignment vertical="center"/>
    </xf>
    <xf numFmtId="0" fontId="9" fillId="3" borderId="16" xfId="2" applyFont="1" applyFill="1" applyBorder="1" applyAlignment="1">
      <alignment horizontal="right" vertical="center"/>
    </xf>
    <xf numFmtId="44" fontId="16" fillId="3" borderId="16" xfId="3" applyFont="1" applyFill="1" applyBorder="1" applyAlignment="1">
      <alignment vertical="center"/>
    </xf>
    <xf numFmtId="0" fontId="9" fillId="3" borderId="13" xfId="2" applyFont="1" applyFill="1" applyBorder="1" applyAlignment="1">
      <alignment horizontal="right" vertical="center"/>
    </xf>
    <xf numFmtId="44" fontId="16" fillId="3" borderId="13" xfId="3" applyFont="1" applyFill="1" applyBorder="1" applyAlignment="1">
      <alignment vertical="center"/>
    </xf>
    <xf numFmtId="166" fontId="16" fillId="3" borderId="13" xfId="3" applyNumberFormat="1" applyFont="1" applyFill="1" applyBorder="1" applyAlignment="1">
      <alignment vertical="center"/>
    </xf>
    <xf numFmtId="0" fontId="9" fillId="6" borderId="0" xfId="2" applyFont="1" applyFill="1" applyAlignment="1">
      <alignment vertical="center"/>
    </xf>
    <xf numFmtId="44" fontId="9" fillId="6" borderId="0" xfId="3" applyFont="1" applyFill="1" applyAlignment="1">
      <alignment horizontal="center" vertical="center"/>
    </xf>
    <xf numFmtId="44" fontId="9" fillId="6" borderId="12" xfId="3" applyFont="1" applyFill="1" applyBorder="1" applyAlignment="1">
      <alignment vertical="center"/>
    </xf>
    <xf numFmtId="165" fontId="11" fillId="0" borderId="2" xfId="1" applyNumberFormat="1" applyFont="1" applyBorder="1" applyAlignment="1">
      <alignment vertical="center"/>
    </xf>
    <xf numFmtId="0" fontId="10" fillId="0" borderId="17" xfId="2" applyFont="1" applyBorder="1" applyAlignment="1">
      <alignment horizontal="left" vertical="center" wrapText="1"/>
    </xf>
    <xf numFmtId="171" fontId="5" fillId="0" borderId="0" xfId="5" applyNumberFormat="1" applyFont="1"/>
    <xf numFmtId="166" fontId="5" fillId="0" borderId="0" xfId="4" applyNumberFormat="1" applyFont="1"/>
    <xf numFmtId="10" fontId="5" fillId="0" borderId="0" xfId="1" applyNumberFormat="1" applyFont="1"/>
    <xf numFmtId="0" fontId="4" fillId="6" borderId="0" xfId="0" applyFont="1" applyFill="1" applyAlignment="1">
      <alignment horizontal="right"/>
    </xf>
    <xf numFmtId="166" fontId="0" fillId="0" borderId="16" xfId="4" applyNumberFormat="1" applyFont="1" applyBorder="1"/>
    <xf numFmtId="166" fontId="4" fillId="0" borderId="16" xfId="4" applyNumberFormat="1" applyFont="1" applyBorder="1"/>
    <xf numFmtId="166" fontId="0" fillId="0" borderId="0" xfId="4" applyNumberFormat="1" applyFont="1" applyBorder="1"/>
    <xf numFmtId="0" fontId="0" fillId="0" borderId="13" xfId="0" applyBorder="1"/>
    <xf numFmtId="44" fontId="0" fillId="0" borderId="13" xfId="0" applyNumberFormat="1" applyBorder="1"/>
    <xf numFmtId="0" fontId="4" fillId="0" borderId="13" xfId="0" applyFont="1" applyBorder="1"/>
    <xf numFmtId="6" fontId="4" fillId="0" borderId="13" xfId="0" applyNumberFormat="1" applyFont="1" applyBorder="1"/>
    <xf numFmtId="0" fontId="4" fillId="0" borderId="1" xfId="0" applyFont="1" applyBorder="1" applyAlignment="1">
      <alignment horizontal="right"/>
    </xf>
    <xf numFmtId="38" fontId="11" fillId="6" borderId="2" xfId="3" applyNumberFormat="1" applyFont="1" applyFill="1" applyBorder="1" applyAlignment="1">
      <alignment vertical="center"/>
    </xf>
    <xf numFmtId="0" fontId="10" fillId="0" borderId="14" xfId="2" applyFont="1" applyBorder="1" applyAlignment="1">
      <alignment horizontal="left" vertical="center" wrapText="1" indent="2"/>
    </xf>
    <xf numFmtId="0" fontId="9" fillId="0" borderId="17" xfId="2" applyFont="1" applyBorder="1" applyAlignment="1">
      <alignment vertical="center" wrapText="1"/>
    </xf>
    <xf numFmtId="0" fontId="9" fillId="0" borderId="15" xfId="2" applyFont="1" applyBorder="1" applyAlignment="1">
      <alignment vertical="center" wrapText="1"/>
    </xf>
    <xf numFmtId="0" fontId="9" fillId="0" borderId="16" xfId="2" applyFont="1" applyBorder="1" applyAlignment="1">
      <alignment vertical="center" wrapText="1"/>
    </xf>
    <xf numFmtId="0" fontId="9" fillId="0" borderId="13" xfId="2" applyFont="1" applyBorder="1" applyAlignment="1">
      <alignment vertical="center" wrapText="1"/>
    </xf>
    <xf numFmtId="0" fontId="9" fillId="0" borderId="14" xfId="2" applyFont="1" applyBorder="1" applyAlignment="1">
      <alignment vertical="center" wrapText="1"/>
    </xf>
    <xf numFmtId="6" fontId="11" fillId="0" borderId="2" xfId="3" applyNumberFormat="1" applyFont="1" applyBorder="1" applyAlignment="1">
      <alignment vertical="center"/>
    </xf>
    <xf numFmtId="6" fontId="11" fillId="0" borderId="14" xfId="3" applyNumberFormat="1" applyFont="1" applyBorder="1" applyAlignment="1">
      <alignment vertical="center"/>
    </xf>
    <xf numFmtId="6" fontId="16" fillId="0" borderId="15" xfId="3" applyNumberFormat="1" applyFont="1" applyBorder="1" applyAlignment="1">
      <alignment vertical="center"/>
    </xf>
    <xf numFmtId="6" fontId="16" fillId="0" borderId="16" xfId="3" applyNumberFormat="1" applyFont="1" applyBorder="1" applyAlignment="1">
      <alignment vertical="center"/>
    </xf>
    <xf numFmtId="6" fontId="16" fillId="0" borderId="0" xfId="3" applyNumberFormat="1" applyFont="1" applyBorder="1" applyAlignment="1">
      <alignment vertical="center"/>
    </xf>
    <xf numFmtId="172" fontId="0" fillId="0" borderId="0" xfId="4" applyNumberFormat="1" applyFont="1"/>
    <xf numFmtId="166" fontId="4" fillId="0" borderId="16" xfId="1" applyNumberFormat="1" applyFont="1" applyBorder="1"/>
    <xf numFmtId="166" fontId="4" fillId="0" borderId="13" xfId="4" applyNumberFormat="1" applyFont="1" applyBorder="1"/>
    <xf numFmtId="166" fontId="4" fillId="0" borderId="0" xfId="4" applyNumberFormat="1" applyFont="1" applyBorder="1"/>
    <xf numFmtId="166" fontId="3" fillId="0" borderId="0" xfId="4" applyNumberFormat="1" applyFont="1" applyBorder="1"/>
    <xf numFmtId="6" fontId="0" fillId="0" borderId="0" xfId="4" applyNumberFormat="1" applyFont="1" applyBorder="1"/>
    <xf numFmtId="6" fontId="3" fillId="0" borderId="0" xfId="4" applyNumberFormat="1" applyFont="1" applyBorder="1"/>
    <xf numFmtId="6" fontId="4" fillId="0" borderId="16" xfId="4" applyNumberFormat="1" applyFont="1" applyBorder="1"/>
    <xf numFmtId="6" fontId="4" fillId="0" borderId="16" xfId="0" applyNumberFormat="1" applyFont="1" applyBorder="1"/>
    <xf numFmtId="166" fontId="4" fillId="0" borderId="0" xfId="1" applyNumberFormat="1" applyFont="1" applyBorder="1"/>
    <xf numFmtId="6" fontId="0" fillId="0" borderId="13" xfId="4" applyNumberFormat="1" applyFont="1" applyBorder="1"/>
    <xf numFmtId="9" fontId="3" fillId="0" borderId="0" xfId="4" applyNumberFormat="1" applyFont="1" applyBorder="1"/>
    <xf numFmtId="166" fontId="11" fillId="0" borderId="0" xfId="3" applyNumberFormat="1" applyFont="1" applyBorder="1" applyAlignment="1">
      <alignment vertical="center"/>
    </xf>
    <xf numFmtId="0" fontId="23" fillId="10" borderId="0" xfId="0" applyFont="1" applyFill="1"/>
    <xf numFmtId="0" fontId="24" fillId="0" borderId="0" xfId="0" applyFont="1"/>
    <xf numFmtId="9" fontId="24" fillId="0" borderId="0" xfId="0" applyNumberFormat="1" applyFont="1"/>
    <xf numFmtId="0" fontId="23" fillId="10" borderId="0" xfId="0" applyFont="1" applyFill="1" applyAlignment="1">
      <alignment horizontal="right"/>
    </xf>
    <xf numFmtId="0" fontId="0" fillId="0" borderId="21" xfId="0" applyBorder="1"/>
    <xf numFmtId="0" fontId="24" fillId="0" borderId="0" xfId="0" applyFont="1" applyAlignment="1">
      <alignment vertical="center"/>
    </xf>
    <xf numFmtId="9" fontId="24" fillId="0" borderId="0" xfId="0" applyNumberFormat="1" applyFont="1" applyAlignment="1">
      <alignment horizontal="right" vertical="center"/>
    </xf>
    <xf numFmtId="0" fontId="24" fillId="8" borderId="0" xfId="0" applyFont="1" applyFill="1" applyAlignment="1">
      <alignment vertical="center"/>
    </xf>
    <xf numFmtId="0" fontId="23" fillId="0" borderId="22" xfId="0" applyFont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4" fillId="8" borderId="0" xfId="0" applyFont="1" applyFill="1" applyAlignment="1">
      <alignment horizontal="right" vertical="center"/>
    </xf>
    <xf numFmtId="0" fontId="23" fillId="8" borderId="21" xfId="0" applyFont="1" applyFill="1" applyBorder="1" applyAlignment="1">
      <alignment horizontal="left" vertical="center"/>
    </xf>
    <xf numFmtId="9" fontId="24" fillId="0" borderId="20" xfId="0" applyNumberFormat="1" applyFont="1" applyBorder="1" applyAlignment="1">
      <alignment horizontal="center" vertical="center"/>
    </xf>
    <xf numFmtId="8" fontId="24" fillId="0" borderId="0" xfId="0" applyNumberFormat="1" applyFont="1" applyAlignment="1">
      <alignment horizontal="right" vertical="center"/>
    </xf>
    <xf numFmtId="0" fontId="23" fillId="8" borderId="21" xfId="0" applyFont="1" applyFill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8" fontId="23" fillId="11" borderId="22" xfId="0" applyNumberFormat="1" applyFont="1" applyFill="1" applyBorder="1" applyAlignment="1">
      <alignment horizontal="right" vertical="center"/>
    </xf>
    <xf numFmtId="0" fontId="24" fillId="11" borderId="22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right" vertical="center"/>
    </xf>
    <xf numFmtId="44" fontId="23" fillId="11" borderId="22" xfId="4" applyFont="1" applyFill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3" fillId="0" borderId="18" xfId="0" applyFont="1" applyBorder="1" applyAlignment="1">
      <alignment horizontal="center" vertical="center"/>
    </xf>
    <xf numFmtId="0" fontId="23" fillId="11" borderId="0" xfId="0" applyFont="1" applyFill="1" applyAlignment="1">
      <alignment horizontal="left" vertical="center"/>
    </xf>
    <xf numFmtId="8" fontId="23" fillId="11" borderId="0" xfId="0" applyNumberFormat="1" applyFont="1" applyFill="1" applyAlignment="1">
      <alignment horizontal="right" vertical="center"/>
    </xf>
    <xf numFmtId="44" fontId="24" fillId="0" borderId="0" xfId="4" applyFont="1" applyBorder="1" applyAlignment="1">
      <alignment horizontal="right" vertical="center"/>
    </xf>
    <xf numFmtId="166" fontId="24" fillId="0" borderId="0" xfId="4" applyNumberFormat="1" applyFont="1" applyBorder="1" applyAlignment="1">
      <alignment horizontal="right" vertical="center"/>
    </xf>
    <xf numFmtId="6" fontId="24" fillId="0" borderId="0" xfId="0" applyNumberFormat="1" applyFont="1" applyAlignment="1">
      <alignment horizontal="right" vertical="center"/>
    </xf>
    <xf numFmtId="44" fontId="11" fillId="0" borderId="2" xfId="4" applyFont="1" applyBorder="1" applyAlignment="1">
      <alignment vertical="center"/>
    </xf>
    <xf numFmtId="44" fontId="11" fillId="0" borderId="14" xfId="4" applyFont="1" applyBorder="1" applyAlignment="1">
      <alignment vertical="center"/>
    </xf>
    <xf numFmtId="44" fontId="11" fillId="0" borderId="15" xfId="4" applyFont="1" applyBorder="1" applyAlignment="1">
      <alignment vertical="center"/>
    </xf>
    <xf numFmtId="44" fontId="11" fillId="0" borderId="16" xfId="4" applyFont="1" applyBorder="1" applyAlignment="1">
      <alignment vertical="center"/>
    </xf>
    <xf numFmtId="44" fontId="16" fillId="0" borderId="15" xfId="4" applyFont="1" applyBorder="1" applyAlignment="1">
      <alignment vertical="center"/>
    </xf>
    <xf numFmtId="44" fontId="16" fillId="0" borderId="2" xfId="4" applyFont="1" applyBorder="1" applyAlignment="1">
      <alignment vertical="center"/>
    </xf>
    <xf numFmtId="44" fontId="11" fillId="6" borderId="2" xfId="4" applyFont="1" applyFill="1" applyBorder="1" applyAlignment="1">
      <alignment vertical="center"/>
    </xf>
    <xf numFmtId="44" fontId="16" fillId="0" borderId="16" xfId="4" applyFont="1" applyBorder="1" applyAlignment="1">
      <alignment vertical="center"/>
    </xf>
    <xf numFmtId="44" fontId="24" fillId="0" borderId="0" xfId="4" applyFont="1"/>
    <xf numFmtId="44" fontId="23" fillId="11" borderId="0" xfId="4" applyFont="1" applyFill="1" applyBorder="1" applyAlignment="1">
      <alignment horizontal="right" vertical="center"/>
    </xf>
    <xf numFmtId="10" fontId="0" fillId="0" borderId="0" xfId="0" applyNumberFormat="1"/>
    <xf numFmtId="0" fontId="23" fillId="0" borderId="20" xfId="0" applyFont="1" applyBorder="1" applyAlignment="1">
      <alignment horizontal="center" vertical="center"/>
    </xf>
    <xf numFmtId="10" fontId="24" fillId="0" borderId="0" xfId="0" applyNumberFormat="1" applyFont="1" applyAlignment="1">
      <alignment horizontal="right" vertical="center"/>
    </xf>
    <xf numFmtId="0" fontId="24" fillId="9" borderId="0" xfId="0" applyFont="1" applyFill="1" applyAlignment="1">
      <alignment vertical="center"/>
    </xf>
    <xf numFmtId="10" fontId="24" fillId="9" borderId="0" xfId="0" applyNumberFormat="1" applyFont="1" applyFill="1" applyAlignment="1">
      <alignment horizontal="right" vertical="center"/>
    </xf>
    <xf numFmtId="0" fontId="23" fillId="0" borderId="0" xfId="0" applyFont="1" applyAlignment="1">
      <alignment horizontal="left" vertical="center"/>
    </xf>
    <xf numFmtId="8" fontId="23" fillId="0" borderId="0" xfId="0" applyNumberFormat="1" applyFont="1" applyAlignment="1">
      <alignment horizontal="right" vertical="center"/>
    </xf>
    <xf numFmtId="44" fontId="23" fillId="0" borderId="0" xfId="4" applyFont="1" applyFill="1" applyBorder="1" applyAlignment="1">
      <alignment horizontal="right" vertical="center"/>
    </xf>
    <xf numFmtId="10" fontId="0" fillId="0" borderId="0" xfId="1" applyNumberFormat="1" applyFont="1"/>
    <xf numFmtId="1" fontId="0" fillId="0" borderId="0" xfId="0" applyNumberFormat="1"/>
    <xf numFmtId="166" fontId="18" fillId="0" borderId="0" xfId="0" applyNumberFormat="1" applyFont="1"/>
    <xf numFmtId="8" fontId="4" fillId="0" borderId="16" xfId="0" applyNumberFormat="1" applyFont="1" applyBorder="1"/>
    <xf numFmtId="165" fontId="0" fillId="0" borderId="0" xfId="0" applyNumberFormat="1"/>
    <xf numFmtId="166" fontId="3" fillId="0" borderId="0" xfId="4" applyNumberFormat="1" applyFont="1"/>
    <xf numFmtId="166" fontId="21" fillId="0" borderId="0" xfId="4" applyNumberFormat="1" applyFont="1"/>
    <xf numFmtId="166" fontId="21" fillId="0" borderId="0" xfId="0" applyNumberFormat="1" applyFont="1"/>
    <xf numFmtId="8" fontId="4" fillId="0" borderId="16" xfId="4" applyNumberFormat="1" applyFont="1" applyBorder="1"/>
    <xf numFmtId="14" fontId="24" fillId="0" borderId="0" xfId="0" applyNumberFormat="1" applyFont="1" applyAlignment="1">
      <alignment horizontal="right" vertical="center"/>
    </xf>
    <xf numFmtId="6" fontId="18" fillId="0" borderId="0" xfId="0" applyNumberFormat="1" applyFont="1" applyAlignment="1">
      <alignment horizontal="right" vertical="center"/>
    </xf>
    <xf numFmtId="0" fontId="24" fillId="11" borderId="0" xfId="0" applyFont="1" applyFill="1" applyAlignment="1">
      <alignment vertical="center"/>
    </xf>
    <xf numFmtId="0" fontId="24" fillId="8" borderId="0" xfId="0" applyFont="1" applyFill="1" applyAlignment="1">
      <alignment horizontal="center" vertical="center"/>
    </xf>
    <xf numFmtId="44" fontId="24" fillId="11" borderId="0" xfId="4" applyFont="1" applyFill="1" applyBorder="1" applyAlignment="1">
      <alignment vertical="center"/>
    </xf>
    <xf numFmtId="166" fontId="18" fillId="0" borderId="0" xfId="4" applyNumberFormat="1" applyFont="1" applyBorder="1" applyAlignment="1">
      <alignment horizontal="right" vertical="center"/>
    </xf>
    <xf numFmtId="166" fontId="24" fillId="11" borderId="0" xfId="4" applyNumberFormat="1" applyFont="1" applyFill="1" applyBorder="1" applyAlignment="1">
      <alignment horizontal="right" vertical="center"/>
    </xf>
    <xf numFmtId="44" fontId="24" fillId="11" borderId="0" xfId="4" applyFont="1" applyFill="1" applyBorder="1" applyAlignment="1">
      <alignment horizontal="right" vertical="center"/>
    </xf>
    <xf numFmtId="0" fontId="24" fillId="11" borderId="0" xfId="0" applyFont="1" applyFill="1" applyAlignment="1">
      <alignment horizontal="right" vertical="center"/>
    </xf>
    <xf numFmtId="0" fontId="23" fillId="11" borderId="0" xfId="0" applyFont="1" applyFill="1" applyAlignment="1">
      <alignment horizontal="right" vertical="center"/>
    </xf>
    <xf numFmtId="10" fontId="23" fillId="11" borderId="0" xfId="0" applyNumberFormat="1" applyFont="1" applyFill="1" applyAlignment="1">
      <alignment horizontal="right" vertical="center"/>
    </xf>
    <xf numFmtId="0" fontId="3" fillId="12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2" applyFont="1" applyAlignment="1">
      <alignment vertical="center" wrapText="1"/>
    </xf>
    <xf numFmtId="44" fontId="11" fillId="0" borderId="0" xfId="4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8" borderId="0" xfId="0" applyFont="1" applyFill="1" applyAlignment="1">
      <alignment horizontal="right" vertical="center" wrapText="1"/>
    </xf>
    <xf numFmtId="6" fontId="24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horizontal="right" vertical="center" wrapText="1"/>
    </xf>
    <xf numFmtId="6" fontId="3" fillId="0" borderId="0" xfId="0" applyNumberFormat="1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24" fillId="0" borderId="19" xfId="0" applyFont="1" applyBorder="1" applyAlignment="1">
      <alignment horizontal="center" vertical="center"/>
    </xf>
    <xf numFmtId="0" fontId="2" fillId="0" borderId="20" xfId="0" applyFont="1" applyBorder="1"/>
    <xf numFmtId="6" fontId="24" fillId="0" borderId="20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right" vertical="center"/>
    </xf>
    <xf numFmtId="6" fontId="23" fillId="0" borderId="22" xfId="0" applyNumberFormat="1" applyFont="1" applyBorder="1" applyAlignment="1">
      <alignment horizontal="right" vertical="center"/>
    </xf>
    <xf numFmtId="10" fontId="24" fillId="8" borderId="0" xfId="0" applyNumberFormat="1" applyFont="1" applyFill="1" applyAlignment="1">
      <alignment horizontal="right" vertical="center"/>
    </xf>
    <xf numFmtId="0" fontId="23" fillId="13" borderId="0" xfId="0" applyFont="1" applyFill="1" applyAlignment="1">
      <alignment horizontal="center" vertical="center"/>
    </xf>
    <xf numFmtId="8" fontId="0" fillId="13" borderId="0" xfId="0" applyNumberFormat="1" applyFill="1"/>
    <xf numFmtId="0" fontId="0" fillId="13" borderId="0" xfId="0" applyFill="1"/>
    <xf numFmtId="0" fontId="4" fillId="0" borderId="21" xfId="0" applyFont="1" applyBorder="1"/>
    <xf numFmtId="0" fontId="26" fillId="0" borderId="0" xfId="0" applyFont="1" applyAlignment="1">
      <alignment vertical="center"/>
    </xf>
    <xf numFmtId="0" fontId="1" fillId="0" borderId="0" xfId="0" applyFont="1"/>
    <xf numFmtId="44" fontId="23" fillId="11" borderId="0" xfId="4" applyFont="1" applyFill="1" applyBorder="1" applyAlignment="1">
      <alignment vertical="center"/>
    </xf>
    <xf numFmtId="0" fontId="23" fillId="11" borderId="0" xfId="0" applyFont="1" applyFill="1" applyAlignment="1">
      <alignment vertical="center"/>
    </xf>
    <xf numFmtId="6" fontId="23" fillId="11" borderId="0" xfId="4" applyNumberFormat="1" applyFont="1" applyFill="1" applyBorder="1" applyAlignment="1">
      <alignment horizontal="right" vertical="center"/>
    </xf>
    <xf numFmtId="0" fontId="23" fillId="8" borderId="0" xfId="0" applyFont="1" applyFill="1" applyAlignment="1">
      <alignment vertical="center"/>
    </xf>
    <xf numFmtId="0" fontId="23" fillId="8" borderId="0" xfId="0" applyFont="1" applyFill="1" applyAlignment="1">
      <alignment horizontal="right" vertical="center"/>
    </xf>
    <xf numFmtId="0" fontId="23" fillId="8" borderId="0" xfId="0" applyFont="1" applyFill="1" applyAlignment="1">
      <alignment horizontal="center" vertical="center"/>
    </xf>
    <xf numFmtId="8" fontId="23" fillId="11" borderId="0" xfId="0" applyNumberFormat="1" applyFont="1" applyFill="1" applyAlignment="1">
      <alignment horizontal="left" vertical="center"/>
    </xf>
    <xf numFmtId="44" fontId="18" fillId="0" borderId="0" xfId="4" applyFont="1" applyBorder="1" applyAlignment="1">
      <alignment horizontal="right" vertical="center"/>
    </xf>
    <xf numFmtId="6" fontId="24" fillId="0" borderId="18" xfId="0" applyNumberFormat="1" applyFont="1" applyBorder="1" applyAlignment="1">
      <alignment horizontal="center" vertical="center"/>
    </xf>
    <xf numFmtId="166" fontId="0" fillId="0" borderId="0" xfId="4" applyNumberFormat="1" applyFont="1" applyAlignment="1">
      <alignment horizontal="right"/>
    </xf>
    <xf numFmtId="10" fontId="0" fillId="0" borderId="0" xfId="1" applyNumberFormat="1" applyFont="1" applyAlignment="1">
      <alignment horizontal="right"/>
    </xf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left"/>
    </xf>
    <xf numFmtId="0" fontId="31" fillId="0" borderId="0" xfId="2" applyFont="1" applyAlignment="1">
      <alignment vertical="center"/>
    </xf>
    <xf numFmtId="164" fontId="31" fillId="0" borderId="0" xfId="2" applyNumberFormat="1" applyFont="1" applyAlignment="1">
      <alignment vertical="center"/>
    </xf>
    <xf numFmtId="0" fontId="31" fillId="0" borderId="0" xfId="2" applyFont="1"/>
    <xf numFmtId="164" fontId="30" fillId="0" borderId="0" xfId="2" applyNumberFormat="1" applyFont="1" applyAlignment="1">
      <alignment horizontal="center" vertical="center"/>
    </xf>
    <xf numFmtId="0" fontId="30" fillId="6" borderId="2" xfId="2" applyFont="1" applyFill="1" applyBorder="1" applyAlignment="1">
      <alignment vertical="center" wrapText="1"/>
    </xf>
    <xf numFmtId="44" fontId="28" fillId="6" borderId="2" xfId="3" applyFont="1" applyFill="1" applyBorder="1" applyAlignment="1">
      <alignment vertical="center"/>
    </xf>
    <xf numFmtId="0" fontId="31" fillId="0" borderId="2" xfId="2" applyFont="1" applyBorder="1" applyAlignment="1">
      <alignment vertical="center" wrapText="1"/>
    </xf>
    <xf numFmtId="44" fontId="28" fillId="0" borderId="2" xfId="3" applyFont="1" applyBorder="1" applyAlignment="1">
      <alignment vertical="center"/>
    </xf>
    <xf numFmtId="44" fontId="28" fillId="0" borderId="0" xfId="0" applyNumberFormat="1" applyFont="1"/>
    <xf numFmtId="0" fontId="28" fillId="0" borderId="13" xfId="0" applyFont="1" applyBorder="1"/>
    <xf numFmtId="44" fontId="28" fillId="0" borderId="13" xfId="0" applyNumberFormat="1" applyFont="1" applyBorder="1"/>
    <xf numFmtId="44" fontId="28" fillId="0" borderId="2" xfId="3" quotePrefix="1" applyFont="1" applyBorder="1" applyAlignment="1">
      <alignment vertical="center"/>
    </xf>
    <xf numFmtId="0" fontId="30" fillId="6" borderId="0" xfId="2" applyFont="1" applyFill="1" applyAlignment="1">
      <alignment vertical="center"/>
    </xf>
    <xf numFmtId="44" fontId="30" fillId="6" borderId="0" xfId="3" applyFont="1" applyFill="1" applyAlignment="1">
      <alignment horizontal="center" vertical="center"/>
    </xf>
    <xf numFmtId="44" fontId="30" fillId="6" borderId="12" xfId="3" applyFont="1" applyFill="1" applyBorder="1" applyAlignment="1">
      <alignment vertical="center"/>
    </xf>
    <xf numFmtId="0" fontId="31" fillId="0" borderId="0" xfId="2" applyFont="1" applyAlignment="1">
      <alignment vertical="center" wrapText="1"/>
    </xf>
    <xf numFmtId="44" fontId="28" fillId="0" borderId="0" xfId="3" quotePrefix="1" applyFont="1" applyBorder="1" applyAlignment="1">
      <alignment vertical="center"/>
    </xf>
    <xf numFmtId="0" fontId="30" fillId="0" borderId="0" xfId="2" applyFont="1" applyAlignment="1">
      <alignment vertical="center"/>
    </xf>
    <xf numFmtId="44" fontId="30" fillId="0" borderId="0" xfId="3" applyFont="1" applyAlignment="1">
      <alignment horizontal="center" vertical="center"/>
    </xf>
    <xf numFmtId="44" fontId="30" fillId="0" borderId="16" xfId="3" applyFont="1" applyFill="1" applyBorder="1" applyAlignment="1">
      <alignment vertical="center"/>
    </xf>
    <xf numFmtId="44" fontId="28" fillId="0" borderId="0" xfId="3" applyFont="1" applyBorder="1" applyAlignment="1">
      <alignment vertical="center"/>
    </xf>
    <xf numFmtId="0" fontId="32" fillId="3" borderId="13" xfId="2" applyFont="1" applyFill="1" applyBorder="1" applyAlignment="1">
      <alignment vertical="center"/>
    </xf>
    <xf numFmtId="44" fontId="30" fillId="3" borderId="13" xfId="3" applyFont="1" applyFill="1" applyBorder="1" applyAlignment="1">
      <alignment vertical="center"/>
    </xf>
    <xf numFmtId="14" fontId="30" fillId="3" borderId="13" xfId="2" applyNumberFormat="1" applyFont="1" applyFill="1" applyBorder="1" applyAlignment="1">
      <alignment vertical="center"/>
    </xf>
    <xf numFmtId="0" fontId="30" fillId="3" borderId="13" xfId="2" applyFont="1" applyFill="1" applyBorder="1" applyAlignment="1">
      <alignment horizontal="right" vertical="center" indent="2"/>
    </xf>
    <xf numFmtId="44" fontId="28" fillId="0" borderId="0" xfId="4" applyFont="1"/>
    <xf numFmtId="44" fontId="28" fillId="0" borderId="0" xfId="3" applyFont="1" applyFill="1" applyBorder="1" applyAlignment="1">
      <alignment vertical="center"/>
    </xf>
    <xf numFmtId="0" fontId="33" fillId="9" borderId="1" xfId="0" applyFont="1" applyFill="1" applyBorder="1"/>
    <xf numFmtId="0" fontId="30" fillId="0" borderId="0" xfId="2" applyFont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28" fillId="0" borderId="0" xfId="0" applyFont="1"/>
    <xf numFmtId="0" fontId="30" fillId="0" borderId="1" xfId="2" applyFont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0" fillId="0" borderId="17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14" fillId="0" borderId="1" xfId="2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0" fontId="17" fillId="0" borderId="0" xfId="2" applyFont="1" applyAlignment="1">
      <alignment horizontal="center"/>
    </xf>
    <xf numFmtId="0" fontId="5" fillId="0" borderId="0" xfId="2" applyAlignment="1">
      <alignment horizontal="center"/>
    </xf>
    <xf numFmtId="0" fontId="17" fillId="0" borderId="1" xfId="2" applyFont="1" applyBorder="1" applyAlignment="1">
      <alignment horizontal="center"/>
    </xf>
    <xf numFmtId="0" fontId="5" fillId="0" borderId="1" xfId="2" applyBorder="1" applyAlignment="1">
      <alignment horizontal="center"/>
    </xf>
    <xf numFmtId="0" fontId="0" fillId="3" borderId="0" xfId="0" applyFill="1" applyAlignment="1">
      <alignment horizont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0" fillId="0" borderId="0" xfId="0"/>
    <xf numFmtId="0" fontId="9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</cellXfs>
  <cellStyles count="6">
    <cellStyle name="Comma" xfId="5" builtinId="3"/>
    <cellStyle name="Currency" xfId="4" builtinId="4"/>
    <cellStyle name="Currency 2" xfId="3" xr:uid="{71DD78AC-F20F-400D-AA88-220F5E62AE12}"/>
    <cellStyle name="Normal" xfId="0" builtinId="0"/>
    <cellStyle name="Normal 2" xfId="2" xr:uid="{E59DE1B0-B272-4701-87ED-313FB3F7A2FD}"/>
    <cellStyle name="Percent" xfId="1" builtinId="5"/>
  </cellStyles>
  <dxfs count="13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</a:t>
            </a:r>
            <a:r>
              <a:rPr lang="en-US" baseline="0"/>
              <a:t> vs. Compounding Investments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'Chapter 6'!$C$28</c:f>
              <c:strCache>
                <c:ptCount val="1"/>
                <c:pt idx="0">
                  <c:v>Compounding Interest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'Chapter 6'!$B$29:$B$59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'Chapter 6'!$C$29:$C$59</c:f>
              <c:numCache>
                <c:formatCode>_("$"* #,##0.00_);_("$"* \(#,##0.00\);_("$"* "-"??_);_(@_)</c:formatCode>
                <c:ptCount val="31"/>
                <c:pt idx="0">
                  <c:v>10000</c:v>
                </c:pt>
                <c:pt idx="1">
                  <c:v>10800</c:v>
                </c:pt>
                <c:pt idx="2">
                  <c:v>11664</c:v>
                </c:pt>
                <c:pt idx="3">
                  <c:v>12597.12</c:v>
                </c:pt>
                <c:pt idx="4">
                  <c:v>13604.889600000002</c:v>
                </c:pt>
                <c:pt idx="5">
                  <c:v>14693.280768000004</c:v>
                </c:pt>
                <c:pt idx="6">
                  <c:v>15868.743229440006</c:v>
                </c:pt>
                <c:pt idx="7">
                  <c:v>17138.242687795209</c:v>
                </c:pt>
                <c:pt idx="8">
                  <c:v>18509.302102818827</c:v>
                </c:pt>
                <c:pt idx="9">
                  <c:v>19990.046271044335</c:v>
                </c:pt>
                <c:pt idx="10">
                  <c:v>21589.249972727885</c:v>
                </c:pt>
                <c:pt idx="11">
                  <c:v>23316.389970546115</c:v>
                </c:pt>
                <c:pt idx="12">
                  <c:v>25181.701168189808</c:v>
                </c:pt>
                <c:pt idx="13">
                  <c:v>27196.237261644994</c:v>
                </c:pt>
                <c:pt idx="14">
                  <c:v>29371.936242576594</c:v>
                </c:pt>
                <c:pt idx="15">
                  <c:v>31721.691141982723</c:v>
                </c:pt>
                <c:pt idx="16">
                  <c:v>34259.426433341345</c:v>
                </c:pt>
                <c:pt idx="17">
                  <c:v>37000.180548008655</c:v>
                </c:pt>
                <c:pt idx="18">
                  <c:v>39960.194991849348</c:v>
                </c:pt>
                <c:pt idx="19">
                  <c:v>43157.010591197301</c:v>
                </c:pt>
                <c:pt idx="20">
                  <c:v>46609.571438493091</c:v>
                </c:pt>
                <c:pt idx="21">
                  <c:v>50338.337153572538</c:v>
                </c:pt>
                <c:pt idx="22">
                  <c:v>54365.404125858346</c:v>
                </c:pt>
                <c:pt idx="23">
                  <c:v>58714.636455927015</c:v>
                </c:pt>
                <c:pt idx="24">
                  <c:v>63411.807372401177</c:v>
                </c:pt>
                <c:pt idx="25">
                  <c:v>68484.751962193273</c:v>
                </c:pt>
                <c:pt idx="26">
                  <c:v>73963.53211916874</c:v>
                </c:pt>
                <c:pt idx="27">
                  <c:v>79880.614688702248</c:v>
                </c:pt>
                <c:pt idx="28">
                  <c:v>86271.063863798438</c:v>
                </c:pt>
                <c:pt idx="29">
                  <c:v>93172.748972902322</c:v>
                </c:pt>
                <c:pt idx="30">
                  <c:v>100626.56889073452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A-AB44-B4D1-5D9F2C7F76E5}"/>
            </c:ext>
          </c:extLst>
        </c:ser>
        <c:ser>
          <c:idx val="1"/>
          <c:order val="1"/>
          <c:tx>
            <c:strRef>
              <c:f>'Chapter 6'!$D$28</c:f>
              <c:strCache>
                <c:ptCount val="1"/>
                <c:pt idx="0">
                  <c:v>Simple Interest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'Chapter 6'!$B$29:$B$59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'Chapter 6'!$D$29:$D$59</c:f>
              <c:numCache>
                <c:formatCode>_("$"* #,##0.00_);_("$"* \(#,##0.00\);_("$"* "-"??_);_(@_)</c:formatCode>
                <c:ptCount val="31"/>
                <c:pt idx="0">
                  <c:v>10000</c:v>
                </c:pt>
                <c:pt idx="1">
                  <c:v>10800</c:v>
                </c:pt>
                <c:pt idx="2">
                  <c:v>11600</c:v>
                </c:pt>
                <c:pt idx="3">
                  <c:v>12400</c:v>
                </c:pt>
                <c:pt idx="4">
                  <c:v>13200</c:v>
                </c:pt>
                <c:pt idx="5">
                  <c:v>14000</c:v>
                </c:pt>
                <c:pt idx="6">
                  <c:v>14800</c:v>
                </c:pt>
                <c:pt idx="7">
                  <c:v>15600</c:v>
                </c:pt>
                <c:pt idx="8">
                  <c:v>16400</c:v>
                </c:pt>
                <c:pt idx="9">
                  <c:v>17200</c:v>
                </c:pt>
                <c:pt idx="10">
                  <c:v>18000</c:v>
                </c:pt>
                <c:pt idx="11">
                  <c:v>18800</c:v>
                </c:pt>
                <c:pt idx="12">
                  <c:v>19600</c:v>
                </c:pt>
                <c:pt idx="13">
                  <c:v>20400</c:v>
                </c:pt>
                <c:pt idx="14">
                  <c:v>21200</c:v>
                </c:pt>
                <c:pt idx="15">
                  <c:v>22000</c:v>
                </c:pt>
                <c:pt idx="16">
                  <c:v>22800</c:v>
                </c:pt>
                <c:pt idx="17">
                  <c:v>23600</c:v>
                </c:pt>
                <c:pt idx="18">
                  <c:v>24400</c:v>
                </c:pt>
                <c:pt idx="19">
                  <c:v>25200</c:v>
                </c:pt>
                <c:pt idx="20">
                  <c:v>26000</c:v>
                </c:pt>
                <c:pt idx="21">
                  <c:v>26800</c:v>
                </c:pt>
                <c:pt idx="22">
                  <c:v>27600</c:v>
                </c:pt>
                <c:pt idx="23">
                  <c:v>28400</c:v>
                </c:pt>
                <c:pt idx="24">
                  <c:v>29200</c:v>
                </c:pt>
                <c:pt idx="25">
                  <c:v>30000</c:v>
                </c:pt>
                <c:pt idx="26">
                  <c:v>30800</c:v>
                </c:pt>
                <c:pt idx="27">
                  <c:v>31600</c:v>
                </c:pt>
                <c:pt idx="28">
                  <c:v>32400</c:v>
                </c:pt>
                <c:pt idx="29">
                  <c:v>33200</c:v>
                </c:pt>
                <c:pt idx="30">
                  <c:v>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A-AB44-B4D1-5D9F2C7F7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825872"/>
        <c:axId val="1872836976"/>
      </c:lineChart>
      <c:catAx>
        <c:axId val="140882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36976"/>
        <c:crosses val="autoZero"/>
        <c:auto val="1"/>
        <c:lblAlgn val="ctr"/>
        <c:lblOffset val="100"/>
        <c:noMultiLvlLbl val="0"/>
      </c:catAx>
      <c:valAx>
        <c:axId val="18728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8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</a:t>
            </a:r>
            <a:r>
              <a:rPr lang="en-US" baseline="0"/>
              <a:t> vs. Compounding Investments (% Difference)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Compounding vs Simple Interest (% Difference)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'Chapter 6'!$B$29:$B$59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'Chapter 6'!$F$29:$F$59</c:f>
              <c:numCache>
                <c:formatCode>0%</c:formatCode>
                <c:ptCount val="31"/>
                <c:pt idx="1">
                  <c:v>0</c:v>
                </c:pt>
                <c:pt idx="2">
                  <c:v>5.5172413793103114E-3</c:v>
                </c:pt>
                <c:pt idx="3">
                  <c:v>1.5896774193548513E-2</c:v>
                </c:pt>
                <c:pt idx="4">
                  <c:v>3.0673454545454781E-2</c:v>
                </c:pt>
                <c:pt idx="5">
                  <c:v>4.9520054857143059E-2</c:v>
                </c:pt>
                <c:pt idx="6">
                  <c:v>7.2212380367568052E-2</c:v>
                </c:pt>
                <c:pt idx="7">
                  <c:v>9.8605300499692961E-2</c:v>
                </c:pt>
                <c:pt idx="8">
                  <c:v>0.12861598187919676</c:v>
                </c:pt>
                <c:pt idx="9">
                  <c:v>0.16221199250257756</c:v>
                </c:pt>
                <c:pt idx="10">
                  <c:v>0.19940277626266023</c:v>
                </c:pt>
                <c:pt idx="11">
                  <c:v>0.2402335090716019</c:v>
                </c:pt>
                <c:pt idx="12">
                  <c:v>0.28478067184641875</c:v>
                </c:pt>
                <c:pt idx="13">
                  <c:v>0.33314888537475462</c:v>
                </c:pt>
                <c:pt idx="14">
                  <c:v>0.38546869068757528</c:v>
                </c:pt>
                <c:pt idx="15">
                  <c:v>0.44189505190830558</c:v>
                </c:pt>
                <c:pt idx="16">
                  <c:v>0.50260642251497134</c:v>
                </c:pt>
                <c:pt idx="17">
                  <c:v>0.56780426050884136</c:v>
                </c:pt>
                <c:pt idx="18">
                  <c:v>0.63771290950202242</c:v>
                </c:pt>
                <c:pt idx="19">
                  <c:v>0.71257978536497224</c:v>
                </c:pt>
                <c:pt idx="20">
                  <c:v>0.79267582455742658</c:v>
                </c:pt>
                <c:pt idx="21">
                  <c:v>0.87829616244673647</c:v>
                </c:pt>
                <c:pt idx="22">
                  <c:v>0.96976101905283851</c:v>
                </c:pt>
                <c:pt idx="23">
                  <c:v>1.0674167766171485</c:v>
                </c:pt>
                <c:pt idx="24">
                  <c:v>1.1716372387808622</c:v>
                </c:pt>
                <c:pt idx="25">
                  <c:v>1.2828250654064424</c:v>
                </c:pt>
                <c:pt idx="26">
                  <c:v>1.4014133804924915</c:v>
                </c:pt>
                <c:pt idx="27">
                  <c:v>1.5278675534399446</c:v>
                </c:pt>
                <c:pt idx="28">
                  <c:v>1.6626871562900751</c:v>
                </c:pt>
                <c:pt idx="29">
                  <c:v>1.8064081015934432</c:v>
                </c:pt>
                <c:pt idx="30">
                  <c:v>1.9596049673745446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5D-F64D-9682-61B843221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825872"/>
        <c:axId val="1872836976"/>
      </c:lineChart>
      <c:catAx>
        <c:axId val="140882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36976"/>
        <c:crosses val="autoZero"/>
        <c:auto val="1"/>
        <c:lblAlgn val="ctr"/>
        <c:lblOffset val="100"/>
        <c:noMultiLvlLbl val="0"/>
      </c:catAx>
      <c:valAx>
        <c:axId val="18728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Increase</a:t>
                </a:r>
                <a:r>
                  <a:rPr lang="en-US" baseline="0"/>
                  <a:t> in Returns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8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20% Gain Followed</a:t>
            </a:r>
            <a:r>
              <a:rPr lang="en-US" baseline="0"/>
              <a:t> by 20% 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'Chapter 20'!$C$22</c:f>
              <c:strCache>
                <c:ptCount val="1"/>
                <c:pt idx="0">
                  <c:v>Portfolio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'Chapter 20'!$B$23:$B$25</c:f>
              <c:strCache>
                <c:ptCount val="3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</c:strCache>
            </c:strRef>
          </c:cat>
          <c:val>
            <c:numRef>
              <c:f>'Chapter 20'!$C$23:$C$25</c:f>
              <c:numCache>
                <c:formatCode>_("$"* #,##0_);_("$"* \(#,##0\);_("$"* "-"??_);_(@_)</c:formatCode>
                <c:ptCount val="3"/>
                <c:pt idx="0">
                  <c:v>10000</c:v>
                </c:pt>
                <c:pt idx="1">
                  <c:v>12000</c:v>
                </c:pt>
                <c:pt idx="2">
                  <c:v>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5-5A4D-A8F5-9525DD64E222}"/>
            </c:ext>
          </c:extLst>
        </c:ser>
        <c:ser>
          <c:idx val="1"/>
          <c:order val="1"/>
          <c:tx>
            <c:strRef>
              <c:f>'Chapter 20'!$D$22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'Chapter 20'!$B$23:$B$25</c:f>
              <c:strCache>
                <c:ptCount val="3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</c:strCache>
            </c:strRef>
          </c:cat>
          <c:val>
            <c:numRef>
              <c:f>'Chapter 20'!$D$23:$D$25</c:f>
              <c:numCache>
                <c:formatCode>0%</c:formatCode>
                <c:ptCount val="3"/>
                <c:pt idx="1">
                  <c:v>0.2</c:v>
                </c:pt>
                <c:pt idx="2">
                  <c:v>-0.2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25-5A4D-A8F5-9525DD64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520639"/>
        <c:axId val="1811522799"/>
      </c:lineChart>
      <c:catAx>
        <c:axId val="181152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22799"/>
        <c:crosses val="autoZero"/>
        <c:auto val="1"/>
        <c:lblAlgn val="ctr"/>
        <c:lblOffset val="100"/>
        <c:noMultiLvlLbl val="0"/>
      </c:catAx>
      <c:valAx>
        <c:axId val="1811522799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20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'Chapter 25'!$F$4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6-514D-B2BA-9A99AB70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25'!$F$9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3-D447-ABAD-0F0E93617C26}"/>
            </c:ext>
          </c:extLst>
        </c:ser>
        <c:ser>
          <c:idx val="0"/>
          <c:order val="1"/>
          <c:tx>
            <c:strRef>
              <c:f>'Chapter 25'!$F$8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3-D447-ABAD-0F0E93617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'Chapter 25'!$F$16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'Chapter 25'!$I$16</c:f>
              <c:numCache>
                <c:formatCode>"$"#,##0_);[Red]\("$"#,##0\)</c:formatCode>
                <c:ptCount val="1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B-2B43-930D-F93A0EBD9FF4}"/>
            </c:ext>
          </c:extLst>
        </c:ser>
        <c:ser>
          <c:idx val="1"/>
          <c:order val="1"/>
          <c:tx>
            <c:strRef>
              <c:f>'Chapter 25'!$F$15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25'!$I$15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B-2B43-930D-F93A0EBD9FF4}"/>
            </c:ext>
          </c:extLst>
        </c:ser>
        <c:ser>
          <c:idx val="0"/>
          <c:order val="2"/>
          <c:tx>
            <c:strRef>
              <c:f>'Chapter 25'!$F$14</c:f>
              <c:strCache>
                <c:ptCount val="1"/>
                <c:pt idx="0">
                  <c:v>Preferred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'Chapter 25'!$I$14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B-2B43-930D-F93A0EBD9FF4}"/>
            </c:ext>
          </c:extLst>
        </c:ser>
        <c:ser>
          <c:idx val="2"/>
          <c:order val="3"/>
          <c:tx>
            <c:strRef>
              <c:f>'Chapter 25'!$F$13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25'!$I$13</c:f>
              <c:numCache>
                <c:formatCode>"$"#,##0_);[Red]\("$"#,##0\)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B-2B43-930D-F93A0EBD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25'!$F$9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F-504E-9A97-B834D94C2BCD}"/>
            </c:ext>
          </c:extLst>
        </c:ser>
        <c:ser>
          <c:idx val="0"/>
          <c:order val="1"/>
          <c:tx>
            <c:strRef>
              <c:f>'Chapter 25'!$F$8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F-504E-9A97-B834D94C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'Chapter 26'!$C$4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26'!$F$4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1-DA40-8CDD-17EFF701E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'Chapter 26'!$C$10</c:f>
              <c:strCache>
                <c:ptCount val="1"/>
                <c:pt idx="0">
                  <c:v>Equity (Melissa)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'Chapter 26'!$F$10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E-5742-8628-59D96ADF927D}"/>
            </c:ext>
          </c:extLst>
        </c:ser>
        <c:ser>
          <c:idx val="2"/>
          <c:order val="1"/>
          <c:tx>
            <c:strRef>
              <c:f>'Chapter 26'!$C$9</c:f>
              <c:strCache>
                <c:ptCount val="1"/>
                <c:pt idx="0">
                  <c:v>Equity(Brian)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26'!$F$9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E-5742-8628-59D96ADF9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28'!$D$9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28'!$G$9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3-7D4B-9993-5DB2BDCC3EA8}"/>
            </c:ext>
          </c:extLst>
        </c:ser>
        <c:ser>
          <c:idx val="0"/>
          <c:order val="1"/>
          <c:tx>
            <c:strRef>
              <c:f>'Chapter 28'!$D$8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28'!$G$8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3-7D4B-9993-5DB2BDCC3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'Chapter 28'!$D$15</c:f>
              <c:strCache>
                <c:ptCount val="1"/>
                <c:pt idx="0">
                  <c:v>Debt (Mortgage Company)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28'!$G$15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D-D245-B25B-8C954F8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'Chapter 28'!$D$38</c:f>
              <c:strCache>
                <c:ptCount val="1"/>
                <c:pt idx="0">
                  <c:v>Debt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28'!$G$38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EF45-818A-246FEC60FB1D}"/>
            </c:ext>
          </c:extLst>
        </c:ser>
        <c:ser>
          <c:idx val="1"/>
          <c:order val="1"/>
          <c:tx>
            <c:strRef>
              <c:f>'Chapter 28'!$D$37</c:f>
              <c:strCache>
                <c:ptCount val="1"/>
                <c:pt idx="0">
                  <c:v>Debt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'Chapter 28'!$G$37</c:f>
              <c:numCache>
                <c:formatCode>General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EF45-818A-246FEC60FB1D}"/>
            </c:ext>
          </c:extLst>
        </c:ser>
        <c:ser>
          <c:idx val="0"/>
          <c:order val="2"/>
          <c:tx>
            <c:strRef>
              <c:f>'Chapter 28'!$D$36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28'!$G$36</c:f>
              <c:numCache>
                <c:formatCode>"$"#,##0_);[Red]\("$"#,##0\)</c:formatCode>
                <c:ptCount val="1"/>
                <c:pt idx="0">
                  <c:v>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5-EF45-818A-246FEC60F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Other'!$E$4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5-D740-B576-BB57EC00F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'Finance Other'!$E$9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E-C549-B65B-1179F94E50A6}"/>
            </c:ext>
          </c:extLst>
        </c:ser>
        <c:ser>
          <c:idx val="0"/>
          <c:order val="1"/>
          <c:tx>
            <c:strRef>
              <c:f>'Finance Other'!$E$8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E-C549-B65B-1179F94E5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'Finance Other'!$E$16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'Finance Other'!$H$16</c:f>
              <c:numCache>
                <c:formatCode>"$"#,##0_);[Red]\("$"#,##0\)</c:formatCode>
                <c:ptCount val="1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C0-DE46-8324-C2D58AF3337C}"/>
            </c:ext>
          </c:extLst>
        </c:ser>
        <c:ser>
          <c:idx val="1"/>
          <c:order val="1"/>
          <c:tx>
            <c:strRef>
              <c:f>'Finance Other'!$E$15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Other'!$H$15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0-DE46-8324-C2D58AF3337C}"/>
            </c:ext>
          </c:extLst>
        </c:ser>
        <c:ser>
          <c:idx val="0"/>
          <c:order val="2"/>
          <c:tx>
            <c:strRef>
              <c:f>'Finance Other'!$E$14</c:f>
              <c:strCache>
                <c:ptCount val="1"/>
                <c:pt idx="0">
                  <c:v>Preferred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'Finance Other'!$H$14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0-DE46-8324-C2D58AF3337C}"/>
            </c:ext>
          </c:extLst>
        </c:ser>
        <c:ser>
          <c:idx val="2"/>
          <c:order val="3"/>
          <c:tx>
            <c:strRef>
              <c:f>'Finance Other'!$E$13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Other'!$H$13</c:f>
              <c:numCache>
                <c:formatCode>"$"#,##0_);[Red]\("$"#,##0\)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0-DE46-8324-C2D58AF33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'Finance Other'!$E$21</c:f>
              <c:strCache>
                <c:ptCount val="1"/>
                <c:pt idx="0">
                  <c:v>Preferred Equity (Melissa)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'Finance Other'!$H$21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A-3F4F-B483-C645C0E89DAA}"/>
            </c:ext>
          </c:extLst>
        </c:ser>
        <c:ser>
          <c:idx val="2"/>
          <c:order val="1"/>
          <c:tx>
            <c:strRef>
              <c:f>'Finance Other'!$E$20</c:f>
              <c:strCache>
                <c:ptCount val="1"/>
                <c:pt idx="0">
                  <c:v>Common Equity (Brian)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Other'!$H$20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A-3F4F-B483-C645C0E8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Other'!$E$27</c:f>
              <c:strCache>
                <c:ptCount val="1"/>
                <c:pt idx="0">
                  <c:v>Senior Debt (Mortgage Company)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Other'!$H$27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0-1A47-AC84-A7F297800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Other'!$E$4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B-184F-A0C3-A7949EEAD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Other'!$E$33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Other'!$H$33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8-064A-8F88-13EBD98AA623}"/>
            </c:ext>
          </c:extLst>
        </c:ser>
        <c:ser>
          <c:idx val="1"/>
          <c:order val="1"/>
          <c:tx>
            <c:strRef>
              <c:f>'Finance Other'!$E$32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Other'!$H$32</c:f>
              <c:numCache>
                <c:formatCode>"$"#,##0_);[Red]\("$"#,##0\)</c:formatCode>
                <c:ptCount val="1"/>
                <c:pt idx="0">
                  <c:v>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8-064A-8F88-13EBD98AA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'Finance Other'!$E$50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Other'!$H$50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8-464C-B0CE-3430DD203676}"/>
            </c:ext>
          </c:extLst>
        </c:ser>
        <c:ser>
          <c:idx val="1"/>
          <c:order val="1"/>
          <c:tx>
            <c:strRef>
              <c:f>'Finance Other'!$E$49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'Finance Other'!$H$49</c:f>
              <c:numCache>
                <c:formatCode>General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8-464C-B0CE-3430DD203676}"/>
            </c:ext>
          </c:extLst>
        </c:ser>
        <c:ser>
          <c:idx val="0"/>
          <c:order val="2"/>
          <c:tx>
            <c:strRef>
              <c:f>'Finance Other'!$E$48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Other'!$H$48</c:f>
              <c:numCache>
                <c:formatCode>"$"#,##0_);[Red]\("$"#,##0\)</c:formatCode>
                <c:ptCount val="1"/>
                <c:pt idx="0">
                  <c:v>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8-464C-B0CE-3430DD203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'Financing Intro'!$E$4</c:f>
              <c:strCache>
                <c:ptCount val="1"/>
                <c:pt idx="0">
                  <c:v>Primary Owner (Sponsor)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B-BB45-9544-239BDA7EC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'Financing Intro'!$E$9</c:f>
              <c:strCache>
                <c:ptCount val="1"/>
                <c:pt idx="0">
                  <c:v>Mortgage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'Financing Intro'!$H$9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98-3242-A416-86612234E2C6}"/>
            </c:ext>
          </c:extLst>
        </c:ser>
        <c:ser>
          <c:idx val="0"/>
          <c:order val="1"/>
          <c:tx>
            <c:strRef>
              <c:f>'Financing Intro'!$E$8</c:f>
              <c:strCache>
                <c:ptCount val="1"/>
                <c:pt idx="0">
                  <c:v>Primary Owner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8-3242-A416-86612234E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'Financing Intro'!$E$15</c:f>
              <c:strCache>
                <c:ptCount val="1"/>
                <c:pt idx="0">
                  <c:v>Mortgage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'Financing Intro'!$H$15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DE-4C47-A013-BFA9B4430A54}"/>
            </c:ext>
          </c:extLst>
        </c:ser>
        <c:ser>
          <c:idx val="0"/>
          <c:order val="1"/>
          <c:tx>
            <c:strRef>
              <c:f>'Financing Intro'!$E$14</c:f>
              <c:strCache>
                <c:ptCount val="1"/>
                <c:pt idx="0">
                  <c:v>Investor Partner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'Financing Intro'!$H$14</c:f>
              <c:numCache>
                <c:formatCode>"$"#,##0_);[Red]\("$"#,##0\)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DE-4C47-A013-BFA9B4430A54}"/>
            </c:ext>
          </c:extLst>
        </c:ser>
        <c:ser>
          <c:idx val="1"/>
          <c:order val="2"/>
          <c:tx>
            <c:strRef>
              <c:f>'Financing Intro'!$E$13</c:f>
              <c:strCache>
                <c:ptCount val="1"/>
                <c:pt idx="0">
                  <c:v>Primary Owner (Sponsor)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Intro'!$H$13</c:f>
              <c:numCache>
                <c:formatCode>"$"#,##0_);[Red]\("$"#,##0\)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E-4C47-A013-BFA9B4430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'Chapter 30 - Balloon'!$G$1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'Chapter 30 - Balloon'!$E$2:$E$361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Balloon'!$G$2:$G$362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E-5F4D-BA8A-C5BED6AFA499}"/>
            </c:ext>
          </c:extLst>
        </c:ser>
        <c:ser>
          <c:idx val="2"/>
          <c:order val="1"/>
          <c:tx>
            <c:strRef>
              <c:f>'Chapter 30 - Balloon'!$H$1</c:f>
              <c:strCache>
                <c:ptCount val="1"/>
                <c:pt idx="0">
                  <c:v>Prinicpal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'Chapter 30 - Balloon'!$E$2:$E$361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Balloon'!$H$2:$H$362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E-5F4D-BA8A-C5BED6AF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lineChart>
        <c:grouping val="standard"/>
        <c:varyColors val="0"/>
        <c:ser>
          <c:idx val="0"/>
          <c:order val="0"/>
          <c:tx>
            <c:strRef>
              <c:f>'Chapter 30 - Balloon'!$S$13</c:f>
              <c:strCache>
                <c:ptCount val="1"/>
                <c:pt idx="0">
                  <c:v>Total Interest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Balloon'!$S$14:$S$23</c:f>
              <c:numCache>
                <c:formatCode>"$"#,##0.00_);[Red]\("$"#,##0.00\)</c:formatCode>
                <c:ptCount val="10"/>
                <c:pt idx="0">
                  <c:v>15892.781217850204</c:v>
                </c:pt>
                <c:pt idx="1">
                  <c:v>31544.018464026263</c:v>
                </c:pt>
                <c:pt idx="2">
                  <c:v>46941.353890515442</c:v>
                </c:pt>
                <c:pt idx="3">
                  <c:v>62071.797398346913</c:v>
                </c:pt>
                <c:pt idx="4">
                  <c:v>76921.694290432861</c:v>
                </c:pt>
                <c:pt idx="5">
                  <c:v>91476.691269467483</c:v>
                </c:pt>
                <c:pt idx="6">
                  <c:v>105721.70069621384</c:v>
                </c:pt>
                <c:pt idx="7">
                  <c:v>119640.8630191772</c:v>
                </c:pt>
                <c:pt idx="8">
                  <c:v>133217.50728210874</c:v>
                </c:pt>
                <c:pt idx="9">
                  <c:v>133217.50728210874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85-9041-9C53-420578716A33}"/>
            </c:ext>
          </c:extLst>
        </c:ser>
        <c:ser>
          <c:idx val="1"/>
          <c:order val="1"/>
          <c:tx>
            <c:strRef>
              <c:f>'Chapter 30 - Balloon'!$T$13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Balloon'!$T$14:$T$23</c:f>
              <c:numCache>
                <c:formatCode>"$"#,##0.00_);[Red]\("$"#,##0.00\)</c:formatCode>
                <c:ptCount val="10"/>
                <c:pt idx="0">
                  <c:v>4721.1691058159367</c:v>
                </c:pt>
                <c:pt idx="1">
                  <c:v>9683.882183306021</c:v>
                </c:pt>
                <c:pt idx="2">
                  <c:v>14900.497080482994</c:v>
                </c:pt>
                <c:pt idx="3">
                  <c:v>20384.003896317667</c:v>
                </c:pt>
                <c:pt idx="4">
                  <c:v>26148.057327897859</c:v>
                </c:pt>
                <c:pt idx="5">
                  <c:v>32207.010672529417</c:v>
                </c:pt>
                <c:pt idx="6">
                  <c:v>38575.951569449193</c:v>
                </c:pt>
                <c:pt idx="7">
                  <c:v>45270.739570151993</c:v>
                </c:pt>
                <c:pt idx="8">
                  <c:v>52308.045630886605</c:v>
                </c:pt>
                <c:pt idx="9">
                  <c:v>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5-9041-9C53-420578716A33}"/>
            </c:ext>
          </c:extLst>
        </c:ser>
        <c:ser>
          <c:idx val="2"/>
          <c:order val="2"/>
          <c:tx>
            <c:strRef>
              <c:f>'Chapter 30 - Balloon'!$U$13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Balloon'!$U$14:$U$23</c:f>
              <c:numCache>
                <c:formatCode>"$"#,##0.00_);[Red]\("$"#,##0.00\)</c:formatCode>
                <c:ptCount val="10"/>
                <c:pt idx="0">
                  <c:v>315681.32124928426</c:v>
                </c:pt>
                <c:pt idx="1">
                  <c:v>310739.20034224016</c:v>
                </c:pt>
                <c:pt idx="2">
                  <c:v>305544.23115003074</c:v>
                </c:pt>
                <c:pt idx="3">
                  <c:v>300083.47747451073</c:v>
                </c:pt>
                <c:pt idx="4">
                  <c:v>294343.34127708647</c:v>
                </c:pt>
                <c:pt idx="5">
                  <c:v>288309.52881770226</c:v>
                </c:pt>
                <c:pt idx="6">
                  <c:v>281967.01506143349</c:v>
                </c:pt>
                <c:pt idx="7">
                  <c:v>275300.00626405305</c:v>
                </c:pt>
                <c:pt idx="8">
                  <c:v>268291.90064340451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85-9041-9C53-420578716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'Chapter 30 - Balloon'!$K$1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Balloon'!$K$2:$K$362</c:f>
              <c:numCache>
                <c:formatCode>"$"#,##0.00_);[Red]\("$"#,##0.00\)</c:formatCode>
                <c:ptCount val="361"/>
                <c:pt idx="0">
                  <c:v>320000</c:v>
                </c:pt>
                <c:pt idx="1">
                  <c:v>319615.5041396945</c:v>
                </c:pt>
                <c:pt idx="2">
                  <c:v>319229.40621330438</c:v>
                </c:pt>
                <c:pt idx="3">
                  <c:v>318841.69954555429</c:v>
                </c:pt>
                <c:pt idx="4">
                  <c:v>318452.37743335526</c:v>
                </c:pt>
                <c:pt idx="5">
                  <c:v>318061.43314568873</c:v>
                </c:pt>
                <c:pt idx="6">
                  <c:v>317668.85992349026</c:v>
                </c:pt>
                <c:pt idx="7">
                  <c:v>317274.65097953263</c:v>
                </c:pt>
                <c:pt idx="8">
                  <c:v>316878.79949830851</c:v>
                </c:pt>
                <c:pt idx="9">
                  <c:v>316481.29863591259</c:v>
                </c:pt>
                <c:pt idx="10">
                  <c:v>316082.1415199234</c:v>
                </c:pt>
                <c:pt idx="11">
                  <c:v>315681.32124928426</c:v>
                </c:pt>
                <c:pt idx="12">
                  <c:v>315278.83089418412</c:v>
                </c:pt>
                <c:pt idx="13">
                  <c:v>314874.66349593771</c:v>
                </c:pt>
                <c:pt idx="14">
                  <c:v>314468.81206686527</c:v>
                </c:pt>
                <c:pt idx="15">
                  <c:v>314061.26959017169</c:v>
                </c:pt>
                <c:pt idx="16">
                  <c:v>313652.02901982522</c:v>
                </c:pt>
                <c:pt idx="17">
                  <c:v>313241.08328043565</c:v>
                </c:pt>
                <c:pt idx="18">
                  <c:v>312828.42526713194</c:v>
                </c:pt>
                <c:pt idx="19">
                  <c:v>312414.04784543946</c:v>
                </c:pt>
                <c:pt idx="20">
                  <c:v>311997.94385115663</c:v>
                </c:pt>
                <c:pt idx="21">
                  <c:v>311580.10609023093</c:v>
                </c:pt>
                <c:pt idx="22">
                  <c:v>311160.52733863471</c:v>
                </c:pt>
                <c:pt idx="23">
                  <c:v>310739.20034224016</c:v>
                </c:pt>
                <c:pt idx="24">
                  <c:v>310316.11781669396</c:v>
                </c:pt>
                <c:pt idx="25">
                  <c:v>309891.27244729135</c:v>
                </c:pt>
                <c:pt idx="26">
                  <c:v>309464.65688884957</c:v>
                </c:pt>
                <c:pt idx="27">
                  <c:v>309036.26376558095</c:v>
                </c:pt>
                <c:pt idx="28">
                  <c:v>308606.08567096537</c:v>
                </c:pt>
                <c:pt idx="29">
                  <c:v>308174.11516762222</c:v>
                </c:pt>
                <c:pt idx="30">
                  <c:v>307740.34478718182</c:v>
                </c:pt>
                <c:pt idx="31">
                  <c:v>307304.76703015622</c:v>
                </c:pt>
                <c:pt idx="32">
                  <c:v>306867.37436580966</c:v>
                </c:pt>
                <c:pt idx="33">
                  <c:v>306428.15923202835</c:v>
                </c:pt>
                <c:pt idx="34">
                  <c:v>305987.11403518962</c:v>
                </c:pt>
                <c:pt idx="35">
                  <c:v>305544.23115003074</c:v>
                </c:pt>
                <c:pt idx="36">
                  <c:v>305099.50291951705</c:v>
                </c:pt>
                <c:pt idx="37">
                  <c:v>304652.9216547095</c:v>
                </c:pt>
                <c:pt idx="38">
                  <c:v>304204.47963463195</c:v>
                </c:pt>
                <c:pt idx="39">
                  <c:v>303754.16910613741</c:v>
                </c:pt>
                <c:pt idx="40">
                  <c:v>303301.98228377412</c:v>
                </c:pt>
                <c:pt idx="41">
                  <c:v>302847.911349651</c:v>
                </c:pt>
                <c:pt idx="42">
                  <c:v>302391.94845330238</c:v>
                </c:pt>
                <c:pt idx="43">
                  <c:v>301934.0857115523</c:v>
                </c:pt>
                <c:pt idx="44">
                  <c:v>301474.31520837825</c:v>
                </c:pt>
                <c:pt idx="45">
                  <c:v>301012.62899477431</c:v>
                </c:pt>
                <c:pt idx="46">
                  <c:v>300549.01908861368</c:v>
                </c:pt>
                <c:pt idx="47">
                  <c:v>300083.47747451073</c:v>
                </c:pt>
                <c:pt idx="48">
                  <c:v>299615.99610368232</c:v>
                </c:pt>
                <c:pt idx="49">
                  <c:v>299146.56689380883</c:v>
                </c:pt>
                <c:pt idx="50">
                  <c:v>298675.18172889418</c:v>
                </c:pt>
                <c:pt idx="51">
                  <c:v>298201.83245912573</c:v>
                </c:pt>
                <c:pt idx="52">
                  <c:v>297726.51090073324</c:v>
                </c:pt>
                <c:pt idx="53">
                  <c:v>297249.20883584744</c:v>
                </c:pt>
                <c:pt idx="54">
                  <c:v>296769.91801235796</c:v>
                </c:pt>
                <c:pt idx="55">
                  <c:v>296288.6301437706</c:v>
                </c:pt>
                <c:pt idx="56">
                  <c:v>295805.33690906415</c:v>
                </c:pt>
                <c:pt idx="57">
                  <c:v>295320.02995254641</c:v>
                </c:pt>
                <c:pt idx="58">
                  <c:v>294832.70088370983</c:v>
                </c:pt>
                <c:pt idx="59">
                  <c:v>294343.34127708647</c:v>
                </c:pt>
                <c:pt idx="60">
                  <c:v>293851.94267210213</c:v>
                </c:pt>
                <c:pt idx="61">
                  <c:v>293358.49657293037</c:v>
                </c:pt>
                <c:pt idx="62">
                  <c:v>292862.99444834539</c:v>
                </c:pt>
                <c:pt idx="63">
                  <c:v>292365.42773157463</c:v>
                </c:pt>
                <c:pt idx="64">
                  <c:v>291865.78782015067</c:v>
                </c:pt>
                <c:pt idx="65">
                  <c:v>291364.06607576244</c:v>
                </c:pt>
                <c:pt idx="66">
                  <c:v>290860.25382410595</c:v>
                </c:pt>
                <c:pt idx="67">
                  <c:v>290354.3423547342</c:v>
                </c:pt>
                <c:pt idx="68">
                  <c:v>289846.32292090676</c:v>
                </c:pt>
                <c:pt idx="69">
                  <c:v>289336.18673943839</c:v>
                </c:pt>
                <c:pt idx="70">
                  <c:v>288823.92499054718</c:v>
                </c:pt>
                <c:pt idx="71">
                  <c:v>288309.52881770226</c:v>
                </c:pt>
                <c:pt idx="72">
                  <c:v>287792.98932747048</c:v>
                </c:pt>
                <c:pt idx="73">
                  <c:v>287274.29758936277</c:v>
                </c:pt>
                <c:pt idx="74">
                  <c:v>286753.4446356796</c:v>
                </c:pt>
                <c:pt idx="75">
                  <c:v>286230.42146135611</c:v>
                </c:pt>
                <c:pt idx="76">
                  <c:v>285705.21902380622</c:v>
                </c:pt>
                <c:pt idx="77">
                  <c:v>285177.82824276655</c:v>
                </c:pt>
                <c:pt idx="78">
                  <c:v>284648.24000013922</c:v>
                </c:pt>
                <c:pt idx="79">
                  <c:v>284116.44513983431</c:v>
                </c:pt>
                <c:pt idx="80">
                  <c:v>283582.43446761143</c:v>
                </c:pt>
                <c:pt idx="81">
                  <c:v>283046.19875092094</c:v>
                </c:pt>
                <c:pt idx="82">
                  <c:v>282507.72871874424</c:v>
                </c:pt>
                <c:pt idx="83">
                  <c:v>281967.01506143349</c:v>
                </c:pt>
                <c:pt idx="84">
                  <c:v>281424.04843055061</c:v>
                </c:pt>
                <c:pt idx="85">
                  <c:v>280878.81943870574</c:v>
                </c:pt>
                <c:pt idx="86">
                  <c:v>280331.31865939486</c:v>
                </c:pt>
                <c:pt idx="87">
                  <c:v>279781.53662683681</c:v>
                </c:pt>
                <c:pt idx="88">
                  <c:v>279229.46383580979</c:v>
                </c:pt>
                <c:pt idx="89">
                  <c:v>278675.09074148681</c:v>
                </c:pt>
                <c:pt idx="90">
                  <c:v>278118.40775927081</c:v>
                </c:pt>
                <c:pt idx="91">
                  <c:v>277559.40526462893</c:v>
                </c:pt>
                <c:pt idx="92">
                  <c:v>276998.07359292603</c:v>
                </c:pt>
                <c:pt idx="93">
                  <c:v>276434.40303925768</c:v>
                </c:pt>
                <c:pt idx="94">
                  <c:v>275868.38385828241</c:v>
                </c:pt>
                <c:pt idx="95">
                  <c:v>275300.00626405305</c:v>
                </c:pt>
                <c:pt idx="96">
                  <c:v>274729.26042984775</c:v>
                </c:pt>
                <c:pt idx="97">
                  <c:v>274156.13648799993</c:v>
                </c:pt>
                <c:pt idx="98">
                  <c:v>273580.62452972773</c:v>
                </c:pt>
                <c:pt idx="99">
                  <c:v>273002.71460496273</c:v>
                </c:pt>
                <c:pt idx="100">
                  <c:v>272422.39672217792</c:v>
                </c:pt>
                <c:pt idx="101">
                  <c:v>271839.66084821481</c:v>
                </c:pt>
                <c:pt idx="102">
                  <c:v>271254.49690811022</c:v>
                </c:pt>
                <c:pt idx="103">
                  <c:v>270666.89478492184</c:v>
                </c:pt>
                <c:pt idx="104">
                  <c:v>270076.84431955352</c:v>
                </c:pt>
                <c:pt idx="105">
                  <c:v>269484.33531057951</c:v>
                </c:pt>
                <c:pt idx="106">
                  <c:v>268889.35751406808</c:v>
                </c:pt>
                <c:pt idx="107">
                  <c:v>268291.90064340451</c:v>
                </c:pt>
                <c:pt idx="108">
                  <c:v>267691.9543691132</c:v>
                </c:pt>
                <c:pt idx="109">
                  <c:v>267089.508318679</c:v>
                </c:pt>
                <c:pt idx="110">
                  <c:v>266484.55207636801</c:v>
                </c:pt>
                <c:pt idx="111">
                  <c:v>265877.07518304739</c:v>
                </c:pt>
                <c:pt idx="112">
                  <c:v>265267.06713600457</c:v>
                </c:pt>
                <c:pt idx="113">
                  <c:v>264654.51738876576</c:v>
                </c:pt>
                <c:pt idx="114">
                  <c:v>264039.41535091342</c:v>
                </c:pt>
                <c:pt idx="115">
                  <c:v>263421.75038790336</c:v>
                </c:pt>
                <c:pt idx="116">
                  <c:v>262801.51182088075</c:v>
                </c:pt>
                <c:pt idx="117">
                  <c:v>262178.68892649555</c:v>
                </c:pt>
                <c:pt idx="118">
                  <c:v>261553.2709367171</c:v>
                </c:pt>
                <c:pt idx="119">
                  <c:v>260925.24703864791</c:v>
                </c:pt>
                <c:pt idx="120">
                  <c:v>260294.60637433676</c:v>
                </c:pt>
                <c:pt idx="121">
                  <c:v>259661.33804059098</c:v>
                </c:pt>
                <c:pt idx="122">
                  <c:v>259025.43108878794</c:v>
                </c:pt>
                <c:pt idx="123">
                  <c:v>258386.8745246857</c:v>
                </c:pt>
                <c:pt idx="124">
                  <c:v>257745.65730823306</c:v>
                </c:pt>
                <c:pt idx="125">
                  <c:v>257101.76835337852</c:v>
                </c:pt>
                <c:pt idx="126">
                  <c:v>256455.19652787875</c:v>
                </c:pt>
                <c:pt idx="127">
                  <c:v>255805.93065310607</c:v>
                </c:pt>
                <c:pt idx="128">
                  <c:v>255153.95950385518</c:v>
                </c:pt>
                <c:pt idx="129">
                  <c:v>254499.27180814906</c:v>
                </c:pt>
                <c:pt idx="130">
                  <c:v>253841.85624704417</c:v>
                </c:pt>
                <c:pt idx="131">
                  <c:v>253181.70145443466</c:v>
                </c:pt>
                <c:pt idx="132">
                  <c:v>252518.79601685595</c:v>
                </c:pt>
                <c:pt idx="133">
                  <c:v>251853.12847328733</c:v>
                </c:pt>
                <c:pt idx="134">
                  <c:v>251184.68731495386</c:v>
                </c:pt>
                <c:pt idx="135">
                  <c:v>250513.46098512731</c:v>
                </c:pt>
                <c:pt idx="136">
                  <c:v>249839.43787892649</c:v>
                </c:pt>
                <c:pt idx="137">
                  <c:v>249162.60634311649</c:v>
                </c:pt>
                <c:pt idx="138">
                  <c:v>248482.9546759073</c:v>
                </c:pt>
                <c:pt idx="139">
                  <c:v>247800.47112675139</c:v>
                </c:pt>
                <c:pt idx="140">
                  <c:v>247115.14389614068</c:v>
                </c:pt>
                <c:pt idx="141">
                  <c:v>246426.96113540241</c:v>
                </c:pt>
                <c:pt idx="142">
                  <c:v>245735.9109464944</c:v>
                </c:pt>
                <c:pt idx="143">
                  <c:v>245041.9813817993</c:v>
                </c:pt>
                <c:pt idx="144">
                  <c:v>244345.16044391796</c:v>
                </c:pt>
                <c:pt idx="145">
                  <c:v>243645.4360854621</c:v>
                </c:pt>
                <c:pt idx="146">
                  <c:v>242942.796208846</c:v>
                </c:pt>
                <c:pt idx="147">
                  <c:v>242237.22866607734</c:v>
                </c:pt>
                <c:pt idx="148">
                  <c:v>241528.72125854716</c:v>
                </c:pt>
                <c:pt idx="149">
                  <c:v>240817.26173681894</c:v>
                </c:pt>
                <c:pt idx="150">
                  <c:v>240102.83780041683</c:v>
                </c:pt>
                <c:pt idx="151">
                  <c:v>239385.43709761306</c:v>
                </c:pt>
                <c:pt idx="152">
                  <c:v>238665.04722521428</c:v>
                </c:pt>
                <c:pt idx="153">
                  <c:v>237941.65572834716</c:v>
                </c:pt>
                <c:pt idx="154">
                  <c:v>237215.25010024311</c:v>
                </c:pt>
                <c:pt idx="155">
                  <c:v>236485.81778202194</c:v>
                </c:pt>
                <c:pt idx="156">
                  <c:v>235753.34616247486</c:v>
                </c:pt>
                <c:pt idx="157">
                  <c:v>235017.82257784632</c:v>
                </c:pt>
                <c:pt idx="158">
                  <c:v>234279.23431161518</c:v>
                </c:pt>
                <c:pt idx="159">
                  <c:v>233537.56859427472</c:v>
                </c:pt>
                <c:pt idx="160">
                  <c:v>232792.81260311202</c:v>
                </c:pt>
                <c:pt idx="161">
                  <c:v>232044.95346198615</c:v>
                </c:pt>
                <c:pt idx="162">
                  <c:v>231293.97824110559</c:v>
                </c:pt>
                <c:pt idx="163">
                  <c:v>230539.87395680469</c:v>
                </c:pt>
                <c:pt idx="164">
                  <c:v>229782.6275713192</c:v>
                </c:pt>
                <c:pt idx="165">
                  <c:v>229022.22599256085</c:v>
                </c:pt>
                <c:pt idx="166">
                  <c:v>228258.656073891</c:v>
                </c:pt>
                <c:pt idx="167">
                  <c:v>227491.90461389336</c:v>
                </c:pt>
                <c:pt idx="168">
                  <c:v>226721.95835614574</c:v>
                </c:pt>
                <c:pt idx="169">
                  <c:v>225948.80398899084</c:v>
                </c:pt>
                <c:pt idx="170">
                  <c:v>225172.42814530613</c:v>
                </c:pt>
                <c:pt idx="171">
                  <c:v>224392.81740227272</c:v>
                </c:pt>
                <c:pt idx="172">
                  <c:v>223609.95828114334</c:v>
                </c:pt>
                <c:pt idx="173">
                  <c:v>222823.83724700924</c:v>
                </c:pt>
                <c:pt idx="174">
                  <c:v>222034.44070856628</c:v>
                </c:pt>
                <c:pt idx="175">
                  <c:v>221241.7550178798</c:v>
                </c:pt>
                <c:pt idx="176">
                  <c:v>220445.76647014878</c:v>
                </c:pt>
                <c:pt idx="177">
                  <c:v>219646.46130346888</c:v>
                </c:pt>
                <c:pt idx="178">
                  <c:v>218843.82569859448</c:v>
                </c:pt>
                <c:pt idx="179">
                  <c:v>218037.84577869976</c:v>
                </c:pt>
                <c:pt idx="180">
                  <c:v>217228.50760913882</c:v>
                </c:pt>
                <c:pt idx="181">
                  <c:v>216415.79719720472</c:v>
                </c:pt>
                <c:pt idx="182">
                  <c:v>215599.70049188758</c:v>
                </c:pt>
                <c:pt idx="183">
                  <c:v>214780.2033836316</c:v>
                </c:pt>
                <c:pt idx="184">
                  <c:v>213957.29170409121</c:v>
                </c:pt>
                <c:pt idx="185">
                  <c:v>213130.95122588609</c:v>
                </c:pt>
                <c:pt idx="186">
                  <c:v>212301.16766235512</c:v>
                </c:pt>
                <c:pt idx="187">
                  <c:v>211467.92666730942</c:v>
                </c:pt>
                <c:pt idx="188">
                  <c:v>210631.21383478437</c:v>
                </c:pt>
                <c:pt idx="189">
                  <c:v>209791.01469879047</c:v>
                </c:pt>
                <c:pt idx="190">
                  <c:v>208947.31473306325</c:v>
                </c:pt>
                <c:pt idx="191">
                  <c:v>208100.09935081218</c:v>
                </c:pt>
                <c:pt idx="192">
                  <c:v>207249.35390446839</c:v>
                </c:pt>
                <c:pt idx="193">
                  <c:v>206395.06368543149</c:v>
                </c:pt>
                <c:pt idx="194">
                  <c:v>205537.21392381529</c:v>
                </c:pt>
                <c:pt idx="195">
                  <c:v>204675.78978819234</c:v>
                </c:pt>
                <c:pt idx="196">
                  <c:v>203810.77638533764</c:v>
                </c:pt>
                <c:pt idx="197">
                  <c:v>202942.15875997103</c:v>
                </c:pt>
                <c:pt idx="198">
                  <c:v>202069.92189449872</c:v>
                </c:pt>
                <c:pt idx="199">
                  <c:v>201194.05070875361</c:v>
                </c:pt>
                <c:pt idx="200">
                  <c:v>200314.53005973456</c:v>
                </c:pt>
                <c:pt idx="201">
                  <c:v>199431.34474134463</c:v>
                </c:pt>
                <c:pt idx="202">
                  <c:v>198544.47948412804</c:v>
                </c:pt>
                <c:pt idx="203">
                  <c:v>197653.9189550064</c:v>
                </c:pt>
                <c:pt idx="204">
                  <c:v>196759.64775701342</c:v>
                </c:pt>
                <c:pt idx="205">
                  <c:v>195861.65042902878</c:v>
                </c:pt>
                <c:pt idx="206">
                  <c:v>194959.91144551089</c:v>
                </c:pt>
                <c:pt idx="207">
                  <c:v>194054.41521622834</c:v>
                </c:pt>
                <c:pt idx="208">
                  <c:v>193145.14608599045</c:v>
                </c:pt>
                <c:pt idx="209">
                  <c:v>192232.08833437657</c:v>
                </c:pt>
                <c:pt idx="210">
                  <c:v>191315.22617546431</c:v>
                </c:pt>
                <c:pt idx="211">
                  <c:v>190394.54375755656</c:v>
                </c:pt>
                <c:pt idx="212">
                  <c:v>189470.02516290752</c:v>
                </c:pt>
                <c:pt idx="213">
                  <c:v>188541.65440744747</c:v>
                </c:pt>
                <c:pt idx="214">
                  <c:v>187609.41544050633</c:v>
                </c:pt>
                <c:pt idx="215">
                  <c:v>186673.29214453627</c:v>
                </c:pt>
                <c:pt idx="216">
                  <c:v>185733.268334833</c:v>
                </c:pt>
                <c:pt idx="217">
                  <c:v>184789.32775925598</c:v>
                </c:pt>
                <c:pt idx="218">
                  <c:v>183841.45409794737</c:v>
                </c:pt>
                <c:pt idx="219">
                  <c:v>182889.63096304997</c:v>
                </c:pt>
                <c:pt idx="220">
                  <c:v>181933.84189842382</c:v>
                </c:pt>
                <c:pt idx="221">
                  <c:v>180974.07037936174</c:v>
                </c:pt>
                <c:pt idx="222">
                  <c:v>180010.29981230356</c:v>
                </c:pt>
                <c:pt idx="223">
                  <c:v>179042.51353454933</c:v>
                </c:pt>
                <c:pt idx="224">
                  <c:v>178070.69481397112</c:v>
                </c:pt>
                <c:pt idx="225">
                  <c:v>177094.82684872381</c:v>
                </c:pt>
                <c:pt idx="226">
                  <c:v>176114.89276695464</c:v>
                </c:pt>
                <c:pt idx="227">
                  <c:v>175130.87562651144</c:v>
                </c:pt>
                <c:pt idx="228">
                  <c:v>174142.75841464972</c:v>
                </c:pt>
                <c:pt idx="229">
                  <c:v>173150.52404773858</c:v>
                </c:pt>
                <c:pt idx="230">
                  <c:v>172154.15537096531</c:v>
                </c:pt>
                <c:pt idx="231">
                  <c:v>171153.63515803881</c:v>
                </c:pt>
                <c:pt idx="232">
                  <c:v>170148.94611089179</c:v>
                </c:pt>
                <c:pt idx="233">
                  <c:v>169140.07085938167</c:v>
                </c:pt>
                <c:pt idx="234">
                  <c:v>168126.99196099024</c:v>
                </c:pt>
                <c:pt idx="235">
                  <c:v>167109.69190052219</c:v>
                </c:pt>
                <c:pt idx="236">
                  <c:v>166088.15308980219</c:v>
                </c:pt>
                <c:pt idx="237">
                  <c:v>165062.35786737085</c:v>
                </c:pt>
                <c:pt idx="238">
                  <c:v>164032.28849817938</c:v>
                </c:pt>
                <c:pt idx="239">
                  <c:v>162997.92717328295</c:v>
                </c:pt>
                <c:pt idx="240">
                  <c:v>161959.25600953278</c:v>
                </c:pt>
                <c:pt idx="241">
                  <c:v>160916.25704926698</c:v>
                </c:pt>
                <c:pt idx="242">
                  <c:v>159868.91226000007</c:v>
                </c:pt>
                <c:pt idx="243">
                  <c:v>158817.20353411124</c:v>
                </c:pt>
                <c:pt idx="244">
                  <c:v>157761.1126885312</c:v>
                </c:pt>
                <c:pt idx="245">
                  <c:v>156700.62146442791</c:v>
                </c:pt>
                <c:pt idx="246">
                  <c:v>155635.71152689084</c:v>
                </c:pt>
                <c:pt idx="247">
                  <c:v>154566.36446461405</c:v>
                </c:pt>
                <c:pt idx="248">
                  <c:v>153492.56178957777</c:v>
                </c:pt>
                <c:pt idx="249">
                  <c:v>152414.28493672883</c:v>
                </c:pt>
                <c:pt idx="250">
                  <c:v>151331.51526365968</c:v>
                </c:pt>
                <c:pt idx="251">
                  <c:v>150244.23405028609</c:v>
                </c:pt>
                <c:pt idx="252">
                  <c:v>149152.42249852343</c:v>
                </c:pt>
                <c:pt idx="253">
                  <c:v>148056.06173196176</c:v>
                </c:pt>
                <c:pt idx="254">
                  <c:v>146955.13279553942</c:v>
                </c:pt>
                <c:pt idx="255">
                  <c:v>145849.61665521533</c:v>
                </c:pt>
                <c:pt idx="256">
                  <c:v>144739.49419763987</c:v>
                </c:pt>
                <c:pt idx="257">
                  <c:v>143624.74622982452</c:v>
                </c:pt>
                <c:pt idx="258">
                  <c:v>142505.35347880994</c:v>
                </c:pt>
                <c:pt idx="259">
                  <c:v>141381.29659133279</c:v>
                </c:pt>
                <c:pt idx="260">
                  <c:v>140252.55613349116</c:v>
                </c:pt>
                <c:pt idx="261">
                  <c:v>139119.11259040853</c:v>
                </c:pt>
                <c:pt idx="262">
                  <c:v>137980.94636589638</c:v>
                </c:pt>
                <c:pt idx="263">
                  <c:v>136838.03778211543</c:v>
                </c:pt>
                <c:pt idx="264">
                  <c:v>135690.36707923538</c:v>
                </c:pt>
                <c:pt idx="265">
                  <c:v>134537.91441509334</c:v>
                </c:pt>
                <c:pt idx="266">
                  <c:v>133380.65986485072</c:v>
                </c:pt>
                <c:pt idx="267">
                  <c:v>132218.58342064876</c:v>
                </c:pt>
                <c:pt idx="268">
                  <c:v>131051.66499126262</c:v>
                </c:pt>
                <c:pt idx="269">
                  <c:v>129879.88440175403</c:v>
                </c:pt>
                <c:pt idx="270">
                  <c:v>128703.22139312248</c:v>
                </c:pt>
                <c:pt idx="271">
                  <c:v>127521.65562195498</c:v>
                </c:pt>
                <c:pt idx="272">
                  <c:v>126335.16666007429</c:v>
                </c:pt>
                <c:pt idx="273">
                  <c:v>125143.73399418575</c:v>
                </c:pt>
                <c:pt idx="274">
                  <c:v>123947.33702552268</c:v>
                </c:pt>
                <c:pt idx="275">
                  <c:v>122745.95506949017</c:v>
                </c:pt>
                <c:pt idx="276">
                  <c:v>121539.56735530753</c:v>
                </c:pt>
                <c:pt idx="277">
                  <c:v>120328.15302564914</c:v>
                </c:pt>
                <c:pt idx="278">
                  <c:v>119111.69113628383</c:v>
                </c:pt>
                <c:pt idx="279">
                  <c:v>117890.16065571284</c:v>
                </c:pt>
                <c:pt idx="280">
                  <c:v>116663.54046480614</c:v>
                </c:pt>
                <c:pt idx="281">
                  <c:v>115431.80935643731</c:v>
                </c:pt>
                <c:pt idx="282">
                  <c:v>114194.94603511695</c:v>
                </c:pt>
                <c:pt idx="283">
                  <c:v>112952.92911662444</c:v>
                </c:pt>
                <c:pt idx="284">
                  <c:v>111705.73712763819</c:v>
                </c:pt>
                <c:pt idx="285">
                  <c:v>110453.3485053645</c:v>
                </c:pt>
                <c:pt idx="286">
                  <c:v>109195.74159716467</c:v>
                </c:pt>
                <c:pt idx="287">
                  <c:v>107932.89466018068</c:v>
                </c:pt>
                <c:pt idx="288">
                  <c:v>106664.78586095925</c:v>
                </c:pt>
                <c:pt idx="289">
                  <c:v>105391.3932750744</c:v>
                </c:pt>
                <c:pt idx="290">
                  <c:v>104112.69488674836</c:v>
                </c:pt>
                <c:pt idx="291">
                  <c:v>102828.66858847096</c:v>
                </c:pt>
                <c:pt idx="292">
                  <c:v>101539.29218061741</c:v>
                </c:pt>
                <c:pt idx="293">
                  <c:v>100244.54337106447</c:v>
                </c:pt>
                <c:pt idx="294">
                  <c:v>98944.399774805061</c:v>
                </c:pt>
                <c:pt idx="295">
                  <c:v>97638.838913561238</c:v>
                </c:pt>
                <c:pt idx="296">
                  <c:v>96327.838215395561</c:v>
                </c:pt>
                <c:pt idx="297">
                  <c:v>95011.37501432086</c:v>
                </c:pt>
                <c:pt idx="298">
                  <c:v>93689.426549908356</c:v>
                </c:pt>
                <c:pt idx="299">
                  <c:v>92361.969966894132</c:v>
                </c:pt>
                <c:pt idx="300">
                  <c:v>91028.982314784007</c:v>
                </c:pt>
                <c:pt idx="301">
                  <c:v>89690.440547456761</c:v>
                </c:pt>
                <c:pt idx="302">
                  <c:v>88346.321522765647</c:v>
                </c:pt>
                <c:pt idx="303">
                  <c:v>86996.60200213833</c:v>
                </c:pt>
                <c:pt idx="304">
                  <c:v>85641.258650175063</c:v>
                </c:pt>
                <c:pt idx="305">
                  <c:v>84280.26803424528</c:v>
                </c:pt>
                <c:pt idx="306">
                  <c:v>82913.606624082458</c:v>
                </c:pt>
                <c:pt idx="307">
                  <c:v>81541.250791377286</c:v>
                </c:pt>
                <c:pt idx="308">
                  <c:v>80163.176809369179</c:v>
                </c:pt>
                <c:pt idx="309">
                  <c:v>78779.360852436046</c:v>
                </c:pt>
                <c:pt idx="310">
                  <c:v>77389.778995682354</c:v>
                </c:pt>
                <c:pt idx="311">
                  <c:v>75994.40721452552</c:v>
                </c:pt>
                <c:pt idx="312">
                  <c:v>74593.221384280536</c:v>
                </c:pt>
                <c:pt idx="313">
                  <c:v>73186.197279742861</c:v>
                </c:pt>
                <c:pt idx="314">
                  <c:v>71773.31057476961</c:v>
                </c:pt>
                <c:pt idx="315">
                  <c:v>70354.536841858979</c:v>
                </c:pt>
                <c:pt idx="316">
                  <c:v>68929.851551727887</c:v>
                </c:pt>
                <c:pt idx="317">
                  <c:v>67499.230072887905</c:v>
                </c:pt>
                <c:pt idx="318">
                  <c:v>66062.647671219427</c:v>
                </c:pt>
                <c:pt idx="319">
                  <c:v>64620.079509543997</c:v>
                </c:pt>
                <c:pt idx="320">
                  <c:v>63171.500647194916</c:v>
                </c:pt>
                <c:pt idx="321">
                  <c:v>61716.886039586054</c:v>
                </c:pt>
                <c:pt idx="322">
                  <c:v>60256.210537778818</c:v>
                </c:pt>
                <c:pt idx="323">
                  <c:v>58789.448888047387</c:v>
                </c:pt>
                <c:pt idx="324">
                  <c:v>57316.57573144207</c:v>
                </c:pt>
                <c:pt idx="325">
                  <c:v>55837.5656033509</c:v>
                </c:pt>
                <c:pt idx="326">
                  <c:v>54352.392933059353</c:v>
                </c:pt>
                <c:pt idx="327">
                  <c:v>52861.032043308252</c:v>
                </c:pt>
                <c:pt idx="328">
                  <c:v>51363.457149849855</c:v>
                </c:pt>
                <c:pt idx="329">
                  <c:v>49859.64236100205</c:v>
                </c:pt>
                <c:pt idx="330">
                  <c:v>48349.561677200712</c:v>
                </c:pt>
                <c:pt idx="331">
                  <c:v>46833.188990550203</c:v>
                </c:pt>
                <c:pt idx="332">
                  <c:v>45310.498084371982</c:v>
                </c:pt>
                <c:pt idx="333">
                  <c:v>43781.462632751354</c:v>
                </c:pt>
                <c:pt idx="334">
                  <c:v>42246.056200082305</c:v>
                </c:pt>
                <c:pt idx="335">
                  <c:v>40704.252240610469</c:v>
                </c:pt>
                <c:pt idx="336">
                  <c:v>39156.024097974165</c:v>
                </c:pt>
                <c:pt idx="337">
                  <c:v>37601.345004743547</c:v>
                </c:pt>
                <c:pt idx="338">
                  <c:v>36040.1880819578</c:v>
                </c:pt>
                <c:pt idx="339">
                  <c:v>34472.526338660449</c:v>
                </c:pt>
                <c:pt idx="340">
                  <c:v>32898.33267143269</c:v>
                </c:pt>
                <c:pt idx="341">
                  <c:v>31317.579863924813</c:v>
                </c:pt>
                <c:pt idx="342">
                  <c:v>29730.240586385655</c:v>
                </c:pt>
                <c:pt idx="343">
                  <c:v>28136.287395190084</c:v>
                </c:pt>
                <c:pt idx="344">
                  <c:v>26535.692732364532</c:v>
                </c:pt>
                <c:pt idx="345">
                  <c:v>24928.42892511054</c:v>
                </c:pt>
                <c:pt idx="346">
                  <c:v>23314.468185326321</c:v>
                </c:pt>
                <c:pt idx="347">
                  <c:v>21693.782609126334</c:v>
                </c:pt>
                <c:pt idx="348">
                  <c:v>20066.344176358849</c:v>
                </c:pt>
                <c:pt idx="349">
                  <c:v>18432.1247501215</c:v>
                </c:pt>
                <c:pt idx="350">
                  <c:v>16791.096076274829</c:v>
                </c:pt>
                <c:pt idx="351">
                  <c:v>15143.229782953797</c:v>
                </c:pt>
                <c:pt idx="352">
                  <c:v>13488.497380077259</c:v>
                </c:pt>
                <c:pt idx="353">
                  <c:v>11826.870258855402</c:v>
                </c:pt>
                <c:pt idx="354">
                  <c:v>10158.319691295121</c:v>
                </c:pt>
                <c:pt idx="355">
                  <c:v>8482.816829703339</c:v>
                </c:pt>
                <c:pt idx="356">
                  <c:v>6800.3327061882574</c:v>
                </c:pt>
                <c:pt idx="357">
                  <c:v>5110.8382321585304</c:v>
                </c:pt>
                <c:pt idx="358">
                  <c:v>3414.304197820346</c:v>
                </c:pt>
                <c:pt idx="359">
                  <c:v>1710.7012716724191</c:v>
                </c:pt>
                <c:pt idx="360">
                  <c:v>-1.1241354513913393E-9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B-E047-A4BD-6EB52995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'Chapter 30 - Balloon'!$G$1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Balloon'!$G$2:$G$362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B-E047-A4BD-6EB529957F88}"/>
            </c:ext>
          </c:extLst>
        </c:ser>
        <c:ser>
          <c:idx val="2"/>
          <c:order val="1"/>
          <c:tx>
            <c:strRef>
              <c:f>'Chapter 30 - Balloon'!$H$1</c:f>
              <c:strCache>
                <c:ptCount val="1"/>
                <c:pt idx="0">
                  <c:v>Prinicpal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Balloon'!$H$2:$H$362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B-E047-A4BD-6EB52995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Julia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25'!$F$9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5-A747-A681-01B0E3E0103B}"/>
            </c:ext>
          </c:extLst>
        </c:ser>
        <c:ser>
          <c:idx val="0"/>
          <c:order val="1"/>
          <c:tx>
            <c:strRef>
              <c:f>'Chapter 25'!$F$8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5-A747-A681-01B0E3E01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 of Monthly</a:t>
            </a:r>
            <a:r>
              <a:rPr lang="en-US" baseline="0"/>
              <a:t> Mortgage Payment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'Chapter 30 - Balloon'!$G$1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Balloon'!$G$2:$G$362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E5-034C-815D-AC01C7BD9B97}"/>
            </c:ext>
          </c:extLst>
        </c:ser>
        <c:ser>
          <c:idx val="3"/>
          <c:order val="1"/>
          <c:tx>
            <c:strRef>
              <c:f>'Chapter 30 - Balloon'!$H$1</c:f>
              <c:strCache>
                <c:ptCount val="1"/>
                <c:pt idx="0">
                  <c:v>Prinicpal Paid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Balloon'!$H$2:$H$362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E5-034C-815D-AC01C7BD9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489711"/>
        <c:axId val="514064479"/>
      </c:lineChart>
      <c:catAx>
        <c:axId val="47548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64479"/>
        <c:crosses val="autoZero"/>
        <c:auto val="1"/>
        <c:lblAlgn val="ctr"/>
        <c:lblOffset val="100"/>
        <c:noMultiLvlLbl val="0"/>
      </c:catAx>
      <c:valAx>
        <c:axId val="5140644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48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'Chapter 30 - Full'!$G$2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'Chapter 30 - Full'!$E$3:$E$362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Full'!$G$3:$G$363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1-FD4E-998A-CAE6F3592FF6}"/>
            </c:ext>
          </c:extLst>
        </c:ser>
        <c:ser>
          <c:idx val="2"/>
          <c:order val="1"/>
          <c:tx>
            <c:strRef>
              <c:f>'Chapter 30 - Full'!$H$2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'Chapter 30 - Full'!$E$3:$E$362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Full'!$H$3:$H$363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D1-FD4E-998A-CAE6F3592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'Chapter 30 - Full'!$R$14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30 - Full'!$R$15:$R$44</c:f>
              <c:numCache>
                <c:formatCode>"$"#,##0.00_);[Red]\("$"#,##0.00\)</c:formatCode>
                <c:ptCount val="30"/>
                <c:pt idx="0">
                  <c:v>4721.1691058159367</c:v>
                </c:pt>
                <c:pt idx="1">
                  <c:v>4962.7130774900843</c:v>
                </c:pt>
                <c:pt idx="2">
                  <c:v>5216.6148971769726</c:v>
                </c:pt>
                <c:pt idx="3">
                  <c:v>5483.506815834673</c:v>
                </c:pt>
                <c:pt idx="4">
                  <c:v>5764.0534315801924</c:v>
                </c:pt>
                <c:pt idx="5">
                  <c:v>6058.9533446315581</c:v>
                </c:pt>
                <c:pt idx="6">
                  <c:v>6368.9408969197757</c:v>
                </c:pt>
                <c:pt idx="7">
                  <c:v>6694.7880007027998</c:v>
                </c:pt>
                <c:pt idx="8">
                  <c:v>7037.3060607346124</c:v>
                </c:pt>
                <c:pt idx="9">
                  <c:v>7397.3479947764063</c:v>
                </c:pt>
                <c:pt idx="10">
                  <c:v>7775.8103574808047</c:v>
                </c:pt>
                <c:pt idx="11">
                  <c:v>8173.6355729379575</c:v>
                </c:pt>
                <c:pt idx="12">
                  <c:v>8591.814281443134</c:v>
                </c:pt>
                <c:pt idx="13">
                  <c:v>9031.387806329134</c:v>
                </c:pt>
                <c:pt idx="14">
                  <c:v>9493.4507470068638</c:v>
                </c:pt>
                <c:pt idx="15">
                  <c:v>9979.1537046705052</c:v>
                </c:pt>
                <c:pt idx="16">
                  <c:v>10489.706147454955</c:v>
                </c:pt>
                <c:pt idx="17">
                  <c:v>11026.379422180398</c:v>
                </c:pt>
                <c:pt idx="18">
                  <c:v>11590.509920183278</c:v>
                </c:pt>
                <c:pt idx="19">
                  <c:v>12183.502405116946</c:v>
                </c:pt>
                <c:pt idx="20">
                  <c:v>12806.833511009347</c:v>
                </c:pt>
                <c:pt idx="21">
                  <c:v>13462.055419288052</c:v>
                </c:pt>
                <c:pt idx="22">
                  <c:v>14150.799723927834</c:v>
                </c:pt>
                <c:pt idx="23">
                  <c:v>14874.78149434831</c:v>
                </c:pt>
                <c:pt idx="24">
                  <c:v>15635.803546175215</c:v>
                </c:pt>
                <c:pt idx="25">
                  <c:v>16435.760930503457</c:v>
                </c:pt>
                <c:pt idx="26">
                  <c:v>17276.645652838488</c:v>
                </c:pt>
                <c:pt idx="27">
                  <c:v>18160.55163346784</c:v>
                </c:pt>
                <c:pt idx="28">
                  <c:v>19089.679921615287</c:v>
                </c:pt>
                <c:pt idx="29">
                  <c:v>20066.344176359999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9-264A-B1D4-ABCA26E84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'Chapter 30 - Full'!$Q$14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Full'!$Q$15:$Q$44</c:f>
              <c:numCache>
                <c:formatCode>"$"#,##0.00_);[Red]\("$"#,##0.00\)</c:formatCode>
                <c:ptCount val="30"/>
                <c:pt idx="0">
                  <c:v>4721.1691058159367</c:v>
                </c:pt>
                <c:pt idx="1">
                  <c:v>9683.882183306021</c:v>
                </c:pt>
                <c:pt idx="2">
                  <c:v>14900.497080482994</c:v>
                </c:pt>
                <c:pt idx="3">
                  <c:v>20384.003896317667</c:v>
                </c:pt>
                <c:pt idx="4">
                  <c:v>26148.057327897859</c:v>
                </c:pt>
                <c:pt idx="5">
                  <c:v>32207.010672529417</c:v>
                </c:pt>
                <c:pt idx="6">
                  <c:v>38575.951569449193</c:v>
                </c:pt>
                <c:pt idx="7">
                  <c:v>45270.739570151993</c:v>
                </c:pt>
                <c:pt idx="8">
                  <c:v>52308.045630886605</c:v>
                </c:pt>
                <c:pt idx="9">
                  <c:v>59705.393625663011</c:v>
                </c:pt>
                <c:pt idx="10">
                  <c:v>67481.203983143816</c:v>
                </c:pt>
                <c:pt idx="11">
                  <c:v>75654.839556081773</c:v>
                </c:pt>
                <c:pt idx="12">
                  <c:v>84246.653837524907</c:v>
                </c:pt>
                <c:pt idx="13">
                  <c:v>93278.041643854041</c:v>
                </c:pt>
                <c:pt idx="14">
                  <c:v>102771.49239086091</c:v>
                </c:pt>
                <c:pt idx="15">
                  <c:v>112750.64609553141</c:v>
                </c:pt>
                <c:pt idx="16">
                  <c:v>123240.35224298637</c:v>
                </c:pt>
                <c:pt idx="17">
                  <c:v>134266.73166516676</c:v>
                </c:pt>
                <c:pt idx="18">
                  <c:v>145857.24158535004</c:v>
                </c:pt>
                <c:pt idx="19">
                  <c:v>158040.74399046699</c:v>
                </c:pt>
                <c:pt idx="20">
                  <c:v>170847.57750147633</c:v>
                </c:pt>
                <c:pt idx="21">
                  <c:v>184309.63292076439</c:v>
                </c:pt>
                <c:pt idx="22">
                  <c:v>198460.43264469222</c:v>
                </c:pt>
                <c:pt idx="23">
                  <c:v>213335.21413904053</c:v>
                </c:pt>
                <c:pt idx="24">
                  <c:v>228971.01768521575</c:v>
                </c:pt>
                <c:pt idx="25">
                  <c:v>245406.7786157192</c:v>
                </c:pt>
                <c:pt idx="26">
                  <c:v>262683.42426855769</c:v>
                </c:pt>
                <c:pt idx="27">
                  <c:v>280843.97590202553</c:v>
                </c:pt>
                <c:pt idx="28">
                  <c:v>299933.65582364082</c:v>
                </c:pt>
                <c:pt idx="29">
                  <c:v>320000.00000000081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9-264A-B1D4-ABCA26E84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2"/>
          <c:tx>
            <c:strRef>
              <c:f>'Chapter 30 - Full'!$K$2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Full'!$K$3:$K$363</c:f>
              <c:numCache>
                <c:formatCode>"$"#,##0.00_);[Red]\("$"#,##0.00\)</c:formatCode>
                <c:ptCount val="361"/>
                <c:pt idx="0" formatCode="&quot;$&quot;#,##0_);[Red]\(&quot;$&quot;#,##0\)">
                  <c:v>320000</c:v>
                </c:pt>
                <c:pt idx="1">
                  <c:v>319615.5041396945</c:v>
                </c:pt>
                <c:pt idx="2">
                  <c:v>319229.40621330438</c:v>
                </c:pt>
                <c:pt idx="3">
                  <c:v>318841.69954555429</c:v>
                </c:pt>
                <c:pt idx="4">
                  <c:v>318452.37743335526</c:v>
                </c:pt>
                <c:pt idx="5">
                  <c:v>318061.43314568873</c:v>
                </c:pt>
                <c:pt idx="6">
                  <c:v>317668.85992349026</c:v>
                </c:pt>
                <c:pt idx="7">
                  <c:v>317274.65097953263</c:v>
                </c:pt>
                <c:pt idx="8">
                  <c:v>316878.79949830851</c:v>
                </c:pt>
                <c:pt idx="9">
                  <c:v>316481.29863591259</c:v>
                </c:pt>
                <c:pt idx="10">
                  <c:v>316082.1415199234</c:v>
                </c:pt>
                <c:pt idx="11">
                  <c:v>315681.32124928426</c:v>
                </c:pt>
                <c:pt idx="12">
                  <c:v>315278.83089418412</c:v>
                </c:pt>
                <c:pt idx="13">
                  <c:v>314874.66349593771</c:v>
                </c:pt>
                <c:pt idx="14">
                  <c:v>314468.81206686527</c:v>
                </c:pt>
                <c:pt idx="15">
                  <c:v>314061.26959017169</c:v>
                </c:pt>
                <c:pt idx="16">
                  <c:v>313652.02901982522</c:v>
                </c:pt>
                <c:pt idx="17">
                  <c:v>313241.08328043565</c:v>
                </c:pt>
                <c:pt idx="18">
                  <c:v>312828.42526713194</c:v>
                </c:pt>
                <c:pt idx="19">
                  <c:v>312414.04784543946</c:v>
                </c:pt>
                <c:pt idx="20">
                  <c:v>311997.94385115663</c:v>
                </c:pt>
                <c:pt idx="21">
                  <c:v>311580.10609023093</c:v>
                </c:pt>
                <c:pt idx="22">
                  <c:v>311160.52733863471</c:v>
                </c:pt>
                <c:pt idx="23">
                  <c:v>310739.20034224016</c:v>
                </c:pt>
                <c:pt idx="24">
                  <c:v>310316.11781669396</c:v>
                </c:pt>
                <c:pt idx="25">
                  <c:v>309891.27244729135</c:v>
                </c:pt>
                <c:pt idx="26">
                  <c:v>309464.65688884957</c:v>
                </c:pt>
                <c:pt idx="27">
                  <c:v>309036.26376558095</c:v>
                </c:pt>
                <c:pt idx="28">
                  <c:v>308606.08567096537</c:v>
                </c:pt>
                <c:pt idx="29">
                  <c:v>308174.11516762222</c:v>
                </c:pt>
                <c:pt idx="30">
                  <c:v>307740.34478718182</c:v>
                </c:pt>
                <c:pt idx="31">
                  <c:v>307304.76703015622</c:v>
                </c:pt>
                <c:pt idx="32">
                  <c:v>306867.37436580966</c:v>
                </c:pt>
                <c:pt idx="33">
                  <c:v>306428.15923202835</c:v>
                </c:pt>
                <c:pt idx="34">
                  <c:v>305987.11403518962</c:v>
                </c:pt>
                <c:pt idx="35">
                  <c:v>305544.23115003074</c:v>
                </c:pt>
                <c:pt idx="36">
                  <c:v>305099.50291951705</c:v>
                </c:pt>
                <c:pt idx="37">
                  <c:v>304652.9216547095</c:v>
                </c:pt>
                <c:pt idx="38">
                  <c:v>304204.47963463195</c:v>
                </c:pt>
                <c:pt idx="39">
                  <c:v>303754.16910613741</c:v>
                </c:pt>
                <c:pt idx="40">
                  <c:v>303301.98228377412</c:v>
                </c:pt>
                <c:pt idx="41">
                  <c:v>302847.911349651</c:v>
                </c:pt>
                <c:pt idx="42">
                  <c:v>302391.94845330238</c:v>
                </c:pt>
                <c:pt idx="43">
                  <c:v>301934.0857115523</c:v>
                </c:pt>
                <c:pt idx="44">
                  <c:v>301474.31520837825</c:v>
                </c:pt>
                <c:pt idx="45">
                  <c:v>301012.62899477431</c:v>
                </c:pt>
                <c:pt idx="46">
                  <c:v>300549.01908861368</c:v>
                </c:pt>
                <c:pt idx="47">
                  <c:v>300083.47747451073</c:v>
                </c:pt>
                <c:pt idx="48">
                  <c:v>299615.99610368232</c:v>
                </c:pt>
                <c:pt idx="49">
                  <c:v>299146.56689380883</c:v>
                </c:pt>
                <c:pt idx="50">
                  <c:v>298675.18172889418</c:v>
                </c:pt>
                <c:pt idx="51">
                  <c:v>298201.83245912573</c:v>
                </c:pt>
                <c:pt idx="52">
                  <c:v>297726.51090073324</c:v>
                </c:pt>
                <c:pt idx="53">
                  <c:v>297249.20883584744</c:v>
                </c:pt>
                <c:pt idx="54">
                  <c:v>296769.91801235796</c:v>
                </c:pt>
                <c:pt idx="55">
                  <c:v>296288.6301437706</c:v>
                </c:pt>
                <c:pt idx="56">
                  <c:v>295805.33690906415</c:v>
                </c:pt>
                <c:pt idx="57">
                  <c:v>295320.02995254641</c:v>
                </c:pt>
                <c:pt idx="58">
                  <c:v>294832.70088370983</c:v>
                </c:pt>
                <c:pt idx="59">
                  <c:v>294343.34127708647</c:v>
                </c:pt>
                <c:pt idx="60">
                  <c:v>293851.94267210213</c:v>
                </c:pt>
                <c:pt idx="61">
                  <c:v>293358.49657293037</c:v>
                </c:pt>
                <c:pt idx="62">
                  <c:v>292862.99444834539</c:v>
                </c:pt>
                <c:pt idx="63">
                  <c:v>292365.42773157463</c:v>
                </c:pt>
                <c:pt idx="64">
                  <c:v>291865.78782015067</c:v>
                </c:pt>
                <c:pt idx="65">
                  <c:v>291364.06607576244</c:v>
                </c:pt>
                <c:pt idx="66">
                  <c:v>290860.25382410595</c:v>
                </c:pt>
                <c:pt idx="67">
                  <c:v>290354.3423547342</c:v>
                </c:pt>
                <c:pt idx="68">
                  <c:v>289846.32292090676</c:v>
                </c:pt>
                <c:pt idx="69">
                  <c:v>289336.18673943839</c:v>
                </c:pt>
                <c:pt idx="70">
                  <c:v>288823.92499054718</c:v>
                </c:pt>
                <c:pt idx="71">
                  <c:v>288309.52881770226</c:v>
                </c:pt>
                <c:pt idx="72">
                  <c:v>287792.98932747048</c:v>
                </c:pt>
                <c:pt idx="73">
                  <c:v>287274.29758936277</c:v>
                </c:pt>
                <c:pt idx="74">
                  <c:v>286753.4446356796</c:v>
                </c:pt>
                <c:pt idx="75">
                  <c:v>286230.42146135611</c:v>
                </c:pt>
                <c:pt idx="76">
                  <c:v>285705.21902380622</c:v>
                </c:pt>
                <c:pt idx="77">
                  <c:v>285177.82824276655</c:v>
                </c:pt>
                <c:pt idx="78">
                  <c:v>284648.24000013922</c:v>
                </c:pt>
                <c:pt idx="79">
                  <c:v>284116.44513983431</c:v>
                </c:pt>
                <c:pt idx="80">
                  <c:v>283582.43446761143</c:v>
                </c:pt>
                <c:pt idx="81">
                  <c:v>283046.19875092094</c:v>
                </c:pt>
                <c:pt idx="82">
                  <c:v>282507.72871874424</c:v>
                </c:pt>
                <c:pt idx="83">
                  <c:v>281967.01506143349</c:v>
                </c:pt>
                <c:pt idx="84">
                  <c:v>281424.04843055061</c:v>
                </c:pt>
                <c:pt idx="85">
                  <c:v>280878.81943870574</c:v>
                </c:pt>
                <c:pt idx="86">
                  <c:v>280331.31865939486</c:v>
                </c:pt>
                <c:pt idx="87">
                  <c:v>279781.53662683681</c:v>
                </c:pt>
                <c:pt idx="88">
                  <c:v>279229.46383580979</c:v>
                </c:pt>
                <c:pt idx="89">
                  <c:v>278675.09074148681</c:v>
                </c:pt>
                <c:pt idx="90">
                  <c:v>278118.40775927081</c:v>
                </c:pt>
                <c:pt idx="91">
                  <c:v>277559.40526462893</c:v>
                </c:pt>
                <c:pt idx="92">
                  <c:v>276998.07359292603</c:v>
                </c:pt>
                <c:pt idx="93">
                  <c:v>276434.40303925768</c:v>
                </c:pt>
                <c:pt idx="94">
                  <c:v>275868.38385828241</c:v>
                </c:pt>
                <c:pt idx="95">
                  <c:v>275300.00626405305</c:v>
                </c:pt>
                <c:pt idx="96">
                  <c:v>274729.26042984775</c:v>
                </c:pt>
                <c:pt idx="97">
                  <c:v>274156.13648799993</c:v>
                </c:pt>
                <c:pt idx="98">
                  <c:v>273580.62452972773</c:v>
                </c:pt>
                <c:pt idx="99">
                  <c:v>273002.71460496273</c:v>
                </c:pt>
                <c:pt idx="100">
                  <c:v>272422.39672217792</c:v>
                </c:pt>
                <c:pt idx="101">
                  <c:v>271839.66084821481</c:v>
                </c:pt>
                <c:pt idx="102">
                  <c:v>271254.49690811022</c:v>
                </c:pt>
                <c:pt idx="103">
                  <c:v>270666.89478492184</c:v>
                </c:pt>
                <c:pt idx="104">
                  <c:v>270076.84431955352</c:v>
                </c:pt>
                <c:pt idx="105">
                  <c:v>269484.33531057951</c:v>
                </c:pt>
                <c:pt idx="106">
                  <c:v>268889.35751406808</c:v>
                </c:pt>
                <c:pt idx="107">
                  <c:v>268291.90064340451</c:v>
                </c:pt>
                <c:pt idx="108">
                  <c:v>267691.9543691132</c:v>
                </c:pt>
                <c:pt idx="109">
                  <c:v>267089.508318679</c:v>
                </c:pt>
                <c:pt idx="110">
                  <c:v>266484.55207636801</c:v>
                </c:pt>
                <c:pt idx="111">
                  <c:v>265877.07518304739</c:v>
                </c:pt>
                <c:pt idx="112">
                  <c:v>265267.06713600457</c:v>
                </c:pt>
                <c:pt idx="113">
                  <c:v>264654.51738876576</c:v>
                </c:pt>
                <c:pt idx="114">
                  <c:v>264039.41535091342</c:v>
                </c:pt>
                <c:pt idx="115">
                  <c:v>263421.75038790336</c:v>
                </c:pt>
                <c:pt idx="116">
                  <c:v>262801.51182088075</c:v>
                </c:pt>
                <c:pt idx="117">
                  <c:v>262178.68892649555</c:v>
                </c:pt>
                <c:pt idx="118">
                  <c:v>261553.2709367171</c:v>
                </c:pt>
                <c:pt idx="119">
                  <c:v>260925.24703864791</c:v>
                </c:pt>
                <c:pt idx="120">
                  <c:v>260294.60637433676</c:v>
                </c:pt>
                <c:pt idx="121">
                  <c:v>259661.33804059098</c:v>
                </c:pt>
                <c:pt idx="122">
                  <c:v>259025.43108878794</c:v>
                </c:pt>
                <c:pt idx="123">
                  <c:v>258386.8745246857</c:v>
                </c:pt>
                <c:pt idx="124">
                  <c:v>257745.65730823306</c:v>
                </c:pt>
                <c:pt idx="125">
                  <c:v>257101.76835337852</c:v>
                </c:pt>
                <c:pt idx="126">
                  <c:v>256455.19652787875</c:v>
                </c:pt>
                <c:pt idx="127">
                  <c:v>255805.93065310607</c:v>
                </c:pt>
                <c:pt idx="128">
                  <c:v>255153.95950385518</c:v>
                </c:pt>
                <c:pt idx="129">
                  <c:v>254499.27180814906</c:v>
                </c:pt>
                <c:pt idx="130">
                  <c:v>253841.85624704417</c:v>
                </c:pt>
                <c:pt idx="131">
                  <c:v>253181.70145443466</c:v>
                </c:pt>
                <c:pt idx="132">
                  <c:v>252518.79601685595</c:v>
                </c:pt>
                <c:pt idx="133">
                  <c:v>251853.12847328733</c:v>
                </c:pt>
                <c:pt idx="134">
                  <c:v>251184.68731495386</c:v>
                </c:pt>
                <c:pt idx="135">
                  <c:v>250513.46098512731</c:v>
                </c:pt>
                <c:pt idx="136">
                  <c:v>249839.43787892649</c:v>
                </c:pt>
                <c:pt idx="137">
                  <c:v>249162.60634311649</c:v>
                </c:pt>
                <c:pt idx="138">
                  <c:v>248482.9546759073</c:v>
                </c:pt>
                <c:pt idx="139">
                  <c:v>247800.47112675139</c:v>
                </c:pt>
                <c:pt idx="140">
                  <c:v>247115.14389614068</c:v>
                </c:pt>
                <c:pt idx="141">
                  <c:v>246426.96113540241</c:v>
                </c:pt>
                <c:pt idx="142">
                  <c:v>245735.9109464944</c:v>
                </c:pt>
                <c:pt idx="143">
                  <c:v>245041.9813817993</c:v>
                </c:pt>
                <c:pt idx="144">
                  <c:v>244345.16044391796</c:v>
                </c:pt>
                <c:pt idx="145">
                  <c:v>243645.4360854621</c:v>
                </c:pt>
                <c:pt idx="146">
                  <c:v>242942.796208846</c:v>
                </c:pt>
                <c:pt idx="147">
                  <c:v>242237.22866607734</c:v>
                </c:pt>
                <c:pt idx="148">
                  <c:v>241528.72125854716</c:v>
                </c:pt>
                <c:pt idx="149">
                  <c:v>240817.26173681894</c:v>
                </c:pt>
                <c:pt idx="150">
                  <c:v>240102.83780041683</c:v>
                </c:pt>
                <c:pt idx="151">
                  <c:v>239385.43709761306</c:v>
                </c:pt>
                <c:pt idx="152">
                  <c:v>238665.04722521428</c:v>
                </c:pt>
                <c:pt idx="153">
                  <c:v>237941.65572834716</c:v>
                </c:pt>
                <c:pt idx="154">
                  <c:v>237215.25010024311</c:v>
                </c:pt>
                <c:pt idx="155">
                  <c:v>236485.81778202194</c:v>
                </c:pt>
                <c:pt idx="156">
                  <c:v>235753.34616247486</c:v>
                </c:pt>
                <c:pt idx="157">
                  <c:v>235017.82257784632</c:v>
                </c:pt>
                <c:pt idx="158">
                  <c:v>234279.23431161518</c:v>
                </c:pt>
                <c:pt idx="159">
                  <c:v>233537.56859427472</c:v>
                </c:pt>
                <c:pt idx="160">
                  <c:v>232792.81260311202</c:v>
                </c:pt>
                <c:pt idx="161">
                  <c:v>232044.95346198615</c:v>
                </c:pt>
                <c:pt idx="162">
                  <c:v>231293.97824110559</c:v>
                </c:pt>
                <c:pt idx="163">
                  <c:v>230539.87395680469</c:v>
                </c:pt>
                <c:pt idx="164">
                  <c:v>229782.6275713192</c:v>
                </c:pt>
                <c:pt idx="165">
                  <c:v>229022.22599256085</c:v>
                </c:pt>
                <c:pt idx="166">
                  <c:v>228258.656073891</c:v>
                </c:pt>
                <c:pt idx="167">
                  <c:v>227491.90461389336</c:v>
                </c:pt>
                <c:pt idx="168">
                  <c:v>226721.95835614574</c:v>
                </c:pt>
                <c:pt idx="169">
                  <c:v>225948.80398899084</c:v>
                </c:pt>
                <c:pt idx="170">
                  <c:v>225172.42814530613</c:v>
                </c:pt>
                <c:pt idx="171">
                  <c:v>224392.81740227272</c:v>
                </c:pt>
                <c:pt idx="172">
                  <c:v>223609.95828114334</c:v>
                </c:pt>
                <c:pt idx="173">
                  <c:v>222823.83724700924</c:v>
                </c:pt>
                <c:pt idx="174">
                  <c:v>222034.44070856628</c:v>
                </c:pt>
                <c:pt idx="175">
                  <c:v>221241.7550178798</c:v>
                </c:pt>
                <c:pt idx="176">
                  <c:v>220445.76647014878</c:v>
                </c:pt>
                <c:pt idx="177">
                  <c:v>219646.46130346888</c:v>
                </c:pt>
                <c:pt idx="178">
                  <c:v>218843.82569859448</c:v>
                </c:pt>
                <c:pt idx="179">
                  <c:v>218037.84577869976</c:v>
                </c:pt>
                <c:pt idx="180">
                  <c:v>217228.50760913882</c:v>
                </c:pt>
                <c:pt idx="181">
                  <c:v>216415.79719720472</c:v>
                </c:pt>
                <c:pt idx="182">
                  <c:v>215599.70049188758</c:v>
                </c:pt>
                <c:pt idx="183">
                  <c:v>214780.2033836316</c:v>
                </c:pt>
                <c:pt idx="184">
                  <c:v>213957.29170409121</c:v>
                </c:pt>
                <c:pt idx="185">
                  <c:v>213130.95122588609</c:v>
                </c:pt>
                <c:pt idx="186">
                  <c:v>212301.16766235512</c:v>
                </c:pt>
                <c:pt idx="187">
                  <c:v>211467.92666730942</c:v>
                </c:pt>
                <c:pt idx="188">
                  <c:v>210631.21383478437</c:v>
                </c:pt>
                <c:pt idx="189">
                  <c:v>209791.01469879047</c:v>
                </c:pt>
                <c:pt idx="190">
                  <c:v>208947.31473306325</c:v>
                </c:pt>
                <c:pt idx="191">
                  <c:v>208100.09935081218</c:v>
                </c:pt>
                <c:pt idx="192">
                  <c:v>207249.35390446839</c:v>
                </c:pt>
                <c:pt idx="193">
                  <c:v>206395.06368543149</c:v>
                </c:pt>
                <c:pt idx="194">
                  <c:v>205537.21392381529</c:v>
                </c:pt>
                <c:pt idx="195">
                  <c:v>204675.78978819234</c:v>
                </c:pt>
                <c:pt idx="196">
                  <c:v>203810.77638533764</c:v>
                </c:pt>
                <c:pt idx="197">
                  <c:v>202942.15875997103</c:v>
                </c:pt>
                <c:pt idx="198">
                  <c:v>202069.92189449872</c:v>
                </c:pt>
                <c:pt idx="199">
                  <c:v>201194.05070875361</c:v>
                </c:pt>
                <c:pt idx="200">
                  <c:v>200314.53005973456</c:v>
                </c:pt>
                <c:pt idx="201">
                  <c:v>199431.34474134463</c:v>
                </c:pt>
                <c:pt idx="202">
                  <c:v>198544.47948412804</c:v>
                </c:pt>
                <c:pt idx="203">
                  <c:v>197653.9189550064</c:v>
                </c:pt>
                <c:pt idx="204">
                  <c:v>196759.64775701342</c:v>
                </c:pt>
                <c:pt idx="205">
                  <c:v>195861.65042902878</c:v>
                </c:pt>
                <c:pt idx="206">
                  <c:v>194959.91144551089</c:v>
                </c:pt>
                <c:pt idx="207">
                  <c:v>194054.41521622834</c:v>
                </c:pt>
                <c:pt idx="208">
                  <c:v>193145.14608599045</c:v>
                </c:pt>
                <c:pt idx="209">
                  <c:v>192232.08833437657</c:v>
                </c:pt>
                <c:pt idx="210">
                  <c:v>191315.22617546431</c:v>
                </c:pt>
                <c:pt idx="211">
                  <c:v>190394.54375755656</c:v>
                </c:pt>
                <c:pt idx="212">
                  <c:v>189470.02516290752</c:v>
                </c:pt>
                <c:pt idx="213">
                  <c:v>188541.65440744747</c:v>
                </c:pt>
                <c:pt idx="214">
                  <c:v>187609.41544050633</c:v>
                </c:pt>
                <c:pt idx="215">
                  <c:v>186673.29214453627</c:v>
                </c:pt>
                <c:pt idx="216">
                  <c:v>185733.268334833</c:v>
                </c:pt>
                <c:pt idx="217">
                  <c:v>184789.32775925598</c:v>
                </c:pt>
                <c:pt idx="218">
                  <c:v>183841.45409794737</c:v>
                </c:pt>
                <c:pt idx="219">
                  <c:v>182889.63096304997</c:v>
                </c:pt>
                <c:pt idx="220">
                  <c:v>181933.84189842382</c:v>
                </c:pt>
                <c:pt idx="221">
                  <c:v>180974.07037936174</c:v>
                </c:pt>
                <c:pt idx="222">
                  <c:v>180010.29981230356</c:v>
                </c:pt>
                <c:pt idx="223">
                  <c:v>179042.51353454933</c:v>
                </c:pt>
                <c:pt idx="224">
                  <c:v>178070.69481397112</c:v>
                </c:pt>
                <c:pt idx="225">
                  <c:v>177094.82684872381</c:v>
                </c:pt>
                <c:pt idx="226">
                  <c:v>176114.89276695464</c:v>
                </c:pt>
                <c:pt idx="227">
                  <c:v>175130.87562651144</c:v>
                </c:pt>
                <c:pt idx="228">
                  <c:v>174142.75841464972</c:v>
                </c:pt>
                <c:pt idx="229">
                  <c:v>173150.52404773858</c:v>
                </c:pt>
                <c:pt idx="230">
                  <c:v>172154.15537096531</c:v>
                </c:pt>
                <c:pt idx="231">
                  <c:v>171153.63515803881</c:v>
                </c:pt>
                <c:pt idx="232">
                  <c:v>170148.94611089179</c:v>
                </c:pt>
                <c:pt idx="233">
                  <c:v>169140.07085938167</c:v>
                </c:pt>
                <c:pt idx="234">
                  <c:v>168126.99196099024</c:v>
                </c:pt>
                <c:pt idx="235">
                  <c:v>167109.69190052219</c:v>
                </c:pt>
                <c:pt idx="236">
                  <c:v>166088.15308980219</c:v>
                </c:pt>
                <c:pt idx="237">
                  <c:v>165062.35786737085</c:v>
                </c:pt>
                <c:pt idx="238">
                  <c:v>164032.28849817938</c:v>
                </c:pt>
                <c:pt idx="239">
                  <c:v>162997.92717328295</c:v>
                </c:pt>
                <c:pt idx="240">
                  <c:v>161959.25600953278</c:v>
                </c:pt>
                <c:pt idx="241">
                  <c:v>160916.25704926698</c:v>
                </c:pt>
                <c:pt idx="242">
                  <c:v>159868.91226000007</c:v>
                </c:pt>
                <c:pt idx="243">
                  <c:v>158817.20353411124</c:v>
                </c:pt>
                <c:pt idx="244">
                  <c:v>157761.1126885312</c:v>
                </c:pt>
                <c:pt idx="245">
                  <c:v>156700.62146442791</c:v>
                </c:pt>
                <c:pt idx="246">
                  <c:v>155635.71152689084</c:v>
                </c:pt>
                <c:pt idx="247">
                  <c:v>154566.36446461405</c:v>
                </c:pt>
                <c:pt idx="248">
                  <c:v>153492.56178957777</c:v>
                </c:pt>
                <c:pt idx="249">
                  <c:v>152414.28493672883</c:v>
                </c:pt>
                <c:pt idx="250">
                  <c:v>151331.51526365968</c:v>
                </c:pt>
                <c:pt idx="251">
                  <c:v>150244.23405028609</c:v>
                </c:pt>
                <c:pt idx="252">
                  <c:v>149152.42249852343</c:v>
                </c:pt>
                <c:pt idx="253">
                  <c:v>148056.06173196176</c:v>
                </c:pt>
                <c:pt idx="254">
                  <c:v>146955.13279553942</c:v>
                </c:pt>
                <c:pt idx="255">
                  <c:v>145849.61665521533</c:v>
                </c:pt>
                <c:pt idx="256">
                  <c:v>144739.49419763987</c:v>
                </c:pt>
                <c:pt idx="257">
                  <c:v>143624.74622982452</c:v>
                </c:pt>
                <c:pt idx="258">
                  <c:v>142505.35347880994</c:v>
                </c:pt>
                <c:pt idx="259">
                  <c:v>141381.29659133279</c:v>
                </c:pt>
                <c:pt idx="260">
                  <c:v>140252.55613349116</c:v>
                </c:pt>
                <c:pt idx="261">
                  <c:v>139119.11259040853</c:v>
                </c:pt>
                <c:pt idx="262">
                  <c:v>137980.94636589638</c:v>
                </c:pt>
                <c:pt idx="263">
                  <c:v>136838.03778211543</c:v>
                </c:pt>
                <c:pt idx="264">
                  <c:v>135690.36707923538</c:v>
                </c:pt>
                <c:pt idx="265">
                  <c:v>134537.91441509334</c:v>
                </c:pt>
                <c:pt idx="266">
                  <c:v>133380.65986485072</c:v>
                </c:pt>
                <c:pt idx="267">
                  <c:v>132218.58342064876</c:v>
                </c:pt>
                <c:pt idx="268">
                  <c:v>131051.66499126262</c:v>
                </c:pt>
                <c:pt idx="269">
                  <c:v>129879.88440175403</c:v>
                </c:pt>
                <c:pt idx="270">
                  <c:v>128703.22139312248</c:v>
                </c:pt>
                <c:pt idx="271">
                  <c:v>127521.65562195498</c:v>
                </c:pt>
                <c:pt idx="272">
                  <c:v>126335.16666007429</c:v>
                </c:pt>
                <c:pt idx="273">
                  <c:v>125143.73399418575</c:v>
                </c:pt>
                <c:pt idx="274">
                  <c:v>123947.33702552268</c:v>
                </c:pt>
                <c:pt idx="275">
                  <c:v>122745.95506949017</c:v>
                </c:pt>
                <c:pt idx="276">
                  <c:v>121539.56735530753</c:v>
                </c:pt>
                <c:pt idx="277">
                  <c:v>120328.15302564914</c:v>
                </c:pt>
                <c:pt idx="278">
                  <c:v>119111.69113628383</c:v>
                </c:pt>
                <c:pt idx="279">
                  <c:v>117890.16065571284</c:v>
                </c:pt>
                <c:pt idx="280">
                  <c:v>116663.54046480614</c:v>
                </c:pt>
                <c:pt idx="281">
                  <c:v>115431.80935643731</c:v>
                </c:pt>
                <c:pt idx="282">
                  <c:v>114194.94603511695</c:v>
                </c:pt>
                <c:pt idx="283">
                  <c:v>112952.92911662444</c:v>
                </c:pt>
                <c:pt idx="284">
                  <c:v>111705.73712763819</c:v>
                </c:pt>
                <c:pt idx="285">
                  <c:v>110453.3485053645</c:v>
                </c:pt>
                <c:pt idx="286">
                  <c:v>109195.74159716467</c:v>
                </c:pt>
                <c:pt idx="287">
                  <c:v>107932.89466018068</c:v>
                </c:pt>
                <c:pt idx="288">
                  <c:v>106664.78586095925</c:v>
                </c:pt>
                <c:pt idx="289">
                  <c:v>105391.3932750744</c:v>
                </c:pt>
                <c:pt idx="290">
                  <c:v>104112.69488674836</c:v>
                </c:pt>
                <c:pt idx="291">
                  <c:v>102828.66858847096</c:v>
                </c:pt>
                <c:pt idx="292">
                  <c:v>101539.29218061741</c:v>
                </c:pt>
                <c:pt idx="293">
                  <c:v>100244.54337106447</c:v>
                </c:pt>
                <c:pt idx="294">
                  <c:v>98944.399774805061</c:v>
                </c:pt>
                <c:pt idx="295">
                  <c:v>97638.838913561238</c:v>
                </c:pt>
                <c:pt idx="296">
                  <c:v>96327.838215395561</c:v>
                </c:pt>
                <c:pt idx="297">
                  <c:v>95011.37501432086</c:v>
                </c:pt>
                <c:pt idx="298">
                  <c:v>93689.426549908356</c:v>
                </c:pt>
                <c:pt idx="299">
                  <c:v>92361.969966894132</c:v>
                </c:pt>
                <c:pt idx="300">
                  <c:v>91028.982314784007</c:v>
                </c:pt>
                <c:pt idx="301">
                  <c:v>89690.440547456761</c:v>
                </c:pt>
                <c:pt idx="302">
                  <c:v>88346.321522765647</c:v>
                </c:pt>
                <c:pt idx="303">
                  <c:v>86996.60200213833</c:v>
                </c:pt>
                <c:pt idx="304">
                  <c:v>85641.258650175063</c:v>
                </c:pt>
                <c:pt idx="305">
                  <c:v>84280.26803424528</c:v>
                </c:pt>
                <c:pt idx="306">
                  <c:v>82913.606624082458</c:v>
                </c:pt>
                <c:pt idx="307">
                  <c:v>81541.250791377286</c:v>
                </c:pt>
                <c:pt idx="308">
                  <c:v>80163.176809369179</c:v>
                </c:pt>
                <c:pt idx="309">
                  <c:v>78779.360852436046</c:v>
                </c:pt>
                <c:pt idx="310">
                  <c:v>77389.778995682354</c:v>
                </c:pt>
                <c:pt idx="311">
                  <c:v>75994.40721452552</c:v>
                </c:pt>
                <c:pt idx="312">
                  <c:v>74593.221384280536</c:v>
                </c:pt>
                <c:pt idx="313">
                  <c:v>73186.197279742861</c:v>
                </c:pt>
                <c:pt idx="314">
                  <c:v>71773.31057476961</c:v>
                </c:pt>
                <c:pt idx="315">
                  <c:v>70354.536841858979</c:v>
                </c:pt>
                <c:pt idx="316">
                  <c:v>68929.851551727887</c:v>
                </c:pt>
                <c:pt idx="317">
                  <c:v>67499.230072887905</c:v>
                </c:pt>
                <c:pt idx="318">
                  <c:v>66062.647671219427</c:v>
                </c:pt>
                <c:pt idx="319">
                  <c:v>64620.079509543997</c:v>
                </c:pt>
                <c:pt idx="320">
                  <c:v>63171.500647194916</c:v>
                </c:pt>
                <c:pt idx="321">
                  <c:v>61716.886039586054</c:v>
                </c:pt>
                <c:pt idx="322">
                  <c:v>60256.210537778818</c:v>
                </c:pt>
                <c:pt idx="323">
                  <c:v>58789.448888047387</c:v>
                </c:pt>
                <c:pt idx="324">
                  <c:v>57316.57573144207</c:v>
                </c:pt>
                <c:pt idx="325">
                  <c:v>55837.5656033509</c:v>
                </c:pt>
                <c:pt idx="326">
                  <c:v>54352.392933059353</c:v>
                </c:pt>
                <c:pt idx="327">
                  <c:v>52861.032043308252</c:v>
                </c:pt>
                <c:pt idx="328">
                  <c:v>51363.457149849855</c:v>
                </c:pt>
                <c:pt idx="329">
                  <c:v>49859.64236100205</c:v>
                </c:pt>
                <c:pt idx="330">
                  <c:v>48349.561677200712</c:v>
                </c:pt>
                <c:pt idx="331">
                  <c:v>46833.188990550203</c:v>
                </c:pt>
                <c:pt idx="332">
                  <c:v>45310.498084371982</c:v>
                </c:pt>
                <c:pt idx="333">
                  <c:v>43781.462632751354</c:v>
                </c:pt>
                <c:pt idx="334">
                  <c:v>42246.056200082305</c:v>
                </c:pt>
                <c:pt idx="335">
                  <c:v>40704.252240610469</c:v>
                </c:pt>
                <c:pt idx="336">
                  <c:v>39156.024097974165</c:v>
                </c:pt>
                <c:pt idx="337">
                  <c:v>37601.345004743547</c:v>
                </c:pt>
                <c:pt idx="338">
                  <c:v>36040.1880819578</c:v>
                </c:pt>
                <c:pt idx="339">
                  <c:v>34472.526338660449</c:v>
                </c:pt>
                <c:pt idx="340">
                  <c:v>32898.33267143269</c:v>
                </c:pt>
                <c:pt idx="341">
                  <c:v>31317.579863924813</c:v>
                </c:pt>
                <c:pt idx="342">
                  <c:v>29730.240586385655</c:v>
                </c:pt>
                <c:pt idx="343">
                  <c:v>28136.287395190084</c:v>
                </c:pt>
                <c:pt idx="344">
                  <c:v>26535.692732364532</c:v>
                </c:pt>
                <c:pt idx="345">
                  <c:v>24928.42892511054</c:v>
                </c:pt>
                <c:pt idx="346">
                  <c:v>23314.468185326321</c:v>
                </c:pt>
                <c:pt idx="347">
                  <c:v>21693.782609126334</c:v>
                </c:pt>
                <c:pt idx="348">
                  <c:v>20066.344176358849</c:v>
                </c:pt>
                <c:pt idx="349">
                  <c:v>18432.1247501215</c:v>
                </c:pt>
                <c:pt idx="350">
                  <c:v>16791.096076274829</c:v>
                </c:pt>
                <c:pt idx="351">
                  <c:v>15143.229782953797</c:v>
                </c:pt>
                <c:pt idx="352">
                  <c:v>13488.497380077259</c:v>
                </c:pt>
                <c:pt idx="353">
                  <c:v>11826.870258855402</c:v>
                </c:pt>
                <c:pt idx="354">
                  <c:v>10158.319691295121</c:v>
                </c:pt>
                <c:pt idx="355">
                  <c:v>8482.816829703339</c:v>
                </c:pt>
                <c:pt idx="356">
                  <c:v>6800.3327061882574</c:v>
                </c:pt>
                <c:pt idx="357">
                  <c:v>5110.8382321585304</c:v>
                </c:pt>
                <c:pt idx="358">
                  <c:v>3414.304197820346</c:v>
                </c:pt>
                <c:pt idx="359">
                  <c:v>1710.7012716724191</c:v>
                </c:pt>
                <c:pt idx="360">
                  <c:v>-1.1241354513913393E-9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A-C842-BAFE-CEB977EE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'Chapter 30 - Full'!$G$2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Full'!$G$3:$G$363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A-C842-BAFE-CEB977EE4BC2}"/>
            </c:ext>
          </c:extLst>
        </c:ser>
        <c:ser>
          <c:idx val="2"/>
          <c:order val="1"/>
          <c:tx>
            <c:strRef>
              <c:f>'Chapter 30 - Full'!$H$2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Full'!$H$3:$H$363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A-C842-BAFE-CEB977EE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'Spare Mort Calc'!$G$1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'Spare Mort Calc'!$E$2:$E$361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'Spare Mort Calc'!$G$2:$G$362</c:f>
              <c:numCache>
                <c:formatCode>"$"#,##0.00_);[Red]\("$"#,##0.00\)</c:formatCode>
                <c:ptCount val="361"/>
                <c:pt idx="0">
                  <c:v>533.33333333333337</c:v>
                </c:pt>
                <c:pt idx="1">
                  <c:v>532.56489620196203</c:v>
                </c:pt>
                <c:pt idx="2">
                  <c:v>531.79389761348602</c:v>
                </c:pt>
                <c:pt idx="3">
                  <c:v>531.0203290297153</c:v>
                </c:pt>
                <c:pt idx="4">
                  <c:v>530.24418188399852</c:v>
                </c:pt>
                <c:pt idx="5">
                  <c:v>529.46544758112941</c:v>
                </c:pt>
                <c:pt idx="6">
                  <c:v>528.68411749725067</c:v>
                </c:pt>
                <c:pt idx="7">
                  <c:v>527.90018297975905</c:v>
                </c:pt>
                <c:pt idx="8">
                  <c:v>527.11363534720908</c:v>
                </c:pt>
                <c:pt idx="9">
                  <c:v>526.32446588921732</c:v>
                </c:pt>
                <c:pt idx="10">
                  <c:v>525.53266586636551</c:v>
                </c:pt>
                <c:pt idx="11">
                  <c:v>524.73822651010437</c:v>
                </c:pt>
                <c:pt idx="12">
                  <c:v>523.94113902265553</c:v>
                </c:pt>
                <c:pt idx="13">
                  <c:v>523.14139457691533</c:v>
                </c:pt>
                <c:pt idx="14">
                  <c:v>522.33898431635589</c:v>
                </c:pt>
                <c:pt idx="15">
                  <c:v>521.53389935492794</c:v>
                </c:pt>
                <c:pt idx="16">
                  <c:v>520.7261307769619</c:v>
                </c:pt>
                <c:pt idx="17">
                  <c:v>519.9156696370693</c:v>
                </c:pt>
                <c:pt idx="18">
                  <c:v>519.1025069600438</c:v>
                </c:pt>
                <c:pt idx="19">
                  <c:v>518.28663374076154</c:v>
                </c:pt>
                <c:pt idx="20">
                  <c:v>517.46804094408162</c:v>
                </c:pt>
                <c:pt idx="21">
                  <c:v>516.64671950474622</c:v>
                </c:pt>
                <c:pt idx="22">
                  <c:v>515.82266032727955</c:v>
                </c:pt>
                <c:pt idx="23">
                  <c:v>514.99585428588807</c:v>
                </c:pt>
                <c:pt idx="24">
                  <c:v>514.16629222435847</c:v>
                </c:pt>
                <c:pt idx="25">
                  <c:v>513.33396495595719</c:v>
                </c:pt>
                <c:pt idx="26">
                  <c:v>512.49886326332796</c:v>
                </c:pt>
                <c:pt idx="27">
                  <c:v>511.66097789838989</c:v>
                </c:pt>
                <c:pt idx="28">
                  <c:v>510.82029958223541</c:v>
                </c:pt>
                <c:pt idx="29">
                  <c:v>509.9768190050271</c:v>
                </c:pt>
                <c:pt idx="30">
                  <c:v>509.13052682589472</c:v>
                </c:pt>
                <c:pt idx="31">
                  <c:v>508.28141367283189</c:v>
                </c:pt>
                <c:pt idx="32">
                  <c:v>507.42947014259215</c:v>
                </c:pt>
                <c:pt idx="33">
                  <c:v>506.57468680058503</c:v>
                </c:pt>
                <c:pt idx="34">
                  <c:v>505.71705418077119</c:v>
                </c:pt>
                <c:pt idx="35">
                  <c:v>504.85656278555797</c:v>
                </c:pt>
                <c:pt idx="36">
                  <c:v>503.99320308569406</c:v>
                </c:pt>
                <c:pt idx="37">
                  <c:v>503.12696552016388</c:v>
                </c:pt>
                <c:pt idx="38">
                  <c:v>502.25784049608194</c:v>
                </c:pt>
                <c:pt idx="39">
                  <c:v>501.38581838858647</c:v>
                </c:pt>
                <c:pt idx="40">
                  <c:v>500.51088954073265</c:v>
                </c:pt>
                <c:pt idx="41">
                  <c:v>499.63304426338595</c:v>
                </c:pt>
                <c:pt idx="42">
                  <c:v>498.75227283511481</c:v>
                </c:pt>
                <c:pt idx="43">
                  <c:v>497.86856550208279</c:v>
                </c:pt>
                <c:pt idx="44">
                  <c:v>496.98191247794063</c:v>
                </c:pt>
                <c:pt idx="45">
                  <c:v>496.09230394371798</c:v>
                </c:pt>
                <c:pt idx="46">
                  <c:v>495.19973004771458</c:v>
                </c:pt>
                <c:pt idx="47">
                  <c:v>494.30418090539115</c:v>
                </c:pt>
                <c:pt idx="48">
                  <c:v>493.40564659925997</c:v>
                </c:pt>
                <c:pt idx="49">
                  <c:v>492.50411717877506</c:v>
                </c:pt>
                <c:pt idx="50">
                  <c:v>491.59958266022181</c:v>
                </c:pt>
                <c:pt idx="51">
                  <c:v>490.69203302660679</c:v>
                </c:pt>
                <c:pt idx="52">
                  <c:v>489.78145822754635</c:v>
                </c:pt>
                <c:pt idx="53">
                  <c:v>488.86784817915577</c:v>
                </c:pt>
                <c:pt idx="54">
                  <c:v>487.95119276393723</c:v>
                </c:pt>
                <c:pt idx="55">
                  <c:v>487.03148183066787</c:v>
                </c:pt>
                <c:pt idx="56">
                  <c:v>486.10870519428767</c:v>
                </c:pt>
                <c:pt idx="57">
                  <c:v>485.18285263578622</c:v>
                </c:pt>
                <c:pt idx="58">
                  <c:v>484.25391390208972</c:v>
                </c:pt>
                <c:pt idx="59">
                  <c:v>483.32187870594754</c:v>
                </c:pt>
                <c:pt idx="60">
                  <c:v>482.3867367258182</c:v>
                </c:pt>
                <c:pt idx="61">
                  <c:v>481.44847760575516</c:v>
                </c:pt>
                <c:pt idx="62">
                  <c:v>480.50709095529186</c:v>
                </c:pt>
                <c:pt idx="63">
                  <c:v>479.56256634932703</c:v>
                </c:pt>
                <c:pt idx="64">
                  <c:v>478.61489332800898</c:v>
                </c:pt>
                <c:pt idx="65">
                  <c:v>477.6640613966199</c:v>
                </c:pt>
                <c:pt idx="66">
                  <c:v>476.71006002545954</c:v>
                </c:pt>
                <c:pt idx="67">
                  <c:v>475.75287864972859</c:v>
                </c:pt>
                <c:pt idx="68">
                  <c:v>474.79250666941192</c:v>
                </c:pt>
                <c:pt idx="69">
                  <c:v>473.82893344916084</c:v>
                </c:pt>
                <c:pt idx="70">
                  <c:v>472.86214831817557</c:v>
                </c:pt>
                <c:pt idx="71">
                  <c:v>471.89214057008712</c:v>
                </c:pt>
                <c:pt idx="72">
                  <c:v>470.91889946283823</c:v>
                </c:pt>
                <c:pt idx="73">
                  <c:v>469.9424142185652</c:v>
                </c:pt>
                <c:pt idx="74">
                  <c:v>468.96267402347803</c:v>
                </c:pt>
                <c:pt idx="75">
                  <c:v>467.9796680277405</c:v>
                </c:pt>
                <c:pt idx="76">
                  <c:v>466.99338534535048</c:v>
                </c:pt>
                <c:pt idx="77">
                  <c:v>466.00381505401913</c:v>
                </c:pt>
                <c:pt idx="78">
                  <c:v>465.01094619505011</c:v>
                </c:pt>
                <c:pt idx="79">
                  <c:v>464.0147677732179</c:v>
                </c:pt>
                <c:pt idx="80">
                  <c:v>463.01526875664621</c:v>
                </c:pt>
                <c:pt idx="81">
                  <c:v>462.0124380766859</c:v>
                </c:pt>
                <c:pt idx="82">
                  <c:v>461.00626462779235</c:v>
                </c:pt>
                <c:pt idx="83">
                  <c:v>459.99673726740258</c:v>
                </c:pt>
                <c:pt idx="84">
                  <c:v>458.98384481581144</c:v>
                </c:pt>
                <c:pt idx="85">
                  <c:v>457.96757605604842</c:v>
                </c:pt>
                <c:pt idx="86">
                  <c:v>456.94791973375283</c:v>
                </c:pt>
                <c:pt idx="87">
                  <c:v>455.92486455704955</c:v>
                </c:pt>
                <c:pt idx="88">
                  <c:v>454.89839919642395</c:v>
                </c:pt>
                <c:pt idx="89">
                  <c:v>453.86851228459625</c:v>
                </c:pt>
                <c:pt idx="90">
                  <c:v>452.83519241639578</c:v>
                </c:pt>
                <c:pt idx="91">
                  <c:v>451.79842814863468</c:v>
                </c:pt>
                <c:pt idx="92">
                  <c:v>450.75820799998098</c:v>
                </c:pt>
                <c:pt idx="93">
                  <c:v>449.71452045083186</c:v>
                </c:pt>
                <c:pt idx="94">
                  <c:v>448.6673539431855</c:v>
                </c:pt>
                <c:pt idx="95">
                  <c:v>447.61669688051364</c:v>
                </c:pt>
                <c:pt idx="96">
                  <c:v>446.56253762763288</c:v>
                </c:pt>
                <c:pt idx="97">
                  <c:v>445.50486451057583</c:v>
                </c:pt>
                <c:pt idx="98">
                  <c:v>444.44366581646193</c:v>
                </c:pt>
                <c:pt idx="99">
                  <c:v>443.37892979336772</c:v>
                </c:pt>
                <c:pt idx="100">
                  <c:v>442.31064465019654</c:v>
                </c:pt>
                <c:pt idx="101">
                  <c:v>441.23879855654809</c:v>
                </c:pt>
                <c:pt idx="102">
                  <c:v>440.16337964258742</c:v>
                </c:pt>
                <c:pt idx="103">
                  <c:v>439.08437599891363</c:v>
                </c:pt>
                <c:pt idx="104">
                  <c:v>438.0017756764276</c:v>
                </c:pt>
                <c:pt idx="105">
                  <c:v>436.9155666861999</c:v>
                </c:pt>
                <c:pt idx="106">
                  <c:v>435.82573699933812</c:v>
                </c:pt>
                <c:pt idx="107">
                  <c:v>434.73227454685343</c:v>
                </c:pt>
                <c:pt idx="108">
                  <c:v>433.63516721952715</c:v>
                </c:pt>
                <c:pt idx="109">
                  <c:v>432.53440286777646</c:v>
                </c:pt>
                <c:pt idx="110">
                  <c:v>431.42996930151992</c:v>
                </c:pt>
                <c:pt idx="111">
                  <c:v>430.32185429004249</c:v>
                </c:pt>
                <c:pt idx="112">
                  <c:v>429.21004556186017</c:v>
                </c:pt>
                <c:pt idx="113">
                  <c:v>428.09453080458394</c:v>
                </c:pt>
                <c:pt idx="114">
                  <c:v>426.97529766478345</c:v>
                </c:pt>
                <c:pt idx="115">
                  <c:v>425.85233374785031</c:v>
                </c:pt>
                <c:pt idx="116">
                  <c:v>424.72562661786066</c:v>
                </c:pt>
                <c:pt idx="117">
                  <c:v>423.59516379743775</c:v>
                </c:pt>
                <c:pt idx="118">
                  <c:v>422.46093276761337</c:v>
                </c:pt>
                <c:pt idx="119">
                  <c:v>421.32292096768964</c:v>
                </c:pt>
                <c:pt idx="120">
                  <c:v>420.18111579509952</c:v>
                </c:pt>
                <c:pt idx="121">
                  <c:v>419.03550460526736</c:v>
                </c:pt>
                <c:pt idx="122">
                  <c:v>417.88607471146912</c:v>
                </c:pt>
                <c:pt idx="123">
                  <c:v>416.73281338469155</c:v>
                </c:pt>
                <c:pt idx="124">
                  <c:v>415.57570785349139</c:v>
                </c:pt>
                <c:pt idx="125">
                  <c:v>414.41474530385392</c:v>
                </c:pt>
                <c:pt idx="126">
                  <c:v>413.24991287905101</c:v>
                </c:pt>
                <c:pt idx="127">
                  <c:v>412.0811976794987</c:v>
                </c:pt>
                <c:pt idx="128">
                  <c:v>410.90858676261462</c:v>
                </c:pt>
                <c:pt idx="129">
                  <c:v>409.73206714267417</c:v>
                </c:pt>
                <c:pt idx="130">
                  <c:v>408.55162579066729</c:v>
                </c:pt>
                <c:pt idx="131">
                  <c:v>407.36724963415372</c:v>
                </c:pt>
                <c:pt idx="132">
                  <c:v>406.17892555711848</c:v>
                </c:pt>
                <c:pt idx="133">
                  <c:v>404.9866403998264</c:v>
                </c:pt>
                <c:pt idx="134">
                  <c:v>403.79038095867674</c:v>
                </c:pt>
                <c:pt idx="135">
                  <c:v>402.59013398605651</c:v>
                </c:pt>
                <c:pt idx="136">
                  <c:v>401.38588619019424</c:v>
                </c:pt>
                <c:pt idx="137">
                  <c:v>400.17762423501244</c:v>
                </c:pt>
                <c:pt idx="138">
                  <c:v>398.96533473998005</c:v>
                </c:pt>
                <c:pt idx="139">
                  <c:v>397.7490042799642</c:v>
                </c:pt>
                <c:pt idx="140">
                  <c:v>396.52861938508164</c:v>
                </c:pt>
                <c:pt idx="141">
                  <c:v>395.30416654054949</c:v>
                </c:pt>
                <c:pt idx="142">
                  <c:v>394.07563218653547</c:v>
                </c:pt>
                <c:pt idx="143">
                  <c:v>392.84300271800817</c:v>
                </c:pt>
                <c:pt idx="144">
                  <c:v>391.60626448458572</c:v>
                </c:pt>
                <c:pt idx="145">
                  <c:v>390.36540379038524</c:v>
                </c:pt>
                <c:pt idx="146">
                  <c:v>389.12040689387072</c:v>
                </c:pt>
                <c:pt idx="147">
                  <c:v>387.87126000770115</c:v>
                </c:pt>
                <c:pt idx="148">
                  <c:v>386.61794929857768</c:v>
                </c:pt>
                <c:pt idx="149">
                  <c:v>385.36046088709054</c:v>
                </c:pt>
                <c:pt idx="150">
                  <c:v>384.09878084756502</c:v>
                </c:pt>
                <c:pt idx="151">
                  <c:v>382.83289520790777</c:v>
                </c:pt>
                <c:pt idx="152">
                  <c:v>381.56278994945171</c:v>
                </c:pt>
                <c:pt idx="153">
                  <c:v>380.28845100680076</c:v>
                </c:pt>
                <c:pt idx="154">
                  <c:v>379.00986426767435</c:v>
                </c:pt>
                <c:pt idx="155">
                  <c:v>377.72701557275082</c:v>
                </c:pt>
                <c:pt idx="156">
                  <c:v>376.4398907155109</c:v>
                </c:pt>
                <c:pt idx="157">
                  <c:v>375.1484754420801</c:v>
                </c:pt>
                <c:pt idx="158">
                  <c:v>373.85275545107123</c:v>
                </c:pt>
                <c:pt idx="159">
                  <c:v>372.55271639342573</c:v>
                </c:pt>
                <c:pt idx="160">
                  <c:v>371.24834387225468</c:v>
                </c:pt>
                <c:pt idx="161">
                  <c:v>369.93962344267976</c:v>
                </c:pt>
                <c:pt idx="162">
                  <c:v>368.62654061167291</c:v>
                </c:pt>
                <c:pt idx="163">
                  <c:v>367.30908083789603</c:v>
                </c:pt>
                <c:pt idx="164">
                  <c:v>365.98722953153992</c:v>
                </c:pt>
                <c:pt idx="165">
                  <c:v>364.66097205416258</c:v>
                </c:pt>
                <c:pt idx="166">
                  <c:v>363.33029371852734</c:v>
                </c:pt>
                <c:pt idx="167">
                  <c:v>361.99517978844</c:v>
                </c:pt>
                <c:pt idx="168">
                  <c:v>360.65561547858567</c:v>
                </c:pt>
                <c:pt idx="169">
                  <c:v>359.31158595436517</c:v>
                </c:pt>
                <c:pt idx="170">
                  <c:v>357.96307633173063</c:v>
                </c:pt>
                <c:pt idx="171">
                  <c:v>356.61007167702064</c:v>
                </c:pt>
                <c:pt idx="172">
                  <c:v>355.25255700679492</c:v>
                </c:pt>
                <c:pt idx="173">
                  <c:v>353.89051728766844</c:v>
                </c:pt>
                <c:pt idx="174">
                  <c:v>352.52393743614488</c:v>
                </c:pt>
                <c:pt idx="175">
                  <c:v>351.15280231844963</c:v>
                </c:pt>
                <c:pt idx="176">
                  <c:v>349.77709675036198</c:v>
                </c:pt>
                <c:pt idx="177">
                  <c:v>348.39680549704741</c:v>
                </c:pt>
                <c:pt idx="178">
                  <c:v>347.01191327288842</c:v>
                </c:pt>
                <c:pt idx="179">
                  <c:v>345.62240474131556</c:v>
                </c:pt>
                <c:pt idx="180">
                  <c:v>344.22826451463749</c:v>
                </c:pt>
                <c:pt idx="181">
                  <c:v>342.82947715387053</c:v>
                </c:pt>
                <c:pt idx="182">
                  <c:v>341.42602716856766</c:v>
                </c:pt>
                <c:pt idx="183">
                  <c:v>340.01789901664711</c:v>
                </c:pt>
                <c:pt idx="184">
                  <c:v>338.60507710422013</c:v>
                </c:pt>
                <c:pt idx="185">
                  <c:v>337.18754578541842</c:v>
                </c:pt>
                <c:pt idx="186">
                  <c:v>335.76528936222064</c:v>
                </c:pt>
                <c:pt idx="187">
                  <c:v>334.33829208427898</c:v>
                </c:pt>
                <c:pt idx="188">
                  <c:v>332.90653814874412</c:v>
                </c:pt>
                <c:pt idx="189">
                  <c:v>331.47001170009082</c:v>
                </c:pt>
                <c:pt idx="190">
                  <c:v>330.02869682994196</c:v>
                </c:pt>
                <c:pt idx="191">
                  <c:v>328.58257757689267</c:v>
                </c:pt>
                <c:pt idx="192">
                  <c:v>327.13163792633316</c:v>
                </c:pt>
                <c:pt idx="193">
                  <c:v>325.67586181027184</c:v>
                </c:pt>
                <c:pt idx="194">
                  <c:v>324.21523310715696</c:v>
                </c:pt>
                <c:pt idx="195">
                  <c:v>322.74973564169835</c:v>
                </c:pt>
                <c:pt idx="196">
                  <c:v>321.2793531846882</c:v>
                </c:pt>
                <c:pt idx="197">
                  <c:v>319.80406945282141</c:v>
                </c:pt>
                <c:pt idx="198">
                  <c:v>318.32386810851506</c:v>
                </c:pt>
                <c:pt idx="199">
                  <c:v>316.83873275972763</c:v>
                </c:pt>
                <c:pt idx="200">
                  <c:v>315.34864695977762</c:v>
                </c:pt>
                <c:pt idx="201">
                  <c:v>313.85359420716111</c:v>
                </c:pt>
                <c:pt idx="202">
                  <c:v>312.35355794536918</c:v>
                </c:pt>
                <c:pt idx="203">
                  <c:v>310.8485215627046</c:v>
                </c:pt>
                <c:pt idx="204">
                  <c:v>309.33846839209787</c:v>
                </c:pt>
                <c:pt idx="205">
                  <c:v>307.82338171092243</c:v>
                </c:pt>
                <c:pt idx="206">
                  <c:v>306.3032447408097</c:v>
                </c:pt>
                <c:pt idx="207">
                  <c:v>304.77804064746334</c:v>
                </c:pt>
                <c:pt idx="208">
                  <c:v>303.24775254047239</c:v>
                </c:pt>
                <c:pt idx="209">
                  <c:v>301.71236347312487</c:v>
                </c:pt>
                <c:pt idx="210">
                  <c:v>300.17185644221951</c:v>
                </c:pt>
                <c:pt idx="211">
                  <c:v>298.62621438787778</c:v>
                </c:pt>
                <c:pt idx="212">
                  <c:v>297.07542019335494</c:v>
                </c:pt>
                <c:pt idx="213">
                  <c:v>295.5194566848503</c:v>
                </c:pt>
                <c:pt idx="214">
                  <c:v>293.95830663131738</c:v>
                </c:pt>
                <c:pt idx="215">
                  <c:v>292.39195274427266</c:v>
                </c:pt>
                <c:pt idx="216">
                  <c:v>290.82037767760443</c:v>
                </c:pt>
                <c:pt idx="217">
                  <c:v>289.24356402738067</c:v>
                </c:pt>
                <c:pt idx="218">
                  <c:v>287.66149433165617</c:v>
                </c:pt>
                <c:pt idx="219">
                  <c:v>286.07415107027924</c:v>
                </c:pt>
                <c:pt idx="220">
                  <c:v>284.48151666469772</c:v>
                </c:pt>
                <c:pt idx="221">
                  <c:v>282.88357347776429</c:v>
                </c:pt>
                <c:pt idx="222">
                  <c:v>281.28030381354102</c:v>
                </c:pt>
                <c:pt idx="223">
                  <c:v>279.67168991710372</c:v>
                </c:pt>
                <c:pt idx="224">
                  <c:v>278.05771397434495</c:v>
                </c:pt>
                <c:pt idx="225">
                  <c:v>276.43835811177695</c:v>
                </c:pt>
                <c:pt idx="226">
                  <c:v>274.8136043963338</c:v>
                </c:pt>
                <c:pt idx="227">
                  <c:v>273.18343483517242</c:v>
                </c:pt>
                <c:pt idx="228">
                  <c:v>271.54783137547389</c:v>
                </c:pt>
                <c:pt idx="229">
                  <c:v>269.90677590424298</c:v>
                </c:pt>
                <c:pt idx="230">
                  <c:v>268.26025024810804</c:v>
                </c:pt>
                <c:pt idx="231">
                  <c:v>266.60823617311928</c:v>
                </c:pt>
                <c:pt idx="232">
                  <c:v>264.95071538454721</c:v>
                </c:pt>
                <c:pt idx="233">
                  <c:v>263.28766952667991</c:v>
                </c:pt>
                <c:pt idx="234">
                  <c:v>261.61908018261977</c:v>
                </c:pt>
                <c:pt idx="235">
                  <c:v>259.94492887407938</c:v>
                </c:pt>
                <c:pt idx="236">
                  <c:v>258.26519706117722</c:v>
                </c:pt>
                <c:pt idx="237">
                  <c:v>256.57986614223205</c:v>
                </c:pt>
                <c:pt idx="238">
                  <c:v>254.88891745355699</c:v>
                </c:pt>
                <c:pt idx="239">
                  <c:v>253.19233226925306</c:v>
                </c:pt>
                <c:pt idx="240">
                  <c:v>251.49009180100145</c:v>
                </c:pt>
                <c:pt idx="241">
                  <c:v>249.7821771978557</c:v>
                </c:pt>
                <c:pt idx="242">
                  <c:v>248.06856954603279</c:v>
                </c:pt>
                <c:pt idx="243">
                  <c:v>246.34924986870379</c:v>
                </c:pt>
                <c:pt idx="244">
                  <c:v>244.62419912578369</c:v>
                </c:pt>
                <c:pt idx="245">
                  <c:v>242.89339821372053</c:v>
                </c:pt>
                <c:pt idx="246">
                  <c:v>241.15682796528381</c:v>
                </c:pt>
                <c:pt idx="247">
                  <c:v>239.4144691493523</c:v>
                </c:pt>
                <c:pt idx="248">
                  <c:v>237.66630247070103</c:v>
                </c:pt>
                <c:pt idx="249">
                  <c:v>235.91230856978757</c:v>
                </c:pt>
                <c:pt idx="250">
                  <c:v>234.15246802253776</c:v>
                </c:pt>
                <c:pt idx="251">
                  <c:v>232.38676134013045</c:v>
                </c:pt>
                <c:pt idx="252">
                  <c:v>230.61516896878177</c:v>
                </c:pt>
                <c:pt idx="253">
                  <c:v>228.83767128952857</c:v>
                </c:pt>
                <c:pt idx="254">
                  <c:v>227.0542486180112</c:v>
                </c:pt>
                <c:pt idx="255">
                  <c:v>225.26488120425546</c:v>
                </c:pt>
                <c:pt idx="256">
                  <c:v>223.46954923245389</c:v>
                </c:pt>
                <c:pt idx="257">
                  <c:v>221.66823282074625</c:v>
                </c:pt>
                <c:pt idx="258">
                  <c:v>219.86091202099965</c:v>
                </c:pt>
                <c:pt idx="259">
                  <c:v>218.0475668185872</c:v>
                </c:pt>
                <c:pt idx="260">
                  <c:v>216.22817713216668</c:v>
                </c:pt>
                <c:pt idx="261">
                  <c:v>214.40272281345813</c:v>
                </c:pt>
                <c:pt idx="262">
                  <c:v>212.57118364702055</c:v>
                </c:pt>
                <c:pt idx="263">
                  <c:v>210.73353935002817</c:v>
                </c:pt>
                <c:pt idx="264">
                  <c:v>208.88976957204582</c:v>
                </c:pt>
                <c:pt idx="265">
                  <c:v>207.03985389480351</c:v>
                </c:pt>
                <c:pt idx="266">
                  <c:v>205.1837718319704</c:v>
                </c:pt>
                <c:pt idx="267">
                  <c:v>203.32150282892786</c:v>
                </c:pt>
                <c:pt idx="268">
                  <c:v>201.45302626254184</c:v>
                </c:pt>
                <c:pt idx="269">
                  <c:v>199.57832144093453</c:v>
                </c:pt>
                <c:pt idx="270">
                  <c:v>197.6973676032552</c:v>
                </c:pt>
                <c:pt idx="271">
                  <c:v>195.81014391945027</c:v>
                </c:pt>
                <c:pt idx="272">
                  <c:v>193.91662949003265</c:v>
                </c:pt>
                <c:pt idx="273">
                  <c:v>192.01680334585029</c:v>
                </c:pt>
                <c:pt idx="274">
                  <c:v>190.11064444785401</c:v>
                </c:pt>
                <c:pt idx="275">
                  <c:v>188.1981316868644</c:v>
                </c:pt>
                <c:pt idx="276">
                  <c:v>186.27924388333815</c:v>
                </c:pt>
                <c:pt idx="277">
                  <c:v>184.3539597871335</c:v>
                </c:pt>
                <c:pt idx="278">
                  <c:v>182.42225807727482</c:v>
                </c:pt>
                <c:pt idx="279">
                  <c:v>180.48411736171661</c:v>
                </c:pt>
                <c:pt idx="280">
                  <c:v>178.53951617710655</c:v>
                </c:pt>
                <c:pt idx="281">
                  <c:v>176.58843298854779</c:v>
                </c:pt>
                <c:pt idx="282">
                  <c:v>174.63084618936048</c:v>
                </c:pt>
                <c:pt idx="283">
                  <c:v>172.66673410084258</c:v>
                </c:pt>
                <c:pt idx="284">
                  <c:v>170.69607497202958</c:v>
                </c:pt>
                <c:pt idx="285">
                  <c:v>168.7188469794539</c:v>
                </c:pt>
                <c:pt idx="286">
                  <c:v>166.73502822690295</c:v>
                </c:pt>
                <c:pt idx="287">
                  <c:v>164.74459674517684</c:v>
                </c:pt>
                <c:pt idx="288">
                  <c:v>162.74753049184497</c:v>
                </c:pt>
                <c:pt idx="289">
                  <c:v>160.743807351002</c:v>
                </c:pt>
                <c:pt idx="290">
                  <c:v>158.73340513302287</c:v>
                </c:pt>
                <c:pt idx="291">
                  <c:v>156.71630157431719</c:v>
                </c:pt>
                <c:pt idx="292">
                  <c:v>154.69247433708244</c:v>
                </c:pt>
                <c:pt idx="293">
                  <c:v>152.66190100905692</c:v>
                </c:pt>
                <c:pt idx="294">
                  <c:v>150.62455910327131</c:v>
                </c:pt>
                <c:pt idx="295">
                  <c:v>148.5804260577998</c:v>
                </c:pt>
                <c:pt idx="296">
                  <c:v>146.52947923551</c:v>
                </c:pt>
                <c:pt idx="297">
                  <c:v>144.47169592381258</c:v>
                </c:pt>
                <c:pt idx="298">
                  <c:v>142.40705333440948</c:v>
                </c:pt>
                <c:pt idx="299">
                  <c:v>140.33552860304172</c:v>
                </c:pt>
                <c:pt idx="300">
                  <c:v>138.2570987892361</c:v>
                </c:pt>
                <c:pt idx="301">
                  <c:v>136.1717408760511</c:v>
                </c:pt>
                <c:pt idx="302">
                  <c:v>134.07943176982215</c:v>
                </c:pt>
                <c:pt idx="303">
                  <c:v>131.98014829990575</c:v>
                </c:pt>
                <c:pt idx="304">
                  <c:v>129.87386721842299</c:v>
                </c:pt>
                <c:pt idx="305">
                  <c:v>127.76056520000195</c:v>
                </c:pt>
                <c:pt idx="306">
                  <c:v>125.64021884151951</c:v>
                </c:pt>
                <c:pt idx="307">
                  <c:v>123.51280466184213</c:v>
                </c:pt>
                <c:pt idx="308">
                  <c:v>121.37829910156582</c:v>
                </c:pt>
                <c:pt idx="309">
                  <c:v>119.23667852275526</c:v>
                </c:pt>
                <c:pt idx="310">
                  <c:v>117.08791920868198</c:v>
                </c:pt>
                <c:pt idx="311">
                  <c:v>114.93199736356181</c:v>
                </c:pt>
                <c:pt idx="312">
                  <c:v>112.76888911229122</c:v>
                </c:pt>
                <c:pt idx="313">
                  <c:v>110.59857050018309</c:v>
                </c:pt>
                <c:pt idx="314">
                  <c:v>108.42101749270124</c:v>
                </c:pt>
                <c:pt idx="315">
                  <c:v>106.23620597519447</c:v>
                </c:pt>
                <c:pt idx="316">
                  <c:v>104.04411175262933</c:v>
                </c:pt>
                <c:pt idx="317">
                  <c:v>101.8447105493223</c:v>
                </c:pt>
                <c:pt idx="318">
                  <c:v>99.637978008670927</c:v>
                </c:pt>
                <c:pt idx="319">
                  <c:v>97.423889692884046</c:v>
                </c:pt>
                <c:pt idx="320">
                  <c:v>95.202421082711211</c:v>
                </c:pt>
                <c:pt idx="321">
                  <c:v>92.973547577171132</c:v>
                </c:pt>
                <c:pt idx="322">
                  <c:v>90.737244493279249</c:v>
                </c:pt>
                <c:pt idx="323">
                  <c:v>88.493487065774389</c:v>
                </c:pt>
                <c:pt idx="324">
                  <c:v>86.242250446844523</c:v>
                </c:pt>
                <c:pt idx="325">
                  <c:v>83.98350970585156</c:v>
                </c:pt>
                <c:pt idx="326">
                  <c:v>81.717239829055288</c:v>
                </c:pt>
                <c:pt idx="327">
                  <c:v>79.443415719336357</c:v>
                </c:pt>
                <c:pt idx="328">
                  <c:v>77.162012195918351</c:v>
                </c:pt>
                <c:pt idx="329">
                  <c:v>74.873003994088975</c:v>
                </c:pt>
                <c:pt idx="330">
                  <c:v>72.576365764920155</c:v>
                </c:pt>
                <c:pt idx="331">
                  <c:v>70.27207207498742</c:v>
                </c:pt>
                <c:pt idx="332">
                  <c:v>67.960097406088266</c:v>
                </c:pt>
                <c:pt idx="333">
                  <c:v>65.640416154959453</c:v>
                </c:pt>
                <c:pt idx="334">
                  <c:v>63.313002632993523</c:v>
                </c:pt>
                <c:pt idx="335">
                  <c:v>60.977831065954383</c:v>
                </c:pt>
                <c:pt idx="336">
                  <c:v>58.634875593691774</c:v>
                </c:pt>
                <c:pt idx="337">
                  <c:v>56.284110269854963</c:v>
                </c:pt>
                <c:pt idx="338">
                  <c:v>53.925509061605361</c:v>
                </c:pt>
                <c:pt idx="339">
                  <c:v>51.559045849328264</c:v>
                </c:pt>
                <c:pt idx="340">
                  <c:v>49.184694426343576</c:v>
                </c:pt>
                <c:pt idx="341">
                  <c:v>46.802428498615598</c:v>
                </c:pt>
                <c:pt idx="342">
                  <c:v>44.412221684461862</c:v>
                </c:pt>
                <c:pt idx="343">
                  <c:v>42.014047514260959</c:v>
                </c:pt>
                <c:pt idx="344">
                  <c:v>39.607879430159379</c:v>
                </c:pt>
                <c:pt idx="345">
                  <c:v>37.193690785777456</c:v>
                </c:pt>
                <c:pt idx="346">
                  <c:v>34.771454845914263</c:v>
                </c:pt>
                <c:pt idx="347">
                  <c:v>32.341144786251533</c:v>
                </c:pt>
                <c:pt idx="348">
                  <c:v>29.902733693056582</c:v>
                </c:pt>
                <c:pt idx="349">
                  <c:v>27.45619456288432</c:v>
                </c:pt>
                <c:pt idx="350">
                  <c:v>25.001500302278153</c:v>
                </c:pt>
                <c:pt idx="351">
                  <c:v>22.538623727469961</c:v>
                </c:pt>
                <c:pt idx="352">
                  <c:v>20.067537564079078</c:v>
                </c:pt>
                <c:pt idx="353">
                  <c:v>17.588214446810227</c:v>
                </c:pt>
                <c:pt idx="354">
                  <c:v>15.100626919150477</c:v>
                </c:pt>
                <c:pt idx="355">
                  <c:v>12.604747433065194</c:v>
                </c:pt>
                <c:pt idx="356">
                  <c:v>10.100548348692961</c:v>
                </c:pt>
                <c:pt idx="357">
                  <c:v>7.5880019340394869</c:v>
                </c:pt>
                <c:pt idx="358">
                  <c:v>5.0670803646705007</c:v>
                </c:pt>
                <c:pt idx="359">
                  <c:v>2.5377557234036185</c:v>
                </c:pt>
                <c:pt idx="360">
                  <c:v>-8.2006105609859035E-13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BA4C-91E4-31B256A9169F}"/>
            </c:ext>
          </c:extLst>
        </c:ser>
        <c:ser>
          <c:idx val="2"/>
          <c:order val="1"/>
          <c:tx>
            <c:strRef>
              <c:f>'Spare Mort Calc'!$H$1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'Spare Mort Calc'!$E$2:$E$361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'Spare Mort Calc'!$H$2:$H$362</c:f>
              <c:numCache>
                <c:formatCode>"$"#,##0.00_);[Red]\("$"#,##0.00\)</c:formatCode>
                <c:ptCount val="361"/>
                <c:pt idx="0">
                  <c:v>230.5311394114018</c:v>
                </c:pt>
                <c:pt idx="1">
                  <c:v>231.29957654277314</c:v>
                </c:pt>
                <c:pt idx="2">
                  <c:v>232.07057513124914</c:v>
                </c:pt>
                <c:pt idx="3">
                  <c:v>232.84414371501987</c:v>
                </c:pt>
                <c:pt idx="4">
                  <c:v>233.62029086073665</c:v>
                </c:pt>
                <c:pt idx="5">
                  <c:v>234.39902516360576</c:v>
                </c:pt>
                <c:pt idx="6">
                  <c:v>235.1803552474845</c:v>
                </c:pt>
                <c:pt idx="7">
                  <c:v>235.96428976497612</c:v>
                </c:pt>
                <c:pt idx="8">
                  <c:v>236.75083739752608</c:v>
                </c:pt>
                <c:pt idx="9">
                  <c:v>237.54000685551784</c:v>
                </c:pt>
                <c:pt idx="10">
                  <c:v>238.33180687836966</c:v>
                </c:pt>
                <c:pt idx="11">
                  <c:v>239.1262462346308</c:v>
                </c:pt>
                <c:pt idx="12">
                  <c:v>239.92333372207963</c:v>
                </c:pt>
                <c:pt idx="13">
                  <c:v>240.72307816781984</c:v>
                </c:pt>
                <c:pt idx="14">
                  <c:v>241.52548842837928</c:v>
                </c:pt>
                <c:pt idx="15">
                  <c:v>242.33057338980723</c:v>
                </c:pt>
                <c:pt idx="16">
                  <c:v>243.13834196777327</c:v>
                </c:pt>
                <c:pt idx="17">
                  <c:v>243.94880310766587</c:v>
                </c:pt>
                <c:pt idx="18">
                  <c:v>244.76196578469137</c:v>
                </c:pt>
                <c:pt idx="19">
                  <c:v>245.57783900397362</c:v>
                </c:pt>
                <c:pt idx="20">
                  <c:v>246.39643180065354</c:v>
                </c:pt>
                <c:pt idx="21">
                  <c:v>247.21775323998895</c:v>
                </c:pt>
                <c:pt idx="22">
                  <c:v>248.04181241745562</c:v>
                </c:pt>
                <c:pt idx="23">
                  <c:v>248.8686184588471</c:v>
                </c:pt>
                <c:pt idx="24">
                  <c:v>249.6981805203767</c:v>
                </c:pt>
                <c:pt idx="25">
                  <c:v>250.53050778877798</c:v>
                </c:pt>
                <c:pt idx="26">
                  <c:v>251.3656094814072</c:v>
                </c:pt>
                <c:pt idx="27">
                  <c:v>252.20349484634528</c:v>
                </c:pt>
                <c:pt idx="28">
                  <c:v>253.04417316249976</c:v>
                </c:pt>
                <c:pt idx="29">
                  <c:v>253.88765373970807</c:v>
                </c:pt>
                <c:pt idx="30">
                  <c:v>254.73394591884045</c:v>
                </c:pt>
                <c:pt idx="31">
                  <c:v>255.58305907190328</c:v>
                </c:pt>
                <c:pt idx="32">
                  <c:v>256.43500260214302</c:v>
                </c:pt>
                <c:pt idx="33">
                  <c:v>257.28978594415014</c:v>
                </c:pt>
                <c:pt idx="34">
                  <c:v>258.14741856396398</c:v>
                </c:pt>
                <c:pt idx="35">
                  <c:v>259.0079099591772</c:v>
                </c:pt>
                <c:pt idx="36">
                  <c:v>259.8712696590411</c:v>
                </c:pt>
                <c:pt idx="37">
                  <c:v>260.73750722457129</c:v>
                </c:pt>
                <c:pt idx="38">
                  <c:v>261.60663224865323</c:v>
                </c:pt>
                <c:pt idx="39">
                  <c:v>262.4786543561487</c:v>
                </c:pt>
                <c:pt idx="40">
                  <c:v>263.35358320400252</c:v>
                </c:pt>
                <c:pt idx="41">
                  <c:v>264.23142848134921</c:v>
                </c:pt>
                <c:pt idx="42">
                  <c:v>265.11219990962036</c:v>
                </c:pt>
                <c:pt idx="43">
                  <c:v>265.99590724265238</c:v>
                </c:pt>
                <c:pt idx="44">
                  <c:v>266.88256026679454</c:v>
                </c:pt>
                <c:pt idx="45">
                  <c:v>267.77216880101719</c:v>
                </c:pt>
                <c:pt idx="46">
                  <c:v>268.66474269702059</c:v>
                </c:pt>
                <c:pt idx="47">
                  <c:v>269.56029183934402</c:v>
                </c:pt>
                <c:pt idx="48">
                  <c:v>270.4588261454752</c:v>
                </c:pt>
                <c:pt idx="49">
                  <c:v>271.36035556596011</c:v>
                </c:pt>
                <c:pt idx="50">
                  <c:v>272.26489008451335</c:v>
                </c:pt>
                <c:pt idx="51">
                  <c:v>273.17243971812837</c:v>
                </c:pt>
                <c:pt idx="52">
                  <c:v>274.08301451718881</c:v>
                </c:pt>
                <c:pt idx="53">
                  <c:v>274.9966245655794</c:v>
                </c:pt>
                <c:pt idx="54">
                  <c:v>275.91327998079794</c:v>
                </c:pt>
                <c:pt idx="55">
                  <c:v>276.8329909140673</c:v>
                </c:pt>
                <c:pt idx="56">
                  <c:v>277.7557675504475</c:v>
                </c:pt>
                <c:pt idx="57">
                  <c:v>278.68162010894895</c:v>
                </c:pt>
                <c:pt idx="58">
                  <c:v>279.61055884264545</c:v>
                </c:pt>
                <c:pt idx="59">
                  <c:v>280.54259403878763</c:v>
                </c:pt>
                <c:pt idx="60">
                  <c:v>281.47773601891697</c:v>
                </c:pt>
                <c:pt idx="61">
                  <c:v>282.41599513898001</c:v>
                </c:pt>
                <c:pt idx="62">
                  <c:v>283.35738178944331</c:v>
                </c:pt>
                <c:pt idx="63">
                  <c:v>284.30190639540814</c:v>
                </c:pt>
                <c:pt idx="64">
                  <c:v>285.24957941672619</c:v>
                </c:pt>
                <c:pt idx="65">
                  <c:v>286.20041134811527</c:v>
                </c:pt>
                <c:pt idx="66">
                  <c:v>287.15441271927563</c:v>
                </c:pt>
                <c:pt idx="67">
                  <c:v>288.11159409500658</c:v>
                </c:pt>
                <c:pt idx="68">
                  <c:v>289.07196607532325</c:v>
                </c:pt>
                <c:pt idx="69">
                  <c:v>290.03553929557432</c:v>
                </c:pt>
                <c:pt idx="70">
                  <c:v>291.0023244265596</c:v>
                </c:pt>
                <c:pt idx="71">
                  <c:v>291.97233217464805</c:v>
                </c:pt>
                <c:pt idx="72">
                  <c:v>292.94557328189694</c:v>
                </c:pt>
                <c:pt idx="73">
                  <c:v>293.92205852616996</c:v>
                </c:pt>
                <c:pt idx="74">
                  <c:v>294.90179872125714</c:v>
                </c:pt>
                <c:pt idx="75">
                  <c:v>295.88480471699467</c:v>
                </c:pt>
                <c:pt idx="76">
                  <c:v>296.87108739938469</c:v>
                </c:pt>
                <c:pt idx="77">
                  <c:v>297.86065769071604</c:v>
                </c:pt>
                <c:pt idx="78">
                  <c:v>298.85352654968506</c:v>
                </c:pt>
                <c:pt idx="79">
                  <c:v>299.84970497151727</c:v>
                </c:pt>
                <c:pt idx="80">
                  <c:v>300.84920398808896</c:v>
                </c:pt>
                <c:pt idx="81">
                  <c:v>301.85203466804927</c:v>
                </c:pt>
                <c:pt idx="82">
                  <c:v>302.85820811694282</c:v>
                </c:pt>
                <c:pt idx="83">
                  <c:v>303.86773547733259</c:v>
                </c:pt>
                <c:pt idx="84">
                  <c:v>304.88062792892373</c:v>
                </c:pt>
                <c:pt idx="85">
                  <c:v>305.89689668868675</c:v>
                </c:pt>
                <c:pt idx="86">
                  <c:v>306.91655301098234</c:v>
                </c:pt>
                <c:pt idx="87">
                  <c:v>307.93960818768562</c:v>
                </c:pt>
                <c:pt idx="88">
                  <c:v>308.96607354831121</c:v>
                </c:pt>
                <c:pt idx="89">
                  <c:v>309.99596046013892</c:v>
                </c:pt>
                <c:pt idx="90">
                  <c:v>311.02928032833938</c:v>
                </c:pt>
                <c:pt idx="91">
                  <c:v>312.06604459610048</c:v>
                </c:pt>
                <c:pt idx="92">
                  <c:v>313.10626474475418</c:v>
                </c:pt>
                <c:pt idx="93">
                  <c:v>314.14995229390331</c:v>
                </c:pt>
                <c:pt idx="94">
                  <c:v>315.19711880154966</c:v>
                </c:pt>
                <c:pt idx="95">
                  <c:v>316.24777586422152</c:v>
                </c:pt>
                <c:pt idx="96">
                  <c:v>317.30193511710229</c:v>
                </c:pt>
                <c:pt idx="97">
                  <c:v>318.35960823415934</c:v>
                </c:pt>
                <c:pt idx="98">
                  <c:v>319.42080692827324</c:v>
                </c:pt>
                <c:pt idx="99">
                  <c:v>320.48554295136745</c:v>
                </c:pt>
                <c:pt idx="100">
                  <c:v>321.55382809453863</c:v>
                </c:pt>
                <c:pt idx="101">
                  <c:v>322.62567418818708</c:v>
                </c:pt>
                <c:pt idx="102">
                  <c:v>323.70109310214775</c:v>
                </c:pt>
                <c:pt idx="103">
                  <c:v>324.78009674582154</c:v>
                </c:pt>
                <c:pt idx="104">
                  <c:v>325.86269706830757</c:v>
                </c:pt>
                <c:pt idx="105">
                  <c:v>326.94890605853527</c:v>
                </c:pt>
                <c:pt idx="106">
                  <c:v>328.03873574539705</c:v>
                </c:pt>
                <c:pt idx="107">
                  <c:v>329.13219819788173</c:v>
                </c:pt>
                <c:pt idx="108">
                  <c:v>330.22930552520802</c:v>
                </c:pt>
                <c:pt idx="109">
                  <c:v>331.3300698769587</c:v>
                </c:pt>
                <c:pt idx="110">
                  <c:v>332.43450344321525</c:v>
                </c:pt>
                <c:pt idx="111">
                  <c:v>333.54261845469267</c:v>
                </c:pt>
                <c:pt idx="112">
                  <c:v>334.654427182875</c:v>
                </c:pt>
                <c:pt idx="113">
                  <c:v>335.76994194015123</c:v>
                </c:pt>
                <c:pt idx="114">
                  <c:v>336.88917507995171</c:v>
                </c:pt>
                <c:pt idx="115">
                  <c:v>338.01213899688486</c:v>
                </c:pt>
                <c:pt idx="116">
                  <c:v>339.13884612687451</c:v>
                </c:pt>
                <c:pt idx="117">
                  <c:v>340.26930894729742</c:v>
                </c:pt>
                <c:pt idx="118">
                  <c:v>341.4035399771218</c:v>
                </c:pt>
                <c:pt idx="119">
                  <c:v>342.54155177704553</c:v>
                </c:pt>
                <c:pt idx="120">
                  <c:v>343.68335694963565</c:v>
                </c:pt>
                <c:pt idx="121">
                  <c:v>344.8289681394678</c:v>
                </c:pt>
                <c:pt idx="122">
                  <c:v>345.97839803326605</c:v>
                </c:pt>
                <c:pt idx="123">
                  <c:v>347.13165936004361</c:v>
                </c:pt>
                <c:pt idx="124">
                  <c:v>348.28876489124377</c:v>
                </c:pt>
                <c:pt idx="125">
                  <c:v>349.44972744088125</c:v>
                </c:pt>
                <c:pt idx="126">
                  <c:v>350.61455986568416</c:v>
                </c:pt>
                <c:pt idx="127">
                  <c:v>351.78327506523647</c:v>
                </c:pt>
                <c:pt idx="128">
                  <c:v>352.95588598212055</c:v>
                </c:pt>
                <c:pt idx="129">
                  <c:v>354.132405602061</c:v>
                </c:pt>
                <c:pt idx="130">
                  <c:v>355.31284695406788</c:v>
                </c:pt>
                <c:pt idx="131">
                  <c:v>356.49722311058144</c:v>
                </c:pt>
                <c:pt idx="132">
                  <c:v>357.68554718761669</c:v>
                </c:pt>
                <c:pt idx="133">
                  <c:v>358.87783234490877</c:v>
                </c:pt>
                <c:pt idx="134">
                  <c:v>360.07409178605843</c:v>
                </c:pt>
                <c:pt idx="135">
                  <c:v>361.27433875867865</c:v>
                </c:pt>
                <c:pt idx="136">
                  <c:v>362.47858655454093</c:v>
                </c:pt>
                <c:pt idx="137">
                  <c:v>363.68684850972272</c:v>
                </c:pt>
                <c:pt idx="138">
                  <c:v>364.89913800475512</c:v>
                </c:pt>
                <c:pt idx="139">
                  <c:v>366.11546846477097</c:v>
                </c:pt>
                <c:pt idx="140">
                  <c:v>367.33585335965353</c:v>
                </c:pt>
                <c:pt idx="141">
                  <c:v>368.56030620418568</c:v>
                </c:pt>
                <c:pt idx="142">
                  <c:v>369.78884055819969</c:v>
                </c:pt>
                <c:pt idx="143">
                  <c:v>371.021470026727</c:v>
                </c:pt>
                <c:pt idx="144">
                  <c:v>372.25820826014944</c:v>
                </c:pt>
                <c:pt idx="145">
                  <c:v>373.49906895434992</c:v>
                </c:pt>
                <c:pt idx="146">
                  <c:v>374.74406585086444</c:v>
                </c:pt>
                <c:pt idx="147">
                  <c:v>375.99321273703401</c:v>
                </c:pt>
                <c:pt idx="148">
                  <c:v>377.24652344615748</c:v>
                </c:pt>
                <c:pt idx="149">
                  <c:v>378.50401185764463</c:v>
                </c:pt>
                <c:pt idx="150">
                  <c:v>379.76569189717014</c:v>
                </c:pt>
                <c:pt idx="151">
                  <c:v>381.0315775368274</c:v>
                </c:pt>
                <c:pt idx="152">
                  <c:v>382.30168279528345</c:v>
                </c:pt>
                <c:pt idx="153">
                  <c:v>383.57602173793441</c:v>
                </c:pt>
                <c:pt idx="154">
                  <c:v>384.85460847706082</c:v>
                </c:pt>
                <c:pt idx="155">
                  <c:v>386.13745717198435</c:v>
                </c:pt>
                <c:pt idx="156">
                  <c:v>387.42458202922427</c:v>
                </c:pt>
                <c:pt idx="157">
                  <c:v>388.71599730265507</c:v>
                </c:pt>
                <c:pt idx="158">
                  <c:v>390.01171729366393</c:v>
                </c:pt>
                <c:pt idx="159">
                  <c:v>391.31175635130944</c:v>
                </c:pt>
                <c:pt idx="160">
                  <c:v>392.61612887248049</c:v>
                </c:pt>
                <c:pt idx="161">
                  <c:v>393.92484930205541</c:v>
                </c:pt>
                <c:pt idx="162">
                  <c:v>395.23793213306226</c:v>
                </c:pt>
                <c:pt idx="163">
                  <c:v>396.55539190683913</c:v>
                </c:pt>
                <c:pt idx="164">
                  <c:v>397.87724321319524</c:v>
                </c:pt>
                <c:pt idx="165">
                  <c:v>399.20350069057258</c:v>
                </c:pt>
                <c:pt idx="166">
                  <c:v>400.53417902620782</c:v>
                </c:pt>
                <c:pt idx="167">
                  <c:v>401.86929295629517</c:v>
                </c:pt>
                <c:pt idx="168">
                  <c:v>403.20885726614949</c:v>
                </c:pt>
                <c:pt idx="169">
                  <c:v>404.55288679037</c:v>
                </c:pt>
                <c:pt idx="170">
                  <c:v>405.90139641300453</c:v>
                </c:pt>
                <c:pt idx="171">
                  <c:v>407.25440106771453</c:v>
                </c:pt>
                <c:pt idx="172">
                  <c:v>408.61191573794025</c:v>
                </c:pt>
                <c:pt idx="173">
                  <c:v>409.97395545706672</c:v>
                </c:pt>
                <c:pt idx="174">
                  <c:v>411.34053530859029</c:v>
                </c:pt>
                <c:pt idx="175">
                  <c:v>412.71167042628554</c:v>
                </c:pt>
                <c:pt idx="176">
                  <c:v>414.08737599437319</c:v>
                </c:pt>
                <c:pt idx="177">
                  <c:v>415.46766724768776</c:v>
                </c:pt>
                <c:pt idx="178">
                  <c:v>416.85255947184675</c:v>
                </c:pt>
                <c:pt idx="179">
                  <c:v>418.2420680034196</c:v>
                </c:pt>
                <c:pt idx="180">
                  <c:v>419.63620823009768</c:v>
                </c:pt>
                <c:pt idx="181">
                  <c:v>421.03499559086464</c:v>
                </c:pt>
                <c:pt idx="182">
                  <c:v>422.43844557616751</c:v>
                </c:pt>
                <c:pt idx="183">
                  <c:v>423.84657372808806</c:v>
                </c:pt>
                <c:pt idx="184">
                  <c:v>425.25939564051504</c:v>
                </c:pt>
                <c:pt idx="185">
                  <c:v>426.67692695931675</c:v>
                </c:pt>
                <c:pt idx="186">
                  <c:v>428.09918338251452</c:v>
                </c:pt>
                <c:pt idx="187">
                  <c:v>429.52618066045619</c:v>
                </c:pt>
                <c:pt idx="188">
                  <c:v>430.95793459599105</c:v>
                </c:pt>
                <c:pt idx="189">
                  <c:v>432.39446104464434</c:v>
                </c:pt>
                <c:pt idx="190">
                  <c:v>433.8357759147932</c:v>
                </c:pt>
                <c:pt idx="191">
                  <c:v>435.28189516784249</c:v>
                </c:pt>
                <c:pt idx="192">
                  <c:v>436.73283481840201</c:v>
                </c:pt>
                <c:pt idx="193">
                  <c:v>438.18861093446333</c:v>
                </c:pt>
                <c:pt idx="194">
                  <c:v>439.64923963757821</c:v>
                </c:pt>
                <c:pt idx="195">
                  <c:v>441.11473710303682</c:v>
                </c:pt>
                <c:pt idx="196">
                  <c:v>442.58511956004696</c:v>
                </c:pt>
                <c:pt idx="197">
                  <c:v>444.06040329191376</c:v>
                </c:pt>
                <c:pt idx="198">
                  <c:v>445.54060463622011</c:v>
                </c:pt>
                <c:pt idx="199">
                  <c:v>447.02573998500753</c:v>
                </c:pt>
                <c:pt idx="200">
                  <c:v>448.51582578495754</c:v>
                </c:pt>
                <c:pt idx="201">
                  <c:v>450.01087853757406</c:v>
                </c:pt>
                <c:pt idx="202">
                  <c:v>451.51091479936599</c:v>
                </c:pt>
                <c:pt idx="203">
                  <c:v>453.01595118203056</c:v>
                </c:pt>
                <c:pt idx="204">
                  <c:v>454.5260043526373</c:v>
                </c:pt>
                <c:pt idx="205">
                  <c:v>456.04109103381273</c:v>
                </c:pt>
                <c:pt idx="206">
                  <c:v>457.56122800392546</c:v>
                </c:pt>
                <c:pt idx="207">
                  <c:v>459.08643209727182</c:v>
                </c:pt>
                <c:pt idx="208">
                  <c:v>460.61672020426278</c:v>
                </c:pt>
                <c:pt idx="209">
                  <c:v>462.1521092716103</c:v>
                </c:pt>
                <c:pt idx="210">
                  <c:v>463.69261630251566</c:v>
                </c:pt>
                <c:pt idx="211">
                  <c:v>465.23825835685739</c:v>
                </c:pt>
                <c:pt idx="212">
                  <c:v>466.78905255138022</c:v>
                </c:pt>
                <c:pt idx="213">
                  <c:v>468.34501605988487</c:v>
                </c:pt>
                <c:pt idx="214">
                  <c:v>469.90616611341778</c:v>
                </c:pt>
                <c:pt idx="215">
                  <c:v>471.47252000046251</c:v>
                </c:pt>
                <c:pt idx="216">
                  <c:v>473.04409506713074</c:v>
                </c:pt>
                <c:pt idx="217">
                  <c:v>474.6209087173545</c:v>
                </c:pt>
                <c:pt idx="218">
                  <c:v>476.20297841307899</c:v>
                </c:pt>
                <c:pt idx="219">
                  <c:v>477.79032167445592</c:v>
                </c:pt>
                <c:pt idx="220">
                  <c:v>479.38295608003745</c:v>
                </c:pt>
                <c:pt idx="221">
                  <c:v>480.98089926697088</c:v>
                </c:pt>
                <c:pt idx="222">
                  <c:v>482.58416893119414</c:v>
                </c:pt>
                <c:pt idx="223">
                  <c:v>484.19278282763145</c:v>
                </c:pt>
                <c:pt idx="224">
                  <c:v>485.80675877039022</c:v>
                </c:pt>
                <c:pt idx="225">
                  <c:v>487.42611463295822</c:v>
                </c:pt>
                <c:pt idx="226">
                  <c:v>489.05086834840137</c:v>
                </c:pt>
                <c:pt idx="227">
                  <c:v>490.68103790956275</c:v>
                </c:pt>
                <c:pt idx="228">
                  <c:v>492.31664136926128</c:v>
                </c:pt>
                <c:pt idx="229">
                  <c:v>493.95769684049219</c:v>
                </c:pt>
                <c:pt idx="230">
                  <c:v>495.60422249662713</c:v>
                </c:pt>
                <c:pt idx="231">
                  <c:v>497.25623657161589</c:v>
                </c:pt>
                <c:pt idx="232">
                  <c:v>498.91375736018796</c:v>
                </c:pt>
                <c:pt idx="233">
                  <c:v>500.57680321805526</c:v>
                </c:pt>
                <c:pt idx="234">
                  <c:v>502.2453925621154</c:v>
                </c:pt>
                <c:pt idx="235">
                  <c:v>503.91954387065579</c:v>
                </c:pt>
                <c:pt idx="236">
                  <c:v>505.59927568355795</c:v>
                </c:pt>
                <c:pt idx="237">
                  <c:v>507.28460660250312</c:v>
                </c:pt>
                <c:pt idx="238">
                  <c:v>508.97555529117818</c:v>
                </c:pt>
                <c:pt idx="239">
                  <c:v>510.67214047548214</c:v>
                </c:pt>
                <c:pt idx="240">
                  <c:v>512.37438094373374</c:v>
                </c:pt>
                <c:pt idx="241">
                  <c:v>514.08229554687944</c:v>
                </c:pt>
                <c:pt idx="242">
                  <c:v>515.79590319870238</c:v>
                </c:pt>
                <c:pt idx="243">
                  <c:v>517.51522287603143</c:v>
                </c:pt>
                <c:pt idx="244">
                  <c:v>519.24027361895151</c:v>
                </c:pt>
                <c:pt idx="245">
                  <c:v>520.97107453101466</c:v>
                </c:pt>
                <c:pt idx="246">
                  <c:v>522.70764477945136</c:v>
                </c:pt>
                <c:pt idx="247">
                  <c:v>524.4500035953829</c:v>
                </c:pt>
                <c:pt idx="248">
                  <c:v>526.19817027403417</c:v>
                </c:pt>
                <c:pt idx="249">
                  <c:v>527.9521641749476</c:v>
                </c:pt>
                <c:pt idx="250">
                  <c:v>529.71200472219743</c:v>
                </c:pt>
                <c:pt idx="251">
                  <c:v>531.47771140460475</c:v>
                </c:pt>
                <c:pt idx="252">
                  <c:v>533.24930377595342</c:v>
                </c:pt>
                <c:pt idx="253">
                  <c:v>535.02680145520662</c:v>
                </c:pt>
                <c:pt idx="254">
                  <c:v>536.81022412672394</c:v>
                </c:pt>
                <c:pt idx="255">
                  <c:v>538.59959154047965</c:v>
                </c:pt>
                <c:pt idx="256">
                  <c:v>540.39492351228125</c:v>
                </c:pt>
                <c:pt idx="257">
                  <c:v>542.19623992398897</c:v>
                </c:pt>
                <c:pt idx="258">
                  <c:v>544.00356072373552</c:v>
                </c:pt>
                <c:pt idx="259">
                  <c:v>545.81690592614791</c:v>
                </c:pt>
                <c:pt idx="260">
                  <c:v>547.63629561256846</c:v>
                </c:pt>
                <c:pt idx="261">
                  <c:v>549.46174993127704</c:v>
                </c:pt>
                <c:pt idx="262">
                  <c:v>551.29328909771459</c:v>
                </c:pt>
                <c:pt idx="263">
                  <c:v>553.13093339470697</c:v>
                </c:pt>
                <c:pt idx="264">
                  <c:v>554.97470317268937</c:v>
                </c:pt>
                <c:pt idx="265">
                  <c:v>556.82461884993165</c:v>
                </c:pt>
                <c:pt idx="266">
                  <c:v>558.68070091276479</c:v>
                </c:pt>
                <c:pt idx="267">
                  <c:v>560.54296991580736</c:v>
                </c:pt>
                <c:pt idx="268">
                  <c:v>562.41144648219336</c:v>
                </c:pt>
                <c:pt idx="269">
                  <c:v>564.28615130380058</c:v>
                </c:pt>
                <c:pt idx="270">
                  <c:v>566.16710514147996</c:v>
                </c:pt>
                <c:pt idx="271">
                  <c:v>568.05432882528487</c:v>
                </c:pt>
                <c:pt idx="272">
                  <c:v>569.94784325470255</c:v>
                </c:pt>
                <c:pt idx="273">
                  <c:v>571.84766939888482</c:v>
                </c:pt>
                <c:pt idx="274">
                  <c:v>573.75382829688112</c:v>
                </c:pt>
                <c:pt idx="275">
                  <c:v>575.6663410578708</c:v>
                </c:pt>
                <c:pt idx="276">
                  <c:v>577.58522886139701</c:v>
                </c:pt>
                <c:pt idx="277">
                  <c:v>579.51051295760169</c:v>
                </c:pt>
                <c:pt idx="278">
                  <c:v>581.44221466746035</c:v>
                </c:pt>
                <c:pt idx="279">
                  <c:v>583.38035538301858</c:v>
                </c:pt>
                <c:pt idx="280">
                  <c:v>585.32495656762865</c:v>
                </c:pt>
                <c:pt idx="281">
                  <c:v>587.2760397561874</c:v>
                </c:pt>
                <c:pt idx="282">
                  <c:v>589.23362655537471</c:v>
                </c:pt>
                <c:pt idx="283">
                  <c:v>591.19773864389254</c:v>
                </c:pt>
                <c:pt idx="284">
                  <c:v>593.16839777270559</c:v>
                </c:pt>
                <c:pt idx="285">
                  <c:v>595.14562576528124</c:v>
                </c:pt>
                <c:pt idx="286">
                  <c:v>597.12944451783221</c:v>
                </c:pt>
                <c:pt idx="287">
                  <c:v>599.1198759995583</c:v>
                </c:pt>
                <c:pt idx="288">
                  <c:v>601.11694225289023</c:v>
                </c:pt>
                <c:pt idx="289">
                  <c:v>603.12066539373313</c:v>
                </c:pt>
                <c:pt idx="290">
                  <c:v>605.1310676117123</c:v>
                </c:pt>
                <c:pt idx="291">
                  <c:v>607.14817117041798</c:v>
                </c:pt>
                <c:pt idx="292">
                  <c:v>609.17199840765272</c:v>
                </c:pt>
                <c:pt idx="293">
                  <c:v>611.20257173567825</c:v>
                </c:pt>
                <c:pt idx="294">
                  <c:v>613.23991364146389</c:v>
                </c:pt>
                <c:pt idx="295">
                  <c:v>615.28404668693543</c:v>
                </c:pt>
                <c:pt idx="296">
                  <c:v>617.33499350922511</c:v>
                </c:pt>
                <c:pt idx="297">
                  <c:v>619.39277682092256</c:v>
                </c:pt>
                <c:pt idx="298">
                  <c:v>621.45741941032566</c:v>
                </c:pt>
                <c:pt idx="299">
                  <c:v>623.5289441416935</c:v>
                </c:pt>
                <c:pt idx="300">
                  <c:v>625.60737395549904</c:v>
                </c:pt>
                <c:pt idx="301">
                  <c:v>627.69273186868406</c:v>
                </c:pt>
                <c:pt idx="302">
                  <c:v>629.78504097491304</c:v>
                </c:pt>
                <c:pt idx="303">
                  <c:v>631.88432444482942</c:v>
                </c:pt>
                <c:pt idx="304">
                  <c:v>633.99060552631215</c:v>
                </c:pt>
                <c:pt idx="305">
                  <c:v>636.10390754473326</c:v>
                </c:pt>
                <c:pt idx="306">
                  <c:v>638.22425390321564</c:v>
                </c:pt>
                <c:pt idx="307">
                  <c:v>640.35166808289307</c:v>
                </c:pt>
                <c:pt idx="308">
                  <c:v>642.48617364316931</c:v>
                </c:pt>
                <c:pt idx="309">
                  <c:v>644.62779422197991</c:v>
                </c:pt>
                <c:pt idx="310">
                  <c:v>646.77655353605314</c:v>
                </c:pt>
                <c:pt idx="311">
                  <c:v>648.93247538117339</c:v>
                </c:pt>
                <c:pt idx="312">
                  <c:v>651.095583632444</c:v>
                </c:pt>
                <c:pt idx="313">
                  <c:v>653.26590224455208</c:v>
                </c:pt>
                <c:pt idx="314">
                  <c:v>655.44345525203391</c:v>
                </c:pt>
                <c:pt idx="315">
                  <c:v>657.62826676954069</c:v>
                </c:pt>
                <c:pt idx="316">
                  <c:v>659.82036099210586</c:v>
                </c:pt>
                <c:pt idx="317">
                  <c:v>662.01976219541291</c:v>
                </c:pt>
                <c:pt idx="318">
                  <c:v>664.2264947360643</c:v>
                </c:pt>
                <c:pt idx="319">
                  <c:v>666.44058305185115</c:v>
                </c:pt>
                <c:pt idx="320">
                  <c:v>668.66205166202394</c:v>
                </c:pt>
                <c:pt idx="321">
                  <c:v>670.89092516756409</c:v>
                </c:pt>
                <c:pt idx="322">
                  <c:v>673.1272282514559</c:v>
                </c:pt>
                <c:pt idx="323">
                  <c:v>675.37098567896078</c:v>
                </c:pt>
                <c:pt idx="324">
                  <c:v>677.62222229789063</c:v>
                </c:pt>
                <c:pt idx="325">
                  <c:v>679.88096303888358</c:v>
                </c:pt>
                <c:pt idx="326">
                  <c:v>682.14723291567987</c:v>
                </c:pt>
                <c:pt idx="327">
                  <c:v>684.4210570253988</c:v>
                </c:pt>
                <c:pt idx="328">
                  <c:v>686.70246054881682</c:v>
                </c:pt>
                <c:pt idx="329">
                  <c:v>688.99146875064616</c:v>
                </c:pt>
                <c:pt idx="330">
                  <c:v>691.28810697981498</c:v>
                </c:pt>
                <c:pt idx="331">
                  <c:v>693.5924006697478</c:v>
                </c:pt>
                <c:pt idx="332">
                  <c:v>695.9043753386469</c:v>
                </c:pt>
                <c:pt idx="333">
                  <c:v>698.22405658977573</c:v>
                </c:pt>
                <c:pt idx="334">
                  <c:v>700.55147011174165</c:v>
                </c:pt>
                <c:pt idx="335">
                  <c:v>702.88664167878073</c:v>
                </c:pt>
                <c:pt idx="336">
                  <c:v>705.22959715104344</c:v>
                </c:pt>
                <c:pt idx="337">
                  <c:v>707.58036247488019</c:v>
                </c:pt>
                <c:pt idx="338">
                  <c:v>709.93896368312983</c:v>
                </c:pt>
                <c:pt idx="339">
                  <c:v>712.30542689540687</c:v>
                </c:pt>
                <c:pt idx="340">
                  <c:v>714.67977831839164</c:v>
                </c:pt>
                <c:pt idx="341">
                  <c:v>717.06204424611951</c:v>
                </c:pt>
                <c:pt idx="342">
                  <c:v>719.45225106027328</c:v>
                </c:pt>
                <c:pt idx="343">
                  <c:v>721.85042523047423</c:v>
                </c:pt>
                <c:pt idx="344">
                  <c:v>724.25659331457575</c:v>
                </c:pt>
                <c:pt idx="345">
                  <c:v>726.67078195895772</c:v>
                </c:pt>
                <c:pt idx="346">
                  <c:v>729.0930178988209</c:v>
                </c:pt>
                <c:pt idx="347">
                  <c:v>731.52332795848361</c:v>
                </c:pt>
                <c:pt idx="348">
                  <c:v>733.96173905167859</c:v>
                </c:pt>
                <c:pt idx="349">
                  <c:v>736.40827818185085</c:v>
                </c:pt>
                <c:pt idx="350">
                  <c:v>738.86297244245702</c:v>
                </c:pt>
                <c:pt idx="351">
                  <c:v>741.32584901726523</c:v>
                </c:pt>
                <c:pt idx="352">
                  <c:v>743.79693518065608</c:v>
                </c:pt>
                <c:pt idx="353">
                  <c:v>746.27625829792498</c:v>
                </c:pt>
                <c:pt idx="354">
                  <c:v>748.76384582558467</c:v>
                </c:pt>
                <c:pt idx="355">
                  <c:v>751.25972531166997</c:v>
                </c:pt>
                <c:pt idx="356">
                  <c:v>753.76392439604217</c:v>
                </c:pt>
                <c:pt idx="357">
                  <c:v>756.27647081069563</c:v>
                </c:pt>
                <c:pt idx="358">
                  <c:v>758.79739238006471</c:v>
                </c:pt>
                <c:pt idx="359">
                  <c:v>761.32671702133155</c:v>
                </c:pt>
                <c:pt idx="360">
                  <c:v>763.86447274473596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3-BA4C-91E4-31B256A9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'Spare Mort Calc'!$S$13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'Spare Mort Calc'!$S$14:$S$43</c:f>
              <c:numCache>
                <c:formatCode>"$"#,##0.00_);[Red]\("$"#,##0.00\)</c:formatCode>
                <c:ptCount val="30"/>
                <c:pt idx="0">
                  <c:v>2817.6582932032911</c:v>
                </c:pt>
                <c:pt idx="1">
                  <c:v>2932.4540394891369</c:v>
                </c:pt>
                <c:pt idx="2">
                  <c:v>3051.9267415992927</c:v>
                </c:pt>
                <c:pt idx="3">
                  <c:v>3176.2669459302142</c:v>
                </c:pt>
                <c:pt idx="4">
                  <c:v>3305.6729620325368</c:v>
                </c:pt>
                <c:pt idx="5">
                  <c:v>3440.3511788939813</c:v>
                </c:pt>
                <c:pt idx="6">
                  <c:v>3580.5163941080355</c:v>
                </c:pt>
                <c:pt idx="7">
                  <c:v>3726.3921564535958</c:v>
                </c:pt>
                <c:pt idx="8">
                  <c:v>3878.2111224317232</c:v>
                </c:pt>
                <c:pt idx="9">
                  <c:v>4036.2154273282795</c:v>
                </c:pt>
                <c:pt idx="10">
                  <c:v>4200.6570713942856</c:v>
                </c:pt>
                <c:pt idx="11">
                  <c:v>4371.7983217598157</c:v>
                </c:pt>
                <c:pt idx="12">
                  <c:v>4549.9121307224632</c:v>
                </c:pt>
                <c:pt idx="13">
                  <c:v>4735.2825710775724</c:v>
                </c:pt>
                <c:pt idx="14">
                  <c:v>4928.2052891844578</c:v>
                </c:pt>
                <c:pt idx="15">
                  <c:v>5128.9879764912912</c:v>
                </c:pt>
                <c:pt idx="16">
                  <c:v>5337.9508602705973</c:v>
                </c:pt>
                <c:pt idx="17">
                  <c:v>5555.4272143480339</c:v>
                </c:pt>
                <c:pt idx="18">
                  <c:v>5781.7638906391658</c:v>
                </c:pt>
                <c:pt idx="19">
                  <c:v>6017.3218723417231</c:v>
                </c:pt>
                <c:pt idx="20">
                  <c:v>6262.476849665909</c:v>
                </c:pt>
                <c:pt idx="21">
                  <c:v>6517.6198190207797</c:v>
                </c:pt>
                <c:pt idx="22">
                  <c:v>6783.15770661227</c:v>
                </c:pt>
                <c:pt idx="23">
                  <c:v>7059.5140174479457</c:v>
                </c:pt>
                <c:pt idx="24">
                  <c:v>7347.1295107826299</c:v>
                </c:pt>
                <c:pt idx="25">
                  <c:v>7646.462903083433</c:v>
                </c:pt>
                <c:pt idx="26">
                  <c:v>7957.9915996339987</c:v>
                </c:pt>
                <c:pt idx="27">
                  <c:v>8282.212455945788</c:v>
                </c:pt>
                <c:pt idx="28">
                  <c:v>8619.6425701905682</c:v>
                </c:pt>
                <c:pt idx="29">
                  <c:v>8970.8201079173014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5-ED41-8116-FE9B363E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'Spare Mort Calc'!$Q$13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Calc'!$Q$14:$Q$43</c:f>
              <c:numCache>
                <c:formatCode>"$"#,##0.00_);[Red]\("$"#,##0.00\)</c:formatCode>
                <c:ptCount val="30"/>
                <c:pt idx="0">
                  <c:v>2817.6582932032911</c:v>
                </c:pt>
                <c:pt idx="1">
                  <c:v>5750.112332692428</c:v>
                </c:pt>
                <c:pt idx="2">
                  <c:v>8802.0390742917207</c:v>
                </c:pt>
                <c:pt idx="3">
                  <c:v>11978.306020221935</c:v>
                </c:pt>
                <c:pt idx="4">
                  <c:v>15283.978982254472</c:v>
                </c:pt>
                <c:pt idx="5">
                  <c:v>18724.330161148453</c:v>
                </c:pt>
                <c:pt idx="6">
                  <c:v>22304.846555256489</c:v>
                </c:pt>
                <c:pt idx="7">
                  <c:v>26031.238711710084</c:v>
                </c:pt>
                <c:pt idx="8">
                  <c:v>29909.449834141808</c:v>
                </c:pt>
                <c:pt idx="9">
                  <c:v>33945.665261470087</c:v>
                </c:pt>
                <c:pt idx="10">
                  <c:v>38146.322332864373</c:v>
                </c:pt>
                <c:pt idx="11">
                  <c:v>42518.120654624188</c:v>
                </c:pt>
                <c:pt idx="12">
                  <c:v>47068.032785346652</c:v>
                </c:pt>
                <c:pt idx="13">
                  <c:v>51803.315356424224</c:v>
                </c:pt>
                <c:pt idx="14">
                  <c:v>56731.520645608682</c:v>
                </c:pt>
                <c:pt idx="15">
                  <c:v>61860.508622099973</c:v>
                </c:pt>
                <c:pt idx="16">
                  <c:v>67198.45948237057</c:v>
                </c:pt>
                <c:pt idx="17">
                  <c:v>72753.886696718604</c:v>
                </c:pt>
                <c:pt idx="18">
                  <c:v>78535.65058735777</c:v>
                </c:pt>
                <c:pt idx="19">
                  <c:v>84552.972459699493</c:v>
                </c:pt>
                <c:pt idx="20">
                  <c:v>90815.449309365402</c:v>
                </c:pt>
                <c:pt idx="21">
                  <c:v>97333.069128386182</c:v>
                </c:pt>
                <c:pt idx="22">
                  <c:v>104116.22683499845</c:v>
                </c:pt>
                <c:pt idx="23">
                  <c:v>111175.7408524464</c:v>
                </c:pt>
                <c:pt idx="24">
                  <c:v>118522.87036322903</c:v>
                </c:pt>
                <c:pt idx="25">
                  <c:v>126169.33326631246</c:v>
                </c:pt>
                <c:pt idx="26">
                  <c:v>134127.32486594646</c:v>
                </c:pt>
                <c:pt idx="27">
                  <c:v>142409.53732189225</c:v>
                </c:pt>
                <c:pt idx="28">
                  <c:v>151029.17989208282</c:v>
                </c:pt>
                <c:pt idx="29">
                  <c:v>160000.00000000012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5-ED41-8116-FE9B363E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'Spare Mort Calc'!$K$1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Calc'!$K$2:$K$362</c:f>
              <c:numCache>
                <c:formatCode>"$"#,##0.00_);[Red]\("$"#,##0.00\)</c:formatCode>
                <c:ptCount val="361"/>
                <c:pt idx="0" formatCode="&quot;$&quot;#,##0_);[Red]\(&quot;$&quot;#,##0\)">
                  <c:v>160000</c:v>
                </c:pt>
                <c:pt idx="1">
                  <c:v>159769.46886058859</c:v>
                </c:pt>
                <c:pt idx="2">
                  <c:v>159538.16928404581</c:v>
                </c:pt>
                <c:pt idx="3">
                  <c:v>159306.09870891456</c:v>
                </c:pt>
                <c:pt idx="4">
                  <c:v>159073.25456519955</c:v>
                </c:pt>
                <c:pt idx="5">
                  <c:v>158839.63427433881</c:v>
                </c:pt>
                <c:pt idx="6">
                  <c:v>158605.2352491752</c:v>
                </c:pt>
                <c:pt idx="7">
                  <c:v>158370.05489392771</c:v>
                </c:pt>
                <c:pt idx="8">
                  <c:v>158134.09060416272</c:v>
                </c:pt>
                <c:pt idx="9">
                  <c:v>157897.33976676519</c:v>
                </c:pt>
                <c:pt idx="10">
                  <c:v>157659.79975990966</c:v>
                </c:pt>
                <c:pt idx="11">
                  <c:v>157421.4679530313</c:v>
                </c:pt>
                <c:pt idx="12">
                  <c:v>157182.34170679667</c:v>
                </c:pt>
                <c:pt idx="13">
                  <c:v>156942.41837307459</c:v>
                </c:pt>
                <c:pt idx="14">
                  <c:v>156701.69529490676</c:v>
                </c:pt>
                <c:pt idx="15">
                  <c:v>156460.16980647837</c:v>
                </c:pt>
                <c:pt idx="16">
                  <c:v>156217.83923308857</c:v>
                </c:pt>
                <c:pt idx="17">
                  <c:v>155974.7008911208</c:v>
                </c:pt>
                <c:pt idx="18">
                  <c:v>155730.75208801313</c:v>
                </c:pt>
                <c:pt idx="19">
                  <c:v>155485.99012222845</c:v>
                </c:pt>
                <c:pt idx="20">
                  <c:v>155240.41228322449</c:v>
                </c:pt>
                <c:pt idx="21">
                  <c:v>154994.01585142384</c:v>
                </c:pt>
                <c:pt idx="22">
                  <c:v>154746.79809818385</c:v>
                </c:pt>
                <c:pt idx="23">
                  <c:v>154498.7562857664</c:v>
                </c:pt>
                <c:pt idx="24">
                  <c:v>154249.88766730754</c:v>
                </c:pt>
                <c:pt idx="25">
                  <c:v>154000.18948678716</c:v>
                </c:pt>
                <c:pt idx="26">
                  <c:v>153749.65897899837</c:v>
                </c:pt>
                <c:pt idx="27">
                  <c:v>153498.29336951696</c:v>
                </c:pt>
                <c:pt idx="28">
                  <c:v>153246.08987467061</c:v>
                </c:pt>
                <c:pt idx="29">
                  <c:v>152993.04570150812</c:v>
                </c:pt>
                <c:pt idx="30">
                  <c:v>152739.1580477684</c:v>
                </c:pt>
                <c:pt idx="31">
                  <c:v>152484.42410184955</c:v>
                </c:pt>
                <c:pt idx="32">
                  <c:v>152228.84104277764</c:v>
                </c:pt>
                <c:pt idx="33">
                  <c:v>151972.4060401755</c:v>
                </c:pt>
                <c:pt idx="34">
                  <c:v>151715.11625423134</c:v>
                </c:pt>
                <c:pt idx="35">
                  <c:v>151456.96883566739</c:v>
                </c:pt>
                <c:pt idx="36">
                  <c:v>151197.9609257082</c:v>
                </c:pt>
                <c:pt idx="37">
                  <c:v>150938.08965604915</c:v>
                </c:pt>
                <c:pt idx="38">
                  <c:v>150677.35214882458</c:v>
                </c:pt>
                <c:pt idx="39">
                  <c:v>150415.74551657593</c:v>
                </c:pt>
                <c:pt idx="40">
                  <c:v>150153.26686221978</c:v>
                </c:pt>
                <c:pt idx="41">
                  <c:v>149889.91327901577</c:v>
                </c:pt>
                <c:pt idx="42">
                  <c:v>149625.68185053443</c:v>
                </c:pt>
                <c:pt idx="43">
                  <c:v>149360.56965062482</c:v>
                </c:pt>
                <c:pt idx="44">
                  <c:v>149094.57374338218</c:v>
                </c:pt>
                <c:pt idx="45">
                  <c:v>148827.69118311538</c:v>
                </c:pt>
                <c:pt idx="46">
                  <c:v>148559.91901431436</c:v>
                </c:pt>
                <c:pt idx="47">
                  <c:v>148291.25427161733</c:v>
                </c:pt>
                <c:pt idx="48">
                  <c:v>148021.69397977798</c:v>
                </c:pt>
                <c:pt idx="49">
                  <c:v>147751.2351536325</c:v>
                </c:pt>
                <c:pt idx="50">
                  <c:v>147479.87479806654</c:v>
                </c:pt>
                <c:pt idx="51">
                  <c:v>147207.60990798203</c:v>
                </c:pt>
                <c:pt idx="52">
                  <c:v>146934.4374682639</c:v>
                </c:pt>
                <c:pt idx="53">
                  <c:v>146660.35445374672</c:v>
                </c:pt>
                <c:pt idx="54">
                  <c:v>146385.35782918116</c:v>
                </c:pt>
                <c:pt idx="55">
                  <c:v>146109.44454920036</c:v>
                </c:pt>
                <c:pt idx="56">
                  <c:v>145832.6115582863</c:v>
                </c:pt>
                <c:pt idx="57">
                  <c:v>145554.85579073586</c:v>
                </c:pt>
                <c:pt idx="58">
                  <c:v>145276.17417062691</c:v>
                </c:pt>
                <c:pt idx="59">
                  <c:v>144996.56361178425</c:v>
                </c:pt>
                <c:pt idx="60">
                  <c:v>144716.02101774546</c:v>
                </c:pt>
                <c:pt idx="61">
                  <c:v>144434.54328172654</c:v>
                </c:pt>
                <c:pt idx="62">
                  <c:v>144152.12728658755</c:v>
                </c:pt>
                <c:pt idx="63">
                  <c:v>143868.7699047981</c:v>
                </c:pt>
                <c:pt idx="64">
                  <c:v>143584.46799840269</c:v>
                </c:pt>
                <c:pt idx="65">
                  <c:v>143299.21841898595</c:v>
                </c:pt>
                <c:pt idx="66">
                  <c:v>143013.01800763785</c:v>
                </c:pt>
                <c:pt idx="67">
                  <c:v>142725.86359491857</c:v>
                </c:pt>
                <c:pt idx="68">
                  <c:v>142437.75200082356</c:v>
                </c:pt>
                <c:pt idx="69">
                  <c:v>142148.68003474825</c:v>
                </c:pt>
                <c:pt idx="70">
                  <c:v>141858.64449545267</c:v>
                </c:pt>
                <c:pt idx="71">
                  <c:v>141567.64217102612</c:v>
                </c:pt>
                <c:pt idx="72">
                  <c:v>141275.66983885146</c:v>
                </c:pt>
                <c:pt idx="73">
                  <c:v>140982.72426556956</c:v>
                </c:pt>
                <c:pt idx="74">
                  <c:v>140688.80220704339</c:v>
                </c:pt>
                <c:pt idx="75">
                  <c:v>140393.90040832214</c:v>
                </c:pt>
                <c:pt idx="76">
                  <c:v>140098.01560360513</c:v>
                </c:pt>
                <c:pt idx="77">
                  <c:v>139801.14451620574</c:v>
                </c:pt>
                <c:pt idx="78">
                  <c:v>139503.28385851503</c:v>
                </c:pt>
                <c:pt idx="79">
                  <c:v>139204.43033196536</c:v>
                </c:pt>
                <c:pt idx="80">
                  <c:v>138904.58062699385</c:v>
                </c:pt>
                <c:pt idx="81">
                  <c:v>138603.73142300575</c:v>
                </c:pt>
                <c:pt idx="82">
                  <c:v>138301.87938833769</c:v>
                </c:pt>
                <c:pt idx="83">
                  <c:v>137999.02118022076</c:v>
                </c:pt>
                <c:pt idx="84">
                  <c:v>137695.15344474342</c:v>
                </c:pt>
                <c:pt idx="85">
                  <c:v>137390.27281681451</c:v>
                </c:pt>
                <c:pt idx="86">
                  <c:v>137084.37592012584</c:v>
                </c:pt>
                <c:pt idx="87">
                  <c:v>136777.45936711485</c:v>
                </c:pt>
                <c:pt idx="88">
                  <c:v>136469.51975892717</c:v>
                </c:pt>
                <c:pt idx="89">
                  <c:v>136160.55368537887</c:v>
                </c:pt>
                <c:pt idx="90">
                  <c:v>135850.55772491873</c:v>
                </c:pt>
                <c:pt idx="91">
                  <c:v>135539.5284445904</c:v>
                </c:pt>
                <c:pt idx="92">
                  <c:v>135227.46239999429</c:v>
                </c:pt>
                <c:pt idx="93">
                  <c:v>134914.35613524955</c:v>
                </c:pt>
                <c:pt idx="94">
                  <c:v>134600.20618295565</c:v>
                </c:pt>
                <c:pt idx="95">
                  <c:v>134285.00906415409</c:v>
                </c:pt>
                <c:pt idx="96">
                  <c:v>133968.76128828985</c:v>
                </c:pt>
                <c:pt idx="97">
                  <c:v>133651.45935317274</c:v>
                </c:pt>
                <c:pt idx="98">
                  <c:v>133333.09974493858</c:v>
                </c:pt>
                <c:pt idx="99">
                  <c:v>133013.6789380103</c:v>
                </c:pt>
                <c:pt idx="100">
                  <c:v>132693.19339505894</c:v>
                </c:pt>
                <c:pt idx="101">
                  <c:v>132371.63956696441</c:v>
                </c:pt>
                <c:pt idx="102">
                  <c:v>132049.01389277622</c:v>
                </c:pt>
                <c:pt idx="103">
                  <c:v>131725.31279967408</c:v>
                </c:pt>
                <c:pt idx="104">
                  <c:v>131400.53270292826</c:v>
                </c:pt>
                <c:pt idx="105">
                  <c:v>131074.67000585995</c:v>
                </c:pt>
                <c:pt idx="106">
                  <c:v>130747.72109980142</c:v>
                </c:pt>
                <c:pt idx="107">
                  <c:v>130419.68236405602</c:v>
                </c:pt>
                <c:pt idx="108">
                  <c:v>130090.55016585813</c:v>
                </c:pt>
                <c:pt idx="109">
                  <c:v>129760.32086033293</c:v>
                </c:pt>
                <c:pt idx="110">
                  <c:v>129428.99079045597</c:v>
                </c:pt>
                <c:pt idx="111">
                  <c:v>129096.55628701275</c:v>
                </c:pt>
                <c:pt idx="112">
                  <c:v>128763.01366855805</c:v>
                </c:pt>
                <c:pt idx="113">
                  <c:v>128428.35924137518</c:v>
                </c:pt>
                <c:pt idx="114">
                  <c:v>128092.58929943503</c:v>
                </c:pt>
                <c:pt idx="115">
                  <c:v>127755.70012435508</c:v>
                </c:pt>
                <c:pt idx="116">
                  <c:v>127417.68798535819</c:v>
                </c:pt>
                <c:pt idx="117">
                  <c:v>127078.54913923131</c:v>
                </c:pt>
                <c:pt idx="118">
                  <c:v>126738.27983028401</c:v>
                </c:pt>
                <c:pt idx="119">
                  <c:v>126396.87629030689</c:v>
                </c:pt>
                <c:pt idx="120">
                  <c:v>126054.33473852984</c:v>
                </c:pt>
                <c:pt idx="121">
                  <c:v>125710.6513815802</c:v>
                </c:pt>
                <c:pt idx="122">
                  <c:v>125365.82241344074</c:v>
                </c:pt>
                <c:pt idx="123">
                  <c:v>125019.84401540746</c:v>
                </c:pt>
                <c:pt idx="124">
                  <c:v>124672.71235604741</c:v>
                </c:pt>
                <c:pt idx="125">
                  <c:v>124324.42359115617</c:v>
                </c:pt>
                <c:pt idx="126">
                  <c:v>123974.97386371529</c:v>
                </c:pt>
                <c:pt idx="127">
                  <c:v>123624.3593038496</c:v>
                </c:pt>
                <c:pt idx="128">
                  <c:v>123272.57602878437</c:v>
                </c:pt>
                <c:pt idx="129">
                  <c:v>122919.62014280225</c:v>
                </c:pt>
                <c:pt idx="130">
                  <c:v>122565.48773720018</c:v>
                </c:pt>
                <c:pt idx="131">
                  <c:v>122210.17489024611</c:v>
                </c:pt>
                <c:pt idx="132">
                  <c:v>121853.67766713553</c:v>
                </c:pt>
                <c:pt idx="133">
                  <c:v>121495.99211994791</c:v>
                </c:pt>
                <c:pt idx="134">
                  <c:v>121137.11428760301</c:v>
                </c:pt>
                <c:pt idx="135">
                  <c:v>120777.04019581695</c:v>
                </c:pt>
                <c:pt idx="136">
                  <c:v>120415.76585705827</c:v>
                </c:pt>
                <c:pt idx="137">
                  <c:v>120053.28727050373</c:v>
                </c:pt>
                <c:pt idx="138">
                  <c:v>119689.60042199401</c:v>
                </c:pt>
                <c:pt idx="139">
                  <c:v>119324.70128398926</c:v>
                </c:pt>
                <c:pt idx="140">
                  <c:v>118958.58581552448</c:v>
                </c:pt>
                <c:pt idx="141">
                  <c:v>118591.24996216483</c:v>
                </c:pt>
                <c:pt idx="142">
                  <c:v>118222.68965596064</c:v>
                </c:pt>
                <c:pt idx="143">
                  <c:v>117852.90081540243</c:v>
                </c:pt>
                <c:pt idx="144">
                  <c:v>117481.87934537571</c:v>
                </c:pt>
                <c:pt idx="145">
                  <c:v>117109.62113711557</c:v>
                </c:pt>
                <c:pt idx="146">
                  <c:v>116736.12206816122</c:v>
                </c:pt>
                <c:pt idx="147">
                  <c:v>116361.37800231035</c:v>
                </c:pt>
                <c:pt idx="148">
                  <c:v>115985.38478957331</c:v>
                </c:pt>
                <c:pt idx="149">
                  <c:v>115608.13826612715</c:v>
                </c:pt>
                <c:pt idx="150">
                  <c:v>115229.63425426951</c:v>
                </c:pt>
                <c:pt idx="151">
                  <c:v>114849.86856237233</c:v>
                </c:pt>
                <c:pt idx="152">
                  <c:v>114468.83698483551</c:v>
                </c:pt>
                <c:pt idx="153">
                  <c:v>114086.53530204023</c:v>
                </c:pt>
                <c:pt idx="154">
                  <c:v>113702.9592803023</c:v>
                </c:pt>
                <c:pt idx="155">
                  <c:v>113318.10467182523</c:v>
                </c:pt>
                <c:pt idx="156">
                  <c:v>112931.96721465325</c:v>
                </c:pt>
                <c:pt idx="157">
                  <c:v>112544.54263262403</c:v>
                </c:pt>
                <c:pt idx="158">
                  <c:v>112155.82663532137</c:v>
                </c:pt>
                <c:pt idx="159">
                  <c:v>111765.81491802771</c:v>
                </c:pt>
                <c:pt idx="160">
                  <c:v>111374.5031616764</c:v>
                </c:pt>
                <c:pt idx="161">
                  <c:v>110981.88703280392</c:v>
                </c:pt>
                <c:pt idx="162">
                  <c:v>110587.96218350186</c:v>
                </c:pt>
                <c:pt idx="163">
                  <c:v>110192.7242513688</c:v>
                </c:pt>
                <c:pt idx="164">
                  <c:v>109796.16885946196</c:v>
                </c:pt>
                <c:pt idx="165">
                  <c:v>109398.29161624877</c:v>
                </c:pt>
                <c:pt idx="166">
                  <c:v>108999.08811555819</c:v>
                </c:pt>
                <c:pt idx="167">
                  <c:v>108598.55393653199</c:v>
                </c:pt>
                <c:pt idx="168">
                  <c:v>108196.68464357569</c:v>
                </c:pt>
                <c:pt idx="169">
                  <c:v>107793.47578630954</c:v>
                </c:pt>
                <c:pt idx="170">
                  <c:v>107388.92289951918</c:v>
                </c:pt>
                <c:pt idx="171">
                  <c:v>106983.02150310618</c:v>
                </c:pt>
                <c:pt idx="172">
                  <c:v>106575.76710203847</c:v>
                </c:pt>
                <c:pt idx="173">
                  <c:v>106167.15518630053</c:v>
                </c:pt>
                <c:pt idx="174">
                  <c:v>105757.18123084346</c:v>
                </c:pt>
                <c:pt idx="175">
                  <c:v>105345.84069553488</c:v>
                </c:pt>
                <c:pt idx="176">
                  <c:v>104933.12902510859</c:v>
                </c:pt>
                <c:pt idx="177">
                  <c:v>104519.04164911421</c:v>
                </c:pt>
                <c:pt idx="178">
                  <c:v>104103.57398186652</c:v>
                </c:pt>
                <c:pt idx="179">
                  <c:v>103686.72142239466</c:v>
                </c:pt>
                <c:pt idx="180">
                  <c:v>103268.47935439124</c:v>
                </c:pt>
                <c:pt idx="181">
                  <c:v>102848.84314616115</c:v>
                </c:pt>
                <c:pt idx="182">
                  <c:v>102427.80815057029</c:v>
                </c:pt>
                <c:pt idx="183">
                  <c:v>102005.36970499413</c:v>
                </c:pt>
                <c:pt idx="184">
                  <c:v>101581.52313126603</c:v>
                </c:pt>
                <c:pt idx="185">
                  <c:v>101156.26373562551</c:v>
                </c:pt>
                <c:pt idx="186">
                  <c:v>100729.58680866619</c:v>
                </c:pt>
                <c:pt idx="187">
                  <c:v>100301.48762528368</c:v>
                </c:pt>
                <c:pt idx="188">
                  <c:v>99871.96144462323</c:v>
                </c:pt>
                <c:pt idx="189">
                  <c:v>99441.003510027236</c:v>
                </c:pt>
                <c:pt idx="190">
                  <c:v>99008.609048982587</c:v>
                </c:pt>
                <c:pt idx="191">
                  <c:v>98574.773273067796</c:v>
                </c:pt>
                <c:pt idx="192">
                  <c:v>98139.491377899947</c:v>
                </c:pt>
                <c:pt idx="193">
                  <c:v>97702.758543081538</c:v>
                </c:pt>
                <c:pt idx="194">
                  <c:v>97264.569932147075</c:v>
                </c:pt>
                <c:pt idx="195">
                  <c:v>96824.920692509491</c:v>
                </c:pt>
                <c:pt idx="196">
                  <c:v>96383.805955406453</c:v>
                </c:pt>
                <c:pt idx="197">
                  <c:v>95941.220835846412</c:v>
                </c:pt>
                <c:pt idx="198">
                  <c:v>95497.160432554505</c:v>
                </c:pt>
                <c:pt idx="199">
                  <c:v>95051.619827918286</c:v>
                </c:pt>
                <c:pt idx="200">
                  <c:v>94604.594087933277</c:v>
                </c:pt>
                <c:pt idx="201">
                  <c:v>94156.078262148323</c:v>
                </c:pt>
                <c:pt idx="202">
                  <c:v>93706.067383610745</c:v>
                </c:pt>
                <c:pt idx="203">
                  <c:v>93254.556468811381</c:v>
                </c:pt>
                <c:pt idx="204">
                  <c:v>92801.540517629357</c:v>
                </c:pt>
                <c:pt idx="205">
                  <c:v>92347.014513276721</c:v>
                </c:pt>
                <c:pt idx="206">
                  <c:v>91890.973422242911</c:v>
                </c:pt>
                <c:pt idx="207">
                  <c:v>91433.41219423899</c:v>
                </c:pt>
                <c:pt idx="208">
                  <c:v>90974.325762141714</c:v>
                </c:pt>
                <c:pt idx="209">
                  <c:v>90513.709041937458</c:v>
                </c:pt>
                <c:pt idx="210">
                  <c:v>90051.556932665844</c:v>
                </c:pt>
                <c:pt idx="211">
                  <c:v>89587.864316363324</c:v>
                </c:pt>
                <c:pt idx="212">
                  <c:v>89122.62605800647</c:v>
                </c:pt>
                <c:pt idx="213">
                  <c:v>88655.837005455091</c:v>
                </c:pt>
                <c:pt idx="214">
                  <c:v>88187.491989395203</c:v>
                </c:pt>
                <c:pt idx="215">
                  <c:v>87717.585823281785</c:v>
                </c:pt>
                <c:pt idx="216">
                  <c:v>87246.113303281323</c:v>
                </c:pt>
                <c:pt idx="217">
                  <c:v>86773.06920821419</c:v>
                </c:pt>
                <c:pt idx="218">
                  <c:v>86298.448299496842</c:v>
                </c:pt>
                <c:pt idx="219">
                  <c:v>85822.24532108377</c:v>
                </c:pt>
                <c:pt idx="220">
                  <c:v>85344.45499940931</c:v>
                </c:pt>
                <c:pt idx="221">
                  <c:v>84865.072043329274</c:v>
                </c:pt>
                <c:pt idx="222">
                  <c:v>84384.091144062302</c:v>
                </c:pt>
                <c:pt idx="223">
                  <c:v>83901.506975131109</c:v>
                </c:pt>
                <c:pt idx="224">
                  <c:v>83417.314192303471</c:v>
                </c:pt>
                <c:pt idx="225">
                  <c:v>82931.507433533086</c:v>
                </c:pt>
                <c:pt idx="226">
                  <c:v>82444.081318900135</c:v>
                </c:pt>
                <c:pt idx="227">
                  <c:v>81955.030450551727</c:v>
                </c:pt>
                <c:pt idx="228">
                  <c:v>81464.349412642157</c:v>
                </c:pt>
                <c:pt idx="229">
                  <c:v>80972.03277127289</c:v>
                </c:pt>
                <c:pt idx="230">
                  <c:v>80478.075074432403</c:v>
                </c:pt>
                <c:pt idx="231">
                  <c:v>79982.470851935781</c:v>
                </c:pt>
                <c:pt idx="232">
                  <c:v>79485.214615364166</c:v>
                </c:pt>
                <c:pt idx="233">
                  <c:v>78986.300858003975</c:v>
                </c:pt>
                <c:pt idx="234">
                  <c:v>78485.724054785926</c:v>
                </c:pt>
                <c:pt idx="235">
                  <c:v>77983.478662223817</c:v>
                </c:pt>
                <c:pt idx="236">
                  <c:v>77479.559118353165</c:v>
                </c:pt>
                <c:pt idx="237">
                  <c:v>76973.959842669603</c:v>
                </c:pt>
                <c:pt idx="238">
                  <c:v>76466.675236067094</c:v>
                </c:pt>
                <c:pt idx="239">
                  <c:v>75957.699680775913</c:v>
                </c:pt>
                <c:pt idx="240">
                  <c:v>75447.027540300434</c:v>
                </c:pt>
                <c:pt idx="241">
                  <c:v>74934.653159356705</c:v>
                </c:pt>
                <c:pt idx="242">
                  <c:v>74420.570863809829</c:v>
                </c:pt>
                <c:pt idx="243">
                  <c:v>73904.774960611132</c:v>
                </c:pt>
                <c:pt idx="244">
                  <c:v>73387.259737735105</c:v>
                </c:pt>
                <c:pt idx="245">
                  <c:v>72868.019464116151</c:v>
                </c:pt>
                <c:pt idx="246">
                  <c:v>72347.048389585136</c:v>
                </c:pt>
                <c:pt idx="247">
                  <c:v>71824.340744805682</c:v>
                </c:pt>
                <c:pt idx="248">
                  <c:v>71299.8907412103</c:v>
                </c:pt>
                <c:pt idx="249">
                  <c:v>70773.692570936269</c:v>
                </c:pt>
                <c:pt idx="250">
                  <c:v>70245.740406761324</c:v>
                </c:pt>
                <c:pt idx="251">
                  <c:v>69716.028402039126</c:v>
                </c:pt>
                <c:pt idx="252">
                  <c:v>69184.550690634525</c:v>
                </c:pt>
                <c:pt idx="253">
                  <c:v>68651.301386858569</c:v>
                </c:pt>
                <c:pt idx="254">
                  <c:v>68116.274585403356</c:v>
                </c:pt>
                <c:pt idx="255">
                  <c:v>67579.464361276638</c:v>
                </c:pt>
                <c:pt idx="256">
                  <c:v>67040.864769736159</c:v>
                </c:pt>
                <c:pt idx="257">
                  <c:v>66500.469846223874</c:v>
                </c:pt>
                <c:pt idx="258">
                  <c:v>65958.273606299888</c:v>
                </c:pt>
                <c:pt idx="259">
                  <c:v>65414.270045576151</c:v>
                </c:pt>
                <c:pt idx="260">
                  <c:v>64868.453139650002</c:v>
                </c:pt>
                <c:pt idx="261">
                  <c:v>64320.816844037436</c:v>
                </c:pt>
                <c:pt idx="262">
                  <c:v>63771.355094106162</c:v>
                </c:pt>
                <c:pt idx="263">
                  <c:v>63220.061805008445</c:v>
                </c:pt>
                <c:pt idx="264">
                  <c:v>62666.930871613738</c:v>
                </c:pt>
                <c:pt idx="265">
                  <c:v>62111.956168441051</c:v>
                </c:pt>
                <c:pt idx="266">
                  <c:v>61555.131549591119</c:v>
                </c:pt>
                <c:pt idx="267">
                  <c:v>60996.450848678352</c:v>
                </c:pt>
                <c:pt idx="268">
                  <c:v>60435.907878762548</c:v>
                </c:pt>
                <c:pt idx="269">
                  <c:v>59873.496432280357</c:v>
                </c:pt>
                <c:pt idx="270">
                  <c:v>59309.210280976557</c:v>
                </c:pt>
                <c:pt idx="271">
                  <c:v>58743.043175835075</c:v>
                </c:pt>
                <c:pt idx="272">
                  <c:v>58174.988847009787</c:v>
                </c:pt>
                <c:pt idx="273">
                  <c:v>57605.041003755083</c:v>
                </c:pt>
                <c:pt idx="274">
                  <c:v>57033.193334356198</c:v>
                </c:pt>
                <c:pt idx="275">
                  <c:v>56459.439506059316</c:v>
                </c:pt>
                <c:pt idx="276">
                  <c:v>55883.773165001447</c:v>
                </c:pt>
                <c:pt idx="277">
                  <c:v>55306.18793614005</c:v>
                </c:pt>
                <c:pt idx="278">
                  <c:v>54726.677423182446</c:v>
                </c:pt>
                <c:pt idx="279">
                  <c:v>54145.235208514983</c:v>
                </c:pt>
                <c:pt idx="280">
                  <c:v>53561.854853131961</c:v>
                </c:pt>
                <c:pt idx="281">
                  <c:v>52976.529896564331</c:v>
                </c:pt>
                <c:pt idx="282">
                  <c:v>52389.253856808144</c:v>
                </c:pt>
                <c:pt idx="283">
                  <c:v>51800.020230252769</c:v>
                </c:pt>
                <c:pt idx="284">
                  <c:v>51208.822491608873</c:v>
                </c:pt>
                <c:pt idx="285">
                  <c:v>50615.654093836165</c:v>
                </c:pt>
                <c:pt idx="286">
                  <c:v>50020.508468070882</c:v>
                </c:pt>
                <c:pt idx="287">
                  <c:v>49423.379023553047</c:v>
                </c:pt>
                <c:pt idx="288">
                  <c:v>48824.259147553486</c:v>
                </c:pt>
                <c:pt idx="289">
                  <c:v>48223.142205300595</c:v>
                </c:pt>
                <c:pt idx="290">
                  <c:v>47620.021539906862</c:v>
                </c:pt>
                <c:pt idx="291">
                  <c:v>47014.890472295148</c:v>
                </c:pt>
                <c:pt idx="292">
                  <c:v>46407.74230112473</c:v>
                </c:pt>
                <c:pt idx="293">
                  <c:v>45798.570302717075</c:v>
                </c:pt>
                <c:pt idx="294">
                  <c:v>45187.367730981394</c:v>
                </c:pt>
                <c:pt idx="295">
                  <c:v>44574.127817339933</c:v>
                </c:pt>
                <c:pt idx="296">
                  <c:v>43958.843770652995</c:v>
                </c:pt>
                <c:pt idx="297">
                  <c:v>43341.508777143768</c:v>
                </c:pt>
                <c:pt idx="298">
                  <c:v>42722.116000322843</c:v>
                </c:pt>
                <c:pt idx="299">
                  <c:v>42100.658580912517</c:v>
                </c:pt>
                <c:pt idx="300">
                  <c:v>41477.129636770827</c:v>
                </c:pt>
                <c:pt idx="301">
                  <c:v>40851.522262815328</c:v>
                </c:pt>
                <c:pt idx="302">
                  <c:v>40223.829530946641</c:v>
                </c:pt>
                <c:pt idx="303">
                  <c:v>39594.044489971726</c:v>
                </c:pt>
                <c:pt idx="304">
                  <c:v>38962.160165526897</c:v>
                </c:pt>
                <c:pt idx="305">
                  <c:v>38328.169560000584</c:v>
                </c:pt>
                <c:pt idx="306">
                  <c:v>37692.065652455851</c:v>
                </c:pt>
                <c:pt idx="307">
                  <c:v>37053.841398552635</c:v>
                </c:pt>
                <c:pt idx="308">
                  <c:v>36413.489730469744</c:v>
                </c:pt>
                <c:pt idx="309">
                  <c:v>35771.003556826574</c:v>
                </c:pt>
                <c:pt idx="310">
                  <c:v>35126.375762604592</c:v>
                </c:pt>
                <c:pt idx="311">
                  <c:v>34479.599209068539</c:v>
                </c:pt>
                <c:pt idx="312">
                  <c:v>33830.666733687365</c:v>
                </c:pt>
                <c:pt idx="313">
                  <c:v>33179.571150054922</c:v>
                </c:pt>
                <c:pt idx="314">
                  <c:v>32526.305247810371</c:v>
                </c:pt>
                <c:pt idx="315">
                  <c:v>31870.861792558338</c:v>
                </c:pt>
                <c:pt idx="316">
                  <c:v>31213.233525788797</c:v>
                </c:pt>
                <c:pt idx="317">
                  <c:v>30553.41316479669</c:v>
                </c:pt>
                <c:pt idx="318">
                  <c:v>29891.393402601276</c:v>
                </c:pt>
                <c:pt idx="319">
                  <c:v>29227.166907865212</c:v>
                </c:pt>
                <c:pt idx="320">
                  <c:v>28560.72632481336</c:v>
                </c:pt>
                <c:pt idx="321">
                  <c:v>27892.064273151336</c:v>
                </c:pt>
                <c:pt idx="322">
                  <c:v>27221.173347983771</c:v>
                </c:pt>
                <c:pt idx="323">
                  <c:v>26548.046119732317</c:v>
                </c:pt>
                <c:pt idx="324">
                  <c:v>25872.675134053356</c:v>
                </c:pt>
                <c:pt idx="325">
                  <c:v>25195.052911755465</c:v>
                </c:pt>
                <c:pt idx="326">
                  <c:v>24515.171948716583</c:v>
                </c:pt>
                <c:pt idx="327">
                  <c:v>23833.024715800904</c:v>
                </c:pt>
                <c:pt idx="328">
                  <c:v>23148.603658775504</c:v>
                </c:pt>
                <c:pt idx="329">
                  <c:v>22461.901198226689</c:v>
                </c:pt>
                <c:pt idx="330">
                  <c:v>21772.909729476043</c:v>
                </c:pt>
                <c:pt idx="331">
                  <c:v>21081.621622496226</c:v>
                </c:pt>
                <c:pt idx="332">
                  <c:v>20388.02922182648</c:v>
                </c:pt>
                <c:pt idx="333">
                  <c:v>19692.124846487834</c:v>
                </c:pt>
                <c:pt idx="334">
                  <c:v>18993.900789898056</c:v>
                </c:pt>
                <c:pt idx="335">
                  <c:v>18293.349319786314</c:v>
                </c:pt>
                <c:pt idx="336">
                  <c:v>17590.462678107531</c:v>
                </c:pt>
                <c:pt idx="337">
                  <c:v>16885.233080956488</c:v>
                </c:pt>
                <c:pt idx="338">
                  <c:v>16177.652718481608</c:v>
                </c:pt>
                <c:pt idx="339">
                  <c:v>15467.713754798478</c:v>
                </c:pt>
                <c:pt idx="340">
                  <c:v>14755.408327903071</c:v>
                </c:pt>
                <c:pt idx="341">
                  <c:v>14040.728549584679</c:v>
                </c:pt>
                <c:pt idx="342">
                  <c:v>13323.666505338559</c:v>
                </c:pt>
                <c:pt idx="343">
                  <c:v>12604.214254278286</c:v>
                </c:pt>
                <c:pt idx="344">
                  <c:v>11882.363829047812</c:v>
                </c:pt>
                <c:pt idx="345">
                  <c:v>11158.107235733236</c:v>
                </c:pt>
                <c:pt idx="346">
                  <c:v>10431.436453774279</c:v>
                </c:pt>
                <c:pt idx="347">
                  <c:v>9702.3434358754585</c:v>
                </c:pt>
                <c:pt idx="348">
                  <c:v>8970.8201079169739</c:v>
                </c:pt>
                <c:pt idx="349">
                  <c:v>8236.8583688652961</c:v>
                </c:pt>
                <c:pt idx="350">
                  <c:v>7500.4500906834455</c:v>
                </c:pt>
                <c:pt idx="351">
                  <c:v>6761.5871182409883</c:v>
                </c:pt>
                <c:pt idx="352">
                  <c:v>6020.2612692237235</c:v>
                </c:pt>
                <c:pt idx="353">
                  <c:v>5276.4643340430675</c:v>
                </c:pt>
                <c:pt idx="354">
                  <c:v>4530.1880757451427</c:v>
                </c:pt>
                <c:pt idx="355">
                  <c:v>3781.424229919558</c:v>
                </c:pt>
                <c:pt idx="356">
                  <c:v>3030.1645046078879</c:v>
                </c:pt>
                <c:pt idx="357">
                  <c:v>2276.4005802118459</c:v>
                </c:pt>
                <c:pt idx="358">
                  <c:v>1520.1241094011502</c:v>
                </c:pt>
                <c:pt idx="359">
                  <c:v>761.32671702108553</c:v>
                </c:pt>
                <c:pt idx="360">
                  <c:v>-2.4601831682957709E-10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B-8D4F-8398-D1A5B682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'Spare Mort Calc'!$G$1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Calc'!$G$2:$G$362</c:f>
              <c:numCache>
                <c:formatCode>"$"#,##0.00_);[Red]\("$"#,##0.00\)</c:formatCode>
                <c:ptCount val="361"/>
                <c:pt idx="0">
                  <c:v>533.33333333333337</c:v>
                </c:pt>
                <c:pt idx="1">
                  <c:v>532.56489620196203</c:v>
                </c:pt>
                <c:pt idx="2">
                  <c:v>531.79389761348602</c:v>
                </c:pt>
                <c:pt idx="3">
                  <c:v>531.0203290297153</c:v>
                </c:pt>
                <c:pt idx="4">
                  <c:v>530.24418188399852</c:v>
                </c:pt>
                <c:pt idx="5">
                  <c:v>529.46544758112941</c:v>
                </c:pt>
                <c:pt idx="6">
                  <c:v>528.68411749725067</c:v>
                </c:pt>
                <c:pt idx="7">
                  <c:v>527.90018297975905</c:v>
                </c:pt>
                <c:pt idx="8">
                  <c:v>527.11363534720908</c:v>
                </c:pt>
                <c:pt idx="9">
                  <c:v>526.32446588921732</c:v>
                </c:pt>
                <c:pt idx="10">
                  <c:v>525.53266586636551</c:v>
                </c:pt>
                <c:pt idx="11">
                  <c:v>524.73822651010437</c:v>
                </c:pt>
                <c:pt idx="12">
                  <c:v>523.94113902265553</c:v>
                </c:pt>
                <c:pt idx="13">
                  <c:v>523.14139457691533</c:v>
                </c:pt>
                <c:pt idx="14">
                  <c:v>522.33898431635589</c:v>
                </c:pt>
                <c:pt idx="15">
                  <c:v>521.53389935492794</c:v>
                </c:pt>
                <c:pt idx="16">
                  <c:v>520.7261307769619</c:v>
                </c:pt>
                <c:pt idx="17">
                  <c:v>519.9156696370693</c:v>
                </c:pt>
                <c:pt idx="18">
                  <c:v>519.1025069600438</c:v>
                </c:pt>
                <c:pt idx="19">
                  <c:v>518.28663374076154</c:v>
                </c:pt>
                <c:pt idx="20">
                  <c:v>517.46804094408162</c:v>
                </c:pt>
                <c:pt idx="21">
                  <c:v>516.64671950474622</c:v>
                </c:pt>
                <c:pt idx="22">
                  <c:v>515.82266032727955</c:v>
                </c:pt>
                <c:pt idx="23">
                  <c:v>514.99585428588807</c:v>
                </c:pt>
                <c:pt idx="24">
                  <c:v>514.16629222435847</c:v>
                </c:pt>
                <c:pt idx="25">
                  <c:v>513.33396495595719</c:v>
                </c:pt>
                <c:pt idx="26">
                  <c:v>512.49886326332796</c:v>
                </c:pt>
                <c:pt idx="27">
                  <c:v>511.66097789838989</c:v>
                </c:pt>
                <c:pt idx="28">
                  <c:v>510.82029958223541</c:v>
                </c:pt>
                <c:pt idx="29">
                  <c:v>509.9768190050271</c:v>
                </c:pt>
                <c:pt idx="30">
                  <c:v>509.13052682589472</c:v>
                </c:pt>
                <c:pt idx="31">
                  <c:v>508.28141367283189</c:v>
                </c:pt>
                <c:pt idx="32">
                  <c:v>507.42947014259215</c:v>
                </c:pt>
                <c:pt idx="33">
                  <c:v>506.57468680058503</c:v>
                </c:pt>
                <c:pt idx="34">
                  <c:v>505.71705418077119</c:v>
                </c:pt>
                <c:pt idx="35">
                  <c:v>504.85656278555797</c:v>
                </c:pt>
                <c:pt idx="36">
                  <c:v>503.99320308569406</c:v>
                </c:pt>
                <c:pt idx="37">
                  <c:v>503.12696552016388</c:v>
                </c:pt>
                <c:pt idx="38">
                  <c:v>502.25784049608194</c:v>
                </c:pt>
                <c:pt idx="39">
                  <c:v>501.38581838858647</c:v>
                </c:pt>
                <c:pt idx="40">
                  <c:v>500.51088954073265</c:v>
                </c:pt>
                <c:pt idx="41">
                  <c:v>499.63304426338595</c:v>
                </c:pt>
                <c:pt idx="42">
                  <c:v>498.75227283511481</c:v>
                </c:pt>
                <c:pt idx="43">
                  <c:v>497.86856550208279</c:v>
                </c:pt>
                <c:pt idx="44">
                  <c:v>496.98191247794063</c:v>
                </c:pt>
                <c:pt idx="45">
                  <c:v>496.09230394371798</c:v>
                </c:pt>
                <c:pt idx="46">
                  <c:v>495.19973004771458</c:v>
                </c:pt>
                <c:pt idx="47">
                  <c:v>494.30418090539115</c:v>
                </c:pt>
                <c:pt idx="48">
                  <c:v>493.40564659925997</c:v>
                </c:pt>
                <c:pt idx="49">
                  <c:v>492.50411717877506</c:v>
                </c:pt>
                <c:pt idx="50">
                  <c:v>491.59958266022181</c:v>
                </c:pt>
                <c:pt idx="51">
                  <c:v>490.69203302660679</c:v>
                </c:pt>
                <c:pt idx="52">
                  <c:v>489.78145822754635</c:v>
                </c:pt>
                <c:pt idx="53">
                  <c:v>488.86784817915577</c:v>
                </c:pt>
                <c:pt idx="54">
                  <c:v>487.95119276393723</c:v>
                </c:pt>
                <c:pt idx="55">
                  <c:v>487.03148183066787</c:v>
                </c:pt>
                <c:pt idx="56">
                  <c:v>486.10870519428767</c:v>
                </c:pt>
                <c:pt idx="57">
                  <c:v>485.18285263578622</c:v>
                </c:pt>
                <c:pt idx="58">
                  <c:v>484.25391390208972</c:v>
                </c:pt>
                <c:pt idx="59">
                  <c:v>483.32187870594754</c:v>
                </c:pt>
                <c:pt idx="60">
                  <c:v>482.3867367258182</c:v>
                </c:pt>
                <c:pt idx="61">
                  <c:v>481.44847760575516</c:v>
                </c:pt>
                <c:pt idx="62">
                  <c:v>480.50709095529186</c:v>
                </c:pt>
                <c:pt idx="63">
                  <c:v>479.56256634932703</c:v>
                </c:pt>
                <c:pt idx="64">
                  <c:v>478.61489332800898</c:v>
                </c:pt>
                <c:pt idx="65">
                  <c:v>477.6640613966199</c:v>
                </c:pt>
                <c:pt idx="66">
                  <c:v>476.71006002545954</c:v>
                </c:pt>
                <c:pt idx="67">
                  <c:v>475.75287864972859</c:v>
                </c:pt>
                <c:pt idx="68">
                  <c:v>474.79250666941192</c:v>
                </c:pt>
                <c:pt idx="69">
                  <c:v>473.82893344916084</c:v>
                </c:pt>
                <c:pt idx="70">
                  <c:v>472.86214831817557</c:v>
                </c:pt>
                <c:pt idx="71">
                  <c:v>471.89214057008712</c:v>
                </c:pt>
                <c:pt idx="72">
                  <c:v>470.91889946283823</c:v>
                </c:pt>
                <c:pt idx="73">
                  <c:v>469.9424142185652</c:v>
                </c:pt>
                <c:pt idx="74">
                  <c:v>468.96267402347803</c:v>
                </c:pt>
                <c:pt idx="75">
                  <c:v>467.9796680277405</c:v>
                </c:pt>
                <c:pt idx="76">
                  <c:v>466.99338534535048</c:v>
                </c:pt>
                <c:pt idx="77">
                  <c:v>466.00381505401913</c:v>
                </c:pt>
                <c:pt idx="78">
                  <c:v>465.01094619505011</c:v>
                </c:pt>
                <c:pt idx="79">
                  <c:v>464.0147677732179</c:v>
                </c:pt>
                <c:pt idx="80">
                  <c:v>463.01526875664621</c:v>
                </c:pt>
                <c:pt idx="81">
                  <c:v>462.0124380766859</c:v>
                </c:pt>
                <c:pt idx="82">
                  <c:v>461.00626462779235</c:v>
                </c:pt>
                <c:pt idx="83">
                  <c:v>459.99673726740258</c:v>
                </c:pt>
                <c:pt idx="84">
                  <c:v>458.98384481581144</c:v>
                </c:pt>
                <c:pt idx="85">
                  <c:v>457.96757605604842</c:v>
                </c:pt>
                <c:pt idx="86">
                  <c:v>456.94791973375283</c:v>
                </c:pt>
                <c:pt idx="87">
                  <c:v>455.92486455704955</c:v>
                </c:pt>
                <c:pt idx="88">
                  <c:v>454.89839919642395</c:v>
                </c:pt>
                <c:pt idx="89">
                  <c:v>453.86851228459625</c:v>
                </c:pt>
                <c:pt idx="90">
                  <c:v>452.83519241639578</c:v>
                </c:pt>
                <c:pt idx="91">
                  <c:v>451.79842814863468</c:v>
                </c:pt>
                <c:pt idx="92">
                  <c:v>450.75820799998098</c:v>
                </c:pt>
                <c:pt idx="93">
                  <c:v>449.71452045083186</c:v>
                </c:pt>
                <c:pt idx="94">
                  <c:v>448.6673539431855</c:v>
                </c:pt>
                <c:pt idx="95">
                  <c:v>447.61669688051364</c:v>
                </c:pt>
                <c:pt idx="96">
                  <c:v>446.56253762763288</c:v>
                </c:pt>
                <c:pt idx="97">
                  <c:v>445.50486451057583</c:v>
                </c:pt>
                <c:pt idx="98">
                  <c:v>444.44366581646193</c:v>
                </c:pt>
                <c:pt idx="99">
                  <c:v>443.37892979336772</c:v>
                </c:pt>
                <c:pt idx="100">
                  <c:v>442.31064465019654</c:v>
                </c:pt>
                <c:pt idx="101">
                  <c:v>441.23879855654809</c:v>
                </c:pt>
                <c:pt idx="102">
                  <c:v>440.16337964258742</c:v>
                </c:pt>
                <c:pt idx="103">
                  <c:v>439.08437599891363</c:v>
                </c:pt>
                <c:pt idx="104">
                  <c:v>438.0017756764276</c:v>
                </c:pt>
                <c:pt idx="105">
                  <c:v>436.9155666861999</c:v>
                </c:pt>
                <c:pt idx="106">
                  <c:v>435.82573699933812</c:v>
                </c:pt>
                <c:pt idx="107">
                  <c:v>434.73227454685343</c:v>
                </c:pt>
                <c:pt idx="108">
                  <c:v>433.63516721952715</c:v>
                </c:pt>
                <c:pt idx="109">
                  <c:v>432.53440286777646</c:v>
                </c:pt>
                <c:pt idx="110">
                  <c:v>431.42996930151992</c:v>
                </c:pt>
                <c:pt idx="111">
                  <c:v>430.32185429004249</c:v>
                </c:pt>
                <c:pt idx="112">
                  <c:v>429.21004556186017</c:v>
                </c:pt>
                <c:pt idx="113">
                  <c:v>428.09453080458394</c:v>
                </c:pt>
                <c:pt idx="114">
                  <c:v>426.97529766478345</c:v>
                </c:pt>
                <c:pt idx="115">
                  <c:v>425.85233374785031</c:v>
                </c:pt>
                <c:pt idx="116">
                  <c:v>424.72562661786066</c:v>
                </c:pt>
                <c:pt idx="117">
                  <c:v>423.59516379743775</c:v>
                </c:pt>
                <c:pt idx="118">
                  <c:v>422.46093276761337</c:v>
                </c:pt>
                <c:pt idx="119">
                  <c:v>421.32292096768964</c:v>
                </c:pt>
                <c:pt idx="120">
                  <c:v>420.18111579509952</c:v>
                </c:pt>
                <c:pt idx="121">
                  <c:v>419.03550460526736</c:v>
                </c:pt>
                <c:pt idx="122">
                  <c:v>417.88607471146912</c:v>
                </c:pt>
                <c:pt idx="123">
                  <c:v>416.73281338469155</c:v>
                </c:pt>
                <c:pt idx="124">
                  <c:v>415.57570785349139</c:v>
                </c:pt>
                <c:pt idx="125">
                  <c:v>414.41474530385392</c:v>
                </c:pt>
                <c:pt idx="126">
                  <c:v>413.24991287905101</c:v>
                </c:pt>
                <c:pt idx="127">
                  <c:v>412.0811976794987</c:v>
                </c:pt>
                <c:pt idx="128">
                  <c:v>410.90858676261462</c:v>
                </c:pt>
                <c:pt idx="129">
                  <c:v>409.73206714267417</c:v>
                </c:pt>
                <c:pt idx="130">
                  <c:v>408.55162579066729</c:v>
                </c:pt>
                <c:pt idx="131">
                  <c:v>407.36724963415372</c:v>
                </c:pt>
                <c:pt idx="132">
                  <c:v>406.17892555711848</c:v>
                </c:pt>
                <c:pt idx="133">
                  <c:v>404.9866403998264</c:v>
                </c:pt>
                <c:pt idx="134">
                  <c:v>403.79038095867674</c:v>
                </c:pt>
                <c:pt idx="135">
                  <c:v>402.59013398605651</c:v>
                </c:pt>
                <c:pt idx="136">
                  <c:v>401.38588619019424</c:v>
                </c:pt>
                <c:pt idx="137">
                  <c:v>400.17762423501244</c:v>
                </c:pt>
                <c:pt idx="138">
                  <c:v>398.96533473998005</c:v>
                </c:pt>
                <c:pt idx="139">
                  <c:v>397.7490042799642</c:v>
                </c:pt>
                <c:pt idx="140">
                  <c:v>396.52861938508164</c:v>
                </c:pt>
                <c:pt idx="141">
                  <c:v>395.30416654054949</c:v>
                </c:pt>
                <c:pt idx="142">
                  <c:v>394.07563218653547</c:v>
                </c:pt>
                <c:pt idx="143">
                  <c:v>392.84300271800817</c:v>
                </c:pt>
                <c:pt idx="144">
                  <c:v>391.60626448458572</c:v>
                </c:pt>
                <c:pt idx="145">
                  <c:v>390.36540379038524</c:v>
                </c:pt>
                <c:pt idx="146">
                  <c:v>389.12040689387072</c:v>
                </c:pt>
                <c:pt idx="147">
                  <c:v>387.87126000770115</c:v>
                </c:pt>
                <c:pt idx="148">
                  <c:v>386.61794929857768</c:v>
                </c:pt>
                <c:pt idx="149">
                  <c:v>385.36046088709054</c:v>
                </c:pt>
                <c:pt idx="150">
                  <c:v>384.09878084756502</c:v>
                </c:pt>
                <c:pt idx="151">
                  <c:v>382.83289520790777</c:v>
                </c:pt>
                <c:pt idx="152">
                  <c:v>381.56278994945171</c:v>
                </c:pt>
                <c:pt idx="153">
                  <c:v>380.28845100680076</c:v>
                </c:pt>
                <c:pt idx="154">
                  <c:v>379.00986426767435</c:v>
                </c:pt>
                <c:pt idx="155">
                  <c:v>377.72701557275082</c:v>
                </c:pt>
                <c:pt idx="156">
                  <c:v>376.4398907155109</c:v>
                </c:pt>
                <c:pt idx="157">
                  <c:v>375.1484754420801</c:v>
                </c:pt>
                <c:pt idx="158">
                  <c:v>373.85275545107123</c:v>
                </c:pt>
                <c:pt idx="159">
                  <c:v>372.55271639342573</c:v>
                </c:pt>
                <c:pt idx="160">
                  <c:v>371.24834387225468</c:v>
                </c:pt>
                <c:pt idx="161">
                  <c:v>369.93962344267976</c:v>
                </c:pt>
                <c:pt idx="162">
                  <c:v>368.62654061167291</c:v>
                </c:pt>
                <c:pt idx="163">
                  <c:v>367.30908083789603</c:v>
                </c:pt>
                <c:pt idx="164">
                  <c:v>365.98722953153992</c:v>
                </c:pt>
                <c:pt idx="165">
                  <c:v>364.66097205416258</c:v>
                </c:pt>
                <c:pt idx="166">
                  <c:v>363.33029371852734</c:v>
                </c:pt>
                <c:pt idx="167">
                  <c:v>361.99517978844</c:v>
                </c:pt>
                <c:pt idx="168">
                  <c:v>360.65561547858567</c:v>
                </c:pt>
                <c:pt idx="169">
                  <c:v>359.31158595436517</c:v>
                </c:pt>
                <c:pt idx="170">
                  <c:v>357.96307633173063</c:v>
                </c:pt>
                <c:pt idx="171">
                  <c:v>356.61007167702064</c:v>
                </c:pt>
                <c:pt idx="172">
                  <c:v>355.25255700679492</c:v>
                </c:pt>
                <c:pt idx="173">
                  <c:v>353.89051728766844</c:v>
                </c:pt>
                <c:pt idx="174">
                  <c:v>352.52393743614488</c:v>
                </c:pt>
                <c:pt idx="175">
                  <c:v>351.15280231844963</c:v>
                </c:pt>
                <c:pt idx="176">
                  <c:v>349.77709675036198</c:v>
                </c:pt>
                <c:pt idx="177">
                  <c:v>348.39680549704741</c:v>
                </c:pt>
                <c:pt idx="178">
                  <c:v>347.01191327288842</c:v>
                </c:pt>
                <c:pt idx="179">
                  <c:v>345.62240474131556</c:v>
                </c:pt>
                <c:pt idx="180">
                  <c:v>344.22826451463749</c:v>
                </c:pt>
                <c:pt idx="181">
                  <c:v>342.82947715387053</c:v>
                </c:pt>
                <c:pt idx="182">
                  <c:v>341.42602716856766</c:v>
                </c:pt>
                <c:pt idx="183">
                  <c:v>340.01789901664711</c:v>
                </c:pt>
                <c:pt idx="184">
                  <c:v>338.60507710422013</c:v>
                </c:pt>
                <c:pt idx="185">
                  <c:v>337.18754578541842</c:v>
                </c:pt>
                <c:pt idx="186">
                  <c:v>335.76528936222064</c:v>
                </c:pt>
                <c:pt idx="187">
                  <c:v>334.33829208427898</c:v>
                </c:pt>
                <c:pt idx="188">
                  <c:v>332.90653814874412</c:v>
                </c:pt>
                <c:pt idx="189">
                  <c:v>331.47001170009082</c:v>
                </c:pt>
                <c:pt idx="190">
                  <c:v>330.02869682994196</c:v>
                </c:pt>
                <c:pt idx="191">
                  <c:v>328.58257757689267</c:v>
                </c:pt>
                <c:pt idx="192">
                  <c:v>327.13163792633316</c:v>
                </c:pt>
                <c:pt idx="193">
                  <c:v>325.67586181027184</c:v>
                </c:pt>
                <c:pt idx="194">
                  <c:v>324.21523310715696</c:v>
                </c:pt>
                <c:pt idx="195">
                  <c:v>322.74973564169835</c:v>
                </c:pt>
                <c:pt idx="196">
                  <c:v>321.2793531846882</c:v>
                </c:pt>
                <c:pt idx="197">
                  <c:v>319.80406945282141</c:v>
                </c:pt>
                <c:pt idx="198">
                  <c:v>318.32386810851506</c:v>
                </c:pt>
                <c:pt idx="199">
                  <c:v>316.83873275972763</c:v>
                </c:pt>
                <c:pt idx="200">
                  <c:v>315.34864695977762</c:v>
                </c:pt>
                <c:pt idx="201">
                  <c:v>313.85359420716111</c:v>
                </c:pt>
                <c:pt idx="202">
                  <c:v>312.35355794536918</c:v>
                </c:pt>
                <c:pt idx="203">
                  <c:v>310.8485215627046</c:v>
                </c:pt>
                <c:pt idx="204">
                  <c:v>309.33846839209787</c:v>
                </c:pt>
                <c:pt idx="205">
                  <c:v>307.82338171092243</c:v>
                </c:pt>
                <c:pt idx="206">
                  <c:v>306.3032447408097</c:v>
                </c:pt>
                <c:pt idx="207">
                  <c:v>304.77804064746334</c:v>
                </c:pt>
                <c:pt idx="208">
                  <c:v>303.24775254047239</c:v>
                </c:pt>
                <c:pt idx="209">
                  <c:v>301.71236347312487</c:v>
                </c:pt>
                <c:pt idx="210">
                  <c:v>300.17185644221951</c:v>
                </c:pt>
                <c:pt idx="211">
                  <c:v>298.62621438787778</c:v>
                </c:pt>
                <c:pt idx="212">
                  <c:v>297.07542019335494</c:v>
                </c:pt>
                <c:pt idx="213">
                  <c:v>295.5194566848503</c:v>
                </c:pt>
                <c:pt idx="214">
                  <c:v>293.95830663131738</c:v>
                </c:pt>
                <c:pt idx="215">
                  <c:v>292.39195274427266</c:v>
                </c:pt>
                <c:pt idx="216">
                  <c:v>290.82037767760443</c:v>
                </c:pt>
                <c:pt idx="217">
                  <c:v>289.24356402738067</c:v>
                </c:pt>
                <c:pt idx="218">
                  <c:v>287.66149433165617</c:v>
                </c:pt>
                <c:pt idx="219">
                  <c:v>286.07415107027924</c:v>
                </c:pt>
                <c:pt idx="220">
                  <c:v>284.48151666469772</c:v>
                </c:pt>
                <c:pt idx="221">
                  <c:v>282.88357347776429</c:v>
                </c:pt>
                <c:pt idx="222">
                  <c:v>281.28030381354102</c:v>
                </c:pt>
                <c:pt idx="223">
                  <c:v>279.67168991710372</c:v>
                </c:pt>
                <c:pt idx="224">
                  <c:v>278.05771397434495</c:v>
                </c:pt>
                <c:pt idx="225">
                  <c:v>276.43835811177695</c:v>
                </c:pt>
                <c:pt idx="226">
                  <c:v>274.8136043963338</c:v>
                </c:pt>
                <c:pt idx="227">
                  <c:v>273.18343483517242</c:v>
                </c:pt>
                <c:pt idx="228">
                  <c:v>271.54783137547389</c:v>
                </c:pt>
                <c:pt idx="229">
                  <c:v>269.90677590424298</c:v>
                </c:pt>
                <c:pt idx="230">
                  <c:v>268.26025024810804</c:v>
                </c:pt>
                <c:pt idx="231">
                  <c:v>266.60823617311928</c:v>
                </c:pt>
                <c:pt idx="232">
                  <c:v>264.95071538454721</c:v>
                </c:pt>
                <c:pt idx="233">
                  <c:v>263.28766952667991</c:v>
                </c:pt>
                <c:pt idx="234">
                  <c:v>261.61908018261977</c:v>
                </c:pt>
                <c:pt idx="235">
                  <c:v>259.94492887407938</c:v>
                </c:pt>
                <c:pt idx="236">
                  <c:v>258.26519706117722</c:v>
                </c:pt>
                <c:pt idx="237">
                  <c:v>256.57986614223205</c:v>
                </c:pt>
                <c:pt idx="238">
                  <c:v>254.88891745355699</c:v>
                </c:pt>
                <c:pt idx="239">
                  <c:v>253.19233226925306</c:v>
                </c:pt>
                <c:pt idx="240">
                  <c:v>251.49009180100145</c:v>
                </c:pt>
                <c:pt idx="241">
                  <c:v>249.7821771978557</c:v>
                </c:pt>
                <c:pt idx="242">
                  <c:v>248.06856954603279</c:v>
                </c:pt>
                <c:pt idx="243">
                  <c:v>246.34924986870379</c:v>
                </c:pt>
                <c:pt idx="244">
                  <c:v>244.62419912578369</c:v>
                </c:pt>
                <c:pt idx="245">
                  <c:v>242.89339821372053</c:v>
                </c:pt>
                <c:pt idx="246">
                  <c:v>241.15682796528381</c:v>
                </c:pt>
                <c:pt idx="247">
                  <c:v>239.4144691493523</c:v>
                </c:pt>
                <c:pt idx="248">
                  <c:v>237.66630247070103</c:v>
                </c:pt>
                <c:pt idx="249">
                  <c:v>235.91230856978757</c:v>
                </c:pt>
                <c:pt idx="250">
                  <c:v>234.15246802253776</c:v>
                </c:pt>
                <c:pt idx="251">
                  <c:v>232.38676134013045</c:v>
                </c:pt>
                <c:pt idx="252">
                  <c:v>230.61516896878177</c:v>
                </c:pt>
                <c:pt idx="253">
                  <c:v>228.83767128952857</c:v>
                </c:pt>
                <c:pt idx="254">
                  <c:v>227.0542486180112</c:v>
                </c:pt>
                <c:pt idx="255">
                  <c:v>225.26488120425546</c:v>
                </c:pt>
                <c:pt idx="256">
                  <c:v>223.46954923245389</c:v>
                </c:pt>
                <c:pt idx="257">
                  <c:v>221.66823282074625</c:v>
                </c:pt>
                <c:pt idx="258">
                  <c:v>219.86091202099965</c:v>
                </c:pt>
                <c:pt idx="259">
                  <c:v>218.0475668185872</c:v>
                </c:pt>
                <c:pt idx="260">
                  <c:v>216.22817713216668</c:v>
                </c:pt>
                <c:pt idx="261">
                  <c:v>214.40272281345813</c:v>
                </c:pt>
                <c:pt idx="262">
                  <c:v>212.57118364702055</c:v>
                </c:pt>
                <c:pt idx="263">
                  <c:v>210.73353935002817</c:v>
                </c:pt>
                <c:pt idx="264">
                  <c:v>208.88976957204582</c:v>
                </c:pt>
                <c:pt idx="265">
                  <c:v>207.03985389480351</c:v>
                </c:pt>
                <c:pt idx="266">
                  <c:v>205.1837718319704</c:v>
                </c:pt>
                <c:pt idx="267">
                  <c:v>203.32150282892786</c:v>
                </c:pt>
                <c:pt idx="268">
                  <c:v>201.45302626254184</c:v>
                </c:pt>
                <c:pt idx="269">
                  <c:v>199.57832144093453</c:v>
                </c:pt>
                <c:pt idx="270">
                  <c:v>197.6973676032552</c:v>
                </c:pt>
                <c:pt idx="271">
                  <c:v>195.81014391945027</c:v>
                </c:pt>
                <c:pt idx="272">
                  <c:v>193.91662949003265</c:v>
                </c:pt>
                <c:pt idx="273">
                  <c:v>192.01680334585029</c:v>
                </c:pt>
                <c:pt idx="274">
                  <c:v>190.11064444785401</c:v>
                </c:pt>
                <c:pt idx="275">
                  <c:v>188.1981316868644</c:v>
                </c:pt>
                <c:pt idx="276">
                  <c:v>186.27924388333815</c:v>
                </c:pt>
                <c:pt idx="277">
                  <c:v>184.3539597871335</c:v>
                </c:pt>
                <c:pt idx="278">
                  <c:v>182.42225807727482</c:v>
                </c:pt>
                <c:pt idx="279">
                  <c:v>180.48411736171661</c:v>
                </c:pt>
                <c:pt idx="280">
                  <c:v>178.53951617710655</c:v>
                </c:pt>
                <c:pt idx="281">
                  <c:v>176.58843298854779</c:v>
                </c:pt>
                <c:pt idx="282">
                  <c:v>174.63084618936048</c:v>
                </c:pt>
                <c:pt idx="283">
                  <c:v>172.66673410084258</c:v>
                </c:pt>
                <c:pt idx="284">
                  <c:v>170.69607497202958</c:v>
                </c:pt>
                <c:pt idx="285">
                  <c:v>168.7188469794539</c:v>
                </c:pt>
                <c:pt idx="286">
                  <c:v>166.73502822690295</c:v>
                </c:pt>
                <c:pt idx="287">
                  <c:v>164.74459674517684</c:v>
                </c:pt>
                <c:pt idx="288">
                  <c:v>162.74753049184497</c:v>
                </c:pt>
                <c:pt idx="289">
                  <c:v>160.743807351002</c:v>
                </c:pt>
                <c:pt idx="290">
                  <c:v>158.73340513302287</c:v>
                </c:pt>
                <c:pt idx="291">
                  <c:v>156.71630157431719</c:v>
                </c:pt>
                <c:pt idx="292">
                  <c:v>154.69247433708244</c:v>
                </c:pt>
                <c:pt idx="293">
                  <c:v>152.66190100905692</c:v>
                </c:pt>
                <c:pt idx="294">
                  <c:v>150.62455910327131</c:v>
                </c:pt>
                <c:pt idx="295">
                  <c:v>148.5804260577998</c:v>
                </c:pt>
                <c:pt idx="296">
                  <c:v>146.52947923551</c:v>
                </c:pt>
                <c:pt idx="297">
                  <c:v>144.47169592381258</c:v>
                </c:pt>
                <c:pt idx="298">
                  <c:v>142.40705333440948</c:v>
                </c:pt>
                <c:pt idx="299">
                  <c:v>140.33552860304172</c:v>
                </c:pt>
                <c:pt idx="300">
                  <c:v>138.2570987892361</c:v>
                </c:pt>
                <c:pt idx="301">
                  <c:v>136.1717408760511</c:v>
                </c:pt>
                <c:pt idx="302">
                  <c:v>134.07943176982215</c:v>
                </c:pt>
                <c:pt idx="303">
                  <c:v>131.98014829990575</c:v>
                </c:pt>
                <c:pt idx="304">
                  <c:v>129.87386721842299</c:v>
                </c:pt>
                <c:pt idx="305">
                  <c:v>127.76056520000195</c:v>
                </c:pt>
                <c:pt idx="306">
                  <c:v>125.64021884151951</c:v>
                </c:pt>
                <c:pt idx="307">
                  <c:v>123.51280466184213</c:v>
                </c:pt>
                <c:pt idx="308">
                  <c:v>121.37829910156582</c:v>
                </c:pt>
                <c:pt idx="309">
                  <c:v>119.23667852275526</c:v>
                </c:pt>
                <c:pt idx="310">
                  <c:v>117.08791920868198</c:v>
                </c:pt>
                <c:pt idx="311">
                  <c:v>114.93199736356181</c:v>
                </c:pt>
                <c:pt idx="312">
                  <c:v>112.76888911229122</c:v>
                </c:pt>
                <c:pt idx="313">
                  <c:v>110.59857050018309</c:v>
                </c:pt>
                <c:pt idx="314">
                  <c:v>108.42101749270124</c:v>
                </c:pt>
                <c:pt idx="315">
                  <c:v>106.23620597519447</c:v>
                </c:pt>
                <c:pt idx="316">
                  <c:v>104.04411175262933</c:v>
                </c:pt>
                <c:pt idx="317">
                  <c:v>101.8447105493223</c:v>
                </c:pt>
                <c:pt idx="318">
                  <c:v>99.637978008670927</c:v>
                </c:pt>
                <c:pt idx="319">
                  <c:v>97.423889692884046</c:v>
                </c:pt>
                <c:pt idx="320">
                  <c:v>95.202421082711211</c:v>
                </c:pt>
                <c:pt idx="321">
                  <c:v>92.973547577171132</c:v>
                </c:pt>
                <c:pt idx="322">
                  <c:v>90.737244493279249</c:v>
                </c:pt>
                <c:pt idx="323">
                  <c:v>88.493487065774389</c:v>
                </c:pt>
                <c:pt idx="324">
                  <c:v>86.242250446844523</c:v>
                </c:pt>
                <c:pt idx="325">
                  <c:v>83.98350970585156</c:v>
                </c:pt>
                <c:pt idx="326">
                  <c:v>81.717239829055288</c:v>
                </c:pt>
                <c:pt idx="327">
                  <c:v>79.443415719336357</c:v>
                </c:pt>
                <c:pt idx="328">
                  <c:v>77.162012195918351</c:v>
                </c:pt>
                <c:pt idx="329">
                  <c:v>74.873003994088975</c:v>
                </c:pt>
                <c:pt idx="330">
                  <c:v>72.576365764920155</c:v>
                </c:pt>
                <c:pt idx="331">
                  <c:v>70.27207207498742</c:v>
                </c:pt>
                <c:pt idx="332">
                  <c:v>67.960097406088266</c:v>
                </c:pt>
                <c:pt idx="333">
                  <c:v>65.640416154959453</c:v>
                </c:pt>
                <c:pt idx="334">
                  <c:v>63.313002632993523</c:v>
                </c:pt>
                <c:pt idx="335">
                  <c:v>60.977831065954383</c:v>
                </c:pt>
                <c:pt idx="336">
                  <c:v>58.634875593691774</c:v>
                </c:pt>
                <c:pt idx="337">
                  <c:v>56.284110269854963</c:v>
                </c:pt>
                <c:pt idx="338">
                  <c:v>53.925509061605361</c:v>
                </c:pt>
                <c:pt idx="339">
                  <c:v>51.559045849328264</c:v>
                </c:pt>
                <c:pt idx="340">
                  <c:v>49.184694426343576</c:v>
                </c:pt>
                <c:pt idx="341">
                  <c:v>46.802428498615598</c:v>
                </c:pt>
                <c:pt idx="342">
                  <c:v>44.412221684461862</c:v>
                </c:pt>
                <c:pt idx="343">
                  <c:v>42.014047514260959</c:v>
                </c:pt>
                <c:pt idx="344">
                  <c:v>39.607879430159379</c:v>
                </c:pt>
                <c:pt idx="345">
                  <c:v>37.193690785777456</c:v>
                </c:pt>
                <c:pt idx="346">
                  <c:v>34.771454845914263</c:v>
                </c:pt>
                <c:pt idx="347">
                  <c:v>32.341144786251533</c:v>
                </c:pt>
                <c:pt idx="348">
                  <c:v>29.902733693056582</c:v>
                </c:pt>
                <c:pt idx="349">
                  <c:v>27.45619456288432</c:v>
                </c:pt>
                <c:pt idx="350">
                  <c:v>25.001500302278153</c:v>
                </c:pt>
                <c:pt idx="351">
                  <c:v>22.538623727469961</c:v>
                </c:pt>
                <c:pt idx="352">
                  <c:v>20.067537564079078</c:v>
                </c:pt>
                <c:pt idx="353">
                  <c:v>17.588214446810227</c:v>
                </c:pt>
                <c:pt idx="354">
                  <c:v>15.100626919150477</c:v>
                </c:pt>
                <c:pt idx="355">
                  <c:v>12.604747433065194</c:v>
                </c:pt>
                <c:pt idx="356">
                  <c:v>10.100548348692961</c:v>
                </c:pt>
                <c:pt idx="357">
                  <c:v>7.5880019340394869</c:v>
                </c:pt>
                <c:pt idx="358">
                  <c:v>5.0670803646705007</c:v>
                </c:pt>
                <c:pt idx="359">
                  <c:v>2.5377557234036185</c:v>
                </c:pt>
                <c:pt idx="360">
                  <c:v>-8.2006105609859035E-13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B-8D4F-8398-D1A5B6823137}"/>
            </c:ext>
          </c:extLst>
        </c:ser>
        <c:ser>
          <c:idx val="2"/>
          <c:order val="1"/>
          <c:tx>
            <c:strRef>
              <c:f>'Spare Mort Calc'!$H$1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Calc'!$H$2:$H$362</c:f>
              <c:numCache>
                <c:formatCode>"$"#,##0.00_);[Red]\("$"#,##0.00\)</c:formatCode>
                <c:ptCount val="361"/>
                <c:pt idx="0">
                  <c:v>230.5311394114018</c:v>
                </c:pt>
                <c:pt idx="1">
                  <c:v>231.29957654277314</c:v>
                </c:pt>
                <c:pt idx="2">
                  <c:v>232.07057513124914</c:v>
                </c:pt>
                <c:pt idx="3">
                  <c:v>232.84414371501987</c:v>
                </c:pt>
                <c:pt idx="4">
                  <c:v>233.62029086073665</c:v>
                </c:pt>
                <c:pt idx="5">
                  <c:v>234.39902516360576</c:v>
                </c:pt>
                <c:pt idx="6">
                  <c:v>235.1803552474845</c:v>
                </c:pt>
                <c:pt idx="7">
                  <c:v>235.96428976497612</c:v>
                </c:pt>
                <c:pt idx="8">
                  <c:v>236.75083739752608</c:v>
                </c:pt>
                <c:pt idx="9">
                  <c:v>237.54000685551784</c:v>
                </c:pt>
                <c:pt idx="10">
                  <c:v>238.33180687836966</c:v>
                </c:pt>
                <c:pt idx="11">
                  <c:v>239.1262462346308</c:v>
                </c:pt>
                <c:pt idx="12">
                  <c:v>239.92333372207963</c:v>
                </c:pt>
                <c:pt idx="13">
                  <c:v>240.72307816781984</c:v>
                </c:pt>
                <c:pt idx="14">
                  <c:v>241.52548842837928</c:v>
                </c:pt>
                <c:pt idx="15">
                  <c:v>242.33057338980723</c:v>
                </c:pt>
                <c:pt idx="16">
                  <c:v>243.13834196777327</c:v>
                </c:pt>
                <c:pt idx="17">
                  <c:v>243.94880310766587</c:v>
                </c:pt>
                <c:pt idx="18">
                  <c:v>244.76196578469137</c:v>
                </c:pt>
                <c:pt idx="19">
                  <c:v>245.57783900397362</c:v>
                </c:pt>
                <c:pt idx="20">
                  <c:v>246.39643180065354</c:v>
                </c:pt>
                <c:pt idx="21">
                  <c:v>247.21775323998895</c:v>
                </c:pt>
                <c:pt idx="22">
                  <c:v>248.04181241745562</c:v>
                </c:pt>
                <c:pt idx="23">
                  <c:v>248.8686184588471</c:v>
                </c:pt>
                <c:pt idx="24">
                  <c:v>249.6981805203767</c:v>
                </c:pt>
                <c:pt idx="25">
                  <c:v>250.53050778877798</c:v>
                </c:pt>
                <c:pt idx="26">
                  <c:v>251.3656094814072</c:v>
                </c:pt>
                <c:pt idx="27">
                  <c:v>252.20349484634528</c:v>
                </c:pt>
                <c:pt idx="28">
                  <c:v>253.04417316249976</c:v>
                </c:pt>
                <c:pt idx="29">
                  <c:v>253.88765373970807</c:v>
                </c:pt>
                <c:pt idx="30">
                  <c:v>254.73394591884045</c:v>
                </c:pt>
                <c:pt idx="31">
                  <c:v>255.58305907190328</c:v>
                </c:pt>
                <c:pt idx="32">
                  <c:v>256.43500260214302</c:v>
                </c:pt>
                <c:pt idx="33">
                  <c:v>257.28978594415014</c:v>
                </c:pt>
                <c:pt idx="34">
                  <c:v>258.14741856396398</c:v>
                </c:pt>
                <c:pt idx="35">
                  <c:v>259.0079099591772</c:v>
                </c:pt>
                <c:pt idx="36">
                  <c:v>259.8712696590411</c:v>
                </c:pt>
                <c:pt idx="37">
                  <c:v>260.73750722457129</c:v>
                </c:pt>
                <c:pt idx="38">
                  <c:v>261.60663224865323</c:v>
                </c:pt>
                <c:pt idx="39">
                  <c:v>262.4786543561487</c:v>
                </c:pt>
                <c:pt idx="40">
                  <c:v>263.35358320400252</c:v>
                </c:pt>
                <c:pt idx="41">
                  <c:v>264.23142848134921</c:v>
                </c:pt>
                <c:pt idx="42">
                  <c:v>265.11219990962036</c:v>
                </c:pt>
                <c:pt idx="43">
                  <c:v>265.99590724265238</c:v>
                </c:pt>
                <c:pt idx="44">
                  <c:v>266.88256026679454</c:v>
                </c:pt>
                <c:pt idx="45">
                  <c:v>267.77216880101719</c:v>
                </c:pt>
                <c:pt idx="46">
                  <c:v>268.66474269702059</c:v>
                </c:pt>
                <c:pt idx="47">
                  <c:v>269.56029183934402</c:v>
                </c:pt>
                <c:pt idx="48">
                  <c:v>270.4588261454752</c:v>
                </c:pt>
                <c:pt idx="49">
                  <c:v>271.36035556596011</c:v>
                </c:pt>
                <c:pt idx="50">
                  <c:v>272.26489008451335</c:v>
                </c:pt>
                <c:pt idx="51">
                  <c:v>273.17243971812837</c:v>
                </c:pt>
                <c:pt idx="52">
                  <c:v>274.08301451718881</c:v>
                </c:pt>
                <c:pt idx="53">
                  <c:v>274.9966245655794</c:v>
                </c:pt>
                <c:pt idx="54">
                  <c:v>275.91327998079794</c:v>
                </c:pt>
                <c:pt idx="55">
                  <c:v>276.8329909140673</c:v>
                </c:pt>
                <c:pt idx="56">
                  <c:v>277.7557675504475</c:v>
                </c:pt>
                <c:pt idx="57">
                  <c:v>278.68162010894895</c:v>
                </c:pt>
                <c:pt idx="58">
                  <c:v>279.61055884264545</c:v>
                </c:pt>
                <c:pt idx="59">
                  <c:v>280.54259403878763</c:v>
                </c:pt>
                <c:pt idx="60">
                  <c:v>281.47773601891697</c:v>
                </c:pt>
                <c:pt idx="61">
                  <c:v>282.41599513898001</c:v>
                </c:pt>
                <c:pt idx="62">
                  <c:v>283.35738178944331</c:v>
                </c:pt>
                <c:pt idx="63">
                  <c:v>284.30190639540814</c:v>
                </c:pt>
                <c:pt idx="64">
                  <c:v>285.24957941672619</c:v>
                </c:pt>
                <c:pt idx="65">
                  <c:v>286.20041134811527</c:v>
                </c:pt>
                <c:pt idx="66">
                  <c:v>287.15441271927563</c:v>
                </c:pt>
                <c:pt idx="67">
                  <c:v>288.11159409500658</c:v>
                </c:pt>
                <c:pt idx="68">
                  <c:v>289.07196607532325</c:v>
                </c:pt>
                <c:pt idx="69">
                  <c:v>290.03553929557432</c:v>
                </c:pt>
                <c:pt idx="70">
                  <c:v>291.0023244265596</c:v>
                </c:pt>
                <c:pt idx="71">
                  <c:v>291.97233217464805</c:v>
                </c:pt>
                <c:pt idx="72">
                  <c:v>292.94557328189694</c:v>
                </c:pt>
                <c:pt idx="73">
                  <c:v>293.92205852616996</c:v>
                </c:pt>
                <c:pt idx="74">
                  <c:v>294.90179872125714</c:v>
                </c:pt>
                <c:pt idx="75">
                  <c:v>295.88480471699467</c:v>
                </c:pt>
                <c:pt idx="76">
                  <c:v>296.87108739938469</c:v>
                </c:pt>
                <c:pt idx="77">
                  <c:v>297.86065769071604</c:v>
                </c:pt>
                <c:pt idx="78">
                  <c:v>298.85352654968506</c:v>
                </c:pt>
                <c:pt idx="79">
                  <c:v>299.84970497151727</c:v>
                </c:pt>
                <c:pt idx="80">
                  <c:v>300.84920398808896</c:v>
                </c:pt>
                <c:pt idx="81">
                  <c:v>301.85203466804927</c:v>
                </c:pt>
                <c:pt idx="82">
                  <c:v>302.85820811694282</c:v>
                </c:pt>
                <c:pt idx="83">
                  <c:v>303.86773547733259</c:v>
                </c:pt>
                <c:pt idx="84">
                  <c:v>304.88062792892373</c:v>
                </c:pt>
                <c:pt idx="85">
                  <c:v>305.89689668868675</c:v>
                </c:pt>
                <c:pt idx="86">
                  <c:v>306.91655301098234</c:v>
                </c:pt>
                <c:pt idx="87">
                  <c:v>307.93960818768562</c:v>
                </c:pt>
                <c:pt idx="88">
                  <c:v>308.96607354831121</c:v>
                </c:pt>
                <c:pt idx="89">
                  <c:v>309.99596046013892</c:v>
                </c:pt>
                <c:pt idx="90">
                  <c:v>311.02928032833938</c:v>
                </c:pt>
                <c:pt idx="91">
                  <c:v>312.06604459610048</c:v>
                </c:pt>
                <c:pt idx="92">
                  <c:v>313.10626474475418</c:v>
                </c:pt>
                <c:pt idx="93">
                  <c:v>314.14995229390331</c:v>
                </c:pt>
                <c:pt idx="94">
                  <c:v>315.19711880154966</c:v>
                </c:pt>
                <c:pt idx="95">
                  <c:v>316.24777586422152</c:v>
                </c:pt>
                <c:pt idx="96">
                  <c:v>317.30193511710229</c:v>
                </c:pt>
                <c:pt idx="97">
                  <c:v>318.35960823415934</c:v>
                </c:pt>
                <c:pt idx="98">
                  <c:v>319.42080692827324</c:v>
                </c:pt>
                <c:pt idx="99">
                  <c:v>320.48554295136745</c:v>
                </c:pt>
                <c:pt idx="100">
                  <c:v>321.55382809453863</c:v>
                </c:pt>
                <c:pt idx="101">
                  <c:v>322.62567418818708</c:v>
                </c:pt>
                <c:pt idx="102">
                  <c:v>323.70109310214775</c:v>
                </c:pt>
                <c:pt idx="103">
                  <c:v>324.78009674582154</c:v>
                </c:pt>
                <c:pt idx="104">
                  <c:v>325.86269706830757</c:v>
                </c:pt>
                <c:pt idx="105">
                  <c:v>326.94890605853527</c:v>
                </c:pt>
                <c:pt idx="106">
                  <c:v>328.03873574539705</c:v>
                </c:pt>
                <c:pt idx="107">
                  <c:v>329.13219819788173</c:v>
                </c:pt>
                <c:pt idx="108">
                  <c:v>330.22930552520802</c:v>
                </c:pt>
                <c:pt idx="109">
                  <c:v>331.3300698769587</c:v>
                </c:pt>
                <c:pt idx="110">
                  <c:v>332.43450344321525</c:v>
                </c:pt>
                <c:pt idx="111">
                  <c:v>333.54261845469267</c:v>
                </c:pt>
                <c:pt idx="112">
                  <c:v>334.654427182875</c:v>
                </c:pt>
                <c:pt idx="113">
                  <c:v>335.76994194015123</c:v>
                </c:pt>
                <c:pt idx="114">
                  <c:v>336.88917507995171</c:v>
                </c:pt>
                <c:pt idx="115">
                  <c:v>338.01213899688486</c:v>
                </c:pt>
                <c:pt idx="116">
                  <c:v>339.13884612687451</c:v>
                </c:pt>
                <c:pt idx="117">
                  <c:v>340.26930894729742</c:v>
                </c:pt>
                <c:pt idx="118">
                  <c:v>341.4035399771218</c:v>
                </c:pt>
                <c:pt idx="119">
                  <c:v>342.54155177704553</c:v>
                </c:pt>
                <c:pt idx="120">
                  <c:v>343.68335694963565</c:v>
                </c:pt>
                <c:pt idx="121">
                  <c:v>344.8289681394678</c:v>
                </c:pt>
                <c:pt idx="122">
                  <c:v>345.97839803326605</c:v>
                </c:pt>
                <c:pt idx="123">
                  <c:v>347.13165936004361</c:v>
                </c:pt>
                <c:pt idx="124">
                  <c:v>348.28876489124377</c:v>
                </c:pt>
                <c:pt idx="125">
                  <c:v>349.44972744088125</c:v>
                </c:pt>
                <c:pt idx="126">
                  <c:v>350.61455986568416</c:v>
                </c:pt>
                <c:pt idx="127">
                  <c:v>351.78327506523647</c:v>
                </c:pt>
                <c:pt idx="128">
                  <c:v>352.95588598212055</c:v>
                </c:pt>
                <c:pt idx="129">
                  <c:v>354.132405602061</c:v>
                </c:pt>
                <c:pt idx="130">
                  <c:v>355.31284695406788</c:v>
                </c:pt>
                <c:pt idx="131">
                  <c:v>356.49722311058144</c:v>
                </c:pt>
                <c:pt idx="132">
                  <c:v>357.68554718761669</c:v>
                </c:pt>
                <c:pt idx="133">
                  <c:v>358.87783234490877</c:v>
                </c:pt>
                <c:pt idx="134">
                  <c:v>360.07409178605843</c:v>
                </c:pt>
                <c:pt idx="135">
                  <c:v>361.27433875867865</c:v>
                </c:pt>
                <c:pt idx="136">
                  <c:v>362.47858655454093</c:v>
                </c:pt>
                <c:pt idx="137">
                  <c:v>363.68684850972272</c:v>
                </c:pt>
                <c:pt idx="138">
                  <c:v>364.89913800475512</c:v>
                </c:pt>
                <c:pt idx="139">
                  <c:v>366.11546846477097</c:v>
                </c:pt>
                <c:pt idx="140">
                  <c:v>367.33585335965353</c:v>
                </c:pt>
                <c:pt idx="141">
                  <c:v>368.56030620418568</c:v>
                </c:pt>
                <c:pt idx="142">
                  <c:v>369.78884055819969</c:v>
                </c:pt>
                <c:pt idx="143">
                  <c:v>371.021470026727</c:v>
                </c:pt>
                <c:pt idx="144">
                  <c:v>372.25820826014944</c:v>
                </c:pt>
                <c:pt idx="145">
                  <c:v>373.49906895434992</c:v>
                </c:pt>
                <c:pt idx="146">
                  <c:v>374.74406585086444</c:v>
                </c:pt>
                <c:pt idx="147">
                  <c:v>375.99321273703401</c:v>
                </c:pt>
                <c:pt idx="148">
                  <c:v>377.24652344615748</c:v>
                </c:pt>
                <c:pt idx="149">
                  <c:v>378.50401185764463</c:v>
                </c:pt>
                <c:pt idx="150">
                  <c:v>379.76569189717014</c:v>
                </c:pt>
                <c:pt idx="151">
                  <c:v>381.0315775368274</c:v>
                </c:pt>
                <c:pt idx="152">
                  <c:v>382.30168279528345</c:v>
                </c:pt>
                <c:pt idx="153">
                  <c:v>383.57602173793441</c:v>
                </c:pt>
                <c:pt idx="154">
                  <c:v>384.85460847706082</c:v>
                </c:pt>
                <c:pt idx="155">
                  <c:v>386.13745717198435</c:v>
                </c:pt>
                <c:pt idx="156">
                  <c:v>387.42458202922427</c:v>
                </c:pt>
                <c:pt idx="157">
                  <c:v>388.71599730265507</c:v>
                </c:pt>
                <c:pt idx="158">
                  <c:v>390.01171729366393</c:v>
                </c:pt>
                <c:pt idx="159">
                  <c:v>391.31175635130944</c:v>
                </c:pt>
                <c:pt idx="160">
                  <c:v>392.61612887248049</c:v>
                </c:pt>
                <c:pt idx="161">
                  <c:v>393.92484930205541</c:v>
                </c:pt>
                <c:pt idx="162">
                  <c:v>395.23793213306226</c:v>
                </c:pt>
                <c:pt idx="163">
                  <c:v>396.55539190683913</c:v>
                </c:pt>
                <c:pt idx="164">
                  <c:v>397.87724321319524</c:v>
                </c:pt>
                <c:pt idx="165">
                  <c:v>399.20350069057258</c:v>
                </c:pt>
                <c:pt idx="166">
                  <c:v>400.53417902620782</c:v>
                </c:pt>
                <c:pt idx="167">
                  <c:v>401.86929295629517</c:v>
                </c:pt>
                <c:pt idx="168">
                  <c:v>403.20885726614949</c:v>
                </c:pt>
                <c:pt idx="169">
                  <c:v>404.55288679037</c:v>
                </c:pt>
                <c:pt idx="170">
                  <c:v>405.90139641300453</c:v>
                </c:pt>
                <c:pt idx="171">
                  <c:v>407.25440106771453</c:v>
                </c:pt>
                <c:pt idx="172">
                  <c:v>408.61191573794025</c:v>
                </c:pt>
                <c:pt idx="173">
                  <c:v>409.97395545706672</c:v>
                </c:pt>
                <c:pt idx="174">
                  <c:v>411.34053530859029</c:v>
                </c:pt>
                <c:pt idx="175">
                  <c:v>412.71167042628554</c:v>
                </c:pt>
                <c:pt idx="176">
                  <c:v>414.08737599437319</c:v>
                </c:pt>
                <c:pt idx="177">
                  <c:v>415.46766724768776</c:v>
                </c:pt>
                <c:pt idx="178">
                  <c:v>416.85255947184675</c:v>
                </c:pt>
                <c:pt idx="179">
                  <c:v>418.2420680034196</c:v>
                </c:pt>
                <c:pt idx="180">
                  <c:v>419.63620823009768</c:v>
                </c:pt>
                <c:pt idx="181">
                  <c:v>421.03499559086464</c:v>
                </c:pt>
                <c:pt idx="182">
                  <c:v>422.43844557616751</c:v>
                </c:pt>
                <c:pt idx="183">
                  <c:v>423.84657372808806</c:v>
                </c:pt>
                <c:pt idx="184">
                  <c:v>425.25939564051504</c:v>
                </c:pt>
                <c:pt idx="185">
                  <c:v>426.67692695931675</c:v>
                </c:pt>
                <c:pt idx="186">
                  <c:v>428.09918338251452</c:v>
                </c:pt>
                <c:pt idx="187">
                  <c:v>429.52618066045619</c:v>
                </c:pt>
                <c:pt idx="188">
                  <c:v>430.95793459599105</c:v>
                </c:pt>
                <c:pt idx="189">
                  <c:v>432.39446104464434</c:v>
                </c:pt>
                <c:pt idx="190">
                  <c:v>433.8357759147932</c:v>
                </c:pt>
                <c:pt idx="191">
                  <c:v>435.28189516784249</c:v>
                </c:pt>
                <c:pt idx="192">
                  <c:v>436.73283481840201</c:v>
                </c:pt>
                <c:pt idx="193">
                  <c:v>438.18861093446333</c:v>
                </c:pt>
                <c:pt idx="194">
                  <c:v>439.64923963757821</c:v>
                </c:pt>
                <c:pt idx="195">
                  <c:v>441.11473710303682</c:v>
                </c:pt>
                <c:pt idx="196">
                  <c:v>442.58511956004696</c:v>
                </c:pt>
                <c:pt idx="197">
                  <c:v>444.06040329191376</c:v>
                </c:pt>
                <c:pt idx="198">
                  <c:v>445.54060463622011</c:v>
                </c:pt>
                <c:pt idx="199">
                  <c:v>447.02573998500753</c:v>
                </c:pt>
                <c:pt idx="200">
                  <c:v>448.51582578495754</c:v>
                </c:pt>
                <c:pt idx="201">
                  <c:v>450.01087853757406</c:v>
                </c:pt>
                <c:pt idx="202">
                  <c:v>451.51091479936599</c:v>
                </c:pt>
                <c:pt idx="203">
                  <c:v>453.01595118203056</c:v>
                </c:pt>
                <c:pt idx="204">
                  <c:v>454.5260043526373</c:v>
                </c:pt>
                <c:pt idx="205">
                  <c:v>456.04109103381273</c:v>
                </c:pt>
                <c:pt idx="206">
                  <c:v>457.56122800392546</c:v>
                </c:pt>
                <c:pt idx="207">
                  <c:v>459.08643209727182</c:v>
                </c:pt>
                <c:pt idx="208">
                  <c:v>460.61672020426278</c:v>
                </c:pt>
                <c:pt idx="209">
                  <c:v>462.1521092716103</c:v>
                </c:pt>
                <c:pt idx="210">
                  <c:v>463.69261630251566</c:v>
                </c:pt>
                <c:pt idx="211">
                  <c:v>465.23825835685739</c:v>
                </c:pt>
                <c:pt idx="212">
                  <c:v>466.78905255138022</c:v>
                </c:pt>
                <c:pt idx="213">
                  <c:v>468.34501605988487</c:v>
                </c:pt>
                <c:pt idx="214">
                  <c:v>469.90616611341778</c:v>
                </c:pt>
                <c:pt idx="215">
                  <c:v>471.47252000046251</c:v>
                </c:pt>
                <c:pt idx="216">
                  <c:v>473.04409506713074</c:v>
                </c:pt>
                <c:pt idx="217">
                  <c:v>474.6209087173545</c:v>
                </c:pt>
                <c:pt idx="218">
                  <c:v>476.20297841307899</c:v>
                </c:pt>
                <c:pt idx="219">
                  <c:v>477.79032167445592</c:v>
                </c:pt>
                <c:pt idx="220">
                  <c:v>479.38295608003745</c:v>
                </c:pt>
                <c:pt idx="221">
                  <c:v>480.98089926697088</c:v>
                </c:pt>
                <c:pt idx="222">
                  <c:v>482.58416893119414</c:v>
                </c:pt>
                <c:pt idx="223">
                  <c:v>484.19278282763145</c:v>
                </c:pt>
                <c:pt idx="224">
                  <c:v>485.80675877039022</c:v>
                </c:pt>
                <c:pt idx="225">
                  <c:v>487.42611463295822</c:v>
                </c:pt>
                <c:pt idx="226">
                  <c:v>489.05086834840137</c:v>
                </c:pt>
                <c:pt idx="227">
                  <c:v>490.68103790956275</c:v>
                </c:pt>
                <c:pt idx="228">
                  <c:v>492.31664136926128</c:v>
                </c:pt>
                <c:pt idx="229">
                  <c:v>493.95769684049219</c:v>
                </c:pt>
                <c:pt idx="230">
                  <c:v>495.60422249662713</c:v>
                </c:pt>
                <c:pt idx="231">
                  <c:v>497.25623657161589</c:v>
                </c:pt>
                <c:pt idx="232">
                  <c:v>498.91375736018796</c:v>
                </c:pt>
                <c:pt idx="233">
                  <c:v>500.57680321805526</c:v>
                </c:pt>
                <c:pt idx="234">
                  <c:v>502.2453925621154</c:v>
                </c:pt>
                <c:pt idx="235">
                  <c:v>503.91954387065579</c:v>
                </c:pt>
                <c:pt idx="236">
                  <c:v>505.59927568355795</c:v>
                </c:pt>
                <c:pt idx="237">
                  <c:v>507.28460660250312</c:v>
                </c:pt>
                <c:pt idx="238">
                  <c:v>508.97555529117818</c:v>
                </c:pt>
                <c:pt idx="239">
                  <c:v>510.67214047548214</c:v>
                </c:pt>
                <c:pt idx="240">
                  <c:v>512.37438094373374</c:v>
                </c:pt>
                <c:pt idx="241">
                  <c:v>514.08229554687944</c:v>
                </c:pt>
                <c:pt idx="242">
                  <c:v>515.79590319870238</c:v>
                </c:pt>
                <c:pt idx="243">
                  <c:v>517.51522287603143</c:v>
                </c:pt>
                <c:pt idx="244">
                  <c:v>519.24027361895151</c:v>
                </c:pt>
                <c:pt idx="245">
                  <c:v>520.97107453101466</c:v>
                </c:pt>
                <c:pt idx="246">
                  <c:v>522.70764477945136</c:v>
                </c:pt>
                <c:pt idx="247">
                  <c:v>524.4500035953829</c:v>
                </c:pt>
                <c:pt idx="248">
                  <c:v>526.19817027403417</c:v>
                </c:pt>
                <c:pt idx="249">
                  <c:v>527.9521641749476</c:v>
                </c:pt>
                <c:pt idx="250">
                  <c:v>529.71200472219743</c:v>
                </c:pt>
                <c:pt idx="251">
                  <c:v>531.47771140460475</c:v>
                </c:pt>
                <c:pt idx="252">
                  <c:v>533.24930377595342</c:v>
                </c:pt>
                <c:pt idx="253">
                  <c:v>535.02680145520662</c:v>
                </c:pt>
                <c:pt idx="254">
                  <c:v>536.81022412672394</c:v>
                </c:pt>
                <c:pt idx="255">
                  <c:v>538.59959154047965</c:v>
                </c:pt>
                <c:pt idx="256">
                  <c:v>540.39492351228125</c:v>
                </c:pt>
                <c:pt idx="257">
                  <c:v>542.19623992398897</c:v>
                </c:pt>
                <c:pt idx="258">
                  <c:v>544.00356072373552</c:v>
                </c:pt>
                <c:pt idx="259">
                  <c:v>545.81690592614791</c:v>
                </c:pt>
                <c:pt idx="260">
                  <c:v>547.63629561256846</c:v>
                </c:pt>
                <c:pt idx="261">
                  <c:v>549.46174993127704</c:v>
                </c:pt>
                <c:pt idx="262">
                  <c:v>551.29328909771459</c:v>
                </c:pt>
                <c:pt idx="263">
                  <c:v>553.13093339470697</c:v>
                </c:pt>
                <c:pt idx="264">
                  <c:v>554.97470317268937</c:v>
                </c:pt>
                <c:pt idx="265">
                  <c:v>556.82461884993165</c:v>
                </c:pt>
                <c:pt idx="266">
                  <c:v>558.68070091276479</c:v>
                </c:pt>
                <c:pt idx="267">
                  <c:v>560.54296991580736</c:v>
                </c:pt>
                <c:pt idx="268">
                  <c:v>562.41144648219336</c:v>
                </c:pt>
                <c:pt idx="269">
                  <c:v>564.28615130380058</c:v>
                </c:pt>
                <c:pt idx="270">
                  <c:v>566.16710514147996</c:v>
                </c:pt>
                <c:pt idx="271">
                  <c:v>568.05432882528487</c:v>
                </c:pt>
                <c:pt idx="272">
                  <c:v>569.94784325470255</c:v>
                </c:pt>
                <c:pt idx="273">
                  <c:v>571.84766939888482</c:v>
                </c:pt>
                <c:pt idx="274">
                  <c:v>573.75382829688112</c:v>
                </c:pt>
                <c:pt idx="275">
                  <c:v>575.6663410578708</c:v>
                </c:pt>
                <c:pt idx="276">
                  <c:v>577.58522886139701</c:v>
                </c:pt>
                <c:pt idx="277">
                  <c:v>579.51051295760169</c:v>
                </c:pt>
                <c:pt idx="278">
                  <c:v>581.44221466746035</c:v>
                </c:pt>
                <c:pt idx="279">
                  <c:v>583.38035538301858</c:v>
                </c:pt>
                <c:pt idx="280">
                  <c:v>585.32495656762865</c:v>
                </c:pt>
                <c:pt idx="281">
                  <c:v>587.2760397561874</c:v>
                </c:pt>
                <c:pt idx="282">
                  <c:v>589.23362655537471</c:v>
                </c:pt>
                <c:pt idx="283">
                  <c:v>591.19773864389254</c:v>
                </c:pt>
                <c:pt idx="284">
                  <c:v>593.16839777270559</c:v>
                </c:pt>
                <c:pt idx="285">
                  <c:v>595.14562576528124</c:v>
                </c:pt>
                <c:pt idx="286">
                  <c:v>597.12944451783221</c:v>
                </c:pt>
                <c:pt idx="287">
                  <c:v>599.1198759995583</c:v>
                </c:pt>
                <c:pt idx="288">
                  <c:v>601.11694225289023</c:v>
                </c:pt>
                <c:pt idx="289">
                  <c:v>603.12066539373313</c:v>
                </c:pt>
                <c:pt idx="290">
                  <c:v>605.1310676117123</c:v>
                </c:pt>
                <c:pt idx="291">
                  <c:v>607.14817117041798</c:v>
                </c:pt>
                <c:pt idx="292">
                  <c:v>609.17199840765272</c:v>
                </c:pt>
                <c:pt idx="293">
                  <c:v>611.20257173567825</c:v>
                </c:pt>
                <c:pt idx="294">
                  <c:v>613.23991364146389</c:v>
                </c:pt>
                <c:pt idx="295">
                  <c:v>615.28404668693543</c:v>
                </c:pt>
                <c:pt idx="296">
                  <c:v>617.33499350922511</c:v>
                </c:pt>
                <c:pt idx="297">
                  <c:v>619.39277682092256</c:v>
                </c:pt>
                <c:pt idx="298">
                  <c:v>621.45741941032566</c:v>
                </c:pt>
                <c:pt idx="299">
                  <c:v>623.5289441416935</c:v>
                </c:pt>
                <c:pt idx="300">
                  <c:v>625.60737395549904</c:v>
                </c:pt>
                <c:pt idx="301">
                  <c:v>627.69273186868406</c:v>
                </c:pt>
                <c:pt idx="302">
                  <c:v>629.78504097491304</c:v>
                </c:pt>
                <c:pt idx="303">
                  <c:v>631.88432444482942</c:v>
                </c:pt>
                <c:pt idx="304">
                  <c:v>633.99060552631215</c:v>
                </c:pt>
                <c:pt idx="305">
                  <c:v>636.10390754473326</c:v>
                </c:pt>
                <c:pt idx="306">
                  <c:v>638.22425390321564</c:v>
                </c:pt>
                <c:pt idx="307">
                  <c:v>640.35166808289307</c:v>
                </c:pt>
                <c:pt idx="308">
                  <c:v>642.48617364316931</c:v>
                </c:pt>
                <c:pt idx="309">
                  <c:v>644.62779422197991</c:v>
                </c:pt>
                <c:pt idx="310">
                  <c:v>646.77655353605314</c:v>
                </c:pt>
                <c:pt idx="311">
                  <c:v>648.93247538117339</c:v>
                </c:pt>
                <c:pt idx="312">
                  <c:v>651.095583632444</c:v>
                </c:pt>
                <c:pt idx="313">
                  <c:v>653.26590224455208</c:v>
                </c:pt>
                <c:pt idx="314">
                  <c:v>655.44345525203391</c:v>
                </c:pt>
                <c:pt idx="315">
                  <c:v>657.62826676954069</c:v>
                </c:pt>
                <c:pt idx="316">
                  <c:v>659.82036099210586</c:v>
                </c:pt>
                <c:pt idx="317">
                  <c:v>662.01976219541291</c:v>
                </c:pt>
                <c:pt idx="318">
                  <c:v>664.2264947360643</c:v>
                </c:pt>
                <c:pt idx="319">
                  <c:v>666.44058305185115</c:v>
                </c:pt>
                <c:pt idx="320">
                  <c:v>668.66205166202394</c:v>
                </c:pt>
                <c:pt idx="321">
                  <c:v>670.89092516756409</c:v>
                </c:pt>
                <c:pt idx="322">
                  <c:v>673.1272282514559</c:v>
                </c:pt>
                <c:pt idx="323">
                  <c:v>675.37098567896078</c:v>
                </c:pt>
                <c:pt idx="324">
                  <c:v>677.62222229789063</c:v>
                </c:pt>
                <c:pt idx="325">
                  <c:v>679.88096303888358</c:v>
                </c:pt>
                <c:pt idx="326">
                  <c:v>682.14723291567987</c:v>
                </c:pt>
                <c:pt idx="327">
                  <c:v>684.4210570253988</c:v>
                </c:pt>
                <c:pt idx="328">
                  <c:v>686.70246054881682</c:v>
                </c:pt>
                <c:pt idx="329">
                  <c:v>688.99146875064616</c:v>
                </c:pt>
                <c:pt idx="330">
                  <c:v>691.28810697981498</c:v>
                </c:pt>
                <c:pt idx="331">
                  <c:v>693.5924006697478</c:v>
                </c:pt>
                <c:pt idx="332">
                  <c:v>695.9043753386469</c:v>
                </c:pt>
                <c:pt idx="333">
                  <c:v>698.22405658977573</c:v>
                </c:pt>
                <c:pt idx="334">
                  <c:v>700.55147011174165</c:v>
                </c:pt>
                <c:pt idx="335">
                  <c:v>702.88664167878073</c:v>
                </c:pt>
                <c:pt idx="336">
                  <c:v>705.22959715104344</c:v>
                </c:pt>
                <c:pt idx="337">
                  <c:v>707.58036247488019</c:v>
                </c:pt>
                <c:pt idx="338">
                  <c:v>709.93896368312983</c:v>
                </c:pt>
                <c:pt idx="339">
                  <c:v>712.30542689540687</c:v>
                </c:pt>
                <c:pt idx="340">
                  <c:v>714.67977831839164</c:v>
                </c:pt>
                <c:pt idx="341">
                  <c:v>717.06204424611951</c:v>
                </c:pt>
                <c:pt idx="342">
                  <c:v>719.45225106027328</c:v>
                </c:pt>
                <c:pt idx="343">
                  <c:v>721.85042523047423</c:v>
                </c:pt>
                <c:pt idx="344">
                  <c:v>724.25659331457575</c:v>
                </c:pt>
                <c:pt idx="345">
                  <c:v>726.67078195895772</c:v>
                </c:pt>
                <c:pt idx="346">
                  <c:v>729.0930178988209</c:v>
                </c:pt>
                <c:pt idx="347">
                  <c:v>731.52332795848361</c:v>
                </c:pt>
                <c:pt idx="348">
                  <c:v>733.96173905167859</c:v>
                </c:pt>
                <c:pt idx="349">
                  <c:v>736.40827818185085</c:v>
                </c:pt>
                <c:pt idx="350">
                  <c:v>738.86297244245702</c:v>
                </c:pt>
                <c:pt idx="351">
                  <c:v>741.32584901726523</c:v>
                </c:pt>
                <c:pt idx="352">
                  <c:v>743.79693518065608</c:v>
                </c:pt>
                <c:pt idx="353">
                  <c:v>746.27625829792498</c:v>
                </c:pt>
                <c:pt idx="354">
                  <c:v>748.76384582558467</c:v>
                </c:pt>
                <c:pt idx="355">
                  <c:v>751.25972531166997</c:v>
                </c:pt>
                <c:pt idx="356">
                  <c:v>753.76392439604217</c:v>
                </c:pt>
                <c:pt idx="357">
                  <c:v>756.27647081069563</c:v>
                </c:pt>
                <c:pt idx="358">
                  <c:v>758.79739238006471</c:v>
                </c:pt>
                <c:pt idx="359">
                  <c:v>761.32671702133155</c:v>
                </c:pt>
                <c:pt idx="360">
                  <c:v>763.86447274473596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EB-8D4F-8398-D1A5B682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'Mortgage Calculator_IP'!$G$1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'Mortgage Calculator_IP'!$E$2:$E$361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'Mortgage Calculator_IP'!$G$2:$G$362</c:f>
              <c:numCache>
                <c:formatCode>"$"#,##0.00_);[Red]\("$"#,##0.00\)</c:formatCode>
                <c:ptCount val="361"/>
                <c:pt idx="0">
                  <c:v>1000.0000000000001</c:v>
                </c:pt>
                <c:pt idx="1">
                  <c:v>998.55918037867878</c:v>
                </c:pt>
                <c:pt idx="2">
                  <c:v>997.11355802528647</c:v>
                </c:pt>
                <c:pt idx="3">
                  <c:v>995.66311693071611</c:v>
                </c:pt>
                <c:pt idx="4">
                  <c:v>994.20784103249707</c:v>
                </c:pt>
                <c:pt idx="5">
                  <c:v>992.74771421461742</c:v>
                </c:pt>
                <c:pt idx="6">
                  <c:v>991.28272030734479</c:v>
                </c:pt>
                <c:pt idx="7">
                  <c:v>989.81284308704801</c:v>
                </c:pt>
                <c:pt idx="8">
                  <c:v>988.338066276017</c:v>
                </c:pt>
                <c:pt idx="9">
                  <c:v>986.85837354228261</c:v>
                </c:pt>
                <c:pt idx="10">
                  <c:v>985.37374849943569</c:v>
                </c:pt>
                <c:pt idx="11">
                  <c:v>983.88417470644583</c:v>
                </c:pt>
                <c:pt idx="12">
                  <c:v>982.38963566747941</c:v>
                </c:pt>
                <c:pt idx="13">
                  <c:v>980.89011483171646</c:v>
                </c:pt>
                <c:pt idx="14">
                  <c:v>979.38559559316764</c:v>
                </c:pt>
                <c:pt idx="15">
                  <c:v>977.87606129049038</c:v>
                </c:pt>
                <c:pt idx="16">
                  <c:v>976.36149520680408</c:v>
                </c:pt>
                <c:pt idx="17">
                  <c:v>974.84188056950563</c:v>
                </c:pt>
                <c:pt idx="18">
                  <c:v>973.3172005500827</c:v>
                </c:pt>
                <c:pt idx="19">
                  <c:v>971.78743826392849</c:v>
                </c:pt>
                <c:pt idx="20">
                  <c:v>970.25257677015372</c:v>
                </c:pt>
                <c:pt idx="21">
                  <c:v>968.71259907139961</c:v>
                </c:pt>
                <c:pt idx="22">
                  <c:v>967.1674881136496</c:v>
                </c:pt>
                <c:pt idx="23">
                  <c:v>965.61722678604042</c:v>
                </c:pt>
                <c:pt idx="24">
                  <c:v>964.06179792067257</c:v>
                </c:pt>
                <c:pt idx="25">
                  <c:v>962.50118429242013</c:v>
                </c:pt>
                <c:pt idx="26">
                  <c:v>960.93536861874031</c:v>
                </c:pt>
                <c:pt idx="27">
                  <c:v>959.36433355948157</c:v>
                </c:pt>
                <c:pt idx="28">
                  <c:v>957.7880617166918</c:v>
                </c:pt>
                <c:pt idx="29">
                  <c:v>956.20653563442625</c:v>
                </c:pt>
                <c:pt idx="30">
                  <c:v>954.61973779855305</c:v>
                </c:pt>
                <c:pt idx="31">
                  <c:v>953.02765063656034</c:v>
                </c:pt>
                <c:pt idx="32">
                  <c:v>951.43025651736093</c:v>
                </c:pt>
                <c:pt idx="33">
                  <c:v>949.82753775109757</c:v>
                </c:pt>
                <c:pt idx="34">
                  <c:v>948.21947658894669</c:v>
                </c:pt>
                <c:pt idx="35">
                  <c:v>946.6060552229219</c:v>
                </c:pt>
                <c:pt idx="36">
                  <c:v>944.98725578567701</c:v>
                </c:pt>
                <c:pt idx="37">
                  <c:v>943.36306035030793</c:v>
                </c:pt>
                <c:pt idx="38">
                  <c:v>941.73345093015428</c:v>
                </c:pt>
                <c:pt idx="39">
                  <c:v>940.09840947860027</c:v>
                </c:pt>
                <c:pt idx="40">
                  <c:v>938.45791788887436</c:v>
                </c:pt>
                <c:pt idx="41">
                  <c:v>936.81195799384932</c:v>
                </c:pt>
                <c:pt idx="42">
                  <c:v>935.16051156584081</c:v>
                </c:pt>
                <c:pt idx="43">
                  <c:v>933.5035603164057</c:v>
                </c:pt>
                <c:pt idx="44">
                  <c:v>931.84108589613913</c:v>
                </c:pt>
                <c:pt idx="45">
                  <c:v>930.17306989447161</c:v>
                </c:pt>
                <c:pt idx="46">
                  <c:v>928.49949383946534</c:v>
                </c:pt>
                <c:pt idx="47">
                  <c:v>926.82033919760886</c:v>
                </c:pt>
                <c:pt idx="48">
                  <c:v>925.13558737361302</c:v>
                </c:pt>
                <c:pt idx="49">
                  <c:v>923.4452197102039</c:v>
                </c:pt>
                <c:pt idx="50">
                  <c:v>921.74921748791667</c:v>
                </c:pt>
                <c:pt idx="51">
                  <c:v>920.04756192488856</c:v>
                </c:pt>
                <c:pt idx="52">
                  <c:v>918.34023417665026</c:v>
                </c:pt>
                <c:pt idx="53">
                  <c:v>916.62721533591787</c:v>
                </c:pt>
                <c:pt idx="54">
                  <c:v>914.90848643238292</c:v>
                </c:pt>
                <c:pt idx="55">
                  <c:v>913.18402843250294</c:v>
                </c:pt>
                <c:pt idx="56">
                  <c:v>911.45382223929016</c:v>
                </c:pt>
                <c:pt idx="57">
                  <c:v>909.71784869209989</c:v>
                </c:pt>
                <c:pt idx="58">
                  <c:v>907.97608856641887</c:v>
                </c:pt>
                <c:pt idx="59">
                  <c:v>906.2285225736523</c:v>
                </c:pt>
                <c:pt idx="60">
                  <c:v>904.47513136090993</c:v>
                </c:pt>
                <c:pt idx="61">
                  <c:v>902.71589551079171</c:v>
                </c:pt>
                <c:pt idx="62">
                  <c:v>900.95079554117308</c:v>
                </c:pt>
                <c:pt idx="63">
                  <c:v>899.17981190498904</c:v>
                </c:pt>
                <c:pt idx="64">
                  <c:v>897.40292499001782</c:v>
                </c:pt>
                <c:pt idx="65">
                  <c:v>895.62011511866342</c:v>
                </c:pt>
                <c:pt idx="66">
                  <c:v>893.83136254773774</c:v>
                </c:pt>
                <c:pt idx="67">
                  <c:v>892.03664746824234</c:v>
                </c:pt>
                <c:pt idx="68">
                  <c:v>890.23595000514842</c:v>
                </c:pt>
                <c:pt idx="69">
                  <c:v>888.42925021717781</c:v>
                </c:pt>
                <c:pt idx="70">
                  <c:v>886.6165280965804</c:v>
                </c:pt>
                <c:pt idx="71">
                  <c:v>884.79776356891443</c:v>
                </c:pt>
                <c:pt idx="72">
                  <c:v>882.9729364928229</c:v>
                </c:pt>
                <c:pt idx="73">
                  <c:v>881.14202665981099</c:v>
                </c:pt>
                <c:pt idx="74">
                  <c:v>879.30501379402244</c:v>
                </c:pt>
                <c:pt idx="75">
                  <c:v>877.46187755201458</c:v>
                </c:pt>
                <c:pt idx="76">
                  <c:v>875.61259752253352</c:v>
                </c:pt>
                <c:pt idx="77">
                  <c:v>873.7571532262873</c:v>
                </c:pt>
                <c:pt idx="78">
                  <c:v>871.89552411572038</c:v>
                </c:pt>
                <c:pt idx="79">
                  <c:v>870.02768957478486</c:v>
                </c:pt>
                <c:pt idx="80">
                  <c:v>868.1536289187128</c:v>
                </c:pt>
                <c:pt idx="81">
                  <c:v>866.27332139378734</c:v>
                </c:pt>
                <c:pt idx="82">
                  <c:v>864.38674617711195</c:v>
                </c:pt>
                <c:pt idx="83">
                  <c:v>862.49388237638118</c:v>
                </c:pt>
                <c:pt idx="84">
                  <c:v>860.59470902964779</c:v>
                </c:pt>
                <c:pt idx="85">
                  <c:v>858.68920510509201</c:v>
                </c:pt>
                <c:pt idx="86">
                  <c:v>856.77734950078775</c:v>
                </c:pt>
                <c:pt idx="87">
                  <c:v>854.85912104446913</c:v>
                </c:pt>
                <c:pt idx="88">
                  <c:v>852.93449849329613</c:v>
                </c:pt>
                <c:pt idx="89">
                  <c:v>851.0034605336192</c:v>
                </c:pt>
                <c:pt idx="90">
                  <c:v>849.06598578074329</c:v>
                </c:pt>
                <c:pt idx="91">
                  <c:v>847.12205277869123</c:v>
                </c:pt>
                <c:pt idx="92">
                  <c:v>845.17163999996558</c:v>
                </c:pt>
                <c:pt idx="93">
                  <c:v>843.21472584531091</c:v>
                </c:pt>
                <c:pt idx="94">
                  <c:v>841.25128864347391</c:v>
                </c:pt>
                <c:pt idx="95">
                  <c:v>839.28130665096432</c:v>
                </c:pt>
                <c:pt idx="96">
                  <c:v>837.30475805181288</c:v>
                </c:pt>
                <c:pt idx="97">
                  <c:v>835.32162095733099</c:v>
                </c:pt>
                <c:pt idx="98">
                  <c:v>833.33187340586755</c:v>
                </c:pt>
                <c:pt idx="99">
                  <c:v>831.33549336256578</c:v>
                </c:pt>
                <c:pt idx="100">
                  <c:v>829.3324587191197</c:v>
                </c:pt>
                <c:pt idx="101">
                  <c:v>827.32274729352889</c:v>
                </c:pt>
                <c:pt idx="102">
                  <c:v>825.30633682985274</c:v>
                </c:pt>
                <c:pt idx="103">
                  <c:v>823.28320499796428</c:v>
                </c:pt>
                <c:pt idx="104">
                  <c:v>821.25332939330292</c:v>
                </c:pt>
                <c:pt idx="105">
                  <c:v>819.21668753662595</c:v>
                </c:pt>
                <c:pt idx="106">
                  <c:v>817.17325687376012</c:v>
                </c:pt>
                <c:pt idx="107">
                  <c:v>815.12301477535141</c:v>
                </c:pt>
                <c:pt idx="108">
                  <c:v>813.06593853661468</c:v>
                </c:pt>
                <c:pt idx="109">
                  <c:v>811.00200537708213</c:v>
                </c:pt>
                <c:pt idx="110">
                  <c:v>808.9311924403512</c:v>
                </c:pt>
                <c:pt idx="111">
                  <c:v>806.85347679383108</c:v>
                </c:pt>
                <c:pt idx="112">
                  <c:v>804.76883542848918</c:v>
                </c:pt>
                <c:pt idx="113">
                  <c:v>802.67724525859626</c:v>
                </c:pt>
                <c:pt idx="114">
                  <c:v>800.57868312147036</c:v>
                </c:pt>
                <c:pt idx="115">
                  <c:v>798.47312577722062</c:v>
                </c:pt>
                <c:pt idx="116">
                  <c:v>796.36054990849016</c:v>
                </c:pt>
                <c:pt idx="117">
                  <c:v>794.24093212019727</c:v>
                </c:pt>
                <c:pt idx="118">
                  <c:v>792.11424893927665</c:v>
                </c:pt>
                <c:pt idx="119">
                  <c:v>789.98047681441972</c:v>
                </c:pt>
                <c:pt idx="120">
                  <c:v>787.83959211581328</c:v>
                </c:pt>
                <c:pt idx="121">
                  <c:v>785.69157113487802</c:v>
                </c:pt>
                <c:pt idx="122">
                  <c:v>783.53639008400626</c:v>
                </c:pt>
                <c:pt idx="123">
                  <c:v>781.3740250962984</c:v>
                </c:pt>
                <c:pt idx="124">
                  <c:v>779.20445222529816</c:v>
                </c:pt>
                <c:pt idx="125">
                  <c:v>777.02764744472779</c:v>
                </c:pt>
                <c:pt idx="126">
                  <c:v>774.84358664822241</c:v>
                </c:pt>
                <c:pt idx="127">
                  <c:v>772.65224564906191</c:v>
                </c:pt>
                <c:pt idx="128">
                  <c:v>770.45360017990413</c:v>
                </c:pt>
                <c:pt idx="129">
                  <c:v>768.24762589251588</c:v>
                </c:pt>
                <c:pt idx="130">
                  <c:v>766.03429835750296</c:v>
                </c:pt>
                <c:pt idx="131">
                  <c:v>763.81359306403999</c:v>
                </c:pt>
                <c:pt idx="132">
                  <c:v>761.58548541959897</c:v>
                </c:pt>
                <c:pt idx="133">
                  <c:v>759.3499507496764</c:v>
                </c:pt>
                <c:pt idx="134">
                  <c:v>757.10696429752068</c:v>
                </c:pt>
                <c:pt idx="135">
                  <c:v>754.85650122385789</c:v>
                </c:pt>
                <c:pt idx="136">
                  <c:v>752.59853660661611</c:v>
                </c:pt>
                <c:pt idx="137">
                  <c:v>750.33304544065027</c:v>
                </c:pt>
                <c:pt idx="138">
                  <c:v>748.06000263746455</c:v>
                </c:pt>
                <c:pt idx="139">
                  <c:v>745.77938302493487</c:v>
                </c:pt>
                <c:pt idx="140">
                  <c:v>743.49116134703002</c:v>
                </c:pt>
                <c:pt idx="141">
                  <c:v>741.19531226353217</c:v>
                </c:pt>
                <c:pt idx="142">
                  <c:v>738.89181034975604</c:v>
                </c:pt>
                <c:pt idx="143">
                  <c:v>736.58063009626733</c:v>
                </c:pt>
                <c:pt idx="144">
                  <c:v>734.26174590860035</c:v>
                </c:pt>
                <c:pt idx="145">
                  <c:v>731.93513210697449</c:v>
                </c:pt>
                <c:pt idx="146">
                  <c:v>729.60076292600968</c:v>
                </c:pt>
                <c:pt idx="147">
                  <c:v>727.25861251444178</c:v>
                </c:pt>
                <c:pt idx="148">
                  <c:v>724.90865493483534</c:v>
                </c:pt>
                <c:pt idx="149">
                  <c:v>722.55086416329686</c:v>
                </c:pt>
                <c:pt idx="150">
                  <c:v>720.18521408918662</c:v>
                </c:pt>
                <c:pt idx="151">
                  <c:v>717.81167851482928</c:v>
                </c:pt>
                <c:pt idx="152">
                  <c:v>715.43023115522419</c:v>
                </c:pt>
                <c:pt idx="153">
                  <c:v>713.04084563775359</c:v>
                </c:pt>
                <c:pt idx="154">
                  <c:v>710.64349550189149</c:v>
                </c:pt>
                <c:pt idx="155">
                  <c:v>708.23815419890991</c:v>
                </c:pt>
                <c:pt idx="156">
                  <c:v>705.82479509158497</c:v>
                </c:pt>
                <c:pt idx="157">
                  <c:v>703.40339145390237</c:v>
                </c:pt>
                <c:pt idx="158">
                  <c:v>700.97391647076074</c:v>
                </c:pt>
                <c:pt idx="159">
                  <c:v>698.5363432376754</c:v>
                </c:pt>
                <c:pt idx="160">
                  <c:v>696.09064476047968</c:v>
                </c:pt>
                <c:pt idx="161">
                  <c:v>693.63679395502675</c:v>
                </c:pt>
                <c:pt idx="162">
                  <c:v>691.17476364688889</c:v>
                </c:pt>
                <c:pt idx="163">
                  <c:v>688.70452657105727</c:v>
                </c:pt>
                <c:pt idx="164">
                  <c:v>686.22605537163952</c:v>
                </c:pt>
                <c:pt idx="165">
                  <c:v>683.73932260155698</c:v>
                </c:pt>
                <c:pt idx="166">
                  <c:v>681.24430072224095</c:v>
                </c:pt>
                <c:pt idx="167">
                  <c:v>678.74096210332709</c:v>
                </c:pt>
                <c:pt idx="168">
                  <c:v>676.22927902235028</c:v>
                </c:pt>
                <c:pt idx="169">
                  <c:v>673.70922366443676</c:v>
                </c:pt>
                <c:pt idx="170">
                  <c:v>671.18076812199695</c:v>
                </c:pt>
                <c:pt idx="171">
                  <c:v>668.64388439441575</c:v>
                </c:pt>
                <c:pt idx="172">
                  <c:v>666.09854438774255</c:v>
                </c:pt>
                <c:pt idx="173">
                  <c:v>663.54471991438049</c:v>
                </c:pt>
                <c:pt idx="174">
                  <c:v>660.98238269277374</c:v>
                </c:pt>
                <c:pt idx="175">
                  <c:v>658.41150434709505</c:v>
                </c:pt>
                <c:pt idx="176">
                  <c:v>655.83205640693086</c:v>
                </c:pt>
                <c:pt idx="177">
                  <c:v>653.24401030696606</c:v>
                </c:pt>
                <c:pt idx="178">
                  <c:v>650.64733738666803</c:v>
                </c:pt>
                <c:pt idx="179">
                  <c:v>648.042008889969</c:v>
                </c:pt>
                <c:pt idx="180">
                  <c:v>645.42799596494763</c:v>
                </c:pt>
                <c:pt idx="181">
                  <c:v>642.80526966350953</c:v>
                </c:pt>
                <c:pt idx="182">
                  <c:v>640.17380094106659</c:v>
                </c:pt>
                <c:pt idx="183">
                  <c:v>637.53356065621551</c:v>
                </c:pt>
                <c:pt idx="184">
                  <c:v>634.88451957041502</c:v>
                </c:pt>
                <c:pt idx="185">
                  <c:v>632.22664834766181</c:v>
                </c:pt>
                <c:pt idx="186">
                  <c:v>629.55991755416596</c:v>
                </c:pt>
                <c:pt idx="187">
                  <c:v>626.88429765802528</c:v>
                </c:pt>
                <c:pt idx="188">
                  <c:v>624.19975902889746</c:v>
                </c:pt>
                <c:pt idx="189">
                  <c:v>621.50627193767252</c:v>
                </c:pt>
                <c:pt idx="190">
                  <c:v>618.80380655614351</c:v>
                </c:pt>
                <c:pt idx="191">
                  <c:v>616.09233295667605</c:v>
                </c:pt>
                <c:pt idx="192">
                  <c:v>613.37182111187701</c:v>
                </c:pt>
                <c:pt idx="193">
                  <c:v>610.64224089426205</c:v>
                </c:pt>
                <c:pt idx="194">
                  <c:v>607.90356207592163</c:v>
                </c:pt>
                <c:pt idx="195">
                  <c:v>605.15575432818673</c:v>
                </c:pt>
                <c:pt idx="196">
                  <c:v>602.39878722129276</c:v>
                </c:pt>
                <c:pt idx="197">
                  <c:v>599.63263022404249</c:v>
                </c:pt>
                <c:pt idx="198">
                  <c:v>596.85725270346802</c:v>
                </c:pt>
                <c:pt idx="199">
                  <c:v>594.07262392449172</c:v>
                </c:pt>
                <c:pt idx="200">
                  <c:v>591.27871304958535</c:v>
                </c:pt>
                <c:pt idx="201">
                  <c:v>588.47548913842945</c:v>
                </c:pt>
                <c:pt idx="202">
                  <c:v>585.66292114756959</c:v>
                </c:pt>
                <c:pt idx="203">
                  <c:v>582.84097793007356</c:v>
                </c:pt>
                <c:pt idx="204">
                  <c:v>580.0096282351858</c:v>
                </c:pt>
                <c:pt idx="205">
                  <c:v>577.16884070798187</c:v>
                </c:pt>
                <c:pt idx="206">
                  <c:v>574.31858388902049</c:v>
                </c:pt>
                <c:pt idx="207">
                  <c:v>571.45882621399596</c:v>
                </c:pt>
                <c:pt idx="208">
                  <c:v>568.58953601338794</c:v>
                </c:pt>
                <c:pt idx="209">
                  <c:v>565.71068151211136</c:v>
                </c:pt>
                <c:pt idx="210">
                  <c:v>562.8222308291638</c:v>
                </c:pt>
                <c:pt idx="211">
                  <c:v>559.92415197727303</c:v>
                </c:pt>
                <c:pt idx="212">
                  <c:v>557.01641286254278</c:v>
                </c:pt>
                <c:pt idx="213">
                  <c:v>554.09898128409657</c:v>
                </c:pt>
                <c:pt idx="214">
                  <c:v>551.17182493372229</c:v>
                </c:pt>
                <c:pt idx="215">
                  <c:v>548.23491139551345</c:v>
                </c:pt>
                <c:pt idx="216">
                  <c:v>545.28820814551057</c:v>
                </c:pt>
                <c:pt idx="217">
                  <c:v>542.33168255134103</c:v>
                </c:pt>
                <c:pt idx="218">
                  <c:v>539.36530187185747</c:v>
                </c:pt>
                <c:pt idx="219">
                  <c:v>536.38903325677586</c:v>
                </c:pt>
                <c:pt idx="220">
                  <c:v>533.4028437463104</c:v>
                </c:pt>
                <c:pt idx="221">
                  <c:v>530.40670027081023</c:v>
                </c:pt>
                <c:pt idx="222">
                  <c:v>527.40056965039162</c:v>
                </c:pt>
                <c:pt idx="223">
                  <c:v>524.38441859457168</c:v>
                </c:pt>
                <c:pt idx="224">
                  <c:v>521.35821370189899</c:v>
                </c:pt>
                <c:pt idx="225">
                  <c:v>518.32192145958402</c:v>
                </c:pt>
                <c:pt idx="226">
                  <c:v>515.27550824312812</c:v>
                </c:pt>
                <c:pt idx="227">
                  <c:v>512.21894031595059</c:v>
                </c:pt>
                <c:pt idx="228">
                  <c:v>509.15218382901571</c:v>
                </c:pt>
                <c:pt idx="229">
                  <c:v>506.07520482045788</c:v>
                </c:pt>
                <c:pt idx="230">
                  <c:v>502.98796921520477</c:v>
                </c:pt>
                <c:pt idx="231">
                  <c:v>499.89044282460083</c:v>
                </c:pt>
                <c:pt idx="232">
                  <c:v>496.78259134602825</c:v>
                </c:pt>
                <c:pt idx="233">
                  <c:v>493.66438036252708</c:v>
                </c:pt>
                <c:pt idx="234">
                  <c:v>490.53577534241418</c:v>
                </c:pt>
                <c:pt idx="235">
                  <c:v>487.39674163890106</c:v>
                </c:pt>
                <c:pt idx="236">
                  <c:v>484.24724448970949</c:v>
                </c:pt>
                <c:pt idx="237">
                  <c:v>481.08724901668728</c:v>
                </c:pt>
                <c:pt idx="238">
                  <c:v>477.91672022542161</c:v>
                </c:pt>
                <c:pt idx="239">
                  <c:v>474.73562300485173</c:v>
                </c:pt>
                <c:pt idx="240">
                  <c:v>471.54392212687992</c:v>
                </c:pt>
                <c:pt idx="241">
                  <c:v>468.34158224598156</c:v>
                </c:pt>
                <c:pt idx="242">
                  <c:v>465.12856789881357</c:v>
                </c:pt>
                <c:pt idx="243">
                  <c:v>461.90484350382167</c:v>
                </c:pt>
                <c:pt idx="244">
                  <c:v>458.67037336084644</c:v>
                </c:pt>
                <c:pt idx="245">
                  <c:v>455.42512165072804</c:v>
                </c:pt>
                <c:pt idx="246">
                  <c:v>452.16905243490925</c:v>
                </c:pt>
                <c:pt idx="247">
                  <c:v>448.90212965503764</c:v>
                </c:pt>
                <c:pt idx="248">
                  <c:v>445.62431713256649</c:v>
                </c:pt>
                <c:pt idx="249">
                  <c:v>442.33557856835381</c:v>
                </c:pt>
                <c:pt idx="250">
                  <c:v>439.03587754226038</c:v>
                </c:pt>
                <c:pt idx="251">
                  <c:v>435.72517751274665</c:v>
                </c:pt>
                <c:pt idx="252">
                  <c:v>432.40344181646788</c:v>
                </c:pt>
                <c:pt idx="253">
                  <c:v>429.07063366786815</c:v>
                </c:pt>
                <c:pt idx="254">
                  <c:v>425.72671615877312</c:v>
                </c:pt>
                <c:pt idx="255">
                  <c:v>422.37165225798111</c:v>
                </c:pt>
                <c:pt idx="256">
                  <c:v>419.00540481085312</c:v>
                </c:pt>
                <c:pt idx="257">
                  <c:v>415.62793653890139</c:v>
                </c:pt>
                <c:pt idx="258">
                  <c:v>412.23921003937647</c:v>
                </c:pt>
                <c:pt idx="259">
                  <c:v>408.8391877848531</c:v>
                </c:pt>
                <c:pt idx="260">
                  <c:v>405.42783212281472</c:v>
                </c:pt>
                <c:pt idx="261">
                  <c:v>402.00510527523613</c:v>
                </c:pt>
                <c:pt idx="262">
                  <c:v>398.5709693381657</c:v>
                </c:pt>
                <c:pt idx="263">
                  <c:v>395.12538628130494</c:v>
                </c:pt>
                <c:pt idx="264">
                  <c:v>391.66831794758804</c:v>
                </c:pt>
                <c:pt idx="265">
                  <c:v>388.19972605275876</c:v>
                </c:pt>
                <c:pt idx="266">
                  <c:v>384.71957218494668</c:v>
                </c:pt>
                <c:pt idx="267">
                  <c:v>381.22781780424191</c:v>
                </c:pt>
                <c:pt idx="268">
                  <c:v>377.72442424226813</c:v>
                </c:pt>
                <c:pt idx="269">
                  <c:v>374.20935270175443</c:v>
                </c:pt>
                <c:pt idx="270">
                  <c:v>370.68256425610565</c:v>
                </c:pt>
                <c:pt idx="271">
                  <c:v>367.14401984897142</c:v>
                </c:pt>
                <c:pt idx="272">
                  <c:v>363.59368029381341</c:v>
                </c:pt>
                <c:pt idx="273">
                  <c:v>360.03150627347151</c:v>
                </c:pt>
                <c:pt idx="274">
                  <c:v>356.45745833972848</c:v>
                </c:pt>
                <c:pt idx="275">
                  <c:v>352.871496912873</c:v>
                </c:pt>
                <c:pt idx="276">
                  <c:v>349.27358228126133</c:v>
                </c:pt>
                <c:pt idx="277">
                  <c:v>345.66367460087758</c:v>
                </c:pt>
                <c:pt idx="278">
                  <c:v>342.04173389489262</c:v>
                </c:pt>
                <c:pt idx="279">
                  <c:v>338.407720053221</c:v>
                </c:pt>
                <c:pt idx="280">
                  <c:v>334.7615928320771</c:v>
                </c:pt>
                <c:pt idx="281">
                  <c:v>331.10331185352948</c:v>
                </c:pt>
                <c:pt idx="282">
                  <c:v>327.43283660505335</c:v>
                </c:pt>
                <c:pt idx="283">
                  <c:v>323.75012643908224</c:v>
                </c:pt>
                <c:pt idx="284">
                  <c:v>320.05514057255795</c:v>
                </c:pt>
                <c:pt idx="285">
                  <c:v>316.34783808647853</c:v>
                </c:pt>
                <c:pt idx="286">
                  <c:v>312.62817792544553</c:v>
                </c:pt>
                <c:pt idx="287">
                  <c:v>308.89611889720908</c:v>
                </c:pt>
                <c:pt idx="288">
                  <c:v>305.15161967221184</c:v>
                </c:pt>
                <c:pt idx="289">
                  <c:v>301.39463878313131</c:v>
                </c:pt>
                <c:pt idx="290">
                  <c:v>297.62513462442047</c:v>
                </c:pt>
                <c:pt idx="291">
                  <c:v>293.84306545184728</c:v>
                </c:pt>
                <c:pt idx="292">
                  <c:v>290.04838938203216</c:v>
                </c:pt>
                <c:pt idx="293">
                  <c:v>286.24106439198431</c:v>
                </c:pt>
                <c:pt idx="294">
                  <c:v>282.42104831863634</c:v>
                </c:pt>
                <c:pt idx="295">
                  <c:v>278.58829885837719</c:v>
                </c:pt>
                <c:pt idx="296">
                  <c:v>274.74277356658382</c:v>
                </c:pt>
                <c:pt idx="297">
                  <c:v>270.88442985715119</c:v>
                </c:pt>
                <c:pt idx="298">
                  <c:v>267.01322500202042</c:v>
                </c:pt>
                <c:pt idx="299">
                  <c:v>263.12911613070588</c:v>
                </c:pt>
                <c:pt idx="300">
                  <c:v>259.23206022982032</c:v>
                </c:pt>
                <c:pt idx="301">
                  <c:v>255.32201414259845</c:v>
                </c:pt>
                <c:pt idx="302">
                  <c:v>251.39893456841918</c:v>
                </c:pt>
                <c:pt idx="303">
                  <c:v>247.46277806232598</c:v>
                </c:pt>
                <c:pt idx="304">
                  <c:v>243.51350103454578</c:v>
                </c:pt>
                <c:pt idx="305">
                  <c:v>239.55105975000635</c:v>
                </c:pt>
                <c:pt idx="306">
                  <c:v>235.57541032785178</c:v>
                </c:pt>
                <c:pt idx="307">
                  <c:v>231.5865087409567</c:v>
                </c:pt>
                <c:pt idx="308">
                  <c:v>227.58431081543861</c:v>
                </c:pt>
                <c:pt idx="309">
                  <c:v>223.5687722301688</c:v>
                </c:pt>
                <c:pt idx="310">
                  <c:v>219.53984851628147</c:v>
                </c:pt>
                <c:pt idx="311">
                  <c:v>215.49749505668115</c:v>
                </c:pt>
                <c:pt idx="312">
                  <c:v>211.4416670855488</c:v>
                </c:pt>
                <c:pt idx="313">
                  <c:v>207.37231968784604</c:v>
                </c:pt>
                <c:pt idx="314">
                  <c:v>203.28940779881759</c:v>
                </c:pt>
                <c:pt idx="315">
                  <c:v>199.19288620349241</c:v>
                </c:pt>
                <c:pt idx="316">
                  <c:v>195.08270953618276</c:v>
                </c:pt>
                <c:pt idx="317">
                  <c:v>190.95883227998212</c:v>
                </c:pt>
                <c:pt idx="318">
                  <c:v>186.82120876626081</c:v>
                </c:pt>
                <c:pt idx="319">
                  <c:v>182.66979317416042</c:v>
                </c:pt>
                <c:pt idx="320">
                  <c:v>178.50453953008636</c:v>
                </c:pt>
                <c:pt idx="321">
                  <c:v>174.32540170719872</c:v>
                </c:pt>
                <c:pt idx="322">
                  <c:v>170.13233342490145</c:v>
                </c:pt>
                <c:pt idx="323">
                  <c:v>165.92528824832988</c:v>
                </c:pt>
                <c:pt idx="324">
                  <c:v>161.70421958783638</c:v>
                </c:pt>
                <c:pt idx="325">
                  <c:v>157.46908069847456</c:v>
                </c:pt>
                <c:pt idx="326">
                  <c:v>153.21982467948155</c:v>
                </c:pt>
                <c:pt idx="327">
                  <c:v>148.95640447375857</c:v>
                </c:pt>
                <c:pt idx="328">
                  <c:v>144.67877286734981</c:v>
                </c:pt>
                <c:pt idx="329">
                  <c:v>140.38688248891972</c:v>
                </c:pt>
                <c:pt idx="330">
                  <c:v>136.08068580922816</c:v>
                </c:pt>
                <c:pt idx="331">
                  <c:v>131.76013514060432</c:v>
                </c:pt>
                <c:pt idx="332">
                  <c:v>127.42518263641843</c:v>
                </c:pt>
                <c:pt idx="333">
                  <c:v>123.0757802905519</c:v>
                </c:pt>
                <c:pt idx="334">
                  <c:v>118.71187993686581</c:v>
                </c:pt>
                <c:pt idx="335">
                  <c:v>114.33343324866743</c:v>
                </c:pt>
                <c:pt idx="336">
                  <c:v>109.94039173817505</c:v>
                </c:pt>
                <c:pt idx="337">
                  <c:v>105.53270675598104</c:v>
                </c:pt>
                <c:pt idx="338">
                  <c:v>101.11032949051304</c:v>
                </c:pt>
                <c:pt idx="339">
                  <c:v>96.673210967493489</c:v>
                </c:pt>
                <c:pt idx="340">
                  <c:v>92.22130204939721</c:v>
                </c:pt>
                <c:pt idx="341">
                  <c:v>87.754553434907265</c:v>
                </c:pt>
                <c:pt idx="342">
                  <c:v>83.27291565836903</c:v>
                </c:pt>
                <c:pt idx="343">
                  <c:v>78.776339089242327</c:v>
                </c:pt>
                <c:pt idx="344">
                  <c:v>74.264773931551872</c:v>
                </c:pt>
                <c:pt idx="345">
                  <c:v>69.738170223335786</c:v>
                </c:pt>
                <c:pt idx="346">
                  <c:v>65.196477836092299</c:v>
                </c:pt>
                <c:pt idx="347">
                  <c:v>60.639646474224676</c:v>
                </c:pt>
                <c:pt idx="348">
                  <c:v>56.067625674484155</c:v>
                </c:pt>
                <c:pt idx="349">
                  <c:v>51.480364805411178</c:v>
                </c:pt>
                <c:pt idx="350">
                  <c:v>46.877813066774621</c:v>
                </c:pt>
                <c:pt idx="351">
                  <c:v>42.25991948900927</c:v>
                </c:pt>
                <c:pt idx="352">
                  <c:v>37.626632932651376</c:v>
                </c:pt>
                <c:pt idx="353">
                  <c:v>32.977902087772286</c:v>
                </c:pt>
                <c:pt idx="354">
                  <c:v>28.313675473410267</c:v>
                </c:pt>
                <c:pt idx="355">
                  <c:v>23.633901437000368</c:v>
                </c:pt>
                <c:pt idx="356">
                  <c:v>18.938528153802444</c:v>
                </c:pt>
                <c:pt idx="357">
                  <c:v>14.22750362632719</c:v>
                </c:pt>
                <c:pt idx="358">
                  <c:v>9.5007756837603523</c:v>
                </c:pt>
                <c:pt idx="359">
                  <c:v>4.7582919813849571</c:v>
                </c:pt>
                <c:pt idx="360">
                  <c:v>1.6446695857060452E-12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9-9143-B312-373A1FF3FD76}"/>
            </c:ext>
          </c:extLst>
        </c:ser>
        <c:ser>
          <c:idx val="2"/>
          <c:order val="1"/>
          <c:tx>
            <c:strRef>
              <c:f>'Mortgage Calculator_IP'!$H$1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'Mortgage Calculator_IP'!$E$2:$E$361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'Mortgage Calculator_IP'!$H$2:$H$362</c:f>
              <c:numCache>
                <c:formatCode>"$"#,##0.00_);[Red]\("$"#,##0.00\)</c:formatCode>
                <c:ptCount val="361"/>
                <c:pt idx="0">
                  <c:v>432.24588639637852</c:v>
                </c:pt>
                <c:pt idx="1">
                  <c:v>433.68670601769986</c:v>
                </c:pt>
                <c:pt idx="2">
                  <c:v>435.13232837109217</c:v>
                </c:pt>
                <c:pt idx="3">
                  <c:v>436.58276946566252</c:v>
                </c:pt>
                <c:pt idx="4">
                  <c:v>438.03804536388157</c:v>
                </c:pt>
                <c:pt idx="5">
                  <c:v>439.49817218176122</c:v>
                </c:pt>
                <c:pt idx="6">
                  <c:v>440.96316608903385</c:v>
                </c:pt>
                <c:pt idx="7">
                  <c:v>442.43304330933063</c:v>
                </c:pt>
                <c:pt idx="8">
                  <c:v>443.90782012036163</c:v>
                </c:pt>
                <c:pt idx="9">
                  <c:v>445.38751285409603</c:v>
                </c:pt>
                <c:pt idx="10">
                  <c:v>446.87213789694295</c:v>
                </c:pt>
                <c:pt idx="11">
                  <c:v>448.3617116899328</c:v>
                </c:pt>
                <c:pt idx="12">
                  <c:v>449.85625072889923</c:v>
                </c:pt>
                <c:pt idx="13">
                  <c:v>451.35577156466218</c:v>
                </c:pt>
                <c:pt idx="14">
                  <c:v>452.860290803211</c:v>
                </c:pt>
                <c:pt idx="15">
                  <c:v>454.36982510588825</c:v>
                </c:pt>
                <c:pt idx="16">
                  <c:v>455.88439118957456</c:v>
                </c:pt>
                <c:pt idx="17">
                  <c:v>457.404005826873</c:v>
                </c:pt>
                <c:pt idx="18">
                  <c:v>458.92868584629593</c:v>
                </c:pt>
                <c:pt idx="19">
                  <c:v>460.45844813245014</c:v>
                </c:pt>
                <c:pt idx="20">
                  <c:v>461.99330962622491</c:v>
                </c:pt>
                <c:pt idx="21">
                  <c:v>463.53328732497903</c:v>
                </c:pt>
                <c:pt idx="22">
                  <c:v>465.07839828272904</c:v>
                </c:pt>
                <c:pt idx="23">
                  <c:v>466.62865961033822</c:v>
                </c:pt>
                <c:pt idx="24">
                  <c:v>468.18408847570606</c:v>
                </c:pt>
                <c:pt idx="25">
                  <c:v>469.7447021039585</c:v>
                </c:pt>
                <c:pt idx="26">
                  <c:v>471.31051777763832</c:v>
                </c:pt>
                <c:pt idx="27">
                  <c:v>472.88155283689707</c:v>
                </c:pt>
                <c:pt idx="28">
                  <c:v>474.45782467968684</c:v>
                </c:pt>
                <c:pt idx="29">
                  <c:v>476.03935076195239</c:v>
                </c:pt>
                <c:pt idx="30">
                  <c:v>477.62614859782559</c:v>
                </c:pt>
                <c:pt idx="31">
                  <c:v>479.2182357598183</c:v>
                </c:pt>
                <c:pt idx="32">
                  <c:v>480.81562987901771</c:v>
                </c:pt>
                <c:pt idx="33">
                  <c:v>482.41834864528107</c:v>
                </c:pt>
                <c:pt idx="34">
                  <c:v>484.02640980743195</c:v>
                </c:pt>
                <c:pt idx="35">
                  <c:v>485.63983117345674</c:v>
                </c:pt>
                <c:pt idx="36">
                  <c:v>487.25863061070163</c:v>
                </c:pt>
                <c:pt idx="37">
                  <c:v>488.8828260460707</c:v>
                </c:pt>
                <c:pt idx="38">
                  <c:v>490.51243546622436</c:v>
                </c:pt>
                <c:pt idx="39">
                  <c:v>492.14747691777836</c:v>
                </c:pt>
                <c:pt idx="40">
                  <c:v>493.78796850750427</c:v>
                </c:pt>
                <c:pt idx="41">
                  <c:v>495.43392840252932</c:v>
                </c:pt>
                <c:pt idx="42">
                  <c:v>497.08537483053783</c:v>
                </c:pt>
                <c:pt idx="43">
                  <c:v>498.74232607997294</c:v>
                </c:pt>
                <c:pt idx="44">
                  <c:v>500.4048005002395</c:v>
                </c:pt>
                <c:pt idx="45">
                  <c:v>502.07281650190703</c:v>
                </c:pt>
                <c:pt idx="46">
                  <c:v>503.74639255691329</c:v>
                </c:pt>
                <c:pt idx="47">
                  <c:v>505.42554719876978</c:v>
                </c:pt>
                <c:pt idx="48">
                  <c:v>507.11029902276562</c:v>
                </c:pt>
                <c:pt idx="49">
                  <c:v>508.80066668617474</c:v>
                </c:pt>
                <c:pt idx="50">
                  <c:v>510.49666890846197</c:v>
                </c:pt>
                <c:pt idx="51">
                  <c:v>512.19832447149008</c:v>
                </c:pt>
                <c:pt idx="52">
                  <c:v>513.90565221972838</c:v>
                </c:pt>
                <c:pt idx="53">
                  <c:v>515.61867106046077</c:v>
                </c:pt>
                <c:pt idx="54">
                  <c:v>517.33739996399572</c:v>
                </c:pt>
                <c:pt idx="55">
                  <c:v>519.0618579638757</c:v>
                </c:pt>
                <c:pt idx="56">
                  <c:v>520.79206415708848</c:v>
                </c:pt>
                <c:pt idx="57">
                  <c:v>522.52803770427874</c:v>
                </c:pt>
                <c:pt idx="58">
                  <c:v>524.26979782995977</c:v>
                </c:pt>
                <c:pt idx="59">
                  <c:v>526.01736382272634</c:v>
                </c:pt>
                <c:pt idx="60">
                  <c:v>527.77075503546871</c:v>
                </c:pt>
                <c:pt idx="61">
                  <c:v>529.52999088558693</c:v>
                </c:pt>
                <c:pt idx="62">
                  <c:v>531.29509085520556</c:v>
                </c:pt>
                <c:pt idx="63">
                  <c:v>533.0660744913896</c:v>
                </c:pt>
                <c:pt idx="64">
                  <c:v>534.84296140636081</c:v>
                </c:pt>
                <c:pt idx="65">
                  <c:v>536.62577127771522</c:v>
                </c:pt>
                <c:pt idx="66">
                  <c:v>538.4145238486409</c:v>
                </c:pt>
                <c:pt idx="67">
                  <c:v>540.2092389281363</c:v>
                </c:pt>
                <c:pt idx="68">
                  <c:v>542.00993639123021</c:v>
                </c:pt>
                <c:pt idx="69">
                  <c:v>543.81663617920083</c:v>
                </c:pt>
                <c:pt idx="70">
                  <c:v>545.62935829979824</c:v>
                </c:pt>
                <c:pt idx="71">
                  <c:v>547.4481228274642</c:v>
                </c:pt>
                <c:pt idx="72">
                  <c:v>549.27294990355574</c:v>
                </c:pt>
                <c:pt idx="73">
                  <c:v>551.10385973656764</c:v>
                </c:pt>
                <c:pt idx="74">
                  <c:v>552.94087260235619</c:v>
                </c:pt>
                <c:pt idx="75">
                  <c:v>554.78400884436405</c:v>
                </c:pt>
                <c:pt idx="76">
                  <c:v>556.63328887384512</c:v>
                </c:pt>
                <c:pt idx="77">
                  <c:v>558.48873317009134</c:v>
                </c:pt>
                <c:pt idx="78">
                  <c:v>560.35036228065826</c:v>
                </c:pt>
                <c:pt idx="79">
                  <c:v>562.21819682159378</c:v>
                </c:pt>
                <c:pt idx="80">
                  <c:v>564.09225747766584</c:v>
                </c:pt>
                <c:pt idx="81">
                  <c:v>565.9725650025913</c:v>
                </c:pt>
                <c:pt idx="82">
                  <c:v>567.85914021926669</c:v>
                </c:pt>
                <c:pt idx="83">
                  <c:v>569.75200401999746</c:v>
                </c:pt>
                <c:pt idx="84">
                  <c:v>571.65117736673085</c:v>
                </c:pt>
                <c:pt idx="85">
                  <c:v>573.55668129128662</c:v>
                </c:pt>
                <c:pt idx="86">
                  <c:v>575.46853689559089</c:v>
                </c:pt>
                <c:pt idx="87">
                  <c:v>577.3867653519095</c:v>
                </c:pt>
                <c:pt idx="88">
                  <c:v>579.3113879030825</c:v>
                </c:pt>
                <c:pt idx="89">
                  <c:v>581.24242586275943</c:v>
                </c:pt>
                <c:pt idx="90">
                  <c:v>583.17990061563535</c:v>
                </c:pt>
                <c:pt idx="91">
                  <c:v>585.12383361768741</c:v>
                </c:pt>
                <c:pt idx="92">
                  <c:v>587.07424639641306</c:v>
                </c:pt>
                <c:pt idx="93">
                  <c:v>589.03116055106773</c:v>
                </c:pt>
                <c:pt idx="94">
                  <c:v>590.99459775290472</c:v>
                </c:pt>
                <c:pt idx="95">
                  <c:v>592.96457974541431</c:v>
                </c:pt>
                <c:pt idx="96">
                  <c:v>594.94112834456575</c:v>
                </c:pt>
                <c:pt idx="97">
                  <c:v>596.92426543904764</c:v>
                </c:pt>
                <c:pt idx="98">
                  <c:v>598.91401299051108</c:v>
                </c:pt>
                <c:pt idx="99">
                  <c:v>600.91039303381285</c:v>
                </c:pt>
                <c:pt idx="100">
                  <c:v>602.91342767725894</c:v>
                </c:pt>
                <c:pt idx="101">
                  <c:v>604.92313910284975</c:v>
                </c:pt>
                <c:pt idx="102">
                  <c:v>606.9395495665259</c:v>
                </c:pt>
                <c:pt idx="103">
                  <c:v>608.96268139841436</c:v>
                </c:pt>
                <c:pt idx="104">
                  <c:v>610.99255700307572</c:v>
                </c:pt>
                <c:pt idx="105">
                  <c:v>613.02919885975268</c:v>
                </c:pt>
                <c:pt idx="106">
                  <c:v>615.07262952261851</c:v>
                </c:pt>
                <c:pt idx="107">
                  <c:v>617.12287162102723</c:v>
                </c:pt>
                <c:pt idx="108">
                  <c:v>619.17994785976396</c:v>
                </c:pt>
                <c:pt idx="109">
                  <c:v>621.24388101929651</c:v>
                </c:pt>
                <c:pt idx="110">
                  <c:v>623.31469395602744</c:v>
                </c:pt>
                <c:pt idx="111">
                  <c:v>625.39240960254756</c:v>
                </c:pt>
                <c:pt idx="112">
                  <c:v>627.47705096788945</c:v>
                </c:pt>
                <c:pt idx="113">
                  <c:v>629.56864113778238</c:v>
                </c:pt>
                <c:pt idx="114">
                  <c:v>631.66720327490827</c:v>
                </c:pt>
                <c:pt idx="115">
                  <c:v>633.77276061915802</c:v>
                </c:pt>
                <c:pt idx="116">
                  <c:v>635.88533648788848</c:v>
                </c:pt>
                <c:pt idx="117">
                  <c:v>638.00495427618137</c:v>
                </c:pt>
                <c:pt idx="118">
                  <c:v>640.13163745710199</c:v>
                </c:pt>
                <c:pt idx="119">
                  <c:v>642.26540958195892</c:v>
                </c:pt>
                <c:pt idx="120">
                  <c:v>644.40629428056536</c:v>
                </c:pt>
                <c:pt idx="121">
                  <c:v>646.55431526150062</c:v>
                </c:pt>
                <c:pt idx="122">
                  <c:v>648.70949631237238</c:v>
                </c:pt>
                <c:pt idx="123">
                  <c:v>650.87186130008024</c:v>
                </c:pt>
                <c:pt idx="124">
                  <c:v>653.04143417108048</c:v>
                </c:pt>
                <c:pt idx="125">
                  <c:v>655.21823895165085</c:v>
                </c:pt>
                <c:pt idx="126">
                  <c:v>657.40229974815622</c:v>
                </c:pt>
                <c:pt idx="127">
                  <c:v>659.59364074731673</c:v>
                </c:pt>
                <c:pt idx="128">
                  <c:v>661.79228621647451</c:v>
                </c:pt>
                <c:pt idx="129">
                  <c:v>663.99826050386275</c:v>
                </c:pt>
                <c:pt idx="130">
                  <c:v>666.21158803887568</c:v>
                </c:pt>
                <c:pt idx="131">
                  <c:v>668.43229333233865</c:v>
                </c:pt>
                <c:pt idx="132">
                  <c:v>670.66040097677967</c:v>
                </c:pt>
                <c:pt idx="133">
                  <c:v>672.89593564670224</c:v>
                </c:pt>
                <c:pt idx="134">
                  <c:v>675.13892209885796</c:v>
                </c:pt>
                <c:pt idx="135">
                  <c:v>677.38938517252075</c:v>
                </c:pt>
                <c:pt idx="136">
                  <c:v>679.64734978976253</c:v>
                </c:pt>
                <c:pt idx="137">
                  <c:v>681.91284095572837</c:v>
                </c:pt>
                <c:pt idx="138">
                  <c:v>684.18588375891409</c:v>
                </c:pt>
                <c:pt idx="139">
                  <c:v>686.46650337144376</c:v>
                </c:pt>
                <c:pt idx="140">
                  <c:v>688.75472504934862</c:v>
                </c:pt>
                <c:pt idx="141">
                  <c:v>691.05057413284646</c:v>
                </c:pt>
                <c:pt idx="142">
                  <c:v>693.35407604662259</c:v>
                </c:pt>
                <c:pt idx="143">
                  <c:v>695.66525630011131</c:v>
                </c:pt>
                <c:pt idx="144">
                  <c:v>697.98414048777829</c:v>
                </c:pt>
                <c:pt idx="145">
                  <c:v>700.31075428940414</c:v>
                </c:pt>
                <c:pt idx="146">
                  <c:v>702.64512347036896</c:v>
                </c:pt>
                <c:pt idx="147">
                  <c:v>704.98727388193686</c:v>
                </c:pt>
                <c:pt idx="148">
                  <c:v>707.3372314615433</c:v>
                </c:pt>
                <c:pt idx="149">
                  <c:v>709.69502223308177</c:v>
                </c:pt>
                <c:pt idx="150">
                  <c:v>712.06067230719202</c:v>
                </c:pt>
                <c:pt idx="151">
                  <c:v>714.43420788154936</c:v>
                </c:pt>
                <c:pt idx="152">
                  <c:v>716.81565524115445</c:v>
                </c:pt>
                <c:pt idx="153">
                  <c:v>719.20504075862505</c:v>
                </c:pt>
                <c:pt idx="154">
                  <c:v>721.60239089448714</c:v>
                </c:pt>
                <c:pt idx="155">
                  <c:v>724.00773219746873</c:v>
                </c:pt>
                <c:pt idx="156">
                  <c:v>726.42109130479366</c:v>
                </c:pt>
                <c:pt idx="157">
                  <c:v>728.84249494247626</c:v>
                </c:pt>
                <c:pt idx="158">
                  <c:v>731.2719699256179</c:v>
                </c:pt>
                <c:pt idx="159">
                  <c:v>733.70954315870324</c:v>
                </c:pt>
                <c:pt idx="160">
                  <c:v>736.15524163589896</c:v>
                </c:pt>
                <c:pt idx="161">
                  <c:v>738.60909244135189</c:v>
                </c:pt>
                <c:pt idx="162">
                  <c:v>741.07112274948975</c:v>
                </c:pt>
                <c:pt idx="163">
                  <c:v>743.54135982532136</c:v>
                </c:pt>
                <c:pt idx="164">
                  <c:v>746.01983102473912</c:v>
                </c:pt>
                <c:pt idx="165">
                  <c:v>748.50656379482166</c:v>
                </c:pt>
                <c:pt idx="166">
                  <c:v>751.00158567413769</c:v>
                </c:pt>
                <c:pt idx="167">
                  <c:v>753.50492429305154</c:v>
                </c:pt>
                <c:pt idx="168">
                  <c:v>756.01660737402835</c:v>
                </c:pt>
                <c:pt idx="169">
                  <c:v>758.53666273194187</c:v>
                </c:pt>
                <c:pt idx="170">
                  <c:v>761.06511827438169</c:v>
                </c:pt>
                <c:pt idx="171">
                  <c:v>763.60200200196289</c:v>
                </c:pt>
                <c:pt idx="172">
                  <c:v>766.14734200863609</c:v>
                </c:pt>
                <c:pt idx="173">
                  <c:v>768.70116648199814</c:v>
                </c:pt>
                <c:pt idx="174">
                  <c:v>771.2635037036049</c:v>
                </c:pt>
                <c:pt idx="175">
                  <c:v>773.83438204928359</c:v>
                </c:pt>
                <c:pt idx="176">
                  <c:v>776.41382998944778</c:v>
                </c:pt>
                <c:pt idx="177">
                  <c:v>779.00187608941258</c:v>
                </c:pt>
                <c:pt idx="178">
                  <c:v>781.59854900971061</c:v>
                </c:pt>
                <c:pt idx="179">
                  <c:v>784.20387750640964</c:v>
                </c:pt>
                <c:pt idx="180">
                  <c:v>786.81789043143101</c:v>
                </c:pt>
                <c:pt idx="181">
                  <c:v>789.4406167328691</c:v>
                </c:pt>
                <c:pt idx="182">
                  <c:v>792.07208545531205</c:v>
                </c:pt>
                <c:pt idx="183">
                  <c:v>794.71232574016312</c:v>
                </c:pt>
                <c:pt idx="184">
                  <c:v>797.36136682596361</c:v>
                </c:pt>
                <c:pt idx="185">
                  <c:v>800.01923804871683</c:v>
                </c:pt>
                <c:pt idx="186">
                  <c:v>802.68596884221267</c:v>
                </c:pt>
                <c:pt idx="187">
                  <c:v>805.36158873835336</c:v>
                </c:pt>
                <c:pt idx="188">
                  <c:v>808.04612736748118</c:v>
                </c:pt>
                <c:pt idx="189">
                  <c:v>810.73961445870611</c:v>
                </c:pt>
                <c:pt idx="190">
                  <c:v>813.44207984023512</c:v>
                </c:pt>
                <c:pt idx="191">
                  <c:v>816.15355343970259</c:v>
                </c:pt>
                <c:pt idx="192">
                  <c:v>818.87406528450163</c:v>
                </c:pt>
                <c:pt idx="193">
                  <c:v>821.60364550211659</c:v>
                </c:pt>
                <c:pt idx="194">
                  <c:v>824.34232432045701</c:v>
                </c:pt>
                <c:pt idx="195">
                  <c:v>827.09013206819191</c:v>
                </c:pt>
                <c:pt idx="196">
                  <c:v>829.84709917508587</c:v>
                </c:pt>
                <c:pt idx="197">
                  <c:v>832.61325617233615</c:v>
                </c:pt>
                <c:pt idx="198">
                  <c:v>835.38863369291062</c:v>
                </c:pt>
                <c:pt idx="199">
                  <c:v>838.17326247188691</c:v>
                </c:pt>
                <c:pt idx="200">
                  <c:v>840.96717334679329</c:v>
                </c:pt>
                <c:pt idx="201">
                  <c:v>843.77039725794918</c:v>
                </c:pt>
                <c:pt idx="202">
                  <c:v>846.58296524880905</c:v>
                </c:pt>
                <c:pt idx="203">
                  <c:v>849.40490846630507</c:v>
                </c:pt>
                <c:pt idx="204">
                  <c:v>852.23625816119284</c:v>
                </c:pt>
                <c:pt idx="205">
                  <c:v>855.07704568839677</c:v>
                </c:pt>
                <c:pt idx="206">
                  <c:v>857.92730250735815</c:v>
                </c:pt>
                <c:pt idx="207">
                  <c:v>860.78706018238267</c:v>
                </c:pt>
                <c:pt idx="208">
                  <c:v>863.65635038299069</c:v>
                </c:pt>
                <c:pt idx="209">
                  <c:v>866.53520488426727</c:v>
                </c:pt>
                <c:pt idx="210">
                  <c:v>869.42365556721484</c:v>
                </c:pt>
                <c:pt idx="211">
                  <c:v>872.32173441910561</c:v>
                </c:pt>
                <c:pt idx="212">
                  <c:v>875.22947353383586</c:v>
                </c:pt>
                <c:pt idx="213">
                  <c:v>878.14690511228207</c:v>
                </c:pt>
                <c:pt idx="214">
                  <c:v>881.07406146265635</c:v>
                </c:pt>
                <c:pt idx="215">
                  <c:v>884.01097500086519</c:v>
                </c:pt>
                <c:pt idx="216">
                  <c:v>886.95767825086807</c:v>
                </c:pt>
                <c:pt idx="217">
                  <c:v>889.9142038450376</c:v>
                </c:pt>
                <c:pt idx="218">
                  <c:v>892.88058452452117</c:v>
                </c:pt>
                <c:pt idx="219">
                  <c:v>895.85685313960278</c:v>
                </c:pt>
                <c:pt idx="220">
                  <c:v>898.84304265006824</c:v>
                </c:pt>
                <c:pt idx="221">
                  <c:v>901.8391861255684</c:v>
                </c:pt>
                <c:pt idx="222">
                  <c:v>904.84531674598702</c:v>
                </c:pt>
                <c:pt idx="223">
                  <c:v>907.86146780180695</c:v>
                </c:pt>
                <c:pt idx="224">
                  <c:v>910.88767269447965</c:v>
                </c:pt>
                <c:pt idx="225">
                  <c:v>913.92396493679462</c:v>
                </c:pt>
                <c:pt idx="226">
                  <c:v>916.97037815325052</c:v>
                </c:pt>
                <c:pt idx="227">
                  <c:v>920.02694608042805</c:v>
                </c:pt>
                <c:pt idx="228">
                  <c:v>923.09370256736293</c:v>
                </c:pt>
                <c:pt idx="229">
                  <c:v>926.17068157592075</c:v>
                </c:pt>
                <c:pt idx="230">
                  <c:v>929.25791718117387</c:v>
                </c:pt>
                <c:pt idx="231">
                  <c:v>932.35544357177787</c:v>
                </c:pt>
                <c:pt idx="232">
                  <c:v>935.46329505035033</c:v>
                </c:pt>
                <c:pt idx="233">
                  <c:v>938.58150603385161</c:v>
                </c:pt>
                <c:pt idx="234">
                  <c:v>941.71011105396451</c:v>
                </c:pt>
                <c:pt idx="235">
                  <c:v>944.84914475747757</c:v>
                </c:pt>
                <c:pt idx="236">
                  <c:v>947.99864190666915</c:v>
                </c:pt>
                <c:pt idx="237">
                  <c:v>951.1586373796913</c:v>
                </c:pt>
                <c:pt idx="238">
                  <c:v>954.32916617095702</c:v>
                </c:pt>
                <c:pt idx="239">
                  <c:v>957.51026339152691</c:v>
                </c:pt>
                <c:pt idx="240">
                  <c:v>960.70196426949872</c:v>
                </c:pt>
                <c:pt idx="241">
                  <c:v>963.90430415039714</c:v>
                </c:pt>
                <c:pt idx="242">
                  <c:v>967.11731849756507</c:v>
                </c:pt>
                <c:pt idx="243">
                  <c:v>970.34104289255697</c:v>
                </c:pt>
                <c:pt idx="244">
                  <c:v>973.57551303553214</c:v>
                </c:pt>
                <c:pt idx="245">
                  <c:v>976.82076474565065</c:v>
                </c:pt>
                <c:pt idx="246">
                  <c:v>980.07683396146945</c:v>
                </c:pt>
                <c:pt idx="247">
                  <c:v>983.34375674134094</c:v>
                </c:pt>
                <c:pt idx="248">
                  <c:v>986.62156926381215</c:v>
                </c:pt>
                <c:pt idx="249">
                  <c:v>989.91030782802477</c:v>
                </c:pt>
                <c:pt idx="250">
                  <c:v>993.21000885411831</c:v>
                </c:pt>
                <c:pt idx="251">
                  <c:v>996.52070888363198</c:v>
                </c:pt>
                <c:pt idx="252">
                  <c:v>999.84244457991076</c:v>
                </c:pt>
                <c:pt idx="253">
                  <c:v>1003.1752527285105</c:v>
                </c:pt>
                <c:pt idx="254">
                  <c:v>1006.5191702376055</c:v>
                </c:pt>
                <c:pt idx="255">
                  <c:v>1009.8742341383975</c:v>
                </c:pt>
                <c:pt idx="256">
                  <c:v>1013.2404815855255</c:v>
                </c:pt>
                <c:pt idx="257">
                  <c:v>1016.6179498574772</c:v>
                </c:pt>
                <c:pt idx="258">
                  <c:v>1020.0066763570021</c:v>
                </c:pt>
                <c:pt idx="259">
                  <c:v>1023.4066986115256</c:v>
                </c:pt>
                <c:pt idx="260">
                  <c:v>1026.818054273564</c:v>
                </c:pt>
                <c:pt idx="261">
                  <c:v>1030.2407811211424</c:v>
                </c:pt>
                <c:pt idx="262">
                  <c:v>1033.6749170582129</c:v>
                </c:pt>
                <c:pt idx="263">
                  <c:v>1037.1205001150738</c:v>
                </c:pt>
                <c:pt idx="264">
                  <c:v>1040.5775684487905</c:v>
                </c:pt>
                <c:pt idx="265">
                  <c:v>1044.0461603436199</c:v>
                </c:pt>
                <c:pt idx="266">
                  <c:v>1047.526314211432</c:v>
                </c:pt>
                <c:pt idx="267">
                  <c:v>1051.0180685921368</c:v>
                </c:pt>
                <c:pt idx="268">
                  <c:v>1054.5214621541104</c:v>
                </c:pt>
                <c:pt idx="269">
                  <c:v>1058.0365336946243</c:v>
                </c:pt>
                <c:pt idx="270">
                  <c:v>1061.5633221402729</c:v>
                </c:pt>
                <c:pt idx="271">
                  <c:v>1065.1018665474071</c:v>
                </c:pt>
                <c:pt idx="272">
                  <c:v>1068.6522061025653</c:v>
                </c:pt>
                <c:pt idx="273">
                  <c:v>1072.2143801229072</c:v>
                </c:pt>
                <c:pt idx="274">
                  <c:v>1075.7884280566502</c:v>
                </c:pt>
                <c:pt idx="275">
                  <c:v>1079.3743894835056</c:v>
                </c:pt>
                <c:pt idx="276">
                  <c:v>1082.9723041151174</c:v>
                </c:pt>
                <c:pt idx="277">
                  <c:v>1086.5822117955011</c:v>
                </c:pt>
                <c:pt idx="278">
                  <c:v>1090.2041525014861</c:v>
                </c:pt>
                <c:pt idx="279">
                  <c:v>1093.8381663431576</c:v>
                </c:pt>
                <c:pt idx="280">
                  <c:v>1097.4842935643014</c:v>
                </c:pt>
                <c:pt idx="281">
                  <c:v>1101.1425745428492</c:v>
                </c:pt>
                <c:pt idx="282">
                  <c:v>1104.8130497913253</c:v>
                </c:pt>
                <c:pt idx="283">
                  <c:v>1108.4957599572963</c:v>
                </c:pt>
                <c:pt idx="284">
                  <c:v>1112.1907458238206</c:v>
                </c:pt>
                <c:pt idx="285">
                  <c:v>1115.8980483099001</c:v>
                </c:pt>
                <c:pt idx="286">
                  <c:v>1119.6177084709332</c:v>
                </c:pt>
                <c:pt idx="287">
                  <c:v>1123.3497674991695</c:v>
                </c:pt>
                <c:pt idx="288">
                  <c:v>1127.0942667241668</c:v>
                </c:pt>
                <c:pt idx="289">
                  <c:v>1130.8512476132473</c:v>
                </c:pt>
                <c:pt idx="290">
                  <c:v>1134.6207517719581</c:v>
                </c:pt>
                <c:pt idx="291">
                  <c:v>1138.4028209445314</c:v>
                </c:pt>
                <c:pt idx="292">
                  <c:v>1142.1974970143465</c:v>
                </c:pt>
                <c:pt idx="293">
                  <c:v>1146.0048220043943</c:v>
                </c:pt>
                <c:pt idx="294">
                  <c:v>1149.8248380777422</c:v>
                </c:pt>
                <c:pt idx="295">
                  <c:v>1153.6575875380015</c:v>
                </c:pt>
                <c:pt idx="296">
                  <c:v>1157.5031128297949</c:v>
                </c:pt>
                <c:pt idx="297">
                  <c:v>1161.3614565392274</c:v>
                </c:pt>
                <c:pt idx="298">
                  <c:v>1165.2326613943583</c:v>
                </c:pt>
                <c:pt idx="299">
                  <c:v>1169.1167702656728</c:v>
                </c:pt>
                <c:pt idx="300">
                  <c:v>1173.0138261665584</c:v>
                </c:pt>
                <c:pt idx="301">
                  <c:v>1176.9238722537802</c:v>
                </c:pt>
                <c:pt idx="302">
                  <c:v>1180.8469518279594</c:v>
                </c:pt>
                <c:pt idx="303">
                  <c:v>1184.7831083340527</c:v>
                </c:pt>
                <c:pt idx="304">
                  <c:v>1188.7323853618329</c:v>
                </c:pt>
                <c:pt idx="305">
                  <c:v>1192.6948266463723</c:v>
                </c:pt>
                <c:pt idx="306">
                  <c:v>1196.6704760685268</c:v>
                </c:pt>
                <c:pt idx="307">
                  <c:v>1200.6593776554218</c:v>
                </c:pt>
                <c:pt idx="308">
                  <c:v>1204.6615755809401</c:v>
                </c:pt>
                <c:pt idx="309">
                  <c:v>1208.6771141662098</c:v>
                </c:pt>
                <c:pt idx="310">
                  <c:v>1212.7060378800973</c:v>
                </c:pt>
                <c:pt idx="311">
                  <c:v>1216.7483913396975</c:v>
                </c:pt>
                <c:pt idx="312">
                  <c:v>1220.8042193108299</c:v>
                </c:pt>
                <c:pt idx="313">
                  <c:v>1224.8735667085325</c:v>
                </c:pt>
                <c:pt idx="314">
                  <c:v>1228.956478597561</c:v>
                </c:pt>
                <c:pt idx="315">
                  <c:v>1233.0530001928862</c:v>
                </c:pt>
                <c:pt idx="316">
                  <c:v>1237.1631768601958</c:v>
                </c:pt>
                <c:pt idx="317">
                  <c:v>1241.2870541163966</c:v>
                </c:pt>
                <c:pt idx="318">
                  <c:v>1245.4246776301179</c:v>
                </c:pt>
                <c:pt idx="319">
                  <c:v>1249.5760932222183</c:v>
                </c:pt>
                <c:pt idx="320">
                  <c:v>1253.7413468662924</c:v>
                </c:pt>
                <c:pt idx="321">
                  <c:v>1257.9204846891798</c:v>
                </c:pt>
                <c:pt idx="322">
                  <c:v>1262.1135529714772</c:v>
                </c:pt>
                <c:pt idx="323">
                  <c:v>1266.3205981480487</c:v>
                </c:pt>
                <c:pt idx="324">
                  <c:v>1270.5416668085422</c:v>
                </c:pt>
                <c:pt idx="325">
                  <c:v>1274.7768056979041</c:v>
                </c:pt>
                <c:pt idx="326">
                  <c:v>1279.0260617168972</c:v>
                </c:pt>
                <c:pt idx="327">
                  <c:v>1283.2894819226201</c:v>
                </c:pt>
                <c:pt idx="328">
                  <c:v>1287.5671135290288</c:v>
                </c:pt>
                <c:pt idx="329">
                  <c:v>1291.8590039074588</c:v>
                </c:pt>
                <c:pt idx="330">
                  <c:v>1296.1652005871506</c:v>
                </c:pt>
                <c:pt idx="331">
                  <c:v>1300.4857512557744</c:v>
                </c:pt>
                <c:pt idx="332">
                  <c:v>1304.8207037599602</c:v>
                </c:pt>
                <c:pt idx="333">
                  <c:v>1309.1701061058268</c:v>
                </c:pt>
                <c:pt idx="334">
                  <c:v>1313.5340064595127</c:v>
                </c:pt>
                <c:pt idx="335">
                  <c:v>1317.9124531477112</c:v>
                </c:pt>
                <c:pt idx="336">
                  <c:v>1322.3054946582035</c:v>
                </c:pt>
                <c:pt idx="337">
                  <c:v>1326.7131796403976</c:v>
                </c:pt>
                <c:pt idx="338">
                  <c:v>1331.1355569058655</c:v>
                </c:pt>
                <c:pt idx="339">
                  <c:v>1335.5726754288851</c:v>
                </c:pt>
                <c:pt idx="340">
                  <c:v>1340.0245843469813</c:v>
                </c:pt>
                <c:pt idx="341">
                  <c:v>1344.4913329614715</c:v>
                </c:pt>
                <c:pt idx="342">
                  <c:v>1348.9729707380095</c:v>
                </c:pt>
                <c:pt idx="343">
                  <c:v>1353.4695473071363</c:v>
                </c:pt>
                <c:pt idx="344">
                  <c:v>1357.9811124648268</c:v>
                </c:pt>
                <c:pt idx="345">
                  <c:v>1362.5077161730428</c:v>
                </c:pt>
                <c:pt idx="346">
                  <c:v>1367.0494085602863</c:v>
                </c:pt>
                <c:pt idx="347">
                  <c:v>1371.6062399221539</c:v>
                </c:pt>
                <c:pt idx="348">
                  <c:v>1376.1782607218945</c:v>
                </c:pt>
                <c:pt idx="349">
                  <c:v>1380.7655215909674</c:v>
                </c:pt>
                <c:pt idx="350">
                  <c:v>1385.3680733296039</c:v>
                </c:pt>
                <c:pt idx="351">
                  <c:v>1389.9859669073694</c:v>
                </c:pt>
                <c:pt idx="352">
                  <c:v>1394.6192534637273</c:v>
                </c:pt>
                <c:pt idx="353">
                  <c:v>1399.2679843086064</c:v>
                </c:pt>
                <c:pt idx="354">
                  <c:v>1403.9322109229684</c:v>
                </c:pt>
                <c:pt idx="355">
                  <c:v>1408.6119849593783</c:v>
                </c:pt>
                <c:pt idx="356">
                  <c:v>1413.3073582425761</c:v>
                </c:pt>
                <c:pt idx="357">
                  <c:v>1418.0183827700514</c:v>
                </c:pt>
                <c:pt idx="358">
                  <c:v>1422.7451107126183</c:v>
                </c:pt>
                <c:pt idx="359">
                  <c:v>1427.4875944149937</c:v>
                </c:pt>
                <c:pt idx="360">
                  <c:v>1432.245886396377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9-9143-B312-373A1FF3F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'Mortgage Calculator_IP'!$S$13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'Mortgage Calculator_IP'!$S$14:$S$43</c:f>
              <c:numCache>
                <c:formatCode>"$"#,##0.00_);[Red]\("$"#,##0.00\)</c:formatCode>
                <c:ptCount val="30"/>
                <c:pt idx="0">
                  <c:v>5283.1092997561736</c:v>
                </c:pt>
                <c:pt idx="1">
                  <c:v>5498.3513240421253</c:v>
                </c:pt>
                <c:pt idx="2">
                  <c:v>5722.362640498668</c:v>
                </c:pt>
                <c:pt idx="3">
                  <c:v>5955.5005236191537</c:v>
                </c:pt>
                <c:pt idx="4">
                  <c:v>6198.1368038110049</c:v>
                </c:pt>
                <c:pt idx="5">
                  <c:v>6450.6584604262025</c:v>
                </c:pt>
                <c:pt idx="6">
                  <c:v>6713.4682389525551</c:v>
                </c:pt>
                <c:pt idx="7">
                  <c:v>6986.9852933504808</c:v>
                </c:pt>
                <c:pt idx="8">
                  <c:v>7271.6458545594578</c:v>
                </c:pt>
                <c:pt idx="9">
                  <c:v>7567.9039262405058</c:v>
                </c:pt>
                <c:pt idx="10">
                  <c:v>7876.2320088642809</c:v>
                </c:pt>
                <c:pt idx="11">
                  <c:v>8197.1218532996572</c:v>
                </c:pt>
                <c:pt idx="12">
                  <c:v>8531.0852451045939</c:v>
                </c:pt>
                <c:pt idx="13">
                  <c:v>8878.6548207704327</c:v>
                </c:pt>
                <c:pt idx="14">
                  <c:v>9240.3849172208429</c:v>
                </c:pt>
                <c:pt idx="15">
                  <c:v>9616.8524559211364</c:v>
                </c:pt>
                <c:pt idx="16">
                  <c:v>10008.65786300732</c:v>
                </c:pt>
                <c:pt idx="17">
                  <c:v>10416.426026902554</c:v>
                </c:pt>
                <c:pt idx="18">
                  <c:v>10840.807294948463</c:v>
                </c:pt>
                <c:pt idx="19">
                  <c:v>11282.478510640736</c:v>
                </c:pt>
                <c:pt idx="20">
                  <c:v>11742.144093123585</c:v>
                </c:pt>
                <c:pt idx="21">
                  <c:v>12220.537160663924</c:v>
                </c:pt>
                <c:pt idx="22">
                  <c:v>12718.420699897979</c:v>
                </c:pt>
                <c:pt idx="23">
                  <c:v>13236.588782714854</c:v>
                </c:pt>
                <c:pt idx="24">
                  <c:v>13775.867832717398</c:v>
                </c:pt>
                <c:pt idx="25">
                  <c:v>14337.117943281453</c:v>
                </c:pt>
                <c:pt idx="26">
                  <c:v>14921.234249313769</c:v>
                </c:pt>
                <c:pt idx="27">
                  <c:v>15529.148354898382</c:v>
                </c:pt>
                <c:pt idx="28">
                  <c:v>16161.829819107254</c:v>
                </c:pt>
                <c:pt idx="29">
                  <c:v>16820.287702344707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BB4B-BA72-A1E55C42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'Mortgage Calculator_IP'!$Q$13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Calculator_IP'!$Q$14:$Q$43</c:f>
              <c:numCache>
                <c:formatCode>"$"#,##0.00_);[Red]\("$"#,##0.00\)</c:formatCode>
                <c:ptCount val="30"/>
                <c:pt idx="0">
                  <c:v>5283.1092997561736</c:v>
                </c:pt>
                <c:pt idx="1">
                  <c:v>10781.460623798299</c:v>
                </c:pt>
                <c:pt idx="2">
                  <c:v>16503.823264296967</c:v>
                </c:pt>
                <c:pt idx="3">
                  <c:v>22459.323787916121</c:v>
                </c:pt>
                <c:pt idx="4">
                  <c:v>28657.460591727126</c:v>
                </c:pt>
                <c:pt idx="5">
                  <c:v>35108.119052153328</c:v>
                </c:pt>
                <c:pt idx="6">
                  <c:v>41821.587291105883</c:v>
                </c:pt>
                <c:pt idx="7">
                  <c:v>48808.572584456364</c:v>
                </c:pt>
                <c:pt idx="8">
                  <c:v>56080.218439015822</c:v>
                </c:pt>
                <c:pt idx="9">
                  <c:v>63648.122365256328</c:v>
                </c:pt>
                <c:pt idx="10">
                  <c:v>71524.354374120609</c:v>
                </c:pt>
                <c:pt idx="11">
                  <c:v>79721.476227420266</c:v>
                </c:pt>
                <c:pt idx="12">
                  <c:v>88252.56147252486</c:v>
                </c:pt>
                <c:pt idx="13">
                  <c:v>97131.216293295292</c:v>
                </c:pt>
                <c:pt idx="14">
                  <c:v>106371.60121051614</c:v>
                </c:pt>
                <c:pt idx="15">
                  <c:v>115988.45366643727</c:v>
                </c:pt>
                <c:pt idx="16">
                  <c:v>125997.11152944459</c:v>
                </c:pt>
                <c:pt idx="17">
                  <c:v>136413.53755634715</c:v>
                </c:pt>
                <c:pt idx="18">
                  <c:v>147254.34485129561</c:v>
                </c:pt>
                <c:pt idx="19">
                  <c:v>158536.82336193635</c:v>
                </c:pt>
                <c:pt idx="20">
                  <c:v>170278.96745505993</c:v>
                </c:pt>
                <c:pt idx="21">
                  <c:v>182499.50461572385</c:v>
                </c:pt>
                <c:pt idx="22">
                  <c:v>195217.92531562183</c:v>
                </c:pt>
                <c:pt idx="23">
                  <c:v>208454.51409833669</c:v>
                </c:pt>
                <c:pt idx="24">
                  <c:v>222230.38193105409</c:v>
                </c:pt>
                <c:pt idx="25">
                  <c:v>236567.49987433554</c:v>
                </c:pt>
                <c:pt idx="26">
                  <c:v>251488.73412364931</c:v>
                </c:pt>
                <c:pt idx="27">
                  <c:v>267017.88247854769</c:v>
                </c:pt>
                <c:pt idx="28">
                  <c:v>283179.71229765494</c:v>
                </c:pt>
                <c:pt idx="29">
                  <c:v>299999.99999999965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C-BB4B-BA72-A1E55C42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'Mortgage Calculator_IP'!$K$1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Calculator_IP'!$K$2:$K$362</c:f>
              <c:numCache>
                <c:formatCode>"$"#,##0.00_);[Red]\("$"#,##0.00\)</c:formatCode>
                <c:ptCount val="361"/>
                <c:pt idx="0" formatCode="&quot;$&quot;#,##0_);[Red]\(&quot;$&quot;#,##0\)">
                  <c:v>300000</c:v>
                </c:pt>
                <c:pt idx="1">
                  <c:v>299567.75411360362</c:v>
                </c:pt>
                <c:pt idx="2">
                  <c:v>299134.06740758591</c:v>
                </c:pt>
                <c:pt idx="3">
                  <c:v>298698.9350792148</c:v>
                </c:pt>
                <c:pt idx="4">
                  <c:v>298262.35230974911</c:v>
                </c:pt>
                <c:pt idx="5">
                  <c:v>297824.3142643852</c:v>
                </c:pt>
                <c:pt idx="6">
                  <c:v>297384.81609220343</c:v>
                </c:pt>
                <c:pt idx="7">
                  <c:v>296943.8529261144</c:v>
                </c:pt>
                <c:pt idx="8">
                  <c:v>296501.41988280509</c:v>
                </c:pt>
                <c:pt idx="9">
                  <c:v>296057.51206268475</c:v>
                </c:pt>
                <c:pt idx="10">
                  <c:v>295612.12454983068</c:v>
                </c:pt>
                <c:pt idx="11">
                  <c:v>295165.25241193373</c:v>
                </c:pt>
                <c:pt idx="12">
                  <c:v>294716.89070024382</c:v>
                </c:pt>
                <c:pt idx="13">
                  <c:v>294267.03444951493</c:v>
                </c:pt>
                <c:pt idx="14">
                  <c:v>293815.67867795029</c:v>
                </c:pt>
                <c:pt idx="15">
                  <c:v>293362.8183871471</c:v>
                </c:pt>
                <c:pt idx="16">
                  <c:v>292908.44856204122</c:v>
                </c:pt>
                <c:pt idx="17">
                  <c:v>292452.56417085166</c:v>
                </c:pt>
                <c:pt idx="18">
                  <c:v>291995.1601650248</c:v>
                </c:pt>
                <c:pt idx="19">
                  <c:v>291536.23147917853</c:v>
                </c:pt>
                <c:pt idx="20">
                  <c:v>291075.77303104609</c:v>
                </c:pt>
                <c:pt idx="21">
                  <c:v>290613.77972141985</c:v>
                </c:pt>
                <c:pt idx="22">
                  <c:v>290150.24643409485</c:v>
                </c:pt>
                <c:pt idx="23">
                  <c:v>289685.16803581209</c:v>
                </c:pt>
                <c:pt idx="24">
                  <c:v>289218.53937620175</c:v>
                </c:pt>
                <c:pt idx="25">
                  <c:v>288750.35528772604</c:v>
                </c:pt>
                <c:pt idx="26">
                  <c:v>288280.61058562208</c:v>
                </c:pt>
                <c:pt idx="27">
                  <c:v>287809.30006784445</c:v>
                </c:pt>
                <c:pt idx="28">
                  <c:v>287336.41851500754</c:v>
                </c:pt>
                <c:pt idx="29">
                  <c:v>286861.96069032786</c:v>
                </c:pt>
                <c:pt idx="30">
                  <c:v>286385.92133956589</c:v>
                </c:pt>
                <c:pt idx="31">
                  <c:v>285908.29519096809</c:v>
                </c:pt>
                <c:pt idx="32">
                  <c:v>285429.07695520826</c:v>
                </c:pt>
                <c:pt idx="33">
                  <c:v>284948.26132532925</c:v>
                </c:pt>
                <c:pt idx="34">
                  <c:v>284465.84297668398</c:v>
                </c:pt>
                <c:pt idx="35">
                  <c:v>283981.81656687654</c:v>
                </c:pt>
                <c:pt idx="36">
                  <c:v>283496.17673570308</c:v>
                </c:pt>
                <c:pt idx="37">
                  <c:v>283008.91810509237</c:v>
                </c:pt>
                <c:pt idx="38">
                  <c:v>282520.03527904628</c:v>
                </c:pt>
                <c:pt idx="39">
                  <c:v>282029.52284358005</c:v>
                </c:pt>
                <c:pt idx="40">
                  <c:v>281537.37536666228</c:v>
                </c:pt>
                <c:pt idx="41">
                  <c:v>281043.58739815478</c:v>
                </c:pt>
                <c:pt idx="42">
                  <c:v>280548.15346975223</c:v>
                </c:pt>
                <c:pt idx="43">
                  <c:v>280051.06809492171</c:v>
                </c:pt>
                <c:pt idx="44">
                  <c:v>279552.32576884172</c:v>
                </c:pt>
                <c:pt idx="45">
                  <c:v>279051.92096834147</c:v>
                </c:pt>
                <c:pt idx="46">
                  <c:v>278549.84815183957</c:v>
                </c:pt>
                <c:pt idx="47">
                  <c:v>278046.10175928264</c:v>
                </c:pt>
                <c:pt idx="48">
                  <c:v>277540.6762120839</c:v>
                </c:pt>
                <c:pt idx="49">
                  <c:v>277033.56591306115</c:v>
                </c:pt>
                <c:pt idx="50">
                  <c:v>276524.765246375</c:v>
                </c:pt>
                <c:pt idx="51">
                  <c:v>276014.26857746654</c:v>
                </c:pt>
                <c:pt idx="52">
                  <c:v>275502.07025299506</c:v>
                </c:pt>
                <c:pt idx="53">
                  <c:v>274988.16460077534</c:v>
                </c:pt>
                <c:pt idx="54">
                  <c:v>274472.54592971486</c:v>
                </c:pt>
                <c:pt idx="55">
                  <c:v>273955.20852975087</c:v>
                </c:pt>
                <c:pt idx="56">
                  <c:v>273436.14667178702</c:v>
                </c:pt>
                <c:pt idx="57">
                  <c:v>272915.35460762994</c:v>
                </c:pt>
                <c:pt idx="58">
                  <c:v>272392.82656992564</c:v>
                </c:pt>
                <c:pt idx="59">
                  <c:v>271868.55677209568</c:v>
                </c:pt>
                <c:pt idx="60">
                  <c:v>271342.53940827295</c:v>
                </c:pt>
                <c:pt idx="61">
                  <c:v>270814.76865323749</c:v>
                </c:pt>
                <c:pt idx="62">
                  <c:v>270285.23866235191</c:v>
                </c:pt>
                <c:pt idx="63">
                  <c:v>269753.9435714967</c:v>
                </c:pt>
                <c:pt idx="64">
                  <c:v>269220.87749700533</c:v>
                </c:pt>
                <c:pt idx="65">
                  <c:v>268686.034535599</c:v>
                </c:pt>
                <c:pt idx="66">
                  <c:v>268149.4087643213</c:v>
                </c:pt>
                <c:pt idx="67">
                  <c:v>267610.99424047268</c:v>
                </c:pt>
                <c:pt idx="68">
                  <c:v>267070.78500154451</c:v>
                </c:pt>
                <c:pt idx="69">
                  <c:v>266528.77506515331</c:v>
                </c:pt>
                <c:pt idx="70">
                  <c:v>265984.95842897409</c:v>
                </c:pt>
                <c:pt idx="71">
                  <c:v>265439.32907067431</c:v>
                </c:pt>
                <c:pt idx="72">
                  <c:v>264891.88094784686</c:v>
                </c:pt>
                <c:pt idx="73">
                  <c:v>264342.6079979433</c:v>
                </c:pt>
                <c:pt idx="74">
                  <c:v>263791.50413820671</c:v>
                </c:pt>
                <c:pt idx="75">
                  <c:v>263238.56326560437</c:v>
                </c:pt>
                <c:pt idx="76">
                  <c:v>262683.77925676003</c:v>
                </c:pt>
                <c:pt idx="77">
                  <c:v>262127.14596788617</c:v>
                </c:pt>
                <c:pt idx="78">
                  <c:v>261568.65723471608</c:v>
                </c:pt>
                <c:pt idx="79">
                  <c:v>261008.30687243544</c:v>
                </c:pt>
                <c:pt idx="80">
                  <c:v>260446.08867561384</c:v>
                </c:pt>
                <c:pt idx="81">
                  <c:v>259881.99641813617</c:v>
                </c:pt>
                <c:pt idx="82">
                  <c:v>259316.02385313358</c:v>
                </c:pt>
                <c:pt idx="83">
                  <c:v>258748.16471291432</c:v>
                </c:pt>
                <c:pt idx="84">
                  <c:v>258178.41270889432</c:v>
                </c:pt>
                <c:pt idx="85">
                  <c:v>257606.76153152759</c:v>
                </c:pt>
                <c:pt idx="86">
                  <c:v>257033.2048502363</c:v>
                </c:pt>
                <c:pt idx="87">
                  <c:v>256457.73631334072</c:v>
                </c:pt>
                <c:pt idx="88">
                  <c:v>255880.34954798882</c:v>
                </c:pt>
                <c:pt idx="89">
                  <c:v>255301.03816008574</c:v>
                </c:pt>
                <c:pt idx="90">
                  <c:v>254719.79573422298</c:v>
                </c:pt>
                <c:pt idx="91">
                  <c:v>254136.61583360736</c:v>
                </c:pt>
                <c:pt idx="92">
                  <c:v>253551.49199998967</c:v>
                </c:pt>
                <c:pt idx="93">
                  <c:v>252964.41775359324</c:v>
                </c:pt>
                <c:pt idx="94">
                  <c:v>252375.38659304217</c:v>
                </c:pt>
                <c:pt idx="95">
                  <c:v>251784.39199528928</c:v>
                </c:pt>
                <c:pt idx="96">
                  <c:v>251191.42741554385</c:v>
                </c:pt>
                <c:pt idx="97">
                  <c:v>250596.48628719928</c:v>
                </c:pt>
                <c:pt idx="98">
                  <c:v>249999.56202176024</c:v>
                </c:pt>
                <c:pt idx="99">
                  <c:v>249400.64800876973</c:v>
                </c:pt>
                <c:pt idx="100">
                  <c:v>248799.73761573591</c:v>
                </c:pt>
                <c:pt idx="101">
                  <c:v>248196.82418805864</c:v>
                </c:pt>
                <c:pt idx="102">
                  <c:v>247591.9010489558</c:v>
                </c:pt>
                <c:pt idx="103">
                  <c:v>246984.96149938926</c:v>
                </c:pt>
                <c:pt idx="104">
                  <c:v>246375.99881799085</c:v>
                </c:pt>
                <c:pt idx="105">
                  <c:v>245765.00626098778</c:v>
                </c:pt>
                <c:pt idx="106">
                  <c:v>245151.97706212802</c:v>
                </c:pt>
                <c:pt idx="107">
                  <c:v>244536.9044326054</c:v>
                </c:pt>
                <c:pt idx="108">
                  <c:v>243919.78156098438</c:v>
                </c:pt>
                <c:pt idx="109">
                  <c:v>243300.60161312463</c:v>
                </c:pt>
                <c:pt idx="110">
                  <c:v>242679.35773210533</c:v>
                </c:pt>
                <c:pt idx="111">
                  <c:v>242056.04303814931</c:v>
                </c:pt>
                <c:pt idx="112">
                  <c:v>241430.65062854675</c:v>
                </c:pt>
                <c:pt idx="113">
                  <c:v>240803.17357757885</c:v>
                </c:pt>
                <c:pt idx="114">
                  <c:v>240173.60493644109</c:v>
                </c:pt>
                <c:pt idx="115">
                  <c:v>239541.93773316618</c:v>
                </c:pt>
                <c:pt idx="116">
                  <c:v>238908.16497254703</c:v>
                </c:pt>
                <c:pt idx="117">
                  <c:v>238272.27963605916</c:v>
                </c:pt>
                <c:pt idx="118">
                  <c:v>237634.27468178299</c:v>
                </c:pt>
                <c:pt idx="119">
                  <c:v>236994.1430443259</c:v>
                </c:pt>
                <c:pt idx="120">
                  <c:v>236351.87763474396</c:v>
                </c:pt>
                <c:pt idx="121">
                  <c:v>235707.47134046338</c:v>
                </c:pt>
                <c:pt idx="122">
                  <c:v>235060.91702520187</c:v>
                </c:pt>
                <c:pt idx="123">
                  <c:v>234412.2075288895</c:v>
                </c:pt>
                <c:pt idx="124">
                  <c:v>233761.33566758942</c:v>
                </c:pt>
                <c:pt idx="125">
                  <c:v>233108.29423341833</c:v>
                </c:pt>
                <c:pt idx="126">
                  <c:v>232453.07599446669</c:v>
                </c:pt>
                <c:pt idx="127">
                  <c:v>231795.67369471854</c:v>
                </c:pt>
                <c:pt idx="128">
                  <c:v>231136.08005397124</c:v>
                </c:pt>
                <c:pt idx="129">
                  <c:v>230474.28776775475</c:v>
                </c:pt>
                <c:pt idx="130">
                  <c:v>229810.28950725088</c:v>
                </c:pt>
                <c:pt idx="131">
                  <c:v>229144.077919212</c:v>
                </c:pt>
                <c:pt idx="132">
                  <c:v>228475.64562587967</c:v>
                </c:pt>
                <c:pt idx="133">
                  <c:v>227804.98522490289</c:v>
                </c:pt>
                <c:pt idx="134">
                  <c:v>227132.0892892562</c:v>
                </c:pt>
                <c:pt idx="135">
                  <c:v>226456.95036715735</c:v>
                </c:pt>
                <c:pt idx="136">
                  <c:v>225779.56098198483</c:v>
                </c:pt>
                <c:pt idx="137">
                  <c:v>225099.91363219506</c:v>
                </c:pt>
                <c:pt idx="138">
                  <c:v>224418.00079123935</c:v>
                </c:pt>
                <c:pt idx="139">
                  <c:v>223733.81490748044</c:v>
                </c:pt>
                <c:pt idx="140">
                  <c:v>223047.34840410898</c:v>
                </c:pt>
                <c:pt idx="141">
                  <c:v>222358.59367905965</c:v>
                </c:pt>
                <c:pt idx="142">
                  <c:v>221667.54310492679</c:v>
                </c:pt>
                <c:pt idx="143">
                  <c:v>220974.18902888018</c:v>
                </c:pt>
                <c:pt idx="144">
                  <c:v>220278.52377258008</c:v>
                </c:pt>
                <c:pt idx="145">
                  <c:v>219580.53963209232</c:v>
                </c:pt>
                <c:pt idx="146">
                  <c:v>218880.2288778029</c:v>
                </c:pt>
                <c:pt idx="147">
                  <c:v>218177.58375433253</c:v>
                </c:pt>
                <c:pt idx="148">
                  <c:v>217472.59648045059</c:v>
                </c:pt>
                <c:pt idx="149">
                  <c:v>216765.25924898905</c:v>
                </c:pt>
                <c:pt idx="150">
                  <c:v>216055.56422675596</c:v>
                </c:pt>
                <c:pt idx="151">
                  <c:v>215343.50355444878</c:v>
                </c:pt>
                <c:pt idx="152">
                  <c:v>214629.06934656724</c:v>
                </c:pt>
                <c:pt idx="153">
                  <c:v>213912.25369132607</c:v>
                </c:pt>
                <c:pt idx="154">
                  <c:v>213193.04865056745</c:v>
                </c:pt>
                <c:pt idx="155">
                  <c:v>212471.44625967296</c:v>
                </c:pt>
                <c:pt idx="156">
                  <c:v>211747.43852747549</c:v>
                </c:pt>
                <c:pt idx="157">
                  <c:v>211021.01743617069</c:v>
                </c:pt>
                <c:pt idx="158">
                  <c:v>210292.17494122821</c:v>
                </c:pt>
                <c:pt idx="159">
                  <c:v>209560.9029713026</c:v>
                </c:pt>
                <c:pt idx="160">
                  <c:v>208827.19342814389</c:v>
                </c:pt>
                <c:pt idx="161">
                  <c:v>208091.038186508</c:v>
                </c:pt>
                <c:pt idx="162">
                  <c:v>207352.42909406664</c:v>
                </c:pt>
                <c:pt idx="163">
                  <c:v>206611.35797131716</c:v>
                </c:pt>
                <c:pt idx="164">
                  <c:v>205867.81661149184</c:v>
                </c:pt>
                <c:pt idx="165">
                  <c:v>205121.79678046709</c:v>
                </c:pt>
                <c:pt idx="166">
                  <c:v>204373.29021667226</c:v>
                </c:pt>
                <c:pt idx="167">
                  <c:v>203622.28863099811</c:v>
                </c:pt>
                <c:pt idx="168">
                  <c:v>202868.78370670506</c:v>
                </c:pt>
                <c:pt idx="169">
                  <c:v>202112.76709933102</c:v>
                </c:pt>
                <c:pt idx="170">
                  <c:v>201354.23043659909</c:v>
                </c:pt>
                <c:pt idx="171">
                  <c:v>200593.1653183247</c:v>
                </c:pt>
                <c:pt idx="172">
                  <c:v>199829.56331632275</c:v>
                </c:pt>
                <c:pt idx="173">
                  <c:v>199063.41597431412</c:v>
                </c:pt>
                <c:pt idx="174">
                  <c:v>198294.71480783212</c:v>
                </c:pt>
                <c:pt idx="175">
                  <c:v>197523.45130412851</c:v>
                </c:pt>
                <c:pt idx="176">
                  <c:v>196749.61692207924</c:v>
                </c:pt>
                <c:pt idx="177">
                  <c:v>195973.2030920898</c:v>
                </c:pt>
                <c:pt idx="178">
                  <c:v>195194.20121600039</c:v>
                </c:pt>
                <c:pt idx="179">
                  <c:v>194412.60266699069</c:v>
                </c:pt>
                <c:pt idx="180">
                  <c:v>193628.39878948429</c:v>
                </c:pt>
                <c:pt idx="181">
                  <c:v>192841.58089905285</c:v>
                </c:pt>
                <c:pt idx="182">
                  <c:v>192052.14028231998</c:v>
                </c:pt>
                <c:pt idx="183">
                  <c:v>191260.06819686465</c:v>
                </c:pt>
                <c:pt idx="184">
                  <c:v>190465.35587112448</c:v>
                </c:pt>
                <c:pt idx="185">
                  <c:v>189667.99450429852</c:v>
                </c:pt>
                <c:pt idx="186">
                  <c:v>188867.97526624979</c:v>
                </c:pt>
                <c:pt idx="187">
                  <c:v>188065.28929740758</c:v>
                </c:pt>
                <c:pt idx="188">
                  <c:v>187259.92770866922</c:v>
                </c:pt>
                <c:pt idx="189">
                  <c:v>186451.88158130174</c:v>
                </c:pt>
                <c:pt idx="190">
                  <c:v>185641.14196684305</c:v>
                </c:pt>
                <c:pt idx="191">
                  <c:v>184827.69988700282</c:v>
                </c:pt>
                <c:pt idx="192">
                  <c:v>184011.54633356311</c:v>
                </c:pt>
                <c:pt idx="193">
                  <c:v>183192.67226827861</c:v>
                </c:pt>
                <c:pt idx="194">
                  <c:v>182371.06862277648</c:v>
                </c:pt>
                <c:pt idx="195">
                  <c:v>181546.72629845602</c:v>
                </c:pt>
                <c:pt idx="196">
                  <c:v>180719.63616638782</c:v>
                </c:pt>
                <c:pt idx="197">
                  <c:v>179889.78906721273</c:v>
                </c:pt>
                <c:pt idx="198">
                  <c:v>179057.17581104039</c:v>
                </c:pt>
                <c:pt idx="199">
                  <c:v>178221.78717734749</c:v>
                </c:pt>
                <c:pt idx="200">
                  <c:v>177383.6139148756</c:v>
                </c:pt>
                <c:pt idx="201">
                  <c:v>176542.64674152882</c:v>
                </c:pt>
                <c:pt idx="202">
                  <c:v>175698.87634427086</c:v>
                </c:pt>
                <c:pt idx="203">
                  <c:v>174852.29337902204</c:v>
                </c:pt>
                <c:pt idx="204">
                  <c:v>174002.88847055574</c:v>
                </c:pt>
                <c:pt idx="205">
                  <c:v>173150.65221239455</c:v>
                </c:pt>
                <c:pt idx="206">
                  <c:v>172295.57516670614</c:v>
                </c:pt>
                <c:pt idx="207">
                  <c:v>171437.64786419878</c:v>
                </c:pt>
                <c:pt idx="208">
                  <c:v>170576.86080401638</c:v>
                </c:pt>
                <c:pt idx="209">
                  <c:v>169713.2044536334</c:v>
                </c:pt>
                <c:pt idx="210">
                  <c:v>168846.66924874912</c:v>
                </c:pt>
                <c:pt idx="211">
                  <c:v>167977.2455931819</c:v>
                </c:pt>
                <c:pt idx="212">
                  <c:v>167104.92385876281</c:v>
                </c:pt>
                <c:pt idx="213">
                  <c:v>166229.69438522897</c:v>
                </c:pt>
                <c:pt idx="214">
                  <c:v>165351.54748011669</c:v>
                </c:pt>
                <c:pt idx="215">
                  <c:v>164470.47341865403</c:v>
                </c:pt>
                <c:pt idx="216">
                  <c:v>163586.46244365317</c:v>
                </c:pt>
                <c:pt idx="217">
                  <c:v>162699.50476540229</c:v>
                </c:pt>
                <c:pt idx="218">
                  <c:v>161809.59056155724</c:v>
                </c:pt>
                <c:pt idx="219">
                  <c:v>160916.70997703273</c:v>
                </c:pt>
                <c:pt idx="220">
                  <c:v>160020.85312389312</c:v>
                </c:pt>
                <c:pt idx="221">
                  <c:v>159122.01008124306</c:v>
                </c:pt>
                <c:pt idx="222">
                  <c:v>158220.17089511748</c:v>
                </c:pt>
                <c:pt idx="223">
                  <c:v>157315.3255783715</c:v>
                </c:pt>
                <c:pt idx="224">
                  <c:v>156407.46411056968</c:v>
                </c:pt>
                <c:pt idx="225">
                  <c:v>155496.57643787519</c:v>
                </c:pt>
                <c:pt idx="226">
                  <c:v>154582.65247293841</c:v>
                </c:pt>
                <c:pt idx="227">
                  <c:v>153665.68209478515</c:v>
                </c:pt>
                <c:pt idx="228">
                  <c:v>152745.65514870471</c:v>
                </c:pt>
                <c:pt idx="229">
                  <c:v>151822.56144613735</c:v>
                </c:pt>
                <c:pt idx="230">
                  <c:v>150896.39076456142</c:v>
                </c:pt>
                <c:pt idx="231">
                  <c:v>149967.13284738024</c:v>
                </c:pt>
                <c:pt idx="232">
                  <c:v>149034.77740380846</c:v>
                </c:pt>
                <c:pt idx="233">
                  <c:v>148099.31410875812</c:v>
                </c:pt>
                <c:pt idx="234">
                  <c:v>147160.73260272425</c:v>
                </c:pt>
                <c:pt idx="235">
                  <c:v>146219.0224916703</c:v>
                </c:pt>
                <c:pt idx="236">
                  <c:v>145274.17334691284</c:v>
                </c:pt>
                <c:pt idx="237">
                  <c:v>144326.17470500618</c:v>
                </c:pt>
                <c:pt idx="238">
                  <c:v>143375.01606762648</c:v>
                </c:pt>
                <c:pt idx="239">
                  <c:v>142420.68690145551</c:v>
                </c:pt>
                <c:pt idx="240">
                  <c:v>141463.17663806397</c:v>
                </c:pt>
                <c:pt idx="241">
                  <c:v>140502.47467379447</c:v>
                </c:pt>
                <c:pt idx="242">
                  <c:v>139538.57036964406</c:v>
                </c:pt>
                <c:pt idx="243">
                  <c:v>138571.4530511465</c:v>
                </c:pt>
                <c:pt idx="244">
                  <c:v>137601.11200825393</c:v>
                </c:pt>
                <c:pt idx="245">
                  <c:v>136627.5364952184</c:v>
                </c:pt>
                <c:pt idx="246">
                  <c:v>135650.71573047276</c:v>
                </c:pt>
                <c:pt idx="247">
                  <c:v>134670.63889651129</c:v>
                </c:pt>
                <c:pt idx="248">
                  <c:v>133687.29513976994</c:v>
                </c:pt>
                <c:pt idx="249">
                  <c:v>132700.67357050613</c:v>
                </c:pt>
                <c:pt idx="250">
                  <c:v>131710.76326267811</c:v>
                </c:pt>
                <c:pt idx="251">
                  <c:v>130717.55325382399</c:v>
                </c:pt>
                <c:pt idx="252">
                  <c:v>129721.03254494036</c:v>
                </c:pt>
                <c:pt idx="253">
                  <c:v>128721.19010036044</c:v>
                </c:pt>
                <c:pt idx="254">
                  <c:v>127718.01484763193</c:v>
                </c:pt>
                <c:pt idx="255">
                  <c:v>126711.49567739433</c:v>
                </c:pt>
                <c:pt idx="256">
                  <c:v>125701.62144325594</c:v>
                </c:pt>
                <c:pt idx="257">
                  <c:v>124688.38096167041</c:v>
                </c:pt>
                <c:pt idx="258">
                  <c:v>123671.76301181293</c:v>
                </c:pt>
                <c:pt idx="259">
                  <c:v>122651.75633545592</c:v>
                </c:pt>
                <c:pt idx="260">
                  <c:v>121628.3496368444</c:v>
                </c:pt>
                <c:pt idx="261">
                  <c:v>120601.53158257084</c:v>
                </c:pt>
                <c:pt idx="262">
                  <c:v>119571.29080144969</c:v>
                </c:pt>
                <c:pt idx="263">
                  <c:v>118537.61588439147</c:v>
                </c:pt>
                <c:pt idx="264">
                  <c:v>117500.49538427641</c:v>
                </c:pt>
                <c:pt idx="265">
                  <c:v>116459.91781582762</c:v>
                </c:pt>
                <c:pt idx="266">
                  <c:v>115415.87165548399</c:v>
                </c:pt>
                <c:pt idx="267">
                  <c:v>114368.34534127256</c:v>
                </c:pt>
                <c:pt idx="268">
                  <c:v>113317.32727268043</c:v>
                </c:pt>
                <c:pt idx="269">
                  <c:v>112262.80581052632</c:v>
                </c:pt>
                <c:pt idx="270">
                  <c:v>111204.76927683169</c:v>
                </c:pt>
                <c:pt idx="271">
                  <c:v>110143.20595469142</c:v>
                </c:pt>
                <c:pt idx="272">
                  <c:v>109078.10408814401</c:v>
                </c:pt>
                <c:pt idx="273">
                  <c:v>108009.45188204145</c:v>
                </c:pt>
                <c:pt idx="274">
                  <c:v>106937.23750191854</c:v>
                </c:pt>
                <c:pt idx="275">
                  <c:v>105861.44907386189</c:v>
                </c:pt>
                <c:pt idx="276">
                  <c:v>104782.07468437839</c:v>
                </c:pt>
                <c:pt idx="277">
                  <c:v>103699.10238026327</c:v>
                </c:pt>
                <c:pt idx="278">
                  <c:v>102612.52016846777</c:v>
                </c:pt>
                <c:pt idx="279">
                  <c:v>101522.31601596629</c:v>
                </c:pt>
                <c:pt idx="280">
                  <c:v>100428.47784962313</c:v>
                </c:pt>
                <c:pt idx="281">
                  <c:v>99330.993556058835</c:v>
                </c:pt>
                <c:pt idx="282">
                  <c:v>98229.850981515992</c:v>
                </c:pt>
                <c:pt idx="283">
                  <c:v>97125.03793172467</c:v>
                </c:pt>
                <c:pt idx="284">
                  <c:v>96016.542171767374</c:v>
                </c:pt>
                <c:pt idx="285">
                  <c:v>94904.351425943547</c:v>
                </c:pt>
                <c:pt idx="286">
                  <c:v>93788.453377633647</c:v>
                </c:pt>
                <c:pt idx="287">
                  <c:v>92668.835669162712</c:v>
                </c:pt>
                <c:pt idx="288">
                  <c:v>91545.485901663546</c:v>
                </c:pt>
                <c:pt idx="289">
                  <c:v>90418.391634939384</c:v>
                </c:pt>
                <c:pt idx="290">
                  <c:v>89287.540387326138</c:v>
                </c:pt>
                <c:pt idx="291">
                  <c:v>88152.919635554179</c:v>
                </c:pt>
                <c:pt idx="292">
                  <c:v>87014.51681460964</c:v>
                </c:pt>
                <c:pt idx="293">
                  <c:v>85872.319317595291</c:v>
                </c:pt>
                <c:pt idx="294">
                  <c:v>84726.314495590894</c:v>
                </c:pt>
                <c:pt idx="295">
                  <c:v>83576.489657513157</c:v>
                </c:pt>
                <c:pt idx="296">
                  <c:v>82422.832069975149</c:v>
                </c:pt>
                <c:pt idx="297">
                  <c:v>81265.32895714535</c:v>
                </c:pt>
                <c:pt idx="298">
                  <c:v>80103.967500606115</c:v>
                </c:pt>
                <c:pt idx="299">
                  <c:v>78938.734839211756</c:v>
                </c:pt>
                <c:pt idx="300">
                  <c:v>77769.618068946089</c:v>
                </c:pt>
                <c:pt idx="301">
                  <c:v>76596.604242779533</c:v>
                </c:pt>
                <c:pt idx="302">
                  <c:v>75419.680370525748</c:v>
                </c:pt>
                <c:pt idx="303">
                  <c:v>74238.833418697788</c:v>
                </c:pt>
                <c:pt idx="304">
                  <c:v>73054.050310363731</c:v>
                </c:pt>
                <c:pt idx="305">
                  <c:v>71865.317925001902</c:v>
                </c:pt>
                <c:pt idx="306">
                  <c:v>70672.623098355529</c:v>
                </c:pt>
                <c:pt idx="307">
                  <c:v>69475.952622287004</c:v>
                </c:pt>
                <c:pt idx="308">
                  <c:v>68275.293244631583</c:v>
                </c:pt>
                <c:pt idx="309">
                  <c:v>67070.631669050636</c:v>
                </c:pt>
                <c:pt idx="310">
                  <c:v>65861.954554884433</c:v>
                </c:pt>
                <c:pt idx="311">
                  <c:v>64649.248517004336</c:v>
                </c:pt>
                <c:pt idx="312">
                  <c:v>63432.500125664636</c:v>
                </c:pt>
                <c:pt idx="313">
                  <c:v>62211.695906353809</c:v>
                </c:pt>
                <c:pt idx="314">
                  <c:v>60986.822339645274</c:v>
                </c:pt>
                <c:pt idx="315">
                  <c:v>59757.865861047714</c:v>
                </c:pt>
                <c:pt idx="316">
                  <c:v>58524.812860854829</c:v>
                </c:pt>
                <c:pt idx="317">
                  <c:v>57287.649683994634</c:v>
                </c:pt>
                <c:pt idx="318">
                  <c:v>56046.36262987824</c:v>
                </c:pt>
                <c:pt idx="319">
                  <c:v>54800.937952248125</c:v>
                </c:pt>
                <c:pt idx="320">
                  <c:v>53551.361859025907</c:v>
                </c:pt>
                <c:pt idx="321">
                  <c:v>52297.620512159614</c:v>
                </c:pt>
                <c:pt idx="322">
                  <c:v>51039.700027470433</c:v>
                </c:pt>
                <c:pt idx="323">
                  <c:v>49777.586474498959</c:v>
                </c:pt>
                <c:pt idx="324">
                  <c:v>48511.26587635091</c:v>
                </c:pt>
                <c:pt idx="325">
                  <c:v>47240.724209542364</c:v>
                </c:pt>
                <c:pt idx="326">
                  <c:v>45965.94740384446</c:v>
                </c:pt>
                <c:pt idx="327">
                  <c:v>44686.921342127564</c:v>
                </c:pt>
                <c:pt idx="328">
                  <c:v>43403.631860204943</c:v>
                </c:pt>
                <c:pt idx="329">
                  <c:v>42116.064746675911</c:v>
                </c:pt>
                <c:pt idx="330">
                  <c:v>40824.205742768449</c:v>
                </c:pt>
                <c:pt idx="331">
                  <c:v>39528.040542181297</c:v>
                </c:pt>
                <c:pt idx="332">
                  <c:v>38227.554790925526</c:v>
                </c:pt>
                <c:pt idx="333">
                  <c:v>36922.734087165569</c:v>
                </c:pt>
                <c:pt idx="334">
                  <c:v>35613.563981059742</c:v>
                </c:pt>
                <c:pt idx="335">
                  <c:v>34300.029974600227</c:v>
                </c:pt>
                <c:pt idx="336">
                  <c:v>32982.117521452514</c:v>
                </c:pt>
                <c:pt idx="337">
                  <c:v>31659.812026794309</c:v>
                </c:pt>
                <c:pt idx="338">
                  <c:v>30333.098847153909</c:v>
                </c:pt>
                <c:pt idx="339">
                  <c:v>29001.963290248044</c:v>
                </c:pt>
                <c:pt idx="340">
                  <c:v>27666.39061481916</c:v>
                </c:pt>
                <c:pt idx="341">
                  <c:v>26326.366030472178</c:v>
                </c:pt>
                <c:pt idx="342">
                  <c:v>24981.874697510706</c:v>
                </c:pt>
                <c:pt idx="343">
                  <c:v>23632.901726772696</c:v>
                </c:pt>
                <c:pt idx="344">
                  <c:v>22279.432179465559</c:v>
                </c:pt>
                <c:pt idx="345">
                  <c:v>20921.451067000733</c:v>
                </c:pt>
                <c:pt idx="346">
                  <c:v>19558.943350827689</c:v>
                </c:pt>
                <c:pt idx="347">
                  <c:v>18191.893942267401</c:v>
                </c:pt>
                <c:pt idx="348">
                  <c:v>16820.287702345246</c:v>
                </c:pt>
                <c:pt idx="349">
                  <c:v>15444.109441623352</c:v>
                </c:pt>
                <c:pt idx="350">
                  <c:v>14063.343920032385</c:v>
                </c:pt>
                <c:pt idx="351">
                  <c:v>12677.97584670278</c:v>
                </c:pt>
                <c:pt idx="352">
                  <c:v>11287.989879795412</c:v>
                </c:pt>
                <c:pt idx="353">
                  <c:v>9893.3706263316853</c:v>
                </c:pt>
                <c:pt idx="354">
                  <c:v>8494.1026420230792</c:v>
                </c:pt>
                <c:pt idx="355">
                  <c:v>7090.1704311001104</c:v>
                </c:pt>
                <c:pt idx="356">
                  <c:v>5681.5584461407325</c:v>
                </c:pt>
                <c:pt idx="357">
                  <c:v>4268.2510878981566</c:v>
                </c:pt>
                <c:pt idx="358">
                  <c:v>2850.2327051281054</c:v>
                </c:pt>
                <c:pt idx="359">
                  <c:v>1427.4875944154871</c:v>
                </c:pt>
                <c:pt idx="360">
                  <c:v>4.9340087571181357E-10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0-B74C-8754-F0AADC04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'Mortgage Calculator_IP'!$G$1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Calculator_IP'!$G$2:$G$362</c:f>
              <c:numCache>
                <c:formatCode>"$"#,##0.00_);[Red]\("$"#,##0.00\)</c:formatCode>
                <c:ptCount val="361"/>
                <c:pt idx="0">
                  <c:v>1000.0000000000001</c:v>
                </c:pt>
                <c:pt idx="1">
                  <c:v>998.55918037867878</c:v>
                </c:pt>
                <c:pt idx="2">
                  <c:v>997.11355802528647</c:v>
                </c:pt>
                <c:pt idx="3">
                  <c:v>995.66311693071611</c:v>
                </c:pt>
                <c:pt idx="4">
                  <c:v>994.20784103249707</c:v>
                </c:pt>
                <c:pt idx="5">
                  <c:v>992.74771421461742</c:v>
                </c:pt>
                <c:pt idx="6">
                  <c:v>991.28272030734479</c:v>
                </c:pt>
                <c:pt idx="7">
                  <c:v>989.81284308704801</c:v>
                </c:pt>
                <c:pt idx="8">
                  <c:v>988.338066276017</c:v>
                </c:pt>
                <c:pt idx="9">
                  <c:v>986.85837354228261</c:v>
                </c:pt>
                <c:pt idx="10">
                  <c:v>985.37374849943569</c:v>
                </c:pt>
                <c:pt idx="11">
                  <c:v>983.88417470644583</c:v>
                </c:pt>
                <c:pt idx="12">
                  <c:v>982.38963566747941</c:v>
                </c:pt>
                <c:pt idx="13">
                  <c:v>980.89011483171646</c:v>
                </c:pt>
                <c:pt idx="14">
                  <c:v>979.38559559316764</c:v>
                </c:pt>
                <c:pt idx="15">
                  <c:v>977.87606129049038</c:v>
                </c:pt>
                <c:pt idx="16">
                  <c:v>976.36149520680408</c:v>
                </c:pt>
                <c:pt idx="17">
                  <c:v>974.84188056950563</c:v>
                </c:pt>
                <c:pt idx="18">
                  <c:v>973.3172005500827</c:v>
                </c:pt>
                <c:pt idx="19">
                  <c:v>971.78743826392849</c:v>
                </c:pt>
                <c:pt idx="20">
                  <c:v>970.25257677015372</c:v>
                </c:pt>
                <c:pt idx="21">
                  <c:v>968.71259907139961</c:v>
                </c:pt>
                <c:pt idx="22">
                  <c:v>967.1674881136496</c:v>
                </c:pt>
                <c:pt idx="23">
                  <c:v>965.61722678604042</c:v>
                </c:pt>
                <c:pt idx="24">
                  <c:v>964.06179792067257</c:v>
                </c:pt>
                <c:pt idx="25">
                  <c:v>962.50118429242013</c:v>
                </c:pt>
                <c:pt idx="26">
                  <c:v>960.93536861874031</c:v>
                </c:pt>
                <c:pt idx="27">
                  <c:v>959.36433355948157</c:v>
                </c:pt>
                <c:pt idx="28">
                  <c:v>957.7880617166918</c:v>
                </c:pt>
                <c:pt idx="29">
                  <c:v>956.20653563442625</c:v>
                </c:pt>
                <c:pt idx="30">
                  <c:v>954.61973779855305</c:v>
                </c:pt>
                <c:pt idx="31">
                  <c:v>953.02765063656034</c:v>
                </c:pt>
                <c:pt idx="32">
                  <c:v>951.43025651736093</c:v>
                </c:pt>
                <c:pt idx="33">
                  <c:v>949.82753775109757</c:v>
                </c:pt>
                <c:pt idx="34">
                  <c:v>948.21947658894669</c:v>
                </c:pt>
                <c:pt idx="35">
                  <c:v>946.6060552229219</c:v>
                </c:pt>
                <c:pt idx="36">
                  <c:v>944.98725578567701</c:v>
                </c:pt>
                <c:pt idx="37">
                  <c:v>943.36306035030793</c:v>
                </c:pt>
                <c:pt idx="38">
                  <c:v>941.73345093015428</c:v>
                </c:pt>
                <c:pt idx="39">
                  <c:v>940.09840947860027</c:v>
                </c:pt>
                <c:pt idx="40">
                  <c:v>938.45791788887436</c:v>
                </c:pt>
                <c:pt idx="41">
                  <c:v>936.81195799384932</c:v>
                </c:pt>
                <c:pt idx="42">
                  <c:v>935.16051156584081</c:v>
                </c:pt>
                <c:pt idx="43">
                  <c:v>933.5035603164057</c:v>
                </c:pt>
                <c:pt idx="44">
                  <c:v>931.84108589613913</c:v>
                </c:pt>
                <c:pt idx="45">
                  <c:v>930.17306989447161</c:v>
                </c:pt>
                <c:pt idx="46">
                  <c:v>928.49949383946534</c:v>
                </c:pt>
                <c:pt idx="47">
                  <c:v>926.82033919760886</c:v>
                </c:pt>
                <c:pt idx="48">
                  <c:v>925.13558737361302</c:v>
                </c:pt>
                <c:pt idx="49">
                  <c:v>923.4452197102039</c:v>
                </c:pt>
                <c:pt idx="50">
                  <c:v>921.74921748791667</c:v>
                </c:pt>
                <c:pt idx="51">
                  <c:v>920.04756192488856</c:v>
                </c:pt>
                <c:pt idx="52">
                  <c:v>918.34023417665026</c:v>
                </c:pt>
                <c:pt idx="53">
                  <c:v>916.62721533591787</c:v>
                </c:pt>
                <c:pt idx="54">
                  <c:v>914.90848643238292</c:v>
                </c:pt>
                <c:pt idx="55">
                  <c:v>913.18402843250294</c:v>
                </c:pt>
                <c:pt idx="56">
                  <c:v>911.45382223929016</c:v>
                </c:pt>
                <c:pt idx="57">
                  <c:v>909.71784869209989</c:v>
                </c:pt>
                <c:pt idx="58">
                  <c:v>907.97608856641887</c:v>
                </c:pt>
                <c:pt idx="59">
                  <c:v>906.2285225736523</c:v>
                </c:pt>
                <c:pt idx="60">
                  <c:v>904.47513136090993</c:v>
                </c:pt>
                <c:pt idx="61">
                  <c:v>902.71589551079171</c:v>
                </c:pt>
                <c:pt idx="62">
                  <c:v>900.95079554117308</c:v>
                </c:pt>
                <c:pt idx="63">
                  <c:v>899.17981190498904</c:v>
                </c:pt>
                <c:pt idx="64">
                  <c:v>897.40292499001782</c:v>
                </c:pt>
                <c:pt idx="65">
                  <c:v>895.62011511866342</c:v>
                </c:pt>
                <c:pt idx="66">
                  <c:v>893.83136254773774</c:v>
                </c:pt>
                <c:pt idx="67">
                  <c:v>892.03664746824234</c:v>
                </c:pt>
                <c:pt idx="68">
                  <c:v>890.23595000514842</c:v>
                </c:pt>
                <c:pt idx="69">
                  <c:v>888.42925021717781</c:v>
                </c:pt>
                <c:pt idx="70">
                  <c:v>886.6165280965804</c:v>
                </c:pt>
                <c:pt idx="71">
                  <c:v>884.79776356891443</c:v>
                </c:pt>
                <c:pt idx="72">
                  <c:v>882.9729364928229</c:v>
                </c:pt>
                <c:pt idx="73">
                  <c:v>881.14202665981099</c:v>
                </c:pt>
                <c:pt idx="74">
                  <c:v>879.30501379402244</c:v>
                </c:pt>
                <c:pt idx="75">
                  <c:v>877.46187755201458</c:v>
                </c:pt>
                <c:pt idx="76">
                  <c:v>875.61259752253352</c:v>
                </c:pt>
                <c:pt idx="77">
                  <c:v>873.7571532262873</c:v>
                </c:pt>
                <c:pt idx="78">
                  <c:v>871.89552411572038</c:v>
                </c:pt>
                <c:pt idx="79">
                  <c:v>870.02768957478486</c:v>
                </c:pt>
                <c:pt idx="80">
                  <c:v>868.1536289187128</c:v>
                </c:pt>
                <c:pt idx="81">
                  <c:v>866.27332139378734</c:v>
                </c:pt>
                <c:pt idx="82">
                  <c:v>864.38674617711195</c:v>
                </c:pt>
                <c:pt idx="83">
                  <c:v>862.49388237638118</c:v>
                </c:pt>
                <c:pt idx="84">
                  <c:v>860.59470902964779</c:v>
                </c:pt>
                <c:pt idx="85">
                  <c:v>858.68920510509201</c:v>
                </c:pt>
                <c:pt idx="86">
                  <c:v>856.77734950078775</c:v>
                </c:pt>
                <c:pt idx="87">
                  <c:v>854.85912104446913</c:v>
                </c:pt>
                <c:pt idx="88">
                  <c:v>852.93449849329613</c:v>
                </c:pt>
                <c:pt idx="89">
                  <c:v>851.0034605336192</c:v>
                </c:pt>
                <c:pt idx="90">
                  <c:v>849.06598578074329</c:v>
                </c:pt>
                <c:pt idx="91">
                  <c:v>847.12205277869123</c:v>
                </c:pt>
                <c:pt idx="92">
                  <c:v>845.17163999996558</c:v>
                </c:pt>
                <c:pt idx="93">
                  <c:v>843.21472584531091</c:v>
                </c:pt>
                <c:pt idx="94">
                  <c:v>841.25128864347391</c:v>
                </c:pt>
                <c:pt idx="95">
                  <c:v>839.28130665096432</c:v>
                </c:pt>
                <c:pt idx="96">
                  <c:v>837.30475805181288</c:v>
                </c:pt>
                <c:pt idx="97">
                  <c:v>835.32162095733099</c:v>
                </c:pt>
                <c:pt idx="98">
                  <c:v>833.33187340586755</c:v>
                </c:pt>
                <c:pt idx="99">
                  <c:v>831.33549336256578</c:v>
                </c:pt>
                <c:pt idx="100">
                  <c:v>829.3324587191197</c:v>
                </c:pt>
                <c:pt idx="101">
                  <c:v>827.32274729352889</c:v>
                </c:pt>
                <c:pt idx="102">
                  <c:v>825.30633682985274</c:v>
                </c:pt>
                <c:pt idx="103">
                  <c:v>823.28320499796428</c:v>
                </c:pt>
                <c:pt idx="104">
                  <c:v>821.25332939330292</c:v>
                </c:pt>
                <c:pt idx="105">
                  <c:v>819.21668753662595</c:v>
                </c:pt>
                <c:pt idx="106">
                  <c:v>817.17325687376012</c:v>
                </c:pt>
                <c:pt idx="107">
                  <c:v>815.12301477535141</c:v>
                </c:pt>
                <c:pt idx="108">
                  <c:v>813.06593853661468</c:v>
                </c:pt>
                <c:pt idx="109">
                  <c:v>811.00200537708213</c:v>
                </c:pt>
                <c:pt idx="110">
                  <c:v>808.9311924403512</c:v>
                </c:pt>
                <c:pt idx="111">
                  <c:v>806.85347679383108</c:v>
                </c:pt>
                <c:pt idx="112">
                  <c:v>804.76883542848918</c:v>
                </c:pt>
                <c:pt idx="113">
                  <c:v>802.67724525859626</c:v>
                </c:pt>
                <c:pt idx="114">
                  <c:v>800.57868312147036</c:v>
                </c:pt>
                <c:pt idx="115">
                  <c:v>798.47312577722062</c:v>
                </c:pt>
                <c:pt idx="116">
                  <c:v>796.36054990849016</c:v>
                </c:pt>
                <c:pt idx="117">
                  <c:v>794.24093212019727</c:v>
                </c:pt>
                <c:pt idx="118">
                  <c:v>792.11424893927665</c:v>
                </c:pt>
                <c:pt idx="119">
                  <c:v>789.98047681441972</c:v>
                </c:pt>
                <c:pt idx="120">
                  <c:v>787.83959211581328</c:v>
                </c:pt>
                <c:pt idx="121">
                  <c:v>785.69157113487802</c:v>
                </c:pt>
                <c:pt idx="122">
                  <c:v>783.53639008400626</c:v>
                </c:pt>
                <c:pt idx="123">
                  <c:v>781.3740250962984</c:v>
                </c:pt>
                <c:pt idx="124">
                  <c:v>779.20445222529816</c:v>
                </c:pt>
                <c:pt idx="125">
                  <c:v>777.02764744472779</c:v>
                </c:pt>
                <c:pt idx="126">
                  <c:v>774.84358664822241</c:v>
                </c:pt>
                <c:pt idx="127">
                  <c:v>772.65224564906191</c:v>
                </c:pt>
                <c:pt idx="128">
                  <c:v>770.45360017990413</c:v>
                </c:pt>
                <c:pt idx="129">
                  <c:v>768.24762589251588</c:v>
                </c:pt>
                <c:pt idx="130">
                  <c:v>766.03429835750296</c:v>
                </c:pt>
                <c:pt idx="131">
                  <c:v>763.81359306403999</c:v>
                </c:pt>
                <c:pt idx="132">
                  <c:v>761.58548541959897</c:v>
                </c:pt>
                <c:pt idx="133">
                  <c:v>759.3499507496764</c:v>
                </c:pt>
                <c:pt idx="134">
                  <c:v>757.10696429752068</c:v>
                </c:pt>
                <c:pt idx="135">
                  <c:v>754.85650122385789</c:v>
                </c:pt>
                <c:pt idx="136">
                  <c:v>752.59853660661611</c:v>
                </c:pt>
                <c:pt idx="137">
                  <c:v>750.33304544065027</c:v>
                </c:pt>
                <c:pt idx="138">
                  <c:v>748.06000263746455</c:v>
                </c:pt>
                <c:pt idx="139">
                  <c:v>745.77938302493487</c:v>
                </c:pt>
                <c:pt idx="140">
                  <c:v>743.49116134703002</c:v>
                </c:pt>
                <c:pt idx="141">
                  <c:v>741.19531226353217</c:v>
                </c:pt>
                <c:pt idx="142">
                  <c:v>738.89181034975604</c:v>
                </c:pt>
                <c:pt idx="143">
                  <c:v>736.58063009626733</c:v>
                </c:pt>
                <c:pt idx="144">
                  <c:v>734.26174590860035</c:v>
                </c:pt>
                <c:pt idx="145">
                  <c:v>731.93513210697449</c:v>
                </c:pt>
                <c:pt idx="146">
                  <c:v>729.60076292600968</c:v>
                </c:pt>
                <c:pt idx="147">
                  <c:v>727.25861251444178</c:v>
                </c:pt>
                <c:pt idx="148">
                  <c:v>724.90865493483534</c:v>
                </c:pt>
                <c:pt idx="149">
                  <c:v>722.55086416329686</c:v>
                </c:pt>
                <c:pt idx="150">
                  <c:v>720.18521408918662</c:v>
                </c:pt>
                <c:pt idx="151">
                  <c:v>717.81167851482928</c:v>
                </c:pt>
                <c:pt idx="152">
                  <c:v>715.43023115522419</c:v>
                </c:pt>
                <c:pt idx="153">
                  <c:v>713.04084563775359</c:v>
                </c:pt>
                <c:pt idx="154">
                  <c:v>710.64349550189149</c:v>
                </c:pt>
                <c:pt idx="155">
                  <c:v>708.23815419890991</c:v>
                </c:pt>
                <c:pt idx="156">
                  <c:v>705.82479509158497</c:v>
                </c:pt>
                <c:pt idx="157">
                  <c:v>703.40339145390237</c:v>
                </c:pt>
                <c:pt idx="158">
                  <c:v>700.97391647076074</c:v>
                </c:pt>
                <c:pt idx="159">
                  <c:v>698.5363432376754</c:v>
                </c:pt>
                <c:pt idx="160">
                  <c:v>696.09064476047968</c:v>
                </c:pt>
                <c:pt idx="161">
                  <c:v>693.63679395502675</c:v>
                </c:pt>
                <c:pt idx="162">
                  <c:v>691.17476364688889</c:v>
                </c:pt>
                <c:pt idx="163">
                  <c:v>688.70452657105727</c:v>
                </c:pt>
                <c:pt idx="164">
                  <c:v>686.22605537163952</c:v>
                </c:pt>
                <c:pt idx="165">
                  <c:v>683.73932260155698</c:v>
                </c:pt>
                <c:pt idx="166">
                  <c:v>681.24430072224095</c:v>
                </c:pt>
                <c:pt idx="167">
                  <c:v>678.74096210332709</c:v>
                </c:pt>
                <c:pt idx="168">
                  <c:v>676.22927902235028</c:v>
                </c:pt>
                <c:pt idx="169">
                  <c:v>673.70922366443676</c:v>
                </c:pt>
                <c:pt idx="170">
                  <c:v>671.18076812199695</c:v>
                </c:pt>
                <c:pt idx="171">
                  <c:v>668.64388439441575</c:v>
                </c:pt>
                <c:pt idx="172">
                  <c:v>666.09854438774255</c:v>
                </c:pt>
                <c:pt idx="173">
                  <c:v>663.54471991438049</c:v>
                </c:pt>
                <c:pt idx="174">
                  <c:v>660.98238269277374</c:v>
                </c:pt>
                <c:pt idx="175">
                  <c:v>658.41150434709505</c:v>
                </c:pt>
                <c:pt idx="176">
                  <c:v>655.83205640693086</c:v>
                </c:pt>
                <c:pt idx="177">
                  <c:v>653.24401030696606</c:v>
                </c:pt>
                <c:pt idx="178">
                  <c:v>650.64733738666803</c:v>
                </c:pt>
                <c:pt idx="179">
                  <c:v>648.042008889969</c:v>
                </c:pt>
                <c:pt idx="180">
                  <c:v>645.42799596494763</c:v>
                </c:pt>
                <c:pt idx="181">
                  <c:v>642.80526966350953</c:v>
                </c:pt>
                <c:pt idx="182">
                  <c:v>640.17380094106659</c:v>
                </c:pt>
                <c:pt idx="183">
                  <c:v>637.53356065621551</c:v>
                </c:pt>
                <c:pt idx="184">
                  <c:v>634.88451957041502</c:v>
                </c:pt>
                <c:pt idx="185">
                  <c:v>632.22664834766181</c:v>
                </c:pt>
                <c:pt idx="186">
                  <c:v>629.55991755416596</c:v>
                </c:pt>
                <c:pt idx="187">
                  <c:v>626.88429765802528</c:v>
                </c:pt>
                <c:pt idx="188">
                  <c:v>624.19975902889746</c:v>
                </c:pt>
                <c:pt idx="189">
                  <c:v>621.50627193767252</c:v>
                </c:pt>
                <c:pt idx="190">
                  <c:v>618.80380655614351</c:v>
                </c:pt>
                <c:pt idx="191">
                  <c:v>616.09233295667605</c:v>
                </c:pt>
                <c:pt idx="192">
                  <c:v>613.37182111187701</c:v>
                </c:pt>
                <c:pt idx="193">
                  <c:v>610.64224089426205</c:v>
                </c:pt>
                <c:pt idx="194">
                  <c:v>607.90356207592163</c:v>
                </c:pt>
                <c:pt idx="195">
                  <c:v>605.15575432818673</c:v>
                </c:pt>
                <c:pt idx="196">
                  <c:v>602.39878722129276</c:v>
                </c:pt>
                <c:pt idx="197">
                  <c:v>599.63263022404249</c:v>
                </c:pt>
                <c:pt idx="198">
                  <c:v>596.85725270346802</c:v>
                </c:pt>
                <c:pt idx="199">
                  <c:v>594.07262392449172</c:v>
                </c:pt>
                <c:pt idx="200">
                  <c:v>591.27871304958535</c:v>
                </c:pt>
                <c:pt idx="201">
                  <c:v>588.47548913842945</c:v>
                </c:pt>
                <c:pt idx="202">
                  <c:v>585.66292114756959</c:v>
                </c:pt>
                <c:pt idx="203">
                  <c:v>582.84097793007356</c:v>
                </c:pt>
                <c:pt idx="204">
                  <c:v>580.0096282351858</c:v>
                </c:pt>
                <c:pt idx="205">
                  <c:v>577.16884070798187</c:v>
                </c:pt>
                <c:pt idx="206">
                  <c:v>574.31858388902049</c:v>
                </c:pt>
                <c:pt idx="207">
                  <c:v>571.45882621399596</c:v>
                </c:pt>
                <c:pt idx="208">
                  <c:v>568.58953601338794</c:v>
                </c:pt>
                <c:pt idx="209">
                  <c:v>565.71068151211136</c:v>
                </c:pt>
                <c:pt idx="210">
                  <c:v>562.8222308291638</c:v>
                </c:pt>
                <c:pt idx="211">
                  <c:v>559.92415197727303</c:v>
                </c:pt>
                <c:pt idx="212">
                  <c:v>557.01641286254278</c:v>
                </c:pt>
                <c:pt idx="213">
                  <c:v>554.09898128409657</c:v>
                </c:pt>
                <c:pt idx="214">
                  <c:v>551.17182493372229</c:v>
                </c:pt>
                <c:pt idx="215">
                  <c:v>548.23491139551345</c:v>
                </c:pt>
                <c:pt idx="216">
                  <c:v>545.28820814551057</c:v>
                </c:pt>
                <c:pt idx="217">
                  <c:v>542.33168255134103</c:v>
                </c:pt>
                <c:pt idx="218">
                  <c:v>539.36530187185747</c:v>
                </c:pt>
                <c:pt idx="219">
                  <c:v>536.38903325677586</c:v>
                </c:pt>
                <c:pt idx="220">
                  <c:v>533.4028437463104</c:v>
                </c:pt>
                <c:pt idx="221">
                  <c:v>530.40670027081023</c:v>
                </c:pt>
                <c:pt idx="222">
                  <c:v>527.40056965039162</c:v>
                </c:pt>
                <c:pt idx="223">
                  <c:v>524.38441859457168</c:v>
                </c:pt>
                <c:pt idx="224">
                  <c:v>521.35821370189899</c:v>
                </c:pt>
                <c:pt idx="225">
                  <c:v>518.32192145958402</c:v>
                </c:pt>
                <c:pt idx="226">
                  <c:v>515.27550824312812</c:v>
                </c:pt>
                <c:pt idx="227">
                  <c:v>512.21894031595059</c:v>
                </c:pt>
                <c:pt idx="228">
                  <c:v>509.15218382901571</c:v>
                </c:pt>
                <c:pt idx="229">
                  <c:v>506.07520482045788</c:v>
                </c:pt>
                <c:pt idx="230">
                  <c:v>502.98796921520477</c:v>
                </c:pt>
                <c:pt idx="231">
                  <c:v>499.89044282460083</c:v>
                </c:pt>
                <c:pt idx="232">
                  <c:v>496.78259134602825</c:v>
                </c:pt>
                <c:pt idx="233">
                  <c:v>493.66438036252708</c:v>
                </c:pt>
                <c:pt idx="234">
                  <c:v>490.53577534241418</c:v>
                </c:pt>
                <c:pt idx="235">
                  <c:v>487.39674163890106</c:v>
                </c:pt>
                <c:pt idx="236">
                  <c:v>484.24724448970949</c:v>
                </c:pt>
                <c:pt idx="237">
                  <c:v>481.08724901668728</c:v>
                </c:pt>
                <c:pt idx="238">
                  <c:v>477.91672022542161</c:v>
                </c:pt>
                <c:pt idx="239">
                  <c:v>474.73562300485173</c:v>
                </c:pt>
                <c:pt idx="240">
                  <c:v>471.54392212687992</c:v>
                </c:pt>
                <c:pt idx="241">
                  <c:v>468.34158224598156</c:v>
                </c:pt>
                <c:pt idx="242">
                  <c:v>465.12856789881357</c:v>
                </c:pt>
                <c:pt idx="243">
                  <c:v>461.90484350382167</c:v>
                </c:pt>
                <c:pt idx="244">
                  <c:v>458.67037336084644</c:v>
                </c:pt>
                <c:pt idx="245">
                  <c:v>455.42512165072804</c:v>
                </c:pt>
                <c:pt idx="246">
                  <c:v>452.16905243490925</c:v>
                </c:pt>
                <c:pt idx="247">
                  <c:v>448.90212965503764</c:v>
                </c:pt>
                <c:pt idx="248">
                  <c:v>445.62431713256649</c:v>
                </c:pt>
                <c:pt idx="249">
                  <c:v>442.33557856835381</c:v>
                </c:pt>
                <c:pt idx="250">
                  <c:v>439.03587754226038</c:v>
                </c:pt>
                <c:pt idx="251">
                  <c:v>435.72517751274665</c:v>
                </c:pt>
                <c:pt idx="252">
                  <c:v>432.40344181646788</c:v>
                </c:pt>
                <c:pt idx="253">
                  <c:v>429.07063366786815</c:v>
                </c:pt>
                <c:pt idx="254">
                  <c:v>425.72671615877312</c:v>
                </c:pt>
                <c:pt idx="255">
                  <c:v>422.37165225798111</c:v>
                </c:pt>
                <c:pt idx="256">
                  <c:v>419.00540481085312</c:v>
                </c:pt>
                <c:pt idx="257">
                  <c:v>415.62793653890139</c:v>
                </c:pt>
                <c:pt idx="258">
                  <c:v>412.23921003937647</c:v>
                </c:pt>
                <c:pt idx="259">
                  <c:v>408.8391877848531</c:v>
                </c:pt>
                <c:pt idx="260">
                  <c:v>405.42783212281472</c:v>
                </c:pt>
                <c:pt idx="261">
                  <c:v>402.00510527523613</c:v>
                </c:pt>
                <c:pt idx="262">
                  <c:v>398.5709693381657</c:v>
                </c:pt>
                <c:pt idx="263">
                  <c:v>395.12538628130494</c:v>
                </c:pt>
                <c:pt idx="264">
                  <c:v>391.66831794758804</c:v>
                </c:pt>
                <c:pt idx="265">
                  <c:v>388.19972605275876</c:v>
                </c:pt>
                <c:pt idx="266">
                  <c:v>384.71957218494668</c:v>
                </c:pt>
                <c:pt idx="267">
                  <c:v>381.22781780424191</c:v>
                </c:pt>
                <c:pt idx="268">
                  <c:v>377.72442424226813</c:v>
                </c:pt>
                <c:pt idx="269">
                  <c:v>374.20935270175443</c:v>
                </c:pt>
                <c:pt idx="270">
                  <c:v>370.68256425610565</c:v>
                </c:pt>
                <c:pt idx="271">
                  <c:v>367.14401984897142</c:v>
                </c:pt>
                <c:pt idx="272">
                  <c:v>363.59368029381341</c:v>
                </c:pt>
                <c:pt idx="273">
                  <c:v>360.03150627347151</c:v>
                </c:pt>
                <c:pt idx="274">
                  <c:v>356.45745833972848</c:v>
                </c:pt>
                <c:pt idx="275">
                  <c:v>352.871496912873</c:v>
                </c:pt>
                <c:pt idx="276">
                  <c:v>349.27358228126133</c:v>
                </c:pt>
                <c:pt idx="277">
                  <c:v>345.66367460087758</c:v>
                </c:pt>
                <c:pt idx="278">
                  <c:v>342.04173389489262</c:v>
                </c:pt>
                <c:pt idx="279">
                  <c:v>338.407720053221</c:v>
                </c:pt>
                <c:pt idx="280">
                  <c:v>334.7615928320771</c:v>
                </c:pt>
                <c:pt idx="281">
                  <c:v>331.10331185352948</c:v>
                </c:pt>
                <c:pt idx="282">
                  <c:v>327.43283660505335</c:v>
                </c:pt>
                <c:pt idx="283">
                  <c:v>323.75012643908224</c:v>
                </c:pt>
                <c:pt idx="284">
                  <c:v>320.05514057255795</c:v>
                </c:pt>
                <c:pt idx="285">
                  <c:v>316.34783808647853</c:v>
                </c:pt>
                <c:pt idx="286">
                  <c:v>312.62817792544553</c:v>
                </c:pt>
                <c:pt idx="287">
                  <c:v>308.89611889720908</c:v>
                </c:pt>
                <c:pt idx="288">
                  <c:v>305.15161967221184</c:v>
                </c:pt>
                <c:pt idx="289">
                  <c:v>301.39463878313131</c:v>
                </c:pt>
                <c:pt idx="290">
                  <c:v>297.62513462442047</c:v>
                </c:pt>
                <c:pt idx="291">
                  <c:v>293.84306545184728</c:v>
                </c:pt>
                <c:pt idx="292">
                  <c:v>290.04838938203216</c:v>
                </c:pt>
                <c:pt idx="293">
                  <c:v>286.24106439198431</c:v>
                </c:pt>
                <c:pt idx="294">
                  <c:v>282.42104831863634</c:v>
                </c:pt>
                <c:pt idx="295">
                  <c:v>278.58829885837719</c:v>
                </c:pt>
                <c:pt idx="296">
                  <c:v>274.74277356658382</c:v>
                </c:pt>
                <c:pt idx="297">
                  <c:v>270.88442985715119</c:v>
                </c:pt>
                <c:pt idx="298">
                  <c:v>267.01322500202042</c:v>
                </c:pt>
                <c:pt idx="299">
                  <c:v>263.12911613070588</c:v>
                </c:pt>
                <c:pt idx="300">
                  <c:v>259.23206022982032</c:v>
                </c:pt>
                <c:pt idx="301">
                  <c:v>255.32201414259845</c:v>
                </c:pt>
                <c:pt idx="302">
                  <c:v>251.39893456841918</c:v>
                </c:pt>
                <c:pt idx="303">
                  <c:v>247.46277806232598</c:v>
                </c:pt>
                <c:pt idx="304">
                  <c:v>243.51350103454578</c:v>
                </c:pt>
                <c:pt idx="305">
                  <c:v>239.55105975000635</c:v>
                </c:pt>
                <c:pt idx="306">
                  <c:v>235.57541032785178</c:v>
                </c:pt>
                <c:pt idx="307">
                  <c:v>231.5865087409567</c:v>
                </c:pt>
                <c:pt idx="308">
                  <c:v>227.58431081543861</c:v>
                </c:pt>
                <c:pt idx="309">
                  <c:v>223.5687722301688</c:v>
                </c:pt>
                <c:pt idx="310">
                  <c:v>219.53984851628147</c:v>
                </c:pt>
                <c:pt idx="311">
                  <c:v>215.49749505668115</c:v>
                </c:pt>
                <c:pt idx="312">
                  <c:v>211.4416670855488</c:v>
                </c:pt>
                <c:pt idx="313">
                  <c:v>207.37231968784604</c:v>
                </c:pt>
                <c:pt idx="314">
                  <c:v>203.28940779881759</c:v>
                </c:pt>
                <c:pt idx="315">
                  <c:v>199.19288620349241</c:v>
                </c:pt>
                <c:pt idx="316">
                  <c:v>195.08270953618276</c:v>
                </c:pt>
                <c:pt idx="317">
                  <c:v>190.95883227998212</c:v>
                </c:pt>
                <c:pt idx="318">
                  <c:v>186.82120876626081</c:v>
                </c:pt>
                <c:pt idx="319">
                  <c:v>182.66979317416042</c:v>
                </c:pt>
                <c:pt idx="320">
                  <c:v>178.50453953008636</c:v>
                </c:pt>
                <c:pt idx="321">
                  <c:v>174.32540170719872</c:v>
                </c:pt>
                <c:pt idx="322">
                  <c:v>170.13233342490145</c:v>
                </c:pt>
                <c:pt idx="323">
                  <c:v>165.92528824832988</c:v>
                </c:pt>
                <c:pt idx="324">
                  <c:v>161.70421958783638</c:v>
                </c:pt>
                <c:pt idx="325">
                  <c:v>157.46908069847456</c:v>
                </c:pt>
                <c:pt idx="326">
                  <c:v>153.21982467948155</c:v>
                </c:pt>
                <c:pt idx="327">
                  <c:v>148.95640447375857</c:v>
                </c:pt>
                <c:pt idx="328">
                  <c:v>144.67877286734981</c:v>
                </c:pt>
                <c:pt idx="329">
                  <c:v>140.38688248891972</c:v>
                </c:pt>
                <c:pt idx="330">
                  <c:v>136.08068580922816</c:v>
                </c:pt>
                <c:pt idx="331">
                  <c:v>131.76013514060432</c:v>
                </c:pt>
                <c:pt idx="332">
                  <c:v>127.42518263641843</c:v>
                </c:pt>
                <c:pt idx="333">
                  <c:v>123.0757802905519</c:v>
                </c:pt>
                <c:pt idx="334">
                  <c:v>118.71187993686581</c:v>
                </c:pt>
                <c:pt idx="335">
                  <c:v>114.33343324866743</c:v>
                </c:pt>
                <c:pt idx="336">
                  <c:v>109.94039173817505</c:v>
                </c:pt>
                <c:pt idx="337">
                  <c:v>105.53270675598104</c:v>
                </c:pt>
                <c:pt idx="338">
                  <c:v>101.11032949051304</c:v>
                </c:pt>
                <c:pt idx="339">
                  <c:v>96.673210967493489</c:v>
                </c:pt>
                <c:pt idx="340">
                  <c:v>92.22130204939721</c:v>
                </c:pt>
                <c:pt idx="341">
                  <c:v>87.754553434907265</c:v>
                </c:pt>
                <c:pt idx="342">
                  <c:v>83.27291565836903</c:v>
                </c:pt>
                <c:pt idx="343">
                  <c:v>78.776339089242327</c:v>
                </c:pt>
                <c:pt idx="344">
                  <c:v>74.264773931551872</c:v>
                </c:pt>
                <c:pt idx="345">
                  <c:v>69.738170223335786</c:v>
                </c:pt>
                <c:pt idx="346">
                  <c:v>65.196477836092299</c:v>
                </c:pt>
                <c:pt idx="347">
                  <c:v>60.639646474224676</c:v>
                </c:pt>
                <c:pt idx="348">
                  <c:v>56.067625674484155</c:v>
                </c:pt>
                <c:pt idx="349">
                  <c:v>51.480364805411178</c:v>
                </c:pt>
                <c:pt idx="350">
                  <c:v>46.877813066774621</c:v>
                </c:pt>
                <c:pt idx="351">
                  <c:v>42.25991948900927</c:v>
                </c:pt>
                <c:pt idx="352">
                  <c:v>37.626632932651376</c:v>
                </c:pt>
                <c:pt idx="353">
                  <c:v>32.977902087772286</c:v>
                </c:pt>
                <c:pt idx="354">
                  <c:v>28.313675473410267</c:v>
                </c:pt>
                <c:pt idx="355">
                  <c:v>23.633901437000368</c:v>
                </c:pt>
                <c:pt idx="356">
                  <c:v>18.938528153802444</c:v>
                </c:pt>
                <c:pt idx="357">
                  <c:v>14.22750362632719</c:v>
                </c:pt>
                <c:pt idx="358">
                  <c:v>9.5007756837603523</c:v>
                </c:pt>
                <c:pt idx="359">
                  <c:v>4.7582919813849571</c:v>
                </c:pt>
                <c:pt idx="360">
                  <c:v>1.6446695857060452E-12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0-B74C-8754-F0AADC049D5D}"/>
            </c:ext>
          </c:extLst>
        </c:ser>
        <c:ser>
          <c:idx val="2"/>
          <c:order val="1"/>
          <c:tx>
            <c:strRef>
              <c:f>'Mortgage Calculator_IP'!$H$1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Calculator_IP'!$H$2:$H$362</c:f>
              <c:numCache>
                <c:formatCode>"$"#,##0.00_);[Red]\("$"#,##0.00\)</c:formatCode>
                <c:ptCount val="361"/>
                <c:pt idx="0">
                  <c:v>432.24588639637852</c:v>
                </c:pt>
                <c:pt idx="1">
                  <c:v>433.68670601769986</c:v>
                </c:pt>
                <c:pt idx="2">
                  <c:v>435.13232837109217</c:v>
                </c:pt>
                <c:pt idx="3">
                  <c:v>436.58276946566252</c:v>
                </c:pt>
                <c:pt idx="4">
                  <c:v>438.03804536388157</c:v>
                </c:pt>
                <c:pt idx="5">
                  <c:v>439.49817218176122</c:v>
                </c:pt>
                <c:pt idx="6">
                  <c:v>440.96316608903385</c:v>
                </c:pt>
                <c:pt idx="7">
                  <c:v>442.43304330933063</c:v>
                </c:pt>
                <c:pt idx="8">
                  <c:v>443.90782012036163</c:v>
                </c:pt>
                <c:pt idx="9">
                  <c:v>445.38751285409603</c:v>
                </c:pt>
                <c:pt idx="10">
                  <c:v>446.87213789694295</c:v>
                </c:pt>
                <c:pt idx="11">
                  <c:v>448.3617116899328</c:v>
                </c:pt>
                <c:pt idx="12">
                  <c:v>449.85625072889923</c:v>
                </c:pt>
                <c:pt idx="13">
                  <c:v>451.35577156466218</c:v>
                </c:pt>
                <c:pt idx="14">
                  <c:v>452.860290803211</c:v>
                </c:pt>
                <c:pt idx="15">
                  <c:v>454.36982510588825</c:v>
                </c:pt>
                <c:pt idx="16">
                  <c:v>455.88439118957456</c:v>
                </c:pt>
                <c:pt idx="17">
                  <c:v>457.404005826873</c:v>
                </c:pt>
                <c:pt idx="18">
                  <c:v>458.92868584629593</c:v>
                </c:pt>
                <c:pt idx="19">
                  <c:v>460.45844813245014</c:v>
                </c:pt>
                <c:pt idx="20">
                  <c:v>461.99330962622491</c:v>
                </c:pt>
                <c:pt idx="21">
                  <c:v>463.53328732497903</c:v>
                </c:pt>
                <c:pt idx="22">
                  <c:v>465.07839828272904</c:v>
                </c:pt>
                <c:pt idx="23">
                  <c:v>466.62865961033822</c:v>
                </c:pt>
                <c:pt idx="24">
                  <c:v>468.18408847570606</c:v>
                </c:pt>
                <c:pt idx="25">
                  <c:v>469.7447021039585</c:v>
                </c:pt>
                <c:pt idx="26">
                  <c:v>471.31051777763832</c:v>
                </c:pt>
                <c:pt idx="27">
                  <c:v>472.88155283689707</c:v>
                </c:pt>
                <c:pt idx="28">
                  <c:v>474.45782467968684</c:v>
                </c:pt>
                <c:pt idx="29">
                  <c:v>476.03935076195239</c:v>
                </c:pt>
                <c:pt idx="30">
                  <c:v>477.62614859782559</c:v>
                </c:pt>
                <c:pt idx="31">
                  <c:v>479.2182357598183</c:v>
                </c:pt>
                <c:pt idx="32">
                  <c:v>480.81562987901771</c:v>
                </c:pt>
                <c:pt idx="33">
                  <c:v>482.41834864528107</c:v>
                </c:pt>
                <c:pt idx="34">
                  <c:v>484.02640980743195</c:v>
                </c:pt>
                <c:pt idx="35">
                  <c:v>485.63983117345674</c:v>
                </c:pt>
                <c:pt idx="36">
                  <c:v>487.25863061070163</c:v>
                </c:pt>
                <c:pt idx="37">
                  <c:v>488.8828260460707</c:v>
                </c:pt>
                <c:pt idx="38">
                  <c:v>490.51243546622436</c:v>
                </c:pt>
                <c:pt idx="39">
                  <c:v>492.14747691777836</c:v>
                </c:pt>
                <c:pt idx="40">
                  <c:v>493.78796850750427</c:v>
                </c:pt>
                <c:pt idx="41">
                  <c:v>495.43392840252932</c:v>
                </c:pt>
                <c:pt idx="42">
                  <c:v>497.08537483053783</c:v>
                </c:pt>
                <c:pt idx="43">
                  <c:v>498.74232607997294</c:v>
                </c:pt>
                <c:pt idx="44">
                  <c:v>500.4048005002395</c:v>
                </c:pt>
                <c:pt idx="45">
                  <c:v>502.07281650190703</c:v>
                </c:pt>
                <c:pt idx="46">
                  <c:v>503.74639255691329</c:v>
                </c:pt>
                <c:pt idx="47">
                  <c:v>505.42554719876978</c:v>
                </c:pt>
                <c:pt idx="48">
                  <c:v>507.11029902276562</c:v>
                </c:pt>
                <c:pt idx="49">
                  <c:v>508.80066668617474</c:v>
                </c:pt>
                <c:pt idx="50">
                  <c:v>510.49666890846197</c:v>
                </c:pt>
                <c:pt idx="51">
                  <c:v>512.19832447149008</c:v>
                </c:pt>
                <c:pt idx="52">
                  <c:v>513.90565221972838</c:v>
                </c:pt>
                <c:pt idx="53">
                  <c:v>515.61867106046077</c:v>
                </c:pt>
                <c:pt idx="54">
                  <c:v>517.33739996399572</c:v>
                </c:pt>
                <c:pt idx="55">
                  <c:v>519.0618579638757</c:v>
                </c:pt>
                <c:pt idx="56">
                  <c:v>520.79206415708848</c:v>
                </c:pt>
                <c:pt idx="57">
                  <c:v>522.52803770427874</c:v>
                </c:pt>
                <c:pt idx="58">
                  <c:v>524.26979782995977</c:v>
                </c:pt>
                <c:pt idx="59">
                  <c:v>526.01736382272634</c:v>
                </c:pt>
                <c:pt idx="60">
                  <c:v>527.77075503546871</c:v>
                </c:pt>
                <c:pt idx="61">
                  <c:v>529.52999088558693</c:v>
                </c:pt>
                <c:pt idx="62">
                  <c:v>531.29509085520556</c:v>
                </c:pt>
                <c:pt idx="63">
                  <c:v>533.0660744913896</c:v>
                </c:pt>
                <c:pt idx="64">
                  <c:v>534.84296140636081</c:v>
                </c:pt>
                <c:pt idx="65">
                  <c:v>536.62577127771522</c:v>
                </c:pt>
                <c:pt idx="66">
                  <c:v>538.4145238486409</c:v>
                </c:pt>
                <c:pt idx="67">
                  <c:v>540.2092389281363</c:v>
                </c:pt>
                <c:pt idx="68">
                  <c:v>542.00993639123021</c:v>
                </c:pt>
                <c:pt idx="69">
                  <c:v>543.81663617920083</c:v>
                </c:pt>
                <c:pt idx="70">
                  <c:v>545.62935829979824</c:v>
                </c:pt>
                <c:pt idx="71">
                  <c:v>547.4481228274642</c:v>
                </c:pt>
                <c:pt idx="72">
                  <c:v>549.27294990355574</c:v>
                </c:pt>
                <c:pt idx="73">
                  <c:v>551.10385973656764</c:v>
                </c:pt>
                <c:pt idx="74">
                  <c:v>552.94087260235619</c:v>
                </c:pt>
                <c:pt idx="75">
                  <c:v>554.78400884436405</c:v>
                </c:pt>
                <c:pt idx="76">
                  <c:v>556.63328887384512</c:v>
                </c:pt>
                <c:pt idx="77">
                  <c:v>558.48873317009134</c:v>
                </c:pt>
                <c:pt idx="78">
                  <c:v>560.35036228065826</c:v>
                </c:pt>
                <c:pt idx="79">
                  <c:v>562.21819682159378</c:v>
                </c:pt>
                <c:pt idx="80">
                  <c:v>564.09225747766584</c:v>
                </c:pt>
                <c:pt idx="81">
                  <c:v>565.9725650025913</c:v>
                </c:pt>
                <c:pt idx="82">
                  <c:v>567.85914021926669</c:v>
                </c:pt>
                <c:pt idx="83">
                  <c:v>569.75200401999746</c:v>
                </c:pt>
                <c:pt idx="84">
                  <c:v>571.65117736673085</c:v>
                </c:pt>
                <c:pt idx="85">
                  <c:v>573.55668129128662</c:v>
                </c:pt>
                <c:pt idx="86">
                  <c:v>575.46853689559089</c:v>
                </c:pt>
                <c:pt idx="87">
                  <c:v>577.3867653519095</c:v>
                </c:pt>
                <c:pt idx="88">
                  <c:v>579.3113879030825</c:v>
                </c:pt>
                <c:pt idx="89">
                  <c:v>581.24242586275943</c:v>
                </c:pt>
                <c:pt idx="90">
                  <c:v>583.17990061563535</c:v>
                </c:pt>
                <c:pt idx="91">
                  <c:v>585.12383361768741</c:v>
                </c:pt>
                <c:pt idx="92">
                  <c:v>587.07424639641306</c:v>
                </c:pt>
                <c:pt idx="93">
                  <c:v>589.03116055106773</c:v>
                </c:pt>
                <c:pt idx="94">
                  <c:v>590.99459775290472</c:v>
                </c:pt>
                <c:pt idx="95">
                  <c:v>592.96457974541431</c:v>
                </c:pt>
                <c:pt idx="96">
                  <c:v>594.94112834456575</c:v>
                </c:pt>
                <c:pt idx="97">
                  <c:v>596.92426543904764</c:v>
                </c:pt>
                <c:pt idx="98">
                  <c:v>598.91401299051108</c:v>
                </c:pt>
                <c:pt idx="99">
                  <c:v>600.91039303381285</c:v>
                </c:pt>
                <c:pt idx="100">
                  <c:v>602.91342767725894</c:v>
                </c:pt>
                <c:pt idx="101">
                  <c:v>604.92313910284975</c:v>
                </c:pt>
                <c:pt idx="102">
                  <c:v>606.9395495665259</c:v>
                </c:pt>
                <c:pt idx="103">
                  <c:v>608.96268139841436</c:v>
                </c:pt>
                <c:pt idx="104">
                  <c:v>610.99255700307572</c:v>
                </c:pt>
                <c:pt idx="105">
                  <c:v>613.02919885975268</c:v>
                </c:pt>
                <c:pt idx="106">
                  <c:v>615.07262952261851</c:v>
                </c:pt>
                <c:pt idx="107">
                  <c:v>617.12287162102723</c:v>
                </c:pt>
                <c:pt idx="108">
                  <c:v>619.17994785976396</c:v>
                </c:pt>
                <c:pt idx="109">
                  <c:v>621.24388101929651</c:v>
                </c:pt>
                <c:pt idx="110">
                  <c:v>623.31469395602744</c:v>
                </c:pt>
                <c:pt idx="111">
                  <c:v>625.39240960254756</c:v>
                </c:pt>
                <c:pt idx="112">
                  <c:v>627.47705096788945</c:v>
                </c:pt>
                <c:pt idx="113">
                  <c:v>629.56864113778238</c:v>
                </c:pt>
                <c:pt idx="114">
                  <c:v>631.66720327490827</c:v>
                </c:pt>
                <c:pt idx="115">
                  <c:v>633.77276061915802</c:v>
                </c:pt>
                <c:pt idx="116">
                  <c:v>635.88533648788848</c:v>
                </c:pt>
                <c:pt idx="117">
                  <c:v>638.00495427618137</c:v>
                </c:pt>
                <c:pt idx="118">
                  <c:v>640.13163745710199</c:v>
                </c:pt>
                <c:pt idx="119">
                  <c:v>642.26540958195892</c:v>
                </c:pt>
                <c:pt idx="120">
                  <c:v>644.40629428056536</c:v>
                </c:pt>
                <c:pt idx="121">
                  <c:v>646.55431526150062</c:v>
                </c:pt>
                <c:pt idx="122">
                  <c:v>648.70949631237238</c:v>
                </c:pt>
                <c:pt idx="123">
                  <c:v>650.87186130008024</c:v>
                </c:pt>
                <c:pt idx="124">
                  <c:v>653.04143417108048</c:v>
                </c:pt>
                <c:pt idx="125">
                  <c:v>655.21823895165085</c:v>
                </c:pt>
                <c:pt idx="126">
                  <c:v>657.40229974815622</c:v>
                </c:pt>
                <c:pt idx="127">
                  <c:v>659.59364074731673</c:v>
                </c:pt>
                <c:pt idx="128">
                  <c:v>661.79228621647451</c:v>
                </c:pt>
                <c:pt idx="129">
                  <c:v>663.99826050386275</c:v>
                </c:pt>
                <c:pt idx="130">
                  <c:v>666.21158803887568</c:v>
                </c:pt>
                <c:pt idx="131">
                  <c:v>668.43229333233865</c:v>
                </c:pt>
                <c:pt idx="132">
                  <c:v>670.66040097677967</c:v>
                </c:pt>
                <c:pt idx="133">
                  <c:v>672.89593564670224</c:v>
                </c:pt>
                <c:pt idx="134">
                  <c:v>675.13892209885796</c:v>
                </c:pt>
                <c:pt idx="135">
                  <c:v>677.38938517252075</c:v>
                </c:pt>
                <c:pt idx="136">
                  <c:v>679.64734978976253</c:v>
                </c:pt>
                <c:pt idx="137">
                  <c:v>681.91284095572837</c:v>
                </c:pt>
                <c:pt idx="138">
                  <c:v>684.18588375891409</c:v>
                </c:pt>
                <c:pt idx="139">
                  <c:v>686.46650337144376</c:v>
                </c:pt>
                <c:pt idx="140">
                  <c:v>688.75472504934862</c:v>
                </c:pt>
                <c:pt idx="141">
                  <c:v>691.05057413284646</c:v>
                </c:pt>
                <c:pt idx="142">
                  <c:v>693.35407604662259</c:v>
                </c:pt>
                <c:pt idx="143">
                  <c:v>695.66525630011131</c:v>
                </c:pt>
                <c:pt idx="144">
                  <c:v>697.98414048777829</c:v>
                </c:pt>
                <c:pt idx="145">
                  <c:v>700.31075428940414</c:v>
                </c:pt>
                <c:pt idx="146">
                  <c:v>702.64512347036896</c:v>
                </c:pt>
                <c:pt idx="147">
                  <c:v>704.98727388193686</c:v>
                </c:pt>
                <c:pt idx="148">
                  <c:v>707.3372314615433</c:v>
                </c:pt>
                <c:pt idx="149">
                  <c:v>709.69502223308177</c:v>
                </c:pt>
                <c:pt idx="150">
                  <c:v>712.06067230719202</c:v>
                </c:pt>
                <c:pt idx="151">
                  <c:v>714.43420788154936</c:v>
                </c:pt>
                <c:pt idx="152">
                  <c:v>716.81565524115445</c:v>
                </c:pt>
                <c:pt idx="153">
                  <c:v>719.20504075862505</c:v>
                </c:pt>
                <c:pt idx="154">
                  <c:v>721.60239089448714</c:v>
                </c:pt>
                <c:pt idx="155">
                  <c:v>724.00773219746873</c:v>
                </c:pt>
                <c:pt idx="156">
                  <c:v>726.42109130479366</c:v>
                </c:pt>
                <c:pt idx="157">
                  <c:v>728.84249494247626</c:v>
                </c:pt>
                <c:pt idx="158">
                  <c:v>731.2719699256179</c:v>
                </c:pt>
                <c:pt idx="159">
                  <c:v>733.70954315870324</c:v>
                </c:pt>
                <c:pt idx="160">
                  <c:v>736.15524163589896</c:v>
                </c:pt>
                <c:pt idx="161">
                  <c:v>738.60909244135189</c:v>
                </c:pt>
                <c:pt idx="162">
                  <c:v>741.07112274948975</c:v>
                </c:pt>
                <c:pt idx="163">
                  <c:v>743.54135982532136</c:v>
                </c:pt>
                <c:pt idx="164">
                  <c:v>746.01983102473912</c:v>
                </c:pt>
                <c:pt idx="165">
                  <c:v>748.50656379482166</c:v>
                </c:pt>
                <c:pt idx="166">
                  <c:v>751.00158567413769</c:v>
                </c:pt>
                <c:pt idx="167">
                  <c:v>753.50492429305154</c:v>
                </c:pt>
                <c:pt idx="168">
                  <c:v>756.01660737402835</c:v>
                </c:pt>
                <c:pt idx="169">
                  <c:v>758.53666273194187</c:v>
                </c:pt>
                <c:pt idx="170">
                  <c:v>761.06511827438169</c:v>
                </c:pt>
                <c:pt idx="171">
                  <c:v>763.60200200196289</c:v>
                </c:pt>
                <c:pt idx="172">
                  <c:v>766.14734200863609</c:v>
                </c:pt>
                <c:pt idx="173">
                  <c:v>768.70116648199814</c:v>
                </c:pt>
                <c:pt idx="174">
                  <c:v>771.2635037036049</c:v>
                </c:pt>
                <c:pt idx="175">
                  <c:v>773.83438204928359</c:v>
                </c:pt>
                <c:pt idx="176">
                  <c:v>776.41382998944778</c:v>
                </c:pt>
                <c:pt idx="177">
                  <c:v>779.00187608941258</c:v>
                </c:pt>
                <c:pt idx="178">
                  <c:v>781.59854900971061</c:v>
                </c:pt>
                <c:pt idx="179">
                  <c:v>784.20387750640964</c:v>
                </c:pt>
                <c:pt idx="180">
                  <c:v>786.81789043143101</c:v>
                </c:pt>
                <c:pt idx="181">
                  <c:v>789.4406167328691</c:v>
                </c:pt>
                <c:pt idx="182">
                  <c:v>792.07208545531205</c:v>
                </c:pt>
                <c:pt idx="183">
                  <c:v>794.71232574016312</c:v>
                </c:pt>
                <c:pt idx="184">
                  <c:v>797.36136682596361</c:v>
                </c:pt>
                <c:pt idx="185">
                  <c:v>800.01923804871683</c:v>
                </c:pt>
                <c:pt idx="186">
                  <c:v>802.68596884221267</c:v>
                </c:pt>
                <c:pt idx="187">
                  <c:v>805.36158873835336</c:v>
                </c:pt>
                <c:pt idx="188">
                  <c:v>808.04612736748118</c:v>
                </c:pt>
                <c:pt idx="189">
                  <c:v>810.73961445870611</c:v>
                </c:pt>
                <c:pt idx="190">
                  <c:v>813.44207984023512</c:v>
                </c:pt>
                <c:pt idx="191">
                  <c:v>816.15355343970259</c:v>
                </c:pt>
                <c:pt idx="192">
                  <c:v>818.87406528450163</c:v>
                </c:pt>
                <c:pt idx="193">
                  <c:v>821.60364550211659</c:v>
                </c:pt>
                <c:pt idx="194">
                  <c:v>824.34232432045701</c:v>
                </c:pt>
                <c:pt idx="195">
                  <c:v>827.09013206819191</c:v>
                </c:pt>
                <c:pt idx="196">
                  <c:v>829.84709917508587</c:v>
                </c:pt>
                <c:pt idx="197">
                  <c:v>832.61325617233615</c:v>
                </c:pt>
                <c:pt idx="198">
                  <c:v>835.38863369291062</c:v>
                </c:pt>
                <c:pt idx="199">
                  <c:v>838.17326247188691</c:v>
                </c:pt>
                <c:pt idx="200">
                  <c:v>840.96717334679329</c:v>
                </c:pt>
                <c:pt idx="201">
                  <c:v>843.77039725794918</c:v>
                </c:pt>
                <c:pt idx="202">
                  <c:v>846.58296524880905</c:v>
                </c:pt>
                <c:pt idx="203">
                  <c:v>849.40490846630507</c:v>
                </c:pt>
                <c:pt idx="204">
                  <c:v>852.23625816119284</c:v>
                </c:pt>
                <c:pt idx="205">
                  <c:v>855.07704568839677</c:v>
                </c:pt>
                <c:pt idx="206">
                  <c:v>857.92730250735815</c:v>
                </c:pt>
                <c:pt idx="207">
                  <c:v>860.78706018238267</c:v>
                </c:pt>
                <c:pt idx="208">
                  <c:v>863.65635038299069</c:v>
                </c:pt>
                <c:pt idx="209">
                  <c:v>866.53520488426727</c:v>
                </c:pt>
                <c:pt idx="210">
                  <c:v>869.42365556721484</c:v>
                </c:pt>
                <c:pt idx="211">
                  <c:v>872.32173441910561</c:v>
                </c:pt>
                <c:pt idx="212">
                  <c:v>875.22947353383586</c:v>
                </c:pt>
                <c:pt idx="213">
                  <c:v>878.14690511228207</c:v>
                </c:pt>
                <c:pt idx="214">
                  <c:v>881.07406146265635</c:v>
                </c:pt>
                <c:pt idx="215">
                  <c:v>884.01097500086519</c:v>
                </c:pt>
                <c:pt idx="216">
                  <c:v>886.95767825086807</c:v>
                </c:pt>
                <c:pt idx="217">
                  <c:v>889.9142038450376</c:v>
                </c:pt>
                <c:pt idx="218">
                  <c:v>892.88058452452117</c:v>
                </c:pt>
                <c:pt idx="219">
                  <c:v>895.85685313960278</c:v>
                </c:pt>
                <c:pt idx="220">
                  <c:v>898.84304265006824</c:v>
                </c:pt>
                <c:pt idx="221">
                  <c:v>901.8391861255684</c:v>
                </c:pt>
                <c:pt idx="222">
                  <c:v>904.84531674598702</c:v>
                </c:pt>
                <c:pt idx="223">
                  <c:v>907.86146780180695</c:v>
                </c:pt>
                <c:pt idx="224">
                  <c:v>910.88767269447965</c:v>
                </c:pt>
                <c:pt idx="225">
                  <c:v>913.92396493679462</c:v>
                </c:pt>
                <c:pt idx="226">
                  <c:v>916.97037815325052</c:v>
                </c:pt>
                <c:pt idx="227">
                  <c:v>920.02694608042805</c:v>
                </c:pt>
                <c:pt idx="228">
                  <c:v>923.09370256736293</c:v>
                </c:pt>
                <c:pt idx="229">
                  <c:v>926.17068157592075</c:v>
                </c:pt>
                <c:pt idx="230">
                  <c:v>929.25791718117387</c:v>
                </c:pt>
                <c:pt idx="231">
                  <c:v>932.35544357177787</c:v>
                </c:pt>
                <c:pt idx="232">
                  <c:v>935.46329505035033</c:v>
                </c:pt>
                <c:pt idx="233">
                  <c:v>938.58150603385161</c:v>
                </c:pt>
                <c:pt idx="234">
                  <c:v>941.71011105396451</c:v>
                </c:pt>
                <c:pt idx="235">
                  <c:v>944.84914475747757</c:v>
                </c:pt>
                <c:pt idx="236">
                  <c:v>947.99864190666915</c:v>
                </c:pt>
                <c:pt idx="237">
                  <c:v>951.1586373796913</c:v>
                </c:pt>
                <c:pt idx="238">
                  <c:v>954.32916617095702</c:v>
                </c:pt>
                <c:pt idx="239">
                  <c:v>957.51026339152691</c:v>
                </c:pt>
                <c:pt idx="240">
                  <c:v>960.70196426949872</c:v>
                </c:pt>
                <c:pt idx="241">
                  <c:v>963.90430415039714</c:v>
                </c:pt>
                <c:pt idx="242">
                  <c:v>967.11731849756507</c:v>
                </c:pt>
                <c:pt idx="243">
                  <c:v>970.34104289255697</c:v>
                </c:pt>
                <c:pt idx="244">
                  <c:v>973.57551303553214</c:v>
                </c:pt>
                <c:pt idx="245">
                  <c:v>976.82076474565065</c:v>
                </c:pt>
                <c:pt idx="246">
                  <c:v>980.07683396146945</c:v>
                </c:pt>
                <c:pt idx="247">
                  <c:v>983.34375674134094</c:v>
                </c:pt>
                <c:pt idx="248">
                  <c:v>986.62156926381215</c:v>
                </c:pt>
                <c:pt idx="249">
                  <c:v>989.91030782802477</c:v>
                </c:pt>
                <c:pt idx="250">
                  <c:v>993.21000885411831</c:v>
                </c:pt>
                <c:pt idx="251">
                  <c:v>996.52070888363198</c:v>
                </c:pt>
                <c:pt idx="252">
                  <c:v>999.84244457991076</c:v>
                </c:pt>
                <c:pt idx="253">
                  <c:v>1003.1752527285105</c:v>
                </c:pt>
                <c:pt idx="254">
                  <c:v>1006.5191702376055</c:v>
                </c:pt>
                <c:pt idx="255">
                  <c:v>1009.8742341383975</c:v>
                </c:pt>
                <c:pt idx="256">
                  <c:v>1013.2404815855255</c:v>
                </c:pt>
                <c:pt idx="257">
                  <c:v>1016.6179498574772</c:v>
                </c:pt>
                <c:pt idx="258">
                  <c:v>1020.0066763570021</c:v>
                </c:pt>
                <c:pt idx="259">
                  <c:v>1023.4066986115256</c:v>
                </c:pt>
                <c:pt idx="260">
                  <c:v>1026.818054273564</c:v>
                </c:pt>
                <c:pt idx="261">
                  <c:v>1030.2407811211424</c:v>
                </c:pt>
                <c:pt idx="262">
                  <c:v>1033.6749170582129</c:v>
                </c:pt>
                <c:pt idx="263">
                  <c:v>1037.1205001150738</c:v>
                </c:pt>
                <c:pt idx="264">
                  <c:v>1040.5775684487905</c:v>
                </c:pt>
                <c:pt idx="265">
                  <c:v>1044.0461603436199</c:v>
                </c:pt>
                <c:pt idx="266">
                  <c:v>1047.526314211432</c:v>
                </c:pt>
                <c:pt idx="267">
                  <c:v>1051.0180685921368</c:v>
                </c:pt>
                <c:pt idx="268">
                  <c:v>1054.5214621541104</c:v>
                </c:pt>
                <c:pt idx="269">
                  <c:v>1058.0365336946243</c:v>
                </c:pt>
                <c:pt idx="270">
                  <c:v>1061.5633221402729</c:v>
                </c:pt>
                <c:pt idx="271">
                  <c:v>1065.1018665474071</c:v>
                </c:pt>
                <c:pt idx="272">
                  <c:v>1068.6522061025653</c:v>
                </c:pt>
                <c:pt idx="273">
                  <c:v>1072.2143801229072</c:v>
                </c:pt>
                <c:pt idx="274">
                  <c:v>1075.7884280566502</c:v>
                </c:pt>
                <c:pt idx="275">
                  <c:v>1079.3743894835056</c:v>
                </c:pt>
                <c:pt idx="276">
                  <c:v>1082.9723041151174</c:v>
                </c:pt>
                <c:pt idx="277">
                  <c:v>1086.5822117955011</c:v>
                </c:pt>
                <c:pt idx="278">
                  <c:v>1090.2041525014861</c:v>
                </c:pt>
                <c:pt idx="279">
                  <c:v>1093.8381663431576</c:v>
                </c:pt>
                <c:pt idx="280">
                  <c:v>1097.4842935643014</c:v>
                </c:pt>
                <c:pt idx="281">
                  <c:v>1101.1425745428492</c:v>
                </c:pt>
                <c:pt idx="282">
                  <c:v>1104.8130497913253</c:v>
                </c:pt>
                <c:pt idx="283">
                  <c:v>1108.4957599572963</c:v>
                </c:pt>
                <c:pt idx="284">
                  <c:v>1112.1907458238206</c:v>
                </c:pt>
                <c:pt idx="285">
                  <c:v>1115.8980483099001</c:v>
                </c:pt>
                <c:pt idx="286">
                  <c:v>1119.6177084709332</c:v>
                </c:pt>
                <c:pt idx="287">
                  <c:v>1123.3497674991695</c:v>
                </c:pt>
                <c:pt idx="288">
                  <c:v>1127.0942667241668</c:v>
                </c:pt>
                <c:pt idx="289">
                  <c:v>1130.8512476132473</c:v>
                </c:pt>
                <c:pt idx="290">
                  <c:v>1134.6207517719581</c:v>
                </c:pt>
                <c:pt idx="291">
                  <c:v>1138.4028209445314</c:v>
                </c:pt>
                <c:pt idx="292">
                  <c:v>1142.1974970143465</c:v>
                </c:pt>
                <c:pt idx="293">
                  <c:v>1146.0048220043943</c:v>
                </c:pt>
                <c:pt idx="294">
                  <c:v>1149.8248380777422</c:v>
                </c:pt>
                <c:pt idx="295">
                  <c:v>1153.6575875380015</c:v>
                </c:pt>
                <c:pt idx="296">
                  <c:v>1157.5031128297949</c:v>
                </c:pt>
                <c:pt idx="297">
                  <c:v>1161.3614565392274</c:v>
                </c:pt>
                <c:pt idx="298">
                  <c:v>1165.2326613943583</c:v>
                </c:pt>
                <c:pt idx="299">
                  <c:v>1169.1167702656728</c:v>
                </c:pt>
                <c:pt idx="300">
                  <c:v>1173.0138261665584</c:v>
                </c:pt>
                <c:pt idx="301">
                  <c:v>1176.9238722537802</c:v>
                </c:pt>
                <c:pt idx="302">
                  <c:v>1180.8469518279594</c:v>
                </c:pt>
                <c:pt idx="303">
                  <c:v>1184.7831083340527</c:v>
                </c:pt>
                <c:pt idx="304">
                  <c:v>1188.7323853618329</c:v>
                </c:pt>
                <c:pt idx="305">
                  <c:v>1192.6948266463723</c:v>
                </c:pt>
                <c:pt idx="306">
                  <c:v>1196.6704760685268</c:v>
                </c:pt>
                <c:pt idx="307">
                  <c:v>1200.6593776554218</c:v>
                </c:pt>
                <c:pt idx="308">
                  <c:v>1204.6615755809401</c:v>
                </c:pt>
                <c:pt idx="309">
                  <c:v>1208.6771141662098</c:v>
                </c:pt>
                <c:pt idx="310">
                  <c:v>1212.7060378800973</c:v>
                </c:pt>
                <c:pt idx="311">
                  <c:v>1216.7483913396975</c:v>
                </c:pt>
                <c:pt idx="312">
                  <c:v>1220.8042193108299</c:v>
                </c:pt>
                <c:pt idx="313">
                  <c:v>1224.8735667085325</c:v>
                </c:pt>
                <c:pt idx="314">
                  <c:v>1228.956478597561</c:v>
                </c:pt>
                <c:pt idx="315">
                  <c:v>1233.0530001928862</c:v>
                </c:pt>
                <c:pt idx="316">
                  <c:v>1237.1631768601958</c:v>
                </c:pt>
                <c:pt idx="317">
                  <c:v>1241.2870541163966</c:v>
                </c:pt>
                <c:pt idx="318">
                  <c:v>1245.4246776301179</c:v>
                </c:pt>
                <c:pt idx="319">
                  <c:v>1249.5760932222183</c:v>
                </c:pt>
                <c:pt idx="320">
                  <c:v>1253.7413468662924</c:v>
                </c:pt>
                <c:pt idx="321">
                  <c:v>1257.9204846891798</c:v>
                </c:pt>
                <c:pt idx="322">
                  <c:v>1262.1135529714772</c:v>
                </c:pt>
                <c:pt idx="323">
                  <c:v>1266.3205981480487</c:v>
                </c:pt>
                <c:pt idx="324">
                  <c:v>1270.5416668085422</c:v>
                </c:pt>
                <c:pt idx="325">
                  <c:v>1274.7768056979041</c:v>
                </c:pt>
                <c:pt idx="326">
                  <c:v>1279.0260617168972</c:v>
                </c:pt>
                <c:pt idx="327">
                  <c:v>1283.2894819226201</c:v>
                </c:pt>
                <c:pt idx="328">
                  <c:v>1287.5671135290288</c:v>
                </c:pt>
                <c:pt idx="329">
                  <c:v>1291.8590039074588</c:v>
                </c:pt>
                <c:pt idx="330">
                  <c:v>1296.1652005871506</c:v>
                </c:pt>
                <c:pt idx="331">
                  <c:v>1300.4857512557744</c:v>
                </c:pt>
                <c:pt idx="332">
                  <c:v>1304.8207037599602</c:v>
                </c:pt>
                <c:pt idx="333">
                  <c:v>1309.1701061058268</c:v>
                </c:pt>
                <c:pt idx="334">
                  <c:v>1313.5340064595127</c:v>
                </c:pt>
                <c:pt idx="335">
                  <c:v>1317.9124531477112</c:v>
                </c:pt>
                <c:pt idx="336">
                  <c:v>1322.3054946582035</c:v>
                </c:pt>
                <c:pt idx="337">
                  <c:v>1326.7131796403976</c:v>
                </c:pt>
                <c:pt idx="338">
                  <c:v>1331.1355569058655</c:v>
                </c:pt>
                <c:pt idx="339">
                  <c:v>1335.5726754288851</c:v>
                </c:pt>
                <c:pt idx="340">
                  <c:v>1340.0245843469813</c:v>
                </c:pt>
                <c:pt idx="341">
                  <c:v>1344.4913329614715</c:v>
                </c:pt>
                <c:pt idx="342">
                  <c:v>1348.9729707380095</c:v>
                </c:pt>
                <c:pt idx="343">
                  <c:v>1353.4695473071363</c:v>
                </c:pt>
                <c:pt idx="344">
                  <c:v>1357.9811124648268</c:v>
                </c:pt>
                <c:pt idx="345">
                  <c:v>1362.5077161730428</c:v>
                </c:pt>
                <c:pt idx="346">
                  <c:v>1367.0494085602863</c:v>
                </c:pt>
                <c:pt idx="347">
                  <c:v>1371.6062399221539</c:v>
                </c:pt>
                <c:pt idx="348">
                  <c:v>1376.1782607218945</c:v>
                </c:pt>
                <c:pt idx="349">
                  <c:v>1380.7655215909674</c:v>
                </c:pt>
                <c:pt idx="350">
                  <c:v>1385.3680733296039</c:v>
                </c:pt>
                <c:pt idx="351">
                  <c:v>1389.9859669073694</c:v>
                </c:pt>
                <c:pt idx="352">
                  <c:v>1394.6192534637273</c:v>
                </c:pt>
                <c:pt idx="353">
                  <c:v>1399.2679843086064</c:v>
                </c:pt>
                <c:pt idx="354">
                  <c:v>1403.9322109229684</c:v>
                </c:pt>
                <c:pt idx="355">
                  <c:v>1408.6119849593783</c:v>
                </c:pt>
                <c:pt idx="356">
                  <c:v>1413.3073582425761</c:v>
                </c:pt>
                <c:pt idx="357">
                  <c:v>1418.0183827700514</c:v>
                </c:pt>
                <c:pt idx="358">
                  <c:v>1422.7451107126183</c:v>
                </c:pt>
                <c:pt idx="359">
                  <c:v>1427.4875944149937</c:v>
                </c:pt>
                <c:pt idx="360">
                  <c:v>1432.245886396377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30-B74C-8754-F0AADC04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PFS'!$L$7</c:f>
              <c:strCache>
                <c:ptCount val="1"/>
                <c:pt idx="0">
                  <c:v>Liquid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PFS'!$M$7:$Y$7</c:f>
              <c:numCache>
                <c:formatCode>_("$"* #,##0.00_);_("$"* \(#,##0.00\);_("$"* "-"??_);_(@_)</c:formatCode>
                <c:ptCount val="13"/>
                <c:pt idx="0">
                  <c:v>24200</c:v>
                </c:pt>
                <c:pt idx="1">
                  <c:v>4200</c:v>
                </c:pt>
                <c:pt idx="2">
                  <c:v>3500</c:v>
                </c:pt>
                <c:pt idx="3">
                  <c:v>2800</c:v>
                </c:pt>
                <c:pt idx="4">
                  <c:v>2100</c:v>
                </c:pt>
                <c:pt idx="5">
                  <c:v>1400</c:v>
                </c:pt>
                <c:pt idx="6">
                  <c:v>700</c:v>
                </c:pt>
                <c:pt idx="7">
                  <c:v>0</c:v>
                </c:pt>
                <c:pt idx="8">
                  <c:v>-700</c:v>
                </c:pt>
                <c:pt idx="9">
                  <c:v>-1400</c:v>
                </c:pt>
                <c:pt idx="10">
                  <c:v>-2100</c:v>
                </c:pt>
                <c:pt idx="11">
                  <c:v>-2800</c:v>
                </c:pt>
                <c:pt idx="12">
                  <c:v>-3500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4-A743-B665-EA5BE5A53B43}"/>
            </c:ext>
          </c:extLst>
        </c:ser>
        <c:ser>
          <c:idx val="1"/>
          <c:order val="1"/>
          <c:tx>
            <c:strRef>
              <c:f>'Example PFS'!$L$6</c:f>
              <c:strCache>
                <c:ptCount val="1"/>
                <c:pt idx="0">
                  <c:v>Invement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PFS'!$M$6:$Y$6</c:f>
              <c:numCache>
                <c:formatCode>_("$"* #,##0.00_);_("$"* \(#,##0.00\);_("$"* "-"??_);_(@_)</c:formatCode>
                <c:ptCount val="13"/>
                <c:pt idx="0">
                  <c:v>0</c:v>
                </c:pt>
                <c:pt idx="1">
                  <c:v>20000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4-A743-B665-EA5BE5A53B43}"/>
            </c:ext>
          </c:extLst>
        </c:ser>
        <c:ser>
          <c:idx val="2"/>
          <c:order val="2"/>
          <c:tx>
            <c:strRef>
              <c:f>'Example PFS'!$L$8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PFS'!$M$8:$Y$8</c:f>
              <c:numCache>
                <c:formatCode>_("$"* #,##0.00_);_("$"* \(#,##0.00\);_("$"* "-"??_);_(@_)</c:formatCode>
                <c:ptCount val="13"/>
                <c:pt idx="0">
                  <c:v>-1000</c:v>
                </c:pt>
                <c:pt idx="1">
                  <c:v>-700</c:v>
                </c:pt>
                <c:pt idx="2">
                  <c:v>-700</c:v>
                </c:pt>
                <c:pt idx="3">
                  <c:v>-700</c:v>
                </c:pt>
                <c:pt idx="4">
                  <c:v>-700</c:v>
                </c:pt>
                <c:pt idx="5">
                  <c:v>-700</c:v>
                </c:pt>
                <c:pt idx="6">
                  <c:v>-700</c:v>
                </c:pt>
                <c:pt idx="7">
                  <c:v>-700</c:v>
                </c:pt>
                <c:pt idx="8">
                  <c:v>-700</c:v>
                </c:pt>
                <c:pt idx="9">
                  <c:v>-700</c:v>
                </c:pt>
                <c:pt idx="10">
                  <c:v>-700</c:v>
                </c:pt>
                <c:pt idx="11">
                  <c:v>-700</c:v>
                </c:pt>
                <c:pt idx="12">
                  <c:v>-700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4-A743-B665-EA5BE5A53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1669999"/>
        <c:axId val="2051833439"/>
      </c:barChart>
      <c:catAx>
        <c:axId val="205166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33439"/>
        <c:crosses val="autoZero"/>
        <c:auto val="1"/>
        <c:lblAlgn val="ctr"/>
        <c:lblOffset val="100"/>
        <c:noMultiLvlLbl val="0"/>
      </c:catAx>
      <c:valAx>
        <c:axId val="20518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6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26</xdr:row>
      <xdr:rowOff>76200</xdr:rowOff>
    </xdr:from>
    <xdr:to>
      <xdr:col>11</xdr:col>
      <xdr:colOff>1358900</xdr:colOff>
      <xdr:row>44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2EA76-A244-3B47-9F52-C7CE3033E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711200</xdr:colOff>
      <xdr:row>46</xdr:row>
      <xdr:rowOff>139700</xdr:rowOff>
    </xdr:from>
    <xdr:to>
      <xdr:col>12</xdr:col>
      <xdr:colOff>241300</xdr:colOff>
      <xdr:row>65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F91F5-6A57-F146-8D47-132DE400A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469900</xdr:colOff>
      <xdr:row>17</xdr:row>
      <xdr:rowOff>76200</xdr:rowOff>
    </xdr:from>
    <xdr:to>
      <xdr:col>10</xdr:col>
      <xdr:colOff>215900</xdr:colOff>
      <xdr:row>36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AF95C-BE23-2141-A7C2-FACA8F6F8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1193800</xdr:colOff>
      <xdr:row>21</xdr:row>
      <xdr:rowOff>101600</xdr:rowOff>
    </xdr:from>
    <xdr:to>
      <xdr:col>7</xdr:col>
      <xdr:colOff>673100</xdr:colOff>
      <xdr:row>23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F7BEC2-6A47-354A-917F-89430904A2F2}"/>
            </a:ext>
          </a:extLst>
        </xdr:cNvPr>
        <xdr:cNvSpPr txBox="1"/>
      </xdr:nvSpPr>
      <xdr:spPr>
        <a:xfrm>
          <a:off x="8394700" y="4102100"/>
          <a:ext cx="927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6"/>
              </a:solidFill>
            </a:rPr>
            <a:t>20% gain</a:t>
          </a:r>
        </a:p>
        <a:p>
          <a:endParaRPr lang="en-US" sz="1100">
            <a:solidFill>
              <a:schemeClr val="accent6"/>
            </a:solidFill>
          </a:endParaRPr>
        </a:p>
      </xdr:txBody>
    </xdr:sp>
    <xdr:clientData/>
  </xdr:twoCellAnchor>
  <xdr:twoCellAnchor>
    <xdr:from>
      <xdr:col>9</xdr:col>
      <xdr:colOff>152400</xdr:colOff>
      <xdr:row>21</xdr:row>
      <xdr:rowOff>101600</xdr:rowOff>
    </xdr:from>
    <xdr:to>
      <xdr:col>9</xdr:col>
      <xdr:colOff>1079500</xdr:colOff>
      <xdr:row>23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B5D1FCF-76EB-3E4E-8583-30214B2E97C0}"/>
            </a:ext>
          </a:extLst>
        </xdr:cNvPr>
        <xdr:cNvSpPr txBox="1"/>
      </xdr:nvSpPr>
      <xdr:spPr>
        <a:xfrm>
          <a:off x="11226800" y="4102100"/>
          <a:ext cx="927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20% loss</a:t>
          </a:r>
        </a:p>
        <a:p>
          <a:endParaRPr lang="en-US" sz="1100">
            <a:solidFill>
              <a:schemeClr val="accent6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101600</xdr:rowOff>
    </xdr:from>
    <xdr:to>
      <xdr:col>15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D81CA-3777-B849-B5AE-FD723BD20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152400</xdr:colOff>
      <xdr:row>1</xdr:row>
      <xdr:rowOff>139700</xdr:rowOff>
    </xdr:from>
    <xdr:to>
      <xdr:col>24</xdr:col>
      <xdr:colOff>57150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69AF7-3117-C54A-9C34-FD8ADE5F3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241300</xdr:colOff>
      <xdr:row>26</xdr:row>
      <xdr:rowOff>12700</xdr:rowOff>
    </xdr:from>
    <xdr:to>
      <xdr:col>16</xdr:col>
      <xdr:colOff>82550</xdr:colOff>
      <xdr:row>46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B728A3-35C0-EB46-B675-B768EFB26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25</xdr:row>
      <xdr:rowOff>152400</xdr:rowOff>
    </xdr:from>
    <xdr:to>
      <xdr:col>24</xdr:col>
      <xdr:colOff>323850</xdr:colOff>
      <xdr:row>46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15B909-40F4-A342-9DCD-0A5C14A13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101600</xdr:colOff>
      <xdr:row>29</xdr:row>
      <xdr:rowOff>139700</xdr:rowOff>
    </xdr:from>
    <xdr:to>
      <xdr:col>19</xdr:col>
      <xdr:colOff>101600</xdr:colOff>
      <xdr:row>41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8935ABE-7230-DD48-A8DB-D152AE3DD1A9}"/>
            </a:ext>
          </a:extLst>
        </xdr:cNvPr>
        <xdr:cNvCxnSpPr/>
      </xdr:nvCxnSpPr>
      <xdr:spPr>
        <a:xfrm flipV="1">
          <a:off x="20129500" y="5664200"/>
          <a:ext cx="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520700</xdr:colOff>
      <xdr:row>41</xdr:row>
      <xdr:rowOff>165100</xdr:rowOff>
    </xdr:from>
    <xdr:to>
      <xdr:col>19</xdr:col>
      <xdr:colOff>533400</xdr:colOff>
      <xdr:row>43</xdr:row>
      <xdr:rowOff>50800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745D74-DC03-FD48-A5F3-DAC944AA6861}"/>
            </a:ext>
          </a:extLst>
        </xdr:cNvPr>
        <xdr:cNvSpPr txBox="1"/>
      </xdr:nvSpPr>
      <xdr:spPr>
        <a:xfrm>
          <a:off x="19723100" y="79756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Risk</a:t>
          </a:r>
        </a:p>
      </xdr:txBody>
    </xdr:sp>
    <xdr:clientData/>
  </xdr:twoCellAnchor>
  <xdr:twoCellAnchor>
    <xdr:from>
      <xdr:col>22</xdr:col>
      <xdr:colOff>431800</xdr:colOff>
      <xdr:row>29</xdr:row>
      <xdr:rowOff>152400</xdr:rowOff>
    </xdr:from>
    <xdr:to>
      <xdr:col>22</xdr:col>
      <xdr:colOff>431800</xdr:colOff>
      <xdr:row>41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AC3E73B-E5C6-EC4B-9D68-3CE07C7EADE1}"/>
            </a:ext>
          </a:extLst>
        </xdr:cNvPr>
        <xdr:cNvCxnSpPr/>
      </xdr:nvCxnSpPr>
      <xdr:spPr>
        <a:xfrm flipV="1">
          <a:off x="22936200" y="5676900"/>
          <a:ext cx="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</xdr:colOff>
      <xdr:row>41</xdr:row>
      <xdr:rowOff>177800</xdr:rowOff>
    </xdr:from>
    <xdr:to>
      <xdr:col>23</xdr:col>
      <xdr:colOff>38100</xdr:colOff>
      <xdr:row>43</xdr:row>
      <xdr:rowOff>63500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1A3E775-3D57-D443-9E67-57EB9CEEBFFC}"/>
            </a:ext>
          </a:extLst>
        </xdr:cNvPr>
        <xdr:cNvSpPr txBox="1"/>
      </xdr:nvSpPr>
      <xdr:spPr>
        <a:xfrm>
          <a:off x="22529800" y="79883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Reward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101600</xdr:rowOff>
    </xdr:from>
    <xdr:to>
      <xdr:col>12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622C7-61FD-AA41-9689-AA4605D1E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736600</xdr:colOff>
      <xdr:row>1</xdr:row>
      <xdr:rowOff>101600</xdr:rowOff>
    </xdr:from>
    <xdr:to>
      <xdr:col>21</xdr:col>
      <xdr:colOff>641350</xdr:colOff>
      <xdr:row>22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EB4F65-F857-2944-9455-4BB3D20D2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2</xdr:row>
      <xdr:rowOff>76200</xdr:rowOff>
    </xdr:from>
    <xdr:to>
      <xdr:col>15</xdr:col>
      <xdr:colOff>222250</xdr:colOff>
      <xdr:row>23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71E26E-6478-FF41-9449-4B93E167D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165100</xdr:colOff>
      <xdr:row>2</xdr:row>
      <xdr:rowOff>88900</xdr:rowOff>
    </xdr:from>
    <xdr:to>
      <xdr:col>24</xdr:col>
      <xdr:colOff>69850</xdr:colOff>
      <xdr:row>23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54EEB4-18D2-B14D-AA33-4D845F672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342900</xdr:colOff>
      <xdr:row>27</xdr:row>
      <xdr:rowOff>88900</xdr:rowOff>
    </xdr:from>
    <xdr:to>
      <xdr:col>15</xdr:col>
      <xdr:colOff>184150</xdr:colOff>
      <xdr:row>48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C7BAE5-D0C6-6C4F-B27C-891679A97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508000</xdr:colOff>
      <xdr:row>17</xdr:row>
      <xdr:rowOff>165100</xdr:rowOff>
    </xdr:from>
    <xdr:to>
      <xdr:col>26</xdr:col>
      <xdr:colOff>520700</xdr:colOff>
      <xdr:row>19</xdr:row>
      <xdr:rowOff>50800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235E9CB-4D8A-C74A-91C5-0A21BEFAAF68}"/>
            </a:ext>
          </a:extLst>
        </xdr:cNvPr>
        <xdr:cNvSpPr txBox="1"/>
      </xdr:nvSpPr>
      <xdr:spPr>
        <a:xfrm>
          <a:off x="27139900" y="34036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Risk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101600</xdr:rowOff>
    </xdr:from>
    <xdr:to>
      <xdr:col>14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14CCB-8C23-B742-9727-7B19FCDB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139700</xdr:rowOff>
    </xdr:from>
    <xdr:to>
      <xdr:col>23</xdr:col>
      <xdr:colOff>57150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9ECD1-A38D-8245-BA85-DECA01323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330200</xdr:colOff>
      <xdr:row>1</xdr:row>
      <xdr:rowOff>127000</xdr:rowOff>
    </xdr:from>
    <xdr:to>
      <xdr:col>31</xdr:col>
      <xdr:colOff>234950</xdr:colOff>
      <xdr:row>22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FA9DD-17CA-DD4D-92C7-2552B361C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14</xdr:col>
      <xdr:colOff>666750</xdr:colOff>
      <xdr:row>46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B7E4C1-97F1-1D4E-AEEF-207EA0589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23</xdr:col>
      <xdr:colOff>730250</xdr:colOff>
      <xdr:row>46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E35F65-4C6D-CB49-8452-27B20FBF7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381000</xdr:colOff>
      <xdr:row>6</xdr:row>
      <xdr:rowOff>50800</xdr:rowOff>
    </xdr:from>
    <xdr:to>
      <xdr:col>17</xdr:col>
      <xdr:colOff>381000</xdr:colOff>
      <xdr:row>18</xdr:row>
      <xdr:rowOff>12700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68A97A3-BC23-0740-A293-763E4D543408}"/>
            </a:ext>
          </a:extLst>
        </xdr:cNvPr>
        <xdr:cNvCxnSpPr/>
      </xdr:nvCxnSpPr>
      <xdr:spPr>
        <a:xfrm flipV="1">
          <a:off x="18872200" y="1193800"/>
          <a:ext cx="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800100</xdr:colOff>
      <xdr:row>18</xdr:row>
      <xdr:rowOff>76200</xdr:rowOff>
    </xdr:from>
    <xdr:to>
      <xdr:col>17</xdr:col>
      <xdr:colOff>812800</xdr:colOff>
      <xdr:row>19</xdr:row>
      <xdr:rowOff>152400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EA4FC9B-E846-F546-9B68-7556A5665800}"/>
            </a:ext>
          </a:extLst>
        </xdr:cNvPr>
        <xdr:cNvSpPr txBox="1"/>
      </xdr:nvSpPr>
      <xdr:spPr>
        <a:xfrm>
          <a:off x="18465800" y="35052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Risk</a:t>
          </a:r>
        </a:p>
      </xdr:txBody>
    </xdr:sp>
    <xdr:clientData/>
  </xdr:twoCellAnchor>
  <xdr:twoCellAnchor>
    <xdr:from>
      <xdr:col>20</xdr:col>
      <xdr:colOff>622300</xdr:colOff>
      <xdr:row>5</xdr:row>
      <xdr:rowOff>38100</xdr:rowOff>
    </xdr:from>
    <xdr:to>
      <xdr:col>21</xdr:col>
      <xdr:colOff>635000</xdr:colOff>
      <xdr:row>6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B19C77E-DC96-454E-BC97-6566A7F60DEC}"/>
            </a:ext>
          </a:extLst>
        </xdr:cNvPr>
        <xdr:cNvSpPr txBox="1"/>
      </xdr:nvSpPr>
      <xdr:spPr>
        <a:xfrm>
          <a:off x="21590000" y="9906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Reward</a:t>
          </a:r>
        </a:p>
      </xdr:txBody>
    </xdr:sp>
    <xdr:clientData/>
  </xdr:twoCellAnchor>
  <xdr:twoCellAnchor>
    <xdr:from>
      <xdr:col>21</xdr:col>
      <xdr:colOff>241300</xdr:colOff>
      <xdr:row>7</xdr:row>
      <xdr:rowOff>25400</xdr:rowOff>
    </xdr:from>
    <xdr:to>
      <xdr:col>21</xdr:col>
      <xdr:colOff>241300</xdr:colOff>
      <xdr:row>19</xdr:row>
      <xdr:rowOff>177800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4E029DD-DE90-644B-8546-AD135C6121EE}"/>
            </a:ext>
          </a:extLst>
        </xdr:cNvPr>
        <xdr:cNvCxnSpPr/>
      </xdr:nvCxnSpPr>
      <xdr:spPr>
        <a:xfrm>
          <a:off x="22034500" y="1358900"/>
          <a:ext cx="0" cy="2438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508000</xdr:colOff>
      <xdr:row>50</xdr:row>
      <xdr:rowOff>0</xdr:rowOff>
    </xdr:from>
    <xdr:to>
      <xdr:col>23</xdr:col>
      <xdr:colOff>412750</xdr:colOff>
      <xdr:row>70</xdr:row>
      <xdr:rowOff>165100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A259840-D116-5649-8965-EBEB47F0A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666750</xdr:colOff>
      <xdr:row>69</xdr:row>
      <xdr:rowOff>165100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D0F0593-CA71-D94B-A55E-07CE34128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635000</xdr:colOff>
      <xdr:row>51</xdr:row>
      <xdr:rowOff>177800</xdr:rowOff>
    </xdr:from>
    <xdr:to>
      <xdr:col>7</xdr:col>
      <xdr:colOff>209550</xdr:colOff>
      <xdr:row>72</xdr:row>
      <xdr:rowOff>152400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4C6B078-D13A-1944-915F-38A5CAF9F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101600</xdr:rowOff>
    </xdr:from>
    <xdr:to>
      <xdr:col>14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9BBD2-A196-D440-BEA2-274B89F1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139700</xdr:rowOff>
    </xdr:from>
    <xdr:to>
      <xdr:col>23</xdr:col>
      <xdr:colOff>57150</xdr:colOff>
      <xdr:row>22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B2BE07-A85E-5B44-9AF8-65143FD5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330200</xdr:colOff>
      <xdr:row>1</xdr:row>
      <xdr:rowOff>127000</xdr:rowOff>
    </xdr:from>
    <xdr:to>
      <xdr:col>31</xdr:col>
      <xdr:colOff>234950</xdr:colOff>
      <xdr:row>22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5B6F5C-AD3C-9040-96BA-E4B2EAFAB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63500</xdr:colOff>
      <xdr:row>5</xdr:row>
      <xdr:rowOff>38100</xdr:rowOff>
    </xdr:from>
    <xdr:to>
      <xdr:col>26</xdr:col>
      <xdr:colOff>393700</xdr:colOff>
      <xdr:row>9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2DE51896-1B8B-EE40-96FC-545163BF4518}"/>
            </a:ext>
          </a:extLst>
        </xdr:cNvPr>
        <xdr:cNvSpPr/>
      </xdr:nvSpPr>
      <xdr:spPr>
        <a:xfrm rot="10800000">
          <a:off x="25984200" y="990600"/>
          <a:ext cx="330200" cy="889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6</xdr:row>
      <xdr:rowOff>50800</xdr:rowOff>
    </xdr:from>
    <xdr:to>
      <xdr:col>26</xdr:col>
      <xdr:colOff>88900</xdr:colOff>
      <xdr:row>8</xdr:row>
      <xdr:rowOff>139700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9D7DD6-EFE6-7D44-8984-7663AE675EF0}"/>
            </a:ext>
          </a:extLst>
        </xdr:cNvPr>
        <xdr:cNvSpPr txBox="1"/>
      </xdr:nvSpPr>
      <xdr:spPr>
        <a:xfrm>
          <a:off x="25171400" y="1193800"/>
          <a:ext cx="8382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Equity</a:t>
          </a:r>
          <a:r>
            <a:rPr lang="en-US" sz="1100" baseline="0"/>
            <a:t> Capital</a:t>
          </a:r>
          <a:endParaRPr lang="en-US" sz="1100"/>
        </a:p>
      </xdr:txBody>
    </xdr:sp>
    <xdr:clientData/>
  </xdr:twoCellAnchor>
  <xdr:twoCellAnchor>
    <xdr:from>
      <xdr:col>29</xdr:col>
      <xdr:colOff>127000</xdr:colOff>
      <xdr:row>7</xdr:row>
      <xdr:rowOff>114300</xdr:rowOff>
    </xdr:from>
    <xdr:to>
      <xdr:col>30</xdr:col>
      <xdr:colOff>139700</xdr:colOff>
      <xdr:row>10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0F9C7D-2DD9-634D-8A79-256853EF3220}"/>
            </a:ext>
          </a:extLst>
        </xdr:cNvPr>
        <xdr:cNvSpPr txBox="1"/>
      </xdr:nvSpPr>
      <xdr:spPr>
        <a:xfrm>
          <a:off x="28524200" y="1447800"/>
          <a:ext cx="8382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Equity Financing</a:t>
          </a:r>
        </a:p>
      </xdr:txBody>
    </xdr:sp>
    <xdr:clientData/>
  </xdr:twoCellAnchor>
  <xdr:twoCellAnchor>
    <xdr:from>
      <xdr:col>28</xdr:col>
      <xdr:colOff>622300</xdr:colOff>
      <xdr:row>8</xdr:row>
      <xdr:rowOff>152400</xdr:rowOff>
    </xdr:from>
    <xdr:to>
      <xdr:col>29</xdr:col>
      <xdr:colOff>101600</xdr:colOff>
      <xdr:row>8</xdr:row>
      <xdr:rowOff>165100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8382957-BCFB-1849-B61A-68E5ABAB068E}"/>
            </a:ext>
          </a:extLst>
        </xdr:cNvPr>
        <xdr:cNvCxnSpPr/>
      </xdr:nvCxnSpPr>
      <xdr:spPr>
        <a:xfrm flipH="1">
          <a:off x="28194000" y="16764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76200</xdr:colOff>
      <xdr:row>15</xdr:row>
      <xdr:rowOff>50800</xdr:rowOff>
    </xdr:from>
    <xdr:to>
      <xdr:col>26</xdr:col>
      <xdr:colOff>88900</xdr:colOff>
      <xdr:row>16</xdr:row>
      <xdr:rowOff>127000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03AB79-D40B-5A41-B728-0E1226264286}"/>
            </a:ext>
          </a:extLst>
        </xdr:cNvPr>
        <xdr:cNvSpPr txBox="1"/>
      </xdr:nvSpPr>
      <xdr:spPr>
        <a:xfrm>
          <a:off x="25171400" y="2908300"/>
          <a:ext cx="8382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Debt</a:t>
          </a:r>
        </a:p>
      </xdr:txBody>
    </xdr:sp>
    <xdr:clientData/>
  </xdr:twoCellAnchor>
  <xdr:twoCellAnchor>
    <xdr:from>
      <xdr:col>26</xdr:col>
      <xdr:colOff>127000</xdr:colOff>
      <xdr:row>15</xdr:row>
      <xdr:rowOff>165100</xdr:rowOff>
    </xdr:from>
    <xdr:to>
      <xdr:col>26</xdr:col>
      <xdr:colOff>393700</xdr:colOff>
      <xdr:row>15</xdr:row>
      <xdr:rowOff>177800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86223AF-14CA-B349-A0E6-90451C3326C4}"/>
            </a:ext>
          </a:extLst>
        </xdr:cNvPr>
        <xdr:cNvCxnSpPr/>
      </xdr:nvCxnSpPr>
      <xdr:spPr>
        <a:xfrm>
          <a:off x="26047700" y="3022600"/>
          <a:ext cx="2667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723900</xdr:colOff>
      <xdr:row>1</xdr:row>
      <xdr:rowOff>38100</xdr:rowOff>
    </xdr:from>
    <xdr:to>
      <xdr:col>31</xdr:col>
      <xdr:colOff>469900</xdr:colOff>
      <xdr:row>28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ABFA6-CCE5-E14A-980F-57130A555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82550</xdr:colOff>
      <xdr:row>29</xdr:row>
      <xdr:rowOff>139700</xdr:rowOff>
    </xdr:from>
    <xdr:to>
      <xdr:col>31</xdr:col>
      <xdr:colOff>101600</xdr:colOff>
      <xdr:row>49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0BC56C-95A7-C04D-A2B8-3470DA5CE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114300</xdr:colOff>
      <xdr:row>57</xdr:row>
      <xdr:rowOff>88900</xdr:rowOff>
    </xdr:from>
    <xdr:to>
      <xdr:col>26</xdr:col>
      <xdr:colOff>406400</xdr:colOff>
      <xdr:row>77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7DC792-29E7-1F4C-ABC0-502E1250E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7</xdr:row>
      <xdr:rowOff>0</xdr:rowOff>
    </xdr:from>
    <xdr:to>
      <xdr:col>42</xdr:col>
      <xdr:colOff>730250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A1BB53-51F3-A441-A0E4-209A1D358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6350</xdr:colOff>
      <xdr:row>43</xdr:row>
      <xdr:rowOff>107950</xdr:rowOff>
    </xdr:from>
    <xdr:to>
      <xdr:col>21</xdr:col>
      <xdr:colOff>673100</xdr:colOff>
      <xdr:row>64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50BF5F-F1DD-EBC3-B47B-5C77CA61B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723900</xdr:colOff>
      <xdr:row>2</xdr:row>
      <xdr:rowOff>38100</xdr:rowOff>
    </xdr:from>
    <xdr:to>
      <xdr:col>28</xdr:col>
      <xdr:colOff>469900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2D9DC-C167-9349-8C54-313493D7A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82550</xdr:colOff>
      <xdr:row>30</xdr:row>
      <xdr:rowOff>139700</xdr:rowOff>
    </xdr:from>
    <xdr:to>
      <xdr:col>28</xdr:col>
      <xdr:colOff>469900</xdr:colOff>
      <xdr:row>50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6FC687-2525-9E4A-86AE-7CAEEE859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63500</xdr:colOff>
      <xdr:row>52</xdr:row>
      <xdr:rowOff>12700</xdr:rowOff>
    </xdr:from>
    <xdr:to>
      <xdr:col>28</xdr:col>
      <xdr:colOff>25400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4DF9F0-A600-7349-999C-B00BE1FE4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635000</xdr:colOff>
      <xdr:row>50</xdr:row>
      <xdr:rowOff>165100</xdr:rowOff>
    </xdr:from>
    <xdr:to>
      <xdr:col>31</xdr:col>
      <xdr:colOff>381000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DD384-EAF7-2A40-A6C1-E002325A5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577850</xdr:colOff>
      <xdr:row>75</xdr:row>
      <xdr:rowOff>165100</xdr:rowOff>
    </xdr:from>
    <xdr:to>
      <xdr:col>23</xdr:col>
      <xdr:colOff>596900</xdr:colOff>
      <xdr:row>95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8234A-F77D-5E4D-9857-A7C922B4B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52</xdr:row>
      <xdr:rowOff>88900</xdr:rowOff>
    </xdr:from>
    <xdr:to>
      <xdr:col>21</xdr:col>
      <xdr:colOff>546100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E752A-E58E-B24A-9BBE-0B10C1878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635000</xdr:colOff>
      <xdr:row>50</xdr:row>
      <xdr:rowOff>165100</xdr:rowOff>
    </xdr:from>
    <xdr:to>
      <xdr:col>31</xdr:col>
      <xdr:colOff>381000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92E8A-6AEF-9940-B734-2869B95D1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577850</xdr:colOff>
      <xdr:row>75</xdr:row>
      <xdr:rowOff>165100</xdr:rowOff>
    </xdr:from>
    <xdr:to>
      <xdr:col>23</xdr:col>
      <xdr:colOff>596900</xdr:colOff>
      <xdr:row>95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AF816-3EB3-F14F-924B-D915B8642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52</xdr:row>
      <xdr:rowOff>88900</xdr:rowOff>
    </xdr:from>
    <xdr:to>
      <xdr:col>21</xdr:col>
      <xdr:colOff>546100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F36DE9-312F-ED4F-9039-CAA58D83C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6</xdr:col>
      <xdr:colOff>203200</xdr:colOff>
      <xdr:row>27</xdr:row>
      <xdr:rowOff>12700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8F29181C-DC3F-C743-8111-F1E2CACB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00500"/>
          <a:ext cx="3924300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527050</xdr:colOff>
      <xdr:row>16</xdr:row>
      <xdr:rowOff>76200</xdr:rowOff>
    </xdr:from>
    <xdr:to>
      <xdr:col>21</xdr:col>
      <xdr:colOff>749300</xdr:colOff>
      <xdr:row>42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9CB17-07CD-2147-B317-47527B552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0CC7-5490-EC4C-A42C-D85578581868}">
  <dimension ref="A1:A52"/>
  <sheetViews>
    <sheetView workbookViewId="0">
      <selection activeCell="B5" sqref="B5"/>
    </sheetView>
  </sheetViews>
  <sheetFormatPr defaultColWidth="11.5546875" defaultRowHeight="14.4"/>
  <sheetData>
    <row r="1" spans="1:1">
      <c r="A1" s="114">
        <v>4488</v>
      </c>
    </row>
    <row r="2" spans="1:1">
      <c r="A2" s="114">
        <v>4714</v>
      </c>
    </row>
    <row r="3" spans="1:1">
      <c r="A3" s="114">
        <v>432.25</v>
      </c>
    </row>
    <row r="4" spans="1:1">
      <c r="A4" s="114">
        <v>3669</v>
      </c>
    </row>
    <row r="5" spans="1:1">
      <c r="A5" s="114">
        <v>4519</v>
      </c>
    </row>
    <row r="6" spans="1:1">
      <c r="A6" s="114">
        <v>2451.25</v>
      </c>
    </row>
    <row r="7" spans="1:1">
      <c r="A7" s="114">
        <v>472</v>
      </c>
    </row>
    <row r="8" spans="1:1">
      <c r="A8" s="114">
        <v>1325</v>
      </c>
    </row>
    <row r="9" spans="1:1">
      <c r="A9" s="114">
        <v>4235.25</v>
      </c>
    </row>
    <row r="10" spans="1:1">
      <c r="A10" s="114">
        <v>4879</v>
      </c>
    </row>
    <row r="11" spans="1:1">
      <c r="A11" s="114">
        <v>4984</v>
      </c>
    </row>
    <row r="12" spans="1:1">
      <c r="A12" s="114">
        <v>4364.25</v>
      </c>
    </row>
    <row r="13" spans="1:1">
      <c r="A13" s="114">
        <v>1496</v>
      </c>
    </row>
    <row r="14" spans="1:1">
      <c r="A14" s="114">
        <v>2344</v>
      </c>
    </row>
    <row r="15" spans="1:1">
      <c r="A15" s="114">
        <v>2793</v>
      </c>
    </row>
    <row r="16" spans="1:1">
      <c r="A16" s="114">
        <v>3225</v>
      </c>
    </row>
    <row r="17" spans="1:1">
      <c r="A17" s="114">
        <v>1417</v>
      </c>
    </row>
    <row r="18" spans="1:1">
      <c r="A18" s="114">
        <v>2344</v>
      </c>
    </row>
    <row r="19" spans="1:1">
      <c r="A19" s="114">
        <v>318.5</v>
      </c>
    </row>
    <row r="20" spans="1:1">
      <c r="A20" s="114">
        <v>3225</v>
      </c>
    </row>
    <row r="21" spans="1:1">
      <c r="A21" s="114">
        <v>567</v>
      </c>
    </row>
    <row r="22" spans="1:1">
      <c r="A22" s="114">
        <v>4244</v>
      </c>
    </row>
    <row r="23" spans="1:1">
      <c r="A23" s="114">
        <v>1693.5</v>
      </c>
    </row>
    <row r="24" spans="1:1">
      <c r="A24" s="114">
        <v>2375</v>
      </c>
    </row>
    <row r="25" spans="1:1">
      <c r="A25" s="114">
        <v>1892</v>
      </c>
    </row>
    <row r="26" spans="1:1">
      <c r="A26" s="114">
        <v>1126.25</v>
      </c>
    </row>
    <row r="27" spans="1:1">
      <c r="A27" s="114">
        <v>1751</v>
      </c>
    </row>
    <row r="28" spans="1:1">
      <c r="A28" s="114">
        <v>2145.25</v>
      </c>
    </row>
    <row r="29" spans="1:1">
      <c r="A29" s="114">
        <v>1617</v>
      </c>
    </row>
    <row r="30" spans="1:1">
      <c r="A30" s="114">
        <v>1517</v>
      </c>
    </row>
    <row r="31" spans="1:1">
      <c r="A31" s="114">
        <v>1417</v>
      </c>
    </row>
    <row r="32" spans="1:1">
      <c r="A32" s="114">
        <v>1969</v>
      </c>
    </row>
    <row r="33" spans="1:1">
      <c r="A33" s="114">
        <v>1693.25</v>
      </c>
    </row>
    <row r="34" spans="1:1">
      <c r="A34" s="114">
        <v>1325</v>
      </c>
    </row>
    <row r="35" spans="1:1">
      <c r="A35" s="114">
        <v>1325</v>
      </c>
    </row>
    <row r="36" spans="1:1">
      <c r="A36" s="114">
        <v>2145.4499999999998</v>
      </c>
    </row>
    <row r="37" spans="1:1">
      <c r="A37" s="114">
        <v>1892</v>
      </c>
    </row>
    <row r="38" spans="1:1">
      <c r="A38" s="114">
        <v>1586.2</v>
      </c>
    </row>
    <row r="39" spans="1:1">
      <c r="A39" s="114">
        <v>18</v>
      </c>
    </row>
    <row r="40" spans="1:1">
      <c r="A40" s="114">
        <v>1586.2</v>
      </c>
    </row>
    <row r="41" spans="1:1">
      <c r="A41" s="114">
        <v>18</v>
      </c>
    </row>
    <row r="42" spans="1:1">
      <c r="A42" s="114">
        <v>1629.5</v>
      </c>
    </row>
    <row r="43" spans="1:1">
      <c r="A43" s="114">
        <v>1997.5</v>
      </c>
    </row>
    <row r="44" spans="1:1">
      <c r="A44" s="114">
        <v>2145.25</v>
      </c>
    </row>
    <row r="45" spans="1:1">
      <c r="A45" s="114">
        <v>1667</v>
      </c>
    </row>
    <row r="46" spans="1:1">
      <c r="A46" s="114">
        <v>281.5</v>
      </c>
    </row>
    <row r="47" spans="1:1">
      <c r="A47" s="114">
        <v>192</v>
      </c>
    </row>
    <row r="48" spans="1:1">
      <c r="A48" s="114">
        <v>2175</v>
      </c>
    </row>
    <row r="49" spans="1:1">
      <c r="A49" s="114">
        <v>2145.25</v>
      </c>
    </row>
    <row r="50" spans="1:1">
      <c r="A50" s="114">
        <v>1629.5</v>
      </c>
    </row>
    <row r="51" spans="1:1">
      <c r="A51" s="114">
        <v>185</v>
      </c>
    </row>
    <row r="52" spans="1:1">
      <c r="A52" s="114">
        <v>1892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DFDE-8F46-E14B-A41B-155332997814}">
  <sheetPr>
    <tabColor theme="9"/>
  </sheetPr>
  <dimension ref="B1:U60"/>
  <sheetViews>
    <sheetView showGridLines="0" workbookViewId="0">
      <selection activeCell="F55" sqref="F55"/>
    </sheetView>
  </sheetViews>
  <sheetFormatPr defaultColWidth="10.77734375" defaultRowHeight="15.6"/>
  <cols>
    <col min="1" max="1" width="5.77734375" style="310" customWidth="1"/>
    <col min="2" max="2" width="21.77734375" style="310" customWidth="1"/>
    <col min="3" max="3" width="12.33203125" style="310" customWidth="1"/>
    <col min="4" max="4" width="10.77734375" style="310"/>
    <col min="5" max="5" width="29.109375" style="310" customWidth="1"/>
    <col min="6" max="6" width="12.44140625" style="310" bestFit="1" customWidth="1"/>
    <col min="7" max="7" width="3" style="310" customWidth="1"/>
    <col min="8" max="8" width="10.77734375" style="310"/>
    <col min="9" max="9" width="26.6640625" style="310" customWidth="1"/>
    <col min="10" max="10" width="22.109375" style="310" customWidth="1"/>
    <col min="11" max="11" width="10.77734375" style="310"/>
    <col min="12" max="12" width="19.77734375" style="310" bestFit="1" customWidth="1"/>
    <col min="13" max="13" width="21" style="310" customWidth="1"/>
    <col min="14" max="14" width="10.77734375" style="310"/>
    <col min="15" max="16" width="16.33203125" style="310" customWidth="1"/>
    <col min="17" max="17" width="5.44140625" style="310" customWidth="1"/>
    <col min="18" max="18" width="30.44140625" style="310" customWidth="1"/>
    <col min="19" max="19" width="10.77734375" style="310" customWidth="1"/>
    <col min="20" max="21" width="11.109375" style="310" bestFit="1" customWidth="1"/>
    <col min="22" max="16384" width="10.77734375" style="310"/>
  </cols>
  <sheetData>
    <row r="1" spans="2:19" ht="25.05" customHeight="1"/>
    <row r="2" spans="2:19" ht="21">
      <c r="B2" s="311" t="s">
        <v>604</v>
      </c>
      <c r="I2" s="311" t="s">
        <v>179</v>
      </c>
      <c r="L2" s="311" t="s">
        <v>182</v>
      </c>
      <c r="O2" s="311" t="s">
        <v>456</v>
      </c>
    </row>
    <row r="3" spans="2:19">
      <c r="B3" s="312" t="s">
        <v>453</v>
      </c>
      <c r="O3" s="310" t="s">
        <v>457</v>
      </c>
    </row>
    <row r="4" spans="2:19">
      <c r="B4" s="312" t="s">
        <v>454</v>
      </c>
      <c r="O4" s="310" t="s">
        <v>163</v>
      </c>
    </row>
    <row r="5" spans="2:19">
      <c r="B5" s="312" t="s">
        <v>455</v>
      </c>
      <c r="O5" s="310" t="s">
        <v>166</v>
      </c>
    </row>
    <row r="6" spans="2:19">
      <c r="O6" s="310" t="s">
        <v>393</v>
      </c>
    </row>
    <row r="7" spans="2:19">
      <c r="B7" s="341" t="s">
        <v>287</v>
      </c>
      <c r="C7" s="342"/>
      <c r="D7" s="343"/>
      <c r="E7" s="343"/>
      <c r="F7" s="343"/>
    </row>
    <row r="8" spans="2:19">
      <c r="B8" s="341" t="s">
        <v>331</v>
      </c>
      <c r="C8" s="341"/>
      <c r="D8" s="343"/>
      <c r="E8" s="343"/>
      <c r="F8" s="343"/>
    </row>
    <row r="9" spans="2:19">
      <c r="B9" s="313"/>
      <c r="C9" s="314"/>
      <c r="D9" s="315"/>
      <c r="E9" s="313"/>
      <c r="F9" s="314"/>
    </row>
    <row r="10" spans="2:19">
      <c r="B10" s="344" t="s">
        <v>2</v>
      </c>
      <c r="C10" s="345"/>
      <c r="D10" s="315"/>
      <c r="E10" s="344" t="s">
        <v>3</v>
      </c>
      <c r="F10" s="344"/>
      <c r="I10" s="341" t="s">
        <v>290</v>
      </c>
      <c r="J10" s="341"/>
      <c r="L10" s="341" t="s">
        <v>291</v>
      </c>
      <c r="M10" s="341"/>
      <c r="O10" s="341" t="s">
        <v>293</v>
      </c>
      <c r="P10" s="342"/>
      <c r="Q10" s="343"/>
      <c r="R10" s="343"/>
      <c r="S10" s="343"/>
    </row>
    <row r="11" spans="2:19" ht="15" customHeight="1">
      <c r="B11" s="313"/>
      <c r="C11" s="314"/>
      <c r="D11" s="315"/>
      <c r="E11" s="313"/>
      <c r="F11" s="314"/>
      <c r="I11" s="346" t="s">
        <v>331</v>
      </c>
      <c r="J11" s="346"/>
      <c r="L11" s="346" t="s">
        <v>331</v>
      </c>
      <c r="M11" s="346"/>
      <c r="O11" s="341" t="s">
        <v>331</v>
      </c>
      <c r="P11" s="341"/>
      <c r="Q11" s="343"/>
      <c r="R11" s="343"/>
      <c r="S11" s="343"/>
    </row>
    <row r="12" spans="2:19" ht="15" customHeight="1">
      <c r="B12" s="313"/>
      <c r="C12" s="316" t="s">
        <v>4</v>
      </c>
      <c r="D12" s="315"/>
      <c r="E12" s="313"/>
      <c r="F12" s="316" t="s">
        <v>4</v>
      </c>
      <c r="I12" s="317" t="s">
        <v>5</v>
      </c>
      <c r="J12" s="318"/>
      <c r="L12" s="317"/>
      <c r="M12" s="318"/>
      <c r="O12" s="313"/>
      <c r="P12" s="314"/>
      <c r="Q12" s="315"/>
      <c r="R12" s="313"/>
      <c r="S12" s="314"/>
    </row>
    <row r="13" spans="2:19" ht="15" customHeight="1">
      <c r="B13" s="317" t="s">
        <v>5</v>
      </c>
      <c r="C13" s="318"/>
      <c r="D13" s="315"/>
      <c r="E13" s="317" t="s">
        <v>6</v>
      </c>
      <c r="F13" s="318"/>
      <c r="I13" s="319" t="s">
        <v>191</v>
      </c>
      <c r="J13" s="320">
        <f>C14</f>
        <v>200</v>
      </c>
      <c r="L13" s="310" t="s">
        <v>322</v>
      </c>
      <c r="M13" s="321">
        <f>S26</f>
        <v>4000</v>
      </c>
      <c r="O13" s="344" t="s">
        <v>163</v>
      </c>
      <c r="P13" s="345"/>
      <c r="Q13" s="315"/>
      <c r="R13" s="344" t="s">
        <v>166</v>
      </c>
      <c r="S13" s="345"/>
    </row>
    <row r="14" spans="2:19" ht="15" customHeight="1">
      <c r="B14" s="319" t="s">
        <v>191</v>
      </c>
      <c r="C14" s="320">
        <v>200</v>
      </c>
      <c r="D14" s="315"/>
      <c r="E14" s="310" t="s">
        <v>11</v>
      </c>
      <c r="F14" s="320">
        <v>138200</v>
      </c>
      <c r="I14" s="319" t="s">
        <v>13</v>
      </c>
      <c r="J14" s="320">
        <f>C15</f>
        <v>20000</v>
      </c>
      <c r="L14" s="310" t="s">
        <v>460</v>
      </c>
      <c r="M14" s="310">
        <v>3</v>
      </c>
      <c r="O14" s="313"/>
      <c r="P14" s="314"/>
      <c r="Q14" s="315"/>
      <c r="R14" s="313"/>
      <c r="S14" s="314"/>
    </row>
    <row r="15" spans="2:19" ht="15" customHeight="1">
      <c r="B15" s="319" t="s">
        <v>13</v>
      </c>
      <c r="C15" s="320">
        <v>20000</v>
      </c>
      <c r="D15" s="315"/>
      <c r="E15" s="319" t="s">
        <v>14</v>
      </c>
      <c r="F15" s="320">
        <v>26300</v>
      </c>
      <c r="L15" s="322" t="s">
        <v>461</v>
      </c>
      <c r="M15" s="323">
        <f>M14*S26</f>
        <v>12000</v>
      </c>
      <c r="O15" s="313"/>
      <c r="P15" s="316" t="s">
        <v>4</v>
      </c>
      <c r="Q15" s="315"/>
      <c r="R15" s="313"/>
      <c r="S15" s="316" t="s">
        <v>4</v>
      </c>
    </row>
    <row r="16" spans="2:19" ht="15" customHeight="1">
      <c r="B16" s="319" t="s">
        <v>537</v>
      </c>
      <c r="C16" s="320">
        <v>5000</v>
      </c>
      <c r="D16" s="315"/>
      <c r="E16" s="319" t="s">
        <v>177</v>
      </c>
      <c r="F16" s="324">
        <v>3200</v>
      </c>
      <c r="I16" s="325" t="s">
        <v>27</v>
      </c>
      <c r="J16" s="326"/>
      <c r="O16" s="317" t="s">
        <v>5</v>
      </c>
      <c r="P16" s="318"/>
      <c r="Q16" s="315"/>
      <c r="R16" s="317" t="s">
        <v>166</v>
      </c>
      <c r="S16" s="318"/>
    </row>
    <row r="17" spans="2:19" ht="15" customHeight="1">
      <c r="B17" s="319"/>
      <c r="C17" s="324"/>
      <c r="D17" s="315"/>
      <c r="E17" s="319"/>
      <c r="F17" s="324"/>
      <c r="I17" s="319" t="s">
        <v>29</v>
      </c>
      <c r="J17" s="320">
        <f>C22</f>
        <v>3200</v>
      </c>
      <c r="L17" s="310" t="s">
        <v>179</v>
      </c>
      <c r="M17" s="321">
        <f>J20</f>
        <v>24200</v>
      </c>
      <c r="O17" s="319" t="s">
        <v>167</v>
      </c>
      <c r="P17" s="320">
        <v>4500</v>
      </c>
      <c r="Q17" s="315"/>
      <c r="R17" s="319" t="s">
        <v>459</v>
      </c>
      <c r="S17" s="320">
        <f>P17*0.3</f>
        <v>1350</v>
      </c>
    </row>
    <row r="18" spans="2:19" ht="15" customHeight="1">
      <c r="B18" s="317" t="s">
        <v>21</v>
      </c>
      <c r="C18" s="318"/>
      <c r="D18" s="315"/>
      <c r="E18" s="317" t="s">
        <v>22</v>
      </c>
      <c r="F18" s="318"/>
      <c r="I18" s="319" t="s">
        <v>31</v>
      </c>
      <c r="J18" s="320">
        <f>C23</f>
        <v>800</v>
      </c>
      <c r="L18" s="310" t="s">
        <v>386</v>
      </c>
      <c r="M18" s="321">
        <f>-M15</f>
        <v>-12000</v>
      </c>
      <c r="O18" s="319" t="s">
        <v>170</v>
      </c>
      <c r="P18" s="320">
        <v>500</v>
      </c>
      <c r="Q18" s="315"/>
      <c r="R18" s="310" t="s">
        <v>303</v>
      </c>
      <c r="S18" s="320">
        <v>1150</v>
      </c>
    </row>
    <row r="19" spans="2:19" ht="15" customHeight="1">
      <c r="B19" s="319" t="s">
        <v>24</v>
      </c>
      <c r="C19" s="320">
        <v>54500</v>
      </c>
      <c r="D19" s="315"/>
      <c r="E19" s="319" t="s">
        <v>25</v>
      </c>
      <c r="F19" s="320">
        <v>6800</v>
      </c>
      <c r="O19" s="319"/>
      <c r="P19" s="320"/>
      <c r="Q19" s="315"/>
      <c r="R19" s="319" t="s">
        <v>169</v>
      </c>
      <c r="S19" s="320">
        <v>200</v>
      </c>
    </row>
    <row r="20" spans="2:19" ht="15" customHeight="1" thickBot="1">
      <c r="B20" s="319"/>
      <c r="C20" s="320"/>
      <c r="D20" s="315"/>
      <c r="E20" s="319"/>
      <c r="F20" s="320"/>
      <c r="I20" s="325" t="s">
        <v>165</v>
      </c>
      <c r="J20" s="327">
        <f>SUM(J13:J18)</f>
        <v>24200</v>
      </c>
      <c r="L20" s="325" t="s">
        <v>182</v>
      </c>
      <c r="M20" s="327">
        <f>M17-M15</f>
        <v>12200</v>
      </c>
      <c r="O20" s="319"/>
      <c r="P20" s="320"/>
      <c r="Q20" s="315"/>
      <c r="R20" s="319" t="s">
        <v>171</v>
      </c>
      <c r="S20" s="320">
        <v>400</v>
      </c>
    </row>
    <row r="21" spans="2:19" ht="15" customHeight="1" thickTop="1">
      <c r="B21" s="325" t="s">
        <v>27</v>
      </c>
      <c r="C21" s="326"/>
      <c r="D21" s="315"/>
      <c r="E21" s="317" t="s">
        <v>28</v>
      </c>
      <c r="F21" s="318"/>
      <c r="O21" s="319"/>
      <c r="P21" s="320"/>
      <c r="Q21" s="315"/>
      <c r="R21" s="319" t="s">
        <v>172</v>
      </c>
      <c r="S21" s="320">
        <v>300</v>
      </c>
    </row>
    <row r="22" spans="2:19" ht="15" customHeight="1">
      <c r="B22" s="319" t="s">
        <v>29</v>
      </c>
      <c r="C22" s="320">
        <v>3200</v>
      </c>
      <c r="D22" s="315"/>
      <c r="E22" s="319" t="s">
        <v>30</v>
      </c>
      <c r="F22" s="320">
        <v>18000</v>
      </c>
      <c r="O22" s="319"/>
      <c r="P22" s="320"/>
      <c r="Q22" s="315"/>
      <c r="R22" s="319" t="s">
        <v>539</v>
      </c>
      <c r="S22" s="320">
        <v>200</v>
      </c>
    </row>
    <row r="23" spans="2:19" ht="15" customHeight="1">
      <c r="B23" s="319" t="s">
        <v>31</v>
      </c>
      <c r="C23" s="320">
        <v>800</v>
      </c>
      <c r="D23" s="315"/>
      <c r="E23" s="319"/>
      <c r="F23" s="320"/>
      <c r="O23" s="319"/>
      <c r="P23" s="324"/>
      <c r="Q23" s="315"/>
      <c r="R23" s="319" t="s">
        <v>173</v>
      </c>
      <c r="S23" s="324">
        <v>100</v>
      </c>
    </row>
    <row r="24" spans="2:19" ht="15" customHeight="1">
      <c r="B24" s="319"/>
      <c r="C24" s="320"/>
      <c r="D24" s="315"/>
      <c r="E24" s="319"/>
      <c r="F24" s="320"/>
      <c r="O24" s="328"/>
      <c r="P24" s="329"/>
      <c r="Q24" s="315"/>
      <c r="R24" s="319" t="s">
        <v>176</v>
      </c>
      <c r="S24" s="324">
        <v>300</v>
      </c>
    </row>
    <row r="25" spans="2:19" ht="15" customHeight="1">
      <c r="B25" s="325" t="s">
        <v>35</v>
      </c>
      <c r="C25" s="326"/>
      <c r="D25" s="315"/>
      <c r="E25" s="319"/>
      <c r="F25" s="320"/>
      <c r="O25" s="328"/>
      <c r="P25" s="329"/>
      <c r="Q25" s="315"/>
      <c r="R25" s="319"/>
      <c r="S25" s="324"/>
    </row>
    <row r="26" spans="2:19" ht="15" customHeight="1" thickBot="1">
      <c r="B26" s="319" t="s">
        <v>538</v>
      </c>
      <c r="C26" s="320">
        <v>65000</v>
      </c>
      <c r="D26" s="315"/>
      <c r="E26" s="330"/>
      <c r="F26" s="331"/>
      <c r="I26" s="341" t="s">
        <v>290</v>
      </c>
      <c r="J26" s="341"/>
      <c r="O26" s="325" t="s">
        <v>174</v>
      </c>
      <c r="P26" s="327">
        <f>SUM(P17:P23)</f>
        <v>5000</v>
      </c>
      <c r="Q26" s="315"/>
      <c r="R26" s="325" t="s">
        <v>175</v>
      </c>
      <c r="S26" s="327">
        <f>SUM(S17:S24)</f>
        <v>4000</v>
      </c>
    </row>
    <row r="27" spans="2:19" ht="15" customHeight="1" thickTop="1">
      <c r="B27" s="319"/>
      <c r="C27" s="320"/>
      <c r="D27" s="315"/>
      <c r="E27" s="319"/>
      <c r="F27" s="320"/>
      <c r="I27" s="346" t="s">
        <v>331</v>
      </c>
      <c r="J27" s="346"/>
      <c r="O27" s="330"/>
      <c r="P27" s="332"/>
      <c r="Q27" s="315"/>
      <c r="R27" s="328"/>
      <c r="S27" s="333"/>
    </row>
    <row r="28" spans="2:19" ht="15" customHeight="1">
      <c r="B28" s="325" t="s">
        <v>38</v>
      </c>
      <c r="C28" s="326"/>
      <c r="D28" s="315"/>
      <c r="E28" s="319"/>
      <c r="F28" s="320"/>
      <c r="I28" s="317"/>
      <c r="J28" s="318"/>
      <c r="O28" s="334"/>
      <c r="P28" s="335"/>
      <c r="Q28" s="336"/>
      <c r="R28" s="337" t="s">
        <v>302</v>
      </c>
      <c r="S28" s="335">
        <f>P26-S26</f>
        <v>1000</v>
      </c>
    </row>
    <row r="29" spans="2:19" ht="15" customHeight="1">
      <c r="B29" s="319" t="s">
        <v>39</v>
      </c>
      <c r="C29" s="320">
        <v>185000</v>
      </c>
      <c r="D29" s="315"/>
      <c r="E29" s="319"/>
      <c r="F29" s="320"/>
      <c r="I29" s="310" t="s">
        <v>304</v>
      </c>
      <c r="J29" s="338">
        <v>24200</v>
      </c>
    </row>
    <row r="30" spans="2:19" ht="15" customHeight="1">
      <c r="B30" s="319" t="s">
        <v>292</v>
      </c>
      <c r="C30" s="320">
        <v>7000</v>
      </c>
      <c r="D30" s="315"/>
      <c r="E30" s="319"/>
      <c r="F30" s="320"/>
      <c r="I30" s="310" t="s">
        <v>305</v>
      </c>
      <c r="J30" s="338">
        <v>20000</v>
      </c>
    </row>
    <row r="31" spans="2:19" ht="15" customHeight="1" thickBot="1">
      <c r="B31" s="319" t="s">
        <v>42</v>
      </c>
      <c r="C31" s="320">
        <v>5000</v>
      </c>
      <c r="D31" s="315"/>
      <c r="E31" s="319"/>
      <c r="F31" s="320"/>
      <c r="I31" s="325" t="s">
        <v>306</v>
      </c>
      <c r="J31" s="327">
        <f>J29-J30</f>
        <v>4200</v>
      </c>
      <c r="R31" s="346" t="s">
        <v>464</v>
      </c>
      <c r="S31" s="346"/>
    </row>
    <row r="32" spans="2:19" ht="15" customHeight="1" thickTop="1">
      <c r="B32" s="328" t="s">
        <v>41</v>
      </c>
      <c r="C32" s="339">
        <v>2000</v>
      </c>
      <c r="D32" s="315"/>
      <c r="E32" s="319"/>
      <c r="F32" s="320"/>
      <c r="R32" s="317"/>
      <c r="S32" s="318"/>
    </row>
    <row r="33" spans="2:21" ht="15" customHeight="1">
      <c r="B33" s="319"/>
      <c r="C33" s="320"/>
      <c r="D33" s="315"/>
      <c r="E33" s="319"/>
      <c r="F33" s="320"/>
      <c r="R33" s="310" t="s">
        <v>299</v>
      </c>
      <c r="S33" s="338">
        <v>350</v>
      </c>
    </row>
    <row r="34" spans="2:21" ht="15" customHeight="1" thickBot="1">
      <c r="B34" s="325" t="s">
        <v>43</v>
      </c>
      <c r="C34" s="327">
        <f>SUM(C14:C33)</f>
        <v>347700</v>
      </c>
      <c r="D34" s="315"/>
      <c r="E34" s="325" t="s">
        <v>33</v>
      </c>
      <c r="F34" s="327">
        <f>SUM(F14:F33)</f>
        <v>192500</v>
      </c>
      <c r="R34" s="310" t="s">
        <v>300</v>
      </c>
      <c r="S34" s="338">
        <v>475</v>
      </c>
    </row>
    <row r="35" spans="2:21" ht="15" customHeight="1" thickTop="1">
      <c r="B35" s="319"/>
      <c r="C35" s="320"/>
      <c r="D35" s="315"/>
      <c r="E35" s="319"/>
      <c r="F35" s="320"/>
      <c r="R35" s="310" t="s">
        <v>301</v>
      </c>
      <c r="S35" s="338">
        <v>675</v>
      </c>
    </row>
    <row r="36" spans="2:21" ht="15" customHeight="1" thickBot="1">
      <c r="B36" s="334"/>
      <c r="C36" s="335"/>
      <c r="D36" s="336"/>
      <c r="E36" s="337" t="s">
        <v>44</v>
      </c>
      <c r="F36" s="335">
        <f>C34-F34</f>
        <v>155200</v>
      </c>
      <c r="R36" s="325" t="s">
        <v>294</v>
      </c>
      <c r="S36" s="327">
        <f>AVERAGE(S33:S35)</f>
        <v>500</v>
      </c>
    </row>
    <row r="37" spans="2:21" ht="16.2" thickTop="1"/>
    <row r="39" spans="2:21">
      <c r="R39" s="346" t="s">
        <v>463</v>
      </c>
      <c r="S39" s="346"/>
    </row>
    <row r="40" spans="2:21">
      <c r="R40" s="317"/>
      <c r="S40" s="318"/>
    </row>
    <row r="41" spans="2:21">
      <c r="R41" s="310" t="s">
        <v>295</v>
      </c>
      <c r="S41" s="338">
        <v>3100</v>
      </c>
    </row>
    <row r="42" spans="2:21">
      <c r="R42" s="310" t="s">
        <v>296</v>
      </c>
      <c r="S42" s="338">
        <v>3450</v>
      </c>
    </row>
    <row r="43" spans="2:21">
      <c r="R43" s="310" t="s">
        <v>297</v>
      </c>
      <c r="S43" s="338">
        <v>3050</v>
      </c>
    </row>
    <row r="44" spans="2:21" ht="16.2" thickBot="1">
      <c r="R44" s="325" t="s">
        <v>298</v>
      </c>
      <c r="S44" s="327">
        <f>AVERAGE(S41:S43)</f>
        <v>3200</v>
      </c>
    </row>
    <row r="45" spans="2:21" ht="16.2" thickTop="1"/>
    <row r="47" spans="2:21">
      <c r="R47" s="340" t="s">
        <v>131</v>
      </c>
      <c r="S47" s="340" t="s">
        <v>302</v>
      </c>
      <c r="T47" s="340" t="s">
        <v>462</v>
      </c>
      <c r="U47" s="340" t="s">
        <v>179</v>
      </c>
    </row>
    <row r="48" spans="2:21">
      <c r="R48" s="310" t="s">
        <v>308</v>
      </c>
      <c r="S48" s="338">
        <v>-1000</v>
      </c>
      <c r="T48" s="338">
        <v>0</v>
      </c>
      <c r="U48" s="338">
        <v>24200</v>
      </c>
    </row>
    <row r="49" spans="18:21">
      <c r="R49" s="310" t="s">
        <v>309</v>
      </c>
      <c r="S49" s="338">
        <v>-700</v>
      </c>
      <c r="T49" s="338">
        <v>20000</v>
      </c>
      <c r="U49" s="338">
        <f>U48-T49</f>
        <v>4200</v>
      </c>
    </row>
    <row r="50" spans="18:21">
      <c r="R50" s="310" t="s">
        <v>310</v>
      </c>
      <c r="S50" s="338">
        <v>-700</v>
      </c>
      <c r="T50" s="338">
        <v>0</v>
      </c>
      <c r="U50" s="338">
        <f t="shared" ref="U50:U60" si="0">U49+S49</f>
        <v>3500</v>
      </c>
    </row>
    <row r="51" spans="18:21">
      <c r="R51" s="310" t="s">
        <v>311</v>
      </c>
      <c r="S51" s="338">
        <v>-700</v>
      </c>
      <c r="T51" s="338">
        <v>0</v>
      </c>
      <c r="U51" s="338">
        <f t="shared" si="0"/>
        <v>2800</v>
      </c>
    </row>
    <row r="52" spans="18:21">
      <c r="R52" s="310" t="s">
        <v>312</v>
      </c>
      <c r="S52" s="338">
        <v>-700</v>
      </c>
      <c r="T52" s="338">
        <v>0</v>
      </c>
      <c r="U52" s="338">
        <f t="shared" si="0"/>
        <v>2100</v>
      </c>
    </row>
    <row r="53" spans="18:21">
      <c r="R53" s="310" t="s">
        <v>313</v>
      </c>
      <c r="S53" s="338">
        <v>-700</v>
      </c>
      <c r="T53" s="338">
        <v>0</v>
      </c>
      <c r="U53" s="338">
        <f t="shared" si="0"/>
        <v>1400</v>
      </c>
    </row>
    <row r="54" spans="18:21">
      <c r="R54" s="310" t="s">
        <v>314</v>
      </c>
      <c r="S54" s="338">
        <v>-700</v>
      </c>
      <c r="T54" s="338">
        <v>0</v>
      </c>
      <c r="U54" s="338">
        <f t="shared" si="0"/>
        <v>700</v>
      </c>
    </row>
    <row r="55" spans="18:21">
      <c r="R55" s="310" t="s">
        <v>315</v>
      </c>
      <c r="S55" s="338">
        <v>-700</v>
      </c>
      <c r="T55" s="338">
        <v>0</v>
      </c>
      <c r="U55" s="338">
        <f t="shared" si="0"/>
        <v>0</v>
      </c>
    </row>
    <row r="56" spans="18:21">
      <c r="R56" s="310" t="s">
        <v>316</v>
      </c>
      <c r="S56" s="338">
        <v>-700</v>
      </c>
      <c r="T56" s="338">
        <v>0</v>
      </c>
      <c r="U56" s="338">
        <f t="shared" si="0"/>
        <v>-700</v>
      </c>
    </row>
    <row r="57" spans="18:21">
      <c r="R57" s="310" t="s">
        <v>317</v>
      </c>
      <c r="S57" s="338">
        <v>-700</v>
      </c>
      <c r="T57" s="338">
        <v>0</v>
      </c>
      <c r="U57" s="338">
        <f t="shared" si="0"/>
        <v>-1400</v>
      </c>
    </row>
    <row r="58" spans="18:21">
      <c r="R58" s="310" t="s">
        <v>318</v>
      </c>
      <c r="S58" s="338">
        <v>-700</v>
      </c>
      <c r="T58" s="338">
        <v>0</v>
      </c>
      <c r="U58" s="338">
        <f t="shared" si="0"/>
        <v>-2100</v>
      </c>
    </row>
    <row r="59" spans="18:21">
      <c r="R59" s="310" t="s">
        <v>319</v>
      </c>
      <c r="S59" s="338">
        <v>-700</v>
      </c>
      <c r="T59" s="338">
        <v>0</v>
      </c>
      <c r="U59" s="338">
        <f t="shared" si="0"/>
        <v>-2800</v>
      </c>
    </row>
    <row r="60" spans="18:21">
      <c r="R60" s="310" t="s">
        <v>320</v>
      </c>
      <c r="S60" s="338">
        <v>-700</v>
      </c>
      <c r="T60" s="338">
        <v>0</v>
      </c>
      <c r="U60" s="338">
        <f t="shared" si="0"/>
        <v>-3500</v>
      </c>
    </row>
  </sheetData>
  <mergeCells count="16">
    <mergeCell ref="I27:J27"/>
    <mergeCell ref="I26:J26"/>
    <mergeCell ref="R31:S31"/>
    <mergeCell ref="R39:S39"/>
    <mergeCell ref="O10:S10"/>
    <mergeCell ref="L10:M10"/>
    <mergeCell ref="O11:S11"/>
    <mergeCell ref="L11:M11"/>
    <mergeCell ref="O13:P13"/>
    <mergeCell ref="R13:S13"/>
    <mergeCell ref="I11:J11"/>
    <mergeCell ref="B7:F7"/>
    <mergeCell ref="B8:F8"/>
    <mergeCell ref="B10:C10"/>
    <mergeCell ref="E10:F10"/>
    <mergeCell ref="I10:J10"/>
  </mergeCells>
  <conditionalFormatting sqref="C36">
    <cfRule type="cellIs" dxfId="12" priority="5" stopIfTrue="1" operator="lessThan">
      <formula>0</formula>
    </cfRule>
  </conditionalFormatting>
  <conditionalFormatting sqref="F36">
    <cfRule type="cellIs" dxfId="11" priority="4" stopIfTrue="1" operator="lessThan">
      <formula>0</formula>
    </cfRule>
  </conditionalFormatting>
  <conditionalFormatting sqref="P28">
    <cfRule type="cellIs" dxfId="10" priority="3" stopIfTrue="1" operator="lessThan">
      <formula>0</formula>
    </cfRule>
  </conditionalFormatting>
  <conditionalFormatting sqref="S28">
    <cfRule type="cellIs" dxfId="9" priority="2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1BC6-92D3-E445-B364-A13EDFE8CF5A}">
  <sheetPr>
    <tabColor theme="7"/>
  </sheetPr>
  <dimension ref="B2:L35"/>
  <sheetViews>
    <sheetView zoomScale="90" zoomScaleNormal="100" workbookViewId="0">
      <selection activeCell="T50" sqref="T50"/>
    </sheetView>
  </sheetViews>
  <sheetFormatPr defaultColWidth="11.5546875" defaultRowHeight="14.4"/>
  <cols>
    <col min="1" max="1" width="8.77734375" customWidth="1"/>
    <col min="2" max="2" width="25.44140625" customWidth="1"/>
    <col min="3" max="3" width="16.6640625" customWidth="1"/>
    <col min="4" max="4" width="16" customWidth="1"/>
    <col min="5" max="5" width="14.109375" bestFit="1" customWidth="1"/>
    <col min="6" max="6" width="12.77734375" bestFit="1" customWidth="1"/>
    <col min="7" max="8" width="14.109375" bestFit="1" customWidth="1"/>
  </cols>
  <sheetData>
    <row r="2" spans="2:12">
      <c r="C2" s="89" t="s">
        <v>197</v>
      </c>
      <c r="D2" s="89" t="s">
        <v>198</v>
      </c>
      <c r="E2" s="89" t="s">
        <v>199</v>
      </c>
    </row>
    <row r="3" spans="2:12">
      <c r="C3" t="s">
        <v>186</v>
      </c>
      <c r="D3" t="s">
        <v>183</v>
      </c>
      <c r="E3" t="s">
        <v>187</v>
      </c>
      <c r="J3" t="s">
        <v>194</v>
      </c>
    </row>
    <row r="4" spans="2:12">
      <c r="B4" t="s">
        <v>184</v>
      </c>
      <c r="C4" s="84">
        <v>122000</v>
      </c>
      <c r="D4" s="84">
        <v>175000</v>
      </c>
      <c r="E4" s="84">
        <v>165000</v>
      </c>
      <c r="J4" t="s">
        <v>195</v>
      </c>
    </row>
    <row r="5" spans="2:12">
      <c r="B5" t="s">
        <v>185</v>
      </c>
      <c r="C5" s="84">
        <f>C4*0.25</f>
        <v>30500</v>
      </c>
      <c r="D5" s="84">
        <f>D4*0.25</f>
        <v>43750</v>
      </c>
      <c r="E5" s="85">
        <f>E4*0.1</f>
        <v>16500</v>
      </c>
      <c r="J5" t="s">
        <v>196</v>
      </c>
    </row>
    <row r="6" spans="2:12">
      <c r="B6" t="s">
        <v>188</v>
      </c>
      <c r="C6" s="84">
        <v>6000</v>
      </c>
      <c r="D6" s="84">
        <v>6000</v>
      </c>
      <c r="E6" s="75">
        <v>4500</v>
      </c>
      <c r="J6" t="s">
        <v>201</v>
      </c>
    </row>
    <row r="7" spans="2:12">
      <c r="B7" t="s">
        <v>189</v>
      </c>
      <c r="C7" s="85">
        <f>C4*0.05</f>
        <v>6100</v>
      </c>
      <c r="D7" s="85">
        <f>D4*0.08</f>
        <v>14000</v>
      </c>
      <c r="E7" s="85">
        <f>E4*0.05</f>
        <v>8250</v>
      </c>
      <c r="J7" t="s">
        <v>205</v>
      </c>
    </row>
    <row r="8" spans="2:12">
      <c r="B8" t="s">
        <v>190</v>
      </c>
      <c r="C8" s="85">
        <f>SUM(C5:C7)</f>
        <v>42600</v>
      </c>
      <c r="D8" s="85">
        <f>SUM(D5:D7)</f>
        <v>63750</v>
      </c>
      <c r="E8" s="85">
        <f>SUM(E5:E7)</f>
        <v>29250</v>
      </c>
    </row>
    <row r="9" spans="2:12">
      <c r="B9" t="s">
        <v>191</v>
      </c>
      <c r="C9" s="85">
        <f>'Example PFS'!J47</f>
        <v>12200</v>
      </c>
      <c r="D9" s="85">
        <f>C9</f>
        <v>12200</v>
      </c>
      <c r="E9" s="85">
        <f>D9</f>
        <v>12200</v>
      </c>
    </row>
    <row r="10" spans="2:12">
      <c r="B10" t="s">
        <v>192</v>
      </c>
      <c r="C10" s="85">
        <f>C9-C8</f>
        <v>-30400</v>
      </c>
      <c r="D10" s="85">
        <f>D9-D8</f>
        <v>-51550</v>
      </c>
      <c r="E10" s="85">
        <f>E9-E8</f>
        <v>-17050</v>
      </c>
    </row>
    <row r="11" spans="2:12">
      <c r="B11" t="s">
        <v>193</v>
      </c>
      <c r="C11" s="83">
        <f>IF(C10&gt;0, "Now", C10/'Example PFS'!$F$55)</f>
        <v>-30.4</v>
      </c>
      <c r="D11" s="90">
        <f>IF(D10&gt;0, "Now", -D10/'Example PFS'!$F$55)</f>
        <v>51.55</v>
      </c>
      <c r="E11" s="83">
        <f>IF(E10&gt;0, "Now", E10/'Example PFS'!$F$55)</f>
        <v>-17.05</v>
      </c>
    </row>
    <row r="13" spans="2:12">
      <c r="C13" s="84"/>
      <c r="D13" s="84"/>
      <c r="E13" s="75"/>
    </row>
    <row r="16" spans="2:12">
      <c r="B16" s="91" t="s">
        <v>200</v>
      </c>
      <c r="C16" s="89" t="s">
        <v>197</v>
      </c>
      <c r="D16" s="89" t="s">
        <v>197</v>
      </c>
      <c r="E16" s="89" t="s">
        <v>198</v>
      </c>
      <c r="F16" s="89" t="s">
        <v>198</v>
      </c>
      <c r="G16" s="89" t="s">
        <v>199</v>
      </c>
      <c r="H16" s="89" t="s">
        <v>199</v>
      </c>
      <c r="L16" t="s">
        <v>249</v>
      </c>
    </row>
    <row r="17" spans="2:12">
      <c r="B17" s="78" t="s">
        <v>12</v>
      </c>
      <c r="C17" s="79">
        <v>122000</v>
      </c>
      <c r="D17" s="79">
        <v>122000</v>
      </c>
      <c r="E17" s="79">
        <v>175000</v>
      </c>
      <c r="F17" s="79">
        <v>175000</v>
      </c>
      <c r="G17" s="79">
        <v>165000</v>
      </c>
      <c r="H17" s="79">
        <v>165000</v>
      </c>
      <c r="L17" t="s">
        <v>250</v>
      </c>
    </row>
    <row r="18" spans="2:12">
      <c r="B18" s="78" t="s">
        <v>133</v>
      </c>
      <c r="C18" s="80">
        <v>0.25</v>
      </c>
      <c r="D18" s="80">
        <v>0.25</v>
      </c>
      <c r="E18" s="80">
        <v>0.25</v>
      </c>
      <c r="F18" s="80">
        <v>0.25</v>
      </c>
      <c r="G18" s="80">
        <v>0.05</v>
      </c>
      <c r="H18" s="80">
        <v>0.2</v>
      </c>
      <c r="L18" t="s">
        <v>251</v>
      </c>
    </row>
    <row r="19" spans="2:12">
      <c r="B19" s="78" t="s">
        <v>134</v>
      </c>
      <c r="C19" s="75">
        <v>91500</v>
      </c>
      <c r="D19" s="75">
        <v>91500</v>
      </c>
      <c r="E19" s="75">
        <f>(1-E18)*E17</f>
        <v>131250</v>
      </c>
      <c r="F19" s="75">
        <v>131250</v>
      </c>
      <c r="G19" s="75">
        <v>156750</v>
      </c>
      <c r="H19" s="75">
        <v>132000</v>
      </c>
      <c r="L19" t="s">
        <v>252</v>
      </c>
    </row>
    <row r="20" spans="2:12">
      <c r="B20" s="78" t="s">
        <v>135</v>
      </c>
      <c r="C20" s="92">
        <v>0.04</v>
      </c>
      <c r="D20" s="92">
        <v>3.5000000000000003E-2</v>
      </c>
      <c r="E20" s="92">
        <v>4.2500000000000003E-2</v>
      </c>
      <c r="F20" s="92">
        <v>3.5000000000000003E-2</v>
      </c>
      <c r="G20" s="92">
        <v>3.5000000000000003E-2</v>
      </c>
      <c r="H20" s="92">
        <v>3.5000000000000003E-2</v>
      </c>
    </row>
    <row r="21" spans="2:12">
      <c r="B21" s="78" t="s">
        <v>136</v>
      </c>
      <c r="C21" s="81">
        <v>30</v>
      </c>
      <c r="D21" s="81">
        <v>30</v>
      </c>
      <c r="E21" s="81">
        <v>30</v>
      </c>
      <c r="F21" s="81">
        <v>30</v>
      </c>
      <c r="G21" s="81">
        <v>30</v>
      </c>
      <c r="H21" s="81">
        <v>30</v>
      </c>
    </row>
    <row r="22" spans="2:12">
      <c r="B22" s="78" t="s">
        <v>137</v>
      </c>
      <c r="C22" s="81">
        <v>12</v>
      </c>
      <c r="D22" s="81">
        <v>12</v>
      </c>
      <c r="E22" s="81">
        <v>12</v>
      </c>
      <c r="F22" s="81">
        <v>12</v>
      </c>
      <c r="G22" s="81">
        <v>12</v>
      </c>
      <c r="H22" s="81">
        <v>12</v>
      </c>
    </row>
    <row r="23" spans="2:12">
      <c r="B23" s="78" t="s">
        <v>138</v>
      </c>
      <c r="C23">
        <v>360</v>
      </c>
      <c r="D23">
        <v>360</v>
      </c>
      <c r="E23">
        <f>E22*E21</f>
        <v>360</v>
      </c>
      <c r="F23">
        <v>360</v>
      </c>
      <c r="G23">
        <v>360</v>
      </c>
      <c r="H23">
        <v>360</v>
      </c>
    </row>
    <row r="24" spans="2:12">
      <c r="B24" s="78" t="s">
        <v>139</v>
      </c>
      <c r="C24" s="77">
        <v>436.83499535089544</v>
      </c>
      <c r="D24" s="77">
        <v>410.87588934507443</v>
      </c>
      <c r="E24" s="77">
        <f>-PMT(E20/E22, E23, E19, 0)</f>
        <v>645.67110704182221</v>
      </c>
      <c r="F24" s="77">
        <v>589.37115274908217</v>
      </c>
      <c r="G24" s="77">
        <v>703.87754814033235</v>
      </c>
      <c r="H24" s="77">
        <v>592.73898790764827</v>
      </c>
    </row>
    <row r="25" spans="2:12">
      <c r="B25" s="78" t="s">
        <v>203</v>
      </c>
      <c r="C25" s="84">
        <v>0</v>
      </c>
      <c r="D25" s="84">
        <v>0</v>
      </c>
      <c r="E25" s="84">
        <v>0</v>
      </c>
      <c r="F25" s="84">
        <v>0</v>
      </c>
      <c r="G25" s="93">
        <v>82</v>
      </c>
      <c r="H25" s="84">
        <v>0</v>
      </c>
    </row>
    <row r="26" spans="2:12">
      <c r="B26" s="78" t="s">
        <v>140</v>
      </c>
      <c r="C26" s="77">
        <v>157260.59832632236</v>
      </c>
      <c r="D26" s="77">
        <v>147915.32016422678</v>
      </c>
      <c r="E26" s="77">
        <f>E24*E23</f>
        <v>232441.59853505599</v>
      </c>
      <c r="F26" s="77">
        <v>212173.61498966959</v>
      </c>
      <c r="G26" s="77">
        <f>253395.91733052+(G25*G23)</f>
        <v>282915.91733051999</v>
      </c>
      <c r="H26" s="77">
        <v>213386.03564675339</v>
      </c>
    </row>
    <row r="27" spans="2:12">
      <c r="B27" s="78" t="s">
        <v>204</v>
      </c>
      <c r="C27" s="82">
        <v>65760.598326322361</v>
      </c>
      <c r="D27" s="82">
        <v>56415.320164226781</v>
      </c>
      <c r="E27" s="82">
        <f>E26-E19</f>
        <v>101191.59853505599</v>
      </c>
      <c r="F27" s="82">
        <v>80923.614989669586</v>
      </c>
      <c r="G27" s="82">
        <f>96645.9173305196+G25*G23</f>
        <v>126165.9173305196</v>
      </c>
      <c r="H27" s="82">
        <v>81386.035646753386</v>
      </c>
    </row>
    <row r="28" spans="2:12">
      <c r="B28" s="78" t="s">
        <v>202</v>
      </c>
      <c r="C28" s="75">
        <v>6000</v>
      </c>
      <c r="D28" s="75">
        <v>6000</v>
      </c>
      <c r="E28" s="75">
        <v>6000</v>
      </c>
      <c r="F28" s="75">
        <v>6000</v>
      </c>
      <c r="G28" s="82">
        <v>4500</v>
      </c>
      <c r="H28" s="82">
        <v>4500</v>
      </c>
    </row>
    <row r="30" spans="2:12">
      <c r="B30" s="78" t="s">
        <v>34</v>
      </c>
      <c r="C30" s="95">
        <f t="shared" ref="C30:H30" si="0">((SUM(C24:C25)*12)/C19)</f>
        <v>5.7289835455855136E-2</v>
      </c>
      <c r="D30" s="95">
        <f t="shared" si="0"/>
        <v>5.3885362537058938E-2</v>
      </c>
      <c r="E30" s="95">
        <f t="shared" si="0"/>
        <v>5.9032786929538027E-2</v>
      </c>
      <c r="F30" s="95">
        <f t="shared" si="0"/>
        <v>5.3885362537058938E-2</v>
      </c>
      <c r="G30" s="95">
        <f t="shared" si="0"/>
        <v>6.0162874498781424E-2</v>
      </c>
      <c r="H30" s="95">
        <f t="shared" si="0"/>
        <v>5.3885362537058938E-2</v>
      </c>
    </row>
    <row r="31" spans="2:12">
      <c r="B31" s="78" t="s">
        <v>206</v>
      </c>
    </row>
    <row r="32" spans="2:12">
      <c r="B32" s="78" t="s">
        <v>207</v>
      </c>
    </row>
    <row r="33" spans="2:3">
      <c r="B33" s="78"/>
    </row>
    <row r="34" spans="2:3">
      <c r="B34" s="78"/>
    </row>
    <row r="35" spans="2:3">
      <c r="B35" s="347" t="s">
        <v>161</v>
      </c>
      <c r="C35" s="347"/>
    </row>
  </sheetData>
  <mergeCells count="1">
    <mergeCell ref="B35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7D96-CDFB-F44E-8BDC-8CF3423637D2}">
  <sheetPr>
    <tabColor theme="9"/>
  </sheetPr>
  <dimension ref="B2:C37"/>
  <sheetViews>
    <sheetView showGridLines="0" workbookViewId="0">
      <selection activeCell="B2" sqref="B2"/>
    </sheetView>
  </sheetViews>
  <sheetFormatPr defaultColWidth="11.5546875" defaultRowHeight="14.4"/>
  <cols>
    <col min="2" max="2" width="30.44140625" customWidth="1"/>
    <col min="3" max="3" width="18" customWidth="1"/>
    <col min="5" max="5" width="29.109375" customWidth="1"/>
    <col min="6" max="6" width="12.109375" bestFit="1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2" spans="2:3">
      <c r="B2" s="81" t="s">
        <v>595</v>
      </c>
    </row>
    <row r="5" spans="2:3">
      <c r="B5" s="348" t="s">
        <v>45</v>
      </c>
      <c r="C5" s="349"/>
    </row>
    <row r="6" spans="2:3">
      <c r="B6" s="350" t="s">
        <v>592</v>
      </c>
      <c r="C6" s="351"/>
    </row>
    <row r="7" spans="2:3">
      <c r="B7" s="2"/>
      <c r="C7" s="3"/>
    </row>
    <row r="8" spans="2:3">
      <c r="B8" s="157" t="s">
        <v>47</v>
      </c>
      <c r="C8" s="158"/>
    </row>
    <row r="9" spans="2:3">
      <c r="B9" s="13" t="s">
        <v>465</v>
      </c>
      <c r="C9" s="14"/>
    </row>
    <row r="10" spans="2:3">
      <c r="B10" s="39" t="s">
        <v>49</v>
      </c>
      <c r="C10" s="234">
        <v>75462</v>
      </c>
    </row>
    <row r="11" spans="2:3">
      <c r="B11" s="39" t="s">
        <v>593</v>
      </c>
      <c r="C11" s="234">
        <f>281559-7021</f>
        <v>274538</v>
      </c>
    </row>
    <row r="12" spans="2:3" ht="15" customHeight="1">
      <c r="B12" s="39" t="s">
        <v>51</v>
      </c>
      <c r="C12" s="234">
        <v>8254</v>
      </c>
    </row>
    <row r="13" spans="2:3" ht="15" customHeight="1">
      <c r="B13" s="39" t="s">
        <v>52</v>
      </c>
      <c r="C13" s="235">
        <f>-27115+7021</f>
        <v>-20094</v>
      </c>
    </row>
    <row r="14" spans="2:3" ht="15" customHeight="1">
      <c r="B14" s="13"/>
      <c r="C14" s="236">
        <f>SUM(C10:C13)</f>
        <v>338160</v>
      </c>
    </row>
    <row r="15" spans="2:3" ht="15" customHeight="1">
      <c r="B15" s="13"/>
      <c r="C15" s="40"/>
    </row>
    <row r="16" spans="2:3" ht="15" customHeight="1">
      <c r="B16" s="13" t="s">
        <v>53</v>
      </c>
      <c r="C16" s="40"/>
    </row>
    <row r="17" spans="2:3" ht="15" customHeight="1">
      <c r="B17" s="39" t="s">
        <v>54</v>
      </c>
      <c r="C17" s="234">
        <v>16581</v>
      </c>
    </row>
    <row r="18" spans="2:3" ht="15" customHeight="1">
      <c r="B18" s="39" t="s">
        <v>55</v>
      </c>
      <c r="C18" s="234">
        <v>14000</v>
      </c>
    </row>
    <row r="19" spans="2:3" ht="15" customHeight="1">
      <c r="B19" s="39" t="s">
        <v>56</v>
      </c>
      <c r="C19" s="235">
        <v>2220</v>
      </c>
    </row>
    <row r="20" spans="2:3" ht="15" customHeight="1">
      <c r="B20" s="13"/>
      <c r="C20" s="237">
        <f>SUM(C17:C19)</f>
        <v>32801</v>
      </c>
    </row>
    <row r="21" spans="2:3" ht="15" customHeight="1">
      <c r="B21" s="13"/>
      <c r="C21" s="206"/>
    </row>
    <row r="22" spans="2:3" ht="15" customHeight="1">
      <c r="B22" s="44" t="s">
        <v>58</v>
      </c>
      <c r="C22" s="238">
        <f>C14+C20</f>
        <v>370961</v>
      </c>
    </row>
    <row r="23" spans="2:3" ht="15" customHeight="1">
      <c r="B23" s="13"/>
      <c r="C23" s="40"/>
    </row>
    <row r="24" spans="2:3" ht="15" customHeight="1">
      <c r="B24" s="157" t="s">
        <v>59</v>
      </c>
      <c r="C24" s="159"/>
    </row>
    <row r="25" spans="2:3" ht="15" customHeight="1">
      <c r="B25" s="13" t="s">
        <v>3</v>
      </c>
      <c r="C25" s="40"/>
    </row>
    <row r="26" spans="2:3" ht="15" customHeight="1">
      <c r="B26" s="39" t="s">
        <v>60</v>
      </c>
      <c r="C26" s="234">
        <v>276841</v>
      </c>
    </row>
    <row r="27" spans="2:3" ht="15" customHeight="1">
      <c r="B27" s="39" t="s">
        <v>61</v>
      </c>
      <c r="C27" s="234">
        <v>16875</v>
      </c>
    </row>
    <row r="28" spans="2:3" ht="15" customHeight="1">
      <c r="B28" s="39" t="s">
        <v>62</v>
      </c>
      <c r="C28" s="234">
        <v>12254</v>
      </c>
    </row>
    <row r="29" spans="2:3" ht="15" customHeight="1">
      <c r="B29" s="39" t="s">
        <v>57</v>
      </c>
      <c r="C29" s="234">
        <v>8450</v>
      </c>
    </row>
    <row r="30" spans="2:3" ht="15" customHeight="1">
      <c r="B30" s="44" t="s">
        <v>63</v>
      </c>
      <c r="C30" s="238">
        <f>SUM(C26:C29)</f>
        <v>314420</v>
      </c>
    </row>
    <row r="31" spans="2:3" ht="15" customHeight="1">
      <c r="B31" s="13"/>
      <c r="C31" s="40"/>
    </row>
    <row r="32" spans="2:3" ht="15" customHeight="1">
      <c r="B32" s="13" t="s">
        <v>64</v>
      </c>
      <c r="C32" s="40"/>
    </row>
    <row r="33" spans="2:3" ht="15" customHeight="1">
      <c r="B33" s="39" t="s">
        <v>65</v>
      </c>
      <c r="C33" s="234">
        <v>40000</v>
      </c>
    </row>
    <row r="34" spans="2:3" ht="15" customHeight="1">
      <c r="B34" s="39" t="s">
        <v>66</v>
      </c>
      <c r="C34" s="234">
        <f>C22-C30-C33</f>
        <v>16541</v>
      </c>
    </row>
    <row r="35" spans="2:3" ht="15" customHeight="1">
      <c r="B35" s="44" t="s">
        <v>67</v>
      </c>
      <c r="C35" s="238">
        <f>SUM(C31:C34)</f>
        <v>56541</v>
      </c>
    </row>
    <row r="36" spans="2:3" ht="15" customHeight="1">
      <c r="B36" s="13"/>
      <c r="C36" s="14"/>
    </row>
    <row r="37" spans="2:3" ht="18" customHeight="1">
      <c r="B37" s="44" t="s">
        <v>540</v>
      </c>
      <c r="C37" s="239">
        <f>C30+C35</f>
        <v>370961</v>
      </c>
    </row>
  </sheetData>
  <mergeCells count="2">
    <mergeCell ref="B5:C5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5C63-4D15-BC42-AD6F-93C7D0E85FD5}">
  <sheetPr>
    <tabColor theme="9"/>
  </sheetPr>
  <dimension ref="B2:F41"/>
  <sheetViews>
    <sheetView showGridLines="0" workbookViewId="0">
      <selection activeCell="B2" sqref="B2"/>
    </sheetView>
  </sheetViews>
  <sheetFormatPr defaultColWidth="10.77734375" defaultRowHeight="14.4"/>
  <cols>
    <col min="2" max="2" width="30.44140625" customWidth="1"/>
    <col min="3" max="3" width="18" customWidth="1"/>
    <col min="5" max="5" width="31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2" spans="2:6">
      <c r="B2" s="81" t="s">
        <v>596</v>
      </c>
    </row>
    <row r="4" spans="2:6">
      <c r="B4" s="2"/>
      <c r="C4" s="3"/>
    </row>
    <row r="5" spans="2:6">
      <c r="B5" s="352" t="s">
        <v>387</v>
      </c>
      <c r="C5" s="353"/>
      <c r="E5" s="352" t="s">
        <v>387</v>
      </c>
      <c r="F5" s="353"/>
    </row>
    <row r="6" spans="2:6">
      <c r="B6" s="354" t="s">
        <v>594</v>
      </c>
      <c r="C6" s="355"/>
      <c r="E6" s="354" t="s">
        <v>594</v>
      </c>
      <c r="F6" s="355"/>
    </row>
    <row r="7" spans="2:6">
      <c r="B7" s="2"/>
      <c r="C7" s="3"/>
      <c r="E7" s="2"/>
      <c r="F7" s="3"/>
    </row>
    <row r="8" spans="2:6">
      <c r="B8" s="157" t="s">
        <v>71</v>
      </c>
      <c r="C8" s="158"/>
      <c r="E8" s="157" t="s">
        <v>71</v>
      </c>
      <c r="F8" s="158"/>
    </row>
    <row r="9" spans="2:6">
      <c r="B9" s="13" t="s">
        <v>72</v>
      </c>
      <c r="C9" s="14">
        <v>0</v>
      </c>
      <c r="E9" s="13" t="s">
        <v>87</v>
      </c>
      <c r="F9" s="14">
        <v>375000</v>
      </c>
    </row>
    <row r="10" spans="2:6">
      <c r="B10" s="48" t="s">
        <v>73</v>
      </c>
      <c r="C10" s="40">
        <v>0</v>
      </c>
      <c r="E10" s="48" t="s">
        <v>88</v>
      </c>
      <c r="F10" s="14">
        <v>25000</v>
      </c>
    </row>
    <row r="11" spans="2:6">
      <c r="B11" s="48" t="s">
        <v>74</v>
      </c>
      <c r="C11" s="49"/>
      <c r="E11" s="48" t="s">
        <v>74</v>
      </c>
      <c r="F11" s="49"/>
    </row>
    <row r="12" spans="2:6" ht="15" customHeight="1">
      <c r="B12" s="50" t="s">
        <v>75</v>
      </c>
      <c r="C12" s="42">
        <v>0</v>
      </c>
      <c r="E12" s="50" t="s">
        <v>89</v>
      </c>
      <c r="F12" s="54">
        <f>F9+F10</f>
        <v>400000</v>
      </c>
    </row>
    <row r="13" spans="2:6" ht="15" customHeight="1">
      <c r="B13" s="50"/>
      <c r="C13" s="50"/>
      <c r="E13" s="50"/>
      <c r="F13" s="50"/>
    </row>
    <row r="14" spans="2:6" ht="15" customHeight="1">
      <c r="B14" s="13" t="s">
        <v>76</v>
      </c>
      <c r="C14" s="14">
        <v>0</v>
      </c>
      <c r="E14" s="13" t="s">
        <v>90</v>
      </c>
      <c r="F14" s="14">
        <v>120000</v>
      </c>
    </row>
    <row r="15" spans="2:6" ht="15" customHeight="1">
      <c r="B15" s="13" t="s">
        <v>77</v>
      </c>
      <c r="C15" s="14">
        <v>0</v>
      </c>
      <c r="E15" s="13" t="s">
        <v>91</v>
      </c>
      <c r="F15" s="14">
        <v>75000</v>
      </c>
    </row>
    <row r="16" spans="2:6" ht="15" customHeight="1">
      <c r="B16" s="48" t="s">
        <v>74</v>
      </c>
      <c r="C16" s="51"/>
      <c r="E16" s="48" t="s">
        <v>92</v>
      </c>
      <c r="F16" s="14">
        <v>30000</v>
      </c>
    </row>
    <row r="17" spans="2:6" ht="15" customHeight="1">
      <c r="B17" s="50" t="s">
        <v>78</v>
      </c>
      <c r="C17" s="42">
        <v>0</v>
      </c>
      <c r="E17" s="48" t="s">
        <v>93</v>
      </c>
      <c r="F17" s="14">
        <v>6000</v>
      </c>
    </row>
    <row r="18" spans="2:6" ht="15" customHeight="1">
      <c r="B18" s="50"/>
      <c r="C18" s="50"/>
      <c r="E18" s="50" t="s">
        <v>94</v>
      </c>
      <c r="F18" s="54">
        <f>SUM(F14:F17)</f>
        <v>231000</v>
      </c>
    </row>
    <row r="19" spans="2:6" ht="15" customHeight="1">
      <c r="B19" s="50" t="s">
        <v>79</v>
      </c>
      <c r="C19" s="45">
        <v>0</v>
      </c>
      <c r="E19" s="50"/>
      <c r="F19" s="50"/>
    </row>
    <row r="20" spans="2:6" ht="15" customHeight="1">
      <c r="B20" s="13"/>
      <c r="C20" s="40"/>
      <c r="E20" s="50" t="s">
        <v>95</v>
      </c>
      <c r="F20" s="55">
        <f>F12-F18</f>
        <v>169000</v>
      </c>
    </row>
    <row r="21" spans="2:6" ht="15" customHeight="1">
      <c r="B21" s="157" t="s">
        <v>80</v>
      </c>
      <c r="C21" s="159"/>
      <c r="E21" s="13"/>
      <c r="F21" s="40"/>
    </row>
    <row r="22" spans="2:6" ht="15" customHeight="1">
      <c r="B22" s="13" t="s">
        <v>81</v>
      </c>
      <c r="C22" s="40">
        <v>0</v>
      </c>
      <c r="E22" s="157" t="s">
        <v>80</v>
      </c>
      <c r="F22" s="159"/>
    </row>
    <row r="23" spans="2:6" ht="15" customHeight="1">
      <c r="B23" s="48" t="s">
        <v>82</v>
      </c>
      <c r="C23" s="40">
        <v>0</v>
      </c>
      <c r="E23" s="13" t="s">
        <v>96</v>
      </c>
      <c r="F23" s="14">
        <v>7200</v>
      </c>
    </row>
    <row r="24" spans="2:6" ht="15" customHeight="1">
      <c r="B24" s="48" t="s">
        <v>74</v>
      </c>
      <c r="C24" s="40"/>
      <c r="E24" s="48" t="s">
        <v>97</v>
      </c>
      <c r="F24" s="14">
        <v>50000</v>
      </c>
    </row>
    <row r="25" spans="2:6" ht="15" customHeight="1">
      <c r="B25" s="50" t="s">
        <v>83</v>
      </c>
      <c r="C25" s="45">
        <v>0</v>
      </c>
      <c r="E25" s="48" t="s">
        <v>98</v>
      </c>
      <c r="F25" s="14">
        <v>2500</v>
      </c>
    </row>
    <row r="26" spans="2:6" ht="15" customHeight="1">
      <c r="B26" s="13"/>
      <c r="C26" s="40"/>
      <c r="E26" s="48" t="s">
        <v>99</v>
      </c>
      <c r="F26" s="14">
        <v>300</v>
      </c>
    </row>
    <row r="27" spans="2:6" ht="15" customHeight="1">
      <c r="B27" s="162" t="s">
        <v>84</v>
      </c>
      <c r="C27" s="164">
        <v>0</v>
      </c>
      <c r="E27" s="48"/>
      <c r="F27" s="14"/>
    </row>
    <row r="28" spans="2:6" ht="15" customHeight="1">
      <c r="E28" s="48" t="s">
        <v>100</v>
      </c>
      <c r="F28" s="14">
        <v>2200</v>
      </c>
    </row>
    <row r="29" spans="2:6" ht="15" customHeight="1">
      <c r="E29" s="48"/>
      <c r="F29" s="14"/>
    </row>
    <row r="30" spans="2:6" ht="15" customHeight="1">
      <c r="E30" s="48" t="s">
        <v>101</v>
      </c>
      <c r="F30" s="14">
        <v>1800</v>
      </c>
    </row>
    <row r="31" spans="2:6" ht="15" customHeight="1">
      <c r="E31" s="50" t="s">
        <v>83</v>
      </c>
      <c r="F31" s="55">
        <f>SUM(F23:F30)</f>
        <v>64000</v>
      </c>
    </row>
    <row r="32" spans="2:6" ht="15" customHeight="1">
      <c r="E32" s="13"/>
      <c r="F32" s="40"/>
    </row>
    <row r="33" spans="5:6" ht="15" customHeight="1">
      <c r="E33" s="160" t="s">
        <v>84</v>
      </c>
      <c r="F33" s="161">
        <f>F20-F31</f>
        <v>105000</v>
      </c>
    </row>
    <row r="34" spans="5:6" ht="15" customHeight="1">
      <c r="E34" s="13"/>
      <c r="F34" s="40"/>
    </row>
    <row r="35" spans="5:6" ht="15" customHeight="1">
      <c r="E35" s="169" t="s">
        <v>332</v>
      </c>
      <c r="F35" s="51">
        <v>21000</v>
      </c>
    </row>
    <row r="36" spans="5:6" ht="15" customHeight="1">
      <c r="E36" s="13"/>
      <c r="F36" s="40"/>
    </row>
    <row r="37" spans="5:6" ht="15" customHeight="1">
      <c r="E37" s="162" t="s">
        <v>103</v>
      </c>
      <c r="F37" s="163">
        <f>F33-F35</f>
        <v>84000</v>
      </c>
    </row>
    <row r="38" spans="5:6" ht="18" customHeight="1">
      <c r="E38" s="2"/>
      <c r="F38" s="3"/>
    </row>
    <row r="39" spans="5:6">
      <c r="E39" s="48" t="s">
        <v>340</v>
      </c>
      <c r="F39" s="168">
        <f>F20/F12</f>
        <v>0.42249999999999999</v>
      </c>
    </row>
    <row r="40" spans="5:6">
      <c r="E40" s="48" t="s">
        <v>341</v>
      </c>
      <c r="F40" s="168">
        <f>F33/F12</f>
        <v>0.26250000000000001</v>
      </c>
    </row>
    <row r="41" spans="5:6">
      <c r="E41" s="48" t="s">
        <v>342</v>
      </c>
      <c r="F41" s="168">
        <f>F37/F12</f>
        <v>0.21</v>
      </c>
    </row>
  </sheetData>
  <mergeCells count="4">
    <mergeCell ref="B5:C5"/>
    <mergeCell ref="B6:C6"/>
    <mergeCell ref="E6:F6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0488-8AF8-E74E-BE4D-40F04A7EAEA7}">
  <sheetPr>
    <tabColor theme="9"/>
  </sheetPr>
  <dimension ref="B2:F38"/>
  <sheetViews>
    <sheetView showGridLines="0" workbookViewId="0">
      <selection activeCell="F26" sqref="F26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2" spans="2:6">
      <c r="B2" s="81" t="s">
        <v>597</v>
      </c>
    </row>
    <row r="6" spans="2:6">
      <c r="E6" s="352" t="s">
        <v>542</v>
      </c>
      <c r="F6" s="353"/>
    </row>
    <row r="7" spans="2:6">
      <c r="E7" s="354" t="s">
        <v>541</v>
      </c>
      <c r="F7" s="355"/>
    </row>
    <row r="8" spans="2:6">
      <c r="B8" s="157" t="s">
        <v>71</v>
      </c>
      <c r="C8" s="158"/>
      <c r="E8" s="157" t="s">
        <v>71</v>
      </c>
      <c r="F8" s="158"/>
    </row>
    <row r="9" spans="2:6">
      <c r="B9" s="39" t="s">
        <v>419</v>
      </c>
      <c r="C9" s="189" t="s">
        <v>435</v>
      </c>
      <c r="E9" s="39" t="s">
        <v>419</v>
      </c>
      <c r="F9" s="234">
        <v>120000</v>
      </c>
    </row>
    <row r="10" spans="2:6">
      <c r="B10" s="39" t="s">
        <v>420</v>
      </c>
      <c r="C10" s="189" t="s">
        <v>435</v>
      </c>
      <c r="E10" s="39" t="s">
        <v>420</v>
      </c>
      <c r="F10" s="234">
        <v>-12000</v>
      </c>
    </row>
    <row r="11" spans="2:6">
      <c r="B11" s="183" t="s">
        <v>107</v>
      </c>
      <c r="C11" s="190" t="s">
        <v>435</v>
      </c>
      <c r="E11" s="183" t="s">
        <v>107</v>
      </c>
      <c r="F11" s="235">
        <v>3000</v>
      </c>
    </row>
    <row r="12" spans="2:6" ht="15" customHeight="1">
      <c r="B12" s="185" t="s">
        <v>421</v>
      </c>
      <c r="C12" s="191" t="s">
        <v>435</v>
      </c>
      <c r="E12" s="185" t="s">
        <v>421</v>
      </c>
      <c r="F12" s="238">
        <v>111000</v>
      </c>
    </row>
    <row r="13" spans="2:6" ht="15" customHeight="1">
      <c r="E13" s="157" t="s">
        <v>80</v>
      </c>
      <c r="F13" s="240"/>
    </row>
    <row r="14" spans="2:6" ht="15" customHeight="1">
      <c r="E14" s="39" t="s">
        <v>422</v>
      </c>
      <c r="F14" s="234">
        <v>5250</v>
      </c>
    </row>
    <row r="15" spans="2:6" ht="15" customHeight="1">
      <c r="B15" s="157" t="s">
        <v>80</v>
      </c>
      <c r="C15" s="182"/>
      <c r="E15" s="39" t="s">
        <v>98</v>
      </c>
      <c r="F15" s="234">
        <v>2810</v>
      </c>
    </row>
    <row r="16" spans="2:6" ht="15" customHeight="1">
      <c r="B16" s="39" t="s">
        <v>422</v>
      </c>
      <c r="C16" s="189" t="s">
        <v>435</v>
      </c>
      <c r="E16" s="39" t="s">
        <v>209</v>
      </c>
      <c r="F16" s="235">
        <v>8640</v>
      </c>
    </row>
    <row r="17" spans="2:6" ht="15" customHeight="1">
      <c r="B17" s="39" t="s">
        <v>98</v>
      </c>
      <c r="C17" s="189" t="s">
        <v>435</v>
      </c>
      <c r="E17" s="39" t="s">
        <v>423</v>
      </c>
      <c r="F17" s="234">
        <v>4800</v>
      </c>
    </row>
    <row r="18" spans="2:6" ht="15" customHeight="1">
      <c r="B18" s="39" t="s">
        <v>209</v>
      </c>
      <c r="C18" s="189" t="s">
        <v>435</v>
      </c>
      <c r="E18" s="39" t="s">
        <v>326</v>
      </c>
      <c r="F18" s="234">
        <v>10000</v>
      </c>
    </row>
    <row r="19" spans="2:6" ht="15" customHeight="1">
      <c r="B19" s="39" t="s">
        <v>423</v>
      </c>
      <c r="C19" s="189" t="s">
        <v>435</v>
      </c>
      <c r="E19" s="39" t="s">
        <v>101</v>
      </c>
      <c r="F19" s="235">
        <v>400</v>
      </c>
    </row>
    <row r="20" spans="2:6" ht="15" customHeight="1">
      <c r="B20" s="39" t="s">
        <v>326</v>
      </c>
      <c r="C20" s="189" t="s">
        <v>435</v>
      </c>
      <c r="E20" s="39" t="s">
        <v>424</v>
      </c>
      <c r="F20" s="234">
        <v>3600</v>
      </c>
    </row>
    <row r="21" spans="2:6" ht="15" customHeight="1">
      <c r="B21" s="39" t="s">
        <v>101</v>
      </c>
      <c r="C21" s="189" t="s">
        <v>435</v>
      </c>
      <c r="E21" s="39" t="s">
        <v>425</v>
      </c>
      <c r="F21" s="234">
        <v>0</v>
      </c>
    </row>
    <row r="22" spans="2:6" ht="15" customHeight="1">
      <c r="B22" s="39" t="s">
        <v>424</v>
      </c>
      <c r="C22" s="189" t="s">
        <v>435</v>
      </c>
      <c r="E22" s="39" t="s">
        <v>426</v>
      </c>
      <c r="F22" s="235">
        <v>0</v>
      </c>
    </row>
    <row r="23" spans="2:6" ht="15" customHeight="1">
      <c r="B23" s="39" t="s">
        <v>425</v>
      </c>
      <c r="C23" s="189" t="s">
        <v>435</v>
      </c>
      <c r="E23" s="39" t="s">
        <v>427</v>
      </c>
      <c r="F23" s="234">
        <v>3000</v>
      </c>
    </row>
    <row r="24" spans="2:6" ht="15" customHeight="1">
      <c r="B24" s="39" t="s">
        <v>426</v>
      </c>
      <c r="C24" s="189" t="s">
        <v>435</v>
      </c>
      <c r="E24" s="39" t="s">
        <v>428</v>
      </c>
      <c r="F24" s="234">
        <v>0</v>
      </c>
    </row>
    <row r="25" spans="2:6" ht="15" customHeight="1">
      <c r="B25" s="39" t="s">
        <v>427</v>
      </c>
      <c r="C25" s="189" t="s">
        <v>435</v>
      </c>
      <c r="E25" s="39" t="s">
        <v>429</v>
      </c>
      <c r="F25" s="235">
        <v>0</v>
      </c>
    </row>
    <row r="26" spans="2:6" ht="15" customHeight="1">
      <c r="B26" s="39" t="s">
        <v>428</v>
      </c>
      <c r="C26" s="189" t="s">
        <v>435</v>
      </c>
      <c r="E26" s="183" t="s">
        <v>430</v>
      </c>
      <c r="F26" s="234">
        <v>1500</v>
      </c>
    </row>
    <row r="27" spans="2:6" ht="15" customHeight="1">
      <c r="B27" s="39" t="s">
        <v>429</v>
      </c>
      <c r="C27" s="189" t="s">
        <v>435</v>
      </c>
      <c r="E27" s="186" t="s">
        <v>431</v>
      </c>
      <c r="F27" s="241">
        <v>40000</v>
      </c>
    </row>
    <row r="28" spans="2:6" ht="15" customHeight="1">
      <c r="B28" s="183" t="s">
        <v>430</v>
      </c>
      <c r="C28" s="189" t="s">
        <v>435</v>
      </c>
      <c r="E28" s="187" t="s">
        <v>112</v>
      </c>
      <c r="F28" s="241">
        <v>71000</v>
      </c>
    </row>
    <row r="29" spans="2:6" ht="15" customHeight="1">
      <c r="E29" s="276" t="s">
        <v>157</v>
      </c>
      <c r="F29" s="237">
        <v>-40200</v>
      </c>
    </row>
    <row r="30" spans="2:6" ht="15" customHeight="1">
      <c r="E30" s="276" t="s">
        <v>444</v>
      </c>
      <c r="F30" s="277">
        <v>-5000</v>
      </c>
    </row>
    <row r="31" spans="2:6" ht="15" customHeight="1">
      <c r="E31" s="185" t="s">
        <v>458</v>
      </c>
      <c r="F31" s="238">
        <f>SUM(F28:F30)</f>
        <v>25800</v>
      </c>
    </row>
    <row r="32" spans="2:6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mergeCells count="2">
    <mergeCell ref="E6:F6"/>
    <mergeCell ref="E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148F-BD2C-D742-B728-DD38FC35F9AA}">
  <sheetPr>
    <tabColor theme="8"/>
  </sheetPr>
  <dimension ref="B6:F59"/>
  <sheetViews>
    <sheetView showGridLines="0" topLeftCell="A20" workbookViewId="0">
      <selection activeCell="F60" sqref="F60"/>
    </sheetView>
  </sheetViews>
  <sheetFormatPr defaultColWidth="10.77734375" defaultRowHeight="14.4"/>
  <cols>
    <col min="2" max="2" width="11.44140625" customWidth="1"/>
    <col min="3" max="3" width="18" customWidth="1"/>
    <col min="4" max="4" width="17.33203125" customWidth="1"/>
    <col min="5" max="5" width="17.109375" customWidth="1"/>
    <col min="6" max="6" width="28.109375" bestFit="1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6" spans="2:5">
      <c r="B6" s="207"/>
      <c r="C6" s="210" t="s">
        <v>261</v>
      </c>
      <c r="D6" s="210" t="s">
        <v>19</v>
      </c>
      <c r="E6" s="210" t="s">
        <v>389</v>
      </c>
    </row>
    <row r="7" spans="2:5">
      <c r="B7" s="208" t="s">
        <v>255</v>
      </c>
      <c r="C7" s="242">
        <v>10000</v>
      </c>
      <c r="D7" s="209">
        <v>0.05</v>
      </c>
      <c r="E7" s="242">
        <f>D7*C7</f>
        <v>500</v>
      </c>
    </row>
    <row r="8" spans="2:5">
      <c r="B8" s="208" t="s">
        <v>256</v>
      </c>
      <c r="C8" s="242">
        <v>10000</v>
      </c>
      <c r="D8" s="209">
        <v>0.05</v>
      </c>
      <c r="E8" s="242">
        <f>D8*C8</f>
        <v>500</v>
      </c>
    </row>
    <row r="9" spans="2:5">
      <c r="B9" s="208" t="s">
        <v>258</v>
      </c>
      <c r="C9" s="242">
        <v>10000</v>
      </c>
      <c r="D9" s="209">
        <v>0.05</v>
      </c>
      <c r="E9" s="242">
        <f>D9*C9</f>
        <v>500</v>
      </c>
    </row>
    <row r="10" spans="2:5">
      <c r="B10" s="208" t="s">
        <v>257</v>
      </c>
      <c r="C10" s="242">
        <v>10000</v>
      </c>
      <c r="D10" s="209">
        <v>0.05</v>
      </c>
      <c r="E10" s="242">
        <f>D10*C10</f>
        <v>500</v>
      </c>
    </row>
    <row r="11" spans="2:5">
      <c r="B11" s="208" t="s">
        <v>263</v>
      </c>
      <c r="C11" s="242">
        <v>10000</v>
      </c>
      <c r="D11" s="209">
        <v>0.05</v>
      </c>
      <c r="E11" s="242">
        <f>D11*C11</f>
        <v>500</v>
      </c>
    </row>
    <row r="12" spans="2:5" ht="15" customHeight="1"/>
    <row r="13" spans="2:5" ht="15" customHeight="1"/>
    <row r="14" spans="2:5" ht="15" customHeight="1">
      <c r="B14" s="207"/>
      <c r="C14" s="207" t="s">
        <v>261</v>
      </c>
      <c r="D14" s="207" t="s">
        <v>19</v>
      </c>
      <c r="E14" s="207" t="s">
        <v>389</v>
      </c>
    </row>
    <row r="15" spans="2:5" ht="15" customHeight="1">
      <c r="B15" s="208" t="s">
        <v>255</v>
      </c>
      <c r="C15" s="242">
        <v>10000</v>
      </c>
      <c r="D15" s="209">
        <v>0.05</v>
      </c>
      <c r="E15" s="242">
        <f>D15*C15</f>
        <v>500</v>
      </c>
    </row>
    <row r="16" spans="2:5" ht="15" customHeight="1">
      <c r="B16" s="208" t="s">
        <v>256</v>
      </c>
      <c r="C16" s="242">
        <f>C15+E15</f>
        <v>10500</v>
      </c>
      <c r="D16" s="209">
        <v>0.05</v>
      </c>
      <c r="E16" s="242">
        <f>D16*C16</f>
        <v>525</v>
      </c>
    </row>
    <row r="17" spans="2:6" ht="15" customHeight="1">
      <c r="B17" s="208" t="s">
        <v>258</v>
      </c>
      <c r="C17" s="242">
        <f>C16+E16</f>
        <v>11025</v>
      </c>
      <c r="D17" s="209">
        <v>0.05</v>
      </c>
      <c r="E17" s="242">
        <f>D17*C17</f>
        <v>551.25</v>
      </c>
    </row>
    <row r="18" spans="2:6" ht="15" customHeight="1">
      <c r="B18" s="208" t="s">
        <v>257</v>
      </c>
      <c r="C18" s="242">
        <f>C17+E17</f>
        <v>11576.25</v>
      </c>
      <c r="D18" s="209">
        <v>0.05</v>
      </c>
      <c r="E18" s="242">
        <f>D18*C18</f>
        <v>578.8125</v>
      </c>
    </row>
    <row r="19" spans="2:6" ht="15" customHeight="1">
      <c r="B19" s="208" t="s">
        <v>263</v>
      </c>
      <c r="C19" s="242">
        <f>C18+E18</f>
        <v>12155.0625</v>
      </c>
      <c r="D19" s="209">
        <v>0.05</v>
      </c>
      <c r="E19" s="242">
        <f>D19*C19</f>
        <v>607.75312500000007</v>
      </c>
    </row>
    <row r="20" spans="2:6" ht="15" customHeight="1"/>
    <row r="21" spans="2:6" ht="15" customHeight="1"/>
    <row r="22" spans="2:6" ht="15" customHeight="1"/>
    <row r="23" spans="2:6" ht="15" customHeight="1"/>
    <row r="24" spans="2:6" ht="15" customHeight="1"/>
    <row r="25" spans="2:6" ht="15" customHeight="1"/>
    <row r="26" spans="2:6" ht="15" customHeight="1"/>
    <row r="27" spans="2:6" ht="15" customHeight="1">
      <c r="B27" s="356" t="s">
        <v>247</v>
      </c>
      <c r="C27" s="356"/>
      <c r="D27" s="356"/>
      <c r="E27" s="356"/>
      <c r="F27" s="356"/>
    </row>
    <row r="28" spans="2:6" ht="15" customHeight="1">
      <c r="B28" s="127" t="s">
        <v>119</v>
      </c>
      <c r="C28" s="127" t="s">
        <v>466</v>
      </c>
      <c r="D28" s="127" t="s">
        <v>467</v>
      </c>
      <c r="E28" s="129" t="s">
        <v>19</v>
      </c>
      <c r="F28" s="116" t="s">
        <v>485</v>
      </c>
    </row>
    <row r="29" spans="2:6" ht="15" customHeight="1">
      <c r="B29">
        <v>0</v>
      </c>
      <c r="C29" s="84">
        <v>10000</v>
      </c>
      <c r="D29" s="84">
        <v>10000</v>
      </c>
      <c r="E29" s="121">
        <v>0.08</v>
      </c>
    </row>
    <row r="30" spans="2:6" ht="15" customHeight="1">
      <c r="B30">
        <v>1</v>
      </c>
      <c r="C30" s="84">
        <f t="shared" ref="C30:C59" si="0">C29*(1+E29)</f>
        <v>10800</v>
      </c>
      <c r="D30" s="84">
        <f t="shared" ref="D30:D59" si="1">D29+(C$29*E30)</f>
        <v>10800</v>
      </c>
      <c r="E30" s="121">
        <v>0.08</v>
      </c>
      <c r="F30" s="94">
        <f t="shared" ref="F30:F59" si="2">C30/D30-1</f>
        <v>0</v>
      </c>
    </row>
    <row r="31" spans="2:6" ht="15" customHeight="1">
      <c r="B31">
        <v>2</v>
      </c>
      <c r="C31" s="84">
        <f t="shared" si="0"/>
        <v>11664</v>
      </c>
      <c r="D31" s="84">
        <f t="shared" si="1"/>
        <v>11600</v>
      </c>
      <c r="E31" s="121">
        <v>0.08</v>
      </c>
      <c r="F31" s="94">
        <f t="shared" si="2"/>
        <v>5.5172413793103114E-3</v>
      </c>
    </row>
    <row r="32" spans="2:6" ht="15" customHeight="1">
      <c r="B32">
        <v>3</v>
      </c>
      <c r="C32" s="84">
        <f t="shared" si="0"/>
        <v>12597.12</v>
      </c>
      <c r="D32" s="84">
        <f t="shared" si="1"/>
        <v>12400</v>
      </c>
      <c r="E32" s="121">
        <v>0.08</v>
      </c>
      <c r="F32" s="94">
        <f t="shared" si="2"/>
        <v>1.5896774193548513E-2</v>
      </c>
    </row>
    <row r="33" spans="2:6" ht="15" customHeight="1">
      <c r="B33">
        <v>4</v>
      </c>
      <c r="C33" s="84">
        <f t="shared" si="0"/>
        <v>13604.889600000002</v>
      </c>
      <c r="D33" s="84">
        <f t="shared" si="1"/>
        <v>13200</v>
      </c>
      <c r="E33" s="121">
        <v>0.08</v>
      </c>
      <c r="F33" s="94">
        <f t="shared" si="2"/>
        <v>3.0673454545454781E-2</v>
      </c>
    </row>
    <row r="34" spans="2:6" ht="15" customHeight="1">
      <c r="B34">
        <v>5</v>
      </c>
      <c r="C34" s="84">
        <f t="shared" si="0"/>
        <v>14693.280768000004</v>
      </c>
      <c r="D34" s="84">
        <f t="shared" si="1"/>
        <v>14000</v>
      </c>
      <c r="E34" s="121">
        <v>0.08</v>
      </c>
      <c r="F34" s="94">
        <f t="shared" si="2"/>
        <v>4.9520054857143059E-2</v>
      </c>
    </row>
    <row r="35" spans="2:6" ht="15" customHeight="1">
      <c r="B35">
        <v>6</v>
      </c>
      <c r="C35" s="84">
        <f t="shared" si="0"/>
        <v>15868.743229440006</v>
      </c>
      <c r="D35" s="84">
        <f t="shared" si="1"/>
        <v>14800</v>
      </c>
      <c r="E35" s="121">
        <v>0.08</v>
      </c>
      <c r="F35" s="94">
        <f t="shared" si="2"/>
        <v>7.2212380367568052E-2</v>
      </c>
    </row>
    <row r="36" spans="2:6" ht="15" customHeight="1">
      <c r="B36">
        <v>7</v>
      </c>
      <c r="C36" s="84">
        <f t="shared" si="0"/>
        <v>17138.242687795209</v>
      </c>
      <c r="D36" s="84">
        <f t="shared" si="1"/>
        <v>15600</v>
      </c>
      <c r="E36" s="121">
        <v>0.08</v>
      </c>
      <c r="F36" s="94">
        <f t="shared" si="2"/>
        <v>9.8605300499692961E-2</v>
      </c>
    </row>
    <row r="37" spans="2:6" ht="15" customHeight="1">
      <c r="B37">
        <v>8</v>
      </c>
      <c r="C37" s="84">
        <f t="shared" si="0"/>
        <v>18509.302102818827</v>
      </c>
      <c r="D37" s="84">
        <f t="shared" si="1"/>
        <v>16400</v>
      </c>
      <c r="E37" s="121">
        <v>0.08</v>
      </c>
      <c r="F37" s="94">
        <f t="shared" si="2"/>
        <v>0.12861598187919676</v>
      </c>
    </row>
    <row r="38" spans="2:6" ht="18" customHeight="1">
      <c r="B38">
        <v>9</v>
      </c>
      <c r="C38" s="84">
        <f t="shared" si="0"/>
        <v>19990.046271044335</v>
      </c>
      <c r="D38" s="84">
        <f t="shared" si="1"/>
        <v>17200</v>
      </c>
      <c r="E38" s="121">
        <v>0.08</v>
      </c>
      <c r="F38" s="94">
        <f t="shared" si="2"/>
        <v>0.16221199250257756</v>
      </c>
    </row>
    <row r="39" spans="2:6">
      <c r="B39">
        <v>10</v>
      </c>
      <c r="C39" s="84">
        <f t="shared" si="0"/>
        <v>21589.249972727885</v>
      </c>
      <c r="D39" s="84">
        <f t="shared" si="1"/>
        <v>18000</v>
      </c>
      <c r="E39" s="121">
        <v>0.08</v>
      </c>
      <c r="F39" s="94">
        <f t="shared" si="2"/>
        <v>0.19940277626266023</v>
      </c>
    </row>
    <row r="40" spans="2:6">
      <c r="B40">
        <v>11</v>
      </c>
      <c r="C40" s="84">
        <f t="shared" si="0"/>
        <v>23316.389970546115</v>
      </c>
      <c r="D40" s="84">
        <f t="shared" si="1"/>
        <v>18800</v>
      </c>
      <c r="E40" s="121">
        <v>0.08</v>
      </c>
      <c r="F40" s="94">
        <f t="shared" si="2"/>
        <v>0.2402335090716019</v>
      </c>
    </row>
    <row r="41" spans="2:6">
      <c r="B41">
        <v>12</v>
      </c>
      <c r="C41" s="84">
        <f t="shared" si="0"/>
        <v>25181.701168189808</v>
      </c>
      <c r="D41" s="84">
        <f t="shared" si="1"/>
        <v>19600</v>
      </c>
      <c r="E41" s="121">
        <v>0.08</v>
      </c>
      <c r="F41" s="94">
        <f t="shared" si="2"/>
        <v>0.28478067184641875</v>
      </c>
    </row>
    <row r="42" spans="2:6">
      <c r="B42">
        <v>13</v>
      </c>
      <c r="C42" s="84">
        <f t="shared" si="0"/>
        <v>27196.237261644994</v>
      </c>
      <c r="D42" s="84">
        <f t="shared" si="1"/>
        <v>20400</v>
      </c>
      <c r="E42" s="121">
        <v>0.08</v>
      </c>
      <c r="F42" s="94">
        <f t="shared" si="2"/>
        <v>0.33314888537475462</v>
      </c>
    </row>
    <row r="43" spans="2:6">
      <c r="B43">
        <v>14</v>
      </c>
      <c r="C43" s="84">
        <f t="shared" si="0"/>
        <v>29371.936242576594</v>
      </c>
      <c r="D43" s="84">
        <f t="shared" si="1"/>
        <v>21200</v>
      </c>
      <c r="E43" s="121">
        <v>0.08</v>
      </c>
      <c r="F43" s="94">
        <f t="shared" si="2"/>
        <v>0.38546869068757528</v>
      </c>
    </row>
    <row r="44" spans="2:6">
      <c r="B44">
        <v>15</v>
      </c>
      <c r="C44" s="84">
        <f t="shared" si="0"/>
        <v>31721.691141982723</v>
      </c>
      <c r="D44" s="84">
        <f t="shared" si="1"/>
        <v>22000</v>
      </c>
      <c r="E44" s="121">
        <v>0.08</v>
      </c>
      <c r="F44" s="94">
        <f t="shared" si="2"/>
        <v>0.44189505190830558</v>
      </c>
    </row>
    <row r="45" spans="2:6">
      <c r="B45">
        <v>16</v>
      </c>
      <c r="C45" s="84">
        <f t="shared" si="0"/>
        <v>34259.426433341345</v>
      </c>
      <c r="D45" s="84">
        <f t="shared" si="1"/>
        <v>22800</v>
      </c>
      <c r="E45" s="121">
        <v>0.08</v>
      </c>
      <c r="F45" s="94">
        <f t="shared" si="2"/>
        <v>0.50260642251497134</v>
      </c>
    </row>
    <row r="46" spans="2:6">
      <c r="B46">
        <v>17</v>
      </c>
      <c r="C46" s="84">
        <f t="shared" si="0"/>
        <v>37000.180548008655</v>
      </c>
      <c r="D46" s="84">
        <f t="shared" si="1"/>
        <v>23600</v>
      </c>
      <c r="E46" s="121">
        <v>0.08</v>
      </c>
      <c r="F46" s="94">
        <f t="shared" si="2"/>
        <v>0.56780426050884136</v>
      </c>
    </row>
    <row r="47" spans="2:6">
      <c r="B47">
        <v>18</v>
      </c>
      <c r="C47" s="84">
        <f t="shared" si="0"/>
        <v>39960.194991849348</v>
      </c>
      <c r="D47" s="84">
        <f t="shared" si="1"/>
        <v>24400</v>
      </c>
      <c r="E47" s="121">
        <v>0.08</v>
      </c>
      <c r="F47" s="94">
        <f t="shared" si="2"/>
        <v>0.63771290950202242</v>
      </c>
    </row>
    <row r="48" spans="2:6">
      <c r="B48">
        <v>19</v>
      </c>
      <c r="C48" s="84">
        <f t="shared" si="0"/>
        <v>43157.010591197301</v>
      </c>
      <c r="D48" s="84">
        <f t="shared" si="1"/>
        <v>25200</v>
      </c>
      <c r="E48" s="121">
        <v>0.08</v>
      </c>
      <c r="F48" s="94">
        <f t="shared" si="2"/>
        <v>0.71257978536497224</v>
      </c>
    </row>
    <row r="49" spans="2:6">
      <c r="B49">
        <v>20</v>
      </c>
      <c r="C49" s="84">
        <f t="shared" si="0"/>
        <v>46609.571438493091</v>
      </c>
      <c r="D49" s="84">
        <f t="shared" si="1"/>
        <v>26000</v>
      </c>
      <c r="E49" s="121">
        <v>0.08</v>
      </c>
      <c r="F49" s="94">
        <f t="shared" si="2"/>
        <v>0.79267582455742658</v>
      </c>
    </row>
    <row r="50" spans="2:6">
      <c r="B50">
        <v>21</v>
      </c>
      <c r="C50" s="84">
        <f t="shared" si="0"/>
        <v>50338.337153572538</v>
      </c>
      <c r="D50" s="84">
        <f t="shared" si="1"/>
        <v>26800</v>
      </c>
      <c r="E50" s="121">
        <v>0.08</v>
      </c>
      <c r="F50" s="94">
        <f t="shared" si="2"/>
        <v>0.87829616244673647</v>
      </c>
    </row>
    <row r="51" spans="2:6">
      <c r="B51">
        <v>22</v>
      </c>
      <c r="C51" s="84">
        <f t="shared" si="0"/>
        <v>54365.404125858346</v>
      </c>
      <c r="D51" s="84">
        <f t="shared" si="1"/>
        <v>27600</v>
      </c>
      <c r="E51" s="121">
        <v>0.08</v>
      </c>
      <c r="F51" s="94">
        <f t="shared" si="2"/>
        <v>0.96976101905283851</v>
      </c>
    </row>
    <row r="52" spans="2:6">
      <c r="B52">
        <v>23</v>
      </c>
      <c r="C52" s="84">
        <f t="shared" si="0"/>
        <v>58714.636455927015</v>
      </c>
      <c r="D52" s="84">
        <f t="shared" si="1"/>
        <v>28400</v>
      </c>
      <c r="E52" s="121">
        <v>0.08</v>
      </c>
      <c r="F52" s="94">
        <f t="shared" si="2"/>
        <v>1.0674167766171485</v>
      </c>
    </row>
    <row r="53" spans="2:6">
      <c r="B53">
        <v>24</v>
      </c>
      <c r="C53" s="84">
        <f t="shared" si="0"/>
        <v>63411.807372401177</v>
      </c>
      <c r="D53" s="84">
        <f t="shared" si="1"/>
        <v>29200</v>
      </c>
      <c r="E53" s="121">
        <v>0.08</v>
      </c>
      <c r="F53" s="94">
        <f t="shared" si="2"/>
        <v>1.1716372387808622</v>
      </c>
    </row>
    <row r="54" spans="2:6">
      <c r="B54">
        <v>25</v>
      </c>
      <c r="C54" s="84">
        <f t="shared" si="0"/>
        <v>68484.751962193273</v>
      </c>
      <c r="D54" s="84">
        <f t="shared" si="1"/>
        <v>30000</v>
      </c>
      <c r="E54" s="121">
        <v>0.08</v>
      </c>
      <c r="F54" s="94">
        <f t="shared" si="2"/>
        <v>1.2828250654064424</v>
      </c>
    </row>
    <row r="55" spans="2:6">
      <c r="B55">
        <v>26</v>
      </c>
      <c r="C55" s="84">
        <f t="shared" si="0"/>
        <v>73963.53211916874</v>
      </c>
      <c r="D55" s="84">
        <f t="shared" si="1"/>
        <v>30800</v>
      </c>
      <c r="E55" s="121">
        <v>0.08</v>
      </c>
      <c r="F55" s="94">
        <f t="shared" si="2"/>
        <v>1.4014133804924915</v>
      </c>
    </row>
    <row r="56" spans="2:6">
      <c r="B56">
        <v>27</v>
      </c>
      <c r="C56" s="84">
        <f t="shared" si="0"/>
        <v>79880.614688702248</v>
      </c>
      <c r="D56" s="84">
        <f t="shared" si="1"/>
        <v>31600</v>
      </c>
      <c r="E56" s="121">
        <v>0.08</v>
      </c>
      <c r="F56" s="94">
        <f t="shared" si="2"/>
        <v>1.5278675534399446</v>
      </c>
    </row>
    <row r="57" spans="2:6">
      <c r="B57">
        <v>28</v>
      </c>
      <c r="C57" s="84">
        <f t="shared" si="0"/>
        <v>86271.063863798438</v>
      </c>
      <c r="D57" s="84">
        <f t="shared" si="1"/>
        <v>32400</v>
      </c>
      <c r="E57" s="121">
        <v>0.08</v>
      </c>
      <c r="F57" s="94">
        <f t="shared" si="2"/>
        <v>1.6626871562900751</v>
      </c>
    </row>
    <row r="58" spans="2:6">
      <c r="B58">
        <v>29</v>
      </c>
      <c r="C58" s="84">
        <f t="shared" si="0"/>
        <v>93172.748972902322</v>
      </c>
      <c r="D58" s="84">
        <f t="shared" si="1"/>
        <v>33200</v>
      </c>
      <c r="E58" s="121">
        <v>0.08</v>
      </c>
      <c r="F58" s="94">
        <f t="shared" si="2"/>
        <v>1.8064081015934432</v>
      </c>
    </row>
    <row r="59" spans="2:6">
      <c r="B59">
        <v>30</v>
      </c>
      <c r="C59" s="84">
        <f t="shared" si="0"/>
        <v>100626.56889073452</v>
      </c>
      <c r="D59" s="84">
        <f t="shared" si="1"/>
        <v>34000</v>
      </c>
      <c r="E59" s="121">
        <v>0.08</v>
      </c>
      <c r="F59" s="94">
        <f t="shared" si="2"/>
        <v>1.9596049673745446</v>
      </c>
    </row>
  </sheetData>
  <mergeCells count="1">
    <mergeCell ref="B27:F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827C-9E94-2C4F-91A6-9F7105754A1F}">
  <sheetPr>
    <tabColor theme="8"/>
  </sheetPr>
  <dimension ref="B5:K39"/>
  <sheetViews>
    <sheetView showGridLines="0" workbookViewId="0">
      <selection activeCell="K16" sqref="K16"/>
    </sheetView>
  </sheetViews>
  <sheetFormatPr defaultColWidth="10.77734375" defaultRowHeight="14.4"/>
  <cols>
    <col min="2" max="2" width="14.6640625" customWidth="1"/>
    <col min="3" max="3" width="9.6640625" customWidth="1"/>
    <col min="4" max="4" width="6.109375" customWidth="1"/>
    <col min="5" max="5" width="9.6640625" customWidth="1"/>
    <col min="6" max="6" width="17.33203125" customWidth="1"/>
    <col min="7" max="7" width="3" customWidth="1"/>
    <col min="8" max="8" width="17.109375" customWidth="1"/>
    <col min="9" max="9" width="12" customWidth="1"/>
    <col min="10" max="10" width="12.664062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5" spans="2:11">
      <c r="B5" s="218" t="s">
        <v>131</v>
      </c>
      <c r="C5" s="221" t="s">
        <v>468</v>
      </c>
      <c r="D5" s="221" t="s">
        <v>469</v>
      </c>
      <c r="E5" s="221" t="s">
        <v>262</v>
      </c>
      <c r="F5" s="83"/>
      <c r="G5" s="83"/>
      <c r="H5" s="218" t="s">
        <v>131</v>
      </c>
      <c r="I5" s="221" t="s">
        <v>483</v>
      </c>
      <c r="J5" s="221" t="s">
        <v>123</v>
      </c>
      <c r="K5" s="221" t="s">
        <v>124</v>
      </c>
    </row>
    <row r="6" spans="2:11">
      <c r="B6" s="212" t="s">
        <v>470</v>
      </c>
      <c r="C6" s="220">
        <v>1000</v>
      </c>
      <c r="D6" s="213">
        <v>0.01</v>
      </c>
      <c r="E6" s="220">
        <v>10</v>
      </c>
      <c r="F6" s="83"/>
      <c r="G6" s="83"/>
      <c r="H6" s="227" t="s">
        <v>481</v>
      </c>
      <c r="I6" s="220">
        <v>1000</v>
      </c>
      <c r="J6" s="213">
        <v>0.01</v>
      </c>
      <c r="K6" s="220">
        <v>990.1</v>
      </c>
    </row>
    <row r="7" spans="2:11">
      <c r="B7" s="212" t="s">
        <v>471</v>
      </c>
      <c r="C7" s="220">
        <f>C6+E6</f>
        <v>1010</v>
      </c>
      <c r="D7" s="213">
        <v>0.01</v>
      </c>
      <c r="E7" s="220">
        <v>10.1</v>
      </c>
      <c r="F7" s="83"/>
      <c r="G7" s="83"/>
      <c r="H7" s="227" t="s">
        <v>480</v>
      </c>
      <c r="I7" s="220">
        <v>990.1</v>
      </c>
      <c r="J7" s="213">
        <v>0.01</v>
      </c>
      <c r="K7" s="220">
        <v>980.3</v>
      </c>
    </row>
    <row r="8" spans="2:11">
      <c r="B8" s="212" t="s">
        <v>472</v>
      </c>
      <c r="C8" s="220">
        <f t="shared" ref="C8:C17" si="0">C7+E7</f>
        <v>1020.1</v>
      </c>
      <c r="D8" s="213">
        <v>0.01</v>
      </c>
      <c r="E8" s="220">
        <v>10.199999999999999</v>
      </c>
      <c r="F8" s="83"/>
      <c r="G8" s="83"/>
      <c r="H8" s="227" t="s">
        <v>479</v>
      </c>
      <c r="I8" s="220">
        <v>980.3</v>
      </c>
      <c r="J8" s="213">
        <v>0.01</v>
      </c>
      <c r="K8" s="220">
        <v>970.59</v>
      </c>
    </row>
    <row r="9" spans="2:11">
      <c r="B9" s="212" t="s">
        <v>473</v>
      </c>
      <c r="C9" s="220">
        <f t="shared" si="0"/>
        <v>1030.3</v>
      </c>
      <c r="D9" s="213">
        <v>0.01</v>
      </c>
      <c r="E9" s="220">
        <v>10.3</v>
      </c>
      <c r="F9" s="83"/>
      <c r="G9" s="83"/>
      <c r="H9" s="227" t="s">
        <v>478</v>
      </c>
      <c r="I9" s="220">
        <v>970.59</v>
      </c>
      <c r="J9" s="213">
        <v>0.01</v>
      </c>
      <c r="K9" s="220">
        <v>960.98</v>
      </c>
    </row>
    <row r="10" spans="2:11">
      <c r="B10" s="212" t="s">
        <v>474</v>
      </c>
      <c r="C10" s="220">
        <f t="shared" si="0"/>
        <v>1040.5999999999999</v>
      </c>
      <c r="D10" s="213">
        <v>0.01</v>
      </c>
      <c r="E10" s="220">
        <v>10.41</v>
      </c>
      <c r="F10" s="83"/>
      <c r="G10" s="83"/>
      <c r="H10" s="227" t="s">
        <v>477</v>
      </c>
      <c r="I10" s="220">
        <v>960.98</v>
      </c>
      <c r="J10" s="213">
        <v>0.01</v>
      </c>
      <c r="K10" s="220">
        <v>951.47</v>
      </c>
    </row>
    <row r="11" spans="2:11">
      <c r="B11" s="212" t="s">
        <v>475</v>
      </c>
      <c r="C11" s="220">
        <f t="shared" si="0"/>
        <v>1051.01</v>
      </c>
      <c r="D11" s="213">
        <v>0.01</v>
      </c>
      <c r="E11" s="220">
        <v>10.51</v>
      </c>
      <c r="F11" s="83"/>
      <c r="G11" s="83"/>
      <c r="H11" s="227" t="s">
        <v>476</v>
      </c>
      <c r="I11" s="220">
        <v>951.47</v>
      </c>
      <c r="J11" s="213">
        <v>0.01</v>
      </c>
      <c r="K11" s="220">
        <v>942.05</v>
      </c>
    </row>
    <row r="12" spans="2:11" ht="15" customHeight="1">
      <c r="B12" s="212" t="s">
        <v>476</v>
      </c>
      <c r="C12" s="220">
        <f t="shared" si="0"/>
        <v>1061.52</v>
      </c>
      <c r="D12" s="213">
        <v>0.01</v>
      </c>
      <c r="E12" s="220">
        <v>10.62</v>
      </c>
      <c r="F12" s="83"/>
      <c r="G12" s="83"/>
      <c r="H12" s="227" t="s">
        <v>475</v>
      </c>
      <c r="I12" s="220">
        <v>942.05</v>
      </c>
      <c r="J12" s="213">
        <v>0.01</v>
      </c>
      <c r="K12" s="220">
        <v>932.72</v>
      </c>
    </row>
    <row r="13" spans="2:11" ht="15" customHeight="1">
      <c r="B13" s="212" t="s">
        <v>477</v>
      </c>
      <c r="C13" s="220">
        <f t="shared" si="0"/>
        <v>1072.1399999999999</v>
      </c>
      <c r="D13" s="213">
        <v>0.01</v>
      </c>
      <c r="E13" s="220">
        <v>10.72</v>
      </c>
      <c r="F13" s="83"/>
      <c r="G13" s="83"/>
      <c r="H13" s="227" t="s">
        <v>474</v>
      </c>
      <c r="I13" s="220">
        <v>932.72</v>
      </c>
      <c r="J13" s="213">
        <v>0.01</v>
      </c>
      <c r="K13" s="220">
        <v>923.48</v>
      </c>
    </row>
    <row r="14" spans="2:11" ht="15" customHeight="1">
      <c r="B14" s="212" t="s">
        <v>478</v>
      </c>
      <c r="C14" s="220">
        <f t="shared" si="0"/>
        <v>1082.8599999999999</v>
      </c>
      <c r="D14" s="213">
        <v>0.01</v>
      </c>
      <c r="E14" s="220">
        <v>10.83</v>
      </c>
      <c r="F14" s="83"/>
      <c r="G14" s="83"/>
      <c r="H14" s="227" t="s">
        <v>473</v>
      </c>
      <c r="I14" s="220">
        <v>923.48</v>
      </c>
      <c r="J14" s="213">
        <v>0.01</v>
      </c>
      <c r="K14" s="220">
        <v>914.34</v>
      </c>
    </row>
    <row r="15" spans="2:11" ht="15" customHeight="1">
      <c r="B15" s="212" t="s">
        <v>479</v>
      </c>
      <c r="C15" s="220">
        <f t="shared" si="0"/>
        <v>1093.6899999999998</v>
      </c>
      <c r="D15" s="213">
        <v>0.01</v>
      </c>
      <c r="E15" s="220">
        <v>10.94</v>
      </c>
      <c r="F15" s="83"/>
      <c r="G15" s="83"/>
      <c r="H15" s="227" t="s">
        <v>472</v>
      </c>
      <c r="I15" s="220">
        <v>914.34</v>
      </c>
      <c r="J15" s="213">
        <v>0.01</v>
      </c>
      <c r="K15" s="220">
        <v>905.29</v>
      </c>
    </row>
    <row r="16" spans="2:11" ht="15" customHeight="1">
      <c r="B16" s="212" t="s">
        <v>480</v>
      </c>
      <c r="C16" s="220">
        <f t="shared" si="0"/>
        <v>1104.6299999999999</v>
      </c>
      <c r="D16" s="213">
        <v>0.01</v>
      </c>
      <c r="E16" s="220">
        <v>11.05</v>
      </c>
      <c r="F16" s="83"/>
      <c r="G16" s="83"/>
      <c r="H16" s="227" t="s">
        <v>471</v>
      </c>
      <c r="I16" s="220">
        <v>905.29</v>
      </c>
      <c r="J16" s="213">
        <v>0.01</v>
      </c>
      <c r="K16" s="220">
        <v>896.32</v>
      </c>
    </row>
    <row r="17" spans="2:11" ht="15" customHeight="1">
      <c r="B17" s="212" t="s">
        <v>481</v>
      </c>
      <c r="C17" s="220">
        <f t="shared" si="0"/>
        <v>1115.6799999999998</v>
      </c>
      <c r="D17" s="213">
        <v>0.01</v>
      </c>
      <c r="E17" s="220">
        <v>11.16</v>
      </c>
      <c r="F17" s="83"/>
      <c r="G17" s="83"/>
      <c r="H17" s="227" t="s">
        <v>470</v>
      </c>
      <c r="I17" s="220">
        <v>896.32</v>
      </c>
      <c r="J17" s="213">
        <v>0.01</v>
      </c>
      <c r="K17" s="220">
        <v>887.45</v>
      </c>
    </row>
    <row r="18" spans="2:11" ht="15" customHeight="1">
      <c r="B18" s="216" t="s">
        <v>482</v>
      </c>
      <c r="C18" s="223">
        <v>1126.83</v>
      </c>
      <c r="D18" s="224"/>
      <c r="E18" s="224"/>
      <c r="F18" s="83"/>
      <c r="G18" s="83"/>
      <c r="H18" s="225"/>
      <c r="I18" s="223"/>
      <c r="J18" s="225" t="s">
        <v>484</v>
      </c>
      <c r="K18" s="226">
        <v>887.45</v>
      </c>
    </row>
    <row r="19" spans="2:11" ht="15" customHeight="1"/>
    <row r="20" spans="2:11" ht="15" customHeight="1"/>
    <row r="21" spans="2:11" ht="15" customHeight="1"/>
    <row r="22" spans="2:11" ht="15" customHeight="1"/>
    <row r="23" spans="2:11" ht="15" customHeight="1"/>
    <row r="24" spans="2:11" ht="15" customHeight="1"/>
    <row r="25" spans="2:11" ht="15" customHeight="1"/>
    <row r="26" spans="2:11" ht="15" customHeight="1"/>
    <row r="27" spans="2:11" ht="15" customHeight="1"/>
    <row r="28" spans="2:11" ht="15" customHeight="1"/>
    <row r="29" spans="2:11" ht="15" customHeight="1"/>
    <row r="30" spans="2:11" ht="15" customHeight="1">
      <c r="D30" s="84"/>
    </row>
    <row r="31" spans="2:11" ht="15" customHeight="1"/>
    <row r="32" spans="2:11" ht="15" customHeight="1"/>
    <row r="33" spans="8:8" ht="15" customHeight="1"/>
    <row r="34" spans="8:8" ht="15" customHeight="1"/>
    <row r="35" spans="8:8" ht="15" customHeight="1"/>
    <row r="36" spans="8:8" ht="15" customHeight="1"/>
    <row r="37" spans="8:8" ht="15" customHeight="1"/>
    <row r="38" spans="8:8" ht="18" customHeight="1"/>
    <row r="39" spans="8:8">
      <c r="H39" s="2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EBC1-CAA2-144D-8107-6A080C72D3C5}">
  <sheetPr>
    <tabColor theme="8"/>
  </sheetPr>
  <dimension ref="B4:I40"/>
  <sheetViews>
    <sheetView showGridLines="0" workbookViewId="0">
      <selection activeCell="D16" sqref="D16"/>
    </sheetView>
  </sheetViews>
  <sheetFormatPr defaultColWidth="10.77734375" defaultRowHeight="14.4"/>
  <cols>
    <col min="2" max="2" width="17.6640625" customWidth="1"/>
    <col min="3" max="3" width="18" customWidth="1"/>
    <col min="4" max="4" width="12.109375" bestFit="1" customWidth="1"/>
    <col min="5" max="5" width="34.109375" customWidth="1"/>
    <col min="6" max="6" width="17.33203125" customWidth="1"/>
    <col min="7" max="7" width="9.109375" bestFit="1" customWidth="1"/>
    <col min="8" max="8" width="14.44140625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4" spans="2:9" ht="15.6">
      <c r="B4" s="218" t="s">
        <v>119</v>
      </c>
      <c r="C4" s="221" t="s">
        <v>486</v>
      </c>
      <c r="D4" s="221" t="s">
        <v>487</v>
      </c>
      <c r="F4" s="247" t="s">
        <v>123</v>
      </c>
      <c r="G4" s="248">
        <v>0.08</v>
      </c>
      <c r="H4" s="212"/>
      <c r="I4" s="298"/>
    </row>
    <row r="5" spans="2:9" ht="15.6">
      <c r="B5" s="227">
        <v>1</v>
      </c>
      <c r="C5" s="231">
        <v>5000</v>
      </c>
      <c r="D5" s="231">
        <v>15000</v>
      </c>
      <c r="F5" s="212"/>
      <c r="G5" s="212"/>
      <c r="H5" s="212"/>
      <c r="I5" s="298"/>
    </row>
    <row r="6" spans="2:9">
      <c r="B6" s="227">
        <v>2</v>
      </c>
      <c r="C6" s="231">
        <v>8000</v>
      </c>
      <c r="D6" s="231">
        <v>15000</v>
      </c>
      <c r="F6" s="218" t="s">
        <v>119</v>
      </c>
      <c r="G6" s="221" t="s">
        <v>23</v>
      </c>
      <c r="H6" s="221" t="s">
        <v>130</v>
      </c>
      <c r="I6" s="218" t="s">
        <v>567</v>
      </c>
    </row>
    <row r="7" spans="2:9">
      <c r="B7" s="227">
        <v>3</v>
      </c>
      <c r="C7" s="231">
        <v>12000</v>
      </c>
      <c r="D7" s="231">
        <v>15000</v>
      </c>
      <c r="F7" s="222">
        <v>1</v>
      </c>
      <c r="G7" s="233">
        <v>200000</v>
      </c>
      <c r="H7" s="233">
        <f>G7/(1+$G$4)^F7</f>
        <v>185185.18518518517</v>
      </c>
      <c r="I7" s="222" t="s">
        <v>568</v>
      </c>
    </row>
    <row r="8" spans="2:9">
      <c r="B8" s="227">
        <v>4</v>
      </c>
      <c r="C8" s="231">
        <v>125000</v>
      </c>
      <c r="D8" s="231">
        <v>105000</v>
      </c>
      <c r="F8" s="222">
        <v>2</v>
      </c>
      <c r="G8" s="233">
        <v>200000</v>
      </c>
      <c r="H8" s="233">
        <f t="shared" ref="H8:H31" si="0">G8/(1+$G$4)^F8</f>
        <v>171467.76406035663</v>
      </c>
      <c r="I8" s="222" t="s">
        <v>543</v>
      </c>
    </row>
    <row r="9" spans="2:9">
      <c r="B9" s="229" t="s">
        <v>488</v>
      </c>
      <c r="C9" s="230">
        <v>150000</v>
      </c>
      <c r="D9" s="243">
        <v>150000</v>
      </c>
      <c r="F9" s="222">
        <v>3</v>
      </c>
      <c r="G9" s="233">
        <v>200000</v>
      </c>
      <c r="H9" s="233">
        <f t="shared" si="0"/>
        <v>158766.44820403392</v>
      </c>
      <c r="I9" s="222" t="s">
        <v>544</v>
      </c>
    </row>
    <row r="10" spans="2:9">
      <c r="B10" s="249"/>
      <c r="C10" s="250"/>
      <c r="D10" s="251"/>
      <c r="F10" s="222">
        <v>4</v>
      </c>
      <c r="G10" s="233">
        <v>200000</v>
      </c>
      <c r="H10" s="233">
        <f t="shared" si="0"/>
        <v>147005.97055929064</v>
      </c>
      <c r="I10" s="222" t="s">
        <v>545</v>
      </c>
    </row>
    <row r="11" spans="2:9">
      <c r="B11" s="249"/>
      <c r="C11" s="250"/>
      <c r="D11" s="251"/>
      <c r="F11" s="222">
        <v>5</v>
      </c>
      <c r="G11" s="233">
        <v>200000</v>
      </c>
      <c r="H11" s="233">
        <f t="shared" si="0"/>
        <v>136116.63940675059</v>
      </c>
      <c r="I11" s="222" t="s">
        <v>546</v>
      </c>
    </row>
    <row r="12" spans="2:9">
      <c r="F12" s="222">
        <v>6</v>
      </c>
      <c r="G12" s="233">
        <v>200000</v>
      </c>
      <c r="H12" s="233">
        <f t="shared" si="0"/>
        <v>126033.92537662091</v>
      </c>
      <c r="I12" s="222" t="s">
        <v>547</v>
      </c>
    </row>
    <row r="13" spans="2:9">
      <c r="B13" s="78" t="s">
        <v>343</v>
      </c>
      <c r="F13" s="222">
        <v>7</v>
      </c>
      <c r="G13" s="233">
        <v>200000</v>
      </c>
      <c r="H13" s="233">
        <f t="shared" si="0"/>
        <v>116698.07905242676</v>
      </c>
      <c r="I13" s="222" t="s">
        <v>548</v>
      </c>
    </row>
    <row r="14" spans="2:9" ht="15" customHeight="1">
      <c r="B14" s="247" t="s">
        <v>123</v>
      </c>
      <c r="C14" s="248">
        <v>0.08</v>
      </c>
      <c r="D14" s="212"/>
      <c r="F14" s="222">
        <v>8</v>
      </c>
      <c r="G14" s="233">
        <v>200000</v>
      </c>
      <c r="H14" s="233">
        <f t="shared" si="0"/>
        <v>108053.77690039515</v>
      </c>
      <c r="I14" s="222" t="s">
        <v>549</v>
      </c>
    </row>
    <row r="15" spans="2:9" ht="15" customHeight="1">
      <c r="B15" s="212"/>
      <c r="C15" s="212"/>
      <c r="D15" s="212"/>
      <c r="F15" s="222">
        <v>9</v>
      </c>
      <c r="G15" s="233">
        <v>200000</v>
      </c>
      <c r="H15" s="233">
        <f t="shared" si="0"/>
        <v>100049.7934262918</v>
      </c>
      <c r="I15" s="222" t="s">
        <v>550</v>
      </c>
    </row>
    <row r="16" spans="2:9" ht="15" customHeight="1">
      <c r="B16" s="218" t="s">
        <v>119</v>
      </c>
      <c r="C16" s="221" t="s">
        <v>23</v>
      </c>
      <c r="D16" s="221" t="s">
        <v>130</v>
      </c>
      <c r="F16" s="222">
        <v>10</v>
      </c>
      <c r="G16" s="233">
        <v>200000</v>
      </c>
      <c r="H16" s="233">
        <f t="shared" si="0"/>
        <v>92638.697616936857</v>
      </c>
      <c r="I16" s="222" t="s">
        <v>551</v>
      </c>
    </row>
    <row r="17" spans="2:9" ht="15" customHeight="1">
      <c r="B17" s="227">
        <v>1</v>
      </c>
      <c r="C17" s="231">
        <v>5000</v>
      </c>
      <c r="D17" s="231">
        <f>C17/(1+$C$14)^B17</f>
        <v>4629.6296296296296</v>
      </c>
      <c r="F17" s="222">
        <v>11</v>
      </c>
      <c r="G17" s="233">
        <v>200000</v>
      </c>
      <c r="H17" s="233">
        <f t="shared" si="0"/>
        <v>85776.57186753412</v>
      </c>
      <c r="I17" s="222" t="s">
        <v>552</v>
      </c>
    </row>
    <row r="18" spans="2:9" ht="15" customHeight="1">
      <c r="B18" s="227">
        <v>2</v>
      </c>
      <c r="C18" s="231">
        <v>8000</v>
      </c>
      <c r="D18" s="231">
        <f>C18/(1+$C$14)^B18</f>
        <v>6858.710562414266</v>
      </c>
      <c r="F18" s="222">
        <v>12</v>
      </c>
      <c r="G18" s="233">
        <v>200000</v>
      </c>
      <c r="H18" s="233">
        <f t="shared" si="0"/>
        <v>79422.751729198251</v>
      </c>
      <c r="I18" s="222" t="s">
        <v>553</v>
      </c>
    </row>
    <row r="19" spans="2:9" ht="15" customHeight="1">
      <c r="B19" s="227">
        <v>3</v>
      </c>
      <c r="C19" s="231">
        <v>12000</v>
      </c>
      <c r="D19" s="231">
        <f>C19/(1+$C$14)^B19</f>
        <v>9525.9868922420355</v>
      </c>
      <c r="F19" s="222">
        <v>13</v>
      </c>
      <c r="G19" s="233">
        <v>200000</v>
      </c>
      <c r="H19" s="233">
        <f t="shared" si="0"/>
        <v>73539.584934442828</v>
      </c>
      <c r="I19" s="222" t="s">
        <v>554</v>
      </c>
    </row>
    <row r="20" spans="2:9" ht="15" customHeight="1">
      <c r="B20" s="227">
        <v>4</v>
      </c>
      <c r="C20" s="231">
        <v>125000</v>
      </c>
      <c r="D20" s="231">
        <f>C20/(1+$C$14)^B20</f>
        <v>91878.731599556661</v>
      </c>
      <c r="F20" s="222">
        <v>14</v>
      </c>
      <c r="G20" s="233">
        <v>200000</v>
      </c>
      <c r="H20" s="233">
        <f t="shared" si="0"/>
        <v>68092.208272632241</v>
      </c>
      <c r="I20" s="222" t="s">
        <v>555</v>
      </c>
    </row>
    <row r="21" spans="2:9" ht="15" customHeight="1">
      <c r="B21" s="229" t="s">
        <v>488</v>
      </c>
      <c r="C21" s="230">
        <v>150000</v>
      </c>
      <c r="D21" s="243">
        <f>SUM(D17:D20)</f>
        <v>112893.0586838426</v>
      </c>
      <c r="F21" s="222">
        <v>15</v>
      </c>
      <c r="G21" s="233">
        <v>200000</v>
      </c>
      <c r="H21" s="233">
        <f t="shared" si="0"/>
        <v>63048.34099317799</v>
      </c>
      <c r="I21" s="222" t="s">
        <v>556</v>
      </c>
    </row>
    <row r="22" spans="2:9" ht="15" customHeight="1">
      <c r="F22" s="222">
        <v>16</v>
      </c>
      <c r="G22" s="233">
        <v>200000</v>
      </c>
      <c r="H22" s="233">
        <f t="shared" si="0"/>
        <v>58378.093512201849</v>
      </c>
      <c r="I22" s="222" t="s">
        <v>557</v>
      </c>
    </row>
    <row r="23" spans="2:9" ht="15" customHeight="1">
      <c r="F23" s="222">
        <v>17</v>
      </c>
      <c r="G23" s="233">
        <v>200000</v>
      </c>
      <c r="H23" s="233">
        <f t="shared" si="0"/>
        <v>54053.790289075783</v>
      </c>
      <c r="I23" s="222" t="s">
        <v>558</v>
      </c>
    </row>
    <row r="24" spans="2:9" ht="15" customHeight="1">
      <c r="B24" s="78" t="s">
        <v>344</v>
      </c>
      <c r="F24" s="222">
        <v>18</v>
      </c>
      <c r="G24" s="233">
        <v>200000</v>
      </c>
      <c r="H24" s="233">
        <f t="shared" si="0"/>
        <v>50049.80582321831</v>
      </c>
      <c r="I24" s="222" t="s">
        <v>559</v>
      </c>
    </row>
    <row r="25" spans="2:9" ht="15" customHeight="1">
      <c r="B25" s="247" t="s">
        <v>123</v>
      </c>
      <c r="C25" s="248">
        <v>0.08</v>
      </c>
      <c r="D25" s="212"/>
      <c r="F25" s="222">
        <v>19</v>
      </c>
      <c r="G25" s="233">
        <v>200000</v>
      </c>
      <c r="H25" s="233">
        <f t="shared" si="0"/>
        <v>46342.412799276208</v>
      </c>
      <c r="I25" s="222" t="s">
        <v>560</v>
      </c>
    </row>
    <row r="26" spans="2:9" ht="15" customHeight="1">
      <c r="B26" s="212"/>
      <c r="C26" s="212"/>
      <c r="D26" s="212"/>
      <c r="F26" s="222">
        <v>20</v>
      </c>
      <c r="G26" s="233">
        <v>200000</v>
      </c>
      <c r="H26" s="233">
        <f t="shared" si="0"/>
        <v>42909.641480811311</v>
      </c>
      <c r="I26" s="222" t="s">
        <v>561</v>
      </c>
    </row>
    <row r="27" spans="2:9" ht="15" customHeight="1">
      <c r="B27" s="218" t="s">
        <v>119</v>
      </c>
      <c r="C27" s="221" t="s">
        <v>23</v>
      </c>
      <c r="D27" s="221" t="s">
        <v>130</v>
      </c>
      <c r="F27" s="222">
        <v>21</v>
      </c>
      <c r="G27" s="233">
        <v>200000</v>
      </c>
      <c r="H27" s="233">
        <f t="shared" si="0"/>
        <v>39731.149519269726</v>
      </c>
      <c r="I27" s="222" t="s">
        <v>562</v>
      </c>
    </row>
    <row r="28" spans="2:9" ht="15" customHeight="1">
      <c r="B28" s="227">
        <v>1</v>
      </c>
      <c r="C28" s="231">
        <v>15000</v>
      </c>
      <c r="D28" s="231">
        <f>C28/(1+$C$25)^B28</f>
        <v>13888.888888888889</v>
      </c>
      <c r="F28" s="222">
        <v>22</v>
      </c>
      <c r="G28" s="233">
        <v>200000</v>
      </c>
      <c r="H28" s="233">
        <f t="shared" si="0"/>
        <v>36788.101406731221</v>
      </c>
      <c r="I28" s="222" t="s">
        <v>563</v>
      </c>
    </row>
    <row r="29" spans="2:9" ht="15" customHeight="1">
      <c r="B29" s="227">
        <v>2</v>
      </c>
      <c r="C29" s="231">
        <v>15000</v>
      </c>
      <c r="D29" s="231">
        <f>C29/(1+$C$25)^B29</f>
        <v>12860.082304526748</v>
      </c>
      <c r="F29" s="222">
        <v>23</v>
      </c>
      <c r="G29" s="233">
        <v>200000</v>
      </c>
      <c r="H29" s="233">
        <f t="shared" si="0"/>
        <v>34063.056858084463</v>
      </c>
      <c r="I29" s="222" t="s">
        <v>564</v>
      </c>
    </row>
    <row r="30" spans="2:9" ht="15" customHeight="1">
      <c r="B30" s="227">
        <v>3</v>
      </c>
      <c r="C30" s="231">
        <v>15000</v>
      </c>
      <c r="D30" s="231">
        <f>C30/(1+$C$25)^B30</f>
        <v>11907.483615302544</v>
      </c>
      <c r="F30" s="222">
        <v>24</v>
      </c>
      <c r="G30" s="233">
        <v>200000</v>
      </c>
      <c r="H30" s="233">
        <f t="shared" si="0"/>
        <v>31539.867461189318</v>
      </c>
      <c r="I30" s="222" t="s">
        <v>565</v>
      </c>
    </row>
    <row r="31" spans="2:9" ht="15" customHeight="1">
      <c r="B31" s="227">
        <v>4</v>
      </c>
      <c r="C31" s="231">
        <v>105000</v>
      </c>
      <c r="D31" s="231">
        <f>C31/(1+$C$25)^B31</f>
        <v>77178.134543627588</v>
      </c>
      <c r="F31" s="222">
        <v>25</v>
      </c>
      <c r="G31" s="233">
        <v>200000</v>
      </c>
      <c r="H31" s="233">
        <f t="shared" si="0"/>
        <v>29203.580982582698</v>
      </c>
      <c r="I31" s="222" t="s">
        <v>566</v>
      </c>
    </row>
    <row r="32" spans="2:9" ht="15" customHeight="1">
      <c r="B32" s="229" t="s">
        <v>488</v>
      </c>
      <c r="C32" s="230">
        <v>150000</v>
      </c>
      <c r="D32" s="243">
        <f>SUM(D28:D31)</f>
        <v>115834.58935234576</v>
      </c>
      <c r="F32" s="229" t="s">
        <v>488</v>
      </c>
      <c r="G32" s="230"/>
      <c r="H32" s="301">
        <f>SUM(H7:H31)</f>
        <v>2134955.2377177146</v>
      </c>
      <c r="I32" s="270"/>
    </row>
    <row r="33" spans="6:6" ht="15" customHeight="1">
      <c r="F33" s="297"/>
    </row>
    <row r="34" spans="6:6" ht="15" customHeight="1">
      <c r="F34" s="297"/>
    </row>
    <row r="35" spans="6:6" ht="15" customHeight="1">
      <c r="F35" s="297"/>
    </row>
    <row r="36" spans="6:6" ht="15" customHeight="1">
      <c r="F36" s="297"/>
    </row>
    <row r="37" spans="6:6" ht="15" customHeight="1">
      <c r="F37" s="297"/>
    </row>
    <row r="38" spans="6:6" ht="15" customHeight="1">
      <c r="F38" s="297"/>
    </row>
    <row r="39" spans="6:6" ht="15" customHeight="1">
      <c r="F39" s="297"/>
    </row>
    <row r="40" spans="6:6" ht="18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E63A-D4DF-2343-850F-E63DDDB6EA6F}">
  <sheetPr>
    <tabColor theme="8"/>
  </sheetPr>
  <dimension ref="B2:J67"/>
  <sheetViews>
    <sheetView showGridLines="0" topLeftCell="A39" zoomScale="133" zoomScaleNormal="133" workbookViewId="0">
      <selection activeCell="F46" sqref="F46"/>
    </sheetView>
  </sheetViews>
  <sheetFormatPr defaultColWidth="3.33203125" defaultRowHeight="14.4"/>
  <cols>
    <col min="2" max="2" width="12.44140625" customWidth="1"/>
    <col min="3" max="3" width="15.33203125" customWidth="1"/>
    <col min="4" max="5" width="14.77734375" bestFit="1" customWidth="1"/>
    <col min="6" max="6" width="17.77734375" customWidth="1"/>
    <col min="7" max="7" width="8.109375" customWidth="1"/>
    <col min="8" max="8" width="15.77734375" customWidth="1"/>
    <col min="9" max="9" width="11.109375" bestFit="1" customWidth="1"/>
    <col min="10" max="10" width="11.77734375" customWidth="1"/>
  </cols>
  <sheetData>
    <row r="2" spans="2:6">
      <c r="B2" t="s">
        <v>123</v>
      </c>
      <c r="C2" s="94">
        <v>0.12</v>
      </c>
    </row>
    <row r="3" spans="2:6">
      <c r="B3" t="s">
        <v>127</v>
      </c>
      <c r="C3" s="63">
        <v>77000</v>
      </c>
    </row>
    <row r="5" spans="2:6">
      <c r="C5" s="67" t="s">
        <v>119</v>
      </c>
      <c r="D5" s="67" t="s">
        <v>23</v>
      </c>
      <c r="E5" s="67" t="s">
        <v>130</v>
      </c>
      <c r="F5" s="67" t="s">
        <v>275</v>
      </c>
    </row>
    <row r="6" spans="2:6">
      <c r="B6" s="69">
        <v>43831</v>
      </c>
      <c r="C6" s="253">
        <v>0</v>
      </c>
      <c r="D6" s="257">
        <f>-C3</f>
        <v>-77000</v>
      </c>
      <c r="E6" s="257">
        <f>-C3</f>
        <v>-77000</v>
      </c>
    </row>
    <row r="7" spans="2:6" ht="16.8">
      <c r="B7" s="69">
        <v>44197</v>
      </c>
      <c r="C7" s="253">
        <v>1</v>
      </c>
      <c r="D7" s="258">
        <v>9600</v>
      </c>
      <c r="E7" s="258">
        <f t="shared" ref="E7:E16" si="0">D7/(1+C$2)^C7</f>
        <v>8571.4285714285706</v>
      </c>
      <c r="F7" t="s">
        <v>569</v>
      </c>
    </row>
    <row r="8" spans="2:6" ht="16.8">
      <c r="B8" s="69">
        <v>44562</v>
      </c>
      <c r="C8" s="253">
        <v>2</v>
      </c>
      <c r="D8" s="258">
        <v>9600</v>
      </c>
      <c r="E8" s="258">
        <f t="shared" si="0"/>
        <v>7653.0612244897948</v>
      </c>
      <c r="F8" t="s">
        <v>570</v>
      </c>
    </row>
    <row r="9" spans="2:6" ht="16.8">
      <c r="B9" s="69">
        <v>44927</v>
      </c>
      <c r="C9" s="253">
        <v>3</v>
      </c>
      <c r="D9" s="258">
        <v>9600</v>
      </c>
      <c r="E9" s="258">
        <f t="shared" si="0"/>
        <v>6833.0903790087441</v>
      </c>
      <c r="F9" t="s">
        <v>571</v>
      </c>
    </row>
    <row r="10" spans="2:6" ht="16.8">
      <c r="B10" s="69">
        <v>45292</v>
      </c>
      <c r="C10" s="253">
        <v>4</v>
      </c>
      <c r="D10" s="258">
        <v>9600</v>
      </c>
      <c r="E10" s="258">
        <f t="shared" si="0"/>
        <v>6100.9735526863797</v>
      </c>
      <c r="F10" t="s">
        <v>572</v>
      </c>
    </row>
    <row r="11" spans="2:6" ht="16.8">
      <c r="B11" s="69">
        <v>45658</v>
      </c>
      <c r="C11" s="253">
        <v>5</v>
      </c>
      <c r="D11" s="258">
        <v>9600</v>
      </c>
      <c r="E11" s="258">
        <f t="shared" si="0"/>
        <v>5447.297814898553</v>
      </c>
      <c r="F11" t="s">
        <v>573</v>
      </c>
    </row>
    <row r="12" spans="2:6" ht="16.8">
      <c r="B12" s="69">
        <v>46023</v>
      </c>
      <c r="C12" s="253">
        <v>6</v>
      </c>
      <c r="D12" s="258">
        <v>9600</v>
      </c>
      <c r="E12" s="258">
        <f t="shared" si="0"/>
        <v>4863.6587633022782</v>
      </c>
      <c r="F12" t="s">
        <v>574</v>
      </c>
    </row>
    <row r="13" spans="2:6" ht="16.8">
      <c r="B13" s="69">
        <v>46388</v>
      </c>
      <c r="C13" s="253">
        <v>7</v>
      </c>
      <c r="D13" s="258">
        <v>9600</v>
      </c>
      <c r="E13" s="258">
        <f t="shared" si="0"/>
        <v>4342.5524672341771</v>
      </c>
      <c r="F13" t="s">
        <v>575</v>
      </c>
    </row>
    <row r="14" spans="2:6" ht="16.8">
      <c r="B14" s="69">
        <v>46753</v>
      </c>
      <c r="C14" s="253">
        <v>8</v>
      </c>
      <c r="D14" s="258">
        <v>9600</v>
      </c>
      <c r="E14" s="258">
        <f t="shared" si="0"/>
        <v>3877.2789886019436</v>
      </c>
      <c r="F14" t="s">
        <v>576</v>
      </c>
    </row>
    <row r="15" spans="2:6" ht="16.8">
      <c r="B15" s="69">
        <v>47119</v>
      </c>
      <c r="C15" s="253">
        <v>9</v>
      </c>
      <c r="D15" s="258">
        <v>9600</v>
      </c>
      <c r="E15" s="258">
        <f t="shared" si="0"/>
        <v>3461.8562398231638</v>
      </c>
      <c r="F15" t="s">
        <v>577</v>
      </c>
    </row>
    <row r="16" spans="2:6" ht="16.8">
      <c r="B16" s="69">
        <v>47484</v>
      </c>
      <c r="C16" s="253">
        <v>10</v>
      </c>
      <c r="D16" s="258">
        <v>9600</v>
      </c>
      <c r="E16" s="258">
        <f t="shared" si="0"/>
        <v>3090.9430712706817</v>
      </c>
      <c r="F16" t="s">
        <v>578</v>
      </c>
    </row>
    <row r="17" spans="2:9">
      <c r="C17" s="65" t="s">
        <v>128</v>
      </c>
      <c r="D17" s="66"/>
      <c r="E17" s="175">
        <f>SUM(E6:E16)</f>
        <v>-22757.858927255711</v>
      </c>
      <c r="F17" s="255"/>
    </row>
    <row r="18" spans="2:9">
      <c r="C18" t="s">
        <v>126</v>
      </c>
      <c r="D18" s="256"/>
      <c r="E18" s="244">
        <f>XIRR(D6:D16,B6:B16)</f>
        <v>4.2209962010383614E-2</v>
      </c>
    </row>
    <row r="19" spans="2:9">
      <c r="D19" s="256"/>
      <c r="E19" s="244"/>
      <c r="I19" s="252"/>
    </row>
    <row r="20" spans="2:9">
      <c r="D20" s="256"/>
      <c r="E20" s="244"/>
      <c r="I20" s="252"/>
    </row>
    <row r="21" spans="2:9">
      <c r="D21" s="256"/>
      <c r="E21" s="244"/>
      <c r="I21" s="252"/>
    </row>
    <row r="22" spans="2:9">
      <c r="B22" t="s">
        <v>123</v>
      </c>
      <c r="C22" s="94">
        <v>0.12</v>
      </c>
      <c r="I22" s="63"/>
    </row>
    <row r="23" spans="2:9">
      <c r="B23" t="s">
        <v>127</v>
      </c>
      <c r="C23" s="63">
        <v>54242</v>
      </c>
    </row>
    <row r="25" spans="2:9">
      <c r="C25" s="67" t="s">
        <v>119</v>
      </c>
      <c r="D25" s="67" t="s">
        <v>23</v>
      </c>
      <c r="E25" s="67" t="s">
        <v>130</v>
      </c>
      <c r="G25" s="69"/>
    </row>
    <row r="26" spans="2:9">
      <c r="B26" s="69">
        <v>43831</v>
      </c>
      <c r="C26" s="253">
        <v>0</v>
      </c>
      <c r="D26" s="254">
        <f>-C23</f>
        <v>-54242</v>
      </c>
      <c r="E26" s="254">
        <f>-C23</f>
        <v>-54242</v>
      </c>
      <c r="G26" s="69"/>
    </row>
    <row r="27" spans="2:9">
      <c r="B27" s="69">
        <v>44197</v>
      </c>
      <c r="C27" s="253">
        <v>1</v>
      </c>
      <c r="D27" s="259">
        <v>9600</v>
      </c>
      <c r="E27" s="259">
        <f t="shared" ref="E27:E36" si="1">D27/(1+C$22)^C27</f>
        <v>8571.4285714285706</v>
      </c>
      <c r="G27" s="69"/>
    </row>
    <row r="28" spans="2:9">
      <c r="B28" s="69">
        <v>44562</v>
      </c>
      <c r="C28" s="253">
        <v>2</v>
      </c>
      <c r="D28" s="259">
        <v>9600</v>
      </c>
      <c r="E28" s="259">
        <f t="shared" si="1"/>
        <v>7653.0612244897948</v>
      </c>
      <c r="G28" s="69"/>
    </row>
    <row r="29" spans="2:9">
      <c r="B29" s="69">
        <v>44927</v>
      </c>
      <c r="C29" s="253">
        <v>3</v>
      </c>
      <c r="D29" s="259">
        <v>9600</v>
      </c>
      <c r="E29" s="259">
        <f t="shared" si="1"/>
        <v>6833.0903790087441</v>
      </c>
      <c r="G29" s="69"/>
    </row>
    <row r="30" spans="2:9">
      <c r="B30" s="69">
        <v>45292</v>
      </c>
      <c r="C30" s="253">
        <v>4</v>
      </c>
      <c r="D30" s="259">
        <v>9600</v>
      </c>
      <c r="E30" s="259">
        <f t="shared" si="1"/>
        <v>6100.9735526863797</v>
      </c>
      <c r="G30" s="69"/>
    </row>
    <row r="31" spans="2:9">
      <c r="B31" s="69">
        <v>45658</v>
      </c>
      <c r="C31" s="253">
        <v>5</v>
      </c>
      <c r="D31" s="259">
        <v>9600</v>
      </c>
      <c r="E31" s="259">
        <f t="shared" si="1"/>
        <v>5447.297814898553</v>
      </c>
      <c r="G31" s="69"/>
    </row>
    <row r="32" spans="2:9">
      <c r="B32" s="69">
        <v>46023</v>
      </c>
      <c r="C32" s="253">
        <v>6</v>
      </c>
      <c r="D32" s="259">
        <v>9600</v>
      </c>
      <c r="E32" s="259">
        <f t="shared" si="1"/>
        <v>4863.6587633022782</v>
      </c>
      <c r="G32" s="69"/>
    </row>
    <row r="33" spans="2:10">
      <c r="B33" s="69">
        <v>46388</v>
      </c>
      <c r="C33" s="253">
        <v>7</v>
      </c>
      <c r="D33" s="259">
        <v>9600</v>
      </c>
      <c r="E33" s="259">
        <f t="shared" si="1"/>
        <v>4342.5524672341771</v>
      </c>
      <c r="G33" s="69"/>
    </row>
    <row r="34" spans="2:10">
      <c r="B34" s="69">
        <v>46753</v>
      </c>
      <c r="C34" s="253">
        <v>8</v>
      </c>
      <c r="D34" s="259">
        <v>9600</v>
      </c>
      <c r="E34" s="259">
        <f t="shared" si="1"/>
        <v>3877.2789886019436</v>
      </c>
      <c r="G34" s="69"/>
    </row>
    <row r="35" spans="2:10">
      <c r="B35" s="69">
        <v>47119</v>
      </c>
      <c r="C35" s="253">
        <v>9</v>
      </c>
      <c r="D35" s="259">
        <v>9600</v>
      </c>
      <c r="E35" s="259">
        <f t="shared" si="1"/>
        <v>3461.8562398231638</v>
      </c>
      <c r="G35" s="69"/>
    </row>
    <row r="36" spans="2:10">
      <c r="B36" s="69">
        <v>47484</v>
      </c>
      <c r="C36" s="253">
        <v>10</v>
      </c>
      <c r="D36" s="259">
        <v>9600</v>
      </c>
      <c r="E36" s="259">
        <f t="shared" si="1"/>
        <v>3090.9430712706817</v>
      </c>
    </row>
    <row r="37" spans="2:10">
      <c r="C37" s="65" t="s">
        <v>128</v>
      </c>
      <c r="D37" s="260">
        <f>ROUND(NPV(C22, D27:D36)+D26,0)</f>
        <v>0</v>
      </c>
      <c r="E37" s="260">
        <f>ROUND(SUM(E26:E36),0)</f>
        <v>0</v>
      </c>
      <c r="G37" s="81" t="s">
        <v>489</v>
      </c>
      <c r="I37" s="256"/>
      <c r="J37" s="244"/>
    </row>
    <row r="38" spans="2:10">
      <c r="C38" t="s">
        <v>126</v>
      </c>
      <c r="D38" s="256"/>
      <c r="E38" s="121">
        <f>ROUND(XIRR(D26:D36,B26:B36),2)</f>
        <v>0.12</v>
      </c>
      <c r="G38" s="81" t="s">
        <v>489</v>
      </c>
    </row>
    <row r="42" spans="2:10">
      <c r="B42" s="212" t="s">
        <v>123</v>
      </c>
      <c r="C42" s="213">
        <v>7.0000000000000007E-2</v>
      </c>
      <c r="E42" s="212"/>
    </row>
    <row r="43" spans="2:10">
      <c r="B43" s="212" t="s">
        <v>127</v>
      </c>
      <c r="C43" s="232">
        <v>100000</v>
      </c>
      <c r="E43" s="212"/>
    </row>
    <row r="44" spans="2:10">
      <c r="B44" s="212"/>
      <c r="C44" s="212"/>
      <c r="D44" s="212"/>
      <c r="E44" s="212"/>
    </row>
    <row r="45" spans="2:10">
      <c r="B45" s="214"/>
      <c r="C45" s="217" t="s">
        <v>119</v>
      </c>
      <c r="D45" s="264" t="s">
        <v>129</v>
      </c>
      <c r="E45" s="264" t="s">
        <v>130</v>
      </c>
    </row>
    <row r="46" spans="2:10">
      <c r="B46" s="261">
        <v>43831</v>
      </c>
      <c r="C46" s="222">
        <v>0</v>
      </c>
      <c r="D46" s="266">
        <v>50000</v>
      </c>
      <c r="E46" s="266">
        <v>-100000</v>
      </c>
    </row>
    <row r="47" spans="2:10">
      <c r="B47" s="261">
        <v>44197</v>
      </c>
      <c r="C47" s="222">
        <v>1</v>
      </c>
      <c r="D47" s="232">
        <v>1500</v>
      </c>
      <c r="E47" s="232">
        <f>D47/(1+$C$42)^C47</f>
        <v>1401.8691588785045</v>
      </c>
    </row>
    <row r="48" spans="2:10">
      <c r="B48" s="261">
        <v>44562</v>
      </c>
      <c r="C48" s="222">
        <v>2</v>
      </c>
      <c r="D48" s="232">
        <v>1500</v>
      </c>
      <c r="E48" s="232">
        <f>D48/(1+$C$42)^C48</f>
        <v>1310.1580924098175</v>
      </c>
    </row>
    <row r="49" spans="2:7">
      <c r="B49" s="261">
        <v>44927</v>
      </c>
      <c r="C49" s="222">
        <v>3</v>
      </c>
      <c r="D49" s="232">
        <v>1500</v>
      </c>
      <c r="E49" s="232">
        <f>D49/(1+$C$42)^C49</f>
        <v>1224.446815336278</v>
      </c>
    </row>
    <row r="50" spans="2:7">
      <c r="B50" s="261">
        <v>45292</v>
      </c>
      <c r="C50" s="222">
        <v>4</v>
      </c>
      <c r="D50" s="232">
        <v>1500</v>
      </c>
      <c r="E50" s="232">
        <f>D50/(1+$C$42)^C50</f>
        <v>1144.3428180712879</v>
      </c>
    </row>
    <row r="51" spans="2:7">
      <c r="B51" s="261">
        <v>45658</v>
      </c>
      <c r="C51" s="222">
        <v>5</v>
      </c>
      <c r="D51" s="232">
        <v>92000</v>
      </c>
      <c r="E51" s="232">
        <f>D51/(1+$C$42)^C51</f>
        <v>65594.728512497488</v>
      </c>
    </row>
    <row r="52" spans="2:7">
      <c r="B52" s="263"/>
      <c r="C52" s="263" t="s">
        <v>128</v>
      </c>
      <c r="D52" s="265"/>
      <c r="E52" s="267">
        <f>SUM(E46:E51)</f>
        <v>-29324.454602806611</v>
      </c>
      <c r="G52" s="81"/>
    </row>
    <row r="55" spans="2:7">
      <c r="D55" s="63"/>
    </row>
    <row r="57" spans="2:7">
      <c r="B57" s="212" t="s">
        <v>123</v>
      </c>
      <c r="C57" s="213">
        <v>0.05</v>
      </c>
      <c r="E57" s="212"/>
    </row>
    <row r="58" spans="2:7">
      <c r="B58" s="212" t="s">
        <v>127</v>
      </c>
      <c r="C58" s="233">
        <v>100000</v>
      </c>
      <c r="E58" s="212"/>
    </row>
    <row r="59" spans="2:7">
      <c r="B59" s="212"/>
      <c r="C59" s="212"/>
      <c r="D59" s="212"/>
      <c r="E59" s="212"/>
    </row>
    <row r="60" spans="2:7">
      <c r="B60" s="302"/>
      <c r="C60" s="303" t="s">
        <v>119</v>
      </c>
      <c r="D60" s="304" t="s">
        <v>23</v>
      </c>
      <c r="E60" s="304" t="s">
        <v>130</v>
      </c>
    </row>
    <row r="61" spans="2:7">
      <c r="B61" s="261">
        <v>43831</v>
      </c>
      <c r="C61" s="222">
        <v>0</v>
      </c>
      <c r="D61" s="262">
        <v>-100000</v>
      </c>
      <c r="E61" s="262">
        <v>-100000</v>
      </c>
    </row>
    <row r="62" spans="2:7">
      <c r="B62" s="261">
        <v>44197</v>
      </c>
      <c r="C62" s="222">
        <v>1</v>
      </c>
      <c r="D62" s="233">
        <v>2000</v>
      </c>
      <c r="E62" s="233">
        <v>1905</v>
      </c>
    </row>
    <row r="63" spans="2:7">
      <c r="B63" s="261">
        <v>44562</v>
      </c>
      <c r="C63" s="222">
        <v>2</v>
      </c>
      <c r="D63" s="233">
        <v>2000</v>
      </c>
      <c r="E63" s="233">
        <v>1814</v>
      </c>
    </row>
    <row r="64" spans="2:7">
      <c r="B64" s="261">
        <v>44927</v>
      </c>
      <c r="C64" s="222">
        <v>3</v>
      </c>
      <c r="D64" s="233">
        <v>2000</v>
      </c>
      <c r="E64" s="233">
        <v>1728</v>
      </c>
    </row>
    <row r="65" spans="2:5">
      <c r="B65" s="261">
        <v>45292</v>
      </c>
      <c r="C65" s="222">
        <v>4</v>
      </c>
      <c r="D65" s="233">
        <v>2000</v>
      </c>
      <c r="E65" s="233">
        <v>1645</v>
      </c>
    </row>
    <row r="66" spans="2:5">
      <c r="B66" s="261">
        <v>45658</v>
      </c>
      <c r="C66" s="222">
        <v>5</v>
      </c>
      <c r="D66" s="233">
        <v>130000</v>
      </c>
      <c r="E66" s="233">
        <v>101858</v>
      </c>
    </row>
    <row r="67" spans="2:5">
      <c r="B67" s="230"/>
      <c r="C67" s="230"/>
      <c r="D67" s="305" t="s">
        <v>128</v>
      </c>
      <c r="E67" s="243">
        <v>8950.2999999999993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6D38-CFA0-7B4F-8C0F-A5ACF1EBDEA3}">
  <sheetPr>
    <tabColor theme="8"/>
  </sheetPr>
  <dimension ref="B9:G44"/>
  <sheetViews>
    <sheetView showGridLines="0" topLeftCell="A8" workbookViewId="0">
      <selection activeCell="F35" sqref="F35"/>
    </sheetView>
  </sheetViews>
  <sheetFormatPr defaultColWidth="10.77734375" defaultRowHeight="14.4"/>
  <cols>
    <col min="2" max="2" width="14.44140625" customWidth="1"/>
    <col min="3" max="3" width="18" customWidth="1"/>
    <col min="4" max="4" width="13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9" spans="2:5">
      <c r="B9" s="212" t="s">
        <v>123</v>
      </c>
      <c r="C9" s="246">
        <v>0.05</v>
      </c>
      <c r="E9" s="212"/>
    </row>
    <row r="10" spans="2:5">
      <c r="B10" s="212" t="s">
        <v>127</v>
      </c>
      <c r="C10" s="232">
        <v>100000</v>
      </c>
      <c r="E10" s="212"/>
    </row>
    <row r="11" spans="2:5">
      <c r="B11" s="212"/>
      <c r="C11" s="212"/>
      <c r="D11" s="212"/>
      <c r="E11" s="212"/>
    </row>
    <row r="12" spans="2:5" ht="15" customHeight="1">
      <c r="B12" s="302"/>
      <c r="C12" s="303" t="s">
        <v>119</v>
      </c>
      <c r="D12" s="304" t="s">
        <v>129</v>
      </c>
      <c r="E12" s="304" t="s">
        <v>130</v>
      </c>
    </row>
    <row r="13" spans="2:5" ht="15" customHeight="1">
      <c r="B13" s="261">
        <v>43831</v>
      </c>
      <c r="C13" s="222">
        <v>0</v>
      </c>
      <c r="D13" s="266">
        <v>-100000</v>
      </c>
      <c r="E13" s="306">
        <v>-100000</v>
      </c>
    </row>
    <row r="14" spans="2:5" ht="15" customHeight="1">
      <c r="B14" s="261">
        <v>44197</v>
      </c>
      <c r="C14" s="222">
        <v>1</v>
      </c>
      <c r="D14" s="232">
        <v>2000</v>
      </c>
      <c r="E14" s="231">
        <f>D14/(1+$C$9)^C14</f>
        <v>1904.7619047619046</v>
      </c>
    </row>
    <row r="15" spans="2:5" ht="15" customHeight="1">
      <c r="B15" s="261">
        <v>44562</v>
      </c>
      <c r="C15" s="222">
        <v>2</v>
      </c>
      <c r="D15" s="232">
        <v>2000</v>
      </c>
      <c r="E15" s="231">
        <f>D15/(1+$C$9)^C15</f>
        <v>1814.0589569160998</v>
      </c>
    </row>
    <row r="16" spans="2:5" ht="15" customHeight="1">
      <c r="B16" s="261">
        <v>44927</v>
      </c>
      <c r="C16" s="222">
        <v>3</v>
      </c>
      <c r="D16" s="232">
        <v>2000</v>
      </c>
      <c r="E16" s="231">
        <f>D16/(1+$C$9)^C16</f>
        <v>1727.6751970629521</v>
      </c>
    </row>
    <row r="17" spans="2:7" ht="15" customHeight="1">
      <c r="B17" s="261">
        <v>45292</v>
      </c>
      <c r="C17" s="222">
        <v>4</v>
      </c>
      <c r="D17" s="232">
        <v>2000</v>
      </c>
      <c r="E17" s="231">
        <f>D17/(1+$C$9)^C17</f>
        <v>1645.4049495837639</v>
      </c>
    </row>
    <row r="18" spans="2:7" ht="15" customHeight="1">
      <c r="B18" s="261">
        <v>45658</v>
      </c>
      <c r="C18" s="222">
        <v>5</v>
      </c>
      <c r="D18" s="232">
        <v>130000</v>
      </c>
      <c r="E18" s="231">
        <f>D18/(1+$C$9)^C18</f>
        <v>101858.40164089967</v>
      </c>
    </row>
    <row r="19" spans="2:7" ht="15" customHeight="1">
      <c r="B19" s="300"/>
      <c r="C19" s="270" t="s">
        <v>128</v>
      </c>
      <c r="D19" s="299"/>
      <c r="E19" s="243">
        <f>SUM(E13:E18)</f>
        <v>8950.3026492243953</v>
      </c>
    </row>
    <row r="20" spans="2:7" ht="15" customHeight="1"/>
    <row r="21" spans="2:7" ht="15" customHeight="1"/>
    <row r="22" spans="2:7" ht="15" customHeight="1"/>
    <row r="23" spans="2:7" ht="15" customHeight="1">
      <c r="B23" s="213" t="s">
        <v>123</v>
      </c>
      <c r="C23" s="246">
        <f>D44</f>
        <v>6.8727639317512509E-2</v>
      </c>
      <c r="E23" s="212"/>
    </row>
    <row r="24" spans="2:7" ht="15" customHeight="1">
      <c r="B24" s="232" t="s">
        <v>127</v>
      </c>
      <c r="C24" s="232">
        <v>100000</v>
      </c>
      <c r="E24" s="212"/>
    </row>
    <row r="25" spans="2:7" ht="15" customHeight="1">
      <c r="B25" s="212"/>
      <c r="C25" s="212"/>
      <c r="D25" s="212"/>
      <c r="E25" s="212"/>
    </row>
    <row r="26" spans="2:7" ht="15" customHeight="1">
      <c r="B26" s="214"/>
      <c r="C26" s="217" t="s">
        <v>119</v>
      </c>
      <c r="D26" s="264" t="s">
        <v>129</v>
      </c>
      <c r="E26" s="264" t="s">
        <v>130</v>
      </c>
    </row>
    <row r="27" spans="2:7" ht="15" customHeight="1">
      <c r="B27" s="261">
        <v>43831</v>
      </c>
      <c r="C27" s="222">
        <v>0</v>
      </c>
      <c r="D27" s="266">
        <v>-100000</v>
      </c>
      <c r="E27" s="266">
        <v>-100000</v>
      </c>
    </row>
    <row r="28" spans="2:7" ht="15" customHeight="1">
      <c r="B28" s="261">
        <v>44197</v>
      </c>
      <c r="C28" s="222">
        <v>1</v>
      </c>
      <c r="D28" s="232">
        <v>2000</v>
      </c>
      <c r="E28" s="232">
        <f>D28/(1+$C$23)^C28</f>
        <v>1871.3841828561638</v>
      </c>
    </row>
    <row r="29" spans="2:7" ht="15" customHeight="1">
      <c r="B29" s="261">
        <v>44562</v>
      </c>
      <c r="C29" s="222">
        <v>2</v>
      </c>
      <c r="D29" s="232">
        <v>2000</v>
      </c>
      <c r="E29" s="232">
        <f>D29/(1+$C$23)^C29</f>
        <v>1751.039379922116</v>
      </c>
    </row>
    <row r="30" spans="2:7" ht="15" customHeight="1">
      <c r="B30" s="261">
        <v>44927</v>
      </c>
      <c r="C30" s="222">
        <v>3</v>
      </c>
      <c r="D30" s="232">
        <v>2000</v>
      </c>
      <c r="E30" s="232">
        <f>D30/(1+$C$23)^C30</f>
        <v>1638.4336995722565</v>
      </c>
    </row>
    <row r="31" spans="2:7" ht="15" customHeight="1">
      <c r="B31" s="261">
        <v>45292</v>
      </c>
      <c r="C31" s="222">
        <v>4</v>
      </c>
      <c r="D31" s="232">
        <v>2000</v>
      </c>
      <c r="E31" s="232">
        <f>D31/(1+$C$23)^C31</f>
        <v>1533.0694550190144</v>
      </c>
    </row>
    <row r="32" spans="2:7" ht="15" customHeight="1">
      <c r="B32" s="261">
        <v>45658</v>
      </c>
      <c r="C32" s="222">
        <v>5</v>
      </c>
      <c r="D32" s="232">
        <v>130000</v>
      </c>
      <c r="E32" s="232">
        <f>D32/(1+$C$23)^C32</f>
        <v>93241.262703631321</v>
      </c>
      <c r="G32" s="81"/>
    </row>
    <row r="33" spans="2:6" ht="15" customHeight="1">
      <c r="B33" s="263"/>
      <c r="C33" s="269" t="s">
        <v>128</v>
      </c>
      <c r="D33" s="265"/>
      <c r="E33" s="268">
        <f>ROUND(SUM(E27:E32),-2)</f>
        <v>0</v>
      </c>
    </row>
    <row r="34" spans="2:6" ht="15" customHeight="1"/>
    <row r="35" spans="2:6" ht="15" customHeight="1"/>
    <row r="36" spans="2:6" ht="15" customHeight="1"/>
    <row r="37" spans="2:6" ht="15" customHeight="1">
      <c r="B37" s="214"/>
      <c r="C37" s="264" t="s">
        <v>119</v>
      </c>
      <c r="D37" s="264" t="s">
        <v>129</v>
      </c>
    </row>
    <row r="38" spans="2:6" ht="18" customHeight="1">
      <c r="B38" s="261">
        <v>43831</v>
      </c>
      <c r="C38" s="222">
        <v>0</v>
      </c>
      <c r="D38" s="262">
        <v>-100000</v>
      </c>
      <c r="F38" s="81"/>
    </row>
    <row r="39" spans="2:6">
      <c r="B39" s="261">
        <v>44197</v>
      </c>
      <c r="C39" s="222">
        <v>1</v>
      </c>
      <c r="D39" s="233">
        <v>2000</v>
      </c>
    </row>
    <row r="40" spans="2:6">
      <c r="B40" s="261">
        <v>44562</v>
      </c>
      <c r="C40" s="222">
        <v>2</v>
      </c>
      <c r="D40" s="233">
        <v>2000</v>
      </c>
    </row>
    <row r="41" spans="2:6">
      <c r="B41" s="261">
        <v>44927</v>
      </c>
      <c r="C41" s="222">
        <v>3</v>
      </c>
      <c r="D41" s="233">
        <v>2000</v>
      </c>
    </row>
    <row r="42" spans="2:6">
      <c r="B42" s="261">
        <v>45292</v>
      </c>
      <c r="C42" s="222">
        <v>4</v>
      </c>
      <c r="D42" s="233">
        <v>2000</v>
      </c>
    </row>
    <row r="43" spans="2:6">
      <c r="B43" s="261">
        <v>45658</v>
      </c>
      <c r="C43" s="222">
        <v>5</v>
      </c>
      <c r="D43" s="233">
        <v>130000</v>
      </c>
    </row>
    <row r="44" spans="2:6">
      <c r="B44" s="269"/>
      <c r="C44" s="270" t="s">
        <v>126</v>
      </c>
      <c r="D44" s="271">
        <f>XIRR(D38:D43, B38:B43)</f>
        <v>6.8727639317512509E-2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C64E-34FC-EA42-933C-A4FC2118372D}">
  <sheetPr>
    <tabColor theme="8"/>
  </sheetPr>
  <dimension ref="B2:C47"/>
  <sheetViews>
    <sheetView showGridLines="0" topLeftCell="A11" workbookViewId="0">
      <selection activeCell="B8" sqref="B8"/>
    </sheetView>
  </sheetViews>
  <sheetFormatPr defaultColWidth="11.5546875" defaultRowHeight="14.4"/>
  <cols>
    <col min="2" max="3" width="30.6640625" customWidth="1"/>
    <col min="5" max="5" width="17" customWidth="1"/>
  </cols>
  <sheetData>
    <row r="2" spans="2:3">
      <c r="B2" s="127"/>
      <c r="C2" s="127"/>
    </row>
    <row r="3" spans="2:3">
      <c r="B3" s="177" t="s">
        <v>360</v>
      </c>
      <c r="C3" s="196">
        <v>61428</v>
      </c>
    </row>
    <row r="4" spans="2:3">
      <c r="C4" s="63"/>
    </row>
    <row r="5" spans="2:3">
      <c r="B5" s="177" t="s">
        <v>144</v>
      </c>
      <c r="C5" s="196">
        <v>32817</v>
      </c>
    </row>
    <row r="6" spans="2:3">
      <c r="C6" s="176"/>
    </row>
    <row r="7" spans="2:3">
      <c r="B7" t="s">
        <v>12</v>
      </c>
      <c r="C7" s="63">
        <v>1000000</v>
      </c>
    </row>
    <row r="8" spans="2:3">
      <c r="B8" t="s">
        <v>436</v>
      </c>
      <c r="C8" s="94">
        <v>0.73</v>
      </c>
    </row>
    <row r="9" spans="2:3">
      <c r="B9" t="s">
        <v>598</v>
      </c>
      <c r="C9" s="176">
        <f>C8*C7</f>
        <v>730000</v>
      </c>
    </row>
    <row r="10" spans="2:3">
      <c r="B10" t="s">
        <v>437</v>
      </c>
      <c r="C10" s="194">
        <v>27.5</v>
      </c>
    </row>
    <row r="11" spans="2:3">
      <c r="B11" s="177" t="s">
        <v>438</v>
      </c>
      <c r="C11" s="196">
        <f>C9/C10</f>
        <v>26545.454545454544</v>
      </c>
    </row>
    <row r="12" spans="2:3">
      <c r="C12" s="176"/>
    </row>
    <row r="13" spans="2:3">
      <c r="B13" t="s">
        <v>579</v>
      </c>
      <c r="C13" s="63">
        <v>13000</v>
      </c>
    </row>
    <row r="14" spans="2:3">
      <c r="B14" t="s">
        <v>439</v>
      </c>
      <c r="C14" s="63">
        <v>25</v>
      </c>
    </row>
    <row r="15" spans="2:3">
      <c r="B15" s="177" t="s">
        <v>440</v>
      </c>
      <c r="C15" s="196">
        <f>C13/C14</f>
        <v>520</v>
      </c>
    </row>
    <row r="16" spans="2:3">
      <c r="B16" s="65" t="s">
        <v>441</v>
      </c>
      <c r="C16" s="195">
        <f>C3-C5-C11-C15</f>
        <v>1545.5454545454559</v>
      </c>
    </row>
    <row r="17" spans="2:3">
      <c r="B17" t="s">
        <v>442</v>
      </c>
      <c r="C17" s="121">
        <v>0.24</v>
      </c>
    </row>
    <row r="18" spans="2:3">
      <c r="B18" t="s">
        <v>443</v>
      </c>
      <c r="C18" s="85">
        <f>C17*C16</f>
        <v>370.93090909090938</v>
      </c>
    </row>
    <row r="22" spans="2:3">
      <c r="B22" t="s">
        <v>12</v>
      </c>
      <c r="C22" s="113">
        <v>250000</v>
      </c>
    </row>
    <row r="23" spans="2:3">
      <c r="B23" t="s">
        <v>188</v>
      </c>
      <c r="C23" s="113">
        <v>5000</v>
      </c>
    </row>
    <row r="24" spans="2:3">
      <c r="B24" s="65" t="s">
        <v>446</v>
      </c>
      <c r="C24" s="202">
        <f>SUM(C22:C23)</f>
        <v>255000</v>
      </c>
    </row>
    <row r="26" spans="2:3">
      <c r="B26" t="s">
        <v>12</v>
      </c>
      <c r="C26" s="113">
        <v>250000</v>
      </c>
    </row>
    <row r="27" spans="2:3">
      <c r="B27" t="s">
        <v>580</v>
      </c>
      <c r="C27" s="113">
        <v>5000</v>
      </c>
    </row>
    <row r="28" spans="2:3">
      <c r="B28" t="s">
        <v>581</v>
      </c>
      <c r="C28" s="199">
        <v>45000</v>
      </c>
    </row>
    <row r="29" spans="2:3">
      <c r="B29" t="s">
        <v>582</v>
      </c>
      <c r="C29" s="200">
        <v>35000</v>
      </c>
    </row>
    <row r="30" spans="2:3">
      <c r="B30" t="s">
        <v>438</v>
      </c>
      <c r="C30" s="113">
        <v>-30000</v>
      </c>
    </row>
    <row r="31" spans="2:3">
      <c r="B31" s="65" t="s">
        <v>445</v>
      </c>
      <c r="C31" s="201">
        <f>SUM(C26:C30)</f>
        <v>305000</v>
      </c>
    </row>
    <row r="32" spans="2:3">
      <c r="C32" s="63"/>
    </row>
    <row r="33" spans="2:3">
      <c r="C33" s="63"/>
    </row>
    <row r="34" spans="2:3">
      <c r="C34" s="197"/>
    </row>
    <row r="35" spans="2:3">
      <c r="B35" s="78"/>
      <c r="C35" s="203"/>
    </row>
    <row r="36" spans="2:3">
      <c r="B36" t="s">
        <v>149</v>
      </c>
      <c r="C36" s="113">
        <v>400000</v>
      </c>
    </row>
    <row r="37" spans="2:3">
      <c r="B37" t="s">
        <v>445</v>
      </c>
      <c r="C37" s="113">
        <v>305000</v>
      </c>
    </row>
    <row r="38" spans="2:3">
      <c r="B38" s="177" t="s">
        <v>447</v>
      </c>
      <c r="C38" s="204">
        <f>C36-C37</f>
        <v>95000</v>
      </c>
    </row>
    <row r="39" spans="2:3">
      <c r="C39" s="199"/>
    </row>
    <row r="40" spans="2:3">
      <c r="B40" t="s">
        <v>448</v>
      </c>
      <c r="C40" s="63">
        <v>30000</v>
      </c>
    </row>
    <row r="41" spans="2:3">
      <c r="B41" t="s">
        <v>449</v>
      </c>
      <c r="C41" s="205">
        <v>0.24</v>
      </c>
    </row>
    <row r="42" spans="2:3">
      <c r="B42" t="s">
        <v>450</v>
      </c>
      <c r="C42" s="198">
        <f>C40*C41</f>
        <v>7200</v>
      </c>
    </row>
    <row r="43" spans="2:3">
      <c r="C43" s="198"/>
    </row>
    <row r="44" spans="2:3">
      <c r="B44" t="s">
        <v>451</v>
      </c>
      <c r="C44" s="198">
        <v>65000</v>
      </c>
    </row>
    <row r="45" spans="2:3">
      <c r="B45" t="s">
        <v>491</v>
      </c>
      <c r="C45" s="205">
        <f>15%</f>
        <v>0.15</v>
      </c>
    </row>
    <row r="46" spans="2:3">
      <c r="B46" t="s">
        <v>490</v>
      </c>
      <c r="C46" s="198">
        <f>C45*C44</f>
        <v>9750</v>
      </c>
    </row>
    <row r="47" spans="2:3">
      <c r="B47" s="65" t="s">
        <v>452</v>
      </c>
      <c r="C47" s="175">
        <f>C42+C46</f>
        <v>16950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CA69-FB52-F147-B542-3863019CDF11}">
  <sheetPr>
    <tabColor theme="5"/>
  </sheetPr>
  <dimension ref="B8:F38"/>
  <sheetViews>
    <sheetView showGridLines="0" workbookViewId="0">
      <selection activeCell="B15" sqref="B15"/>
    </sheetView>
  </sheetViews>
  <sheetFormatPr defaultColWidth="10.77734375" defaultRowHeight="14.4"/>
  <cols>
    <col min="2" max="2" width="30.44140625" customWidth="1"/>
    <col min="3" max="3" width="18" customWidth="1"/>
    <col min="5" max="5" width="16.33203125" customWidth="1"/>
    <col min="6" max="6" width="15.10937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8" spans="2:6">
      <c r="B8" s="272" t="s">
        <v>492</v>
      </c>
      <c r="C8" s="273" t="s">
        <v>493</v>
      </c>
      <c r="D8" s="273" t="s">
        <v>494</v>
      </c>
      <c r="E8" s="273" t="s">
        <v>495</v>
      </c>
      <c r="F8" s="273" t="s">
        <v>496</v>
      </c>
    </row>
    <row r="9" spans="2:6">
      <c r="B9" s="274" t="s">
        <v>150</v>
      </c>
      <c r="C9" s="275" t="s">
        <v>497</v>
      </c>
      <c r="D9" s="275"/>
      <c r="E9" s="275"/>
      <c r="F9" s="275"/>
    </row>
    <row r="10" spans="2:6">
      <c r="B10" s="274" t="s">
        <v>498</v>
      </c>
      <c r="C10" s="275" t="s">
        <v>497</v>
      </c>
      <c r="D10" s="275"/>
      <c r="E10" s="275"/>
      <c r="F10" s="275"/>
    </row>
    <row r="11" spans="2:6">
      <c r="B11" s="274" t="s">
        <v>499</v>
      </c>
      <c r="C11" s="275" t="s">
        <v>497</v>
      </c>
      <c r="D11" s="275"/>
      <c r="E11" s="275"/>
      <c r="F11" s="275"/>
    </row>
    <row r="12" spans="2:6" ht="15" customHeight="1">
      <c r="B12" s="274" t="s">
        <v>500</v>
      </c>
      <c r="C12" s="275"/>
      <c r="D12" s="275" t="s">
        <v>497</v>
      </c>
      <c r="E12" s="275"/>
      <c r="F12" s="275"/>
    </row>
    <row r="13" spans="2:6" ht="15" customHeight="1">
      <c r="B13" s="274" t="s">
        <v>501</v>
      </c>
      <c r="C13" s="275"/>
      <c r="D13" s="275" t="s">
        <v>497</v>
      </c>
      <c r="E13" s="275"/>
      <c r="F13" s="275"/>
    </row>
    <row r="14" spans="2:6" ht="15" customHeight="1">
      <c r="B14" s="274" t="s">
        <v>502</v>
      </c>
      <c r="C14" s="275"/>
      <c r="D14" s="275"/>
      <c r="E14" s="275" t="s">
        <v>497</v>
      </c>
      <c r="F14" s="275"/>
    </row>
    <row r="15" spans="2:6" ht="15" customHeight="1">
      <c r="B15" s="274" t="s">
        <v>599</v>
      </c>
      <c r="C15" s="275"/>
      <c r="D15" s="275"/>
      <c r="E15" s="275" t="s">
        <v>497</v>
      </c>
      <c r="F15" s="275"/>
    </row>
    <row r="16" spans="2:6" ht="15" customHeight="1">
      <c r="B16" s="274" t="s">
        <v>503</v>
      </c>
      <c r="C16" s="275"/>
      <c r="D16" s="275"/>
      <c r="E16" s="275" t="s">
        <v>497</v>
      </c>
      <c r="F16" s="275"/>
    </row>
    <row r="17" spans="2:6" ht="15" customHeight="1">
      <c r="B17" s="274" t="s">
        <v>504</v>
      </c>
      <c r="C17" s="275"/>
      <c r="D17" s="275"/>
      <c r="E17" s="275"/>
      <c r="F17" s="275" t="s">
        <v>497</v>
      </c>
    </row>
    <row r="18" spans="2:6" ht="15" customHeight="1">
      <c r="B18" s="274" t="s">
        <v>505</v>
      </c>
      <c r="C18" s="275"/>
      <c r="D18" s="275"/>
      <c r="E18" s="275"/>
      <c r="F18" s="275" t="s">
        <v>497</v>
      </c>
    </row>
    <row r="19" spans="2:6" ht="15" customHeight="1"/>
    <row r="20" spans="2:6" ht="15" customHeight="1"/>
    <row r="21" spans="2:6" ht="15" customHeight="1"/>
    <row r="22" spans="2:6" ht="15" customHeight="1"/>
    <row r="23" spans="2:6" ht="15" customHeight="1"/>
    <row r="24" spans="2:6" ht="15" customHeight="1"/>
    <row r="25" spans="2:6" ht="15" customHeight="1"/>
    <row r="26" spans="2:6" ht="15" customHeight="1"/>
    <row r="27" spans="2:6" ht="15" customHeight="1"/>
    <row r="28" spans="2:6" ht="15" customHeight="1"/>
    <row r="29" spans="2:6" ht="15" customHeight="1"/>
    <row r="30" spans="2:6" ht="15" customHeight="1"/>
    <row r="31" spans="2:6" ht="15" customHeight="1"/>
    <row r="32" spans="2:6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4A32-53B6-0C44-9D27-15EC7428F098}">
  <sheetPr>
    <tabColor theme="5"/>
  </sheetPr>
  <dimension ref="B5:C38"/>
  <sheetViews>
    <sheetView showGridLines="0" workbookViewId="0">
      <selection activeCell="E37" sqref="E37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5" spans="2:3">
      <c r="B5" s="352" t="s">
        <v>434</v>
      </c>
      <c r="C5" s="353"/>
    </row>
    <row r="6" spans="2:3">
      <c r="B6" s="354" t="s">
        <v>594</v>
      </c>
      <c r="C6" s="355"/>
    </row>
    <row r="7" spans="2:3">
      <c r="B7" s="157" t="s">
        <v>71</v>
      </c>
      <c r="C7" s="158"/>
    </row>
    <row r="8" spans="2:3">
      <c r="B8" s="39" t="s">
        <v>419</v>
      </c>
      <c r="C8" s="234">
        <v>120000</v>
      </c>
    </row>
    <row r="9" spans="2:3">
      <c r="B9" s="39" t="s">
        <v>420</v>
      </c>
      <c r="C9" s="234">
        <v>-12000</v>
      </c>
    </row>
    <row r="10" spans="2:3">
      <c r="B10" s="183" t="s">
        <v>107</v>
      </c>
      <c r="C10" s="235">
        <v>3000</v>
      </c>
    </row>
    <row r="11" spans="2:3">
      <c r="B11" s="185" t="s">
        <v>421</v>
      </c>
      <c r="C11" s="238">
        <v>111000</v>
      </c>
    </row>
    <row r="12" spans="2:3" ht="15" customHeight="1">
      <c r="B12" s="157" t="s">
        <v>80</v>
      </c>
      <c r="C12" s="240"/>
    </row>
    <row r="13" spans="2:3" ht="15" customHeight="1">
      <c r="B13" s="39" t="s">
        <v>422</v>
      </c>
      <c r="C13" s="234">
        <v>5250</v>
      </c>
    </row>
    <row r="14" spans="2:3" ht="15" customHeight="1">
      <c r="B14" s="39" t="s">
        <v>98</v>
      </c>
      <c r="C14" s="234">
        <v>2810</v>
      </c>
    </row>
    <row r="15" spans="2:3" ht="15" customHeight="1">
      <c r="B15" s="39" t="s">
        <v>209</v>
      </c>
      <c r="C15" s="235">
        <v>8640</v>
      </c>
    </row>
    <row r="16" spans="2:3" ht="15" customHeight="1">
      <c r="B16" s="39" t="s">
        <v>423</v>
      </c>
      <c r="C16" s="234">
        <v>4800</v>
      </c>
    </row>
    <row r="17" spans="2:3" ht="15" customHeight="1">
      <c r="B17" s="39" t="s">
        <v>326</v>
      </c>
      <c r="C17" s="234">
        <v>10000</v>
      </c>
    </row>
    <row r="18" spans="2:3" ht="15" customHeight="1">
      <c r="B18" s="39" t="s">
        <v>101</v>
      </c>
      <c r="C18" s="235">
        <v>400</v>
      </c>
    </row>
    <row r="19" spans="2:3" ht="15" customHeight="1">
      <c r="B19" s="39" t="s">
        <v>424</v>
      </c>
      <c r="C19" s="234">
        <v>3600</v>
      </c>
    </row>
    <row r="20" spans="2:3" ht="15" customHeight="1">
      <c r="B20" s="39" t="s">
        <v>425</v>
      </c>
      <c r="C20" s="234">
        <v>0</v>
      </c>
    </row>
    <row r="21" spans="2:3" ht="15" customHeight="1">
      <c r="B21" s="39" t="s">
        <v>426</v>
      </c>
      <c r="C21" s="235">
        <v>0</v>
      </c>
    </row>
    <row r="22" spans="2:3" ht="15" customHeight="1">
      <c r="B22" s="39" t="s">
        <v>427</v>
      </c>
      <c r="C22" s="234">
        <v>3000</v>
      </c>
    </row>
    <row r="23" spans="2:3" ht="15" customHeight="1">
      <c r="B23" s="39" t="s">
        <v>428</v>
      </c>
      <c r="C23" s="234">
        <v>0</v>
      </c>
    </row>
    <row r="24" spans="2:3" ht="15" customHeight="1">
      <c r="B24" s="39" t="s">
        <v>429</v>
      </c>
      <c r="C24" s="235">
        <v>0</v>
      </c>
    </row>
    <row r="25" spans="2:3" ht="15" customHeight="1">
      <c r="B25" s="183" t="s">
        <v>430</v>
      </c>
      <c r="C25" s="234">
        <v>1500</v>
      </c>
    </row>
    <row r="26" spans="2:3" ht="15" customHeight="1">
      <c r="B26" s="186" t="s">
        <v>431</v>
      </c>
      <c r="C26" s="241">
        <v>40000</v>
      </c>
    </row>
    <row r="27" spans="2:3" ht="15" customHeight="1">
      <c r="B27" s="187" t="s">
        <v>112</v>
      </c>
      <c r="C27" s="241">
        <v>71000</v>
      </c>
    </row>
    <row r="28" spans="2:3" ht="15" customHeight="1">
      <c r="B28" s="276" t="s">
        <v>157</v>
      </c>
      <c r="C28" s="237">
        <v>-40200</v>
      </c>
    </row>
    <row r="29" spans="2:3" ht="15" customHeight="1">
      <c r="B29" s="276" t="s">
        <v>444</v>
      </c>
      <c r="C29" s="277">
        <v>-5000</v>
      </c>
    </row>
    <row r="30" spans="2:3" ht="15" customHeight="1">
      <c r="B30" s="185" t="s">
        <v>458</v>
      </c>
      <c r="C30" s="238">
        <f>SUM(C27:C29)</f>
        <v>25800</v>
      </c>
    </row>
    <row r="31" spans="2:3" ht="15" customHeight="1">
      <c r="B31" s="276" t="s">
        <v>442</v>
      </c>
      <c r="C31" s="121">
        <v>0.35</v>
      </c>
    </row>
    <row r="32" spans="2:3" ht="15" customHeight="1">
      <c r="B32" s="276" t="s">
        <v>443</v>
      </c>
      <c r="C32" s="85">
        <f>-C31*C30</f>
        <v>-9030</v>
      </c>
    </row>
    <row r="33" spans="2:3" ht="15" customHeight="1">
      <c r="B33" s="185" t="s">
        <v>600</v>
      </c>
      <c r="C33" s="238">
        <f>C30+C32</f>
        <v>16770</v>
      </c>
    </row>
    <row r="34" spans="2:3" ht="15" customHeight="1"/>
    <row r="35" spans="2:3" ht="15" customHeight="1"/>
    <row r="36" spans="2:3" ht="15" customHeight="1"/>
    <row r="37" spans="2:3" ht="15" customHeight="1"/>
    <row r="38" spans="2:3" ht="18" customHeight="1"/>
  </sheetData>
  <mergeCells count="2">
    <mergeCell ref="B5:C5"/>
    <mergeCell ref="B6:C6"/>
  </mergeCells>
  <pageMargins left="0.7" right="0.7" top="0.75" bottom="0.75" header="0.3" footer="0.3"/>
  <ignoredErrors>
    <ignoredError sqref="C30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85C5-6FA0-8C4C-9B46-F57F5903E08B}">
  <sheetPr>
    <tabColor theme="5"/>
  </sheetPr>
  <dimension ref="C2:D38"/>
  <sheetViews>
    <sheetView showGridLines="0" workbookViewId="0">
      <selection activeCell="C2" sqref="C2:D7"/>
    </sheetView>
  </sheetViews>
  <sheetFormatPr defaultColWidth="10.77734375" defaultRowHeight="14.4"/>
  <cols>
    <col min="2" max="2" width="3" customWidth="1"/>
    <col min="4" max="4" width="26.6640625" customWidth="1"/>
    <col min="5" max="5" width="22.109375" customWidth="1"/>
    <col min="7" max="7" width="19.77734375" bestFit="1" customWidth="1"/>
    <col min="8" max="8" width="21" customWidth="1"/>
    <col min="10" max="11" width="16.33203125" customWidth="1"/>
    <col min="12" max="12" width="5.44140625" customWidth="1"/>
    <col min="13" max="13" width="30.44140625" customWidth="1"/>
    <col min="14" max="14" width="10.77734375" customWidth="1"/>
  </cols>
  <sheetData>
    <row r="2" spans="3:4">
      <c r="C2" s="218" t="s">
        <v>119</v>
      </c>
      <c r="D2" s="221" t="s">
        <v>23</v>
      </c>
    </row>
    <row r="3" spans="3:4">
      <c r="C3" t="s">
        <v>255</v>
      </c>
      <c r="D3" s="75">
        <v>5000</v>
      </c>
    </row>
    <row r="4" spans="3:4">
      <c r="C4" t="s">
        <v>256</v>
      </c>
      <c r="D4" s="75">
        <v>8000</v>
      </c>
    </row>
    <row r="5" spans="3:4">
      <c r="C5" t="s">
        <v>258</v>
      </c>
      <c r="D5" s="75">
        <v>12000</v>
      </c>
    </row>
    <row r="6" spans="3:4">
      <c r="C6" t="s">
        <v>257</v>
      </c>
      <c r="D6" s="75">
        <v>200000</v>
      </c>
    </row>
    <row r="7" spans="3:4">
      <c r="C7" s="216" t="s">
        <v>583</v>
      </c>
      <c r="D7" s="223">
        <f>SUM(D3:D6)</f>
        <v>225000</v>
      </c>
    </row>
    <row r="12" spans="3:4" ht="15" customHeight="1"/>
    <row r="13" spans="3:4" ht="15" customHeight="1"/>
    <row r="14" spans="3:4" ht="15" customHeight="1"/>
    <row r="15" spans="3:4" ht="15" customHeight="1"/>
    <row r="16" spans="3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3B10-724C-C841-98AC-C833EAE73916}">
  <sheetPr>
    <tabColor theme="5"/>
  </sheetPr>
  <dimension ref="B4:E38"/>
  <sheetViews>
    <sheetView showGridLines="0" workbookViewId="0">
      <selection activeCell="D6" sqref="D6"/>
    </sheetView>
  </sheetViews>
  <sheetFormatPr defaultColWidth="10.77734375" defaultRowHeight="14.4"/>
  <cols>
    <col min="2" max="2" width="18.6640625" customWidth="1"/>
    <col min="3" max="3" width="16" customWidth="1"/>
    <col min="4" max="4" width="11.44140625" bestFit="1" customWidth="1"/>
    <col min="5" max="5" width="13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4" spans="2:5">
      <c r="B4" s="279"/>
      <c r="C4" s="280" t="s">
        <v>506</v>
      </c>
      <c r="D4" s="280" t="s">
        <v>507</v>
      </c>
      <c r="E4" s="280" t="s">
        <v>508</v>
      </c>
    </row>
    <row r="5" spans="2:5">
      <c r="B5" s="278" t="s">
        <v>360</v>
      </c>
      <c r="C5" s="281">
        <v>1058000</v>
      </c>
      <c r="D5" s="282">
        <v>2157000</v>
      </c>
      <c r="E5" s="281">
        <v>1165000</v>
      </c>
    </row>
    <row r="6" spans="2:5">
      <c r="B6" s="278" t="s">
        <v>509</v>
      </c>
      <c r="C6" s="283">
        <v>22000000</v>
      </c>
      <c r="D6" s="283">
        <v>36000000</v>
      </c>
      <c r="E6" s="283">
        <v>30000000</v>
      </c>
    </row>
    <row r="7" spans="2:5" ht="28.8">
      <c r="B7" s="278" t="s">
        <v>601</v>
      </c>
      <c r="C7" s="284">
        <v>4.8000000000000001E-2</v>
      </c>
      <c r="D7" s="284">
        <v>0.06</v>
      </c>
      <c r="E7" s="284">
        <v>3.9E-2</v>
      </c>
    </row>
    <row r="12" spans="2:5" ht="15" customHeight="1"/>
    <row r="13" spans="2:5" ht="15" customHeight="1"/>
    <row r="14" spans="2:5" ht="15" customHeight="1"/>
    <row r="15" spans="2:5" ht="15" customHeight="1"/>
    <row r="16" spans="2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CEB5-0987-C64F-A45E-C53CEAD6F71F}">
  <sheetPr>
    <tabColor theme="5"/>
  </sheetPr>
  <dimension ref="B5:J50"/>
  <sheetViews>
    <sheetView showGridLines="0" tabSelected="1" zoomScale="98" zoomScaleNormal="98" workbookViewId="0">
      <selection activeCell="C17" sqref="C17"/>
    </sheetView>
  </sheetViews>
  <sheetFormatPr defaultColWidth="10.77734375" defaultRowHeight="14.4"/>
  <cols>
    <col min="2" max="2" width="9.44140625" customWidth="1"/>
    <col min="3" max="3" width="13.109375" customWidth="1"/>
    <col min="4" max="10" width="10.77734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5" spans="2:4">
      <c r="B5" s="116" t="s">
        <v>119</v>
      </c>
      <c r="C5" s="116" t="s">
        <v>270</v>
      </c>
      <c r="D5" s="116" t="s">
        <v>269</v>
      </c>
    </row>
    <row r="6" spans="2:4">
      <c r="B6" t="s">
        <v>254</v>
      </c>
      <c r="C6" s="63">
        <v>10000</v>
      </c>
    </row>
    <row r="7" spans="2:4">
      <c r="B7" t="s">
        <v>255</v>
      </c>
      <c r="C7" s="63">
        <f t="shared" ref="C7:C15" si="0">C6*(1+D7)</f>
        <v>11500</v>
      </c>
      <c r="D7" s="94">
        <v>0.15</v>
      </c>
    </row>
    <row r="8" spans="2:4">
      <c r="B8" t="s">
        <v>256</v>
      </c>
      <c r="C8" s="63">
        <f t="shared" si="0"/>
        <v>13570</v>
      </c>
      <c r="D8" s="94">
        <v>0.18</v>
      </c>
    </row>
    <row r="9" spans="2:4">
      <c r="B9" t="s">
        <v>258</v>
      </c>
      <c r="C9" s="63">
        <f t="shared" si="0"/>
        <v>11941.6</v>
      </c>
      <c r="D9" s="94">
        <v>-0.12</v>
      </c>
    </row>
    <row r="10" spans="2:4">
      <c r="B10" t="s">
        <v>257</v>
      </c>
      <c r="C10" s="63">
        <f t="shared" si="0"/>
        <v>10866.856000000002</v>
      </c>
      <c r="D10" s="94">
        <v>-0.09</v>
      </c>
    </row>
    <row r="11" spans="2:4">
      <c r="B11" t="s">
        <v>263</v>
      </c>
      <c r="C11" s="63">
        <f t="shared" si="0"/>
        <v>10323.513200000001</v>
      </c>
      <c r="D11" s="94">
        <v>-0.05</v>
      </c>
    </row>
    <row r="12" spans="2:4" ht="15" customHeight="1">
      <c r="B12" t="s">
        <v>264</v>
      </c>
      <c r="C12" s="63">
        <f t="shared" si="0"/>
        <v>9084.6916160000019</v>
      </c>
      <c r="D12" s="94">
        <v>-0.12</v>
      </c>
    </row>
    <row r="13" spans="2:4" ht="15" customHeight="1">
      <c r="B13" t="s">
        <v>265</v>
      </c>
      <c r="C13" s="63">
        <f t="shared" si="0"/>
        <v>10901.629939200002</v>
      </c>
      <c r="D13" s="94">
        <v>0.2</v>
      </c>
    </row>
    <row r="14" spans="2:4" ht="15" customHeight="1">
      <c r="B14" t="s">
        <v>266</v>
      </c>
      <c r="C14" s="63">
        <f t="shared" si="0"/>
        <v>12536.874430080001</v>
      </c>
      <c r="D14" s="94">
        <v>0.15</v>
      </c>
    </row>
    <row r="15" spans="2:4" ht="15" customHeight="1">
      <c r="B15" t="s">
        <v>267</v>
      </c>
      <c r="C15" s="63">
        <f t="shared" si="0"/>
        <v>14041.299361689602</v>
      </c>
      <c r="D15" s="94">
        <v>0.12</v>
      </c>
    </row>
    <row r="16" spans="2:4" ht="15" customHeight="1">
      <c r="B16" s="65" t="s">
        <v>232</v>
      </c>
      <c r="C16" s="125">
        <f>C15/C6-1</f>
        <v>0.40412993616896009</v>
      </c>
      <c r="D16" s="123"/>
    </row>
    <row r="17" spans="2:4" ht="15" customHeight="1">
      <c r="B17" s="78" t="s">
        <v>602</v>
      </c>
      <c r="C17" s="124">
        <f>SUM(D7:D15)/9</f>
        <v>4.6666666666666662E-2</v>
      </c>
    </row>
    <row r="18" spans="2:4" ht="15" customHeight="1">
      <c r="B18" s="78" t="s">
        <v>224</v>
      </c>
      <c r="C18" s="124">
        <f>_xlfn.RRI(9, C6, C15)</f>
        <v>3.8433257685635214E-2</v>
      </c>
    </row>
    <row r="19" spans="2:4" ht="15" customHeight="1"/>
    <row r="20" spans="2:4" ht="15" customHeight="1"/>
    <row r="21" spans="2:4" ht="15" customHeight="1"/>
    <row r="22" spans="2:4" ht="15" customHeight="1">
      <c r="B22" s="116"/>
      <c r="C22" s="116" t="s">
        <v>270</v>
      </c>
      <c r="D22" s="116" t="s">
        <v>510</v>
      </c>
    </row>
    <row r="23" spans="2:4" ht="15" customHeight="1">
      <c r="B23" t="s">
        <v>254</v>
      </c>
      <c r="C23" s="63">
        <v>10000</v>
      </c>
    </row>
    <row r="24" spans="2:4" ht="15" customHeight="1">
      <c r="B24" t="s">
        <v>255</v>
      </c>
      <c r="C24" s="63">
        <f>C23*(1+D24)</f>
        <v>12000</v>
      </c>
      <c r="D24" s="94">
        <v>0.2</v>
      </c>
    </row>
    <row r="25" spans="2:4" ht="15" customHeight="1">
      <c r="B25" t="s">
        <v>256</v>
      </c>
      <c r="C25" s="63">
        <f>C24*(1+D25)</f>
        <v>9600</v>
      </c>
      <c r="D25" s="94">
        <v>-0.2</v>
      </c>
    </row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spans="2:10" ht="15" customHeight="1"/>
    <row r="34" spans="2:10" ht="15" customHeight="1"/>
    <row r="35" spans="2:10" ht="15" customHeight="1"/>
    <row r="36" spans="2:10" ht="15" customHeight="1"/>
    <row r="37" spans="2:10" ht="15" customHeight="1"/>
    <row r="38" spans="2:10" ht="18" customHeight="1"/>
    <row r="43" spans="2:10" ht="15" thickBot="1"/>
    <row r="44" spans="2:10" ht="16.2" thickBot="1">
      <c r="B44" s="285"/>
      <c r="C44" s="357" t="s">
        <v>511</v>
      </c>
      <c r="D44" s="358"/>
      <c r="E44" s="359" t="s">
        <v>512</v>
      </c>
      <c r="F44" s="358"/>
      <c r="G44" s="359" t="s">
        <v>513</v>
      </c>
      <c r="H44" s="358"/>
      <c r="I44" s="359" t="s">
        <v>514</v>
      </c>
      <c r="J44" s="358"/>
    </row>
    <row r="45" spans="2:10" ht="15" thickBot="1">
      <c r="B45" s="228" t="s">
        <v>119</v>
      </c>
      <c r="C45" s="245" t="s">
        <v>232</v>
      </c>
      <c r="D45" s="245" t="s">
        <v>515</v>
      </c>
      <c r="E45" s="245" t="s">
        <v>232</v>
      </c>
      <c r="F45" s="245" t="s">
        <v>515</v>
      </c>
      <c r="G45" s="245" t="s">
        <v>232</v>
      </c>
      <c r="H45" s="245" t="s">
        <v>515</v>
      </c>
      <c r="I45" s="245" t="s">
        <v>232</v>
      </c>
      <c r="J45" s="245" t="s">
        <v>515</v>
      </c>
    </row>
    <row r="46" spans="2:10" ht="16.2" thickBot="1">
      <c r="B46" s="286">
        <v>0</v>
      </c>
      <c r="C46" s="287"/>
      <c r="D46" s="288">
        <v>100000</v>
      </c>
      <c r="E46" s="287"/>
      <c r="F46" s="288">
        <v>100000</v>
      </c>
      <c r="G46" s="287"/>
      <c r="H46" s="288">
        <v>100000</v>
      </c>
      <c r="I46" s="287"/>
      <c r="J46" s="288">
        <v>100000</v>
      </c>
    </row>
    <row r="47" spans="2:10" ht="15" thickBot="1">
      <c r="B47" s="286">
        <v>1</v>
      </c>
      <c r="C47" s="219">
        <v>0.1</v>
      </c>
      <c r="D47" s="288">
        <v>110000</v>
      </c>
      <c r="E47" s="219">
        <v>0.15</v>
      </c>
      <c r="F47" s="288">
        <v>115000</v>
      </c>
      <c r="G47" s="219">
        <v>0.2</v>
      </c>
      <c r="H47" s="288">
        <v>120000</v>
      </c>
      <c r="I47" s="219">
        <v>0.3</v>
      </c>
      <c r="J47" s="288">
        <v>130000</v>
      </c>
    </row>
    <row r="48" spans="2:10" ht="15" thickBot="1">
      <c r="B48" s="286">
        <v>2</v>
      </c>
      <c r="C48" s="219">
        <v>0.1</v>
      </c>
      <c r="D48" s="288">
        <v>121000</v>
      </c>
      <c r="E48" s="219">
        <v>0.1</v>
      </c>
      <c r="F48" s="288">
        <v>126500</v>
      </c>
      <c r="G48" s="219">
        <v>0.1</v>
      </c>
      <c r="H48" s="288">
        <v>132000</v>
      </c>
      <c r="I48" s="219">
        <v>0</v>
      </c>
      <c r="J48" s="288">
        <v>130000</v>
      </c>
    </row>
    <row r="49" spans="2:10" ht="15" thickBot="1">
      <c r="B49" s="286">
        <v>3</v>
      </c>
      <c r="C49" s="219">
        <v>0.1</v>
      </c>
      <c r="D49" s="288">
        <v>133100</v>
      </c>
      <c r="E49" s="219">
        <v>0.05</v>
      </c>
      <c r="F49" s="288">
        <v>132825</v>
      </c>
      <c r="G49" s="219">
        <v>0</v>
      </c>
      <c r="H49" s="288">
        <v>132000</v>
      </c>
      <c r="I49" s="219">
        <v>0</v>
      </c>
      <c r="J49" s="288">
        <v>130000</v>
      </c>
    </row>
    <row r="50" spans="2:10" ht="15" thickBot="1">
      <c r="C50" s="307" t="s">
        <v>584</v>
      </c>
      <c r="E50" s="307" t="s">
        <v>584</v>
      </c>
      <c r="G50" s="307" t="s">
        <v>584</v>
      </c>
      <c r="I50" s="307" t="s">
        <v>584</v>
      </c>
    </row>
  </sheetData>
  <mergeCells count="4">
    <mergeCell ref="C44:D44"/>
    <mergeCell ref="E44:F44"/>
    <mergeCell ref="G44:H44"/>
    <mergeCell ref="I44:J4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8FB8-506B-5D46-9E6D-2ABC20EA40E5}">
  <sheetPr>
    <tabColor theme="5"/>
  </sheetPr>
  <dimension ref="B5:K38"/>
  <sheetViews>
    <sheetView showGridLines="0" workbookViewId="0">
      <selection activeCell="K33" sqref="K33"/>
    </sheetView>
  </sheetViews>
  <sheetFormatPr defaultColWidth="10.77734375" defaultRowHeight="14.4"/>
  <cols>
    <col min="2" max="2" width="10.33203125" customWidth="1"/>
    <col min="3" max="3" width="16.77734375" bestFit="1" customWidth="1"/>
    <col min="4" max="4" width="18" customWidth="1"/>
    <col min="5" max="5" width="17.664062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5" spans="2:6">
      <c r="B5" s="116" t="s">
        <v>119</v>
      </c>
      <c r="C5" s="116" t="s">
        <v>269</v>
      </c>
      <c r="D5" s="116" t="s">
        <v>270</v>
      </c>
    </row>
    <row r="6" spans="2:6">
      <c r="B6" t="s">
        <v>254</v>
      </c>
      <c r="D6" s="84">
        <v>10000</v>
      </c>
    </row>
    <row r="7" spans="2:6">
      <c r="B7" t="s">
        <v>255</v>
      </c>
      <c r="C7" s="94">
        <v>0.15</v>
      </c>
      <c r="D7" s="84">
        <f t="shared" ref="D7:D15" si="0">D6*(1+C7)</f>
        <v>11500</v>
      </c>
    </row>
    <row r="8" spans="2:6">
      <c r="B8" t="s">
        <v>256</v>
      </c>
      <c r="C8" s="94">
        <v>0.18</v>
      </c>
      <c r="D8" s="84">
        <f t="shared" si="0"/>
        <v>13570</v>
      </c>
    </row>
    <row r="9" spans="2:6">
      <c r="B9" t="s">
        <v>258</v>
      </c>
      <c r="C9" s="94">
        <v>-0.12</v>
      </c>
      <c r="D9" s="84">
        <f t="shared" si="0"/>
        <v>11941.6</v>
      </c>
    </row>
    <row r="10" spans="2:6">
      <c r="B10" t="s">
        <v>257</v>
      </c>
      <c r="C10" s="94">
        <v>-0.09</v>
      </c>
      <c r="D10" s="84">
        <f t="shared" si="0"/>
        <v>10866.856000000002</v>
      </c>
    </row>
    <row r="11" spans="2:6">
      <c r="B11" t="s">
        <v>263</v>
      </c>
      <c r="C11" s="94">
        <v>-0.05</v>
      </c>
      <c r="D11" s="84">
        <f t="shared" si="0"/>
        <v>10323.513200000001</v>
      </c>
    </row>
    <row r="12" spans="2:6" ht="15" customHeight="1">
      <c r="B12" t="s">
        <v>264</v>
      </c>
      <c r="C12" s="94">
        <v>-0.12</v>
      </c>
      <c r="D12" s="84">
        <f t="shared" si="0"/>
        <v>9084.6916160000019</v>
      </c>
    </row>
    <row r="13" spans="2:6" ht="15" customHeight="1">
      <c r="B13" t="s">
        <v>265</v>
      </c>
      <c r="C13" s="94">
        <v>0.2</v>
      </c>
      <c r="D13" s="84">
        <f t="shared" si="0"/>
        <v>10901.629939200002</v>
      </c>
    </row>
    <row r="14" spans="2:6" ht="15" customHeight="1">
      <c r="B14" t="s">
        <v>266</v>
      </c>
      <c r="C14" s="94">
        <v>0.15</v>
      </c>
      <c r="D14" s="84">
        <f t="shared" si="0"/>
        <v>12536.874430080001</v>
      </c>
      <c r="F14" t="s">
        <v>224</v>
      </c>
    </row>
    <row r="15" spans="2:6" ht="15" customHeight="1">
      <c r="B15" t="s">
        <v>267</v>
      </c>
      <c r="C15" s="94">
        <v>0.12</v>
      </c>
      <c r="D15" s="84">
        <f t="shared" si="0"/>
        <v>14041.299361689602</v>
      </c>
      <c r="F15">
        <f>_xlfn.RRI(9,D6,D15)</f>
        <v>3.8433257685635214E-2</v>
      </c>
    </row>
    <row r="16" spans="2:6" ht="15" customHeight="1"/>
    <row r="17" spans="2:11" ht="15" customHeight="1"/>
    <row r="18" spans="2:11" ht="15" customHeight="1">
      <c r="B18" s="116"/>
      <c r="C18" s="116" t="s">
        <v>269</v>
      </c>
      <c r="D18" s="116" t="s">
        <v>270</v>
      </c>
    </row>
    <row r="19" spans="2:11" ht="15" customHeight="1">
      <c r="B19" t="s">
        <v>254</v>
      </c>
      <c r="C19" s="252"/>
      <c r="D19" s="84">
        <v>10000</v>
      </c>
    </row>
    <row r="20" spans="2:11" ht="15" customHeight="1">
      <c r="B20" t="s">
        <v>255</v>
      </c>
      <c r="C20" s="252">
        <f>F15</f>
        <v>3.8433257685635214E-2</v>
      </c>
      <c r="D20" s="84">
        <f t="shared" ref="D20:D28" si="1">D19*(1+C20)</f>
        <v>10384.332576856352</v>
      </c>
    </row>
    <row r="21" spans="2:11" ht="15" customHeight="1">
      <c r="B21" t="s">
        <v>256</v>
      </c>
      <c r="C21" s="252">
        <f>C20</f>
        <v>3.8433257685635214E-2</v>
      </c>
      <c r="D21" s="84">
        <f t="shared" si="1"/>
        <v>10783.436306676009</v>
      </c>
    </row>
    <row r="22" spans="2:11" ht="15" customHeight="1">
      <c r="B22" t="s">
        <v>258</v>
      </c>
      <c r="C22" s="252">
        <f t="shared" ref="C22:C28" si="2">C21</f>
        <v>3.8433257685635214E-2</v>
      </c>
      <c r="D22" s="84">
        <f t="shared" si="1"/>
        <v>11197.878892987123</v>
      </c>
    </row>
    <row r="23" spans="2:11" ht="15" customHeight="1">
      <c r="B23" t="s">
        <v>257</v>
      </c>
      <c r="C23" s="252">
        <f t="shared" si="2"/>
        <v>3.8433257685635214E-2</v>
      </c>
      <c r="D23" s="84">
        <f t="shared" si="1"/>
        <v>11628.249858013833</v>
      </c>
    </row>
    <row r="24" spans="2:11" ht="15" customHeight="1">
      <c r="B24" t="s">
        <v>263</v>
      </c>
      <c r="C24" s="252">
        <f t="shared" si="2"/>
        <v>3.8433257685635214E-2</v>
      </c>
      <c r="D24" s="84">
        <f t="shared" si="1"/>
        <v>12075.16138123983</v>
      </c>
    </row>
    <row r="25" spans="2:11" ht="15" customHeight="1">
      <c r="B25" t="s">
        <v>264</v>
      </c>
      <c r="C25" s="252">
        <f t="shared" si="2"/>
        <v>3.8433257685635214E-2</v>
      </c>
      <c r="D25" s="84">
        <f t="shared" si="1"/>
        <v>12539.249170200652</v>
      </c>
    </row>
    <row r="26" spans="2:11" ht="15" customHeight="1">
      <c r="B26" t="s">
        <v>265</v>
      </c>
      <c r="C26" s="252">
        <f t="shared" si="2"/>
        <v>3.8433257685635214E-2</v>
      </c>
      <c r="D26" s="84">
        <f t="shared" si="1"/>
        <v>13021.173364743361</v>
      </c>
    </row>
    <row r="27" spans="2:11" ht="15" customHeight="1">
      <c r="B27" t="s">
        <v>266</v>
      </c>
      <c r="C27" s="252">
        <f t="shared" si="2"/>
        <v>3.8433257685635214E-2</v>
      </c>
      <c r="D27" s="84">
        <f t="shared" si="1"/>
        <v>13521.619476039872</v>
      </c>
    </row>
    <row r="28" spans="2:11" ht="15" customHeight="1">
      <c r="B28" t="s">
        <v>267</v>
      </c>
      <c r="C28" s="252">
        <f t="shared" si="2"/>
        <v>3.8433257685635214E-2</v>
      </c>
      <c r="D28" s="84">
        <f t="shared" si="1"/>
        <v>14041.299361689616</v>
      </c>
    </row>
    <row r="29" spans="2:11" ht="15" customHeight="1"/>
    <row r="30" spans="2:11" ht="15" customHeight="1"/>
    <row r="31" spans="2:11" ht="15" customHeight="1"/>
    <row r="32" spans="2:11" ht="15" customHeight="1">
      <c r="B32" s="116"/>
      <c r="C32" s="173" t="s">
        <v>12</v>
      </c>
      <c r="D32" s="173" t="s">
        <v>585</v>
      </c>
      <c r="E32" s="173" t="s">
        <v>586</v>
      </c>
      <c r="F32" s="173" t="s">
        <v>224</v>
      </c>
      <c r="I32">
        <f>D33/C33</f>
        <v>1.7866666666666666</v>
      </c>
      <c r="J32">
        <f>1/12</f>
        <v>8.3333333333333329E-2</v>
      </c>
      <c r="K32">
        <f>I32^J32</f>
        <v>1.0495511961273414</v>
      </c>
    </row>
    <row r="33" spans="2:11" ht="15" customHeight="1">
      <c r="B33" t="s">
        <v>343</v>
      </c>
      <c r="C33" s="308">
        <v>150000</v>
      </c>
      <c r="D33" s="308">
        <v>268000</v>
      </c>
      <c r="E33" s="83">
        <v>12</v>
      </c>
      <c r="F33" s="309">
        <f>_xlfn.RRI(E33,C33,D33)</f>
        <v>4.9551196127341379E-2</v>
      </c>
      <c r="H33" s="94"/>
      <c r="I33">
        <f>D34/C34</f>
        <v>1.7045454545454546</v>
      </c>
      <c r="J33">
        <f>1/12</f>
        <v>8.3333333333333329E-2</v>
      </c>
      <c r="K33">
        <f>I33^J33</f>
        <v>1.0454438582427505</v>
      </c>
    </row>
    <row r="34" spans="2:11" ht="15" customHeight="1">
      <c r="B34" t="s">
        <v>344</v>
      </c>
      <c r="C34" s="308">
        <v>220000</v>
      </c>
      <c r="D34" s="308">
        <v>375000</v>
      </c>
      <c r="E34" s="83">
        <v>12</v>
      </c>
      <c r="F34" s="309">
        <f>_xlfn.RRI(E34,C34,D34)</f>
        <v>4.5443858242750546E-2</v>
      </c>
      <c r="H34" s="94"/>
    </row>
    <row r="35" spans="2:11" ht="15" customHeight="1"/>
    <row r="36" spans="2:11" ht="15" customHeight="1"/>
    <row r="37" spans="2:11" ht="15" customHeight="1"/>
    <row r="38" spans="2:11" ht="18" customHeight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6B28-E7F1-FA41-8EE4-3FA7FED427CA}">
  <sheetPr>
    <tabColor theme="5"/>
  </sheetPr>
  <dimension ref="B3:D40"/>
  <sheetViews>
    <sheetView showGridLines="0" workbookViewId="0">
      <selection activeCell="E30" sqref="E30"/>
    </sheetView>
  </sheetViews>
  <sheetFormatPr defaultColWidth="10.77734375" defaultRowHeight="14.4"/>
  <cols>
    <col min="2" max="2" width="12.7773437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3" spans="2:4">
      <c r="B3" s="67" t="s">
        <v>516</v>
      </c>
      <c r="C3" s="67" t="s">
        <v>517</v>
      </c>
      <c r="D3" s="72" t="s">
        <v>132</v>
      </c>
    </row>
    <row r="4" spans="2:4">
      <c r="B4" s="70">
        <v>39661</v>
      </c>
      <c r="C4">
        <v>0</v>
      </c>
      <c r="D4" s="73">
        <v>-63500</v>
      </c>
    </row>
    <row r="5" spans="2:4">
      <c r="B5" s="70">
        <v>39692</v>
      </c>
      <c r="C5">
        <v>1</v>
      </c>
      <c r="D5" s="74">
        <v>-17000</v>
      </c>
    </row>
    <row r="6" spans="2:4">
      <c r="B6" s="70">
        <v>39722</v>
      </c>
      <c r="C6">
        <v>2</v>
      </c>
      <c r="D6" s="74">
        <v>-17000</v>
      </c>
    </row>
    <row r="7" spans="2:4">
      <c r="B7" s="70">
        <v>39753</v>
      </c>
      <c r="C7">
        <v>3</v>
      </c>
      <c r="D7" s="74">
        <v>0</v>
      </c>
    </row>
    <row r="8" spans="2:4">
      <c r="B8" s="70">
        <v>39783</v>
      </c>
      <c r="C8">
        <v>4</v>
      </c>
      <c r="D8" s="74">
        <v>0</v>
      </c>
    </row>
    <row r="9" spans="2:4">
      <c r="B9" s="70">
        <v>39814</v>
      </c>
      <c r="C9">
        <v>5</v>
      </c>
      <c r="D9" s="74">
        <v>0</v>
      </c>
    </row>
    <row r="10" spans="2:4">
      <c r="B10" s="70">
        <v>39845</v>
      </c>
      <c r="C10">
        <v>6</v>
      </c>
      <c r="D10" s="74">
        <v>0</v>
      </c>
    </row>
    <row r="11" spans="2:4">
      <c r="B11" s="70">
        <v>39873</v>
      </c>
      <c r="C11">
        <v>7</v>
      </c>
      <c r="D11" s="74">
        <v>0</v>
      </c>
    </row>
    <row r="12" spans="2:4" ht="15" customHeight="1">
      <c r="B12" s="70">
        <v>39904</v>
      </c>
      <c r="C12">
        <v>8</v>
      </c>
      <c r="D12" s="74">
        <v>0</v>
      </c>
    </row>
    <row r="13" spans="2:4" ht="15" customHeight="1">
      <c r="B13" s="70">
        <v>39934</v>
      </c>
      <c r="C13">
        <v>9</v>
      </c>
      <c r="D13" s="74">
        <v>1000</v>
      </c>
    </row>
    <row r="14" spans="2:4" ht="15" customHeight="1">
      <c r="B14" s="70">
        <v>39965</v>
      </c>
      <c r="C14">
        <v>10</v>
      </c>
      <c r="D14" s="74">
        <v>1000</v>
      </c>
    </row>
    <row r="15" spans="2:4" ht="15" customHeight="1">
      <c r="B15" s="70">
        <v>39995</v>
      </c>
      <c r="C15">
        <v>11</v>
      </c>
      <c r="D15" s="74">
        <v>1000</v>
      </c>
    </row>
    <row r="16" spans="2:4" ht="15" customHeight="1">
      <c r="B16" s="70">
        <v>40026</v>
      </c>
      <c r="C16">
        <v>12</v>
      </c>
      <c r="D16" s="74">
        <f>1000-1400</f>
        <v>-400</v>
      </c>
    </row>
    <row r="17" spans="2:4" ht="15" customHeight="1">
      <c r="B17" s="70">
        <v>40057</v>
      </c>
      <c r="C17">
        <v>13</v>
      </c>
      <c r="D17" s="74">
        <v>1000</v>
      </c>
    </row>
    <row r="18" spans="2:4" ht="15" customHeight="1">
      <c r="B18" s="70">
        <v>40087</v>
      </c>
      <c r="C18">
        <v>14</v>
      </c>
      <c r="D18" s="74">
        <v>1000</v>
      </c>
    </row>
    <row r="19" spans="2:4" ht="15" customHeight="1">
      <c r="B19" s="70">
        <v>40118</v>
      </c>
      <c r="C19">
        <v>15</v>
      </c>
      <c r="D19" s="74">
        <v>1000</v>
      </c>
    </row>
    <row r="20" spans="2:4" ht="15" customHeight="1">
      <c r="B20" s="70">
        <v>40148</v>
      </c>
      <c r="C20">
        <v>16</v>
      </c>
      <c r="D20" s="74">
        <v>1000</v>
      </c>
    </row>
    <row r="21" spans="2:4" ht="15" customHeight="1">
      <c r="B21" s="70">
        <v>40179</v>
      </c>
      <c r="C21">
        <v>17</v>
      </c>
      <c r="D21" s="74">
        <v>1000</v>
      </c>
    </row>
    <row r="22" spans="2:4" ht="15" customHeight="1">
      <c r="B22" s="70">
        <v>40210</v>
      </c>
      <c r="C22">
        <v>18</v>
      </c>
      <c r="D22" s="74">
        <v>1000</v>
      </c>
    </row>
    <row r="23" spans="2:4" ht="15" customHeight="1">
      <c r="B23" s="70">
        <v>40238</v>
      </c>
      <c r="C23">
        <v>19</v>
      </c>
      <c r="D23" s="74">
        <v>1000</v>
      </c>
    </row>
    <row r="24" spans="2:4" ht="15" customHeight="1">
      <c r="B24" s="70">
        <v>40269</v>
      </c>
      <c r="C24">
        <v>20</v>
      </c>
      <c r="D24" s="74">
        <v>1000</v>
      </c>
    </row>
    <row r="25" spans="2:4" ht="15" customHeight="1">
      <c r="B25" s="70">
        <v>40299</v>
      </c>
      <c r="C25">
        <v>21</v>
      </c>
      <c r="D25" s="74">
        <v>1000</v>
      </c>
    </row>
    <row r="26" spans="2:4" ht="15" customHeight="1">
      <c r="B26" s="70">
        <v>40330</v>
      </c>
      <c r="C26">
        <v>22</v>
      </c>
      <c r="D26" s="74">
        <v>1000</v>
      </c>
    </row>
    <row r="27" spans="2:4" ht="15" customHeight="1">
      <c r="B27" s="70">
        <v>40360</v>
      </c>
      <c r="C27">
        <v>23</v>
      </c>
      <c r="D27" s="74">
        <v>1000</v>
      </c>
    </row>
    <row r="28" spans="2:4" ht="15" customHeight="1">
      <c r="B28" s="70">
        <v>40391</v>
      </c>
      <c r="C28">
        <v>24</v>
      </c>
      <c r="D28" s="74">
        <f>66320+100-2300-1200</f>
        <v>62920</v>
      </c>
    </row>
    <row r="29" spans="2:4" ht="15" customHeight="1">
      <c r="B29" s="70">
        <v>40422</v>
      </c>
      <c r="C29">
        <v>25</v>
      </c>
      <c r="D29" s="74">
        <v>1000</v>
      </c>
    </row>
    <row r="30" spans="2:4" ht="15" customHeight="1">
      <c r="B30" s="70">
        <v>40452</v>
      </c>
      <c r="C30">
        <v>26</v>
      </c>
      <c r="D30" s="74">
        <v>1000</v>
      </c>
    </row>
    <row r="31" spans="2:4" ht="15" customHeight="1">
      <c r="B31" s="70">
        <v>40483</v>
      </c>
      <c r="C31">
        <v>27</v>
      </c>
      <c r="D31" s="74">
        <v>1000</v>
      </c>
    </row>
    <row r="32" spans="2:4" ht="15" customHeight="1">
      <c r="B32" s="70">
        <v>40513</v>
      </c>
      <c r="C32">
        <v>28</v>
      </c>
      <c r="D32" s="74">
        <v>1000</v>
      </c>
    </row>
    <row r="33" spans="2:4" ht="15" customHeight="1">
      <c r="B33" s="70">
        <v>40544</v>
      </c>
      <c r="C33">
        <v>29</v>
      </c>
      <c r="D33" s="74">
        <v>1000</v>
      </c>
    </row>
    <row r="34" spans="2:4" ht="15" customHeight="1">
      <c r="B34" s="70">
        <v>40575</v>
      </c>
      <c r="C34">
        <v>30</v>
      </c>
      <c r="D34" s="74">
        <v>1000</v>
      </c>
    </row>
    <row r="35" spans="2:4" ht="15" customHeight="1">
      <c r="B35" s="70">
        <v>40603</v>
      </c>
      <c r="C35">
        <v>31</v>
      </c>
      <c r="D35" s="74">
        <v>1000</v>
      </c>
    </row>
    <row r="36" spans="2:4" ht="15" customHeight="1">
      <c r="B36" s="70">
        <v>40634</v>
      </c>
      <c r="C36">
        <v>32</v>
      </c>
      <c r="D36" s="74">
        <v>1000</v>
      </c>
    </row>
    <row r="37" spans="2:4" ht="15" customHeight="1">
      <c r="B37" s="70">
        <v>40664</v>
      </c>
      <c r="C37">
        <v>33</v>
      </c>
      <c r="D37" s="74">
        <v>1000</v>
      </c>
    </row>
    <row r="38" spans="2:4" ht="18" customHeight="1">
      <c r="B38" s="70">
        <v>40695</v>
      </c>
      <c r="C38">
        <v>34</v>
      </c>
      <c r="D38" s="74">
        <v>1000</v>
      </c>
    </row>
    <row r="39" spans="2:4">
      <c r="B39" s="70">
        <v>40725</v>
      </c>
      <c r="C39">
        <v>35</v>
      </c>
      <c r="D39" s="74">
        <v>50000</v>
      </c>
    </row>
    <row r="40" spans="2:4">
      <c r="B40" s="65" t="s">
        <v>126</v>
      </c>
      <c r="C40" s="65"/>
      <c r="D40" s="125">
        <f>XIRR(D4:D39, B4:B39)</f>
        <v>0.16211640238761904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6B5B-1545-3840-B91C-780445E05D25}">
  <sheetPr>
    <tabColor theme="5"/>
  </sheetPr>
  <dimension ref="A2:H79"/>
  <sheetViews>
    <sheetView showGridLines="0" topLeftCell="A38" workbookViewId="0">
      <selection activeCell="C16" sqref="C16"/>
    </sheetView>
  </sheetViews>
  <sheetFormatPr defaultColWidth="10.77734375" defaultRowHeight="14.4"/>
  <cols>
    <col min="1" max="2" width="18.77734375" bestFit="1" customWidth="1"/>
    <col min="3" max="3" width="14" bestFit="1" customWidth="1"/>
    <col min="6" max="7" width="18.77734375" bestFit="1" customWidth="1"/>
    <col min="8" max="8" width="11.33203125" customWidth="1"/>
  </cols>
  <sheetData>
    <row r="2" spans="2:4">
      <c r="B2" s="356" t="s">
        <v>271</v>
      </c>
      <c r="C2" s="356"/>
      <c r="D2" s="356"/>
    </row>
    <row r="3" spans="2:4">
      <c r="B3" s="127" t="s">
        <v>119</v>
      </c>
      <c r="C3" s="127" t="s">
        <v>273</v>
      </c>
      <c r="D3" s="129" t="s">
        <v>232</v>
      </c>
    </row>
    <row r="4" spans="2:4">
      <c r="B4" t="s">
        <v>254</v>
      </c>
      <c r="C4" s="63">
        <v>1000</v>
      </c>
    </row>
    <row r="5" spans="2:4">
      <c r="B5" t="s">
        <v>255</v>
      </c>
      <c r="C5" s="63">
        <v>1200</v>
      </c>
      <c r="D5" s="94">
        <f>C5/C4-1</f>
        <v>0.19999999999999996</v>
      </c>
    </row>
    <row r="6" spans="2:4">
      <c r="B6" t="s">
        <v>256</v>
      </c>
      <c r="C6" s="63">
        <v>1250</v>
      </c>
      <c r="D6" s="94">
        <f t="shared" ref="D6:D14" si="0">C6/C5-1</f>
        <v>4.1666666666666741E-2</v>
      </c>
    </row>
    <row r="7" spans="2:4">
      <c r="B7" t="s">
        <v>258</v>
      </c>
      <c r="C7" s="63">
        <v>1400</v>
      </c>
      <c r="D7" s="94">
        <f t="shared" si="0"/>
        <v>0.12000000000000011</v>
      </c>
    </row>
    <row r="8" spans="2:4">
      <c r="B8" t="s">
        <v>257</v>
      </c>
      <c r="C8" s="63">
        <v>1300</v>
      </c>
      <c r="D8" s="94">
        <f t="shared" si="0"/>
        <v>-7.1428571428571397E-2</v>
      </c>
    </row>
    <row r="9" spans="2:4">
      <c r="B9" t="s">
        <v>263</v>
      </c>
      <c r="C9" s="63">
        <v>1150</v>
      </c>
      <c r="D9" s="94">
        <f t="shared" si="0"/>
        <v>-0.11538461538461542</v>
      </c>
    </row>
    <row r="10" spans="2:4">
      <c r="B10" t="s">
        <v>264</v>
      </c>
      <c r="C10" s="63">
        <v>1600</v>
      </c>
      <c r="D10" s="94">
        <f t="shared" si="0"/>
        <v>0.39130434782608692</v>
      </c>
    </row>
    <row r="11" spans="2:4">
      <c r="B11" t="s">
        <v>265</v>
      </c>
      <c r="C11" s="63">
        <v>1800</v>
      </c>
      <c r="D11" s="94">
        <f t="shared" si="0"/>
        <v>0.125</v>
      </c>
    </row>
    <row r="12" spans="2:4">
      <c r="B12" t="s">
        <v>266</v>
      </c>
      <c r="C12" s="63">
        <v>2000</v>
      </c>
      <c r="D12" s="94">
        <f t="shared" si="0"/>
        <v>0.11111111111111116</v>
      </c>
    </row>
    <row r="13" spans="2:4">
      <c r="B13" t="s">
        <v>267</v>
      </c>
      <c r="C13" s="63">
        <v>2100</v>
      </c>
      <c r="D13" s="94">
        <f t="shared" si="0"/>
        <v>5.0000000000000044E-2</v>
      </c>
    </row>
    <row r="14" spans="2:4">
      <c r="B14" t="s">
        <v>272</v>
      </c>
      <c r="C14" s="63">
        <v>2400</v>
      </c>
      <c r="D14" s="94">
        <f t="shared" si="0"/>
        <v>0.14285714285714279</v>
      </c>
    </row>
    <row r="15" spans="2:4">
      <c r="B15" s="65" t="s">
        <v>232</v>
      </c>
      <c r="C15" s="71">
        <f>C14/C4-1</f>
        <v>1.4</v>
      </c>
      <c r="D15" s="71"/>
    </row>
    <row r="16" spans="2:4">
      <c r="B16" s="78" t="s">
        <v>602</v>
      </c>
      <c r="C16" s="124">
        <f>SUM(D5:D14)/COUNT(D5:D14)</f>
        <v>9.9512608164782093E-2</v>
      </c>
    </row>
    <row r="17" spans="2:4">
      <c r="B17" s="78" t="s">
        <v>224</v>
      </c>
      <c r="C17" s="124">
        <f>_xlfn.RRI(10, C4, C14)</f>
        <v>9.1493425617896973E-2</v>
      </c>
    </row>
    <row r="21" spans="2:4">
      <c r="B21" s="356" t="s">
        <v>274</v>
      </c>
      <c r="C21" s="356"/>
      <c r="D21" s="356"/>
    </row>
    <row r="22" spans="2:4">
      <c r="B22" s="127" t="s">
        <v>119</v>
      </c>
      <c r="C22" s="127" t="s">
        <v>273</v>
      </c>
      <c r="D22" s="129" t="s">
        <v>232</v>
      </c>
    </row>
    <row r="23" spans="2:4">
      <c r="B23" t="s">
        <v>254</v>
      </c>
      <c r="C23" s="63">
        <v>1000</v>
      </c>
    </row>
    <row r="24" spans="2:4">
      <c r="B24" t="s">
        <v>255</v>
      </c>
      <c r="C24" s="63">
        <v>1200</v>
      </c>
      <c r="D24" s="94">
        <f>C24/C23-1</f>
        <v>0.19999999999999996</v>
      </c>
    </row>
    <row r="25" spans="2:4">
      <c r="B25" t="s">
        <v>256</v>
      </c>
      <c r="C25" s="63">
        <v>1250</v>
      </c>
      <c r="D25" s="94">
        <f t="shared" ref="D25:D30" si="1">C25/C24-1</f>
        <v>4.1666666666666741E-2</v>
      </c>
    </row>
    <row r="26" spans="2:4">
      <c r="B26" t="s">
        <v>258</v>
      </c>
      <c r="C26" s="63">
        <v>1400</v>
      </c>
      <c r="D26" s="94">
        <f t="shared" si="1"/>
        <v>0.12000000000000011</v>
      </c>
    </row>
    <row r="27" spans="2:4">
      <c r="B27" t="s">
        <v>257</v>
      </c>
      <c r="C27" s="63">
        <v>1300</v>
      </c>
      <c r="D27" s="94">
        <f t="shared" si="1"/>
        <v>-7.1428571428571397E-2</v>
      </c>
    </row>
    <row r="28" spans="2:4">
      <c r="B28" t="s">
        <v>263</v>
      </c>
      <c r="C28" s="63">
        <v>1450</v>
      </c>
      <c r="D28" s="94">
        <f t="shared" si="1"/>
        <v>0.11538461538461542</v>
      </c>
    </row>
    <row r="29" spans="2:4">
      <c r="B29" t="s">
        <v>264</v>
      </c>
      <c r="C29" s="63">
        <v>1600</v>
      </c>
      <c r="D29" s="94">
        <f t="shared" si="1"/>
        <v>0.10344827586206895</v>
      </c>
    </row>
    <row r="30" spans="2:4">
      <c r="B30" t="s">
        <v>265</v>
      </c>
      <c r="C30" s="63">
        <v>1900</v>
      </c>
      <c r="D30" s="94">
        <f t="shared" si="1"/>
        <v>0.1875</v>
      </c>
    </row>
    <row r="31" spans="2:4">
      <c r="B31" s="65" t="s">
        <v>232</v>
      </c>
      <c r="C31" s="71">
        <f>C30/C23-1</f>
        <v>0.89999999999999991</v>
      </c>
      <c r="D31" s="71"/>
    </row>
    <row r="32" spans="2:4">
      <c r="B32" s="78" t="s">
        <v>602</v>
      </c>
      <c r="C32" s="124">
        <f>SUM(D24:D30)/COUNT(D24:D30)</f>
        <v>9.9510140926397109E-2</v>
      </c>
    </row>
    <row r="33" spans="1:8">
      <c r="B33" s="78" t="s">
        <v>224</v>
      </c>
      <c r="C33" s="124">
        <f>_xlfn.RRI(7, C23, C30)</f>
        <v>9.6028741644687665E-2</v>
      </c>
    </row>
    <row r="36" spans="1:8">
      <c r="A36" t="s">
        <v>518</v>
      </c>
      <c r="B36" s="127" t="s">
        <v>519</v>
      </c>
      <c r="C36" s="127"/>
      <c r="G36" s="127" t="s">
        <v>520</v>
      </c>
      <c r="H36" s="127"/>
    </row>
    <row r="37" spans="1:8">
      <c r="B37" t="s">
        <v>345</v>
      </c>
      <c r="C37" s="75">
        <v>480000</v>
      </c>
      <c r="G37" t="s">
        <v>345</v>
      </c>
      <c r="H37" s="75">
        <v>480000</v>
      </c>
    </row>
    <row r="38" spans="1:8">
      <c r="B38" t="s">
        <v>248</v>
      </c>
      <c r="C38" s="121">
        <v>0.8</v>
      </c>
      <c r="G38" t="s">
        <v>248</v>
      </c>
      <c r="H38" s="121">
        <v>0.8</v>
      </c>
    </row>
    <row r="39" spans="1:8">
      <c r="B39" t="s">
        <v>279</v>
      </c>
      <c r="C39" s="63">
        <f>(1-C38)*C37</f>
        <v>95999.999999999985</v>
      </c>
      <c r="G39" t="s">
        <v>279</v>
      </c>
      <c r="H39" s="63">
        <f>(1-H38)*H37</f>
        <v>95999.999999999985</v>
      </c>
    </row>
    <row r="40" spans="1:8">
      <c r="B40" t="s">
        <v>588</v>
      </c>
      <c r="C40" s="75">
        <v>120000</v>
      </c>
      <c r="G40" t="s">
        <v>588</v>
      </c>
      <c r="H40" s="75">
        <v>10000</v>
      </c>
    </row>
    <row r="41" spans="1:8">
      <c r="B41" t="s">
        <v>280</v>
      </c>
      <c r="C41" s="64">
        <f>SUM(C39:C40)</f>
        <v>216000</v>
      </c>
      <c r="G41" t="s">
        <v>280</v>
      </c>
      <c r="H41" s="64">
        <f>SUM(H39:H40)</f>
        <v>105999.99999999999</v>
      </c>
    </row>
    <row r="43" spans="1:8">
      <c r="B43" t="s">
        <v>587</v>
      </c>
      <c r="C43" t="s">
        <v>285</v>
      </c>
      <c r="G43" t="s">
        <v>587</v>
      </c>
      <c r="H43" t="s">
        <v>20</v>
      </c>
    </row>
    <row r="44" spans="1:8" ht="13.95" customHeight="1">
      <c r="B44" t="s">
        <v>281</v>
      </c>
      <c r="C44" s="75">
        <v>2200</v>
      </c>
      <c r="G44" t="s">
        <v>281</v>
      </c>
      <c r="H44" s="75">
        <f>C44</f>
        <v>2200</v>
      </c>
    </row>
    <row r="45" spans="1:8">
      <c r="B45" t="s">
        <v>282</v>
      </c>
      <c r="C45" s="75">
        <v>3600</v>
      </c>
      <c r="G45" t="s">
        <v>282</v>
      </c>
      <c r="H45" s="75">
        <f>H44</f>
        <v>2200</v>
      </c>
    </row>
    <row r="46" spans="1:8">
      <c r="B46" t="s">
        <v>523</v>
      </c>
      <c r="C46" s="121">
        <v>0.03</v>
      </c>
      <c r="G46" t="s">
        <v>523</v>
      </c>
      <c r="H46" s="121">
        <v>0.01</v>
      </c>
    </row>
    <row r="47" spans="1:8">
      <c r="B47" t="s">
        <v>227</v>
      </c>
      <c r="C47" s="121">
        <v>0.03</v>
      </c>
      <c r="G47" t="s">
        <v>227</v>
      </c>
      <c r="H47" s="121">
        <v>0.01</v>
      </c>
    </row>
    <row r="48" spans="1:8">
      <c r="B48" t="s">
        <v>284</v>
      </c>
      <c r="C48" s="75">
        <v>7500</v>
      </c>
      <c r="G48" t="s">
        <v>284</v>
      </c>
      <c r="H48" s="63">
        <v>10000</v>
      </c>
    </row>
    <row r="49" spans="1:8">
      <c r="B49" s="75" t="s">
        <v>149</v>
      </c>
      <c r="C49" s="77">
        <f>C37*(1+C47)^B62</f>
        <v>645079.86208517849</v>
      </c>
      <c r="G49" s="75" t="s">
        <v>149</v>
      </c>
      <c r="H49" s="77">
        <f>H37*(1+H47)^G62</f>
        <v>530218.62019737833</v>
      </c>
    </row>
    <row r="50" spans="1:8">
      <c r="B50" s="75"/>
      <c r="G50" s="84"/>
    </row>
    <row r="51" spans="1:8">
      <c r="B51" s="67" t="s">
        <v>119</v>
      </c>
      <c r="C51" s="72" t="s">
        <v>589</v>
      </c>
      <c r="G51" s="67" t="s">
        <v>119</v>
      </c>
      <c r="H51" s="72" t="s">
        <v>589</v>
      </c>
    </row>
    <row r="52" spans="1:8">
      <c r="A52" s="70">
        <v>44562</v>
      </c>
      <c r="B52">
        <v>0</v>
      </c>
      <c r="C52" s="73">
        <f>-C41+(C45*6)-C48</f>
        <v>-201900</v>
      </c>
      <c r="F52" s="70">
        <v>44562</v>
      </c>
      <c r="G52">
        <v>0</v>
      </c>
      <c r="H52" s="73">
        <f>-H41+(H45*6)-H48</f>
        <v>-102799.99999999999</v>
      </c>
    </row>
    <row r="53" spans="1:8">
      <c r="A53" s="70">
        <v>44927</v>
      </c>
      <c r="B53">
        <v>1</v>
      </c>
      <c r="C53" s="74">
        <f t="shared" ref="C53:C61" si="2">((C$45*12)*((1+$C$46)^B53))-C$48</f>
        <v>36996</v>
      </c>
      <c r="F53" s="70">
        <v>44927</v>
      </c>
      <c r="G53">
        <v>1</v>
      </c>
      <c r="H53" s="74">
        <f t="shared" ref="H53:H61" si="3">((H$45*12)*((1+$C$46)^G53))-H$48</f>
        <v>17192</v>
      </c>
    </row>
    <row r="54" spans="1:8">
      <c r="A54" s="70">
        <v>45292</v>
      </c>
      <c r="B54">
        <v>2</v>
      </c>
      <c r="C54" s="74">
        <f t="shared" si="2"/>
        <v>38330.879999999997</v>
      </c>
      <c r="F54" s="70">
        <v>45292</v>
      </c>
      <c r="G54">
        <v>2</v>
      </c>
      <c r="H54" s="74">
        <f t="shared" si="3"/>
        <v>18007.759999999998</v>
      </c>
    </row>
    <row r="55" spans="1:8">
      <c r="A55" s="70">
        <v>45658</v>
      </c>
      <c r="B55">
        <v>3</v>
      </c>
      <c r="C55" s="74">
        <f t="shared" si="2"/>
        <v>39705.806400000001</v>
      </c>
      <c r="F55" s="70">
        <v>45658</v>
      </c>
      <c r="G55">
        <v>3</v>
      </c>
      <c r="H55" s="74">
        <f t="shared" si="3"/>
        <v>18847.9928</v>
      </c>
    </row>
    <row r="56" spans="1:8">
      <c r="A56" s="70">
        <v>46023</v>
      </c>
      <c r="B56">
        <v>4</v>
      </c>
      <c r="C56" s="74">
        <f t="shared" si="2"/>
        <v>41121.980592</v>
      </c>
      <c r="F56" s="70">
        <v>46023</v>
      </c>
      <c r="G56">
        <v>4</v>
      </c>
      <c r="H56" s="74">
        <f t="shared" si="3"/>
        <v>19713.432583999998</v>
      </c>
    </row>
    <row r="57" spans="1:8">
      <c r="A57" s="70">
        <v>46388</v>
      </c>
      <c r="B57">
        <v>5</v>
      </c>
      <c r="C57" s="74">
        <f t="shared" si="2"/>
        <v>42580.640009759991</v>
      </c>
      <c r="F57" s="70">
        <v>46388</v>
      </c>
      <c r="G57">
        <v>5</v>
      </c>
      <c r="H57" s="74">
        <f t="shared" si="3"/>
        <v>20604.835561519994</v>
      </c>
    </row>
    <row r="58" spans="1:8">
      <c r="A58" s="70">
        <v>46753</v>
      </c>
      <c r="B58">
        <v>6</v>
      </c>
      <c r="C58" s="74">
        <f t="shared" si="2"/>
        <v>44083.059210052794</v>
      </c>
      <c r="F58" s="70">
        <v>46753</v>
      </c>
      <c r="G58">
        <v>6</v>
      </c>
      <c r="H58" s="74">
        <f t="shared" si="3"/>
        <v>21522.980628365596</v>
      </c>
    </row>
    <row r="59" spans="1:8">
      <c r="A59" s="70">
        <v>47119</v>
      </c>
      <c r="B59">
        <v>7</v>
      </c>
      <c r="C59" s="74">
        <f t="shared" si="2"/>
        <v>45630.550986354385</v>
      </c>
      <c r="F59" s="70">
        <v>47119</v>
      </c>
      <c r="G59">
        <v>7</v>
      </c>
      <c r="H59" s="74">
        <f t="shared" si="3"/>
        <v>22468.670047216568</v>
      </c>
    </row>
    <row r="60" spans="1:8">
      <c r="A60" s="70">
        <v>47484</v>
      </c>
      <c r="B60">
        <v>8</v>
      </c>
      <c r="C60" s="74">
        <f t="shared" si="2"/>
        <v>47224.467515945005</v>
      </c>
      <c r="F60" s="70">
        <v>47484</v>
      </c>
      <c r="G60">
        <v>8</v>
      </c>
      <c r="H60" s="74">
        <f t="shared" si="3"/>
        <v>23442.730148633062</v>
      </c>
    </row>
    <row r="61" spans="1:8">
      <c r="A61" s="70">
        <v>47849</v>
      </c>
      <c r="B61">
        <v>9</v>
      </c>
      <c r="C61" s="74">
        <f t="shared" si="2"/>
        <v>48866.201541423361</v>
      </c>
      <c r="F61" s="70">
        <v>47849</v>
      </c>
      <c r="G61">
        <v>9</v>
      </c>
      <c r="H61" s="74">
        <f t="shared" si="3"/>
        <v>24446.012053092054</v>
      </c>
    </row>
    <row r="62" spans="1:8">
      <c r="A62" s="70">
        <v>48214</v>
      </c>
      <c r="B62">
        <v>10</v>
      </c>
      <c r="C62" s="74">
        <f>C49</f>
        <v>645079.86208517849</v>
      </c>
      <c r="F62" s="70">
        <v>48214</v>
      </c>
      <c r="G62">
        <v>10</v>
      </c>
      <c r="H62" s="74">
        <f>H49</f>
        <v>530218.62019737833</v>
      </c>
    </row>
    <row r="63" spans="1:8">
      <c r="B63" s="65" t="s">
        <v>126</v>
      </c>
      <c r="C63" s="125">
        <f>XIRR(C52:C62, A52:A62)</f>
        <v>0.258472615480423</v>
      </c>
      <c r="G63" s="65" t="s">
        <v>126</v>
      </c>
      <c r="H63" s="125">
        <f>XIRR(H52:H62, F52:F62)</f>
        <v>0.2868917644023895</v>
      </c>
    </row>
    <row r="67" spans="1:3">
      <c r="B67" s="67" t="s">
        <v>119</v>
      </c>
      <c r="C67" s="72" t="s">
        <v>589</v>
      </c>
    </row>
    <row r="68" spans="1:3">
      <c r="A68" s="69">
        <v>44562</v>
      </c>
      <c r="B68">
        <v>0</v>
      </c>
      <c r="C68" s="84">
        <v>-212800</v>
      </c>
    </row>
    <row r="69" spans="1:3">
      <c r="A69" s="69">
        <v>44927</v>
      </c>
      <c r="B69">
        <v>1</v>
      </c>
      <c r="C69" s="84">
        <v>28192</v>
      </c>
    </row>
    <row r="70" spans="1:3">
      <c r="A70" s="69">
        <v>45292</v>
      </c>
      <c r="B70">
        <v>2</v>
      </c>
      <c r="C70" s="84">
        <v>29008</v>
      </c>
    </row>
    <row r="71" spans="1:3">
      <c r="A71" s="69">
        <v>45658</v>
      </c>
      <c r="B71">
        <v>3</v>
      </c>
      <c r="C71" s="84">
        <v>29848</v>
      </c>
    </row>
    <row r="72" spans="1:3">
      <c r="A72" s="69">
        <v>46023</v>
      </c>
      <c r="B72">
        <v>4</v>
      </c>
      <c r="C72" s="84">
        <v>30713</v>
      </c>
    </row>
    <row r="73" spans="1:3">
      <c r="A73" s="69">
        <v>46388</v>
      </c>
      <c r="B73">
        <v>5</v>
      </c>
      <c r="C73" s="84">
        <v>31605</v>
      </c>
    </row>
    <row r="74" spans="1:3">
      <c r="A74" s="69">
        <v>46753</v>
      </c>
      <c r="B74">
        <v>6</v>
      </c>
      <c r="C74" s="84">
        <v>32523</v>
      </c>
    </row>
    <row r="75" spans="1:3">
      <c r="A75" s="69">
        <v>47119</v>
      </c>
      <c r="B75">
        <v>7</v>
      </c>
      <c r="C75" s="84">
        <v>33469</v>
      </c>
    </row>
    <row r="76" spans="1:3">
      <c r="A76" s="69">
        <v>47484</v>
      </c>
      <c r="B76">
        <v>8</v>
      </c>
      <c r="C76" s="84">
        <v>34443</v>
      </c>
    </row>
    <row r="77" spans="1:3">
      <c r="A77" s="69">
        <v>47849</v>
      </c>
      <c r="B77">
        <v>9</v>
      </c>
      <c r="C77" s="84">
        <v>35446</v>
      </c>
    </row>
    <row r="78" spans="1:3">
      <c r="A78" s="69">
        <v>48214</v>
      </c>
      <c r="B78">
        <v>10</v>
      </c>
      <c r="C78" s="84">
        <v>1080219</v>
      </c>
    </row>
    <row r="79" spans="1:3">
      <c r="B79" t="s">
        <v>126</v>
      </c>
      <c r="C79" s="252">
        <f>XIRR(C68:C78, A68:A78)</f>
        <v>0.2569444477558136</v>
      </c>
    </row>
  </sheetData>
  <mergeCells count="2">
    <mergeCell ref="B2:D2"/>
    <mergeCell ref="B21:D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5738-1E65-9F4A-97AF-B00EC5002689}">
  <sheetPr>
    <tabColor theme="5"/>
  </sheetPr>
  <dimension ref="B5:G38"/>
  <sheetViews>
    <sheetView showGridLines="0" workbookViewId="0">
      <selection activeCell="E19" sqref="E19"/>
    </sheetView>
  </sheetViews>
  <sheetFormatPr defaultColWidth="10.77734375" defaultRowHeight="14.4"/>
  <cols>
    <col min="2" max="2" width="14.44140625" customWidth="1"/>
    <col min="3" max="3" width="14" customWidth="1"/>
    <col min="5" max="5" width="15.109375" customWidth="1"/>
    <col min="6" max="6" width="17.33203125" customWidth="1"/>
    <col min="7" max="7" width="22.109375" customWidth="1"/>
    <col min="9" max="9" width="19.77734375" bestFit="1" customWidth="1"/>
    <col min="10" max="10" width="21" customWidth="1"/>
    <col min="12" max="13" width="16.33203125" customWidth="1"/>
    <col min="14" max="14" width="5.44140625" customWidth="1"/>
    <col min="15" max="15" width="30.44140625" customWidth="1"/>
    <col min="16" max="16" width="10.77734375" customWidth="1"/>
  </cols>
  <sheetData>
    <row r="5" spans="2:7">
      <c r="B5" s="214" t="s">
        <v>123</v>
      </c>
      <c r="C5" s="292">
        <v>7.4999999999999997E-2</v>
      </c>
      <c r="D5" s="212"/>
      <c r="E5" s="212"/>
    </row>
    <row r="6" spans="2:7">
      <c r="B6" s="212"/>
      <c r="C6" s="212"/>
      <c r="D6" s="212"/>
      <c r="E6" s="212"/>
    </row>
    <row r="7" spans="2:7">
      <c r="B7" s="289" t="s">
        <v>119</v>
      </c>
      <c r="C7" s="289" t="s">
        <v>129</v>
      </c>
      <c r="D7" s="289" t="s">
        <v>521</v>
      </c>
      <c r="E7" s="289" t="s">
        <v>130</v>
      </c>
      <c r="G7" s="293" t="s">
        <v>524</v>
      </c>
    </row>
    <row r="8" spans="2:7">
      <c r="B8" s="222">
        <v>1</v>
      </c>
      <c r="C8" s="233">
        <v>115000</v>
      </c>
      <c r="D8" s="212"/>
      <c r="E8" s="233">
        <v>106977</v>
      </c>
      <c r="G8" s="294">
        <f>PV($C$5, B8, 0, C8)</f>
        <v>-106976.74418604652</v>
      </c>
    </row>
    <row r="9" spans="2:7">
      <c r="B9" s="222">
        <v>2</v>
      </c>
      <c r="C9" s="233">
        <v>122000</v>
      </c>
      <c r="D9" s="212"/>
      <c r="E9" s="233">
        <v>105571</v>
      </c>
      <c r="G9" s="294">
        <f>PV($C$5, B9, 0, C9)</f>
        <v>-105570.57869118443</v>
      </c>
    </row>
    <row r="10" spans="2:7">
      <c r="B10" s="222">
        <v>3</v>
      </c>
      <c r="C10" s="233">
        <v>173000</v>
      </c>
      <c r="D10" s="212"/>
      <c r="E10" s="233">
        <v>139258</v>
      </c>
      <c r="G10" s="294">
        <f>PV($C$5, B10, 0, C10)</f>
        <v>-139258.17852516132</v>
      </c>
    </row>
    <row r="11" spans="2:7">
      <c r="B11" s="222">
        <v>4</v>
      </c>
      <c r="C11" s="233">
        <v>154000</v>
      </c>
      <c r="D11" s="212"/>
      <c r="E11" s="233">
        <v>115315</v>
      </c>
      <c r="G11" s="294">
        <f>PV($C$5, B11, 0, C11)</f>
        <v>-115315.28158556174</v>
      </c>
    </row>
    <row r="12" spans="2:7" ht="15" customHeight="1">
      <c r="B12" s="222">
        <v>5</v>
      </c>
      <c r="C12" s="233">
        <v>160000</v>
      </c>
      <c r="D12" s="233">
        <v>2380000</v>
      </c>
      <c r="E12" s="233">
        <v>1769259</v>
      </c>
      <c r="G12" s="294">
        <f>PV($C$5, B12, 0, C12+D12)</f>
        <v>-1769258.9261692951</v>
      </c>
    </row>
    <row r="13" spans="2:7" ht="15" customHeight="1">
      <c r="B13" s="290" t="s">
        <v>488</v>
      </c>
      <c r="C13" s="215"/>
      <c r="D13" s="215"/>
      <c r="E13" s="291">
        <v>2236380</v>
      </c>
      <c r="G13" s="294">
        <f>SUM(G8:G12)</f>
        <v>-2236379.709157249</v>
      </c>
    </row>
    <row r="14" spans="2:7" ht="15" customHeight="1"/>
    <row r="15" spans="2:7" ht="15" customHeight="1"/>
    <row r="16" spans="2:7" ht="15" customHeight="1"/>
    <row r="17" spans="2:2" ht="15" customHeight="1"/>
    <row r="18" spans="2:2" ht="15" customHeight="1">
      <c r="B18" s="81"/>
    </row>
    <row r="19" spans="2:2" ht="15" customHeight="1"/>
    <row r="20" spans="2:2" ht="15" customHeight="1"/>
    <row r="21" spans="2:2" ht="15" customHeight="1">
      <c r="B21" s="81"/>
    </row>
    <row r="22" spans="2:2" ht="15" customHeight="1"/>
    <row r="23" spans="2:2" ht="15" customHeight="1"/>
    <row r="24" spans="2:2" ht="15" customHeight="1"/>
    <row r="25" spans="2:2" ht="15" customHeight="1"/>
    <row r="26" spans="2:2" ht="15" customHeight="1"/>
    <row r="27" spans="2:2" ht="15" customHeight="1"/>
    <row r="28" spans="2:2" ht="15" customHeight="1"/>
    <row r="29" spans="2:2" ht="15" customHeight="1"/>
    <row r="30" spans="2:2" ht="15" customHeight="1"/>
    <row r="31" spans="2:2" ht="15" customHeight="1"/>
    <row r="32" spans="2: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6550-ADAE-2040-816B-4734EC3AC4B1}">
  <sheetPr>
    <tabColor theme="7"/>
  </sheetPr>
  <dimension ref="B2:J82"/>
  <sheetViews>
    <sheetView showGridLines="0" topLeftCell="B1" workbookViewId="0">
      <selection activeCell="C32" sqref="C32"/>
    </sheetView>
  </sheetViews>
  <sheetFormatPr defaultColWidth="10.77734375" defaultRowHeight="14.4"/>
  <cols>
    <col min="1" max="1" width="6.77734375" customWidth="1"/>
    <col min="2" max="2" width="14.6640625" bestFit="1" customWidth="1"/>
    <col min="3" max="3" width="13.109375" bestFit="1" customWidth="1"/>
    <col min="6" max="6" width="20.109375" bestFit="1" customWidth="1"/>
    <col min="7" max="8" width="18" customWidth="1"/>
    <col min="9" max="9" width="17" bestFit="1" customWidth="1"/>
    <col min="10" max="10" width="13.33203125" bestFit="1" customWidth="1"/>
    <col min="12" max="12" width="17.33203125" customWidth="1"/>
    <col min="13" max="13" width="17.77734375" customWidth="1"/>
    <col min="14" max="14" width="13.6640625" customWidth="1"/>
    <col min="15" max="15" width="17" bestFit="1" customWidth="1"/>
  </cols>
  <sheetData>
    <row r="2" spans="2:9">
      <c r="B2" s="360" t="s">
        <v>411</v>
      </c>
      <c r="C2" s="360"/>
    </row>
    <row r="3" spans="2:9">
      <c r="B3" s="67" t="s">
        <v>408</v>
      </c>
      <c r="C3" s="181" t="s">
        <v>409</v>
      </c>
      <c r="F3" s="67" t="s">
        <v>398</v>
      </c>
      <c r="G3" s="67" t="s">
        <v>396</v>
      </c>
      <c r="H3" s="67" t="s">
        <v>394</v>
      </c>
      <c r="I3" s="67" t="s">
        <v>391</v>
      </c>
    </row>
    <row r="4" spans="2:9">
      <c r="B4" t="s">
        <v>12</v>
      </c>
      <c r="C4" s="75">
        <v>250000</v>
      </c>
      <c r="F4" t="s">
        <v>229</v>
      </c>
      <c r="G4" t="s">
        <v>410</v>
      </c>
      <c r="H4" t="s">
        <v>406</v>
      </c>
      <c r="I4" s="75">
        <v>285000</v>
      </c>
    </row>
    <row r="5" spans="2:9">
      <c r="B5" t="s">
        <v>93</v>
      </c>
      <c r="C5" s="75">
        <v>5000</v>
      </c>
      <c r="F5" s="179" t="s">
        <v>393</v>
      </c>
      <c r="G5" s="179"/>
      <c r="H5" s="179"/>
      <c r="I5" s="180">
        <f>I4</f>
        <v>285000</v>
      </c>
    </row>
    <row r="6" spans="2:9">
      <c r="B6" t="s">
        <v>277</v>
      </c>
      <c r="C6" s="75">
        <v>20000</v>
      </c>
    </row>
    <row r="7" spans="2:9">
      <c r="B7" t="s">
        <v>392</v>
      </c>
      <c r="C7" s="75">
        <v>10000</v>
      </c>
      <c r="F7" s="67" t="s">
        <v>398</v>
      </c>
      <c r="G7" s="67" t="s">
        <v>396</v>
      </c>
      <c r="H7" s="67" t="s">
        <v>394</v>
      </c>
      <c r="I7" s="67" t="s">
        <v>391</v>
      </c>
    </row>
    <row r="8" spans="2:9">
      <c r="B8" s="179" t="s">
        <v>393</v>
      </c>
      <c r="C8" s="180">
        <f>SUM(C4:C7)</f>
        <v>285000</v>
      </c>
      <c r="F8" t="s">
        <v>229</v>
      </c>
      <c r="G8" t="s">
        <v>410</v>
      </c>
      <c r="H8" t="s">
        <v>406</v>
      </c>
      <c r="I8" s="75">
        <v>85000</v>
      </c>
    </row>
    <row r="9" spans="2:9">
      <c r="F9" t="s">
        <v>400</v>
      </c>
      <c r="G9" t="s">
        <v>400</v>
      </c>
      <c r="H9" t="s">
        <v>401</v>
      </c>
      <c r="I9" s="75">
        <v>200000</v>
      </c>
    </row>
    <row r="10" spans="2:9">
      <c r="F10" s="179" t="s">
        <v>393</v>
      </c>
      <c r="G10" s="179"/>
      <c r="H10" s="179"/>
      <c r="I10" s="180">
        <f>SUM(I8:I9)</f>
        <v>285000</v>
      </c>
    </row>
    <row r="12" spans="2:9">
      <c r="F12" s="67" t="s">
        <v>398</v>
      </c>
      <c r="G12" s="67" t="s">
        <v>396</v>
      </c>
      <c r="H12" s="67" t="s">
        <v>394</v>
      </c>
      <c r="I12" s="67" t="s">
        <v>391</v>
      </c>
    </row>
    <row r="13" spans="2:9">
      <c r="F13" t="s">
        <v>406</v>
      </c>
      <c r="G13" t="s">
        <v>410</v>
      </c>
      <c r="H13" t="s">
        <v>406</v>
      </c>
      <c r="I13" s="75">
        <v>250000</v>
      </c>
    </row>
    <row r="14" spans="2:9">
      <c r="B14" t="s">
        <v>412</v>
      </c>
      <c r="C14" s="75">
        <v>300000</v>
      </c>
      <c r="F14" t="s">
        <v>413</v>
      </c>
      <c r="G14" t="s">
        <v>404</v>
      </c>
      <c r="H14" t="s">
        <v>407</v>
      </c>
      <c r="I14" s="75">
        <v>500000</v>
      </c>
    </row>
    <row r="15" spans="2:9">
      <c r="B15" t="s">
        <v>366</v>
      </c>
      <c r="C15" s="75">
        <v>190000</v>
      </c>
      <c r="F15" t="s">
        <v>414</v>
      </c>
      <c r="G15" t="s">
        <v>400</v>
      </c>
      <c r="H15" t="s">
        <v>401</v>
      </c>
      <c r="I15" s="75">
        <v>500000</v>
      </c>
    </row>
    <row r="16" spans="2:9">
      <c r="B16" s="179" t="s">
        <v>64</v>
      </c>
      <c r="C16" s="180">
        <f>C14-C15</f>
        <v>110000</v>
      </c>
      <c r="F16" t="s">
        <v>415</v>
      </c>
      <c r="I16" s="75">
        <v>1000000</v>
      </c>
    </row>
    <row r="17" spans="2:9">
      <c r="F17" s="179" t="s">
        <v>393</v>
      </c>
      <c r="G17" s="179"/>
      <c r="H17" s="179"/>
      <c r="I17" s="180">
        <f>SUM(I13:I16)</f>
        <v>2250000</v>
      </c>
    </row>
    <row r="18" spans="2:9">
      <c r="B18" t="s">
        <v>121</v>
      </c>
      <c r="C18" s="75">
        <v>85000</v>
      </c>
    </row>
    <row r="19" spans="2:9">
      <c r="B19" t="s">
        <v>232</v>
      </c>
      <c r="C19" s="95">
        <f>C16/C18-1</f>
        <v>0.29411764705882359</v>
      </c>
    </row>
    <row r="20" spans="2:9">
      <c r="B20" t="s">
        <v>522</v>
      </c>
      <c r="C20" s="95">
        <f>C19/2</f>
        <v>0.1470588235294118</v>
      </c>
    </row>
    <row r="24" spans="2:9">
      <c r="B24" t="s">
        <v>412</v>
      </c>
      <c r="C24" s="75">
        <v>260000</v>
      </c>
    </row>
    <row r="25" spans="2:9">
      <c r="B25" t="s">
        <v>366</v>
      </c>
      <c r="C25" s="75">
        <v>190000</v>
      </c>
    </row>
    <row r="26" spans="2:9">
      <c r="B26" s="179" t="s">
        <v>64</v>
      </c>
      <c r="C26" s="180">
        <f>C24-C25</f>
        <v>70000</v>
      </c>
    </row>
    <row r="28" spans="2:9">
      <c r="B28" t="s">
        <v>121</v>
      </c>
      <c r="C28" s="75">
        <v>85000</v>
      </c>
    </row>
    <row r="29" spans="2:9">
      <c r="B29" t="s">
        <v>232</v>
      </c>
      <c r="C29" s="95">
        <f>C26/C28-1</f>
        <v>-0.17647058823529416</v>
      </c>
    </row>
    <row r="30" spans="2:9">
      <c r="B30" t="s">
        <v>522</v>
      </c>
      <c r="C30" s="95">
        <f>C29/2</f>
        <v>-8.8235294117647078E-2</v>
      </c>
    </row>
    <row r="77" spans="6:10">
      <c r="F77" s="67"/>
      <c r="G77" s="181"/>
      <c r="H77" s="181"/>
      <c r="I77" s="181"/>
      <c r="J77" s="181"/>
    </row>
    <row r="78" spans="6:10">
      <c r="G78" s="75"/>
      <c r="H78" s="77"/>
      <c r="I78" s="75"/>
      <c r="J78" s="77"/>
    </row>
    <row r="79" spans="6:10">
      <c r="G79" s="75"/>
      <c r="H79" s="75"/>
      <c r="I79" s="75"/>
      <c r="J79" s="75"/>
    </row>
    <row r="80" spans="6:10">
      <c r="G80" s="75"/>
      <c r="H80" s="75"/>
      <c r="I80" s="77"/>
      <c r="J80" s="77"/>
    </row>
    <row r="81" spans="6:10">
      <c r="G81" s="75"/>
      <c r="H81" s="75"/>
      <c r="I81" s="77"/>
      <c r="J81" s="77"/>
    </row>
    <row r="82" spans="6:10">
      <c r="F82" s="179"/>
      <c r="G82" s="180"/>
      <c r="H82" s="180"/>
      <c r="I82" s="180"/>
      <c r="J82" s="180"/>
    </row>
  </sheetData>
  <mergeCells count="1">
    <mergeCell ref="B2:C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6A38-A101-5847-9101-8DB174BD70C7}">
  <sheetPr>
    <tabColor theme="7"/>
  </sheetPr>
  <dimension ref="C3:G82"/>
  <sheetViews>
    <sheetView showGridLines="0" topLeftCell="C1" workbookViewId="0">
      <selection activeCell="G50" sqref="G50"/>
    </sheetView>
  </sheetViews>
  <sheetFormatPr defaultColWidth="10.77734375" defaultRowHeight="14.4"/>
  <cols>
    <col min="1" max="1" width="6.77734375" customWidth="1"/>
    <col min="3" max="3" width="20.109375" bestFit="1" customWidth="1"/>
    <col min="4" max="5" width="18" customWidth="1"/>
    <col min="6" max="6" width="17" bestFit="1" customWidth="1"/>
    <col min="7" max="7" width="13.33203125" bestFit="1" customWidth="1"/>
    <col min="9" max="9" width="17.33203125" customWidth="1"/>
    <col min="10" max="10" width="17.77734375" customWidth="1"/>
    <col min="11" max="11" width="13.6640625" customWidth="1"/>
    <col min="12" max="12" width="17" bestFit="1" customWidth="1"/>
  </cols>
  <sheetData>
    <row r="3" spans="3:6">
      <c r="C3" s="67" t="s">
        <v>398</v>
      </c>
      <c r="D3" s="67" t="s">
        <v>396</v>
      </c>
      <c r="E3" s="67" t="s">
        <v>394</v>
      </c>
      <c r="F3" s="67" t="s">
        <v>391</v>
      </c>
    </row>
    <row r="4" spans="3:6">
      <c r="C4" t="s">
        <v>229</v>
      </c>
      <c r="D4" t="s">
        <v>410</v>
      </c>
      <c r="E4" t="s">
        <v>406</v>
      </c>
      <c r="F4" s="75">
        <v>285000</v>
      </c>
    </row>
    <row r="5" spans="3:6">
      <c r="C5" s="179" t="s">
        <v>393</v>
      </c>
      <c r="D5" s="179"/>
      <c r="E5" s="179"/>
      <c r="F5" s="180">
        <f>F4</f>
        <v>285000</v>
      </c>
    </row>
    <row r="8" spans="3:6">
      <c r="C8" s="67" t="s">
        <v>398</v>
      </c>
      <c r="D8" s="67" t="s">
        <v>396</v>
      </c>
      <c r="E8" s="67" t="s">
        <v>394</v>
      </c>
      <c r="F8" s="67" t="s">
        <v>391</v>
      </c>
    </row>
    <row r="9" spans="3:6">
      <c r="C9" t="s">
        <v>525</v>
      </c>
      <c r="D9" t="s">
        <v>410</v>
      </c>
      <c r="E9" t="s">
        <v>229</v>
      </c>
      <c r="F9" s="75">
        <f>285000/2</f>
        <v>142500</v>
      </c>
    </row>
    <row r="10" spans="3:6">
      <c r="C10" t="s">
        <v>526</v>
      </c>
      <c r="D10" t="s">
        <v>404</v>
      </c>
      <c r="E10" t="s">
        <v>229</v>
      </c>
      <c r="F10" s="75">
        <f>285000/2</f>
        <v>142500</v>
      </c>
    </row>
    <row r="11" spans="3:6">
      <c r="C11" s="179" t="s">
        <v>393</v>
      </c>
      <c r="D11" s="179"/>
      <c r="E11" s="179"/>
      <c r="F11" s="180">
        <f>SUM(F9:F10)</f>
        <v>285000</v>
      </c>
    </row>
    <row r="77" spans="3:7">
      <c r="C77" s="67" t="s">
        <v>408</v>
      </c>
      <c r="D77" s="181" t="s">
        <v>409</v>
      </c>
      <c r="E77" s="181" t="s">
        <v>415</v>
      </c>
      <c r="F77" s="181" t="s">
        <v>414</v>
      </c>
      <c r="G77" s="181" t="s">
        <v>406</v>
      </c>
    </row>
    <row r="78" spans="3:7">
      <c r="C78" t="s">
        <v>12</v>
      </c>
      <c r="D78" s="75">
        <v>250000</v>
      </c>
      <c r="E78" s="77">
        <f>D78*0.75</f>
        <v>187500</v>
      </c>
      <c r="F78" s="75">
        <v>0</v>
      </c>
      <c r="G78" s="77">
        <f>D78-E78</f>
        <v>62500</v>
      </c>
    </row>
    <row r="79" spans="3:7">
      <c r="C79" t="s">
        <v>93</v>
      </c>
      <c r="D79" s="75">
        <v>5000</v>
      </c>
      <c r="E79" s="75">
        <v>0</v>
      </c>
      <c r="F79" s="75">
        <v>0</v>
      </c>
      <c r="G79" s="75">
        <f>D79</f>
        <v>5000</v>
      </c>
    </row>
    <row r="80" spans="3:7">
      <c r="C80" t="s">
        <v>277</v>
      </c>
      <c r="D80" s="75">
        <v>20000</v>
      </c>
      <c r="E80" s="75">
        <v>0</v>
      </c>
      <c r="F80" s="77">
        <v>20000</v>
      </c>
      <c r="G80" s="77">
        <v>0</v>
      </c>
    </row>
    <row r="81" spans="3:7">
      <c r="C81" t="s">
        <v>392</v>
      </c>
      <c r="D81" s="75">
        <v>10000</v>
      </c>
      <c r="E81" s="75">
        <v>0</v>
      </c>
      <c r="F81" s="77">
        <v>10000</v>
      </c>
      <c r="G81" s="77">
        <v>0</v>
      </c>
    </row>
    <row r="82" spans="3:7">
      <c r="C82" s="179" t="s">
        <v>393</v>
      </c>
      <c r="D82" s="180">
        <f>SUM(D78:D81)</f>
        <v>285000</v>
      </c>
      <c r="E82" s="180">
        <f>SUM(E78:E81)</f>
        <v>187500</v>
      </c>
      <c r="F82" s="180">
        <f>SUM(F78:F81)</f>
        <v>30000</v>
      </c>
      <c r="G82" s="180">
        <f>SUM(G78:G81)</f>
        <v>67500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053E-6F60-BE4E-93AF-36EF756ACD95}">
  <sheetPr>
    <tabColor theme="7"/>
  </sheetPr>
  <dimension ref="D7:H47"/>
  <sheetViews>
    <sheetView showGridLines="0" topLeftCell="A11" workbookViewId="0">
      <selection activeCell="G31" sqref="G31"/>
    </sheetView>
  </sheetViews>
  <sheetFormatPr defaultColWidth="10.77734375" defaultRowHeight="14.4"/>
  <cols>
    <col min="1" max="1" width="6.77734375" customWidth="1"/>
    <col min="4" max="4" width="20.109375" bestFit="1" customWidth="1"/>
    <col min="5" max="6" width="18" customWidth="1"/>
    <col min="7" max="7" width="17" bestFit="1" customWidth="1"/>
    <col min="8" max="8" width="13.33203125" bestFit="1" customWidth="1"/>
    <col min="10" max="10" width="17.33203125" customWidth="1"/>
    <col min="11" max="11" width="17.77734375" customWidth="1"/>
    <col min="12" max="12" width="13.6640625" customWidth="1"/>
    <col min="13" max="13" width="17" bestFit="1" customWidth="1"/>
  </cols>
  <sheetData>
    <row r="7" spans="4:7">
      <c r="D7" s="67" t="s">
        <v>398</v>
      </c>
      <c r="E7" s="67" t="s">
        <v>396</v>
      </c>
      <c r="F7" s="67" t="s">
        <v>394</v>
      </c>
      <c r="G7" s="67" t="s">
        <v>391</v>
      </c>
    </row>
    <row r="8" spans="4:7">
      <c r="D8" t="s">
        <v>229</v>
      </c>
      <c r="E8" t="s">
        <v>410</v>
      </c>
      <c r="F8" t="s">
        <v>406</v>
      </c>
      <c r="G8" s="75">
        <v>85000</v>
      </c>
    </row>
    <row r="9" spans="4:7">
      <c r="D9" t="s">
        <v>400</v>
      </c>
      <c r="E9" t="s">
        <v>400</v>
      </c>
      <c r="F9" t="s">
        <v>401</v>
      </c>
      <c r="G9" s="75">
        <v>200000</v>
      </c>
    </row>
    <row r="10" spans="4:7">
      <c r="D10" s="179" t="s">
        <v>393</v>
      </c>
      <c r="E10" s="179"/>
      <c r="F10" s="179"/>
      <c r="G10" s="180">
        <f>SUM(G8:G9)</f>
        <v>285000</v>
      </c>
    </row>
    <row r="14" spans="4:7">
      <c r="D14" s="67" t="s">
        <v>398</v>
      </c>
      <c r="E14" s="67" t="s">
        <v>396</v>
      </c>
      <c r="F14" s="67" t="s">
        <v>394</v>
      </c>
      <c r="G14" s="67" t="s">
        <v>391</v>
      </c>
    </row>
    <row r="15" spans="4:7">
      <c r="D15" t="s">
        <v>527</v>
      </c>
      <c r="E15" t="s">
        <v>410</v>
      </c>
      <c r="F15" t="s">
        <v>406</v>
      </c>
      <c r="G15" s="75">
        <v>285000</v>
      </c>
    </row>
    <row r="16" spans="4:7">
      <c r="D16" s="179" t="s">
        <v>393</v>
      </c>
      <c r="E16" s="179"/>
      <c r="F16" s="179"/>
      <c r="G16" s="180">
        <f>G15</f>
        <v>285000</v>
      </c>
    </row>
    <row r="19" spans="4:7">
      <c r="D19" s="67" t="s">
        <v>398</v>
      </c>
      <c r="E19" s="67" t="s">
        <v>396</v>
      </c>
      <c r="F19" s="67" t="s">
        <v>394</v>
      </c>
      <c r="G19" s="67" t="s">
        <v>391</v>
      </c>
    </row>
    <row r="20" spans="4:7">
      <c r="D20" t="s">
        <v>406</v>
      </c>
      <c r="E20" t="s">
        <v>410</v>
      </c>
      <c r="F20" t="s">
        <v>406</v>
      </c>
      <c r="G20" s="75">
        <f>285000-G21</f>
        <v>97500</v>
      </c>
    </row>
    <row r="21" spans="4:7">
      <c r="D21" t="s">
        <v>415</v>
      </c>
      <c r="E21" t="s">
        <v>400</v>
      </c>
      <c r="F21" t="s">
        <v>401</v>
      </c>
      <c r="G21" s="75">
        <f>0.75*250000</f>
        <v>187500</v>
      </c>
    </row>
    <row r="22" spans="4:7">
      <c r="D22" s="179" t="s">
        <v>393</v>
      </c>
      <c r="E22" s="179"/>
      <c r="F22" s="179"/>
      <c r="G22" s="180">
        <f>SUM(G20:G21)</f>
        <v>285000</v>
      </c>
    </row>
    <row r="26" spans="4:7">
      <c r="D26" s="67" t="s">
        <v>408</v>
      </c>
      <c r="E26" s="181" t="s">
        <v>409</v>
      </c>
      <c r="F26" s="181" t="s">
        <v>401</v>
      </c>
      <c r="G26" s="181" t="s">
        <v>229</v>
      </c>
    </row>
    <row r="27" spans="4:7">
      <c r="D27" t="s">
        <v>12</v>
      </c>
      <c r="E27" s="75">
        <v>250000</v>
      </c>
      <c r="F27" s="77">
        <f>E27*0.75</f>
        <v>187500</v>
      </c>
      <c r="G27" s="77">
        <f>E27-F27</f>
        <v>62500</v>
      </c>
    </row>
    <row r="28" spans="4:7">
      <c r="D28" t="s">
        <v>93</v>
      </c>
      <c r="E28" s="75">
        <v>5000</v>
      </c>
      <c r="F28" s="75">
        <v>0</v>
      </c>
      <c r="G28" s="75">
        <f>E28</f>
        <v>5000</v>
      </c>
    </row>
    <row r="29" spans="4:7">
      <c r="D29" t="s">
        <v>277</v>
      </c>
      <c r="E29" s="75">
        <v>20000</v>
      </c>
      <c r="F29" s="75">
        <v>0</v>
      </c>
      <c r="G29" s="75">
        <f>E29</f>
        <v>20000</v>
      </c>
    </row>
    <row r="30" spans="4:7">
      <c r="D30" t="s">
        <v>392</v>
      </c>
      <c r="E30" s="75">
        <v>10000</v>
      </c>
      <c r="F30" s="75">
        <v>0</v>
      </c>
      <c r="G30" s="75">
        <f>E30</f>
        <v>10000</v>
      </c>
    </row>
    <row r="31" spans="4:7">
      <c r="D31" s="179" t="s">
        <v>393</v>
      </c>
      <c r="E31" s="180">
        <f>SUM(E27:E30)</f>
        <v>285000</v>
      </c>
      <c r="F31" s="180">
        <f>SUM(F27:F30)</f>
        <v>187500</v>
      </c>
      <c r="G31" s="180">
        <f>SUM(G27:G30)</f>
        <v>97500</v>
      </c>
    </row>
    <row r="35" spans="4:8">
      <c r="D35" s="67" t="s">
        <v>398</v>
      </c>
      <c r="E35" s="67" t="s">
        <v>396</v>
      </c>
      <c r="F35" s="67" t="s">
        <v>394</v>
      </c>
      <c r="G35" s="67" t="s">
        <v>391</v>
      </c>
    </row>
    <row r="36" spans="4:8">
      <c r="D36" t="s">
        <v>229</v>
      </c>
      <c r="E36" t="s">
        <v>410</v>
      </c>
      <c r="F36" t="s">
        <v>406</v>
      </c>
      <c r="G36" s="75">
        <v>67500</v>
      </c>
    </row>
    <row r="37" spans="4:8">
      <c r="D37" t="s">
        <v>528</v>
      </c>
      <c r="G37">
        <v>30000</v>
      </c>
    </row>
    <row r="38" spans="4:8">
      <c r="D38" t="s">
        <v>529</v>
      </c>
      <c r="E38" t="s">
        <v>400</v>
      </c>
      <c r="F38" t="s">
        <v>401</v>
      </c>
      <c r="G38" s="75">
        <f>0.75*250000</f>
        <v>187500</v>
      </c>
    </row>
    <row r="39" spans="4:8">
      <c r="D39" s="179" t="s">
        <v>393</v>
      </c>
      <c r="E39" s="179"/>
      <c r="F39" s="179"/>
      <c r="G39" s="180">
        <f>SUM(G36:G38)</f>
        <v>285000</v>
      </c>
    </row>
    <row r="42" spans="4:8">
      <c r="D42" s="67" t="s">
        <v>408</v>
      </c>
      <c r="E42" s="181" t="s">
        <v>409</v>
      </c>
      <c r="F42" s="181" t="s">
        <v>415</v>
      </c>
      <c r="G42" s="181" t="s">
        <v>414</v>
      </c>
      <c r="H42" s="181" t="s">
        <v>406</v>
      </c>
    </row>
    <row r="43" spans="4:8">
      <c r="D43" t="s">
        <v>12</v>
      </c>
      <c r="E43" s="75">
        <v>250000</v>
      </c>
      <c r="F43" s="77">
        <f>E43*0.75</f>
        <v>187500</v>
      </c>
      <c r="G43" s="75">
        <v>0</v>
      </c>
      <c r="H43" s="77">
        <f>E43-F43</f>
        <v>62500</v>
      </c>
    </row>
    <row r="44" spans="4:8">
      <c r="D44" t="s">
        <v>93</v>
      </c>
      <c r="E44" s="75">
        <v>5000</v>
      </c>
      <c r="F44" s="75">
        <v>0</v>
      </c>
      <c r="G44" s="75">
        <v>0</v>
      </c>
      <c r="H44" s="75">
        <f>E44</f>
        <v>5000</v>
      </c>
    </row>
    <row r="45" spans="4:8">
      <c r="D45" t="s">
        <v>277</v>
      </c>
      <c r="E45" s="75">
        <v>20000</v>
      </c>
      <c r="F45" s="75">
        <v>0</v>
      </c>
      <c r="G45" s="77">
        <v>20000</v>
      </c>
      <c r="H45" s="77">
        <v>0</v>
      </c>
    </row>
    <row r="46" spans="4:8">
      <c r="D46" t="s">
        <v>392</v>
      </c>
      <c r="E46" s="75">
        <v>10000</v>
      </c>
      <c r="F46" s="75">
        <v>0</v>
      </c>
      <c r="G46" s="77">
        <v>10000</v>
      </c>
      <c r="H46" s="77">
        <v>0</v>
      </c>
    </row>
    <row r="47" spans="4:8">
      <c r="D47" s="179" t="s">
        <v>393</v>
      </c>
      <c r="E47" s="180">
        <f>SUM(E43:E46)</f>
        <v>285000</v>
      </c>
      <c r="F47" s="180">
        <f>SUM(F43:F46)</f>
        <v>187500</v>
      </c>
      <c r="G47" s="180">
        <f>SUM(G43:G46)</f>
        <v>30000</v>
      </c>
      <c r="H47" s="180">
        <f>SUM(H43:H46)</f>
        <v>67500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4F23-1FE7-D941-8302-D9265C8B206C}">
  <sheetPr>
    <tabColor theme="0" tint="-0.14999847407452621"/>
  </sheetPr>
  <dimension ref="A2:I82"/>
  <sheetViews>
    <sheetView topLeftCell="A3" workbookViewId="0">
      <selection activeCell="C38" sqref="C38"/>
    </sheetView>
  </sheetViews>
  <sheetFormatPr defaultColWidth="10.77734375" defaultRowHeight="14.4"/>
  <cols>
    <col min="1" max="1" width="14.6640625" bestFit="1" customWidth="1"/>
    <col min="2" max="2" width="13.109375" bestFit="1" customWidth="1"/>
    <col min="5" max="5" width="20.109375" bestFit="1" customWidth="1"/>
    <col min="6" max="7" width="18" customWidth="1"/>
    <col min="8" max="8" width="17" bestFit="1" customWidth="1"/>
    <col min="9" max="9" width="13.33203125" bestFit="1" customWidth="1"/>
    <col min="11" max="11" width="17.33203125" customWidth="1"/>
    <col min="12" max="12" width="17.77734375" customWidth="1"/>
    <col min="13" max="13" width="13.6640625" customWidth="1"/>
    <col min="14" max="14" width="17" bestFit="1" customWidth="1"/>
  </cols>
  <sheetData>
    <row r="2" spans="1:8">
      <c r="A2" s="360" t="s">
        <v>411</v>
      </c>
      <c r="B2" s="360"/>
    </row>
    <row r="3" spans="1:8">
      <c r="A3" s="67" t="s">
        <v>408</v>
      </c>
      <c r="B3" s="181" t="s">
        <v>409</v>
      </c>
      <c r="E3" s="67" t="s">
        <v>398</v>
      </c>
      <c r="F3" s="67" t="s">
        <v>396</v>
      </c>
      <c r="G3" s="67" t="s">
        <v>394</v>
      </c>
      <c r="H3" s="67" t="s">
        <v>391</v>
      </c>
    </row>
    <row r="4" spans="1:8">
      <c r="A4" t="s">
        <v>12</v>
      </c>
      <c r="B4" s="75">
        <v>250000</v>
      </c>
      <c r="E4" t="s">
        <v>406</v>
      </c>
      <c r="F4" t="s">
        <v>410</v>
      </c>
      <c r="G4" t="s">
        <v>406</v>
      </c>
      <c r="H4" s="75">
        <v>285000</v>
      </c>
    </row>
    <row r="5" spans="1:8">
      <c r="A5" t="s">
        <v>93</v>
      </c>
      <c r="B5" s="75">
        <v>5000</v>
      </c>
      <c r="E5" s="179" t="s">
        <v>393</v>
      </c>
      <c r="F5" s="179"/>
      <c r="G5" s="179"/>
      <c r="H5" s="180">
        <f>H4</f>
        <v>285000</v>
      </c>
    </row>
    <row r="6" spans="1:8">
      <c r="A6" t="s">
        <v>277</v>
      </c>
      <c r="B6" s="75">
        <v>20000</v>
      </c>
    </row>
    <row r="7" spans="1:8">
      <c r="A7" t="s">
        <v>392</v>
      </c>
      <c r="B7" s="75">
        <v>10000</v>
      </c>
      <c r="E7" s="67" t="s">
        <v>398</v>
      </c>
      <c r="F7" s="67" t="s">
        <v>396</v>
      </c>
      <c r="G7" s="67" t="s">
        <v>394</v>
      </c>
      <c r="H7" s="67" t="s">
        <v>391</v>
      </c>
    </row>
    <row r="8" spans="1:8">
      <c r="A8" s="179" t="s">
        <v>393</v>
      </c>
      <c r="B8" s="180">
        <f>SUM(B4:B7)</f>
        <v>285000</v>
      </c>
      <c r="E8" t="s">
        <v>229</v>
      </c>
      <c r="F8" t="s">
        <v>410</v>
      </c>
      <c r="G8" t="s">
        <v>406</v>
      </c>
      <c r="H8" s="75">
        <v>85000</v>
      </c>
    </row>
    <row r="9" spans="1:8">
      <c r="E9" t="s">
        <v>400</v>
      </c>
      <c r="F9" t="s">
        <v>400</v>
      </c>
      <c r="G9" t="s">
        <v>401</v>
      </c>
      <c r="H9" s="75">
        <v>200000</v>
      </c>
    </row>
    <row r="10" spans="1:8">
      <c r="E10" s="179" t="s">
        <v>393</v>
      </c>
      <c r="F10" s="179"/>
      <c r="G10" s="179"/>
      <c r="H10" s="180">
        <f>SUM(H8:H9)</f>
        <v>285000</v>
      </c>
    </row>
    <row r="12" spans="1:8">
      <c r="E12" s="67" t="s">
        <v>398</v>
      </c>
      <c r="F12" s="67" t="s">
        <v>396</v>
      </c>
      <c r="G12" s="67" t="s">
        <v>394</v>
      </c>
      <c r="H12" s="67" t="s">
        <v>391</v>
      </c>
    </row>
    <row r="13" spans="1:8">
      <c r="E13" t="s">
        <v>406</v>
      </c>
      <c r="F13" t="s">
        <v>410</v>
      </c>
      <c r="G13" t="s">
        <v>406</v>
      </c>
      <c r="H13" s="75">
        <v>250000</v>
      </c>
    </row>
    <row r="14" spans="1:8">
      <c r="E14" t="s">
        <v>413</v>
      </c>
      <c r="F14" t="s">
        <v>404</v>
      </c>
      <c r="G14" t="s">
        <v>407</v>
      </c>
      <c r="H14" s="75">
        <v>500000</v>
      </c>
    </row>
    <row r="15" spans="1:8">
      <c r="E15" t="s">
        <v>414</v>
      </c>
      <c r="F15" t="s">
        <v>400</v>
      </c>
      <c r="G15" t="s">
        <v>401</v>
      </c>
      <c r="H15" s="75">
        <v>500000</v>
      </c>
    </row>
    <row r="16" spans="1:8">
      <c r="E16" t="s">
        <v>415</v>
      </c>
      <c r="H16" s="75">
        <v>1000000</v>
      </c>
    </row>
    <row r="17" spans="1:8">
      <c r="E17" s="179" t="s">
        <v>393</v>
      </c>
      <c r="F17" s="179"/>
      <c r="G17" s="179"/>
      <c r="H17" s="180">
        <f>SUM(H13:H16)</f>
        <v>2250000</v>
      </c>
    </row>
    <row r="19" spans="1:8">
      <c r="E19" s="67" t="s">
        <v>398</v>
      </c>
      <c r="F19" s="67" t="s">
        <v>396</v>
      </c>
      <c r="G19" s="67" t="s">
        <v>394</v>
      </c>
      <c r="H19" s="67" t="s">
        <v>391</v>
      </c>
    </row>
    <row r="20" spans="1:8">
      <c r="E20" t="s">
        <v>416</v>
      </c>
      <c r="F20" t="s">
        <v>410</v>
      </c>
      <c r="G20" t="s">
        <v>229</v>
      </c>
      <c r="H20" s="75">
        <f>285000/2</f>
        <v>142500</v>
      </c>
    </row>
    <row r="21" spans="1:8">
      <c r="A21" t="s">
        <v>412</v>
      </c>
      <c r="B21" s="75">
        <v>300000</v>
      </c>
      <c r="E21" t="s">
        <v>417</v>
      </c>
      <c r="F21" t="s">
        <v>404</v>
      </c>
      <c r="G21" t="s">
        <v>229</v>
      </c>
      <c r="H21" s="75">
        <f>285000/2</f>
        <v>142500</v>
      </c>
    </row>
    <row r="22" spans="1:8">
      <c r="A22" t="s">
        <v>366</v>
      </c>
      <c r="B22" s="75">
        <v>190000</v>
      </c>
      <c r="E22" s="179" t="s">
        <v>393</v>
      </c>
      <c r="F22" s="179"/>
      <c r="G22" s="179"/>
      <c r="H22" s="180">
        <f>SUM(H20:H21)</f>
        <v>285000</v>
      </c>
    </row>
    <row r="23" spans="1:8">
      <c r="A23" s="179" t="s">
        <v>64</v>
      </c>
      <c r="B23" s="180">
        <f>B21-B22</f>
        <v>110000</v>
      </c>
    </row>
    <row r="25" spans="1:8">
      <c r="A25" t="s">
        <v>121</v>
      </c>
      <c r="B25" s="75">
        <v>85000</v>
      </c>
    </row>
    <row r="26" spans="1:8">
      <c r="A26" t="s">
        <v>232</v>
      </c>
      <c r="B26" s="95">
        <f>B23/B25-1</f>
        <v>0.29411764705882359</v>
      </c>
      <c r="E26" s="67" t="s">
        <v>398</v>
      </c>
      <c r="F26" s="67" t="s">
        <v>396</v>
      </c>
      <c r="G26" s="67" t="s">
        <v>394</v>
      </c>
      <c r="H26" s="67" t="s">
        <v>391</v>
      </c>
    </row>
    <row r="27" spans="1:8">
      <c r="A27" t="s">
        <v>233</v>
      </c>
      <c r="B27" s="95">
        <f>B26/2</f>
        <v>0.1470588235294118</v>
      </c>
      <c r="E27" t="s">
        <v>418</v>
      </c>
      <c r="F27" t="s">
        <v>410</v>
      </c>
      <c r="G27" t="s">
        <v>406</v>
      </c>
      <c r="H27" s="75">
        <v>285000</v>
      </c>
    </row>
    <row r="28" spans="1:8">
      <c r="E28" s="179" t="s">
        <v>393</v>
      </c>
      <c r="F28" s="179"/>
      <c r="G28" s="179"/>
      <c r="H28" s="180">
        <f>H27</f>
        <v>285000</v>
      </c>
    </row>
    <row r="31" spans="1:8">
      <c r="E31" s="67" t="s">
        <v>398</v>
      </c>
      <c r="F31" s="67" t="s">
        <v>396</v>
      </c>
      <c r="G31" s="67" t="s">
        <v>394</v>
      </c>
      <c r="H31" s="67" t="s">
        <v>391</v>
      </c>
    </row>
    <row r="32" spans="1:8">
      <c r="E32" t="s">
        <v>406</v>
      </c>
      <c r="F32" t="s">
        <v>410</v>
      </c>
      <c r="G32" t="s">
        <v>406</v>
      </c>
      <c r="H32" s="75">
        <f>285000-H33</f>
        <v>97500</v>
      </c>
    </row>
    <row r="33" spans="1:8">
      <c r="E33" t="s">
        <v>415</v>
      </c>
      <c r="F33" t="s">
        <v>400</v>
      </c>
      <c r="G33" t="s">
        <v>401</v>
      </c>
      <c r="H33" s="75">
        <f>0.75*250000</f>
        <v>187500</v>
      </c>
    </row>
    <row r="34" spans="1:8">
      <c r="E34" s="179" t="s">
        <v>393</v>
      </c>
      <c r="F34" s="179"/>
      <c r="G34" s="179"/>
      <c r="H34" s="180">
        <f>SUM(H32:H33)</f>
        <v>285000</v>
      </c>
    </row>
    <row r="36" spans="1:8">
      <c r="A36" t="s">
        <v>412</v>
      </c>
      <c r="B36" s="75">
        <v>260000</v>
      </c>
    </row>
    <row r="37" spans="1:8">
      <c r="A37" t="s">
        <v>366</v>
      </c>
      <c r="B37" s="75">
        <v>190000</v>
      </c>
    </row>
    <row r="38" spans="1:8">
      <c r="A38" s="179" t="s">
        <v>64</v>
      </c>
      <c r="B38" s="180">
        <f>B36-B37</f>
        <v>70000</v>
      </c>
      <c r="E38" s="67" t="s">
        <v>408</v>
      </c>
      <c r="F38" s="181" t="s">
        <v>409</v>
      </c>
      <c r="G38" s="181" t="s">
        <v>401</v>
      </c>
      <c r="H38" s="181" t="s">
        <v>229</v>
      </c>
    </row>
    <row r="39" spans="1:8">
      <c r="E39" t="s">
        <v>12</v>
      </c>
      <c r="F39" s="75">
        <v>250000</v>
      </c>
      <c r="G39" s="77">
        <f>F39*0.75</f>
        <v>187500</v>
      </c>
      <c r="H39" s="77">
        <f>F39-G39</f>
        <v>62500</v>
      </c>
    </row>
    <row r="40" spans="1:8">
      <c r="A40" t="s">
        <v>121</v>
      </c>
      <c r="B40" s="75">
        <v>85000</v>
      </c>
      <c r="E40" t="s">
        <v>93</v>
      </c>
      <c r="F40" s="75">
        <v>5000</v>
      </c>
      <c r="G40" s="75">
        <v>0</v>
      </c>
      <c r="H40" s="75">
        <f>F40</f>
        <v>5000</v>
      </c>
    </row>
    <row r="41" spans="1:8">
      <c r="A41" t="s">
        <v>232</v>
      </c>
      <c r="B41" s="95">
        <f>B38/B40-1</f>
        <v>-0.17647058823529416</v>
      </c>
      <c r="E41" t="s">
        <v>277</v>
      </c>
      <c r="F41" s="75">
        <v>20000</v>
      </c>
      <c r="G41" s="75">
        <v>0</v>
      </c>
      <c r="H41" s="75">
        <f>F41</f>
        <v>20000</v>
      </c>
    </row>
    <row r="42" spans="1:8">
      <c r="A42" t="s">
        <v>233</v>
      </c>
      <c r="B42" s="95">
        <f>B41/2</f>
        <v>-8.8235294117647078E-2</v>
      </c>
      <c r="E42" t="s">
        <v>392</v>
      </c>
      <c r="F42" s="75">
        <v>10000</v>
      </c>
      <c r="G42" s="75">
        <v>0</v>
      </c>
      <c r="H42" s="75">
        <f>F42</f>
        <v>10000</v>
      </c>
    </row>
    <row r="43" spans="1:8">
      <c r="E43" s="179" t="s">
        <v>393</v>
      </c>
      <c r="F43" s="180">
        <f>SUM(F39:F42)</f>
        <v>285000</v>
      </c>
      <c r="G43" s="180">
        <f>SUM(G39:G42)</f>
        <v>187500</v>
      </c>
      <c r="H43" s="180">
        <f>SUM(H39:H42)</f>
        <v>97500</v>
      </c>
    </row>
    <row r="47" spans="1:8">
      <c r="E47" s="67" t="s">
        <v>398</v>
      </c>
      <c r="F47" s="67" t="s">
        <v>396</v>
      </c>
      <c r="G47" s="67" t="s">
        <v>394</v>
      </c>
      <c r="H47" s="67" t="s">
        <v>391</v>
      </c>
    </row>
    <row r="48" spans="1:8">
      <c r="E48" t="s">
        <v>406</v>
      </c>
      <c r="F48" t="s">
        <v>410</v>
      </c>
      <c r="G48" t="s">
        <v>406</v>
      </c>
      <c r="H48" s="75">
        <v>67500</v>
      </c>
    </row>
    <row r="49" spans="5:8">
      <c r="E49" t="s">
        <v>414</v>
      </c>
      <c r="H49">
        <v>30000</v>
      </c>
    </row>
    <row r="50" spans="5:8">
      <c r="E50" t="s">
        <v>415</v>
      </c>
      <c r="F50" t="s">
        <v>400</v>
      </c>
      <c r="G50" t="s">
        <v>401</v>
      </c>
      <c r="H50" s="75">
        <f>0.75*250000</f>
        <v>187500</v>
      </c>
    </row>
    <row r="51" spans="5:8">
      <c r="E51" s="179" t="s">
        <v>393</v>
      </c>
      <c r="F51" s="179"/>
      <c r="G51" s="179"/>
      <c r="H51" s="180">
        <f>SUM(H48:H50)</f>
        <v>285000</v>
      </c>
    </row>
    <row r="77" spans="5:9">
      <c r="E77" s="67" t="s">
        <v>408</v>
      </c>
      <c r="F77" s="181" t="s">
        <v>409</v>
      </c>
      <c r="G77" s="181" t="s">
        <v>415</v>
      </c>
      <c r="H77" s="181" t="s">
        <v>414</v>
      </c>
      <c r="I77" s="181" t="s">
        <v>406</v>
      </c>
    </row>
    <row r="78" spans="5:9">
      <c r="E78" t="s">
        <v>12</v>
      </c>
      <c r="F78" s="75">
        <v>250000</v>
      </c>
      <c r="G78" s="77">
        <f>F78*0.75</f>
        <v>187500</v>
      </c>
      <c r="H78" s="75">
        <v>0</v>
      </c>
      <c r="I78" s="77">
        <f>F78-G78</f>
        <v>62500</v>
      </c>
    </row>
    <row r="79" spans="5:9">
      <c r="E79" t="s">
        <v>93</v>
      </c>
      <c r="F79" s="75">
        <v>5000</v>
      </c>
      <c r="G79" s="75">
        <v>0</v>
      </c>
      <c r="H79" s="75">
        <v>0</v>
      </c>
      <c r="I79" s="75">
        <f>F79</f>
        <v>5000</v>
      </c>
    </row>
    <row r="80" spans="5:9">
      <c r="E80" t="s">
        <v>277</v>
      </c>
      <c r="F80" s="75">
        <v>20000</v>
      </c>
      <c r="G80" s="75">
        <v>0</v>
      </c>
      <c r="H80" s="77">
        <v>20000</v>
      </c>
      <c r="I80" s="77">
        <v>0</v>
      </c>
    </row>
    <row r="81" spans="5:9">
      <c r="E81" t="s">
        <v>392</v>
      </c>
      <c r="F81" s="75">
        <v>10000</v>
      </c>
      <c r="G81" s="75">
        <v>0</v>
      </c>
      <c r="H81" s="77">
        <v>10000</v>
      </c>
      <c r="I81" s="77">
        <v>0</v>
      </c>
    </row>
    <row r="82" spans="5:9">
      <c r="E82" s="179" t="s">
        <v>393</v>
      </c>
      <c r="F82" s="180">
        <f>SUM(F78:F81)</f>
        <v>285000</v>
      </c>
      <c r="G82" s="180">
        <f>SUM(G78:G81)</f>
        <v>187500</v>
      </c>
      <c r="H82" s="180">
        <f>SUM(H78:H81)</f>
        <v>30000</v>
      </c>
      <c r="I82" s="180">
        <f>SUM(I78:I81)</f>
        <v>67500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7E64-E7CA-1949-901D-76768EE1CC2B}">
  <sheetPr>
    <tabColor theme="0" tint="-0.14999847407452621"/>
  </sheetPr>
  <dimension ref="A3:H17"/>
  <sheetViews>
    <sheetView workbookViewId="0">
      <selection activeCell="C38" sqref="C38"/>
    </sheetView>
  </sheetViews>
  <sheetFormatPr defaultColWidth="11.5546875" defaultRowHeight="14.4"/>
  <cols>
    <col min="1" max="1" width="14.6640625" bestFit="1" customWidth="1"/>
    <col min="2" max="2" width="13.109375" bestFit="1" customWidth="1"/>
    <col min="5" max="5" width="20.109375" bestFit="1" customWidth="1"/>
    <col min="6" max="7" width="18" customWidth="1"/>
    <col min="8" max="8" width="17" bestFit="1" customWidth="1"/>
    <col min="11" max="11" width="17.33203125" customWidth="1"/>
    <col min="12" max="12" width="17.77734375" customWidth="1"/>
    <col min="13" max="13" width="13.6640625" customWidth="1"/>
    <col min="14" max="14" width="17" bestFit="1" customWidth="1"/>
  </cols>
  <sheetData>
    <row r="3" spans="1:8">
      <c r="A3" s="117"/>
      <c r="B3" s="181" t="s">
        <v>166</v>
      </c>
      <c r="E3" s="67" t="s">
        <v>398</v>
      </c>
      <c r="F3" s="67" t="s">
        <v>396</v>
      </c>
      <c r="G3" s="67" t="s">
        <v>394</v>
      </c>
      <c r="H3" s="67" t="s">
        <v>391</v>
      </c>
    </row>
    <row r="4" spans="1:8">
      <c r="A4" t="s">
        <v>12</v>
      </c>
      <c r="B4" s="75">
        <v>250000</v>
      </c>
      <c r="E4" t="s">
        <v>402</v>
      </c>
      <c r="F4" t="s">
        <v>397</v>
      </c>
      <c r="G4" t="s">
        <v>395</v>
      </c>
      <c r="H4" s="75">
        <v>285000</v>
      </c>
    </row>
    <row r="5" spans="1:8">
      <c r="A5" t="s">
        <v>93</v>
      </c>
      <c r="B5" s="75">
        <v>5000</v>
      </c>
      <c r="E5" s="179" t="s">
        <v>393</v>
      </c>
      <c r="F5" s="179"/>
      <c r="G5" s="179"/>
      <c r="H5" s="180">
        <f>H4</f>
        <v>285000</v>
      </c>
    </row>
    <row r="6" spans="1:8">
      <c r="A6" t="s">
        <v>277</v>
      </c>
      <c r="B6" s="75">
        <v>20000</v>
      </c>
    </row>
    <row r="7" spans="1:8">
      <c r="A7" t="s">
        <v>392</v>
      </c>
      <c r="B7" s="75">
        <v>10000</v>
      </c>
      <c r="E7" s="67" t="s">
        <v>398</v>
      </c>
      <c r="F7" s="67" t="s">
        <v>396</v>
      </c>
      <c r="G7" s="67" t="s">
        <v>394</v>
      </c>
      <c r="H7" s="67" t="s">
        <v>391</v>
      </c>
    </row>
    <row r="8" spans="1:8">
      <c r="A8" s="179" t="s">
        <v>393</v>
      </c>
      <c r="B8" s="180">
        <f>SUM(B4:B7)</f>
        <v>285000</v>
      </c>
      <c r="E8" t="s">
        <v>390</v>
      </c>
      <c r="F8" t="s">
        <v>397</v>
      </c>
      <c r="G8" t="s">
        <v>395</v>
      </c>
      <c r="H8" s="75">
        <v>85000</v>
      </c>
    </row>
    <row r="9" spans="1:8">
      <c r="E9" t="s">
        <v>399</v>
      </c>
      <c r="F9" t="s">
        <v>400</v>
      </c>
      <c r="G9" t="s">
        <v>401</v>
      </c>
      <c r="H9" s="75">
        <v>200000</v>
      </c>
    </row>
    <row r="10" spans="1:8">
      <c r="E10" s="179" t="s">
        <v>393</v>
      </c>
      <c r="F10" s="179"/>
      <c r="G10" s="179"/>
      <c r="H10" s="180">
        <f>SUM(H8:H9)</f>
        <v>285000</v>
      </c>
    </row>
    <row r="12" spans="1:8">
      <c r="E12" s="67" t="s">
        <v>398</v>
      </c>
      <c r="F12" s="67" t="s">
        <v>396</v>
      </c>
      <c r="G12" s="67" t="s">
        <v>394</v>
      </c>
      <c r="H12" s="67" t="s">
        <v>391</v>
      </c>
    </row>
    <row r="13" spans="1:8">
      <c r="E13" t="s">
        <v>402</v>
      </c>
      <c r="F13" t="s">
        <v>397</v>
      </c>
      <c r="G13" t="s">
        <v>395</v>
      </c>
      <c r="H13" s="75">
        <v>50000</v>
      </c>
    </row>
    <row r="14" spans="1:8">
      <c r="E14" t="s">
        <v>403</v>
      </c>
      <c r="F14" t="s">
        <v>404</v>
      </c>
      <c r="G14" t="s">
        <v>405</v>
      </c>
      <c r="H14" s="75">
        <v>35000</v>
      </c>
    </row>
    <row r="15" spans="1:8">
      <c r="E15" t="s">
        <v>399</v>
      </c>
      <c r="F15" t="s">
        <v>400</v>
      </c>
      <c r="G15" t="s">
        <v>401</v>
      </c>
      <c r="H15" s="75">
        <v>200000</v>
      </c>
    </row>
    <row r="16" spans="1:8">
      <c r="E16" s="179" t="s">
        <v>393</v>
      </c>
      <c r="F16" s="179"/>
      <c r="G16" s="179"/>
      <c r="H16" s="180">
        <f>SUM(H13:H15)</f>
        <v>285000</v>
      </c>
    </row>
    <row r="17" customFormat="1"/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FA12-44B9-EA41-BA96-9F7BAB1A201E}">
  <sheetPr>
    <tabColor theme="7"/>
  </sheetPr>
  <dimension ref="A1:AI362"/>
  <sheetViews>
    <sheetView topLeftCell="A154" workbookViewId="0">
      <selection activeCell="R6" sqref="R6"/>
    </sheetView>
  </sheetViews>
  <sheetFormatPr defaultColWidth="10.77734375" defaultRowHeight="14.4"/>
  <cols>
    <col min="1" max="1" width="19.6640625" bestFit="1" customWidth="1"/>
    <col min="2" max="2" width="15" bestFit="1" customWidth="1"/>
    <col min="5" max="5" width="14.33203125" bestFit="1" customWidth="1"/>
    <col min="6" max="6" width="10.109375" bestFit="1" customWidth="1"/>
    <col min="8" max="8" width="13" bestFit="1" customWidth="1"/>
    <col min="9" max="9" width="14.77734375" bestFit="1" customWidth="1"/>
    <col min="10" max="10" width="15.77734375" bestFit="1" customWidth="1"/>
    <col min="11" max="11" width="16.44140625" bestFit="1" customWidth="1"/>
    <col min="16" max="16" width="11.6640625" bestFit="1" customWidth="1"/>
    <col min="18" max="19" width="11.6640625" bestFit="1" customWidth="1"/>
    <col min="20" max="20" width="15.77734375" bestFit="1" customWidth="1"/>
    <col min="21" max="21" width="14.33203125" bestFit="1" customWidth="1"/>
    <col min="34" max="35" width="11.77734375" bestFit="1" customWidth="1"/>
  </cols>
  <sheetData>
    <row r="1" spans="1:21">
      <c r="A1" s="78" t="s">
        <v>12</v>
      </c>
      <c r="B1" s="79">
        <v>400000</v>
      </c>
      <c r="E1" s="67" t="s">
        <v>142</v>
      </c>
      <c r="F1" s="67" t="s">
        <v>143</v>
      </c>
      <c r="G1" s="67" t="s">
        <v>144</v>
      </c>
      <c r="H1" s="67" t="s">
        <v>590</v>
      </c>
      <c r="I1" s="67" t="s">
        <v>147</v>
      </c>
      <c r="J1" s="67" t="s">
        <v>148</v>
      </c>
      <c r="K1" s="67" t="s">
        <v>146</v>
      </c>
      <c r="L1" s="67" t="s">
        <v>149</v>
      </c>
      <c r="M1" s="67" t="s">
        <v>150</v>
      </c>
      <c r="N1" s="78"/>
      <c r="O1" s="78"/>
      <c r="P1" s="78"/>
    </row>
    <row r="2" spans="1:21">
      <c r="A2" s="78" t="s">
        <v>133</v>
      </c>
      <c r="B2" s="80">
        <v>0.2</v>
      </c>
      <c r="E2">
        <v>0</v>
      </c>
      <c r="F2" s="77">
        <f>B8</f>
        <v>1717.829193638845</v>
      </c>
      <c r="G2" s="77">
        <f t="shared" ref="G2:G65" si="0">(B$4/B$6)*K2</f>
        <v>1333.3333333333333</v>
      </c>
      <c r="H2" s="77">
        <f>F2-G2</f>
        <v>384.49586030551177</v>
      </c>
      <c r="I2" s="77">
        <f>G2</f>
        <v>1333.3333333333333</v>
      </c>
      <c r="J2" s="77">
        <f>H2</f>
        <v>384.49586030551177</v>
      </c>
      <c r="K2" s="77">
        <f>B3</f>
        <v>320000</v>
      </c>
      <c r="L2" s="75">
        <v>400000</v>
      </c>
      <c r="M2" s="75">
        <f>L2-K2</f>
        <v>80000</v>
      </c>
      <c r="N2" s="75"/>
      <c r="O2" s="75"/>
      <c r="P2" s="75"/>
    </row>
    <row r="3" spans="1:21" ht="13.95" customHeight="1">
      <c r="A3" s="78" t="s">
        <v>134</v>
      </c>
      <c r="B3" s="75">
        <f>(1-B2)*B1</f>
        <v>320000</v>
      </c>
      <c r="E3">
        <v>1</v>
      </c>
      <c r="F3" s="77">
        <f>F2</f>
        <v>1717.829193638845</v>
      </c>
      <c r="G3" s="77">
        <f t="shared" si="0"/>
        <v>1331.7312672487271</v>
      </c>
      <c r="H3" s="77">
        <f>F3-G3</f>
        <v>386.09792639011789</v>
      </c>
      <c r="I3" s="77">
        <f t="shared" ref="I3:J66" si="1">I2+G3</f>
        <v>2665.0646005820604</v>
      </c>
      <c r="J3" s="77">
        <f t="shared" si="1"/>
        <v>770.59378669562966</v>
      </c>
      <c r="K3" s="77">
        <f>K2-H2</f>
        <v>319615.5041396945</v>
      </c>
      <c r="L3" s="75">
        <v>400000</v>
      </c>
      <c r="M3" s="75">
        <f t="shared" ref="M3:M66" si="2">L3-K3</f>
        <v>80384.495860305498</v>
      </c>
      <c r="N3" s="75"/>
      <c r="O3" s="75"/>
      <c r="P3" s="75"/>
    </row>
    <row r="4" spans="1:21">
      <c r="A4" s="78" t="s">
        <v>135</v>
      </c>
      <c r="B4" s="80">
        <v>0.05</v>
      </c>
      <c r="E4">
        <v>2</v>
      </c>
      <c r="F4" s="77">
        <f t="shared" ref="F4:F67" si="3">F3</f>
        <v>1717.829193638845</v>
      </c>
      <c r="G4" s="77">
        <f t="shared" si="0"/>
        <v>1330.1225258887682</v>
      </c>
      <c r="H4" s="77">
        <f t="shared" ref="H4:H67" si="4">F4-G4</f>
        <v>387.7066677500768</v>
      </c>
      <c r="I4" s="77">
        <f t="shared" si="1"/>
        <v>3995.1871264708288</v>
      </c>
      <c r="J4" s="77">
        <f t="shared" si="1"/>
        <v>1158.3004544457065</v>
      </c>
      <c r="K4" s="77">
        <f t="shared" ref="K4:K67" si="5">K3-H3</f>
        <v>319229.40621330438</v>
      </c>
      <c r="L4" s="75">
        <v>400000</v>
      </c>
      <c r="M4" s="75">
        <f t="shared" si="2"/>
        <v>80770.593786695623</v>
      </c>
      <c r="N4" s="75"/>
      <c r="O4" s="75"/>
      <c r="P4" s="75"/>
    </row>
    <row r="5" spans="1:21">
      <c r="A5" s="78" t="s">
        <v>136</v>
      </c>
      <c r="B5" s="81">
        <v>30</v>
      </c>
      <c r="E5">
        <v>3</v>
      </c>
      <c r="F5" s="77">
        <f t="shared" si="3"/>
        <v>1717.829193638845</v>
      </c>
      <c r="G5" s="77">
        <f t="shared" si="0"/>
        <v>1328.5070814398096</v>
      </c>
      <c r="H5" s="77">
        <f t="shared" si="4"/>
        <v>389.32211219903547</v>
      </c>
      <c r="I5" s="77">
        <f t="shared" si="1"/>
        <v>5323.6942079106384</v>
      </c>
      <c r="J5" s="77">
        <f t="shared" si="1"/>
        <v>1547.6225666447419</v>
      </c>
      <c r="K5" s="77">
        <f t="shared" si="5"/>
        <v>318841.69954555429</v>
      </c>
      <c r="L5" s="75">
        <v>400000</v>
      </c>
      <c r="M5" s="75">
        <f t="shared" si="2"/>
        <v>81158.300454445707</v>
      </c>
      <c r="N5" s="75"/>
      <c r="O5" s="75"/>
      <c r="P5" s="75"/>
    </row>
    <row r="6" spans="1:21">
      <c r="A6" s="78" t="s">
        <v>137</v>
      </c>
      <c r="B6" s="81">
        <v>12</v>
      </c>
      <c r="E6">
        <v>4</v>
      </c>
      <c r="F6" s="77">
        <f t="shared" si="3"/>
        <v>1717.829193638845</v>
      </c>
      <c r="G6" s="77">
        <f t="shared" si="0"/>
        <v>1326.8849059723136</v>
      </c>
      <c r="H6" s="77">
        <f t="shared" si="4"/>
        <v>390.94428766653141</v>
      </c>
      <c r="I6" s="77">
        <f t="shared" si="1"/>
        <v>6650.5791138829518</v>
      </c>
      <c r="J6" s="77">
        <f t="shared" si="1"/>
        <v>1938.5668543112733</v>
      </c>
      <c r="K6" s="77">
        <f t="shared" si="5"/>
        <v>318452.37743335526</v>
      </c>
      <c r="L6" s="75">
        <v>400000</v>
      </c>
      <c r="M6" s="75">
        <f t="shared" si="2"/>
        <v>81547.622566644743</v>
      </c>
      <c r="N6" s="75"/>
      <c r="O6" s="75"/>
      <c r="P6" s="75"/>
      <c r="R6">
        <f>320000*(0.05/12)</f>
        <v>1333.3333333333333</v>
      </c>
    </row>
    <row r="7" spans="1:21">
      <c r="A7" s="78" t="s">
        <v>138</v>
      </c>
      <c r="B7">
        <f>B6*B5</f>
        <v>360</v>
      </c>
      <c r="E7">
        <v>5</v>
      </c>
      <c r="F7" s="77">
        <f t="shared" si="3"/>
        <v>1717.829193638845</v>
      </c>
      <c r="G7" s="77">
        <f t="shared" si="0"/>
        <v>1325.2559714403696</v>
      </c>
      <c r="H7" s="77">
        <f t="shared" si="4"/>
        <v>392.57322219847538</v>
      </c>
      <c r="I7" s="77">
        <f t="shared" si="1"/>
        <v>7975.8350853233214</v>
      </c>
      <c r="J7" s="77">
        <f t="shared" si="1"/>
        <v>2331.1400765097487</v>
      </c>
      <c r="K7" s="77">
        <f t="shared" si="5"/>
        <v>318061.43314568873</v>
      </c>
      <c r="L7" s="75">
        <v>400000</v>
      </c>
      <c r="M7" s="75">
        <f t="shared" si="2"/>
        <v>81938.56685431127</v>
      </c>
      <c r="N7" s="75"/>
      <c r="O7" s="75"/>
      <c r="P7" s="75"/>
    </row>
    <row r="8" spans="1:21">
      <c r="A8" s="78" t="s">
        <v>139</v>
      </c>
      <c r="B8" s="77">
        <f>-PMT(B4/B6, B7, B3, 0)</f>
        <v>1717.829193638845</v>
      </c>
      <c r="E8">
        <v>6</v>
      </c>
      <c r="F8" s="77">
        <f t="shared" si="3"/>
        <v>1717.829193638845</v>
      </c>
      <c r="G8" s="77">
        <f t="shared" si="0"/>
        <v>1323.6202496812093</v>
      </c>
      <c r="H8" s="77">
        <f t="shared" si="4"/>
        <v>394.20894395763571</v>
      </c>
      <c r="I8" s="77">
        <f t="shared" si="1"/>
        <v>9299.4553350045317</v>
      </c>
      <c r="J8" s="77">
        <f t="shared" si="1"/>
        <v>2725.3490204673844</v>
      </c>
      <c r="K8" s="77">
        <f t="shared" si="5"/>
        <v>317668.85992349026</v>
      </c>
      <c r="L8" s="75">
        <v>400000</v>
      </c>
      <c r="M8" s="75">
        <f t="shared" si="2"/>
        <v>82331.140076509735</v>
      </c>
      <c r="N8" s="75"/>
      <c r="O8" s="75"/>
      <c r="P8" s="75"/>
    </row>
    <row r="9" spans="1:21">
      <c r="A9" s="78" t="s">
        <v>140</v>
      </c>
      <c r="B9" s="77">
        <f>B8*B7</f>
        <v>618418.50970998418</v>
      </c>
      <c r="E9">
        <v>7</v>
      </c>
      <c r="F9" s="77">
        <f t="shared" si="3"/>
        <v>1717.829193638845</v>
      </c>
      <c r="G9" s="77">
        <f t="shared" si="0"/>
        <v>1321.9777124147192</v>
      </c>
      <c r="H9" s="77">
        <f t="shared" si="4"/>
        <v>395.85148122412579</v>
      </c>
      <c r="I9" s="77">
        <f t="shared" si="1"/>
        <v>10621.43304741925</v>
      </c>
      <c r="J9" s="77">
        <f t="shared" si="1"/>
        <v>3121.20050169151</v>
      </c>
      <c r="K9" s="77">
        <f t="shared" si="5"/>
        <v>317274.65097953263</v>
      </c>
      <c r="L9" s="75">
        <v>400000</v>
      </c>
      <c r="M9" s="75">
        <f t="shared" si="2"/>
        <v>82725.349020467373</v>
      </c>
      <c r="N9" s="75"/>
      <c r="O9" s="75"/>
      <c r="P9" s="75"/>
    </row>
    <row r="10" spans="1:21">
      <c r="A10" s="78" t="s">
        <v>141</v>
      </c>
      <c r="B10" s="82">
        <f>B9-B3</f>
        <v>298418.50970998418</v>
      </c>
      <c r="E10">
        <v>8</v>
      </c>
      <c r="F10" s="77">
        <f t="shared" si="3"/>
        <v>1717.829193638845</v>
      </c>
      <c r="G10" s="77">
        <f t="shared" si="0"/>
        <v>1320.3283312429521</v>
      </c>
      <c r="H10" s="77">
        <f t="shared" si="4"/>
        <v>397.50086239589291</v>
      </c>
      <c r="I10" s="77">
        <f t="shared" si="1"/>
        <v>11941.761378662202</v>
      </c>
      <c r="J10" s="77">
        <f t="shared" si="1"/>
        <v>3518.7013640874029</v>
      </c>
      <c r="K10" s="77">
        <f t="shared" si="5"/>
        <v>316878.79949830851</v>
      </c>
      <c r="L10" s="75">
        <v>400000</v>
      </c>
      <c r="M10" s="75">
        <f t="shared" si="2"/>
        <v>83121.200501691492</v>
      </c>
      <c r="N10" s="75"/>
      <c r="O10" s="75"/>
      <c r="P10" s="75"/>
    </row>
    <row r="11" spans="1:21">
      <c r="E11">
        <v>9</v>
      </c>
      <c r="F11" s="77">
        <f t="shared" si="3"/>
        <v>1717.829193638845</v>
      </c>
      <c r="G11" s="77">
        <f t="shared" si="0"/>
        <v>1318.6720776496359</v>
      </c>
      <c r="H11" s="77">
        <f t="shared" si="4"/>
        <v>399.15711598920916</v>
      </c>
      <c r="I11" s="77">
        <f t="shared" si="1"/>
        <v>13260.433456311839</v>
      </c>
      <c r="J11" s="77">
        <f t="shared" si="1"/>
        <v>3917.8584800766121</v>
      </c>
      <c r="K11" s="77">
        <f t="shared" si="5"/>
        <v>316481.29863591259</v>
      </c>
      <c r="L11" s="75">
        <v>400000</v>
      </c>
      <c r="M11" s="75">
        <f t="shared" si="2"/>
        <v>83518.701364087407</v>
      </c>
      <c r="N11" s="75"/>
      <c r="O11" s="75"/>
      <c r="P11" s="75"/>
    </row>
    <row r="12" spans="1:21">
      <c r="E12">
        <v>10</v>
      </c>
      <c r="F12" s="77">
        <f t="shared" si="3"/>
        <v>1717.829193638845</v>
      </c>
      <c r="G12" s="77">
        <f t="shared" si="0"/>
        <v>1317.0089229996809</v>
      </c>
      <c r="H12" s="77">
        <f t="shared" si="4"/>
        <v>400.82027063916416</v>
      </c>
      <c r="I12" s="77">
        <f t="shared" si="1"/>
        <v>14577.44237931152</v>
      </c>
      <c r="J12" s="77">
        <f t="shared" si="1"/>
        <v>4318.678750715776</v>
      </c>
      <c r="K12" s="77">
        <f t="shared" si="5"/>
        <v>316082.1415199234</v>
      </c>
      <c r="L12" s="75">
        <v>400000</v>
      </c>
      <c r="M12" s="75">
        <f t="shared" si="2"/>
        <v>83917.858480076597</v>
      </c>
      <c r="N12" s="75"/>
      <c r="O12" s="75"/>
      <c r="P12" s="75"/>
    </row>
    <row r="13" spans="1:21">
      <c r="B13" s="77"/>
      <c r="E13">
        <v>11</v>
      </c>
      <c r="F13" s="77">
        <f t="shared" si="3"/>
        <v>1717.829193638845</v>
      </c>
      <c r="G13" s="77">
        <f t="shared" si="0"/>
        <v>1315.3388385386843</v>
      </c>
      <c r="H13" s="77">
        <f t="shared" si="4"/>
        <v>402.49035510016074</v>
      </c>
      <c r="I13" s="77">
        <f t="shared" si="1"/>
        <v>15892.781217850204</v>
      </c>
      <c r="J13" s="77">
        <f t="shared" si="1"/>
        <v>4721.1691058159367</v>
      </c>
      <c r="K13" s="77">
        <f t="shared" si="5"/>
        <v>315681.32124928426</v>
      </c>
      <c r="L13" s="75">
        <v>400000</v>
      </c>
      <c r="M13" s="75">
        <f t="shared" si="2"/>
        <v>84318.678750715742</v>
      </c>
      <c r="N13" s="75"/>
      <c r="O13" s="67" t="s">
        <v>119</v>
      </c>
      <c r="P13" s="67" t="s">
        <v>143</v>
      </c>
      <c r="Q13" s="67" t="s">
        <v>144</v>
      </c>
      <c r="R13" s="67" t="s">
        <v>591</v>
      </c>
      <c r="S13" s="67" t="s">
        <v>147</v>
      </c>
      <c r="T13" s="67" t="s">
        <v>148</v>
      </c>
      <c r="U13" s="67" t="s">
        <v>146</v>
      </c>
    </row>
    <row r="14" spans="1:21">
      <c r="E14">
        <v>12</v>
      </c>
      <c r="F14" s="77">
        <f t="shared" si="3"/>
        <v>1717.829193638845</v>
      </c>
      <c r="G14" s="77">
        <f t="shared" si="0"/>
        <v>1313.6617953924338</v>
      </c>
      <c r="H14" s="77">
        <f t="shared" si="4"/>
        <v>404.16739824641127</v>
      </c>
      <c r="I14" s="77">
        <f t="shared" si="1"/>
        <v>17206.443013242639</v>
      </c>
      <c r="J14" s="77">
        <f t="shared" si="1"/>
        <v>5125.3365040623485</v>
      </c>
      <c r="K14" s="77">
        <f t="shared" si="5"/>
        <v>315278.83089418412</v>
      </c>
      <c r="L14" s="75">
        <v>400000</v>
      </c>
      <c r="M14" s="75">
        <f t="shared" si="2"/>
        <v>84721.169105815876</v>
      </c>
      <c r="N14" s="75"/>
      <c r="O14">
        <v>1</v>
      </c>
      <c r="P14" s="77">
        <f t="shared" ref="P14:U14" si="6">F13</f>
        <v>1717.829193638845</v>
      </c>
      <c r="Q14" s="77">
        <f t="shared" si="6"/>
        <v>1315.3388385386843</v>
      </c>
      <c r="R14" s="77">
        <f t="shared" si="6"/>
        <v>402.49035510016074</v>
      </c>
      <c r="S14" s="77">
        <f t="shared" si="6"/>
        <v>15892.781217850204</v>
      </c>
      <c r="T14" s="77">
        <f t="shared" si="6"/>
        <v>4721.1691058159367</v>
      </c>
      <c r="U14" s="77">
        <f t="shared" si="6"/>
        <v>315681.32124928426</v>
      </c>
    </row>
    <row r="15" spans="1:21">
      <c r="E15">
        <v>13</v>
      </c>
      <c r="F15" s="77">
        <f t="shared" si="3"/>
        <v>1717.829193638845</v>
      </c>
      <c r="G15" s="77">
        <f t="shared" si="0"/>
        <v>1311.9777645664071</v>
      </c>
      <c r="H15" s="77">
        <f t="shared" si="4"/>
        <v>405.8514290724379</v>
      </c>
      <c r="I15" s="77">
        <f t="shared" si="1"/>
        <v>18518.420777809046</v>
      </c>
      <c r="J15" s="77">
        <f t="shared" si="1"/>
        <v>5531.1879331347864</v>
      </c>
      <c r="K15" s="77">
        <f t="shared" si="5"/>
        <v>314874.66349593771</v>
      </c>
      <c r="L15" s="75">
        <v>400000</v>
      </c>
      <c r="M15" s="75">
        <f t="shared" si="2"/>
        <v>85125.336504062288</v>
      </c>
      <c r="N15" s="75"/>
      <c r="O15">
        <v>2</v>
      </c>
      <c r="P15" s="77">
        <f t="shared" ref="P15:U15" si="7">F25</f>
        <v>1717.829193638845</v>
      </c>
      <c r="Q15" s="77">
        <f t="shared" si="7"/>
        <v>1294.7466680926673</v>
      </c>
      <c r="R15" s="77">
        <f t="shared" si="7"/>
        <v>423.08252554617775</v>
      </c>
      <c r="S15" s="77">
        <f t="shared" si="7"/>
        <v>31544.018464026263</v>
      </c>
      <c r="T15" s="77">
        <f t="shared" si="7"/>
        <v>9683.882183306021</v>
      </c>
      <c r="U15" s="77">
        <f t="shared" si="7"/>
        <v>310739.20034224016</v>
      </c>
    </row>
    <row r="16" spans="1:21">
      <c r="E16">
        <v>14</v>
      </c>
      <c r="F16" s="77">
        <f t="shared" si="3"/>
        <v>1717.829193638845</v>
      </c>
      <c r="G16" s="77">
        <f t="shared" si="0"/>
        <v>1310.286716945272</v>
      </c>
      <c r="H16" s="77">
        <f t="shared" si="4"/>
        <v>407.54247669357301</v>
      </c>
      <c r="I16" s="77">
        <f t="shared" si="1"/>
        <v>19828.707494754319</v>
      </c>
      <c r="J16" s="77">
        <f t="shared" si="1"/>
        <v>5938.7304098283594</v>
      </c>
      <c r="K16" s="77">
        <f t="shared" si="5"/>
        <v>314468.81206686527</v>
      </c>
      <c r="L16" s="75">
        <v>400000</v>
      </c>
      <c r="M16" s="75">
        <f t="shared" si="2"/>
        <v>85531.18793313473</v>
      </c>
      <c r="N16" s="75"/>
      <c r="O16">
        <v>3</v>
      </c>
      <c r="P16" s="77">
        <f t="shared" ref="P16:U16" si="8">F37</f>
        <v>1717.829193638845</v>
      </c>
      <c r="Q16" s="77">
        <f t="shared" si="8"/>
        <v>1273.1009631251281</v>
      </c>
      <c r="R16" s="77">
        <f t="shared" si="8"/>
        <v>444.72823051371688</v>
      </c>
      <c r="S16" s="77">
        <f t="shared" si="8"/>
        <v>46941.353890515442</v>
      </c>
      <c r="T16" s="77">
        <f t="shared" si="8"/>
        <v>14900.497080482994</v>
      </c>
      <c r="U16" s="77">
        <f t="shared" si="8"/>
        <v>305544.23115003074</v>
      </c>
    </row>
    <row r="17" spans="1:21">
      <c r="E17">
        <v>15</v>
      </c>
      <c r="F17" s="77">
        <f t="shared" si="3"/>
        <v>1717.829193638845</v>
      </c>
      <c r="G17" s="77">
        <f t="shared" si="0"/>
        <v>1308.588623292382</v>
      </c>
      <c r="H17" s="77">
        <f t="shared" si="4"/>
        <v>409.24057034646307</v>
      </c>
      <c r="I17" s="77">
        <f t="shared" si="1"/>
        <v>21137.296118046699</v>
      </c>
      <c r="J17" s="77">
        <f t="shared" si="1"/>
        <v>6347.9709801748222</v>
      </c>
      <c r="K17" s="77">
        <f t="shared" si="5"/>
        <v>314061.26959017169</v>
      </c>
      <c r="L17" s="75">
        <v>400000</v>
      </c>
      <c r="M17" s="75">
        <f t="shared" si="2"/>
        <v>85938.730409828306</v>
      </c>
      <c r="N17" s="75"/>
      <c r="O17">
        <v>4</v>
      </c>
      <c r="P17" s="77">
        <f t="shared" ref="P17:U17" si="9">F49</f>
        <v>1717.829193638845</v>
      </c>
      <c r="Q17" s="77">
        <f t="shared" si="9"/>
        <v>1250.3478228104614</v>
      </c>
      <c r="R17" s="77">
        <f t="shared" si="9"/>
        <v>467.48137082838366</v>
      </c>
      <c r="S17" s="77">
        <f t="shared" si="9"/>
        <v>62071.797398346913</v>
      </c>
      <c r="T17" s="77">
        <f t="shared" si="9"/>
        <v>20384.003896317667</v>
      </c>
      <c r="U17" s="77">
        <f t="shared" si="9"/>
        <v>300083.47747451073</v>
      </c>
    </row>
    <row r="18" spans="1:21">
      <c r="A18" s="76">
        <f>B4/12</f>
        <v>4.1666666666666666E-3</v>
      </c>
      <c r="E18">
        <v>16</v>
      </c>
      <c r="F18" s="77">
        <f t="shared" si="3"/>
        <v>1717.829193638845</v>
      </c>
      <c r="G18" s="77">
        <f t="shared" si="0"/>
        <v>1306.8834542492718</v>
      </c>
      <c r="H18" s="77">
        <f t="shared" si="4"/>
        <v>410.94573938957319</v>
      </c>
      <c r="I18" s="77">
        <f t="shared" si="1"/>
        <v>22444.179572295972</v>
      </c>
      <c r="J18" s="77">
        <f t="shared" si="1"/>
        <v>6758.916719564395</v>
      </c>
      <c r="K18" s="77">
        <f t="shared" si="5"/>
        <v>313652.02901982522</v>
      </c>
      <c r="L18" s="75">
        <v>400000</v>
      </c>
      <c r="M18" s="75">
        <f t="shared" si="2"/>
        <v>86347.970980174781</v>
      </c>
      <c r="N18" s="75"/>
      <c r="O18">
        <v>5</v>
      </c>
      <c r="P18" s="77">
        <f t="shared" ref="P18:U18" si="10">F61</f>
        <v>1717.829193638845</v>
      </c>
      <c r="Q18" s="77">
        <f t="shared" si="10"/>
        <v>1226.4305886545269</v>
      </c>
      <c r="R18" s="77">
        <f t="shared" si="10"/>
        <v>491.39860498431813</v>
      </c>
      <c r="S18" s="77">
        <f t="shared" si="10"/>
        <v>76921.694290432861</v>
      </c>
      <c r="T18" s="77">
        <f t="shared" si="10"/>
        <v>26148.057327897859</v>
      </c>
      <c r="U18" s="77">
        <f t="shared" si="10"/>
        <v>294343.34127708647</v>
      </c>
    </row>
    <row r="19" spans="1:21">
      <c r="B19">
        <f>319615.33*A18</f>
        <v>1331.7305416666668</v>
      </c>
      <c r="E19">
        <v>17</v>
      </c>
      <c r="F19" s="77">
        <f t="shared" si="3"/>
        <v>1717.829193638845</v>
      </c>
      <c r="G19" s="77">
        <f t="shared" si="0"/>
        <v>1305.1711803351486</v>
      </c>
      <c r="H19" s="77">
        <f t="shared" si="4"/>
        <v>412.65801330369641</v>
      </c>
      <c r="I19" s="77">
        <f t="shared" si="1"/>
        <v>23749.350752631122</v>
      </c>
      <c r="J19" s="77">
        <f t="shared" si="1"/>
        <v>7171.5747328680918</v>
      </c>
      <c r="K19" s="77">
        <f t="shared" si="5"/>
        <v>313241.08328043565</v>
      </c>
      <c r="L19" s="75">
        <v>400000</v>
      </c>
      <c r="M19" s="75">
        <f t="shared" si="2"/>
        <v>86758.916719564353</v>
      </c>
      <c r="N19" s="75"/>
      <c r="O19">
        <v>6</v>
      </c>
      <c r="P19" s="77">
        <f t="shared" ref="P19:U19" si="11">F73</f>
        <v>1717.829193638845</v>
      </c>
      <c r="Q19" s="77">
        <f t="shared" si="11"/>
        <v>1201.2897034070927</v>
      </c>
      <c r="R19" s="77">
        <f t="shared" si="11"/>
        <v>516.53949023175232</v>
      </c>
      <c r="S19" s="77">
        <f t="shared" si="11"/>
        <v>91476.691269467483</v>
      </c>
      <c r="T19" s="77">
        <f t="shared" si="11"/>
        <v>32207.010672529417</v>
      </c>
      <c r="U19" s="77">
        <f t="shared" si="11"/>
        <v>288309.52881770226</v>
      </c>
    </row>
    <row r="20" spans="1:21">
      <c r="B20" s="77">
        <f>A18*B3</f>
        <v>1333.3333333333333</v>
      </c>
      <c r="E20">
        <v>18</v>
      </c>
      <c r="F20" s="77">
        <f t="shared" si="3"/>
        <v>1717.829193638845</v>
      </c>
      <c r="G20" s="77">
        <f t="shared" si="0"/>
        <v>1303.4517719463831</v>
      </c>
      <c r="H20" s="77">
        <f t="shared" si="4"/>
        <v>414.37742169246189</v>
      </c>
      <c r="I20" s="77">
        <f t="shared" si="1"/>
        <v>25052.802524577506</v>
      </c>
      <c r="J20" s="77">
        <f t="shared" si="1"/>
        <v>7585.9521545605539</v>
      </c>
      <c r="K20" s="77">
        <f t="shared" si="5"/>
        <v>312828.42526713194</v>
      </c>
      <c r="L20" s="75">
        <v>400000</v>
      </c>
      <c r="M20" s="75">
        <f t="shared" si="2"/>
        <v>87171.574732868059</v>
      </c>
      <c r="N20" s="75"/>
      <c r="O20">
        <v>7</v>
      </c>
      <c r="P20" s="77">
        <f t="shared" ref="P20:U20" si="12">F85</f>
        <v>1717.829193638845</v>
      </c>
      <c r="Q20" s="77">
        <f t="shared" si="12"/>
        <v>1174.8625627559729</v>
      </c>
      <c r="R20" s="77">
        <f t="shared" si="12"/>
        <v>542.9666308828721</v>
      </c>
      <c r="S20" s="77">
        <f t="shared" si="12"/>
        <v>105721.70069621384</v>
      </c>
      <c r="T20" s="77">
        <f t="shared" si="12"/>
        <v>38575.951569449193</v>
      </c>
      <c r="U20" s="77">
        <f t="shared" si="12"/>
        <v>281967.01506143349</v>
      </c>
    </row>
    <row r="21" spans="1:21">
      <c r="E21">
        <v>19</v>
      </c>
      <c r="F21" s="77">
        <f t="shared" si="3"/>
        <v>1717.829193638845</v>
      </c>
      <c r="G21" s="77">
        <f t="shared" si="0"/>
        <v>1301.7251993559978</v>
      </c>
      <c r="H21" s="77">
        <f t="shared" si="4"/>
        <v>416.10399428284722</v>
      </c>
      <c r="I21" s="77">
        <f t="shared" si="1"/>
        <v>26354.527723933505</v>
      </c>
      <c r="J21" s="77">
        <f t="shared" si="1"/>
        <v>8002.0561488434014</v>
      </c>
      <c r="K21" s="77">
        <f t="shared" si="5"/>
        <v>312414.04784543946</v>
      </c>
      <c r="L21" s="75">
        <v>400000</v>
      </c>
      <c r="M21" s="75">
        <f t="shared" si="2"/>
        <v>87585.952154560538</v>
      </c>
      <c r="N21" s="75"/>
      <c r="O21">
        <v>8</v>
      </c>
      <c r="P21" s="77">
        <f t="shared" ref="P21:U21" si="13">F97</f>
        <v>1717.829193638845</v>
      </c>
      <c r="Q21" s="77">
        <f t="shared" si="13"/>
        <v>1147.0833594335543</v>
      </c>
      <c r="R21" s="77">
        <f t="shared" si="13"/>
        <v>570.74583420529075</v>
      </c>
      <c r="S21" s="77">
        <f t="shared" si="13"/>
        <v>119640.8630191772</v>
      </c>
      <c r="T21" s="77">
        <f t="shared" si="13"/>
        <v>45270.739570151993</v>
      </c>
      <c r="U21" s="77">
        <f t="shared" si="13"/>
        <v>275300.00626405305</v>
      </c>
    </row>
    <row r="22" spans="1:21">
      <c r="E22">
        <v>20</v>
      </c>
      <c r="F22" s="77">
        <f t="shared" si="3"/>
        <v>1717.829193638845</v>
      </c>
      <c r="G22" s="77">
        <f t="shared" si="0"/>
        <v>1299.9914327131526</v>
      </c>
      <c r="H22" s="77">
        <f t="shared" si="4"/>
        <v>417.83776092569246</v>
      </c>
      <c r="I22" s="77">
        <f t="shared" si="1"/>
        <v>27654.519156646656</v>
      </c>
      <c r="J22" s="77">
        <f t="shared" si="1"/>
        <v>8419.8939097690945</v>
      </c>
      <c r="K22" s="77">
        <f t="shared" si="5"/>
        <v>311997.94385115663</v>
      </c>
      <c r="L22" s="75">
        <v>400000</v>
      </c>
      <c r="M22" s="75">
        <f t="shared" si="2"/>
        <v>88002.056148843374</v>
      </c>
      <c r="N22" s="75"/>
      <c r="O22">
        <v>9</v>
      </c>
      <c r="P22" s="77">
        <f t="shared" ref="P22:U22" si="14">F109</f>
        <v>1717.829193638845</v>
      </c>
      <c r="Q22" s="77">
        <f t="shared" si="14"/>
        <v>1117.8829193475187</v>
      </c>
      <c r="R22" s="77">
        <f t="shared" si="14"/>
        <v>599.94627429132629</v>
      </c>
      <c r="S22" s="77">
        <f t="shared" si="14"/>
        <v>133217.50728210874</v>
      </c>
      <c r="T22" s="77">
        <f t="shared" si="14"/>
        <v>52308.045630886605</v>
      </c>
      <c r="U22" s="77">
        <f t="shared" si="14"/>
        <v>268291.90064340451</v>
      </c>
    </row>
    <row r="23" spans="1:21">
      <c r="E23">
        <v>21</v>
      </c>
      <c r="F23" s="77">
        <f t="shared" si="3"/>
        <v>1717.829193638845</v>
      </c>
      <c r="G23" s="77">
        <f t="shared" si="0"/>
        <v>1298.2504420426289</v>
      </c>
      <c r="H23" s="77">
        <f t="shared" si="4"/>
        <v>419.57875159621608</v>
      </c>
      <c r="I23" s="77">
        <f t="shared" si="1"/>
        <v>28952.769598689287</v>
      </c>
      <c r="J23" s="77">
        <f t="shared" si="1"/>
        <v>8839.4726613653111</v>
      </c>
      <c r="K23" s="77">
        <f t="shared" si="5"/>
        <v>311580.10609023093</v>
      </c>
      <c r="L23" s="75">
        <v>400000</v>
      </c>
      <c r="M23" s="75">
        <f t="shared" si="2"/>
        <v>88419.893909769075</v>
      </c>
      <c r="N23" s="75"/>
      <c r="O23">
        <v>10</v>
      </c>
      <c r="P23" s="77">
        <f>U22</f>
        <v>268291.90064340451</v>
      </c>
      <c r="Q23" s="77">
        <v>0</v>
      </c>
      <c r="R23" s="77">
        <f>P23</f>
        <v>268291.90064340451</v>
      </c>
      <c r="S23" s="77">
        <f>S22</f>
        <v>133217.50728210874</v>
      </c>
      <c r="T23" s="77">
        <f>800000</f>
        <v>800000</v>
      </c>
      <c r="U23" s="77">
        <v>0</v>
      </c>
    </row>
    <row r="24" spans="1:21">
      <c r="E24">
        <v>22</v>
      </c>
      <c r="F24" s="77">
        <f t="shared" si="3"/>
        <v>1717.829193638845</v>
      </c>
      <c r="G24" s="77">
        <f t="shared" si="0"/>
        <v>1296.5021972443112</v>
      </c>
      <c r="H24" s="77">
        <f t="shared" si="4"/>
        <v>421.32699639453381</v>
      </c>
      <c r="I24" s="77">
        <f t="shared" si="1"/>
        <v>30249.271795933597</v>
      </c>
      <c r="J24" s="77">
        <f t="shared" si="1"/>
        <v>9260.7996577598442</v>
      </c>
      <c r="K24" s="77">
        <f t="shared" si="5"/>
        <v>311160.52733863471</v>
      </c>
      <c r="L24" s="75">
        <v>400000</v>
      </c>
      <c r="M24" s="75">
        <f t="shared" si="2"/>
        <v>88839.472661365289</v>
      </c>
      <c r="N24" s="75"/>
      <c r="O24">
        <v>11</v>
      </c>
      <c r="P24" s="77">
        <f t="shared" ref="P24:U24" si="15">F133</f>
        <v>1717.829193638845</v>
      </c>
      <c r="Q24" s="77">
        <f t="shared" si="15"/>
        <v>1054.9237560601443</v>
      </c>
      <c r="R24" s="77">
        <f t="shared" si="15"/>
        <v>662.90543757870068</v>
      </c>
      <c r="S24" s="77">
        <f t="shared" si="15"/>
        <v>159272.2495771838</v>
      </c>
      <c r="T24" s="77">
        <f t="shared" si="15"/>
        <v>67481.203983143816</v>
      </c>
      <c r="U24" s="77">
        <f t="shared" si="15"/>
        <v>253181.70145443466</v>
      </c>
    </row>
    <row r="25" spans="1:21">
      <c r="E25">
        <v>23</v>
      </c>
      <c r="F25" s="77">
        <f t="shared" si="3"/>
        <v>1717.829193638845</v>
      </c>
      <c r="G25" s="77">
        <f t="shared" si="0"/>
        <v>1294.7466680926673</v>
      </c>
      <c r="H25" s="77">
        <f t="shared" si="4"/>
        <v>423.08252554617775</v>
      </c>
      <c r="I25" s="77">
        <f t="shared" si="1"/>
        <v>31544.018464026263</v>
      </c>
      <c r="J25" s="77">
        <f t="shared" si="1"/>
        <v>9683.882183306021</v>
      </c>
      <c r="K25" s="77">
        <f t="shared" si="5"/>
        <v>310739.20034224016</v>
      </c>
      <c r="L25" s="75">
        <v>400000</v>
      </c>
      <c r="M25" s="75">
        <f t="shared" si="2"/>
        <v>89260.799657759839</v>
      </c>
      <c r="N25" s="75"/>
      <c r="O25">
        <v>12</v>
      </c>
      <c r="P25" s="77">
        <f t="shared" ref="P25:U25" si="16">F145</f>
        <v>1717.829193638845</v>
      </c>
      <c r="Q25" s="77">
        <f t="shared" si="16"/>
        <v>1021.0082557574971</v>
      </c>
      <c r="R25" s="77">
        <f t="shared" si="16"/>
        <v>696.82093788134796</v>
      </c>
      <c r="S25" s="77">
        <f t="shared" si="16"/>
        <v>171712.56432791194</v>
      </c>
      <c r="T25" s="77">
        <f t="shared" si="16"/>
        <v>75654.839556081773</v>
      </c>
      <c r="U25" s="77">
        <f t="shared" si="16"/>
        <v>245041.9813817993</v>
      </c>
    </row>
    <row r="26" spans="1:21">
      <c r="E26">
        <v>24</v>
      </c>
      <c r="F26" s="77">
        <f t="shared" si="3"/>
        <v>1717.829193638845</v>
      </c>
      <c r="G26" s="77">
        <f t="shared" si="0"/>
        <v>1292.9838242362248</v>
      </c>
      <c r="H26" s="77">
        <f t="shared" si="4"/>
        <v>424.84536940262024</v>
      </c>
      <c r="I26" s="77">
        <f t="shared" si="1"/>
        <v>32837.002288262491</v>
      </c>
      <c r="J26" s="77">
        <f t="shared" si="1"/>
        <v>10108.727552708642</v>
      </c>
      <c r="K26" s="77">
        <f t="shared" si="5"/>
        <v>310316.11781669396</v>
      </c>
      <c r="L26" s="75">
        <v>400000</v>
      </c>
      <c r="M26" s="75">
        <f t="shared" si="2"/>
        <v>89683.882183306036</v>
      </c>
      <c r="N26" s="75"/>
      <c r="O26">
        <v>13</v>
      </c>
      <c r="P26" s="77">
        <f t="shared" ref="P26:U26" si="17">F157</f>
        <v>1717.829193638845</v>
      </c>
      <c r="Q26" s="77">
        <f t="shared" si="17"/>
        <v>985.35757409175812</v>
      </c>
      <c r="R26" s="77">
        <f t="shared" si="17"/>
        <v>732.4716195470869</v>
      </c>
      <c r="S26" s="77">
        <f t="shared" si="17"/>
        <v>183734.70037013499</v>
      </c>
      <c r="T26" s="77">
        <f t="shared" si="17"/>
        <v>84246.653837524907</v>
      </c>
      <c r="U26" s="77">
        <f t="shared" si="17"/>
        <v>236485.81778202194</v>
      </c>
    </row>
    <row r="27" spans="1:21">
      <c r="E27">
        <v>25</v>
      </c>
      <c r="F27" s="77">
        <f t="shared" si="3"/>
        <v>1717.829193638845</v>
      </c>
      <c r="G27" s="77">
        <f t="shared" si="0"/>
        <v>1291.2136351970473</v>
      </c>
      <c r="H27" s="77">
        <f t="shared" si="4"/>
        <v>426.6155584417977</v>
      </c>
      <c r="I27" s="77">
        <f t="shared" si="1"/>
        <v>34128.215923459538</v>
      </c>
      <c r="J27" s="77">
        <f t="shared" si="1"/>
        <v>10535.34311115044</v>
      </c>
      <c r="K27" s="77">
        <f t="shared" si="5"/>
        <v>309891.27244729135</v>
      </c>
      <c r="L27" s="75">
        <v>400000</v>
      </c>
      <c r="M27" s="75">
        <f t="shared" si="2"/>
        <v>90108.727552708646</v>
      </c>
      <c r="N27" s="75"/>
      <c r="O27">
        <v>14</v>
      </c>
      <c r="P27" s="77">
        <f t="shared" ref="P27:U27" si="18">F169</f>
        <v>1717.829193638845</v>
      </c>
      <c r="Q27" s="77">
        <f t="shared" si="18"/>
        <v>947.88293589122236</v>
      </c>
      <c r="R27" s="77">
        <f t="shared" si="18"/>
        <v>769.94625774762267</v>
      </c>
      <c r="S27" s="77">
        <f t="shared" si="18"/>
        <v>195317.26288747197</v>
      </c>
      <c r="T27" s="77">
        <f t="shared" si="18"/>
        <v>93278.041643854041</v>
      </c>
      <c r="U27" s="77">
        <f t="shared" si="18"/>
        <v>227491.90461389336</v>
      </c>
    </row>
    <row r="28" spans="1:21">
      <c r="E28">
        <v>26</v>
      </c>
      <c r="F28" s="77">
        <f t="shared" si="3"/>
        <v>1717.829193638845</v>
      </c>
      <c r="G28" s="77">
        <f t="shared" si="0"/>
        <v>1289.4360703702066</v>
      </c>
      <c r="H28" s="77">
        <f t="shared" si="4"/>
        <v>428.39312326863842</v>
      </c>
      <c r="I28" s="77">
        <f t="shared" si="1"/>
        <v>35417.651993829742</v>
      </c>
      <c r="J28" s="77">
        <f t="shared" si="1"/>
        <v>10963.736234419079</v>
      </c>
      <c r="K28" s="77">
        <f t="shared" si="5"/>
        <v>309464.65688884957</v>
      </c>
      <c r="L28" s="75">
        <v>400000</v>
      </c>
      <c r="M28" s="75">
        <f t="shared" si="2"/>
        <v>90535.343111150432</v>
      </c>
      <c r="N28" s="75"/>
      <c r="O28">
        <v>15</v>
      </c>
      <c r="P28" s="77">
        <f t="shared" ref="P28:U28" si="19">F181</f>
        <v>1717.829193638845</v>
      </c>
      <c r="Q28" s="77">
        <f t="shared" si="19"/>
        <v>908.49102407791565</v>
      </c>
      <c r="R28" s="77">
        <f t="shared" si="19"/>
        <v>809.33816956092937</v>
      </c>
      <c r="S28" s="77">
        <f t="shared" si="19"/>
        <v>206437.76246413123</v>
      </c>
      <c r="T28" s="77">
        <f t="shared" si="19"/>
        <v>102771.49239086091</v>
      </c>
      <c r="U28" s="77">
        <f t="shared" si="19"/>
        <v>218037.84577869976</v>
      </c>
    </row>
    <row r="29" spans="1:21">
      <c r="E29">
        <v>27</v>
      </c>
      <c r="F29" s="77">
        <f t="shared" si="3"/>
        <v>1717.829193638845</v>
      </c>
      <c r="G29" s="77">
        <f t="shared" si="0"/>
        <v>1287.6510990232539</v>
      </c>
      <c r="H29" s="77">
        <f t="shared" si="4"/>
        <v>430.17809461559114</v>
      </c>
      <c r="I29" s="77">
        <f t="shared" si="1"/>
        <v>36705.303092852999</v>
      </c>
      <c r="J29" s="77">
        <f t="shared" si="1"/>
        <v>11393.914329034669</v>
      </c>
      <c r="K29" s="77">
        <f t="shared" si="5"/>
        <v>309036.26376558095</v>
      </c>
      <c r="L29" s="75">
        <v>400000</v>
      </c>
      <c r="M29" s="75">
        <f t="shared" si="2"/>
        <v>90963.736234419048</v>
      </c>
      <c r="N29" s="75"/>
      <c r="O29">
        <v>16</v>
      </c>
      <c r="P29" s="77">
        <f t="shared" ref="P29:U29" si="20">F193</f>
        <v>1717.829193638845</v>
      </c>
      <c r="Q29" s="77">
        <f t="shared" si="20"/>
        <v>867.08374729505067</v>
      </c>
      <c r="R29" s="77">
        <f t="shared" si="20"/>
        <v>850.74544634379436</v>
      </c>
      <c r="S29" s="77">
        <f t="shared" si="20"/>
        <v>217072.55908312689</v>
      </c>
      <c r="T29" s="77">
        <f t="shared" si="20"/>
        <v>112750.64609553141</v>
      </c>
      <c r="U29" s="77">
        <f t="shared" si="20"/>
        <v>208100.09935081218</v>
      </c>
    </row>
    <row r="30" spans="1:21">
      <c r="E30">
        <v>28</v>
      </c>
      <c r="F30" s="77">
        <f t="shared" si="3"/>
        <v>1717.829193638845</v>
      </c>
      <c r="G30" s="77">
        <f t="shared" si="0"/>
        <v>1285.858690295689</v>
      </c>
      <c r="H30" s="77">
        <f t="shared" si="4"/>
        <v>431.970503343156</v>
      </c>
      <c r="I30" s="77">
        <f t="shared" si="1"/>
        <v>37991.161783148687</v>
      </c>
      <c r="J30" s="77">
        <f t="shared" si="1"/>
        <v>11825.884832377826</v>
      </c>
      <c r="K30" s="77">
        <f t="shared" si="5"/>
        <v>308606.08567096537</v>
      </c>
      <c r="L30" s="75">
        <v>400000</v>
      </c>
      <c r="M30" s="75">
        <f t="shared" si="2"/>
        <v>91393.914329034626</v>
      </c>
      <c r="N30" s="75"/>
      <c r="O30">
        <v>17</v>
      </c>
      <c r="P30" s="77">
        <f t="shared" ref="P30:U30" si="21">F205</f>
        <v>1717.829193638845</v>
      </c>
      <c r="Q30" s="77">
        <f t="shared" si="21"/>
        <v>823.55799564586005</v>
      </c>
      <c r="R30" s="77">
        <f t="shared" si="21"/>
        <v>894.27119799298498</v>
      </c>
      <c r="S30" s="77">
        <f t="shared" si="21"/>
        <v>227196.80325933811</v>
      </c>
      <c r="T30" s="77">
        <f t="shared" si="21"/>
        <v>123240.35224298637</v>
      </c>
      <c r="U30" s="77">
        <f t="shared" si="21"/>
        <v>197653.9189550064</v>
      </c>
    </row>
    <row r="31" spans="1:21">
      <c r="E31">
        <v>29</v>
      </c>
      <c r="F31" s="77">
        <f t="shared" si="3"/>
        <v>1717.829193638845</v>
      </c>
      <c r="G31" s="77">
        <f t="shared" si="0"/>
        <v>1284.0588131984259</v>
      </c>
      <c r="H31" s="77">
        <f t="shared" si="4"/>
        <v>433.7703804404191</v>
      </c>
      <c r="I31" s="77">
        <f t="shared" si="1"/>
        <v>39275.220596347113</v>
      </c>
      <c r="J31" s="77">
        <f t="shared" si="1"/>
        <v>12259.655212818245</v>
      </c>
      <c r="K31" s="77">
        <f t="shared" si="5"/>
        <v>308174.11516762222</v>
      </c>
      <c r="L31" s="75">
        <v>400000</v>
      </c>
      <c r="M31" s="75">
        <f t="shared" si="2"/>
        <v>91825.884832377778</v>
      </c>
      <c r="N31" s="75"/>
      <c r="O31">
        <v>18</v>
      </c>
      <c r="P31" s="77">
        <f t="shared" ref="P31:U31" si="22">F217</f>
        <v>1717.829193638845</v>
      </c>
      <c r="Q31" s="77">
        <f t="shared" si="22"/>
        <v>777.80538393556776</v>
      </c>
      <c r="R31" s="77">
        <f t="shared" si="22"/>
        <v>940.02380970327727</v>
      </c>
      <c r="S31" s="77">
        <f t="shared" si="22"/>
        <v>236784.37416082382</v>
      </c>
      <c r="T31" s="77">
        <f t="shared" si="22"/>
        <v>134266.73166516676</v>
      </c>
      <c r="U31" s="77">
        <f t="shared" si="22"/>
        <v>186673.29214453627</v>
      </c>
    </row>
    <row r="32" spans="1:21">
      <c r="E32">
        <v>30</v>
      </c>
      <c r="F32" s="77">
        <f t="shared" si="3"/>
        <v>1717.829193638845</v>
      </c>
      <c r="G32" s="77">
        <f t="shared" si="0"/>
        <v>1282.2514366132575</v>
      </c>
      <c r="H32" s="77">
        <f t="shared" si="4"/>
        <v>435.57775702558752</v>
      </c>
      <c r="I32" s="77">
        <f t="shared" si="1"/>
        <v>40557.472032960373</v>
      </c>
      <c r="J32" s="77">
        <f t="shared" si="1"/>
        <v>12695.232969843832</v>
      </c>
      <c r="K32" s="77">
        <f t="shared" si="5"/>
        <v>307740.34478718182</v>
      </c>
      <c r="L32" s="75">
        <v>400000</v>
      </c>
      <c r="M32" s="75">
        <f t="shared" si="2"/>
        <v>92259.655212818179</v>
      </c>
      <c r="N32" s="75"/>
      <c r="O32">
        <v>19</v>
      </c>
      <c r="P32" s="77">
        <f t="shared" ref="P32:U32" si="23">F229</f>
        <v>1717.829193638845</v>
      </c>
      <c r="Q32" s="77">
        <f t="shared" si="23"/>
        <v>729.71198177713097</v>
      </c>
      <c r="R32" s="77">
        <f t="shared" si="23"/>
        <v>988.11721186171405</v>
      </c>
      <c r="S32" s="77">
        <f t="shared" si="23"/>
        <v>245807.81456430667</v>
      </c>
      <c r="T32" s="77">
        <f t="shared" si="23"/>
        <v>145857.24158535004</v>
      </c>
      <c r="U32" s="77">
        <f t="shared" si="23"/>
        <v>175130.87562651144</v>
      </c>
    </row>
    <row r="33" spans="5:35">
      <c r="E33">
        <v>31</v>
      </c>
      <c r="F33" s="77">
        <f t="shared" si="3"/>
        <v>1717.829193638845</v>
      </c>
      <c r="G33" s="77">
        <f t="shared" si="0"/>
        <v>1280.4365292923176</v>
      </c>
      <c r="H33" s="77">
        <f t="shared" si="4"/>
        <v>437.39266434652745</v>
      </c>
      <c r="I33" s="77">
        <f t="shared" si="1"/>
        <v>41837.908562252691</v>
      </c>
      <c r="J33" s="77">
        <f t="shared" si="1"/>
        <v>13132.625634190359</v>
      </c>
      <c r="K33" s="77">
        <f t="shared" si="5"/>
        <v>307304.76703015622</v>
      </c>
      <c r="L33" s="75">
        <v>400000</v>
      </c>
      <c r="M33" s="75">
        <f t="shared" si="2"/>
        <v>92695.232969843782</v>
      </c>
      <c r="N33" s="75"/>
      <c r="O33">
        <v>20</v>
      </c>
      <c r="P33" s="77">
        <f t="shared" ref="P33:U33" si="24">F241</f>
        <v>1717.829193638845</v>
      </c>
      <c r="Q33" s="77">
        <f t="shared" si="24"/>
        <v>679.15802988867893</v>
      </c>
      <c r="R33" s="77">
        <f t="shared" si="24"/>
        <v>1038.6711637501662</v>
      </c>
      <c r="S33" s="77">
        <f t="shared" si="24"/>
        <v>254238.26248285585</v>
      </c>
      <c r="T33" s="77">
        <f t="shared" si="24"/>
        <v>158040.74399046699</v>
      </c>
      <c r="U33" s="77">
        <f t="shared" si="24"/>
        <v>162997.92717328295</v>
      </c>
    </row>
    <row r="34" spans="5:35">
      <c r="E34">
        <v>32</v>
      </c>
      <c r="F34" s="77">
        <f t="shared" si="3"/>
        <v>1717.829193638845</v>
      </c>
      <c r="G34" s="77">
        <f t="shared" si="0"/>
        <v>1278.6140598575403</v>
      </c>
      <c r="H34" s="77">
        <f t="shared" si="4"/>
        <v>439.21513378130476</v>
      </c>
      <c r="I34" s="77">
        <f t="shared" si="1"/>
        <v>43116.522622110235</v>
      </c>
      <c r="J34" s="77">
        <f t="shared" si="1"/>
        <v>13571.840767971664</v>
      </c>
      <c r="K34" s="77">
        <f t="shared" si="5"/>
        <v>306867.37436580966</v>
      </c>
      <c r="L34" s="75">
        <v>400000</v>
      </c>
      <c r="M34" s="75">
        <f t="shared" si="2"/>
        <v>93132.625634190335</v>
      </c>
      <c r="N34" s="75"/>
      <c r="O34">
        <v>21</v>
      </c>
      <c r="P34" s="77">
        <f t="shared" ref="P34:U34" si="25">F253</f>
        <v>1717.829193638845</v>
      </c>
      <c r="Q34" s="77">
        <f t="shared" si="25"/>
        <v>626.01764187619199</v>
      </c>
      <c r="R34" s="77">
        <f t="shared" si="25"/>
        <v>1091.8115517626529</v>
      </c>
      <c r="S34" s="77">
        <f t="shared" si="25"/>
        <v>262045.37929551263</v>
      </c>
      <c r="T34" s="77">
        <f t="shared" si="25"/>
        <v>170847.57750147633</v>
      </c>
      <c r="U34" s="77">
        <f t="shared" si="25"/>
        <v>150244.23405028609</v>
      </c>
    </row>
    <row r="35" spans="5:35">
      <c r="E35">
        <v>33</v>
      </c>
      <c r="F35" s="77">
        <f t="shared" si="3"/>
        <v>1717.829193638845</v>
      </c>
      <c r="G35" s="77">
        <f t="shared" si="0"/>
        <v>1276.7839968001181</v>
      </c>
      <c r="H35" s="77">
        <f t="shared" si="4"/>
        <v>441.04519683872695</v>
      </c>
      <c r="I35" s="77">
        <f t="shared" si="1"/>
        <v>44393.306618910356</v>
      </c>
      <c r="J35" s="77">
        <f t="shared" si="1"/>
        <v>14012.88596481039</v>
      </c>
      <c r="K35" s="77">
        <f t="shared" si="5"/>
        <v>306428.15923202835</v>
      </c>
      <c r="L35" s="75">
        <v>400000</v>
      </c>
      <c r="M35" s="75">
        <f t="shared" si="2"/>
        <v>93571.840767971647</v>
      </c>
      <c r="N35" s="75"/>
      <c r="O35">
        <v>22</v>
      </c>
      <c r="P35" s="77">
        <f t="shared" ref="P35:U35" si="26">F265</f>
        <v>1717.829193638845</v>
      </c>
      <c r="Q35" s="77">
        <f t="shared" si="26"/>
        <v>570.15849075881431</v>
      </c>
      <c r="R35" s="77">
        <f t="shared" si="26"/>
        <v>1147.6707028800306</v>
      </c>
      <c r="S35" s="77">
        <f t="shared" si="26"/>
        <v>269197.27419989073</v>
      </c>
      <c r="T35" s="77">
        <f t="shared" si="26"/>
        <v>184309.63292076439</v>
      </c>
      <c r="U35" s="77">
        <f t="shared" si="26"/>
        <v>136838.03778211543</v>
      </c>
    </row>
    <row r="36" spans="5:35">
      <c r="E36">
        <v>34</v>
      </c>
      <c r="F36" s="77">
        <f t="shared" si="3"/>
        <v>1717.829193638845</v>
      </c>
      <c r="G36" s="77">
        <f t="shared" si="0"/>
        <v>1274.9463084799568</v>
      </c>
      <c r="H36" s="77">
        <f t="shared" si="4"/>
        <v>442.88288515888826</v>
      </c>
      <c r="I36" s="77">
        <f t="shared" si="1"/>
        <v>45668.252927390313</v>
      </c>
      <c r="J36" s="77">
        <f t="shared" si="1"/>
        <v>14455.768849969278</v>
      </c>
      <c r="K36" s="77">
        <f t="shared" si="5"/>
        <v>305987.11403518962</v>
      </c>
      <c r="L36" s="75">
        <v>400000</v>
      </c>
      <c r="M36" s="75">
        <f t="shared" si="2"/>
        <v>94012.885964810383</v>
      </c>
      <c r="N36" s="75"/>
      <c r="O36">
        <v>23</v>
      </c>
      <c r="P36" s="77">
        <f t="shared" ref="P36:U36" si="27">F277</f>
        <v>1717.829193638845</v>
      </c>
      <c r="Q36" s="77">
        <f t="shared" si="27"/>
        <v>511.44147945620904</v>
      </c>
      <c r="R36" s="77">
        <f t="shared" si="27"/>
        <v>1206.387714182636</v>
      </c>
      <c r="S36" s="77">
        <f t="shared" si="27"/>
        <v>275660.42479962908</v>
      </c>
      <c r="T36" s="77">
        <f t="shared" si="27"/>
        <v>198460.43264469222</v>
      </c>
      <c r="U36" s="77">
        <f t="shared" si="27"/>
        <v>122745.95506949017</v>
      </c>
    </row>
    <row r="37" spans="5:35">
      <c r="E37">
        <v>35</v>
      </c>
      <c r="F37" s="77">
        <f t="shared" si="3"/>
        <v>1717.829193638845</v>
      </c>
      <c r="G37" s="77">
        <f t="shared" si="0"/>
        <v>1273.1009631251281</v>
      </c>
      <c r="H37" s="77">
        <f t="shared" si="4"/>
        <v>444.72823051371688</v>
      </c>
      <c r="I37" s="77">
        <f t="shared" si="1"/>
        <v>46941.353890515442</v>
      </c>
      <c r="J37" s="77">
        <f t="shared" si="1"/>
        <v>14900.497080482994</v>
      </c>
      <c r="K37" s="77">
        <f t="shared" si="5"/>
        <v>305544.23115003074</v>
      </c>
      <c r="L37" s="75">
        <v>400000</v>
      </c>
      <c r="M37" s="75">
        <f t="shared" si="2"/>
        <v>94455.768849969259</v>
      </c>
      <c r="N37" s="75"/>
      <c r="O37">
        <v>24</v>
      </c>
      <c r="P37" s="77">
        <f t="shared" ref="P37:U37" si="28">F289</f>
        <v>1717.829193638845</v>
      </c>
      <c r="Q37" s="77">
        <f t="shared" si="28"/>
        <v>449.72039441741953</v>
      </c>
      <c r="R37" s="77">
        <f t="shared" si="28"/>
        <v>1268.1087992214254</v>
      </c>
      <c r="S37" s="77">
        <f t="shared" si="28"/>
        <v>281399.59362894687</v>
      </c>
      <c r="T37" s="77">
        <f t="shared" si="28"/>
        <v>213335.21413904053</v>
      </c>
      <c r="U37" s="77">
        <f t="shared" si="28"/>
        <v>107932.89466018068</v>
      </c>
    </row>
    <row r="38" spans="5:35">
      <c r="E38">
        <v>36</v>
      </c>
      <c r="F38" s="77">
        <f t="shared" si="3"/>
        <v>1717.829193638845</v>
      </c>
      <c r="G38" s="77">
        <f t="shared" si="0"/>
        <v>1271.2479288313211</v>
      </c>
      <c r="H38" s="77">
        <f t="shared" si="4"/>
        <v>446.58126480752389</v>
      </c>
      <c r="I38" s="77">
        <f t="shared" si="1"/>
        <v>48212.601819346761</v>
      </c>
      <c r="J38" s="77">
        <f t="shared" si="1"/>
        <v>15347.078345290518</v>
      </c>
      <c r="K38" s="77">
        <f t="shared" si="5"/>
        <v>305099.50291951705</v>
      </c>
      <c r="L38" s="75">
        <v>400000</v>
      </c>
      <c r="M38" s="75">
        <f t="shared" si="2"/>
        <v>94900.49708048295</v>
      </c>
      <c r="N38" s="75"/>
      <c r="O38">
        <v>25</v>
      </c>
      <c r="P38" s="77">
        <f t="shared" ref="P38:U38" si="29">F301</f>
        <v>1717.829193638845</v>
      </c>
      <c r="Q38" s="77">
        <f t="shared" si="29"/>
        <v>384.84154152872554</v>
      </c>
      <c r="R38" s="77">
        <f t="shared" si="29"/>
        <v>1332.9876521101196</v>
      </c>
      <c r="S38" s="77">
        <f t="shared" si="29"/>
        <v>286377.74040643778</v>
      </c>
      <c r="T38" s="77">
        <f t="shared" si="29"/>
        <v>228971.01768521575</v>
      </c>
      <c r="U38" s="77">
        <f t="shared" si="29"/>
        <v>92361.969966894132</v>
      </c>
    </row>
    <row r="39" spans="5:35">
      <c r="E39">
        <v>37</v>
      </c>
      <c r="F39" s="77">
        <f t="shared" si="3"/>
        <v>1717.829193638845</v>
      </c>
      <c r="G39" s="77">
        <f t="shared" si="0"/>
        <v>1269.3871735612895</v>
      </c>
      <c r="H39" s="77">
        <f t="shared" si="4"/>
        <v>448.44202007755553</v>
      </c>
      <c r="I39" s="77">
        <f t="shared" si="1"/>
        <v>49481.988992908053</v>
      </c>
      <c r="J39" s="77">
        <f t="shared" si="1"/>
        <v>15795.520365368073</v>
      </c>
      <c r="K39" s="77">
        <f t="shared" si="5"/>
        <v>304652.9216547095</v>
      </c>
      <c r="L39" s="75">
        <v>400000</v>
      </c>
      <c r="M39" s="75">
        <f t="shared" si="2"/>
        <v>95347.078345290502</v>
      </c>
      <c r="N39" s="75"/>
      <c r="O39">
        <v>26</v>
      </c>
      <c r="P39" s="77">
        <f t="shared" ref="P39:U39" si="30">F313</f>
        <v>1717.829193638845</v>
      </c>
      <c r="Q39" s="77">
        <f t="shared" si="30"/>
        <v>316.6433633938563</v>
      </c>
      <c r="R39" s="77">
        <f t="shared" si="30"/>
        <v>1401.1858302449887</v>
      </c>
      <c r="S39" s="77">
        <f t="shared" si="30"/>
        <v>290555.92979960033</v>
      </c>
      <c r="T39" s="77">
        <f t="shared" si="30"/>
        <v>245406.7786157192</v>
      </c>
      <c r="U39" s="77">
        <f t="shared" si="30"/>
        <v>75994.40721452552</v>
      </c>
      <c r="AH39">
        <f>320000*(0.591^360)/((1.417^360)-1)</f>
        <v>6.0743107593576614E-132</v>
      </c>
      <c r="AI39">
        <f>1.417^360</f>
        <v>3.112763240255858E+54</v>
      </c>
    </row>
    <row r="40" spans="5:35">
      <c r="E40">
        <v>38</v>
      </c>
      <c r="F40" s="77">
        <f t="shared" si="3"/>
        <v>1717.829193638845</v>
      </c>
      <c r="G40" s="77">
        <f t="shared" si="0"/>
        <v>1267.5186651442998</v>
      </c>
      <c r="H40" s="77">
        <f t="shared" si="4"/>
        <v>450.31052849454522</v>
      </c>
      <c r="I40" s="77">
        <f t="shared" si="1"/>
        <v>50749.507658052353</v>
      </c>
      <c r="J40" s="77">
        <f t="shared" si="1"/>
        <v>16245.830893862618</v>
      </c>
      <c r="K40" s="77">
        <f t="shared" si="5"/>
        <v>304204.47963463195</v>
      </c>
      <c r="L40" s="75">
        <v>400000</v>
      </c>
      <c r="M40" s="75">
        <f t="shared" si="2"/>
        <v>95795.520365368051</v>
      </c>
      <c r="N40" s="75"/>
      <c r="O40">
        <v>27</v>
      </c>
      <c r="P40" s="77">
        <f t="shared" ref="P40:U40" si="31">F325</f>
        <v>1717.829193638845</v>
      </c>
      <c r="Q40" s="77">
        <f t="shared" si="31"/>
        <v>244.95603703353078</v>
      </c>
      <c r="R40" s="77">
        <f t="shared" si="31"/>
        <v>1472.8731566053143</v>
      </c>
      <c r="S40" s="77">
        <f t="shared" si="31"/>
        <v>293893.23447042803</v>
      </c>
      <c r="T40" s="77">
        <f t="shared" si="31"/>
        <v>262683.42426855769</v>
      </c>
      <c r="U40" s="77">
        <f t="shared" si="31"/>
        <v>58789.448888047387</v>
      </c>
    </row>
    <row r="41" spans="5:35">
      <c r="E41">
        <v>39</v>
      </c>
      <c r="F41" s="77">
        <f t="shared" si="3"/>
        <v>1717.829193638845</v>
      </c>
      <c r="G41" s="77">
        <f t="shared" si="0"/>
        <v>1265.6423712755725</v>
      </c>
      <c r="H41" s="77">
        <f t="shared" si="4"/>
        <v>452.18682236327254</v>
      </c>
      <c r="I41" s="77">
        <f t="shared" si="1"/>
        <v>52015.150029327924</v>
      </c>
      <c r="J41" s="77">
        <f t="shared" si="1"/>
        <v>16698.017716225891</v>
      </c>
      <c r="K41" s="77">
        <f t="shared" si="5"/>
        <v>303754.16910613741</v>
      </c>
      <c r="L41" s="75">
        <v>400000</v>
      </c>
      <c r="M41" s="75">
        <f t="shared" si="2"/>
        <v>96245.830893862585</v>
      </c>
      <c r="N41" s="75"/>
      <c r="O41">
        <v>28</v>
      </c>
      <c r="P41" s="77">
        <f t="shared" ref="P41:U41" si="32">F337</f>
        <v>1717.829193638845</v>
      </c>
      <c r="Q41" s="77">
        <f t="shared" si="32"/>
        <v>169.60105100254361</v>
      </c>
      <c r="R41" s="77">
        <f t="shared" si="32"/>
        <v>1548.2281426363015</v>
      </c>
      <c r="S41" s="77">
        <f t="shared" si="32"/>
        <v>296346.63316062628</v>
      </c>
      <c r="T41" s="77">
        <f t="shared" si="32"/>
        <v>280843.97590202553</v>
      </c>
      <c r="U41" s="77">
        <f t="shared" si="32"/>
        <v>40704.252240610469</v>
      </c>
    </row>
    <row r="42" spans="5:35">
      <c r="E42">
        <v>40</v>
      </c>
      <c r="F42" s="77">
        <f t="shared" si="3"/>
        <v>1717.829193638845</v>
      </c>
      <c r="G42" s="77">
        <f t="shared" si="0"/>
        <v>1263.7582595157255</v>
      </c>
      <c r="H42" s="77">
        <f t="shared" si="4"/>
        <v>454.07093412311951</v>
      </c>
      <c r="I42" s="77">
        <f t="shared" si="1"/>
        <v>53278.908288843653</v>
      </c>
      <c r="J42" s="77">
        <f t="shared" si="1"/>
        <v>17152.088650349011</v>
      </c>
      <c r="K42" s="77">
        <f t="shared" si="5"/>
        <v>303301.98228377412</v>
      </c>
      <c r="L42" s="75">
        <v>400000</v>
      </c>
      <c r="M42" s="75">
        <f t="shared" si="2"/>
        <v>96698.017716225877</v>
      </c>
      <c r="N42" s="75"/>
      <c r="O42">
        <v>29</v>
      </c>
      <c r="P42" s="77">
        <f t="shared" ref="P42:U42" si="33">F349</f>
        <v>1717.829193638845</v>
      </c>
      <c r="Q42" s="77">
        <f t="shared" si="33"/>
        <v>90.390760871359731</v>
      </c>
      <c r="R42" s="77">
        <f t="shared" si="33"/>
        <v>1627.4384327674852</v>
      </c>
      <c r="S42" s="77">
        <f t="shared" si="33"/>
        <v>297870.90356267709</v>
      </c>
      <c r="T42" s="77">
        <f t="shared" si="33"/>
        <v>299933.65582364082</v>
      </c>
      <c r="U42" s="77">
        <f t="shared" si="33"/>
        <v>21693.782609126334</v>
      </c>
      <c r="AI42">
        <f>0.591^360</f>
        <v>5.9087160130059918E-83</v>
      </c>
    </row>
    <row r="43" spans="5:35">
      <c r="E43">
        <v>41</v>
      </c>
      <c r="F43" s="77">
        <f t="shared" si="3"/>
        <v>1717.829193638845</v>
      </c>
      <c r="G43" s="77">
        <f t="shared" si="0"/>
        <v>1261.8662972902125</v>
      </c>
      <c r="H43" s="77">
        <f t="shared" si="4"/>
        <v>455.96289634863251</v>
      </c>
      <c r="I43" s="77">
        <f t="shared" si="1"/>
        <v>54540.774586133863</v>
      </c>
      <c r="J43" s="77">
        <f t="shared" si="1"/>
        <v>17608.051546697643</v>
      </c>
      <c r="K43" s="77">
        <f t="shared" si="5"/>
        <v>302847.911349651</v>
      </c>
      <c r="L43" s="75">
        <v>400000</v>
      </c>
      <c r="M43" s="75">
        <f t="shared" si="2"/>
        <v>97152.088650349004</v>
      </c>
      <c r="N43" s="75"/>
      <c r="O43">
        <v>30</v>
      </c>
      <c r="P43" s="77">
        <f t="shared" ref="P43:U43" si="34">F361</f>
        <v>1717.829193638845</v>
      </c>
      <c r="Q43" s="77">
        <f t="shared" si="34"/>
        <v>7.1279219653017458</v>
      </c>
      <c r="R43" s="77">
        <f t="shared" si="34"/>
        <v>1710.7012716735433</v>
      </c>
      <c r="S43" s="77">
        <f t="shared" si="34"/>
        <v>298418.50970998337</v>
      </c>
      <c r="T43" s="77">
        <f t="shared" si="34"/>
        <v>320000.00000000081</v>
      </c>
      <c r="U43" s="77">
        <f t="shared" si="34"/>
        <v>1710.7012716724191</v>
      </c>
    </row>
    <row r="44" spans="5:35">
      <c r="E44">
        <v>42</v>
      </c>
      <c r="F44" s="77">
        <f t="shared" si="3"/>
        <v>1717.829193638845</v>
      </c>
      <c r="G44" s="77">
        <f t="shared" si="0"/>
        <v>1259.9664518887598</v>
      </c>
      <c r="H44" s="77">
        <f t="shared" si="4"/>
        <v>457.86274175008521</v>
      </c>
      <c r="I44" s="77">
        <f t="shared" si="1"/>
        <v>55800.741038022621</v>
      </c>
      <c r="J44" s="77">
        <f t="shared" si="1"/>
        <v>18065.91428844773</v>
      </c>
      <c r="K44" s="77">
        <f t="shared" si="5"/>
        <v>302391.94845330238</v>
      </c>
      <c r="L44" s="75">
        <v>400000</v>
      </c>
      <c r="M44" s="75">
        <f t="shared" si="2"/>
        <v>97608.051546697621</v>
      </c>
      <c r="N44" s="75"/>
      <c r="O44" s="75"/>
      <c r="P44" s="75"/>
    </row>
    <row r="45" spans="5:35">
      <c r="E45">
        <v>43</v>
      </c>
      <c r="F45" s="77">
        <f t="shared" si="3"/>
        <v>1717.829193638845</v>
      </c>
      <c r="G45" s="77">
        <f t="shared" si="0"/>
        <v>1258.0586904648012</v>
      </c>
      <c r="H45" s="77">
        <f t="shared" si="4"/>
        <v>459.77050317404382</v>
      </c>
      <c r="I45" s="77">
        <f t="shared" si="1"/>
        <v>57058.799728487422</v>
      </c>
      <c r="J45" s="77">
        <f t="shared" si="1"/>
        <v>18525.684791621774</v>
      </c>
      <c r="K45" s="77">
        <f t="shared" si="5"/>
        <v>301934.0857115523</v>
      </c>
      <c r="L45" s="75">
        <v>400000</v>
      </c>
      <c r="M45" s="75">
        <f t="shared" si="2"/>
        <v>98065.914288447704</v>
      </c>
      <c r="N45" s="75"/>
      <c r="O45" s="75"/>
      <c r="P45" s="75"/>
    </row>
    <row r="46" spans="5:35">
      <c r="E46">
        <v>44</v>
      </c>
      <c r="F46" s="77">
        <f t="shared" si="3"/>
        <v>1717.829193638845</v>
      </c>
      <c r="G46" s="77">
        <f t="shared" si="0"/>
        <v>1256.1429800349094</v>
      </c>
      <c r="H46" s="77">
        <f t="shared" si="4"/>
        <v>461.68621360393558</v>
      </c>
      <c r="I46" s="77">
        <f t="shared" si="1"/>
        <v>58314.942708522329</v>
      </c>
      <c r="J46" s="77">
        <f t="shared" si="1"/>
        <v>18987.371005225708</v>
      </c>
      <c r="K46" s="77">
        <f t="shared" si="5"/>
        <v>301474.31520837825</v>
      </c>
      <c r="L46" s="75">
        <v>400000</v>
      </c>
      <c r="M46" s="75">
        <f t="shared" si="2"/>
        <v>98525.684791621752</v>
      </c>
      <c r="N46" s="75"/>
      <c r="O46" s="75"/>
      <c r="P46" s="75"/>
    </row>
    <row r="47" spans="5:35">
      <c r="E47">
        <v>45</v>
      </c>
      <c r="F47" s="77">
        <f t="shared" si="3"/>
        <v>1717.829193638845</v>
      </c>
      <c r="G47" s="77">
        <f t="shared" si="0"/>
        <v>1254.2192874782263</v>
      </c>
      <c r="H47" s="77">
        <f t="shared" si="4"/>
        <v>463.60990616061872</v>
      </c>
      <c r="I47" s="77">
        <f t="shared" si="1"/>
        <v>59569.161996000556</v>
      </c>
      <c r="J47" s="77">
        <f t="shared" si="1"/>
        <v>19450.980911386327</v>
      </c>
      <c r="K47" s="77">
        <f t="shared" si="5"/>
        <v>301012.62899477431</v>
      </c>
      <c r="L47" s="75">
        <v>400000</v>
      </c>
      <c r="M47" s="75">
        <f t="shared" si="2"/>
        <v>98987.371005225694</v>
      </c>
      <c r="N47" s="75"/>
      <c r="O47" s="75"/>
      <c r="P47" s="75"/>
    </row>
    <row r="48" spans="5:35">
      <c r="E48">
        <v>46</v>
      </c>
      <c r="F48" s="77">
        <f t="shared" si="3"/>
        <v>1717.829193638845</v>
      </c>
      <c r="G48" s="77">
        <f t="shared" si="0"/>
        <v>1252.2875795358902</v>
      </c>
      <c r="H48" s="77">
        <f t="shared" si="4"/>
        <v>465.54161410295478</v>
      </c>
      <c r="I48" s="77">
        <f t="shared" si="1"/>
        <v>60821.449575536448</v>
      </c>
      <c r="J48" s="77">
        <f t="shared" si="1"/>
        <v>19916.522525489283</v>
      </c>
      <c r="K48" s="77">
        <f t="shared" si="5"/>
        <v>300549.01908861368</v>
      </c>
      <c r="L48" s="75">
        <v>400000</v>
      </c>
      <c r="M48" s="75">
        <f t="shared" si="2"/>
        <v>99450.980911386316</v>
      </c>
      <c r="N48" s="75"/>
      <c r="O48" s="75"/>
      <c r="P48" s="75"/>
    </row>
    <row r="49" spans="5:18">
      <c r="E49">
        <v>47</v>
      </c>
      <c r="F49" s="77">
        <f t="shared" si="3"/>
        <v>1717.829193638845</v>
      </c>
      <c r="G49" s="77">
        <f t="shared" si="0"/>
        <v>1250.3478228104614</v>
      </c>
      <c r="H49" s="77">
        <f t="shared" si="4"/>
        <v>467.48137082838366</v>
      </c>
      <c r="I49" s="77">
        <f t="shared" si="1"/>
        <v>62071.797398346913</v>
      </c>
      <c r="J49" s="77">
        <f t="shared" si="1"/>
        <v>20384.003896317667</v>
      </c>
      <c r="K49" s="77">
        <f t="shared" si="5"/>
        <v>300083.47747451073</v>
      </c>
      <c r="L49" s="75">
        <v>400000</v>
      </c>
      <c r="M49" s="75">
        <f t="shared" si="2"/>
        <v>99916.522525489272</v>
      </c>
      <c r="N49" s="75"/>
      <c r="O49" s="75"/>
      <c r="P49" s="75"/>
    </row>
    <row r="50" spans="5:18">
      <c r="E50">
        <v>48</v>
      </c>
      <c r="F50" s="77">
        <f t="shared" si="3"/>
        <v>1717.829193638845</v>
      </c>
      <c r="G50" s="77">
        <f t="shared" si="0"/>
        <v>1248.399983765343</v>
      </c>
      <c r="H50" s="77">
        <f t="shared" si="4"/>
        <v>469.42920987350203</v>
      </c>
      <c r="I50" s="77">
        <f t="shared" si="1"/>
        <v>63320.197382112259</v>
      </c>
      <c r="J50" s="77">
        <f t="shared" si="1"/>
        <v>20853.433106191169</v>
      </c>
      <c r="K50" s="77">
        <f t="shared" si="5"/>
        <v>299615.99610368232</v>
      </c>
      <c r="L50" s="75">
        <v>400000</v>
      </c>
      <c r="M50" s="75">
        <f t="shared" si="2"/>
        <v>100384.00389631768</v>
      </c>
      <c r="N50" s="75"/>
      <c r="O50" s="75"/>
      <c r="P50" s="75"/>
    </row>
    <row r="51" spans="5:18">
      <c r="E51">
        <v>49</v>
      </c>
      <c r="F51" s="77">
        <f t="shared" si="3"/>
        <v>1717.829193638845</v>
      </c>
      <c r="G51" s="77">
        <f t="shared" si="0"/>
        <v>1246.4440287242035</v>
      </c>
      <c r="H51" s="77">
        <f t="shared" si="4"/>
        <v>471.38516491464156</v>
      </c>
      <c r="I51" s="77">
        <f t="shared" si="1"/>
        <v>64566.641410836462</v>
      </c>
      <c r="J51" s="77">
        <f t="shared" si="1"/>
        <v>21324.818271105811</v>
      </c>
      <c r="K51" s="77">
        <f t="shared" si="5"/>
        <v>299146.56689380883</v>
      </c>
      <c r="L51" s="75">
        <v>400000</v>
      </c>
      <c r="M51" s="75">
        <f t="shared" si="2"/>
        <v>100853.43310619117</v>
      </c>
      <c r="N51" s="75"/>
      <c r="O51" s="75"/>
      <c r="P51" s="75"/>
      <c r="Q51" t="s">
        <v>152</v>
      </c>
    </row>
    <row r="52" spans="5:18">
      <c r="E52">
        <v>50</v>
      </c>
      <c r="F52" s="77">
        <f t="shared" si="3"/>
        <v>1717.829193638845</v>
      </c>
      <c r="G52" s="77">
        <f t="shared" si="0"/>
        <v>1244.4799238703924</v>
      </c>
      <c r="H52" s="77">
        <f t="shared" si="4"/>
        <v>473.34926976845259</v>
      </c>
      <c r="I52" s="77">
        <f t="shared" si="1"/>
        <v>65811.121334706855</v>
      </c>
      <c r="J52" s="77">
        <f t="shared" si="1"/>
        <v>21798.167540874263</v>
      </c>
      <c r="K52" s="77">
        <f t="shared" si="5"/>
        <v>298675.18172889418</v>
      </c>
      <c r="L52" s="75">
        <v>400000</v>
      </c>
      <c r="M52" s="75">
        <f t="shared" si="2"/>
        <v>101324.81827110582</v>
      </c>
      <c r="N52" s="75"/>
      <c r="O52" s="75"/>
      <c r="P52" s="75"/>
      <c r="Q52" t="s">
        <v>153</v>
      </c>
      <c r="R52">
        <v>574956</v>
      </c>
    </row>
    <row r="53" spans="5:18">
      <c r="E53">
        <v>51</v>
      </c>
      <c r="F53" s="77">
        <f t="shared" si="3"/>
        <v>1717.829193638845</v>
      </c>
      <c r="G53" s="77">
        <f t="shared" si="0"/>
        <v>1242.5076352463573</v>
      </c>
      <c r="H53" s="77">
        <f t="shared" si="4"/>
        <v>475.32155839248776</v>
      </c>
      <c r="I53" s="77">
        <f t="shared" si="1"/>
        <v>67053.628969953206</v>
      </c>
      <c r="J53" s="77">
        <f t="shared" si="1"/>
        <v>22273.48909926675</v>
      </c>
      <c r="K53" s="77">
        <f t="shared" si="5"/>
        <v>298201.83245912573</v>
      </c>
      <c r="L53" s="75">
        <v>400000</v>
      </c>
      <c r="M53" s="75">
        <f t="shared" si="2"/>
        <v>101798.16754087427</v>
      </c>
      <c r="N53" s="75"/>
      <c r="O53" s="75"/>
      <c r="P53" s="75"/>
    </row>
    <row r="54" spans="5:18">
      <c r="E54">
        <v>52</v>
      </c>
      <c r="F54" s="77">
        <f t="shared" si="3"/>
        <v>1717.829193638845</v>
      </c>
      <c r="G54" s="77">
        <f t="shared" si="0"/>
        <v>1240.5271287530552</v>
      </c>
      <c r="H54" s="77">
        <f t="shared" si="4"/>
        <v>477.30206488578983</v>
      </c>
      <c r="I54" s="77">
        <f t="shared" si="1"/>
        <v>68294.156098706255</v>
      </c>
      <c r="J54" s="77">
        <f t="shared" si="1"/>
        <v>22750.791164152539</v>
      </c>
      <c r="K54" s="77">
        <f t="shared" si="5"/>
        <v>297726.51090073324</v>
      </c>
      <c r="L54" s="75">
        <v>400000</v>
      </c>
      <c r="M54" s="75">
        <f t="shared" si="2"/>
        <v>102273.48909926676</v>
      </c>
      <c r="N54" s="75"/>
      <c r="O54" s="75"/>
      <c r="P54" s="75"/>
    </row>
    <row r="55" spans="5:18">
      <c r="E55">
        <v>53</v>
      </c>
      <c r="F55" s="77">
        <f t="shared" si="3"/>
        <v>1717.829193638845</v>
      </c>
      <c r="G55" s="77">
        <f t="shared" si="0"/>
        <v>1238.5383701493643</v>
      </c>
      <c r="H55" s="77">
        <f t="shared" si="4"/>
        <v>479.29082348948077</v>
      </c>
      <c r="I55" s="77">
        <f t="shared" si="1"/>
        <v>69532.694468855625</v>
      </c>
      <c r="J55" s="77">
        <f t="shared" si="1"/>
        <v>23230.081987642021</v>
      </c>
      <c r="K55" s="77">
        <f t="shared" si="5"/>
        <v>297249.20883584744</v>
      </c>
      <c r="L55" s="75">
        <v>400000</v>
      </c>
      <c r="M55" s="75">
        <f t="shared" si="2"/>
        <v>102750.79116415256</v>
      </c>
      <c r="N55" s="75"/>
      <c r="O55" s="75"/>
      <c r="P55" s="75"/>
    </row>
    <row r="56" spans="5:18">
      <c r="E56">
        <v>54</v>
      </c>
      <c r="F56" s="77">
        <f t="shared" si="3"/>
        <v>1717.829193638845</v>
      </c>
      <c r="G56" s="77">
        <f t="shared" si="0"/>
        <v>1236.5413250514914</v>
      </c>
      <c r="H56" s="77">
        <f t="shared" si="4"/>
        <v>481.28786858735361</v>
      </c>
      <c r="I56" s="77">
        <f t="shared" si="1"/>
        <v>70769.235793907123</v>
      </c>
      <c r="J56" s="77">
        <f t="shared" si="1"/>
        <v>23711.369856229376</v>
      </c>
      <c r="K56" s="77">
        <f t="shared" si="5"/>
        <v>296769.91801235796</v>
      </c>
      <c r="L56" s="75">
        <v>400000</v>
      </c>
      <c r="M56" s="75">
        <f t="shared" si="2"/>
        <v>103230.08198764204</v>
      </c>
      <c r="N56" s="75"/>
      <c r="O56" s="75"/>
      <c r="P56" s="75"/>
    </row>
    <row r="57" spans="5:18">
      <c r="E57">
        <v>55</v>
      </c>
      <c r="F57" s="77">
        <f t="shared" si="3"/>
        <v>1717.829193638845</v>
      </c>
      <c r="G57" s="77">
        <f t="shared" si="0"/>
        <v>1234.5359589323775</v>
      </c>
      <c r="H57" s="77">
        <f t="shared" si="4"/>
        <v>483.2932347064675</v>
      </c>
      <c r="I57" s="77">
        <f t="shared" si="1"/>
        <v>72003.771752839501</v>
      </c>
      <c r="J57" s="77">
        <f t="shared" si="1"/>
        <v>24194.663090935843</v>
      </c>
      <c r="K57" s="77">
        <f t="shared" si="5"/>
        <v>296288.6301437706</v>
      </c>
      <c r="L57" s="75">
        <v>400000</v>
      </c>
      <c r="M57" s="75">
        <f t="shared" si="2"/>
        <v>103711.3698562294</v>
      </c>
      <c r="N57" s="75"/>
      <c r="O57" s="75"/>
      <c r="P57" s="75"/>
    </row>
    <row r="58" spans="5:18">
      <c r="E58">
        <v>56</v>
      </c>
      <c r="F58" s="77">
        <f t="shared" si="3"/>
        <v>1717.829193638845</v>
      </c>
      <c r="G58" s="77">
        <f t="shared" si="0"/>
        <v>1232.5222371211007</v>
      </c>
      <c r="H58" s="77">
        <f t="shared" si="4"/>
        <v>485.30695651774431</v>
      </c>
      <c r="I58" s="77">
        <f t="shared" si="1"/>
        <v>73236.293989960599</v>
      </c>
      <c r="J58" s="77">
        <f t="shared" si="1"/>
        <v>24679.970047453586</v>
      </c>
      <c r="K58" s="77">
        <f t="shared" si="5"/>
        <v>295805.33690906415</v>
      </c>
      <c r="L58" s="75">
        <v>400000</v>
      </c>
      <c r="M58" s="75">
        <f t="shared" si="2"/>
        <v>104194.66309093585</v>
      </c>
      <c r="N58" s="75"/>
      <c r="O58" s="75"/>
      <c r="P58" s="75"/>
    </row>
    <row r="59" spans="5:18">
      <c r="E59">
        <v>57</v>
      </c>
      <c r="F59" s="77">
        <f t="shared" si="3"/>
        <v>1717.829193638845</v>
      </c>
      <c r="G59" s="77">
        <f t="shared" si="0"/>
        <v>1230.5001248022768</v>
      </c>
      <c r="H59" s="77">
        <f t="shared" si="4"/>
        <v>487.32906883656824</v>
      </c>
      <c r="I59" s="77">
        <f t="shared" si="1"/>
        <v>74466.794114762874</v>
      </c>
      <c r="J59" s="77">
        <f t="shared" si="1"/>
        <v>25167.299116290153</v>
      </c>
      <c r="K59" s="77">
        <f t="shared" si="5"/>
        <v>295320.02995254641</v>
      </c>
      <c r="L59" s="75">
        <v>400000</v>
      </c>
      <c r="M59" s="75">
        <f t="shared" si="2"/>
        <v>104679.97004745359</v>
      </c>
      <c r="N59" s="75"/>
      <c r="O59" s="75"/>
      <c r="P59" s="75"/>
    </row>
    <row r="60" spans="5:18">
      <c r="E60">
        <v>58</v>
      </c>
      <c r="F60" s="77">
        <f t="shared" si="3"/>
        <v>1717.829193638845</v>
      </c>
      <c r="G60" s="77">
        <f t="shared" si="0"/>
        <v>1228.4695870154576</v>
      </c>
      <c r="H60" s="77">
        <f t="shared" si="4"/>
        <v>489.35960662338744</v>
      </c>
      <c r="I60" s="77">
        <f t="shared" si="1"/>
        <v>75695.263701778327</v>
      </c>
      <c r="J60" s="77">
        <f t="shared" si="1"/>
        <v>25656.65872291354</v>
      </c>
      <c r="K60" s="77">
        <f t="shared" si="5"/>
        <v>294832.70088370983</v>
      </c>
      <c r="L60" s="75">
        <v>400000</v>
      </c>
      <c r="M60" s="75">
        <f t="shared" si="2"/>
        <v>105167.29911629017</v>
      </c>
      <c r="N60" s="75"/>
      <c r="O60" s="75"/>
      <c r="P60" s="75"/>
    </row>
    <row r="61" spans="5:18">
      <c r="E61">
        <v>59</v>
      </c>
      <c r="F61" s="77">
        <f t="shared" si="3"/>
        <v>1717.829193638845</v>
      </c>
      <c r="G61" s="77">
        <f t="shared" si="0"/>
        <v>1226.4305886545269</v>
      </c>
      <c r="H61" s="77">
        <f t="shared" si="4"/>
        <v>491.39860498431813</v>
      </c>
      <c r="I61" s="77">
        <f t="shared" si="1"/>
        <v>76921.694290432861</v>
      </c>
      <c r="J61" s="77">
        <f t="shared" si="1"/>
        <v>26148.057327897859</v>
      </c>
      <c r="K61" s="77">
        <f t="shared" si="5"/>
        <v>294343.34127708647</v>
      </c>
      <c r="L61" s="75">
        <v>400000</v>
      </c>
      <c r="M61" s="75">
        <f t="shared" si="2"/>
        <v>105656.65872291353</v>
      </c>
      <c r="N61" s="75"/>
      <c r="O61" s="75"/>
      <c r="P61" s="75"/>
    </row>
    <row r="62" spans="5:18">
      <c r="E62">
        <v>60</v>
      </c>
      <c r="F62" s="77">
        <f t="shared" si="3"/>
        <v>1717.829193638845</v>
      </c>
      <c r="G62" s="77">
        <f t="shared" si="0"/>
        <v>1224.3830944670922</v>
      </c>
      <c r="H62" s="77">
        <f t="shared" si="4"/>
        <v>493.44609917175285</v>
      </c>
      <c r="I62" s="77">
        <f t="shared" si="1"/>
        <v>78146.077384899952</v>
      </c>
      <c r="J62" s="77">
        <f t="shared" si="1"/>
        <v>26641.503427069612</v>
      </c>
      <c r="K62" s="77">
        <f t="shared" si="5"/>
        <v>293851.94267210213</v>
      </c>
      <c r="L62" s="75">
        <v>400000</v>
      </c>
      <c r="M62" s="75">
        <f t="shared" si="2"/>
        <v>106148.05732789787</v>
      </c>
      <c r="N62" s="75"/>
      <c r="O62" s="75"/>
      <c r="P62" s="75"/>
    </row>
    <row r="63" spans="5:18">
      <c r="E63">
        <v>61</v>
      </c>
      <c r="F63" s="77">
        <f t="shared" si="3"/>
        <v>1717.829193638845</v>
      </c>
      <c r="G63" s="77">
        <f t="shared" si="0"/>
        <v>1222.3270690538766</v>
      </c>
      <c r="H63" s="77">
        <f t="shared" si="4"/>
        <v>495.50212458496844</v>
      </c>
      <c r="I63" s="77">
        <f t="shared" si="1"/>
        <v>79368.40445395383</v>
      </c>
      <c r="J63" s="77">
        <f t="shared" si="1"/>
        <v>27137.00555165458</v>
      </c>
      <c r="K63" s="77">
        <f t="shared" si="5"/>
        <v>293358.49657293037</v>
      </c>
      <c r="L63" s="75">
        <v>400000</v>
      </c>
      <c r="M63" s="75">
        <f t="shared" si="2"/>
        <v>106641.50342706963</v>
      </c>
      <c r="N63" s="75"/>
      <c r="O63" s="75"/>
      <c r="P63" s="75"/>
    </row>
    <row r="64" spans="5:18">
      <c r="E64">
        <v>62</v>
      </c>
      <c r="F64" s="77">
        <f t="shared" si="3"/>
        <v>1717.829193638845</v>
      </c>
      <c r="G64" s="77">
        <f t="shared" si="0"/>
        <v>1220.2624768681058</v>
      </c>
      <c r="H64" s="77">
        <f t="shared" si="4"/>
        <v>497.56671677073928</v>
      </c>
      <c r="I64" s="77">
        <f t="shared" si="1"/>
        <v>80588.666930821943</v>
      </c>
      <c r="J64" s="77">
        <f t="shared" si="1"/>
        <v>27634.57226842532</v>
      </c>
      <c r="K64" s="77">
        <f t="shared" si="5"/>
        <v>292862.99444834539</v>
      </c>
      <c r="L64" s="75">
        <v>400000</v>
      </c>
      <c r="M64" s="75">
        <f t="shared" si="2"/>
        <v>107137.00555165461</v>
      </c>
      <c r="N64" s="75"/>
      <c r="O64" s="75"/>
      <c r="P64" s="75"/>
    </row>
    <row r="65" spans="5:16">
      <c r="E65">
        <v>63</v>
      </c>
      <c r="F65" s="77">
        <f t="shared" si="3"/>
        <v>1717.829193638845</v>
      </c>
      <c r="G65" s="77">
        <f t="shared" si="0"/>
        <v>1218.1892822148943</v>
      </c>
      <c r="H65" s="77">
        <f t="shared" si="4"/>
        <v>499.63991142395071</v>
      </c>
      <c r="I65" s="77">
        <f t="shared" si="1"/>
        <v>81806.856213036837</v>
      </c>
      <c r="J65" s="77">
        <f t="shared" si="1"/>
        <v>28134.21217984927</v>
      </c>
      <c r="K65" s="77">
        <f t="shared" si="5"/>
        <v>292365.42773157463</v>
      </c>
      <c r="L65" s="75">
        <v>400000</v>
      </c>
      <c r="M65" s="75">
        <f t="shared" si="2"/>
        <v>107634.57226842537</v>
      </c>
      <c r="N65" s="75"/>
      <c r="O65" s="75"/>
      <c r="P65" s="75"/>
    </row>
    <row r="66" spans="5:16">
      <c r="E66">
        <v>64</v>
      </c>
      <c r="F66" s="77">
        <f t="shared" si="3"/>
        <v>1717.829193638845</v>
      </c>
      <c r="G66" s="77">
        <f t="shared" ref="G66:G129" si="35">(B$4/B$6)*K66</f>
        <v>1216.1074492506277</v>
      </c>
      <c r="H66" s="77">
        <f t="shared" si="4"/>
        <v>501.7217443882173</v>
      </c>
      <c r="I66" s="77">
        <f t="shared" si="1"/>
        <v>83022.963662287468</v>
      </c>
      <c r="J66" s="77">
        <f t="shared" si="1"/>
        <v>28635.933924237488</v>
      </c>
      <c r="K66" s="77">
        <f t="shared" si="5"/>
        <v>291865.78782015067</v>
      </c>
      <c r="L66" s="75">
        <v>400000</v>
      </c>
      <c r="M66" s="75">
        <f t="shared" si="2"/>
        <v>108134.21217984933</v>
      </c>
      <c r="N66" s="75"/>
      <c r="O66" s="75"/>
      <c r="P66" s="75"/>
    </row>
    <row r="67" spans="5:16">
      <c r="E67">
        <v>65</v>
      </c>
      <c r="F67" s="77">
        <f t="shared" si="3"/>
        <v>1717.829193638845</v>
      </c>
      <c r="G67" s="77">
        <f t="shared" si="35"/>
        <v>1214.0169419823435</v>
      </c>
      <c r="H67" s="77">
        <f t="shared" si="4"/>
        <v>503.81225165650153</v>
      </c>
      <c r="I67" s="77">
        <f t="shared" ref="I67:J130" si="36">I66+G67</f>
        <v>84236.980604269818</v>
      </c>
      <c r="J67" s="77">
        <f t="shared" si="36"/>
        <v>29139.74617589399</v>
      </c>
      <c r="K67" s="77">
        <f t="shared" si="5"/>
        <v>291364.06607576244</v>
      </c>
      <c r="L67" s="75">
        <v>400000</v>
      </c>
      <c r="M67" s="75">
        <f t="shared" ref="M67:M130" si="37">L67-K67</f>
        <v>108635.93392423756</v>
      </c>
      <c r="N67" s="75"/>
      <c r="O67" s="75"/>
      <c r="P67" s="75"/>
    </row>
    <row r="68" spans="5:16">
      <c r="E68">
        <v>66</v>
      </c>
      <c r="F68" s="77">
        <f t="shared" ref="F68:F131" si="38">F67</f>
        <v>1717.829193638845</v>
      </c>
      <c r="G68" s="77">
        <f t="shared" si="35"/>
        <v>1211.917724267108</v>
      </c>
      <c r="H68" s="77">
        <f t="shared" ref="H68:H131" si="39">F68-G68</f>
        <v>505.91146937173698</v>
      </c>
      <c r="I68" s="77">
        <f t="shared" si="36"/>
        <v>85448.898328536932</v>
      </c>
      <c r="J68" s="77">
        <f t="shared" si="36"/>
        <v>29645.657645265728</v>
      </c>
      <c r="K68" s="77">
        <f t="shared" ref="K68:K131" si="40">K67-H67</f>
        <v>290860.25382410595</v>
      </c>
      <c r="L68" s="75">
        <v>400000</v>
      </c>
      <c r="M68" s="75">
        <f t="shared" si="37"/>
        <v>109139.74617589405</v>
      </c>
      <c r="N68" s="75"/>
      <c r="O68" s="75"/>
      <c r="P68" s="75"/>
    </row>
    <row r="69" spans="5:16">
      <c r="E69">
        <v>67</v>
      </c>
      <c r="F69" s="77">
        <f t="shared" si="38"/>
        <v>1717.829193638845</v>
      </c>
      <c r="G69" s="77">
        <f t="shared" si="35"/>
        <v>1209.8097598113925</v>
      </c>
      <c r="H69" s="77">
        <f t="shared" si="39"/>
        <v>508.01943382745253</v>
      </c>
      <c r="I69" s="77">
        <f t="shared" si="36"/>
        <v>86658.708088348329</v>
      </c>
      <c r="J69" s="77">
        <f t="shared" si="36"/>
        <v>30153.677079093181</v>
      </c>
      <c r="K69" s="77">
        <f t="shared" si="40"/>
        <v>290354.3423547342</v>
      </c>
      <c r="L69" s="75">
        <v>400000</v>
      </c>
      <c r="M69" s="75">
        <f t="shared" si="37"/>
        <v>109645.6576452658</v>
      </c>
      <c r="N69" s="75"/>
      <c r="O69" s="75"/>
      <c r="P69" s="75"/>
    </row>
    <row r="70" spans="5:16">
      <c r="E70">
        <v>68</v>
      </c>
      <c r="F70" s="77">
        <f t="shared" si="38"/>
        <v>1717.829193638845</v>
      </c>
      <c r="G70" s="77">
        <f t="shared" si="35"/>
        <v>1207.6930121704449</v>
      </c>
      <c r="H70" s="77">
        <f t="shared" si="39"/>
        <v>510.13618146840008</v>
      </c>
      <c r="I70" s="77">
        <f t="shared" si="36"/>
        <v>87866.401100518779</v>
      </c>
      <c r="J70" s="77">
        <f t="shared" si="36"/>
        <v>30663.813260561579</v>
      </c>
      <c r="K70" s="77">
        <f t="shared" si="40"/>
        <v>289846.32292090676</v>
      </c>
      <c r="L70" s="75">
        <v>400000</v>
      </c>
      <c r="M70" s="75">
        <f t="shared" si="37"/>
        <v>110153.67707909324</v>
      </c>
      <c r="N70" s="75"/>
      <c r="O70" s="75"/>
      <c r="P70" s="75"/>
    </row>
    <row r="71" spans="5:16">
      <c r="E71">
        <v>69</v>
      </c>
      <c r="F71" s="77">
        <f t="shared" si="38"/>
        <v>1717.829193638845</v>
      </c>
      <c r="G71" s="77">
        <f t="shared" si="35"/>
        <v>1205.5674447476599</v>
      </c>
      <c r="H71" s="77">
        <f t="shared" si="39"/>
        <v>512.26174889118511</v>
      </c>
      <c r="I71" s="77">
        <f t="shared" si="36"/>
        <v>89071.968545266442</v>
      </c>
      <c r="J71" s="77">
        <f t="shared" si="36"/>
        <v>31176.075009452765</v>
      </c>
      <c r="K71" s="77">
        <f t="shared" si="40"/>
        <v>289336.18673943839</v>
      </c>
      <c r="L71" s="75">
        <v>400000</v>
      </c>
      <c r="M71" s="75">
        <f t="shared" si="37"/>
        <v>110663.81326056161</v>
      </c>
      <c r="N71" s="75"/>
      <c r="O71" s="75"/>
      <c r="P71" s="75"/>
    </row>
    <row r="72" spans="5:16">
      <c r="E72">
        <v>70</v>
      </c>
      <c r="F72" s="77">
        <f t="shared" si="38"/>
        <v>1717.829193638845</v>
      </c>
      <c r="G72" s="77">
        <f t="shared" si="35"/>
        <v>1203.4330207939465</v>
      </c>
      <c r="H72" s="77">
        <f t="shared" si="39"/>
        <v>514.3961728448985</v>
      </c>
      <c r="I72" s="77">
        <f t="shared" si="36"/>
        <v>90275.401566060391</v>
      </c>
      <c r="J72" s="77">
        <f t="shared" si="36"/>
        <v>31690.471182297664</v>
      </c>
      <c r="K72" s="77">
        <f t="shared" si="40"/>
        <v>288823.92499054718</v>
      </c>
      <c r="L72" s="75">
        <v>400000</v>
      </c>
      <c r="M72" s="75">
        <f t="shared" si="37"/>
        <v>111176.07500945282</v>
      </c>
      <c r="N72" s="75"/>
      <c r="O72" s="75"/>
      <c r="P72" s="75"/>
    </row>
    <row r="73" spans="5:16">
      <c r="E73">
        <v>71</v>
      </c>
      <c r="F73" s="77">
        <f t="shared" si="38"/>
        <v>1717.829193638845</v>
      </c>
      <c r="G73" s="77">
        <f t="shared" si="35"/>
        <v>1201.2897034070927</v>
      </c>
      <c r="H73" s="77">
        <f t="shared" si="39"/>
        <v>516.53949023175232</v>
      </c>
      <c r="I73" s="77">
        <f t="shared" si="36"/>
        <v>91476.691269467483</v>
      </c>
      <c r="J73" s="77">
        <f t="shared" si="36"/>
        <v>32207.010672529417</v>
      </c>
      <c r="K73" s="77">
        <f t="shared" si="40"/>
        <v>288309.52881770226</v>
      </c>
      <c r="L73" s="75">
        <v>400000</v>
      </c>
      <c r="M73" s="75">
        <f t="shared" si="37"/>
        <v>111690.47118229774</v>
      </c>
      <c r="N73" s="75"/>
      <c r="O73" s="75"/>
      <c r="P73" s="75"/>
    </row>
    <row r="74" spans="5:16">
      <c r="E74">
        <v>72</v>
      </c>
      <c r="F74" s="77">
        <f t="shared" si="38"/>
        <v>1717.829193638845</v>
      </c>
      <c r="G74" s="77">
        <f t="shared" si="35"/>
        <v>1199.137455531127</v>
      </c>
      <c r="H74" s="77">
        <f t="shared" si="39"/>
        <v>518.69173810771804</v>
      </c>
      <c r="I74" s="77">
        <f t="shared" si="36"/>
        <v>92675.828724998617</v>
      </c>
      <c r="J74" s="77">
        <f t="shared" si="36"/>
        <v>32725.702410637135</v>
      </c>
      <c r="K74" s="77">
        <f t="shared" si="40"/>
        <v>287792.98932747048</v>
      </c>
      <c r="L74" s="75">
        <v>400000</v>
      </c>
      <c r="M74" s="75">
        <f t="shared" si="37"/>
        <v>112207.01067252952</v>
      </c>
      <c r="N74" s="75"/>
      <c r="O74" s="75"/>
      <c r="P74" s="75"/>
    </row>
    <row r="75" spans="5:16">
      <c r="E75">
        <v>73</v>
      </c>
      <c r="F75" s="77">
        <f t="shared" si="38"/>
        <v>1717.829193638845</v>
      </c>
      <c r="G75" s="77">
        <f t="shared" si="35"/>
        <v>1196.9762399556782</v>
      </c>
      <c r="H75" s="77">
        <f t="shared" si="39"/>
        <v>520.85295368316679</v>
      </c>
      <c r="I75" s="77">
        <f t="shared" si="36"/>
        <v>93872.804964954295</v>
      </c>
      <c r="J75" s="77">
        <f t="shared" si="36"/>
        <v>33246.555364320302</v>
      </c>
      <c r="K75" s="77">
        <f t="shared" si="40"/>
        <v>287274.29758936277</v>
      </c>
      <c r="L75" s="75">
        <v>400000</v>
      </c>
      <c r="M75" s="75">
        <f t="shared" si="37"/>
        <v>112725.70241063723</v>
      </c>
      <c r="N75" s="75"/>
      <c r="O75" s="75"/>
      <c r="P75" s="75"/>
    </row>
    <row r="76" spans="5:16">
      <c r="E76">
        <v>74</v>
      </c>
      <c r="F76" s="77">
        <f t="shared" si="38"/>
        <v>1717.829193638845</v>
      </c>
      <c r="G76" s="77">
        <f t="shared" si="35"/>
        <v>1194.8060193153317</v>
      </c>
      <c r="H76" s="77">
        <f t="shared" si="39"/>
        <v>523.02317432351333</v>
      </c>
      <c r="I76" s="77">
        <f t="shared" si="36"/>
        <v>95067.610984269631</v>
      </c>
      <c r="J76" s="77">
        <f t="shared" si="36"/>
        <v>33769.578538643815</v>
      </c>
      <c r="K76" s="77">
        <f t="shared" si="40"/>
        <v>286753.4446356796</v>
      </c>
      <c r="L76" s="75">
        <v>400000</v>
      </c>
      <c r="M76" s="75">
        <f t="shared" si="37"/>
        <v>113246.5553643204</v>
      </c>
      <c r="N76" s="75"/>
      <c r="O76" s="75"/>
      <c r="P76" s="75"/>
    </row>
    <row r="77" spans="5:16">
      <c r="E77">
        <v>75</v>
      </c>
      <c r="F77" s="77">
        <f t="shared" si="38"/>
        <v>1717.829193638845</v>
      </c>
      <c r="G77" s="77">
        <f t="shared" si="35"/>
        <v>1192.6267560889837</v>
      </c>
      <c r="H77" s="77">
        <f t="shared" si="39"/>
        <v>525.20243754986132</v>
      </c>
      <c r="I77" s="77">
        <f t="shared" si="36"/>
        <v>96260.237740358614</v>
      </c>
      <c r="J77" s="77">
        <f t="shared" si="36"/>
        <v>34294.780976193673</v>
      </c>
      <c r="K77" s="77">
        <f t="shared" si="40"/>
        <v>286230.42146135611</v>
      </c>
      <c r="L77" s="75">
        <v>400000</v>
      </c>
      <c r="M77" s="75">
        <f t="shared" si="37"/>
        <v>113769.57853864389</v>
      </c>
      <c r="N77" s="75"/>
      <c r="O77" s="75"/>
      <c r="P77" s="75"/>
    </row>
    <row r="78" spans="5:16">
      <c r="E78">
        <v>76</v>
      </c>
      <c r="F78" s="77">
        <f t="shared" si="38"/>
        <v>1717.829193638845</v>
      </c>
      <c r="G78" s="77">
        <f t="shared" si="35"/>
        <v>1190.4384125991926</v>
      </c>
      <c r="H78" s="77">
        <f t="shared" si="39"/>
        <v>527.39078103965244</v>
      </c>
      <c r="I78" s="77">
        <f t="shared" si="36"/>
        <v>97450.676152957807</v>
      </c>
      <c r="J78" s="77">
        <f t="shared" si="36"/>
        <v>34822.171757233329</v>
      </c>
      <c r="K78" s="77">
        <f t="shared" si="40"/>
        <v>285705.21902380622</v>
      </c>
      <c r="L78" s="75">
        <v>400000</v>
      </c>
      <c r="M78" s="75">
        <f t="shared" si="37"/>
        <v>114294.78097619378</v>
      </c>
      <c r="N78" s="75"/>
      <c r="O78" s="75"/>
      <c r="P78" s="75"/>
    </row>
    <row r="79" spans="5:16">
      <c r="E79">
        <v>77</v>
      </c>
      <c r="F79" s="77">
        <f t="shared" si="38"/>
        <v>1717.829193638845</v>
      </c>
      <c r="G79" s="77">
        <f t="shared" si="35"/>
        <v>1188.2409510115274</v>
      </c>
      <c r="H79" s="77">
        <f t="shared" si="39"/>
        <v>529.58824262731764</v>
      </c>
      <c r="I79" s="77">
        <f t="shared" si="36"/>
        <v>98638.917103969332</v>
      </c>
      <c r="J79" s="77">
        <f t="shared" si="36"/>
        <v>35351.759999860646</v>
      </c>
      <c r="K79" s="77">
        <f t="shared" si="40"/>
        <v>285177.82824276655</v>
      </c>
      <c r="L79" s="75">
        <v>400000</v>
      </c>
      <c r="M79" s="75">
        <f t="shared" si="37"/>
        <v>114822.17175723345</v>
      </c>
      <c r="N79" s="75"/>
      <c r="O79" s="75"/>
      <c r="P79" s="75"/>
    </row>
    <row r="80" spans="5:16">
      <c r="E80">
        <v>78</v>
      </c>
      <c r="F80" s="77">
        <f t="shared" si="38"/>
        <v>1717.829193638845</v>
      </c>
      <c r="G80" s="77">
        <f t="shared" si="35"/>
        <v>1186.0343333339133</v>
      </c>
      <c r="H80" s="77">
        <f t="shared" si="39"/>
        <v>531.79486030493172</v>
      </c>
      <c r="I80" s="77">
        <f t="shared" si="36"/>
        <v>99824.951437303243</v>
      </c>
      <c r="J80" s="77">
        <f t="shared" si="36"/>
        <v>35883.554860165576</v>
      </c>
      <c r="K80" s="77">
        <f t="shared" si="40"/>
        <v>284648.24000013922</v>
      </c>
      <c r="L80" s="75">
        <v>400000</v>
      </c>
      <c r="M80" s="75">
        <f t="shared" si="37"/>
        <v>115351.75999986078</v>
      </c>
      <c r="N80" s="75"/>
      <c r="O80" s="75"/>
      <c r="P80" s="75"/>
    </row>
    <row r="81" spans="5:16">
      <c r="E81">
        <v>79</v>
      </c>
      <c r="F81" s="77">
        <f t="shared" si="38"/>
        <v>1717.829193638845</v>
      </c>
      <c r="G81" s="77">
        <f t="shared" si="35"/>
        <v>1183.8185214159762</v>
      </c>
      <c r="H81" s="77">
        <f t="shared" si="39"/>
        <v>534.01067222286883</v>
      </c>
      <c r="I81" s="77">
        <f t="shared" si="36"/>
        <v>101008.76995871922</v>
      </c>
      <c r="J81" s="77">
        <f t="shared" si="36"/>
        <v>36417.565532388442</v>
      </c>
      <c r="K81" s="77">
        <f t="shared" si="40"/>
        <v>284116.44513983431</v>
      </c>
      <c r="L81" s="75">
        <v>400000</v>
      </c>
      <c r="M81" s="75">
        <f t="shared" si="37"/>
        <v>115883.55486016569</v>
      </c>
      <c r="N81" s="75"/>
      <c r="O81" s="75"/>
      <c r="P81" s="75"/>
    </row>
    <row r="82" spans="5:16">
      <c r="E82">
        <v>80</v>
      </c>
      <c r="F82" s="77">
        <f t="shared" si="38"/>
        <v>1717.829193638845</v>
      </c>
      <c r="G82" s="77">
        <f t="shared" si="35"/>
        <v>1181.5934769483808</v>
      </c>
      <c r="H82" s="77">
        <f t="shared" si="39"/>
        <v>536.23571669046419</v>
      </c>
      <c r="I82" s="77">
        <f t="shared" si="36"/>
        <v>102190.3634356676</v>
      </c>
      <c r="J82" s="77">
        <f t="shared" si="36"/>
        <v>36953.801249078904</v>
      </c>
      <c r="K82" s="77">
        <f t="shared" si="40"/>
        <v>283582.43446761143</v>
      </c>
      <c r="L82" s="75">
        <v>400000</v>
      </c>
      <c r="M82" s="75">
        <f t="shared" si="37"/>
        <v>116417.56553238857</v>
      </c>
      <c r="N82" s="75"/>
      <c r="O82" s="75"/>
      <c r="P82" s="75"/>
    </row>
    <row r="83" spans="5:16">
      <c r="E83">
        <v>81</v>
      </c>
      <c r="F83" s="77">
        <f t="shared" si="38"/>
        <v>1717.829193638845</v>
      </c>
      <c r="G83" s="77">
        <f t="shared" si="35"/>
        <v>1179.3591614621705</v>
      </c>
      <c r="H83" s="77">
        <f t="shared" si="39"/>
        <v>538.47003217667452</v>
      </c>
      <c r="I83" s="77">
        <f t="shared" si="36"/>
        <v>103369.72259712977</v>
      </c>
      <c r="J83" s="77">
        <f t="shared" si="36"/>
        <v>37492.271281255576</v>
      </c>
      <c r="K83" s="77">
        <f t="shared" si="40"/>
        <v>283046.19875092094</v>
      </c>
      <c r="L83" s="75">
        <v>400000</v>
      </c>
      <c r="M83" s="75">
        <f t="shared" si="37"/>
        <v>116953.80124907906</v>
      </c>
      <c r="N83" s="75"/>
      <c r="O83" s="75"/>
      <c r="P83" s="75"/>
    </row>
    <row r="84" spans="5:16">
      <c r="E84">
        <v>82</v>
      </c>
      <c r="F84" s="77">
        <f t="shared" si="38"/>
        <v>1717.829193638845</v>
      </c>
      <c r="G84" s="77">
        <f t="shared" si="35"/>
        <v>1177.1155363281009</v>
      </c>
      <c r="H84" s="77">
        <f t="shared" si="39"/>
        <v>540.71365731074411</v>
      </c>
      <c r="I84" s="77">
        <f t="shared" si="36"/>
        <v>104546.83813345787</v>
      </c>
      <c r="J84" s="77">
        <f t="shared" si="36"/>
        <v>38032.984938566318</v>
      </c>
      <c r="K84" s="77">
        <f t="shared" si="40"/>
        <v>282507.72871874424</v>
      </c>
      <c r="L84" s="75">
        <v>400000</v>
      </c>
      <c r="M84" s="75">
        <f t="shared" si="37"/>
        <v>117492.27128125576</v>
      </c>
      <c r="N84" s="75"/>
      <c r="O84" s="75"/>
      <c r="P84" s="75"/>
    </row>
    <row r="85" spans="5:16">
      <c r="E85">
        <v>83</v>
      </c>
      <c r="F85" s="77">
        <f t="shared" si="38"/>
        <v>1717.829193638845</v>
      </c>
      <c r="G85" s="77">
        <f t="shared" si="35"/>
        <v>1174.8625627559729</v>
      </c>
      <c r="H85" s="77">
        <f t="shared" si="39"/>
        <v>542.9666308828721</v>
      </c>
      <c r="I85" s="77">
        <f t="shared" si="36"/>
        <v>105721.70069621384</v>
      </c>
      <c r="J85" s="77">
        <f t="shared" si="36"/>
        <v>38575.951569449193</v>
      </c>
      <c r="K85" s="77">
        <f t="shared" si="40"/>
        <v>281967.01506143349</v>
      </c>
      <c r="L85" s="75">
        <v>400000</v>
      </c>
      <c r="M85" s="75">
        <f t="shared" si="37"/>
        <v>118032.98493856651</v>
      </c>
      <c r="N85" s="75"/>
      <c r="O85" s="75"/>
      <c r="P85" s="75"/>
    </row>
    <row r="86" spans="5:16">
      <c r="E86">
        <v>84</v>
      </c>
      <c r="F86" s="77">
        <f t="shared" si="38"/>
        <v>1717.829193638845</v>
      </c>
      <c r="G86" s="77">
        <f t="shared" si="35"/>
        <v>1172.6002017939609</v>
      </c>
      <c r="H86" s="77">
        <f t="shared" si="39"/>
        <v>545.22899184488415</v>
      </c>
      <c r="I86" s="77">
        <f t="shared" si="36"/>
        <v>106894.3008980078</v>
      </c>
      <c r="J86" s="77">
        <f t="shared" si="36"/>
        <v>39121.180561294081</v>
      </c>
      <c r="K86" s="77">
        <f t="shared" si="40"/>
        <v>281424.04843055061</v>
      </c>
      <c r="L86" s="75">
        <v>400000</v>
      </c>
      <c r="M86" s="75">
        <f t="shared" si="37"/>
        <v>118575.95156944939</v>
      </c>
      <c r="N86" s="75"/>
      <c r="O86" s="75"/>
      <c r="P86" s="75"/>
    </row>
    <row r="87" spans="5:16">
      <c r="E87">
        <v>85</v>
      </c>
      <c r="F87" s="77">
        <f t="shared" si="38"/>
        <v>1717.829193638845</v>
      </c>
      <c r="G87" s="77">
        <f t="shared" si="35"/>
        <v>1170.3284143279407</v>
      </c>
      <c r="H87" s="77">
        <f t="shared" si="39"/>
        <v>547.50077931090436</v>
      </c>
      <c r="I87" s="77">
        <f t="shared" si="36"/>
        <v>108064.62931233575</v>
      </c>
      <c r="J87" s="77">
        <f t="shared" si="36"/>
        <v>39668.681340604984</v>
      </c>
      <c r="K87" s="77">
        <f t="shared" si="40"/>
        <v>280878.81943870574</v>
      </c>
      <c r="L87" s="75">
        <v>400000</v>
      </c>
      <c r="M87" s="75">
        <f t="shared" si="37"/>
        <v>119121.18056129426</v>
      </c>
      <c r="N87" s="75"/>
      <c r="O87" s="75"/>
      <c r="P87" s="75"/>
    </row>
    <row r="88" spans="5:16">
      <c r="E88">
        <v>86</v>
      </c>
      <c r="F88" s="77">
        <f t="shared" si="38"/>
        <v>1717.829193638845</v>
      </c>
      <c r="G88" s="77">
        <f t="shared" si="35"/>
        <v>1168.047161080812</v>
      </c>
      <c r="H88" s="77">
        <f t="shared" si="39"/>
        <v>549.78203255803305</v>
      </c>
      <c r="I88" s="77">
        <f t="shared" si="36"/>
        <v>109232.67647341656</v>
      </c>
      <c r="J88" s="77">
        <f t="shared" si="36"/>
        <v>40218.463373163017</v>
      </c>
      <c r="K88" s="77">
        <f t="shared" si="40"/>
        <v>280331.31865939486</v>
      </c>
      <c r="L88" s="75">
        <v>400000</v>
      </c>
      <c r="M88" s="75">
        <f t="shared" si="37"/>
        <v>119668.68134060514</v>
      </c>
      <c r="N88" s="75"/>
      <c r="O88" s="75"/>
      <c r="P88" s="75"/>
    </row>
    <row r="89" spans="5:16">
      <c r="E89">
        <v>87</v>
      </c>
      <c r="F89" s="77">
        <f t="shared" si="38"/>
        <v>1717.829193638845</v>
      </c>
      <c r="G89" s="77">
        <f t="shared" si="35"/>
        <v>1165.75640261182</v>
      </c>
      <c r="H89" s="77">
        <f t="shared" si="39"/>
        <v>552.072791027025</v>
      </c>
      <c r="I89" s="77">
        <f t="shared" si="36"/>
        <v>110398.43287602838</v>
      </c>
      <c r="J89" s="77">
        <f t="shared" si="36"/>
        <v>40770.536164190038</v>
      </c>
      <c r="K89" s="77">
        <f t="shared" si="40"/>
        <v>279781.53662683681</v>
      </c>
      <c r="L89" s="75">
        <v>400000</v>
      </c>
      <c r="M89" s="75">
        <f t="shared" si="37"/>
        <v>120218.46337316319</v>
      </c>
      <c r="N89" s="75"/>
      <c r="O89" s="75"/>
      <c r="P89" s="75"/>
    </row>
    <row r="90" spans="5:16">
      <c r="E90">
        <v>88</v>
      </c>
      <c r="F90" s="77">
        <f t="shared" si="38"/>
        <v>1717.829193638845</v>
      </c>
      <c r="G90" s="77">
        <f t="shared" si="35"/>
        <v>1163.4560993158741</v>
      </c>
      <c r="H90" s="77">
        <f t="shared" si="39"/>
        <v>554.37309432297093</v>
      </c>
      <c r="I90" s="77">
        <f t="shared" si="36"/>
        <v>111561.88897534426</v>
      </c>
      <c r="J90" s="77">
        <f t="shared" si="36"/>
        <v>41324.909258513006</v>
      </c>
      <c r="K90" s="77">
        <f t="shared" si="40"/>
        <v>279229.46383580979</v>
      </c>
      <c r="L90" s="75">
        <v>400000</v>
      </c>
      <c r="M90" s="75">
        <f t="shared" si="37"/>
        <v>120770.53616419021</v>
      </c>
      <c r="N90" s="75"/>
      <c r="O90" s="75"/>
      <c r="P90" s="75"/>
    </row>
    <row r="91" spans="5:16">
      <c r="E91">
        <v>89</v>
      </c>
      <c r="F91" s="77">
        <f t="shared" si="38"/>
        <v>1717.829193638845</v>
      </c>
      <c r="G91" s="77">
        <f t="shared" si="35"/>
        <v>1161.1462114228616</v>
      </c>
      <c r="H91" s="77">
        <f t="shared" si="39"/>
        <v>556.68298221598343</v>
      </c>
      <c r="I91" s="77">
        <f t="shared" si="36"/>
        <v>112723.03518676713</v>
      </c>
      <c r="J91" s="77">
        <f t="shared" si="36"/>
        <v>41881.592240728991</v>
      </c>
      <c r="K91" s="77">
        <f t="shared" si="40"/>
        <v>278675.09074148681</v>
      </c>
      <c r="L91" s="75">
        <v>400000</v>
      </c>
      <c r="M91" s="75">
        <f t="shared" si="37"/>
        <v>121324.90925851319</v>
      </c>
      <c r="N91" s="75"/>
      <c r="O91" s="75"/>
      <c r="P91" s="75"/>
    </row>
    <row r="92" spans="5:16">
      <c r="E92">
        <v>90</v>
      </c>
      <c r="F92" s="77">
        <f t="shared" si="38"/>
        <v>1717.829193638845</v>
      </c>
      <c r="G92" s="77">
        <f t="shared" si="35"/>
        <v>1158.8266989969616</v>
      </c>
      <c r="H92" s="77">
        <f t="shared" si="39"/>
        <v>559.00249464188346</v>
      </c>
      <c r="I92" s="77">
        <f t="shared" si="36"/>
        <v>113881.86188576408</v>
      </c>
      <c r="J92" s="77">
        <f t="shared" si="36"/>
        <v>42440.594735370876</v>
      </c>
      <c r="K92" s="77">
        <f t="shared" si="40"/>
        <v>278118.40775927081</v>
      </c>
      <c r="L92" s="75">
        <v>400000</v>
      </c>
      <c r="M92" s="75">
        <f t="shared" si="37"/>
        <v>121881.59224072919</v>
      </c>
      <c r="N92" s="75"/>
      <c r="O92" s="75"/>
      <c r="P92" s="75"/>
    </row>
    <row r="93" spans="5:16">
      <c r="E93">
        <v>91</v>
      </c>
      <c r="F93" s="77">
        <f t="shared" si="38"/>
        <v>1717.829193638845</v>
      </c>
      <c r="G93" s="77">
        <f t="shared" si="35"/>
        <v>1156.497521935954</v>
      </c>
      <c r="H93" s="77">
        <f t="shared" si="39"/>
        <v>561.33167170289107</v>
      </c>
      <c r="I93" s="77">
        <f t="shared" si="36"/>
        <v>115038.35940770003</v>
      </c>
      <c r="J93" s="77">
        <f t="shared" si="36"/>
        <v>43001.92640707377</v>
      </c>
      <c r="K93" s="77">
        <f t="shared" si="40"/>
        <v>277559.40526462893</v>
      </c>
      <c r="L93" s="75">
        <v>400000</v>
      </c>
      <c r="M93" s="75">
        <f t="shared" si="37"/>
        <v>122440.59473537107</v>
      </c>
      <c r="N93" s="75"/>
      <c r="O93" s="75"/>
      <c r="P93" s="75"/>
    </row>
    <row r="94" spans="5:16">
      <c r="E94">
        <v>92</v>
      </c>
      <c r="F94" s="77">
        <f t="shared" si="38"/>
        <v>1717.829193638845</v>
      </c>
      <c r="G94" s="77">
        <f t="shared" si="35"/>
        <v>1154.1586399705252</v>
      </c>
      <c r="H94" s="77">
        <f t="shared" si="39"/>
        <v>563.67055366831983</v>
      </c>
      <c r="I94" s="77">
        <f t="shared" si="36"/>
        <v>116192.51804767056</v>
      </c>
      <c r="J94" s="77">
        <f t="shared" si="36"/>
        <v>43565.596960742092</v>
      </c>
      <c r="K94" s="77">
        <f t="shared" si="40"/>
        <v>276998.07359292603</v>
      </c>
      <c r="L94" s="75">
        <v>400000</v>
      </c>
      <c r="M94" s="75">
        <f t="shared" si="37"/>
        <v>123001.92640707397</v>
      </c>
      <c r="N94" s="75"/>
      <c r="O94" s="75"/>
      <c r="P94" s="75"/>
    </row>
    <row r="95" spans="5:16">
      <c r="E95">
        <v>93</v>
      </c>
      <c r="F95" s="77">
        <f t="shared" si="38"/>
        <v>1717.829193638845</v>
      </c>
      <c r="G95" s="77">
        <f t="shared" si="35"/>
        <v>1151.8100126635736</v>
      </c>
      <c r="H95" s="77">
        <f t="shared" si="39"/>
        <v>566.01918097527141</v>
      </c>
      <c r="I95" s="77">
        <f t="shared" si="36"/>
        <v>117344.32806033413</v>
      </c>
      <c r="J95" s="77">
        <f t="shared" si="36"/>
        <v>44131.616141717364</v>
      </c>
      <c r="K95" s="77">
        <f t="shared" si="40"/>
        <v>276434.40303925768</v>
      </c>
      <c r="L95" s="75">
        <v>400000</v>
      </c>
      <c r="M95" s="75">
        <f t="shared" si="37"/>
        <v>123565.59696074232</v>
      </c>
      <c r="N95" s="75"/>
      <c r="O95" s="75"/>
      <c r="P95" s="75"/>
    </row>
    <row r="96" spans="5:16">
      <c r="E96">
        <v>94</v>
      </c>
      <c r="F96" s="77">
        <f t="shared" si="38"/>
        <v>1717.829193638845</v>
      </c>
      <c r="G96" s="77">
        <f t="shared" si="35"/>
        <v>1149.45159940951</v>
      </c>
      <c r="H96" s="77">
        <f t="shared" si="39"/>
        <v>568.37759422933505</v>
      </c>
      <c r="I96" s="77">
        <f t="shared" si="36"/>
        <v>118493.77965974364</v>
      </c>
      <c r="J96" s="77">
        <f t="shared" si="36"/>
        <v>44699.9937359467</v>
      </c>
      <c r="K96" s="77">
        <f t="shared" si="40"/>
        <v>275868.38385828241</v>
      </c>
      <c r="L96" s="75">
        <v>400000</v>
      </c>
      <c r="M96" s="75">
        <f t="shared" si="37"/>
        <v>124131.61614171759</v>
      </c>
      <c r="N96" s="75"/>
      <c r="O96" s="75"/>
      <c r="P96" s="75"/>
    </row>
    <row r="97" spans="5:16">
      <c r="E97">
        <v>95</v>
      </c>
      <c r="F97" s="77">
        <f t="shared" si="38"/>
        <v>1717.829193638845</v>
      </c>
      <c r="G97" s="77">
        <f t="shared" si="35"/>
        <v>1147.0833594335543</v>
      </c>
      <c r="H97" s="77">
        <f t="shared" si="39"/>
        <v>570.74583420529075</v>
      </c>
      <c r="I97" s="77">
        <f t="shared" si="36"/>
        <v>119640.8630191772</v>
      </c>
      <c r="J97" s="77">
        <f t="shared" si="36"/>
        <v>45270.739570151993</v>
      </c>
      <c r="K97" s="77">
        <f t="shared" si="40"/>
        <v>275300.00626405305</v>
      </c>
      <c r="L97" s="75">
        <v>400000</v>
      </c>
      <c r="M97" s="75">
        <f t="shared" si="37"/>
        <v>124699.99373594695</v>
      </c>
      <c r="N97" s="75"/>
      <c r="O97" s="75"/>
      <c r="P97" s="75"/>
    </row>
    <row r="98" spans="5:16">
      <c r="E98">
        <v>96</v>
      </c>
      <c r="F98" s="77">
        <f t="shared" si="38"/>
        <v>1717.829193638845</v>
      </c>
      <c r="G98" s="77">
        <f t="shared" si="35"/>
        <v>1144.7052517910322</v>
      </c>
      <c r="H98" s="77">
        <f t="shared" si="39"/>
        <v>573.12394184781283</v>
      </c>
      <c r="I98" s="77">
        <f t="shared" si="36"/>
        <v>120785.56827096823</v>
      </c>
      <c r="J98" s="77">
        <f t="shared" si="36"/>
        <v>45843.863511999807</v>
      </c>
      <c r="K98" s="77">
        <f t="shared" si="40"/>
        <v>274729.26042984775</v>
      </c>
      <c r="L98" s="75">
        <v>400000</v>
      </c>
      <c r="M98" s="75">
        <f t="shared" si="37"/>
        <v>125270.73957015225</v>
      </c>
      <c r="N98" s="75"/>
      <c r="O98" s="75"/>
      <c r="P98" s="75"/>
    </row>
    <row r="99" spans="5:16">
      <c r="E99">
        <v>97</v>
      </c>
      <c r="F99" s="77">
        <f t="shared" si="38"/>
        <v>1717.829193638845</v>
      </c>
      <c r="G99" s="77">
        <f t="shared" si="35"/>
        <v>1142.3172353666664</v>
      </c>
      <c r="H99" s="77">
        <f t="shared" si="39"/>
        <v>575.51195827217862</v>
      </c>
      <c r="I99" s="77">
        <f t="shared" si="36"/>
        <v>121927.88550633489</v>
      </c>
      <c r="J99" s="77">
        <f t="shared" si="36"/>
        <v>46419.375470271989</v>
      </c>
      <c r="K99" s="77">
        <f t="shared" si="40"/>
        <v>274156.13648799993</v>
      </c>
      <c r="L99" s="75">
        <v>400000</v>
      </c>
      <c r="M99" s="75">
        <f t="shared" si="37"/>
        <v>125843.86351200007</v>
      </c>
      <c r="N99" s="75"/>
      <c r="O99" s="75"/>
      <c r="P99" s="75"/>
    </row>
    <row r="100" spans="5:16">
      <c r="E100">
        <v>98</v>
      </c>
      <c r="F100" s="77">
        <f t="shared" si="38"/>
        <v>1717.829193638845</v>
      </c>
      <c r="G100" s="77">
        <f t="shared" si="35"/>
        <v>1139.9192688738656</v>
      </c>
      <c r="H100" s="77">
        <f t="shared" si="39"/>
        <v>577.90992476497945</v>
      </c>
      <c r="I100" s="77">
        <f t="shared" si="36"/>
        <v>123067.80477520876</v>
      </c>
      <c r="J100" s="77">
        <f t="shared" si="36"/>
        <v>46997.285395036968</v>
      </c>
      <c r="K100" s="77">
        <f t="shared" si="40"/>
        <v>273580.62452972773</v>
      </c>
      <c r="L100" s="75">
        <v>400000</v>
      </c>
      <c r="M100" s="75">
        <f t="shared" si="37"/>
        <v>126419.37547027227</v>
      </c>
      <c r="N100" s="75"/>
      <c r="O100" s="75"/>
      <c r="P100" s="75"/>
    </row>
    <row r="101" spans="5:16">
      <c r="E101">
        <v>99</v>
      </c>
      <c r="F101" s="77">
        <f t="shared" si="38"/>
        <v>1717.829193638845</v>
      </c>
      <c r="G101" s="77">
        <f t="shared" si="35"/>
        <v>1137.5113108540113</v>
      </c>
      <c r="H101" s="77">
        <f t="shared" si="39"/>
        <v>580.31788278483373</v>
      </c>
      <c r="I101" s="77">
        <f t="shared" si="36"/>
        <v>124205.31608606277</v>
      </c>
      <c r="J101" s="77">
        <f t="shared" si="36"/>
        <v>47577.6032778218</v>
      </c>
      <c r="K101" s="77">
        <f t="shared" si="40"/>
        <v>273002.71460496273</v>
      </c>
      <c r="L101" s="75">
        <v>400000</v>
      </c>
      <c r="M101" s="75">
        <f t="shared" si="37"/>
        <v>126997.28539503727</v>
      </c>
      <c r="N101" s="75"/>
      <c r="O101" s="75"/>
      <c r="P101" s="75"/>
    </row>
    <row r="102" spans="5:16">
      <c r="E102">
        <v>100</v>
      </c>
      <c r="F102" s="77">
        <f t="shared" si="38"/>
        <v>1717.829193638845</v>
      </c>
      <c r="G102" s="77">
        <f t="shared" si="35"/>
        <v>1135.0933196757412</v>
      </c>
      <c r="H102" s="77">
        <f t="shared" si="39"/>
        <v>582.73587396310381</v>
      </c>
      <c r="I102" s="77">
        <f t="shared" si="36"/>
        <v>125340.40940573851</v>
      </c>
      <c r="J102" s="77">
        <f t="shared" si="36"/>
        <v>48160.339151784901</v>
      </c>
      <c r="K102" s="77">
        <f t="shared" si="40"/>
        <v>272422.39672217792</v>
      </c>
      <c r="L102" s="75">
        <v>400000</v>
      </c>
      <c r="M102" s="75">
        <f t="shared" si="37"/>
        <v>127577.60327782208</v>
      </c>
      <c r="N102" s="75"/>
      <c r="O102" s="75"/>
      <c r="P102" s="75"/>
    </row>
    <row r="103" spans="5:16">
      <c r="E103">
        <v>101</v>
      </c>
      <c r="F103" s="77">
        <f t="shared" si="38"/>
        <v>1717.829193638845</v>
      </c>
      <c r="G103" s="77">
        <f t="shared" si="35"/>
        <v>1132.6652535342284</v>
      </c>
      <c r="H103" s="77">
        <f t="shared" si="39"/>
        <v>585.16394010461659</v>
      </c>
      <c r="I103" s="77">
        <f t="shared" si="36"/>
        <v>126473.07465927274</v>
      </c>
      <c r="J103" s="77">
        <f t="shared" si="36"/>
        <v>48745.503091889521</v>
      </c>
      <c r="K103" s="77">
        <f t="shared" si="40"/>
        <v>271839.66084821481</v>
      </c>
      <c r="L103" s="75">
        <v>400000</v>
      </c>
      <c r="M103" s="75">
        <f t="shared" si="37"/>
        <v>128160.33915178519</v>
      </c>
      <c r="N103" s="75"/>
      <c r="O103" s="75"/>
      <c r="P103" s="75"/>
    </row>
    <row r="104" spans="5:16">
      <c r="E104">
        <v>102</v>
      </c>
      <c r="F104" s="77">
        <f t="shared" si="38"/>
        <v>1717.829193638845</v>
      </c>
      <c r="G104" s="77">
        <f t="shared" si="35"/>
        <v>1130.2270704504592</v>
      </c>
      <c r="H104" s="77">
        <f t="shared" si="39"/>
        <v>587.6021231883858</v>
      </c>
      <c r="I104" s="77">
        <f t="shared" si="36"/>
        <v>127603.3017297232</v>
      </c>
      <c r="J104" s="77">
        <f t="shared" si="36"/>
        <v>49333.105215077907</v>
      </c>
      <c r="K104" s="77">
        <f t="shared" si="40"/>
        <v>271254.49690811022</v>
      </c>
      <c r="L104" s="75">
        <v>400000</v>
      </c>
      <c r="M104" s="75">
        <f t="shared" si="37"/>
        <v>128745.50309188978</v>
      </c>
      <c r="N104" s="75"/>
      <c r="O104" s="75"/>
      <c r="P104" s="75"/>
    </row>
    <row r="105" spans="5:16">
      <c r="E105">
        <v>103</v>
      </c>
      <c r="F105" s="77">
        <f t="shared" si="38"/>
        <v>1717.829193638845</v>
      </c>
      <c r="G105" s="77">
        <f t="shared" si="35"/>
        <v>1127.7787282705076</v>
      </c>
      <c r="H105" s="77">
        <f t="shared" si="39"/>
        <v>590.05046536833743</v>
      </c>
      <c r="I105" s="77">
        <f t="shared" si="36"/>
        <v>128731.08045799371</v>
      </c>
      <c r="J105" s="77">
        <f t="shared" si="36"/>
        <v>49923.155680446245</v>
      </c>
      <c r="K105" s="77">
        <f t="shared" si="40"/>
        <v>270666.89478492184</v>
      </c>
      <c r="L105" s="75">
        <v>400000</v>
      </c>
      <c r="M105" s="75">
        <f t="shared" si="37"/>
        <v>129333.10521507816</v>
      </c>
      <c r="N105" s="75"/>
      <c r="O105" s="75"/>
      <c r="P105" s="75"/>
    </row>
    <row r="106" spans="5:16">
      <c r="E106">
        <v>104</v>
      </c>
      <c r="F106" s="77">
        <f t="shared" si="38"/>
        <v>1717.829193638845</v>
      </c>
      <c r="G106" s="77">
        <f t="shared" si="35"/>
        <v>1125.3201846648062</v>
      </c>
      <c r="H106" s="77">
        <f t="shared" si="39"/>
        <v>592.50900897403881</v>
      </c>
      <c r="I106" s="77">
        <f t="shared" si="36"/>
        <v>129856.40064265851</v>
      </c>
      <c r="J106" s="77">
        <f t="shared" si="36"/>
        <v>50515.664689420286</v>
      </c>
      <c r="K106" s="77">
        <f t="shared" si="40"/>
        <v>270076.84431955352</v>
      </c>
      <c r="L106" s="75">
        <v>400000</v>
      </c>
      <c r="M106" s="75">
        <f t="shared" si="37"/>
        <v>129923.15568044648</v>
      </c>
      <c r="N106" s="75"/>
      <c r="O106" s="75"/>
      <c r="P106" s="75"/>
    </row>
    <row r="107" spans="5:16">
      <c r="E107">
        <v>105</v>
      </c>
      <c r="F107" s="77">
        <f t="shared" si="38"/>
        <v>1717.829193638845</v>
      </c>
      <c r="G107" s="77">
        <f t="shared" si="35"/>
        <v>1122.8513971274147</v>
      </c>
      <c r="H107" s="77">
        <f t="shared" si="39"/>
        <v>594.97779651143037</v>
      </c>
      <c r="I107" s="77">
        <f t="shared" si="36"/>
        <v>130979.25203978592</v>
      </c>
      <c r="J107" s="77">
        <f t="shared" si="36"/>
        <v>51110.642485931719</v>
      </c>
      <c r="K107" s="77">
        <f t="shared" si="40"/>
        <v>269484.33531057951</v>
      </c>
      <c r="L107" s="75">
        <v>400000</v>
      </c>
      <c r="M107" s="75">
        <f t="shared" si="37"/>
        <v>130515.66468942049</v>
      </c>
      <c r="N107" s="75"/>
      <c r="O107" s="75"/>
      <c r="P107" s="75"/>
    </row>
    <row r="108" spans="5:16">
      <c r="E108">
        <v>106</v>
      </c>
      <c r="F108" s="77">
        <f t="shared" si="38"/>
        <v>1717.829193638845</v>
      </c>
      <c r="G108" s="77">
        <f t="shared" si="35"/>
        <v>1120.3723229752836</v>
      </c>
      <c r="H108" s="77">
        <f t="shared" si="39"/>
        <v>597.4568706635614</v>
      </c>
      <c r="I108" s="77">
        <f t="shared" si="36"/>
        <v>132099.62436276121</v>
      </c>
      <c r="J108" s="77">
        <f t="shared" si="36"/>
        <v>51708.099356595281</v>
      </c>
      <c r="K108" s="77">
        <f t="shared" si="40"/>
        <v>268889.35751406808</v>
      </c>
      <c r="L108" s="75">
        <v>400000</v>
      </c>
      <c r="M108" s="75">
        <f t="shared" si="37"/>
        <v>131110.64248593192</v>
      </c>
      <c r="N108" s="75"/>
      <c r="O108" s="75"/>
      <c r="P108" s="75"/>
    </row>
    <row r="109" spans="5:16">
      <c r="E109">
        <v>107</v>
      </c>
      <c r="F109" s="77">
        <f t="shared" si="38"/>
        <v>1717.829193638845</v>
      </c>
      <c r="G109" s="77">
        <f t="shared" si="35"/>
        <v>1117.8829193475187</v>
      </c>
      <c r="H109" s="77">
        <f t="shared" si="39"/>
        <v>599.94627429132629</v>
      </c>
      <c r="I109" s="77">
        <f t="shared" si="36"/>
        <v>133217.50728210874</v>
      </c>
      <c r="J109" s="77">
        <f t="shared" si="36"/>
        <v>52308.045630886605</v>
      </c>
      <c r="K109" s="77">
        <f t="shared" si="40"/>
        <v>268291.90064340451</v>
      </c>
      <c r="L109" s="75">
        <v>400000</v>
      </c>
      <c r="M109" s="75">
        <f t="shared" si="37"/>
        <v>131708.09935659549</v>
      </c>
      <c r="N109" s="75"/>
      <c r="O109" s="75"/>
      <c r="P109" s="75"/>
    </row>
    <row r="110" spans="5:16">
      <c r="E110">
        <v>108</v>
      </c>
      <c r="F110" s="77">
        <f t="shared" si="38"/>
        <v>1717.829193638845</v>
      </c>
      <c r="G110" s="77">
        <f t="shared" si="35"/>
        <v>1115.3831432046384</v>
      </c>
      <c r="H110" s="77">
        <f t="shared" si="39"/>
        <v>602.44605043420665</v>
      </c>
      <c r="I110" s="77">
        <f t="shared" si="36"/>
        <v>134332.89042531338</v>
      </c>
      <c r="J110" s="77">
        <f t="shared" si="36"/>
        <v>52910.491681320811</v>
      </c>
      <c r="K110" s="77">
        <f t="shared" si="40"/>
        <v>267691.9543691132</v>
      </c>
      <c r="L110" s="75">
        <v>400000</v>
      </c>
      <c r="M110" s="75">
        <f t="shared" si="37"/>
        <v>132308.0456308868</v>
      </c>
      <c r="N110" s="75"/>
      <c r="O110" s="75"/>
      <c r="P110" s="75"/>
    </row>
    <row r="111" spans="5:16">
      <c r="E111">
        <v>109</v>
      </c>
      <c r="F111" s="77">
        <f t="shared" si="38"/>
        <v>1717.829193638845</v>
      </c>
      <c r="G111" s="77">
        <f t="shared" si="35"/>
        <v>1112.8729513278292</v>
      </c>
      <c r="H111" s="77">
        <f t="shared" si="39"/>
        <v>604.95624231101579</v>
      </c>
      <c r="I111" s="77">
        <f t="shared" si="36"/>
        <v>135445.7633766412</v>
      </c>
      <c r="J111" s="77">
        <f t="shared" si="36"/>
        <v>53515.447923631829</v>
      </c>
      <c r="K111" s="77">
        <f t="shared" si="40"/>
        <v>267089.508318679</v>
      </c>
      <c r="L111" s="75">
        <v>400000</v>
      </c>
      <c r="M111" s="75">
        <f t="shared" si="37"/>
        <v>132910.491681321</v>
      </c>
      <c r="N111" s="75"/>
      <c r="O111" s="75"/>
      <c r="P111" s="75"/>
    </row>
    <row r="112" spans="5:16">
      <c r="E112">
        <v>110</v>
      </c>
      <c r="F112" s="77">
        <f t="shared" si="38"/>
        <v>1717.829193638845</v>
      </c>
      <c r="G112" s="77">
        <f t="shared" si="35"/>
        <v>1110.3523003181999</v>
      </c>
      <c r="H112" s="77">
        <f t="shared" si="39"/>
        <v>607.4768933206451</v>
      </c>
      <c r="I112" s="77">
        <f t="shared" si="36"/>
        <v>136556.11567695939</v>
      </c>
      <c r="J112" s="77">
        <f t="shared" si="36"/>
        <v>54122.924816952473</v>
      </c>
      <c r="K112" s="77">
        <f t="shared" si="40"/>
        <v>266484.55207636801</v>
      </c>
      <c r="L112" s="75">
        <v>400000</v>
      </c>
      <c r="M112" s="75">
        <f t="shared" si="37"/>
        <v>133515.44792363199</v>
      </c>
      <c r="N112" s="75"/>
      <c r="O112" s="75"/>
      <c r="P112" s="75"/>
    </row>
    <row r="113" spans="5:16">
      <c r="E113">
        <v>111</v>
      </c>
      <c r="F113" s="77">
        <f t="shared" si="38"/>
        <v>1717.829193638845</v>
      </c>
      <c r="G113" s="77">
        <f t="shared" si="35"/>
        <v>1107.8211465960308</v>
      </c>
      <c r="H113" s="77">
        <f t="shared" si="39"/>
        <v>610.00804704281427</v>
      </c>
      <c r="I113" s="77">
        <f t="shared" si="36"/>
        <v>137663.93682355541</v>
      </c>
      <c r="J113" s="77">
        <f t="shared" si="36"/>
        <v>54732.932863995287</v>
      </c>
      <c r="K113" s="77">
        <f t="shared" si="40"/>
        <v>265877.07518304739</v>
      </c>
      <c r="L113" s="75">
        <v>400000</v>
      </c>
      <c r="M113" s="75">
        <f t="shared" si="37"/>
        <v>134122.92481695261</v>
      </c>
      <c r="N113" s="75"/>
      <c r="O113" s="75"/>
      <c r="P113" s="75"/>
    </row>
    <row r="114" spans="5:16">
      <c r="E114">
        <v>112</v>
      </c>
      <c r="F114" s="77">
        <f t="shared" si="38"/>
        <v>1717.829193638845</v>
      </c>
      <c r="G114" s="77">
        <f t="shared" si="35"/>
        <v>1105.279446400019</v>
      </c>
      <c r="H114" s="77">
        <f t="shared" si="39"/>
        <v>612.54974723882606</v>
      </c>
      <c r="I114" s="77">
        <f t="shared" si="36"/>
        <v>138769.21626995545</v>
      </c>
      <c r="J114" s="77">
        <f t="shared" si="36"/>
        <v>55345.482611234111</v>
      </c>
      <c r="K114" s="77">
        <f t="shared" si="40"/>
        <v>265267.06713600457</v>
      </c>
      <c r="L114" s="75">
        <v>400000</v>
      </c>
      <c r="M114" s="75">
        <f t="shared" si="37"/>
        <v>134732.93286399543</v>
      </c>
      <c r="N114" s="75"/>
      <c r="O114" s="75"/>
      <c r="P114" s="75"/>
    </row>
    <row r="115" spans="5:16">
      <c r="E115">
        <v>113</v>
      </c>
      <c r="F115" s="77">
        <f t="shared" si="38"/>
        <v>1717.829193638845</v>
      </c>
      <c r="G115" s="77">
        <f t="shared" si="35"/>
        <v>1102.727155786524</v>
      </c>
      <c r="H115" s="77">
        <f t="shared" si="39"/>
        <v>615.10203785232102</v>
      </c>
      <c r="I115" s="77">
        <f t="shared" si="36"/>
        <v>139871.94342574198</v>
      </c>
      <c r="J115" s="77">
        <f t="shared" si="36"/>
        <v>55960.584649086435</v>
      </c>
      <c r="K115" s="77">
        <f t="shared" si="40"/>
        <v>264654.51738876576</v>
      </c>
      <c r="L115" s="75">
        <v>400000</v>
      </c>
      <c r="M115" s="75">
        <f t="shared" si="37"/>
        <v>135345.48261123424</v>
      </c>
      <c r="N115" s="75"/>
      <c r="O115" s="75"/>
      <c r="P115" s="75"/>
    </row>
    <row r="116" spans="5:16">
      <c r="E116">
        <v>114</v>
      </c>
      <c r="F116" s="77">
        <f t="shared" si="38"/>
        <v>1717.829193638845</v>
      </c>
      <c r="G116" s="77">
        <f t="shared" si="35"/>
        <v>1100.1642306288059</v>
      </c>
      <c r="H116" s="77">
        <f t="shared" si="39"/>
        <v>617.66496301003917</v>
      </c>
      <c r="I116" s="77">
        <f t="shared" si="36"/>
        <v>140972.10765637079</v>
      </c>
      <c r="J116" s="77">
        <f t="shared" si="36"/>
        <v>56578.249612096472</v>
      </c>
      <c r="K116" s="77">
        <f t="shared" si="40"/>
        <v>264039.41535091342</v>
      </c>
      <c r="L116" s="75">
        <v>400000</v>
      </c>
      <c r="M116" s="75">
        <f t="shared" si="37"/>
        <v>135960.58464908658</v>
      </c>
      <c r="N116" s="75"/>
      <c r="O116" s="75"/>
      <c r="P116" s="75"/>
    </row>
    <row r="117" spans="5:16">
      <c r="E117">
        <v>115</v>
      </c>
      <c r="F117" s="77">
        <f t="shared" si="38"/>
        <v>1717.829193638845</v>
      </c>
      <c r="G117" s="77">
        <f t="shared" si="35"/>
        <v>1097.590626616264</v>
      </c>
      <c r="H117" s="77">
        <f t="shared" si="39"/>
        <v>620.23856702258104</v>
      </c>
      <c r="I117" s="77">
        <f t="shared" si="36"/>
        <v>142069.69828298705</v>
      </c>
      <c r="J117" s="77">
        <f t="shared" si="36"/>
        <v>57198.488179119049</v>
      </c>
      <c r="K117" s="77">
        <f t="shared" si="40"/>
        <v>263421.75038790336</v>
      </c>
      <c r="L117" s="75">
        <v>400000</v>
      </c>
      <c r="M117" s="75">
        <f t="shared" si="37"/>
        <v>136578.24961209664</v>
      </c>
      <c r="N117" s="75"/>
      <c r="O117" s="75"/>
      <c r="P117" s="75"/>
    </row>
    <row r="118" spans="5:16">
      <c r="E118">
        <v>116</v>
      </c>
      <c r="F118" s="77">
        <f t="shared" si="38"/>
        <v>1717.829193638845</v>
      </c>
      <c r="G118" s="77">
        <f t="shared" si="35"/>
        <v>1095.0062992536698</v>
      </c>
      <c r="H118" s="77">
        <f t="shared" si="39"/>
        <v>622.82289438517523</v>
      </c>
      <c r="I118" s="77">
        <f t="shared" si="36"/>
        <v>143164.70458224072</v>
      </c>
      <c r="J118" s="77">
        <f t="shared" si="36"/>
        <v>57821.311073504221</v>
      </c>
      <c r="K118" s="77">
        <f t="shared" si="40"/>
        <v>262801.51182088075</v>
      </c>
      <c r="L118" s="75">
        <v>400000</v>
      </c>
      <c r="M118" s="75">
        <f t="shared" si="37"/>
        <v>137198.48817911925</v>
      </c>
      <c r="N118" s="75"/>
      <c r="O118" s="75"/>
      <c r="P118" s="75"/>
    </row>
    <row r="119" spans="5:16">
      <c r="E119">
        <v>117</v>
      </c>
      <c r="F119" s="77">
        <f t="shared" si="38"/>
        <v>1717.829193638845</v>
      </c>
      <c r="G119" s="77">
        <f t="shared" si="35"/>
        <v>1092.411203860398</v>
      </c>
      <c r="H119" s="77">
        <f t="shared" si="39"/>
        <v>625.41798977844701</v>
      </c>
      <c r="I119" s="77">
        <f t="shared" si="36"/>
        <v>144257.11578610112</v>
      </c>
      <c r="J119" s="77">
        <f t="shared" si="36"/>
        <v>58446.72906328267</v>
      </c>
      <c r="K119" s="77">
        <f t="shared" si="40"/>
        <v>262178.68892649555</v>
      </c>
      <c r="L119" s="75">
        <v>400000</v>
      </c>
      <c r="M119" s="75">
        <f t="shared" si="37"/>
        <v>137821.31107350445</v>
      </c>
      <c r="N119" s="75"/>
      <c r="O119" s="75"/>
      <c r="P119" s="75"/>
    </row>
    <row r="120" spans="5:16">
      <c r="E120">
        <v>118</v>
      </c>
      <c r="F120" s="77">
        <f t="shared" si="38"/>
        <v>1717.829193638845</v>
      </c>
      <c r="G120" s="77">
        <f t="shared" si="35"/>
        <v>1089.8052955696546</v>
      </c>
      <c r="H120" s="77">
        <f t="shared" si="39"/>
        <v>628.02389806919041</v>
      </c>
      <c r="I120" s="77">
        <f t="shared" si="36"/>
        <v>145346.92108167076</v>
      </c>
      <c r="J120" s="77">
        <f t="shared" si="36"/>
        <v>59074.752961351864</v>
      </c>
      <c r="K120" s="77">
        <f t="shared" si="40"/>
        <v>261553.2709367171</v>
      </c>
      <c r="L120" s="75">
        <v>400000</v>
      </c>
      <c r="M120" s="75">
        <f t="shared" si="37"/>
        <v>138446.7290632829</v>
      </c>
      <c r="N120" s="75"/>
      <c r="O120" s="75"/>
      <c r="P120" s="75"/>
    </row>
    <row r="121" spans="5:16">
      <c r="E121">
        <v>119</v>
      </c>
      <c r="F121" s="77">
        <f t="shared" si="38"/>
        <v>1717.829193638845</v>
      </c>
      <c r="G121" s="77">
        <f t="shared" si="35"/>
        <v>1087.1885293276996</v>
      </c>
      <c r="H121" s="77">
        <f t="shared" si="39"/>
        <v>630.64066431114543</v>
      </c>
      <c r="I121" s="77">
        <f t="shared" si="36"/>
        <v>146434.10961099845</v>
      </c>
      <c r="J121" s="77">
        <f t="shared" si="36"/>
        <v>59705.393625663011</v>
      </c>
      <c r="K121" s="77">
        <f t="shared" si="40"/>
        <v>260925.24703864791</v>
      </c>
      <c r="L121" s="75">
        <v>400000</v>
      </c>
      <c r="M121" s="75">
        <f t="shared" si="37"/>
        <v>139074.75296135209</v>
      </c>
      <c r="N121" s="75"/>
      <c r="O121" s="75"/>
      <c r="P121" s="75"/>
    </row>
    <row r="122" spans="5:16">
      <c r="E122">
        <v>120</v>
      </c>
      <c r="F122" s="77">
        <f t="shared" si="38"/>
        <v>1717.829193638845</v>
      </c>
      <c r="G122" s="77">
        <f t="shared" si="35"/>
        <v>1084.5608598930698</v>
      </c>
      <c r="H122" s="77">
        <f t="shared" si="39"/>
        <v>633.26833374577518</v>
      </c>
      <c r="I122" s="77">
        <f t="shared" si="36"/>
        <v>147518.67047089152</v>
      </c>
      <c r="J122" s="77">
        <f t="shared" si="36"/>
        <v>60338.66195940879</v>
      </c>
      <c r="K122" s="77">
        <f t="shared" si="40"/>
        <v>260294.60637433676</v>
      </c>
      <c r="L122" s="75">
        <v>400000</v>
      </c>
      <c r="M122" s="75">
        <f t="shared" si="37"/>
        <v>139705.39362566324</v>
      </c>
      <c r="N122" s="75"/>
      <c r="O122" s="75"/>
      <c r="P122" s="75"/>
    </row>
    <row r="123" spans="5:16">
      <c r="E123">
        <v>121</v>
      </c>
      <c r="F123" s="77">
        <f t="shared" si="38"/>
        <v>1717.829193638845</v>
      </c>
      <c r="G123" s="77">
        <f t="shared" si="35"/>
        <v>1081.9222418357958</v>
      </c>
      <c r="H123" s="77">
        <f t="shared" si="39"/>
        <v>635.9069518030492</v>
      </c>
      <c r="I123" s="77">
        <f t="shared" si="36"/>
        <v>148600.59271272732</v>
      </c>
      <c r="J123" s="77">
        <f t="shared" si="36"/>
        <v>60974.568911211842</v>
      </c>
      <c r="K123" s="77">
        <f t="shared" si="40"/>
        <v>259661.33804059098</v>
      </c>
      <c r="L123" s="75">
        <v>400000</v>
      </c>
      <c r="M123" s="75">
        <f t="shared" si="37"/>
        <v>140338.66195940902</v>
      </c>
      <c r="N123" s="75"/>
      <c r="O123" s="75"/>
      <c r="P123" s="75"/>
    </row>
    <row r="124" spans="5:16">
      <c r="E124">
        <v>122</v>
      </c>
      <c r="F124" s="77">
        <f t="shared" si="38"/>
        <v>1717.829193638845</v>
      </c>
      <c r="G124" s="77">
        <f t="shared" si="35"/>
        <v>1079.2726295366165</v>
      </c>
      <c r="H124" s="77">
        <f t="shared" si="39"/>
        <v>638.55656410222855</v>
      </c>
      <c r="I124" s="77">
        <f t="shared" si="36"/>
        <v>149679.86534226395</v>
      </c>
      <c r="J124" s="77">
        <f t="shared" si="36"/>
        <v>61613.125475314067</v>
      </c>
      <c r="K124" s="77">
        <f t="shared" si="40"/>
        <v>259025.43108878794</v>
      </c>
      <c r="L124" s="75">
        <v>400000</v>
      </c>
      <c r="M124" s="75">
        <f t="shared" si="37"/>
        <v>140974.56891121206</v>
      </c>
      <c r="N124" s="75"/>
      <c r="O124" s="75"/>
      <c r="P124" s="75"/>
    </row>
    <row r="125" spans="5:16">
      <c r="E125">
        <v>123</v>
      </c>
      <c r="F125" s="77">
        <f t="shared" si="38"/>
        <v>1717.829193638845</v>
      </c>
      <c r="G125" s="77">
        <f t="shared" si="35"/>
        <v>1076.6119771861904</v>
      </c>
      <c r="H125" s="77">
        <f t="shared" si="39"/>
        <v>641.21721645265461</v>
      </c>
      <c r="I125" s="77">
        <f t="shared" si="36"/>
        <v>150756.47731945015</v>
      </c>
      <c r="J125" s="77">
        <f t="shared" si="36"/>
        <v>62254.342691766724</v>
      </c>
      <c r="K125" s="77">
        <f t="shared" si="40"/>
        <v>258386.8745246857</v>
      </c>
      <c r="L125" s="75">
        <v>400000</v>
      </c>
      <c r="M125" s="75">
        <f t="shared" si="37"/>
        <v>141613.1254753143</v>
      </c>
      <c r="N125" s="75"/>
      <c r="O125" s="75"/>
      <c r="P125" s="75"/>
    </row>
    <row r="126" spans="5:16">
      <c r="E126">
        <v>124</v>
      </c>
      <c r="F126" s="77">
        <f t="shared" si="38"/>
        <v>1717.829193638845</v>
      </c>
      <c r="G126" s="77">
        <f t="shared" si="35"/>
        <v>1073.9402387843045</v>
      </c>
      <c r="H126" s="77">
        <f t="shared" si="39"/>
        <v>643.88895485454054</v>
      </c>
      <c r="I126" s="77">
        <f t="shared" si="36"/>
        <v>151830.41755823445</v>
      </c>
      <c r="J126" s="77">
        <f t="shared" si="36"/>
        <v>62898.231646621265</v>
      </c>
      <c r="K126" s="77">
        <f t="shared" si="40"/>
        <v>257745.65730823306</v>
      </c>
      <c r="L126" s="75">
        <v>400000</v>
      </c>
      <c r="M126" s="75">
        <f t="shared" si="37"/>
        <v>142254.34269176694</v>
      </c>
      <c r="N126" s="75"/>
      <c r="O126" s="75"/>
      <c r="P126" s="75"/>
    </row>
    <row r="127" spans="5:16">
      <c r="E127">
        <v>125</v>
      </c>
      <c r="F127" s="77">
        <f t="shared" si="38"/>
        <v>1717.829193638845</v>
      </c>
      <c r="G127" s="77">
        <f t="shared" si="35"/>
        <v>1071.2573681390772</v>
      </c>
      <c r="H127" s="77">
        <f t="shared" si="39"/>
        <v>646.57182549976778</v>
      </c>
      <c r="I127" s="77">
        <f t="shared" si="36"/>
        <v>152901.67492637353</v>
      </c>
      <c r="J127" s="77">
        <f t="shared" si="36"/>
        <v>63544.803472121035</v>
      </c>
      <c r="K127" s="77">
        <f t="shared" si="40"/>
        <v>257101.76835337852</v>
      </c>
      <c r="L127" s="75">
        <v>400000</v>
      </c>
      <c r="M127" s="75">
        <f t="shared" si="37"/>
        <v>142898.23164662148</v>
      </c>
      <c r="N127" s="75"/>
      <c r="O127" s="75"/>
      <c r="P127" s="75"/>
    </row>
    <row r="128" spans="5:16">
      <c r="E128">
        <v>126</v>
      </c>
      <c r="F128" s="77">
        <f t="shared" si="38"/>
        <v>1717.829193638845</v>
      </c>
      <c r="G128" s="77">
        <f t="shared" si="35"/>
        <v>1068.5633188661614</v>
      </c>
      <c r="H128" s="77">
        <f t="shared" si="39"/>
        <v>649.26587477268367</v>
      </c>
      <c r="I128" s="77">
        <f t="shared" si="36"/>
        <v>153970.23824523969</v>
      </c>
      <c r="J128" s="77">
        <f t="shared" si="36"/>
        <v>64194.069346893717</v>
      </c>
      <c r="K128" s="77">
        <f t="shared" si="40"/>
        <v>256455.19652787875</v>
      </c>
      <c r="L128" s="75">
        <v>400000</v>
      </c>
      <c r="M128" s="75">
        <f t="shared" si="37"/>
        <v>143544.80347212125</v>
      </c>
      <c r="N128" s="75"/>
      <c r="O128" s="75"/>
      <c r="P128" s="75"/>
    </row>
    <row r="129" spans="5:16">
      <c r="E129">
        <v>127</v>
      </c>
      <c r="F129" s="77">
        <f t="shared" si="38"/>
        <v>1717.829193638845</v>
      </c>
      <c r="G129" s="77">
        <f t="shared" si="35"/>
        <v>1065.8580443879418</v>
      </c>
      <c r="H129" s="77">
        <f t="shared" si="39"/>
        <v>651.97114925090318</v>
      </c>
      <c r="I129" s="77">
        <f t="shared" si="36"/>
        <v>155036.09628962763</v>
      </c>
      <c r="J129" s="77">
        <f t="shared" si="36"/>
        <v>64846.040496144618</v>
      </c>
      <c r="K129" s="77">
        <f t="shared" si="40"/>
        <v>255805.93065310607</v>
      </c>
      <c r="L129" s="75">
        <v>400000</v>
      </c>
      <c r="M129" s="75">
        <f t="shared" si="37"/>
        <v>144194.06934689393</v>
      </c>
      <c r="N129" s="75"/>
      <c r="O129" s="75"/>
      <c r="P129" s="75"/>
    </row>
    <row r="130" spans="5:16">
      <c r="E130">
        <v>128</v>
      </c>
      <c r="F130" s="77">
        <f t="shared" si="38"/>
        <v>1717.829193638845</v>
      </c>
      <c r="G130" s="77">
        <f t="shared" ref="G130:G193" si="41">(B$4/B$6)*K130</f>
        <v>1063.1414979327299</v>
      </c>
      <c r="H130" s="77">
        <f t="shared" si="39"/>
        <v>654.68769570611516</v>
      </c>
      <c r="I130" s="77">
        <f t="shared" si="36"/>
        <v>156099.23778756036</v>
      </c>
      <c r="J130" s="77">
        <f t="shared" si="36"/>
        <v>65500.728191850736</v>
      </c>
      <c r="K130" s="77">
        <f t="shared" si="40"/>
        <v>255153.95950385518</v>
      </c>
      <c r="L130" s="75">
        <v>400000</v>
      </c>
      <c r="M130" s="75">
        <f t="shared" si="37"/>
        <v>144846.04049614482</v>
      </c>
      <c r="N130" s="75"/>
      <c r="O130" s="75"/>
      <c r="P130" s="75"/>
    </row>
    <row r="131" spans="5:16">
      <c r="E131">
        <v>129</v>
      </c>
      <c r="F131" s="77">
        <f t="shared" si="38"/>
        <v>1717.829193638845</v>
      </c>
      <c r="G131" s="77">
        <f t="shared" si="41"/>
        <v>1060.4136325339543</v>
      </c>
      <c r="H131" s="77">
        <f t="shared" si="39"/>
        <v>657.41556110489068</v>
      </c>
      <c r="I131" s="77">
        <f t="shared" ref="I131:J194" si="42">I130+G131</f>
        <v>157159.65142009431</v>
      </c>
      <c r="J131" s="77">
        <f t="shared" si="42"/>
        <v>66158.143752955628</v>
      </c>
      <c r="K131" s="77">
        <f t="shared" si="40"/>
        <v>254499.27180814906</v>
      </c>
      <c r="L131" s="75">
        <v>400000</v>
      </c>
      <c r="M131" s="75">
        <f t="shared" ref="M131:M194" si="43">L131-K131</f>
        <v>145500.72819185094</v>
      </c>
      <c r="N131" s="75"/>
      <c r="O131" s="75"/>
      <c r="P131" s="75"/>
    </row>
    <row r="132" spans="5:16">
      <c r="E132">
        <v>130</v>
      </c>
      <c r="F132" s="77">
        <f t="shared" ref="F132:F195" si="44">F131</f>
        <v>1717.829193638845</v>
      </c>
      <c r="G132" s="77">
        <f t="shared" si="41"/>
        <v>1057.6744010293507</v>
      </c>
      <c r="H132" s="77">
        <f t="shared" ref="H132:H195" si="45">F132-G132</f>
        <v>660.15479260949428</v>
      </c>
      <c r="I132" s="77">
        <f t="shared" si="42"/>
        <v>158217.32582112367</v>
      </c>
      <c r="J132" s="77">
        <f t="shared" si="42"/>
        <v>66818.298545565121</v>
      </c>
      <c r="K132" s="77">
        <f t="shared" ref="K132:K195" si="46">K131-H131</f>
        <v>253841.85624704417</v>
      </c>
      <c r="L132" s="75">
        <v>400000</v>
      </c>
      <c r="M132" s="75">
        <f t="shared" si="43"/>
        <v>146158.14375295583</v>
      </c>
      <c r="N132" s="75"/>
      <c r="O132" s="75"/>
      <c r="P132" s="75"/>
    </row>
    <row r="133" spans="5:16">
      <c r="E133">
        <v>131</v>
      </c>
      <c r="F133" s="77">
        <f t="shared" si="44"/>
        <v>1717.829193638845</v>
      </c>
      <c r="G133" s="77">
        <f t="shared" si="41"/>
        <v>1054.9237560601443</v>
      </c>
      <c r="H133" s="77">
        <f t="shared" si="45"/>
        <v>662.90543757870068</v>
      </c>
      <c r="I133" s="77">
        <f t="shared" si="42"/>
        <v>159272.2495771838</v>
      </c>
      <c r="J133" s="77">
        <f t="shared" si="42"/>
        <v>67481.203983143816</v>
      </c>
      <c r="K133" s="77">
        <f t="shared" si="46"/>
        <v>253181.70145443466</v>
      </c>
      <c r="L133" s="75">
        <v>400000</v>
      </c>
      <c r="M133" s="75">
        <f t="shared" si="43"/>
        <v>146818.29854556534</v>
      </c>
      <c r="N133" s="75"/>
      <c r="O133" s="75"/>
      <c r="P133" s="75"/>
    </row>
    <row r="134" spans="5:16">
      <c r="E134">
        <v>132</v>
      </c>
      <c r="F134" s="77">
        <f t="shared" si="44"/>
        <v>1717.829193638845</v>
      </c>
      <c r="G134" s="77">
        <f t="shared" si="41"/>
        <v>1052.161650070233</v>
      </c>
      <c r="H134" s="77">
        <f t="shared" si="45"/>
        <v>665.66754356861202</v>
      </c>
      <c r="I134" s="77">
        <f t="shared" si="42"/>
        <v>160324.41122725402</v>
      </c>
      <c r="J134" s="77">
        <f t="shared" si="42"/>
        <v>68146.871526712435</v>
      </c>
      <c r="K134" s="77">
        <f t="shared" si="46"/>
        <v>252518.79601685595</v>
      </c>
      <c r="L134" s="75">
        <v>400000</v>
      </c>
      <c r="M134" s="75">
        <f t="shared" si="43"/>
        <v>147481.20398314405</v>
      </c>
      <c r="N134" s="75"/>
      <c r="O134" s="75"/>
      <c r="P134" s="75"/>
    </row>
    <row r="135" spans="5:16">
      <c r="E135">
        <v>133</v>
      </c>
      <c r="F135" s="77">
        <f t="shared" si="44"/>
        <v>1717.829193638845</v>
      </c>
      <c r="G135" s="77">
        <f t="shared" si="41"/>
        <v>1049.3880353053639</v>
      </c>
      <c r="H135" s="77">
        <f t="shared" si="45"/>
        <v>668.4411583334811</v>
      </c>
      <c r="I135" s="77">
        <f t="shared" si="42"/>
        <v>161373.79926255939</v>
      </c>
      <c r="J135" s="77">
        <f t="shared" si="42"/>
        <v>68815.312685045923</v>
      </c>
      <c r="K135" s="77">
        <f t="shared" si="46"/>
        <v>251853.12847328733</v>
      </c>
      <c r="L135" s="75">
        <v>400000</v>
      </c>
      <c r="M135" s="75">
        <f t="shared" si="43"/>
        <v>148146.87152671267</v>
      </c>
      <c r="N135" s="75"/>
      <c r="O135" s="75"/>
      <c r="P135" s="75"/>
    </row>
    <row r="136" spans="5:16">
      <c r="E136">
        <v>134</v>
      </c>
      <c r="F136" s="77">
        <f t="shared" si="44"/>
        <v>1717.829193638845</v>
      </c>
      <c r="G136" s="77">
        <f t="shared" si="41"/>
        <v>1046.6028638123078</v>
      </c>
      <c r="H136" s="77">
        <f t="shared" si="45"/>
        <v>671.22632982653727</v>
      </c>
      <c r="I136" s="77">
        <f t="shared" si="42"/>
        <v>162420.40212637169</v>
      </c>
      <c r="J136" s="77">
        <f t="shared" si="42"/>
        <v>69486.539014872455</v>
      </c>
      <c r="K136" s="77">
        <f t="shared" si="46"/>
        <v>251184.68731495386</v>
      </c>
      <c r="L136" s="75">
        <v>400000</v>
      </c>
      <c r="M136" s="75">
        <f t="shared" si="43"/>
        <v>148815.31268504614</v>
      </c>
      <c r="N136" s="75"/>
      <c r="O136" s="75"/>
      <c r="P136" s="75"/>
    </row>
    <row r="137" spans="5:16">
      <c r="E137">
        <v>135</v>
      </c>
      <c r="F137" s="77">
        <f t="shared" si="44"/>
        <v>1717.829193638845</v>
      </c>
      <c r="G137" s="77">
        <f t="shared" si="41"/>
        <v>1043.8060874380305</v>
      </c>
      <c r="H137" s="77">
        <f t="shared" si="45"/>
        <v>674.02310620081448</v>
      </c>
      <c r="I137" s="77">
        <f t="shared" si="42"/>
        <v>163464.2082138097</v>
      </c>
      <c r="J137" s="77">
        <f t="shared" si="42"/>
        <v>70160.562121073264</v>
      </c>
      <c r="K137" s="77">
        <f t="shared" si="46"/>
        <v>250513.46098512731</v>
      </c>
      <c r="L137" s="75">
        <v>400000</v>
      </c>
      <c r="M137" s="75">
        <f t="shared" si="43"/>
        <v>149486.53901487269</v>
      </c>
      <c r="N137" s="75"/>
      <c r="O137" s="75"/>
      <c r="P137" s="75"/>
    </row>
    <row r="138" spans="5:16">
      <c r="E138">
        <v>136</v>
      </c>
      <c r="F138" s="77">
        <f t="shared" si="44"/>
        <v>1717.829193638845</v>
      </c>
      <c r="G138" s="77">
        <f t="shared" si="41"/>
        <v>1040.9976578288604</v>
      </c>
      <c r="H138" s="77">
        <f t="shared" si="45"/>
        <v>676.83153580998464</v>
      </c>
      <c r="I138" s="77">
        <f t="shared" si="42"/>
        <v>164505.20587163855</v>
      </c>
      <c r="J138" s="77">
        <f t="shared" si="42"/>
        <v>70837.393656883243</v>
      </c>
      <c r="K138" s="77">
        <f t="shared" si="46"/>
        <v>249839.43787892649</v>
      </c>
      <c r="L138" s="75">
        <v>400000</v>
      </c>
      <c r="M138" s="75">
        <f t="shared" si="43"/>
        <v>150160.56212107351</v>
      </c>
      <c r="N138" s="75"/>
      <c r="O138" s="75"/>
      <c r="P138" s="75"/>
    </row>
    <row r="139" spans="5:16">
      <c r="E139">
        <v>137</v>
      </c>
      <c r="F139" s="77">
        <f t="shared" si="44"/>
        <v>1717.829193638845</v>
      </c>
      <c r="G139" s="77">
        <f t="shared" si="41"/>
        <v>1038.1775264296521</v>
      </c>
      <c r="H139" s="77">
        <f t="shared" si="45"/>
        <v>679.65166720919296</v>
      </c>
      <c r="I139" s="77">
        <f t="shared" si="42"/>
        <v>165543.3833980682</v>
      </c>
      <c r="J139" s="77">
        <f t="shared" si="42"/>
        <v>71517.04532409244</v>
      </c>
      <c r="K139" s="77">
        <f t="shared" si="46"/>
        <v>249162.60634311649</v>
      </c>
      <c r="L139" s="75">
        <v>400000</v>
      </c>
      <c r="M139" s="75">
        <f t="shared" si="43"/>
        <v>150837.39365688351</v>
      </c>
      <c r="N139" s="75"/>
      <c r="O139" s="75"/>
      <c r="P139" s="75"/>
    </row>
    <row r="140" spans="5:16">
      <c r="E140">
        <v>138</v>
      </c>
      <c r="F140" s="77">
        <f t="shared" si="44"/>
        <v>1717.829193638845</v>
      </c>
      <c r="G140" s="77">
        <f t="shared" si="41"/>
        <v>1035.3456444829471</v>
      </c>
      <c r="H140" s="77">
        <f t="shared" si="45"/>
        <v>682.48354915589789</v>
      </c>
      <c r="I140" s="77">
        <f t="shared" si="42"/>
        <v>166578.72904255113</v>
      </c>
      <c r="J140" s="77">
        <f t="shared" si="42"/>
        <v>72199.528873248331</v>
      </c>
      <c r="K140" s="77">
        <f t="shared" si="46"/>
        <v>248482.9546759073</v>
      </c>
      <c r="L140" s="75">
        <v>400000</v>
      </c>
      <c r="M140" s="75">
        <f t="shared" si="43"/>
        <v>151517.0453240927</v>
      </c>
      <c r="N140" s="75"/>
      <c r="O140" s="75"/>
      <c r="P140" s="75"/>
    </row>
    <row r="141" spans="5:16">
      <c r="E141">
        <v>139</v>
      </c>
      <c r="F141" s="77">
        <f t="shared" si="44"/>
        <v>1717.829193638845</v>
      </c>
      <c r="G141" s="77">
        <f t="shared" si="41"/>
        <v>1032.5019630281308</v>
      </c>
      <c r="H141" s="77">
        <f t="shared" si="45"/>
        <v>685.3272306107142</v>
      </c>
      <c r="I141" s="77">
        <f t="shared" si="42"/>
        <v>167611.23100557926</v>
      </c>
      <c r="J141" s="77">
        <f t="shared" si="42"/>
        <v>72884.856103859041</v>
      </c>
      <c r="K141" s="77">
        <f t="shared" si="46"/>
        <v>247800.47112675139</v>
      </c>
      <c r="L141" s="75">
        <v>400000</v>
      </c>
      <c r="M141" s="75">
        <f t="shared" si="43"/>
        <v>152199.52887324861</v>
      </c>
      <c r="N141" s="75"/>
      <c r="O141" s="75"/>
      <c r="P141" s="75"/>
    </row>
    <row r="142" spans="5:16">
      <c r="E142">
        <v>140</v>
      </c>
      <c r="F142" s="77">
        <f t="shared" si="44"/>
        <v>1717.829193638845</v>
      </c>
      <c r="G142" s="77">
        <f t="shared" si="41"/>
        <v>1029.6464329005862</v>
      </c>
      <c r="H142" s="77">
        <f t="shared" si="45"/>
        <v>688.18276073825882</v>
      </c>
      <c r="I142" s="77">
        <f t="shared" si="42"/>
        <v>168640.87743847986</v>
      </c>
      <c r="J142" s="77">
        <f t="shared" si="42"/>
        <v>73573.0388645973</v>
      </c>
      <c r="K142" s="77">
        <f t="shared" si="46"/>
        <v>247115.14389614068</v>
      </c>
      <c r="L142" s="75">
        <v>400000</v>
      </c>
      <c r="M142" s="75">
        <f t="shared" si="43"/>
        <v>152884.85610385932</v>
      </c>
      <c r="N142" s="75"/>
      <c r="O142" s="75"/>
      <c r="P142" s="75"/>
    </row>
    <row r="143" spans="5:16">
      <c r="E143">
        <v>141</v>
      </c>
      <c r="F143" s="77">
        <f t="shared" si="44"/>
        <v>1717.829193638845</v>
      </c>
      <c r="G143" s="77">
        <f t="shared" si="41"/>
        <v>1026.7790047308433</v>
      </c>
      <c r="H143" s="77">
        <f t="shared" si="45"/>
        <v>691.0501889080017</v>
      </c>
      <c r="I143" s="77">
        <f t="shared" si="42"/>
        <v>169667.6564432107</v>
      </c>
      <c r="J143" s="77">
        <f t="shared" si="42"/>
        <v>74264.089053505304</v>
      </c>
      <c r="K143" s="77">
        <f t="shared" si="46"/>
        <v>246426.96113540241</v>
      </c>
      <c r="L143" s="75">
        <v>400000</v>
      </c>
      <c r="M143" s="75">
        <f t="shared" si="43"/>
        <v>153573.03886459759</v>
      </c>
      <c r="N143" s="75"/>
      <c r="O143" s="75"/>
      <c r="P143" s="75"/>
    </row>
    <row r="144" spans="5:16">
      <c r="E144">
        <v>142</v>
      </c>
      <c r="F144" s="77">
        <f t="shared" si="44"/>
        <v>1717.829193638845</v>
      </c>
      <c r="G144" s="77">
        <f t="shared" si="41"/>
        <v>1023.8996289437267</v>
      </c>
      <c r="H144" s="77">
        <f t="shared" si="45"/>
        <v>693.9295646951183</v>
      </c>
      <c r="I144" s="77">
        <f t="shared" si="42"/>
        <v>170691.55607215443</v>
      </c>
      <c r="J144" s="77">
        <f t="shared" si="42"/>
        <v>74958.018618200425</v>
      </c>
      <c r="K144" s="77">
        <f t="shared" si="46"/>
        <v>245735.9109464944</v>
      </c>
      <c r="L144" s="75">
        <v>400000</v>
      </c>
      <c r="M144" s="75">
        <f t="shared" si="43"/>
        <v>154264.0890535056</v>
      </c>
      <c r="N144" s="75"/>
      <c r="O144" s="75"/>
      <c r="P144" s="75"/>
    </row>
    <row r="145" spans="5:16">
      <c r="E145">
        <v>143</v>
      </c>
      <c r="F145" s="77">
        <f t="shared" si="44"/>
        <v>1717.829193638845</v>
      </c>
      <c r="G145" s="77">
        <f t="shared" si="41"/>
        <v>1021.0082557574971</v>
      </c>
      <c r="H145" s="77">
        <f t="shared" si="45"/>
        <v>696.82093788134796</v>
      </c>
      <c r="I145" s="77">
        <f t="shared" si="42"/>
        <v>171712.56432791194</v>
      </c>
      <c r="J145" s="77">
        <f t="shared" si="42"/>
        <v>75654.839556081773</v>
      </c>
      <c r="K145" s="77">
        <f t="shared" si="46"/>
        <v>245041.9813817993</v>
      </c>
      <c r="L145" s="75">
        <v>400000</v>
      </c>
      <c r="M145" s="75">
        <f t="shared" si="43"/>
        <v>154958.0186182007</v>
      </c>
      <c r="N145" s="75"/>
      <c r="O145" s="75"/>
      <c r="P145" s="75"/>
    </row>
    <row r="146" spans="5:16">
      <c r="E146">
        <v>144</v>
      </c>
      <c r="F146" s="77">
        <f t="shared" si="44"/>
        <v>1717.829193638845</v>
      </c>
      <c r="G146" s="77">
        <f t="shared" si="41"/>
        <v>1018.1048351829915</v>
      </c>
      <c r="H146" s="77">
        <f t="shared" si="45"/>
        <v>699.72435845585358</v>
      </c>
      <c r="I146" s="77">
        <f t="shared" si="42"/>
        <v>172730.66916309492</v>
      </c>
      <c r="J146" s="77">
        <f t="shared" si="42"/>
        <v>76354.563914537634</v>
      </c>
      <c r="K146" s="77">
        <f t="shared" si="46"/>
        <v>244345.16044391796</v>
      </c>
      <c r="L146" s="75">
        <v>400000</v>
      </c>
      <c r="M146" s="75">
        <f t="shared" si="43"/>
        <v>155654.83955608204</v>
      </c>
      <c r="N146" s="75"/>
      <c r="O146" s="75"/>
      <c r="P146" s="75"/>
    </row>
    <row r="147" spans="5:16">
      <c r="E147">
        <v>145</v>
      </c>
      <c r="F147" s="77">
        <f t="shared" si="44"/>
        <v>1717.829193638845</v>
      </c>
      <c r="G147" s="77">
        <f t="shared" si="41"/>
        <v>1015.1893170227587</v>
      </c>
      <c r="H147" s="77">
        <f t="shared" si="45"/>
        <v>702.63987661608633</v>
      </c>
      <c r="I147" s="77">
        <f t="shared" si="42"/>
        <v>173745.85848011769</v>
      </c>
      <c r="J147" s="77">
        <f t="shared" si="42"/>
        <v>77057.203791153719</v>
      </c>
      <c r="K147" s="77">
        <f t="shared" si="46"/>
        <v>243645.4360854621</v>
      </c>
      <c r="L147" s="75">
        <v>400000</v>
      </c>
      <c r="M147" s="75">
        <f t="shared" si="43"/>
        <v>156354.5639145379</v>
      </c>
      <c r="N147" s="75"/>
      <c r="O147" s="75"/>
      <c r="P147" s="75"/>
    </row>
    <row r="148" spans="5:16">
      <c r="E148">
        <v>146</v>
      </c>
      <c r="F148" s="77">
        <f t="shared" si="44"/>
        <v>1717.829193638845</v>
      </c>
      <c r="G148" s="77">
        <f t="shared" si="41"/>
        <v>1012.2616508701917</v>
      </c>
      <c r="H148" s="77">
        <f t="shared" si="45"/>
        <v>705.56754276865331</v>
      </c>
      <c r="I148" s="77">
        <f t="shared" si="42"/>
        <v>174758.1201309879</v>
      </c>
      <c r="J148" s="77">
        <f t="shared" si="42"/>
        <v>77762.77133392237</v>
      </c>
      <c r="K148" s="77">
        <f t="shared" si="46"/>
        <v>242942.796208846</v>
      </c>
      <c r="L148" s="75">
        <v>400000</v>
      </c>
      <c r="M148" s="75">
        <f t="shared" si="43"/>
        <v>157057.203791154</v>
      </c>
      <c r="N148" s="75"/>
      <c r="O148" s="75"/>
      <c r="P148" s="75"/>
    </row>
    <row r="149" spans="5:16">
      <c r="E149">
        <v>147</v>
      </c>
      <c r="F149" s="77">
        <f t="shared" si="44"/>
        <v>1717.829193638845</v>
      </c>
      <c r="G149" s="77">
        <f t="shared" si="41"/>
        <v>1009.3217861086556</v>
      </c>
      <c r="H149" s="77">
        <f t="shared" si="45"/>
        <v>708.50740753018943</v>
      </c>
      <c r="I149" s="77">
        <f t="shared" si="42"/>
        <v>175767.44191709656</v>
      </c>
      <c r="J149" s="77">
        <f t="shared" si="42"/>
        <v>78471.278741452566</v>
      </c>
      <c r="K149" s="77">
        <f t="shared" si="46"/>
        <v>242237.22866607734</v>
      </c>
      <c r="L149" s="75">
        <v>400000</v>
      </c>
      <c r="M149" s="75">
        <f t="shared" si="43"/>
        <v>157762.77133392266</v>
      </c>
      <c r="N149" s="75"/>
      <c r="O149" s="75"/>
      <c r="P149" s="75"/>
    </row>
    <row r="150" spans="5:16">
      <c r="E150">
        <v>148</v>
      </c>
      <c r="F150" s="77">
        <f t="shared" si="44"/>
        <v>1717.829193638845</v>
      </c>
      <c r="G150" s="77">
        <f t="shared" si="41"/>
        <v>1006.3696719106132</v>
      </c>
      <c r="H150" s="77">
        <f t="shared" si="45"/>
        <v>711.45952172823183</v>
      </c>
      <c r="I150" s="77">
        <f t="shared" si="42"/>
        <v>176773.81158900718</v>
      </c>
      <c r="J150" s="77">
        <f t="shared" si="42"/>
        <v>79182.7382631808</v>
      </c>
      <c r="K150" s="77">
        <f t="shared" si="46"/>
        <v>241528.72125854716</v>
      </c>
      <c r="L150" s="75">
        <v>400000</v>
      </c>
      <c r="M150" s="75">
        <f t="shared" si="43"/>
        <v>158471.27874145284</v>
      </c>
      <c r="N150" s="75"/>
      <c r="O150" s="75"/>
      <c r="P150" s="75"/>
    </row>
    <row r="151" spans="5:16">
      <c r="E151">
        <v>149</v>
      </c>
      <c r="F151" s="77">
        <f t="shared" si="44"/>
        <v>1717.829193638845</v>
      </c>
      <c r="G151" s="77">
        <f t="shared" si="41"/>
        <v>1003.4052572367456</v>
      </c>
      <c r="H151" s="77">
        <f t="shared" si="45"/>
        <v>714.42393640209946</v>
      </c>
      <c r="I151" s="77">
        <f t="shared" si="42"/>
        <v>177777.21684624391</v>
      </c>
      <c r="J151" s="77">
        <f t="shared" si="42"/>
        <v>79897.162199582905</v>
      </c>
      <c r="K151" s="77">
        <f t="shared" si="46"/>
        <v>240817.26173681894</v>
      </c>
      <c r="L151" s="75">
        <v>400000</v>
      </c>
      <c r="M151" s="75">
        <f t="shared" si="43"/>
        <v>159182.73826318106</v>
      </c>
      <c r="N151" s="75"/>
      <c r="O151" s="75"/>
      <c r="P151" s="75"/>
    </row>
    <row r="152" spans="5:16">
      <c r="E152">
        <v>150</v>
      </c>
      <c r="F152" s="77">
        <f t="shared" si="44"/>
        <v>1717.829193638845</v>
      </c>
      <c r="G152" s="77">
        <f t="shared" si="41"/>
        <v>1000.4284908350701</v>
      </c>
      <c r="H152" s="77">
        <f t="shared" si="45"/>
        <v>717.40070280377495</v>
      </c>
      <c r="I152" s="77">
        <f t="shared" si="42"/>
        <v>178777.64533707898</v>
      </c>
      <c r="J152" s="77">
        <f t="shared" si="42"/>
        <v>80614.562902386679</v>
      </c>
      <c r="K152" s="77">
        <f t="shared" si="46"/>
        <v>240102.83780041683</v>
      </c>
      <c r="L152" s="75">
        <v>400000</v>
      </c>
      <c r="M152" s="75">
        <f t="shared" si="43"/>
        <v>159897.16219958317</v>
      </c>
      <c r="N152" s="75"/>
      <c r="O152" s="75"/>
      <c r="P152" s="75"/>
    </row>
    <row r="153" spans="5:16">
      <c r="E153">
        <v>151</v>
      </c>
      <c r="F153" s="77">
        <f t="shared" si="44"/>
        <v>1717.829193638845</v>
      </c>
      <c r="G153" s="77">
        <f t="shared" si="41"/>
        <v>997.43932124005437</v>
      </c>
      <c r="H153" s="77">
        <f t="shared" si="45"/>
        <v>720.38987239879066</v>
      </c>
      <c r="I153" s="77">
        <f t="shared" si="42"/>
        <v>179775.08465831904</v>
      </c>
      <c r="J153" s="77">
        <f t="shared" si="42"/>
        <v>81334.952774785474</v>
      </c>
      <c r="K153" s="77">
        <f t="shared" si="46"/>
        <v>239385.43709761306</v>
      </c>
      <c r="L153" s="75">
        <v>400000</v>
      </c>
      <c r="M153" s="75">
        <f t="shared" si="43"/>
        <v>160614.56290238694</v>
      </c>
      <c r="N153" s="75"/>
      <c r="O153" s="75"/>
      <c r="P153" s="75"/>
    </row>
    <row r="154" spans="5:16">
      <c r="E154">
        <v>152</v>
      </c>
      <c r="F154" s="77">
        <f t="shared" si="44"/>
        <v>1717.829193638845</v>
      </c>
      <c r="G154" s="77">
        <f t="shared" si="41"/>
        <v>994.43769677172611</v>
      </c>
      <c r="H154" s="77">
        <f t="shared" si="45"/>
        <v>723.39149686711892</v>
      </c>
      <c r="I154" s="77">
        <f t="shared" si="42"/>
        <v>180769.52235509077</v>
      </c>
      <c r="J154" s="77">
        <f t="shared" si="42"/>
        <v>82058.34427165259</v>
      </c>
      <c r="K154" s="77">
        <f t="shared" si="46"/>
        <v>238665.04722521428</v>
      </c>
      <c r="L154" s="75">
        <v>400000</v>
      </c>
      <c r="M154" s="75">
        <f t="shared" si="43"/>
        <v>161334.95277478572</v>
      </c>
      <c r="N154" s="75"/>
      <c r="O154" s="75"/>
      <c r="P154" s="75"/>
    </row>
    <row r="155" spans="5:16">
      <c r="E155">
        <v>153</v>
      </c>
      <c r="F155" s="77">
        <f t="shared" si="44"/>
        <v>1717.829193638845</v>
      </c>
      <c r="G155" s="77">
        <f t="shared" si="41"/>
        <v>991.42356553477987</v>
      </c>
      <c r="H155" s="77">
        <f t="shared" si="45"/>
        <v>726.40562810406516</v>
      </c>
      <c r="I155" s="77">
        <f t="shared" si="42"/>
        <v>181760.94592062556</v>
      </c>
      <c r="J155" s="77">
        <f t="shared" si="42"/>
        <v>82784.749899756658</v>
      </c>
      <c r="K155" s="77">
        <f t="shared" si="46"/>
        <v>237941.65572834716</v>
      </c>
      <c r="L155" s="75">
        <v>400000</v>
      </c>
      <c r="M155" s="75">
        <f t="shared" si="43"/>
        <v>162058.34427165284</v>
      </c>
      <c r="N155" s="75"/>
      <c r="O155" s="75"/>
      <c r="P155" s="75"/>
    </row>
    <row r="156" spans="5:16">
      <c r="E156">
        <v>154</v>
      </c>
      <c r="F156" s="77">
        <f t="shared" si="44"/>
        <v>1717.829193638845</v>
      </c>
      <c r="G156" s="77">
        <f t="shared" si="41"/>
        <v>988.39687541767955</v>
      </c>
      <c r="H156" s="77">
        <f t="shared" si="45"/>
        <v>729.43231822116547</v>
      </c>
      <c r="I156" s="77">
        <f t="shared" si="42"/>
        <v>182749.34279604323</v>
      </c>
      <c r="J156" s="77">
        <f t="shared" si="42"/>
        <v>83514.182217977825</v>
      </c>
      <c r="K156" s="77">
        <f t="shared" si="46"/>
        <v>237215.25010024311</v>
      </c>
      <c r="L156" s="75">
        <v>400000</v>
      </c>
      <c r="M156" s="75">
        <f t="shared" si="43"/>
        <v>162784.74989975689</v>
      </c>
      <c r="N156" s="75"/>
      <c r="O156" s="75"/>
      <c r="P156" s="75"/>
    </row>
    <row r="157" spans="5:16">
      <c r="E157">
        <v>155</v>
      </c>
      <c r="F157" s="77">
        <f t="shared" si="44"/>
        <v>1717.829193638845</v>
      </c>
      <c r="G157" s="77">
        <f t="shared" si="41"/>
        <v>985.35757409175812</v>
      </c>
      <c r="H157" s="77">
        <f t="shared" si="45"/>
        <v>732.4716195470869</v>
      </c>
      <c r="I157" s="77">
        <f t="shared" si="42"/>
        <v>183734.70037013499</v>
      </c>
      <c r="J157" s="77">
        <f t="shared" si="42"/>
        <v>84246.653837524907</v>
      </c>
      <c r="K157" s="77">
        <f t="shared" si="46"/>
        <v>236485.81778202194</v>
      </c>
      <c r="L157" s="75">
        <v>400000</v>
      </c>
      <c r="M157" s="75">
        <f t="shared" si="43"/>
        <v>163514.18221797806</v>
      </c>
      <c r="N157" s="75"/>
      <c r="O157" s="75"/>
      <c r="P157" s="75"/>
    </row>
    <row r="158" spans="5:16">
      <c r="E158">
        <v>156</v>
      </c>
      <c r="F158" s="77">
        <f t="shared" si="44"/>
        <v>1717.829193638845</v>
      </c>
      <c r="G158" s="77">
        <f t="shared" si="41"/>
        <v>982.30560901031185</v>
      </c>
      <c r="H158" s="77">
        <f t="shared" si="45"/>
        <v>735.52358462853317</v>
      </c>
      <c r="I158" s="77">
        <f t="shared" si="42"/>
        <v>184717.00597914529</v>
      </c>
      <c r="J158" s="77">
        <f t="shared" si="42"/>
        <v>84982.177422153443</v>
      </c>
      <c r="K158" s="77">
        <f t="shared" si="46"/>
        <v>235753.34616247486</v>
      </c>
      <c r="L158" s="75">
        <v>400000</v>
      </c>
      <c r="M158" s="75">
        <f t="shared" si="43"/>
        <v>164246.65383752514</v>
      </c>
      <c r="N158" s="75"/>
      <c r="O158" s="75"/>
      <c r="P158" s="75"/>
    </row>
    <row r="159" spans="5:16">
      <c r="E159">
        <v>157</v>
      </c>
      <c r="F159" s="77">
        <f t="shared" si="44"/>
        <v>1717.829193638845</v>
      </c>
      <c r="G159" s="77">
        <f t="shared" si="41"/>
        <v>979.24092740769299</v>
      </c>
      <c r="H159" s="77">
        <f t="shared" si="45"/>
        <v>738.58826623115203</v>
      </c>
      <c r="I159" s="77">
        <f t="shared" si="42"/>
        <v>185696.24690655299</v>
      </c>
      <c r="J159" s="77">
        <f t="shared" si="42"/>
        <v>85720.765688384592</v>
      </c>
      <c r="K159" s="77">
        <f t="shared" si="46"/>
        <v>235017.82257784632</v>
      </c>
      <c r="L159" s="75">
        <v>400000</v>
      </c>
      <c r="M159" s="75">
        <f t="shared" si="43"/>
        <v>164982.17742215368</v>
      </c>
      <c r="N159" s="75"/>
      <c r="O159" s="75"/>
      <c r="P159" s="75"/>
    </row>
    <row r="160" spans="5:16">
      <c r="E160">
        <v>158</v>
      </c>
      <c r="F160" s="77">
        <f t="shared" si="44"/>
        <v>1717.829193638845</v>
      </c>
      <c r="G160" s="77">
        <f t="shared" si="41"/>
        <v>976.16347629839652</v>
      </c>
      <c r="H160" s="77">
        <f t="shared" si="45"/>
        <v>741.66571734044851</v>
      </c>
      <c r="I160" s="77">
        <f t="shared" si="42"/>
        <v>186672.41038285138</v>
      </c>
      <c r="J160" s="77">
        <f t="shared" si="42"/>
        <v>86462.431405725045</v>
      </c>
      <c r="K160" s="77">
        <f t="shared" si="46"/>
        <v>234279.23431161518</v>
      </c>
      <c r="L160" s="75">
        <v>400000</v>
      </c>
      <c r="M160" s="75">
        <f t="shared" si="43"/>
        <v>165720.76568838482</v>
      </c>
      <c r="N160" s="75"/>
      <c r="O160" s="75"/>
      <c r="P160" s="75"/>
    </row>
    <row r="161" spans="5:16">
      <c r="E161">
        <v>159</v>
      </c>
      <c r="F161" s="77">
        <f t="shared" si="44"/>
        <v>1717.829193638845</v>
      </c>
      <c r="G161" s="77">
        <f t="shared" si="41"/>
        <v>973.07320247614462</v>
      </c>
      <c r="H161" s="77">
        <f t="shared" si="45"/>
        <v>744.75599116270041</v>
      </c>
      <c r="I161" s="77">
        <f t="shared" si="42"/>
        <v>187645.48358532751</v>
      </c>
      <c r="J161" s="77">
        <f t="shared" si="42"/>
        <v>87207.187396887748</v>
      </c>
      <c r="K161" s="77">
        <f t="shared" si="46"/>
        <v>233537.56859427472</v>
      </c>
      <c r="L161" s="75">
        <v>400000</v>
      </c>
      <c r="M161" s="75">
        <f t="shared" si="43"/>
        <v>166462.43140572528</v>
      </c>
      <c r="N161" s="75"/>
      <c r="O161" s="75"/>
      <c r="P161" s="75"/>
    </row>
    <row r="162" spans="5:16">
      <c r="E162">
        <v>160</v>
      </c>
      <c r="F162" s="77">
        <f t="shared" si="44"/>
        <v>1717.829193638845</v>
      </c>
      <c r="G162" s="77">
        <f t="shared" si="41"/>
        <v>969.97005251296673</v>
      </c>
      <c r="H162" s="77">
        <f t="shared" si="45"/>
        <v>747.8591411258783</v>
      </c>
      <c r="I162" s="77">
        <f t="shared" si="42"/>
        <v>188615.45363784049</v>
      </c>
      <c r="J162" s="77">
        <f t="shared" si="42"/>
        <v>87955.04653801363</v>
      </c>
      <c r="K162" s="77">
        <f t="shared" si="46"/>
        <v>232792.81260311202</v>
      </c>
      <c r="L162" s="75">
        <v>400000</v>
      </c>
      <c r="M162" s="75">
        <f t="shared" si="43"/>
        <v>167207.18739688798</v>
      </c>
      <c r="N162" s="75"/>
      <c r="O162" s="75"/>
      <c r="P162" s="75"/>
    </row>
    <row r="163" spans="5:16">
      <c r="E163">
        <v>161</v>
      </c>
      <c r="F163" s="77">
        <f t="shared" si="44"/>
        <v>1717.829193638845</v>
      </c>
      <c r="G163" s="77">
        <f t="shared" si="41"/>
        <v>966.85397275827563</v>
      </c>
      <c r="H163" s="77">
        <f t="shared" si="45"/>
        <v>750.9752208805694</v>
      </c>
      <c r="I163" s="77">
        <f t="shared" si="42"/>
        <v>189582.30761059877</v>
      </c>
      <c r="J163" s="77">
        <f t="shared" si="42"/>
        <v>88706.021758894203</v>
      </c>
      <c r="K163" s="77">
        <f t="shared" si="46"/>
        <v>232044.95346198615</v>
      </c>
      <c r="L163" s="75">
        <v>400000</v>
      </c>
      <c r="M163" s="75">
        <f t="shared" si="43"/>
        <v>167955.04653801385</v>
      </c>
      <c r="N163" s="75"/>
      <c r="O163" s="75"/>
      <c r="P163" s="75"/>
    </row>
    <row r="164" spans="5:16">
      <c r="E164">
        <v>162</v>
      </c>
      <c r="F164" s="77">
        <f t="shared" si="44"/>
        <v>1717.829193638845</v>
      </c>
      <c r="G164" s="77">
        <f t="shared" si="41"/>
        <v>963.72490933793995</v>
      </c>
      <c r="H164" s="77">
        <f t="shared" si="45"/>
        <v>754.10428430090508</v>
      </c>
      <c r="I164" s="77">
        <f t="shared" si="42"/>
        <v>190546.03251993671</v>
      </c>
      <c r="J164" s="77">
        <f t="shared" si="42"/>
        <v>89460.126043195109</v>
      </c>
      <c r="K164" s="77">
        <f t="shared" si="46"/>
        <v>231293.97824110559</v>
      </c>
      <c r="L164" s="75">
        <v>400000</v>
      </c>
      <c r="M164" s="75">
        <f t="shared" si="43"/>
        <v>168706.02175889441</v>
      </c>
      <c r="N164" s="75"/>
      <c r="O164" s="75"/>
      <c r="P164" s="75"/>
    </row>
    <row r="165" spans="5:16">
      <c r="E165">
        <v>163</v>
      </c>
      <c r="F165" s="77">
        <f t="shared" si="44"/>
        <v>1717.829193638845</v>
      </c>
      <c r="G165" s="77">
        <f t="shared" si="41"/>
        <v>960.58280815335286</v>
      </c>
      <c r="H165" s="77">
        <f t="shared" si="45"/>
        <v>757.24638548549217</v>
      </c>
      <c r="I165" s="77">
        <f t="shared" si="42"/>
        <v>191506.61532809006</v>
      </c>
      <c r="J165" s="77">
        <f t="shared" si="42"/>
        <v>90217.372428680595</v>
      </c>
      <c r="K165" s="77">
        <f t="shared" si="46"/>
        <v>230539.87395680469</v>
      </c>
      <c r="L165" s="75">
        <v>400000</v>
      </c>
      <c r="M165" s="75">
        <f t="shared" si="43"/>
        <v>169460.12604319531</v>
      </c>
      <c r="N165" s="75"/>
      <c r="O165" s="75"/>
      <c r="P165" s="75"/>
    </row>
    <row r="166" spans="5:16">
      <c r="E166">
        <v>164</v>
      </c>
      <c r="F166" s="77">
        <f t="shared" si="44"/>
        <v>1717.829193638845</v>
      </c>
      <c r="G166" s="77">
        <f t="shared" si="41"/>
        <v>957.42761488049666</v>
      </c>
      <c r="H166" s="77">
        <f t="shared" si="45"/>
        <v>760.40157875834836</v>
      </c>
      <c r="I166" s="77">
        <f t="shared" si="42"/>
        <v>192464.04294297055</v>
      </c>
      <c r="J166" s="77">
        <f t="shared" si="42"/>
        <v>90977.774007438944</v>
      </c>
      <c r="K166" s="77">
        <f t="shared" si="46"/>
        <v>229782.6275713192</v>
      </c>
      <c r="L166" s="75">
        <v>400000</v>
      </c>
      <c r="M166" s="75">
        <f t="shared" si="43"/>
        <v>170217.3724286808</v>
      </c>
      <c r="N166" s="75"/>
      <c r="O166" s="75"/>
      <c r="P166" s="75"/>
    </row>
    <row r="167" spans="5:16">
      <c r="E167">
        <v>165</v>
      </c>
      <c r="F167" s="77">
        <f t="shared" si="44"/>
        <v>1717.829193638845</v>
      </c>
      <c r="G167" s="77">
        <f t="shared" si="41"/>
        <v>954.25927496900351</v>
      </c>
      <c r="H167" s="77">
        <f t="shared" si="45"/>
        <v>763.56991866984151</v>
      </c>
      <c r="I167" s="77">
        <f t="shared" si="42"/>
        <v>193418.30221793955</v>
      </c>
      <c r="J167" s="77">
        <f t="shared" si="42"/>
        <v>91741.343926108791</v>
      </c>
      <c r="K167" s="77">
        <f t="shared" si="46"/>
        <v>229022.22599256085</v>
      </c>
      <c r="L167" s="75">
        <v>400000</v>
      </c>
      <c r="M167" s="75">
        <f t="shared" si="43"/>
        <v>170977.77400743915</v>
      </c>
      <c r="N167" s="75"/>
      <c r="O167" s="75"/>
      <c r="P167" s="75"/>
    </row>
    <row r="168" spans="5:16">
      <c r="E168">
        <v>166</v>
      </c>
      <c r="F168" s="77">
        <f t="shared" si="44"/>
        <v>1717.829193638845</v>
      </c>
      <c r="G168" s="77">
        <f t="shared" si="41"/>
        <v>951.07773364121249</v>
      </c>
      <c r="H168" s="77">
        <f t="shared" si="45"/>
        <v>766.75145999763254</v>
      </c>
      <c r="I168" s="77">
        <f t="shared" si="42"/>
        <v>194369.37995158075</v>
      </c>
      <c r="J168" s="77">
        <f t="shared" si="42"/>
        <v>92508.095386106419</v>
      </c>
      <c r="K168" s="77">
        <f t="shared" si="46"/>
        <v>228258.656073891</v>
      </c>
      <c r="L168" s="75">
        <v>400000</v>
      </c>
      <c r="M168" s="75">
        <f t="shared" si="43"/>
        <v>171741.343926109</v>
      </c>
      <c r="N168" s="75"/>
      <c r="O168" s="75"/>
      <c r="P168" s="75"/>
    </row>
    <row r="169" spans="5:16">
      <c r="E169">
        <v>167</v>
      </c>
      <c r="F169" s="77">
        <f t="shared" si="44"/>
        <v>1717.829193638845</v>
      </c>
      <c r="G169" s="77">
        <f t="shared" si="41"/>
        <v>947.88293589122236</v>
      </c>
      <c r="H169" s="77">
        <f t="shared" si="45"/>
        <v>769.94625774762267</v>
      </c>
      <c r="I169" s="77">
        <f t="shared" si="42"/>
        <v>195317.26288747197</v>
      </c>
      <c r="J169" s="77">
        <f t="shared" si="42"/>
        <v>93278.041643854041</v>
      </c>
      <c r="K169" s="77">
        <f t="shared" si="46"/>
        <v>227491.90461389336</v>
      </c>
      <c r="L169" s="75">
        <v>400000</v>
      </c>
      <c r="M169" s="75">
        <f t="shared" si="43"/>
        <v>172508.09538610664</v>
      </c>
      <c r="N169" s="75"/>
      <c r="O169" s="75"/>
      <c r="P169" s="75"/>
    </row>
    <row r="170" spans="5:16">
      <c r="E170">
        <v>168</v>
      </c>
      <c r="F170" s="77">
        <f t="shared" si="44"/>
        <v>1717.829193638845</v>
      </c>
      <c r="G170" s="77">
        <f t="shared" si="41"/>
        <v>944.67482648394059</v>
      </c>
      <c r="H170" s="77">
        <f t="shared" si="45"/>
        <v>773.15436715490443</v>
      </c>
      <c r="I170" s="77">
        <f t="shared" si="42"/>
        <v>196261.93771395591</v>
      </c>
      <c r="J170" s="77">
        <f t="shared" si="42"/>
        <v>94051.196011008942</v>
      </c>
      <c r="K170" s="77">
        <f t="shared" si="46"/>
        <v>226721.95835614574</v>
      </c>
      <c r="L170" s="75">
        <v>400000</v>
      </c>
      <c r="M170" s="75">
        <f t="shared" si="43"/>
        <v>173278.04164385426</v>
      </c>
      <c r="N170" s="75"/>
      <c r="O170" s="75"/>
      <c r="P170" s="75"/>
    </row>
    <row r="171" spans="5:16">
      <c r="E171">
        <v>169</v>
      </c>
      <c r="F171" s="77">
        <f t="shared" si="44"/>
        <v>1717.829193638845</v>
      </c>
      <c r="G171" s="77">
        <f t="shared" si="41"/>
        <v>941.4533499541285</v>
      </c>
      <c r="H171" s="77">
        <f t="shared" si="45"/>
        <v>776.37584368471653</v>
      </c>
      <c r="I171" s="77">
        <f t="shared" si="42"/>
        <v>197203.39106391004</v>
      </c>
      <c r="J171" s="77">
        <f t="shared" si="42"/>
        <v>94827.571854693655</v>
      </c>
      <c r="K171" s="77">
        <f t="shared" si="46"/>
        <v>225948.80398899084</v>
      </c>
      <c r="L171" s="75">
        <v>400000</v>
      </c>
      <c r="M171" s="75">
        <f t="shared" si="43"/>
        <v>174051.19601100916</v>
      </c>
      <c r="N171" s="75"/>
      <c r="O171" s="75"/>
      <c r="P171" s="75"/>
    </row>
    <row r="172" spans="5:16">
      <c r="E172">
        <v>170</v>
      </c>
      <c r="F172" s="77">
        <f t="shared" si="44"/>
        <v>1717.829193638845</v>
      </c>
      <c r="G172" s="77">
        <f t="shared" si="41"/>
        <v>938.21845060544217</v>
      </c>
      <c r="H172" s="77">
        <f t="shared" si="45"/>
        <v>779.61074303340285</v>
      </c>
      <c r="I172" s="77">
        <f t="shared" si="42"/>
        <v>198141.60951451547</v>
      </c>
      <c r="J172" s="77">
        <f t="shared" si="42"/>
        <v>95607.182597727064</v>
      </c>
      <c r="K172" s="77">
        <f t="shared" si="46"/>
        <v>225172.42814530613</v>
      </c>
      <c r="L172" s="75">
        <v>400000</v>
      </c>
      <c r="M172" s="75">
        <f t="shared" si="43"/>
        <v>174827.57185469387</v>
      </c>
      <c r="N172" s="75"/>
      <c r="O172" s="75"/>
      <c r="P172" s="75"/>
    </row>
    <row r="173" spans="5:16">
      <c r="E173">
        <v>171</v>
      </c>
      <c r="F173" s="77">
        <f t="shared" si="44"/>
        <v>1717.829193638845</v>
      </c>
      <c r="G173" s="77">
        <f t="shared" si="41"/>
        <v>934.97007250946967</v>
      </c>
      <c r="H173" s="77">
        <f t="shared" si="45"/>
        <v>782.85912112937535</v>
      </c>
      <c r="I173" s="77">
        <f t="shared" si="42"/>
        <v>199076.57958702493</v>
      </c>
      <c r="J173" s="77">
        <f t="shared" si="42"/>
        <v>96390.041718856446</v>
      </c>
      <c r="K173" s="77">
        <f t="shared" si="46"/>
        <v>224392.81740227272</v>
      </c>
      <c r="L173" s="75">
        <v>400000</v>
      </c>
      <c r="M173" s="75">
        <f t="shared" si="43"/>
        <v>175607.18259772728</v>
      </c>
      <c r="N173" s="75"/>
      <c r="O173" s="75"/>
      <c r="P173" s="75"/>
    </row>
    <row r="174" spans="5:16">
      <c r="E174">
        <v>172</v>
      </c>
      <c r="F174" s="77">
        <f t="shared" si="44"/>
        <v>1717.829193638845</v>
      </c>
      <c r="G174" s="77">
        <f t="shared" si="41"/>
        <v>931.7081595047639</v>
      </c>
      <c r="H174" s="77">
        <f t="shared" si="45"/>
        <v>786.12103413408113</v>
      </c>
      <c r="I174" s="77">
        <f t="shared" si="42"/>
        <v>200008.28774652968</v>
      </c>
      <c r="J174" s="77">
        <f t="shared" si="42"/>
        <v>97176.162752990524</v>
      </c>
      <c r="K174" s="77">
        <f t="shared" si="46"/>
        <v>223609.95828114334</v>
      </c>
      <c r="L174" s="75">
        <v>400000</v>
      </c>
      <c r="M174" s="75">
        <f t="shared" si="43"/>
        <v>176390.04171885666</v>
      </c>
      <c r="N174" s="75"/>
      <c r="O174" s="75"/>
      <c r="P174" s="75"/>
    </row>
    <row r="175" spans="5:16">
      <c r="E175">
        <v>173</v>
      </c>
      <c r="F175" s="77">
        <f t="shared" si="44"/>
        <v>1717.829193638845</v>
      </c>
      <c r="G175" s="77">
        <f t="shared" si="41"/>
        <v>928.4326551958718</v>
      </c>
      <c r="H175" s="77">
        <f t="shared" si="45"/>
        <v>789.39653844297322</v>
      </c>
      <c r="I175" s="77">
        <f t="shared" si="42"/>
        <v>200936.72040172556</v>
      </c>
      <c r="J175" s="77">
        <f t="shared" si="42"/>
        <v>97965.559291433499</v>
      </c>
      <c r="K175" s="77">
        <f t="shared" si="46"/>
        <v>222823.83724700924</v>
      </c>
      <c r="L175" s="75">
        <v>400000</v>
      </c>
      <c r="M175" s="75">
        <f t="shared" si="43"/>
        <v>177176.16275299076</v>
      </c>
      <c r="N175" s="75"/>
      <c r="O175" s="75"/>
      <c r="P175" s="75"/>
    </row>
    <row r="176" spans="5:16">
      <c r="E176">
        <v>174</v>
      </c>
      <c r="F176" s="77">
        <f t="shared" si="44"/>
        <v>1717.829193638845</v>
      </c>
      <c r="G176" s="77">
        <f t="shared" si="41"/>
        <v>925.14350295235954</v>
      </c>
      <c r="H176" s="77">
        <f t="shared" si="45"/>
        <v>792.68569068648549</v>
      </c>
      <c r="I176" s="77">
        <f t="shared" si="42"/>
        <v>201861.86390467791</v>
      </c>
      <c r="J176" s="77">
        <f t="shared" si="42"/>
        <v>98758.244982119984</v>
      </c>
      <c r="K176" s="77">
        <f t="shared" si="46"/>
        <v>222034.44070856628</v>
      </c>
      <c r="L176" s="75">
        <v>400000</v>
      </c>
      <c r="M176" s="75">
        <f t="shared" si="43"/>
        <v>177965.55929143372</v>
      </c>
      <c r="N176" s="75"/>
      <c r="O176" s="75"/>
      <c r="P176" s="75"/>
    </row>
    <row r="177" spans="5:16">
      <c r="E177">
        <v>175</v>
      </c>
      <c r="F177" s="77">
        <f t="shared" si="44"/>
        <v>1717.829193638845</v>
      </c>
      <c r="G177" s="77">
        <f t="shared" si="41"/>
        <v>921.84064590783248</v>
      </c>
      <c r="H177" s="77">
        <f t="shared" si="45"/>
        <v>795.98854773101255</v>
      </c>
      <c r="I177" s="77">
        <f t="shared" si="42"/>
        <v>202783.70455058574</v>
      </c>
      <c r="J177" s="77">
        <f t="shared" si="42"/>
        <v>99554.233529851001</v>
      </c>
      <c r="K177" s="77">
        <f t="shared" si="46"/>
        <v>221241.7550178798</v>
      </c>
      <c r="L177" s="75">
        <v>400000</v>
      </c>
      <c r="M177" s="75">
        <f t="shared" si="43"/>
        <v>178758.2449821202</v>
      </c>
      <c r="N177" s="75"/>
      <c r="O177" s="75"/>
      <c r="P177" s="75"/>
    </row>
    <row r="178" spans="5:16">
      <c r="E178">
        <v>176</v>
      </c>
      <c r="F178" s="77">
        <f t="shared" si="44"/>
        <v>1717.829193638845</v>
      </c>
      <c r="G178" s="77">
        <f t="shared" si="41"/>
        <v>918.52402695895319</v>
      </c>
      <c r="H178" s="77">
        <f t="shared" si="45"/>
        <v>799.30516667989184</v>
      </c>
      <c r="I178" s="77">
        <f t="shared" si="42"/>
        <v>203702.22857754468</v>
      </c>
      <c r="J178" s="77">
        <f t="shared" si="42"/>
        <v>100353.53869653089</v>
      </c>
      <c r="K178" s="77">
        <f t="shared" si="46"/>
        <v>220445.76647014878</v>
      </c>
      <c r="L178" s="75">
        <v>400000</v>
      </c>
      <c r="M178" s="75">
        <f t="shared" si="43"/>
        <v>179554.23352985122</v>
      </c>
      <c r="N178" s="75"/>
      <c r="O178" s="75"/>
      <c r="P178" s="75"/>
    </row>
    <row r="179" spans="5:16">
      <c r="E179">
        <v>177</v>
      </c>
      <c r="F179" s="77">
        <f t="shared" si="44"/>
        <v>1717.829193638845</v>
      </c>
      <c r="G179" s="77">
        <f t="shared" si="41"/>
        <v>915.19358876445369</v>
      </c>
      <c r="H179" s="77">
        <f t="shared" si="45"/>
        <v>802.63560487439133</v>
      </c>
      <c r="I179" s="77">
        <f t="shared" si="42"/>
        <v>204617.42216630914</v>
      </c>
      <c r="J179" s="77">
        <f t="shared" si="42"/>
        <v>101156.17430140528</v>
      </c>
      <c r="K179" s="77">
        <f t="shared" si="46"/>
        <v>219646.46130346888</v>
      </c>
      <c r="L179" s="75">
        <v>400000</v>
      </c>
      <c r="M179" s="75">
        <f t="shared" si="43"/>
        <v>180353.53869653112</v>
      </c>
      <c r="N179" s="75"/>
      <c r="O179" s="75"/>
      <c r="P179" s="75"/>
    </row>
    <row r="180" spans="5:16">
      <c r="E180">
        <v>178</v>
      </c>
      <c r="F180" s="77">
        <f t="shared" si="44"/>
        <v>1717.829193638845</v>
      </c>
      <c r="G180" s="77">
        <f t="shared" si="41"/>
        <v>911.8492737441436</v>
      </c>
      <c r="H180" s="77">
        <f t="shared" si="45"/>
        <v>805.97991989470142</v>
      </c>
      <c r="I180" s="77">
        <f t="shared" si="42"/>
        <v>205529.2714400533</v>
      </c>
      <c r="J180" s="77">
        <f t="shared" si="42"/>
        <v>101962.15422129998</v>
      </c>
      <c r="K180" s="77">
        <f t="shared" si="46"/>
        <v>218843.82569859448</v>
      </c>
      <c r="L180" s="75">
        <v>400000</v>
      </c>
      <c r="M180" s="75">
        <f t="shared" si="43"/>
        <v>181156.17430140552</v>
      </c>
      <c r="N180" s="75"/>
      <c r="O180" s="75"/>
      <c r="P180" s="75"/>
    </row>
    <row r="181" spans="5:16">
      <c r="E181">
        <v>179</v>
      </c>
      <c r="F181" s="77">
        <f t="shared" si="44"/>
        <v>1717.829193638845</v>
      </c>
      <c r="G181" s="77">
        <f t="shared" si="41"/>
        <v>908.49102407791565</v>
      </c>
      <c r="H181" s="77">
        <f t="shared" si="45"/>
        <v>809.33816956092937</v>
      </c>
      <c r="I181" s="77">
        <f t="shared" si="42"/>
        <v>206437.76246413123</v>
      </c>
      <c r="J181" s="77">
        <f t="shared" si="42"/>
        <v>102771.49239086091</v>
      </c>
      <c r="K181" s="77">
        <f t="shared" si="46"/>
        <v>218037.84577869976</v>
      </c>
      <c r="L181" s="75">
        <v>400000</v>
      </c>
      <c r="M181" s="75">
        <f t="shared" si="43"/>
        <v>181962.15422130024</v>
      </c>
      <c r="N181" s="75"/>
      <c r="O181" s="75"/>
      <c r="P181" s="75"/>
    </row>
    <row r="182" spans="5:16">
      <c r="E182">
        <v>180</v>
      </c>
      <c r="F182" s="77">
        <f t="shared" si="44"/>
        <v>1717.829193638845</v>
      </c>
      <c r="G182" s="77">
        <f t="shared" si="41"/>
        <v>905.11878170474506</v>
      </c>
      <c r="H182" s="77">
        <f t="shared" si="45"/>
        <v>812.71041193409997</v>
      </c>
      <c r="I182" s="77">
        <f t="shared" si="42"/>
        <v>207342.88124583598</v>
      </c>
      <c r="J182" s="77">
        <f t="shared" si="42"/>
        <v>103584.202802795</v>
      </c>
      <c r="K182" s="77">
        <f t="shared" si="46"/>
        <v>217228.50760913882</v>
      </c>
      <c r="L182" s="75">
        <v>400000</v>
      </c>
      <c r="M182" s="75">
        <f t="shared" si="43"/>
        <v>182771.49239086118</v>
      </c>
      <c r="N182" s="75"/>
      <c r="O182" s="75"/>
      <c r="P182" s="75"/>
    </row>
    <row r="183" spans="5:16">
      <c r="E183">
        <v>181</v>
      </c>
      <c r="F183" s="77">
        <f t="shared" si="44"/>
        <v>1717.829193638845</v>
      </c>
      <c r="G183" s="77">
        <f t="shared" si="41"/>
        <v>901.73248832168633</v>
      </c>
      <c r="H183" s="77">
        <f t="shared" si="45"/>
        <v>816.09670531715869</v>
      </c>
      <c r="I183" s="77">
        <f t="shared" si="42"/>
        <v>208244.61373415767</v>
      </c>
      <c r="J183" s="77">
        <f t="shared" si="42"/>
        <v>104400.29950811216</v>
      </c>
      <c r="K183" s="77">
        <f t="shared" si="46"/>
        <v>216415.79719720472</v>
      </c>
      <c r="L183" s="75">
        <v>400000</v>
      </c>
      <c r="M183" s="75">
        <f t="shared" si="43"/>
        <v>183584.20280279528</v>
      </c>
      <c r="N183" s="75"/>
      <c r="O183" s="75"/>
      <c r="P183" s="75"/>
    </row>
    <row r="184" spans="5:16">
      <c r="E184">
        <v>182</v>
      </c>
      <c r="F184" s="77">
        <f t="shared" si="44"/>
        <v>1717.829193638845</v>
      </c>
      <c r="G184" s="77">
        <f t="shared" si="41"/>
        <v>898.33208538286488</v>
      </c>
      <c r="H184" s="77">
        <f t="shared" si="45"/>
        <v>819.49710825598015</v>
      </c>
      <c r="I184" s="77">
        <f t="shared" si="42"/>
        <v>209142.94581954053</v>
      </c>
      <c r="J184" s="77">
        <f t="shared" si="42"/>
        <v>105219.79661636814</v>
      </c>
      <c r="K184" s="77">
        <f t="shared" si="46"/>
        <v>215599.70049188758</v>
      </c>
      <c r="L184" s="75">
        <v>400000</v>
      </c>
      <c r="M184" s="75">
        <f t="shared" si="43"/>
        <v>184400.29950811242</v>
      </c>
      <c r="N184" s="75"/>
      <c r="O184" s="75"/>
      <c r="P184" s="75"/>
    </row>
    <row r="185" spans="5:16">
      <c r="E185">
        <v>183</v>
      </c>
      <c r="F185" s="77">
        <f t="shared" si="44"/>
        <v>1717.829193638845</v>
      </c>
      <c r="G185" s="77">
        <f t="shared" si="41"/>
        <v>894.91751409846495</v>
      </c>
      <c r="H185" s="77">
        <f t="shared" si="45"/>
        <v>822.91167954038008</v>
      </c>
      <c r="I185" s="77">
        <f t="shared" si="42"/>
        <v>210037.86333363899</v>
      </c>
      <c r="J185" s="77">
        <f t="shared" si="42"/>
        <v>106042.70829590852</v>
      </c>
      <c r="K185" s="77">
        <f t="shared" si="46"/>
        <v>214780.2033836316</v>
      </c>
      <c r="L185" s="75">
        <v>400000</v>
      </c>
      <c r="M185" s="75">
        <f t="shared" si="43"/>
        <v>185219.7966163684</v>
      </c>
      <c r="N185" s="75"/>
      <c r="O185" s="75"/>
      <c r="P185" s="75"/>
    </row>
    <row r="186" spans="5:16">
      <c r="E186">
        <v>184</v>
      </c>
      <c r="F186" s="77">
        <f t="shared" si="44"/>
        <v>1717.829193638845</v>
      </c>
      <c r="G186" s="77">
        <f t="shared" si="41"/>
        <v>891.48871543371342</v>
      </c>
      <c r="H186" s="77">
        <f t="shared" si="45"/>
        <v>826.3404782051316</v>
      </c>
      <c r="I186" s="77">
        <f t="shared" si="42"/>
        <v>210929.35204907271</v>
      </c>
      <c r="J186" s="77">
        <f t="shared" si="42"/>
        <v>106869.04877411366</v>
      </c>
      <c r="K186" s="77">
        <f t="shared" si="46"/>
        <v>213957.29170409121</v>
      </c>
      <c r="L186" s="75">
        <v>400000</v>
      </c>
      <c r="M186" s="75">
        <f t="shared" si="43"/>
        <v>186042.70829590879</v>
      </c>
      <c r="N186" s="75"/>
      <c r="O186" s="75"/>
      <c r="P186" s="75"/>
    </row>
    <row r="187" spans="5:16">
      <c r="E187">
        <v>185</v>
      </c>
      <c r="F187" s="77">
        <f t="shared" si="44"/>
        <v>1717.829193638845</v>
      </c>
      <c r="G187" s="77">
        <f t="shared" si="41"/>
        <v>888.04563010785876</v>
      </c>
      <c r="H187" s="77">
        <f t="shared" si="45"/>
        <v>829.78356353098627</v>
      </c>
      <c r="I187" s="77">
        <f t="shared" si="42"/>
        <v>211817.39767918058</v>
      </c>
      <c r="J187" s="77">
        <f t="shared" si="42"/>
        <v>107698.83233764465</v>
      </c>
      <c r="K187" s="77">
        <f t="shared" si="46"/>
        <v>213130.95122588609</v>
      </c>
      <c r="L187" s="75">
        <v>400000</v>
      </c>
      <c r="M187" s="75">
        <f t="shared" si="43"/>
        <v>186869.04877411391</v>
      </c>
      <c r="N187" s="75"/>
      <c r="O187" s="75"/>
      <c r="P187" s="75"/>
    </row>
    <row r="188" spans="5:16">
      <c r="E188">
        <v>186</v>
      </c>
      <c r="F188" s="77">
        <f t="shared" si="44"/>
        <v>1717.829193638845</v>
      </c>
      <c r="G188" s="77">
        <f t="shared" si="41"/>
        <v>884.58819859314633</v>
      </c>
      <c r="H188" s="77">
        <f t="shared" si="45"/>
        <v>833.2409950456987</v>
      </c>
      <c r="I188" s="77">
        <f t="shared" si="42"/>
        <v>212701.98587777372</v>
      </c>
      <c r="J188" s="77">
        <f t="shared" si="42"/>
        <v>108532.07333269034</v>
      </c>
      <c r="K188" s="77">
        <f t="shared" si="46"/>
        <v>212301.16766235512</v>
      </c>
      <c r="L188" s="75">
        <v>400000</v>
      </c>
      <c r="M188" s="75">
        <f t="shared" si="43"/>
        <v>187698.83233764488</v>
      </c>
      <c r="N188" s="75"/>
      <c r="O188" s="75"/>
      <c r="P188" s="75"/>
    </row>
    <row r="189" spans="5:16">
      <c r="E189">
        <v>187</v>
      </c>
      <c r="F189" s="77">
        <f t="shared" si="44"/>
        <v>1717.829193638845</v>
      </c>
      <c r="G189" s="77">
        <f t="shared" si="41"/>
        <v>881.11636111378925</v>
      </c>
      <c r="H189" s="77">
        <f t="shared" si="45"/>
        <v>836.71283252505577</v>
      </c>
      <c r="I189" s="77">
        <f t="shared" si="42"/>
        <v>213583.10223888751</v>
      </c>
      <c r="J189" s="77">
        <f t="shared" si="42"/>
        <v>109368.7861652154</v>
      </c>
      <c r="K189" s="77">
        <f t="shared" si="46"/>
        <v>211467.92666730942</v>
      </c>
      <c r="L189" s="75">
        <v>400000</v>
      </c>
      <c r="M189" s="75">
        <f t="shared" si="43"/>
        <v>188532.07333269058</v>
      </c>
      <c r="N189" s="75"/>
      <c r="O189" s="75"/>
      <c r="P189" s="75"/>
    </row>
    <row r="190" spans="5:16">
      <c r="E190">
        <v>188</v>
      </c>
      <c r="F190" s="77">
        <f t="shared" si="44"/>
        <v>1717.829193638845</v>
      </c>
      <c r="G190" s="77">
        <f t="shared" si="41"/>
        <v>877.63005764493482</v>
      </c>
      <c r="H190" s="77">
        <f t="shared" si="45"/>
        <v>840.1991359939102</v>
      </c>
      <c r="I190" s="77">
        <f t="shared" si="42"/>
        <v>214460.73229653246</v>
      </c>
      <c r="J190" s="77">
        <f t="shared" si="42"/>
        <v>110208.98530120931</v>
      </c>
      <c r="K190" s="77">
        <f t="shared" si="46"/>
        <v>210631.21383478437</v>
      </c>
      <c r="L190" s="75">
        <v>400000</v>
      </c>
      <c r="M190" s="75">
        <f t="shared" si="43"/>
        <v>189368.78616521563</v>
      </c>
      <c r="N190" s="75"/>
      <c r="O190" s="75"/>
      <c r="P190" s="75"/>
    </row>
    <row r="191" spans="5:16">
      <c r="E191">
        <v>189</v>
      </c>
      <c r="F191" s="77">
        <f t="shared" si="44"/>
        <v>1717.829193638845</v>
      </c>
      <c r="G191" s="77">
        <f t="shared" si="41"/>
        <v>874.12922791162691</v>
      </c>
      <c r="H191" s="77">
        <f t="shared" si="45"/>
        <v>843.69996572721811</v>
      </c>
      <c r="I191" s="77">
        <f t="shared" si="42"/>
        <v>215334.86152444407</v>
      </c>
      <c r="J191" s="77">
        <f t="shared" si="42"/>
        <v>111052.68526693653</v>
      </c>
      <c r="K191" s="77">
        <f t="shared" si="46"/>
        <v>209791.01469879047</v>
      </c>
      <c r="L191" s="75">
        <v>400000</v>
      </c>
      <c r="M191" s="75">
        <f t="shared" si="43"/>
        <v>190208.98530120953</v>
      </c>
      <c r="N191" s="75"/>
      <c r="O191" s="75"/>
      <c r="P191" s="75"/>
    </row>
    <row r="192" spans="5:16">
      <c r="E192">
        <v>190</v>
      </c>
      <c r="F192" s="77">
        <f t="shared" si="44"/>
        <v>1717.829193638845</v>
      </c>
      <c r="G192" s="77">
        <f t="shared" si="41"/>
        <v>870.61381138776358</v>
      </c>
      <c r="H192" s="77">
        <f t="shared" si="45"/>
        <v>847.21538225108145</v>
      </c>
      <c r="I192" s="77">
        <f t="shared" si="42"/>
        <v>216205.47533583184</v>
      </c>
      <c r="J192" s="77">
        <f t="shared" si="42"/>
        <v>111899.90064918762</v>
      </c>
      <c r="K192" s="77">
        <f t="shared" si="46"/>
        <v>208947.31473306325</v>
      </c>
      <c r="L192" s="75">
        <v>400000</v>
      </c>
      <c r="M192" s="75">
        <f t="shared" si="43"/>
        <v>191052.68526693675</v>
      </c>
      <c r="N192" s="75"/>
      <c r="O192" s="75"/>
      <c r="P192" s="75"/>
    </row>
    <row r="193" spans="5:16">
      <c r="E193">
        <v>191</v>
      </c>
      <c r="F193" s="77">
        <f t="shared" si="44"/>
        <v>1717.829193638845</v>
      </c>
      <c r="G193" s="77">
        <f t="shared" si="41"/>
        <v>867.08374729505067</v>
      </c>
      <c r="H193" s="77">
        <f t="shared" si="45"/>
        <v>850.74544634379436</v>
      </c>
      <c r="I193" s="77">
        <f t="shared" si="42"/>
        <v>217072.55908312689</v>
      </c>
      <c r="J193" s="77">
        <f t="shared" si="42"/>
        <v>112750.64609553141</v>
      </c>
      <c r="K193" s="77">
        <f t="shared" si="46"/>
        <v>208100.09935081218</v>
      </c>
      <c r="L193" s="75">
        <v>400000</v>
      </c>
      <c r="M193" s="75">
        <f t="shared" si="43"/>
        <v>191899.90064918782</v>
      </c>
      <c r="N193" s="75"/>
      <c r="O193" s="75"/>
      <c r="P193" s="75"/>
    </row>
    <row r="194" spans="5:16">
      <c r="E194">
        <v>192</v>
      </c>
      <c r="F194" s="77">
        <f t="shared" si="44"/>
        <v>1717.829193638845</v>
      </c>
      <c r="G194" s="77">
        <f t="shared" ref="G194:G257" si="47">(B$4/B$6)*K194</f>
        <v>863.53897460195162</v>
      </c>
      <c r="H194" s="77">
        <f t="shared" si="45"/>
        <v>854.2902190368934</v>
      </c>
      <c r="I194" s="77">
        <f t="shared" si="42"/>
        <v>217936.09805772884</v>
      </c>
      <c r="J194" s="77">
        <f t="shared" si="42"/>
        <v>113604.9363145683</v>
      </c>
      <c r="K194" s="77">
        <f t="shared" si="46"/>
        <v>207249.35390446839</v>
      </c>
      <c r="L194" s="75">
        <v>400000</v>
      </c>
      <c r="M194" s="75">
        <f t="shared" si="43"/>
        <v>192750.64609553161</v>
      </c>
      <c r="N194" s="75"/>
      <c r="O194" s="75"/>
      <c r="P194" s="75"/>
    </row>
    <row r="195" spans="5:16">
      <c r="E195">
        <v>193</v>
      </c>
      <c r="F195" s="77">
        <f t="shared" si="44"/>
        <v>1717.829193638845</v>
      </c>
      <c r="G195" s="77">
        <f t="shared" si="47"/>
        <v>859.97943202263116</v>
      </c>
      <c r="H195" s="77">
        <f t="shared" si="45"/>
        <v>857.84976161621387</v>
      </c>
      <c r="I195" s="77">
        <f t="shared" ref="I195:J258" si="48">I194+G195</f>
        <v>218796.07748975148</v>
      </c>
      <c r="J195" s="77">
        <f t="shared" si="48"/>
        <v>114462.78607618452</v>
      </c>
      <c r="K195" s="77">
        <f t="shared" si="46"/>
        <v>206395.06368543149</v>
      </c>
      <c r="L195" s="75">
        <v>400000</v>
      </c>
      <c r="M195" s="75">
        <f t="shared" ref="M195:M258" si="49">L195-K195</f>
        <v>193604.93631456851</v>
      </c>
      <c r="N195" s="75"/>
      <c r="O195" s="75"/>
      <c r="P195" s="75"/>
    </row>
    <row r="196" spans="5:16">
      <c r="E196">
        <v>194</v>
      </c>
      <c r="F196" s="77">
        <f t="shared" ref="F196:F259" si="50">F195</f>
        <v>1717.829193638845</v>
      </c>
      <c r="G196" s="77">
        <f t="shared" si="47"/>
        <v>856.405058015897</v>
      </c>
      <c r="H196" s="77">
        <f t="shared" ref="H196:H259" si="51">F196-G196</f>
        <v>861.42413562294803</v>
      </c>
      <c r="I196" s="77">
        <f t="shared" si="48"/>
        <v>219652.48254776737</v>
      </c>
      <c r="J196" s="77">
        <f t="shared" si="48"/>
        <v>115324.21021180747</v>
      </c>
      <c r="K196" s="77">
        <f t="shared" ref="K196:K259" si="52">K195-H195</f>
        <v>205537.21392381529</v>
      </c>
      <c r="L196" s="75">
        <v>400000</v>
      </c>
      <c r="M196" s="75">
        <f t="shared" si="49"/>
        <v>194462.78607618471</v>
      </c>
      <c r="N196" s="75"/>
      <c r="O196" s="75"/>
      <c r="P196" s="75"/>
    </row>
    <row r="197" spans="5:16">
      <c r="E197">
        <v>195</v>
      </c>
      <c r="F197" s="77">
        <f t="shared" si="50"/>
        <v>1717.829193638845</v>
      </c>
      <c r="G197" s="77">
        <f t="shared" si="47"/>
        <v>852.81579078413472</v>
      </c>
      <c r="H197" s="77">
        <f t="shared" si="51"/>
        <v>865.01340285471031</v>
      </c>
      <c r="I197" s="77">
        <f t="shared" si="48"/>
        <v>220505.29833855151</v>
      </c>
      <c r="J197" s="77">
        <f t="shared" si="48"/>
        <v>116189.22361466217</v>
      </c>
      <c r="K197" s="77">
        <f t="shared" si="52"/>
        <v>204675.78978819234</v>
      </c>
      <c r="L197" s="75">
        <v>400000</v>
      </c>
      <c r="M197" s="75">
        <f t="shared" si="49"/>
        <v>195324.21021180766</v>
      </c>
      <c r="N197" s="75"/>
      <c r="O197" s="75"/>
      <c r="P197" s="75"/>
    </row>
    <row r="198" spans="5:16">
      <c r="E198">
        <v>196</v>
      </c>
      <c r="F198" s="77">
        <f t="shared" si="50"/>
        <v>1717.829193638845</v>
      </c>
      <c r="G198" s="77">
        <f t="shared" si="47"/>
        <v>849.21156827224013</v>
      </c>
      <c r="H198" s="77">
        <f t="shared" si="51"/>
        <v>868.6176253666049</v>
      </c>
      <c r="I198" s="77">
        <f t="shared" si="48"/>
        <v>221354.50990682375</v>
      </c>
      <c r="J198" s="77">
        <f t="shared" si="48"/>
        <v>117057.84124002878</v>
      </c>
      <c r="K198" s="77">
        <f t="shared" si="52"/>
        <v>203810.77638533764</v>
      </c>
      <c r="L198" s="75">
        <v>400000</v>
      </c>
      <c r="M198" s="75">
        <f t="shared" si="49"/>
        <v>196189.22361466236</v>
      </c>
      <c r="N198" s="75"/>
      <c r="O198" s="75"/>
      <c r="P198" s="75"/>
    </row>
    <row r="199" spans="5:16">
      <c r="E199">
        <v>197</v>
      </c>
      <c r="F199" s="77">
        <f t="shared" si="50"/>
        <v>1717.829193638845</v>
      </c>
      <c r="G199" s="77">
        <f t="shared" si="47"/>
        <v>845.59232816654594</v>
      </c>
      <c r="H199" s="77">
        <f t="shared" si="51"/>
        <v>872.23686547229909</v>
      </c>
      <c r="I199" s="77">
        <f t="shared" si="48"/>
        <v>222200.10223499031</v>
      </c>
      <c r="J199" s="77">
        <f t="shared" si="48"/>
        <v>117930.07810550107</v>
      </c>
      <c r="K199" s="77">
        <f t="shared" si="52"/>
        <v>202942.15875997103</v>
      </c>
      <c r="L199" s="75">
        <v>400000</v>
      </c>
      <c r="M199" s="75">
        <f t="shared" si="49"/>
        <v>197057.84124002897</v>
      </c>
      <c r="N199" s="75"/>
      <c r="O199" s="75"/>
      <c r="P199" s="75"/>
    </row>
    <row r="200" spans="5:16">
      <c r="E200">
        <v>198</v>
      </c>
      <c r="F200" s="77">
        <f t="shared" si="50"/>
        <v>1717.829193638845</v>
      </c>
      <c r="G200" s="77">
        <f t="shared" si="47"/>
        <v>841.95800789374471</v>
      </c>
      <c r="H200" s="77">
        <f t="shared" si="51"/>
        <v>875.87118574510032</v>
      </c>
      <c r="I200" s="77">
        <f t="shared" si="48"/>
        <v>223042.06024288406</v>
      </c>
      <c r="J200" s="77">
        <f t="shared" si="48"/>
        <v>118805.94929124617</v>
      </c>
      <c r="K200" s="77">
        <f t="shared" si="52"/>
        <v>202069.92189449872</v>
      </c>
      <c r="L200" s="75">
        <v>400000</v>
      </c>
      <c r="M200" s="75">
        <f t="shared" si="49"/>
        <v>197930.07810550128</v>
      </c>
      <c r="N200" s="75"/>
      <c r="O200" s="75"/>
      <c r="P200" s="75"/>
    </row>
    <row r="201" spans="5:16">
      <c r="E201">
        <v>199</v>
      </c>
      <c r="F201" s="77">
        <f t="shared" si="50"/>
        <v>1717.829193638845</v>
      </c>
      <c r="G201" s="77">
        <f t="shared" si="47"/>
        <v>838.30854461980664</v>
      </c>
      <c r="H201" s="77">
        <f t="shared" si="51"/>
        <v>879.52064901903839</v>
      </c>
      <c r="I201" s="77">
        <f t="shared" si="48"/>
        <v>223880.36878750386</v>
      </c>
      <c r="J201" s="77">
        <f t="shared" si="48"/>
        <v>119685.4699402652</v>
      </c>
      <c r="K201" s="77">
        <f t="shared" si="52"/>
        <v>201194.05070875361</v>
      </c>
      <c r="L201" s="75">
        <v>400000</v>
      </c>
      <c r="M201" s="75">
        <f t="shared" si="49"/>
        <v>198805.94929124639</v>
      </c>
      <c r="N201" s="75"/>
      <c r="O201" s="75"/>
      <c r="P201" s="75"/>
    </row>
    <row r="202" spans="5:16">
      <c r="E202">
        <v>200</v>
      </c>
      <c r="F202" s="77">
        <f t="shared" si="50"/>
        <v>1717.829193638845</v>
      </c>
      <c r="G202" s="77">
        <f t="shared" si="47"/>
        <v>834.64387524889401</v>
      </c>
      <c r="H202" s="77">
        <f t="shared" si="51"/>
        <v>883.18531838995102</v>
      </c>
      <c r="I202" s="77">
        <f t="shared" si="48"/>
        <v>224715.01266275276</v>
      </c>
      <c r="J202" s="77">
        <f t="shared" si="48"/>
        <v>120568.65525865516</v>
      </c>
      <c r="K202" s="77">
        <f t="shared" si="52"/>
        <v>200314.53005973456</v>
      </c>
      <c r="L202" s="75">
        <v>400000</v>
      </c>
      <c r="M202" s="75">
        <f t="shared" si="49"/>
        <v>199685.46994026544</v>
      </c>
      <c r="N202" s="75"/>
      <c r="O202" s="75"/>
      <c r="P202" s="75"/>
    </row>
    <row r="203" spans="5:16">
      <c r="E203">
        <v>201</v>
      </c>
      <c r="F203" s="77">
        <f t="shared" si="50"/>
        <v>1717.829193638845</v>
      </c>
      <c r="G203" s="77">
        <f t="shared" si="47"/>
        <v>830.96393642226928</v>
      </c>
      <c r="H203" s="77">
        <f t="shared" si="51"/>
        <v>886.86525721657574</v>
      </c>
      <c r="I203" s="77">
        <f t="shared" si="48"/>
        <v>225545.97659917505</v>
      </c>
      <c r="J203" s="77">
        <f t="shared" si="48"/>
        <v>121455.52051587173</v>
      </c>
      <c r="K203" s="77">
        <f t="shared" si="52"/>
        <v>199431.34474134463</v>
      </c>
      <c r="L203" s="75">
        <v>400000</v>
      </c>
      <c r="M203" s="75">
        <f t="shared" si="49"/>
        <v>200568.65525865537</v>
      </c>
      <c r="N203" s="75"/>
      <c r="O203" s="75"/>
      <c r="P203" s="75"/>
    </row>
    <row r="204" spans="5:16">
      <c r="E204">
        <v>202</v>
      </c>
      <c r="F204" s="77">
        <f t="shared" si="50"/>
        <v>1717.829193638845</v>
      </c>
      <c r="G204" s="77">
        <f t="shared" si="47"/>
        <v>827.26866451720014</v>
      </c>
      <c r="H204" s="77">
        <f t="shared" si="51"/>
        <v>890.56052912164489</v>
      </c>
      <c r="I204" s="77">
        <f t="shared" si="48"/>
        <v>226373.24526369225</v>
      </c>
      <c r="J204" s="77">
        <f t="shared" si="48"/>
        <v>122346.08104499338</v>
      </c>
      <c r="K204" s="77">
        <f t="shared" si="52"/>
        <v>198544.47948412804</v>
      </c>
      <c r="L204" s="75">
        <v>400000</v>
      </c>
      <c r="M204" s="75">
        <f t="shared" si="49"/>
        <v>201455.52051587196</v>
      </c>
      <c r="N204" s="75"/>
      <c r="O204" s="75"/>
      <c r="P204" s="75"/>
    </row>
    <row r="205" spans="5:16">
      <c r="E205">
        <v>203</v>
      </c>
      <c r="F205" s="77">
        <f t="shared" si="50"/>
        <v>1717.829193638845</v>
      </c>
      <c r="G205" s="77">
        <f t="shared" si="47"/>
        <v>823.55799564586005</v>
      </c>
      <c r="H205" s="77">
        <f t="shared" si="51"/>
        <v>894.27119799298498</v>
      </c>
      <c r="I205" s="77">
        <f t="shared" si="48"/>
        <v>227196.80325933811</v>
      </c>
      <c r="J205" s="77">
        <f t="shared" si="48"/>
        <v>123240.35224298637</v>
      </c>
      <c r="K205" s="77">
        <f t="shared" si="52"/>
        <v>197653.9189550064</v>
      </c>
      <c r="L205" s="75">
        <v>400000</v>
      </c>
      <c r="M205" s="75">
        <f t="shared" si="49"/>
        <v>202346.0810449936</v>
      </c>
      <c r="N205" s="75"/>
      <c r="O205" s="75"/>
      <c r="P205" s="75"/>
    </row>
    <row r="206" spans="5:16">
      <c r="E206">
        <v>204</v>
      </c>
      <c r="F206" s="77">
        <f t="shared" si="50"/>
        <v>1717.829193638845</v>
      </c>
      <c r="G206" s="77">
        <f t="shared" si="47"/>
        <v>819.8318656542225</v>
      </c>
      <c r="H206" s="77">
        <f t="shared" si="51"/>
        <v>897.99732798462253</v>
      </c>
      <c r="I206" s="77">
        <f t="shared" si="48"/>
        <v>228016.63512499232</v>
      </c>
      <c r="J206" s="77">
        <f t="shared" si="48"/>
        <v>124138.34957097098</v>
      </c>
      <c r="K206" s="77">
        <f t="shared" si="52"/>
        <v>196759.64775701342</v>
      </c>
      <c r="L206" s="75">
        <v>400000</v>
      </c>
      <c r="M206" s="75">
        <f t="shared" si="49"/>
        <v>203240.35224298658</v>
      </c>
      <c r="N206" s="75"/>
      <c r="O206" s="75"/>
      <c r="P206" s="75"/>
    </row>
    <row r="207" spans="5:16">
      <c r="E207">
        <v>205</v>
      </c>
      <c r="F207" s="77">
        <f t="shared" si="50"/>
        <v>1717.829193638845</v>
      </c>
      <c r="G207" s="77">
        <f t="shared" si="47"/>
        <v>816.09021012095332</v>
      </c>
      <c r="H207" s="77">
        <f t="shared" si="51"/>
        <v>901.73898351789171</v>
      </c>
      <c r="I207" s="77">
        <f t="shared" si="48"/>
        <v>228832.72533511327</v>
      </c>
      <c r="J207" s="77">
        <f t="shared" si="48"/>
        <v>125040.08855448887</v>
      </c>
      <c r="K207" s="77">
        <f t="shared" si="52"/>
        <v>195861.65042902878</v>
      </c>
      <c r="L207" s="75">
        <v>400000</v>
      </c>
      <c r="M207" s="75">
        <f t="shared" si="49"/>
        <v>204138.34957097122</v>
      </c>
      <c r="N207" s="75"/>
      <c r="O207" s="75"/>
      <c r="P207" s="75"/>
    </row>
    <row r="208" spans="5:16">
      <c r="E208">
        <v>206</v>
      </c>
      <c r="F208" s="77">
        <f t="shared" si="50"/>
        <v>1717.829193638845</v>
      </c>
      <c r="G208" s="77">
        <f t="shared" si="47"/>
        <v>812.33296435629541</v>
      </c>
      <c r="H208" s="77">
        <f t="shared" si="51"/>
        <v>905.49622928254962</v>
      </c>
      <c r="I208" s="77">
        <f t="shared" si="48"/>
        <v>229645.05829946956</v>
      </c>
      <c r="J208" s="77">
        <f t="shared" si="48"/>
        <v>125945.58478377142</v>
      </c>
      <c r="K208" s="77">
        <f t="shared" si="52"/>
        <v>194959.91144551089</v>
      </c>
      <c r="L208" s="75">
        <v>400000</v>
      </c>
      <c r="M208" s="75">
        <f t="shared" si="49"/>
        <v>205040.08855448911</v>
      </c>
      <c r="N208" s="75"/>
      <c r="O208" s="75"/>
      <c r="P208" s="75"/>
    </row>
    <row r="209" spans="5:16">
      <c r="E209">
        <v>207</v>
      </c>
      <c r="F209" s="77">
        <f t="shared" si="50"/>
        <v>1717.829193638845</v>
      </c>
      <c r="G209" s="77">
        <f t="shared" si="47"/>
        <v>808.56006340095144</v>
      </c>
      <c r="H209" s="77">
        <f t="shared" si="51"/>
        <v>909.26913023789359</v>
      </c>
      <c r="I209" s="77">
        <f t="shared" si="48"/>
        <v>230453.6183628705</v>
      </c>
      <c r="J209" s="77">
        <f t="shared" si="48"/>
        <v>126854.85391400932</v>
      </c>
      <c r="K209" s="77">
        <f t="shared" si="52"/>
        <v>194054.41521622834</v>
      </c>
      <c r="L209" s="75">
        <v>400000</v>
      </c>
      <c r="M209" s="75">
        <f t="shared" si="49"/>
        <v>205945.58478377166</v>
      </c>
      <c r="N209" s="75"/>
      <c r="O209" s="75"/>
      <c r="P209" s="75"/>
    </row>
    <row r="210" spans="5:16">
      <c r="E210">
        <v>208</v>
      </c>
      <c r="F210" s="77">
        <f t="shared" si="50"/>
        <v>1717.829193638845</v>
      </c>
      <c r="G210" s="77">
        <f t="shared" si="47"/>
        <v>804.77144202496015</v>
      </c>
      <c r="H210" s="77">
        <f t="shared" si="51"/>
        <v>913.05775161388488</v>
      </c>
      <c r="I210" s="77">
        <f t="shared" si="48"/>
        <v>231258.38980489547</v>
      </c>
      <c r="J210" s="77">
        <f t="shared" si="48"/>
        <v>127767.91166562321</v>
      </c>
      <c r="K210" s="77">
        <f t="shared" si="52"/>
        <v>193145.14608599045</v>
      </c>
      <c r="L210" s="75">
        <v>400000</v>
      </c>
      <c r="M210" s="75">
        <f t="shared" si="49"/>
        <v>206854.85391400955</v>
      </c>
      <c r="N210" s="75"/>
      <c r="O210" s="75"/>
      <c r="P210" s="75"/>
    </row>
    <row r="211" spans="5:16">
      <c r="E211">
        <v>209</v>
      </c>
      <c r="F211" s="77">
        <f t="shared" si="50"/>
        <v>1717.829193638845</v>
      </c>
      <c r="G211" s="77">
        <f t="shared" si="47"/>
        <v>800.96703472656907</v>
      </c>
      <c r="H211" s="77">
        <f t="shared" si="51"/>
        <v>916.86215891227596</v>
      </c>
      <c r="I211" s="77">
        <f t="shared" si="48"/>
        <v>232059.35683962205</v>
      </c>
      <c r="J211" s="77">
        <f t="shared" si="48"/>
        <v>128684.77382453548</v>
      </c>
      <c r="K211" s="77">
        <f t="shared" si="52"/>
        <v>192232.08833437657</v>
      </c>
      <c r="L211" s="75">
        <v>400000</v>
      </c>
      <c r="M211" s="75">
        <f t="shared" si="49"/>
        <v>207767.91166562343</v>
      </c>
      <c r="N211" s="75"/>
      <c r="O211" s="75"/>
      <c r="P211" s="75"/>
    </row>
    <row r="212" spans="5:16">
      <c r="E212">
        <v>210</v>
      </c>
      <c r="F212" s="77">
        <f t="shared" si="50"/>
        <v>1717.829193638845</v>
      </c>
      <c r="G212" s="77">
        <f t="shared" si="47"/>
        <v>797.14677573110134</v>
      </c>
      <c r="H212" s="77">
        <f t="shared" si="51"/>
        <v>920.68241790774368</v>
      </c>
      <c r="I212" s="77">
        <f t="shared" si="48"/>
        <v>232856.50361535314</v>
      </c>
      <c r="J212" s="77">
        <f t="shared" si="48"/>
        <v>129605.45624244322</v>
      </c>
      <c r="K212" s="77">
        <f t="shared" si="52"/>
        <v>191315.22617546431</v>
      </c>
      <c r="L212" s="75">
        <v>400000</v>
      </c>
      <c r="M212" s="75">
        <f t="shared" si="49"/>
        <v>208684.77382453569</v>
      </c>
      <c r="N212" s="75"/>
      <c r="O212" s="75"/>
      <c r="P212" s="75"/>
    </row>
    <row r="213" spans="5:16">
      <c r="E213">
        <v>211</v>
      </c>
      <c r="F213" s="77">
        <f t="shared" si="50"/>
        <v>1717.829193638845</v>
      </c>
      <c r="G213" s="77">
        <f t="shared" si="47"/>
        <v>793.31059898981903</v>
      </c>
      <c r="H213" s="77">
        <f t="shared" si="51"/>
        <v>924.518594649026</v>
      </c>
      <c r="I213" s="77">
        <f t="shared" si="48"/>
        <v>233649.81421434297</v>
      </c>
      <c r="J213" s="77">
        <f t="shared" si="48"/>
        <v>130529.97483709225</v>
      </c>
      <c r="K213" s="77">
        <f t="shared" si="52"/>
        <v>190394.54375755656</v>
      </c>
      <c r="L213" s="75">
        <v>400000</v>
      </c>
      <c r="M213" s="75">
        <f t="shared" si="49"/>
        <v>209605.45624244344</v>
      </c>
      <c r="N213" s="75"/>
      <c r="O213" s="75"/>
      <c r="P213" s="75"/>
    </row>
    <row r="214" spans="5:16">
      <c r="E214">
        <v>212</v>
      </c>
      <c r="F214" s="77">
        <f t="shared" si="50"/>
        <v>1717.829193638845</v>
      </c>
      <c r="G214" s="77">
        <f t="shared" si="47"/>
        <v>789.45843817878131</v>
      </c>
      <c r="H214" s="77">
        <f t="shared" si="51"/>
        <v>928.37075546006372</v>
      </c>
      <c r="I214" s="77">
        <f t="shared" si="48"/>
        <v>234439.27265252176</v>
      </c>
      <c r="J214" s="77">
        <f t="shared" si="48"/>
        <v>131458.3455925523</v>
      </c>
      <c r="K214" s="77">
        <f t="shared" si="52"/>
        <v>189470.02516290752</v>
      </c>
      <c r="L214" s="75">
        <v>400000</v>
      </c>
      <c r="M214" s="75">
        <f t="shared" si="49"/>
        <v>210529.97483709248</v>
      </c>
      <c r="N214" s="75"/>
      <c r="O214" s="75"/>
      <c r="P214" s="75"/>
    </row>
    <row r="215" spans="5:16">
      <c r="E215">
        <v>213</v>
      </c>
      <c r="F215" s="77">
        <f t="shared" si="50"/>
        <v>1717.829193638845</v>
      </c>
      <c r="G215" s="77">
        <f t="shared" si="47"/>
        <v>785.59022669769774</v>
      </c>
      <c r="H215" s="77">
        <f t="shared" si="51"/>
        <v>932.23896694114728</v>
      </c>
      <c r="I215" s="77">
        <f t="shared" si="48"/>
        <v>235224.86287921946</v>
      </c>
      <c r="J215" s="77">
        <f t="shared" si="48"/>
        <v>132390.58455949344</v>
      </c>
      <c r="K215" s="77">
        <f t="shared" si="52"/>
        <v>188541.65440744747</v>
      </c>
      <c r="L215" s="75">
        <v>400000</v>
      </c>
      <c r="M215" s="75">
        <f t="shared" si="49"/>
        <v>211458.34559255253</v>
      </c>
      <c r="N215" s="75"/>
      <c r="O215" s="75"/>
      <c r="P215" s="75"/>
    </row>
    <row r="216" spans="5:16">
      <c r="E216">
        <v>214</v>
      </c>
      <c r="F216" s="77">
        <f t="shared" si="50"/>
        <v>1717.829193638845</v>
      </c>
      <c r="G216" s="77">
        <f t="shared" si="47"/>
        <v>781.7058976687764</v>
      </c>
      <c r="H216" s="77">
        <f t="shared" si="51"/>
        <v>936.12329597006863</v>
      </c>
      <c r="I216" s="77">
        <f t="shared" si="48"/>
        <v>236006.56877688825</v>
      </c>
      <c r="J216" s="77">
        <f t="shared" si="48"/>
        <v>133326.70785546349</v>
      </c>
      <c r="K216" s="77">
        <f t="shared" si="52"/>
        <v>187609.41544050633</v>
      </c>
      <c r="L216" s="75">
        <v>400000</v>
      </c>
      <c r="M216" s="75">
        <f t="shared" si="49"/>
        <v>212390.58455949367</v>
      </c>
      <c r="N216" s="75"/>
      <c r="O216" s="75"/>
      <c r="P216" s="75"/>
    </row>
    <row r="217" spans="5:16">
      <c r="E217">
        <v>215</v>
      </c>
      <c r="F217" s="77">
        <f t="shared" si="50"/>
        <v>1717.829193638845</v>
      </c>
      <c r="G217" s="77">
        <f t="shared" si="47"/>
        <v>777.80538393556776</v>
      </c>
      <c r="H217" s="77">
        <f t="shared" si="51"/>
        <v>940.02380970327727</v>
      </c>
      <c r="I217" s="77">
        <f t="shared" si="48"/>
        <v>236784.37416082382</v>
      </c>
      <c r="J217" s="77">
        <f t="shared" si="48"/>
        <v>134266.73166516676</v>
      </c>
      <c r="K217" s="77">
        <f t="shared" si="52"/>
        <v>186673.29214453627</v>
      </c>
      <c r="L217" s="75">
        <v>400000</v>
      </c>
      <c r="M217" s="75">
        <f t="shared" si="49"/>
        <v>213326.70785546373</v>
      </c>
      <c r="N217" s="75"/>
      <c r="O217" s="75"/>
      <c r="P217" s="75"/>
    </row>
    <row r="218" spans="5:16">
      <c r="E218">
        <v>216</v>
      </c>
      <c r="F218" s="77">
        <f t="shared" si="50"/>
        <v>1717.829193638845</v>
      </c>
      <c r="G218" s="77">
        <f t="shared" si="47"/>
        <v>773.88861806180421</v>
      </c>
      <c r="H218" s="77">
        <f t="shared" si="51"/>
        <v>943.94057557704082</v>
      </c>
      <c r="I218" s="77">
        <f t="shared" si="48"/>
        <v>237558.26277888563</v>
      </c>
      <c r="J218" s="77">
        <f t="shared" si="48"/>
        <v>135210.67224074379</v>
      </c>
      <c r="K218" s="77">
        <f t="shared" si="52"/>
        <v>185733.268334833</v>
      </c>
      <c r="L218" s="75">
        <v>400000</v>
      </c>
      <c r="M218" s="75">
        <f t="shared" si="49"/>
        <v>214266.731665167</v>
      </c>
      <c r="N218" s="75"/>
      <c r="O218" s="75"/>
      <c r="P218" s="75"/>
    </row>
    <row r="219" spans="5:16">
      <c r="E219">
        <v>217</v>
      </c>
      <c r="F219" s="77">
        <f t="shared" si="50"/>
        <v>1717.829193638845</v>
      </c>
      <c r="G219" s="77">
        <f t="shared" si="47"/>
        <v>769.95553233023327</v>
      </c>
      <c r="H219" s="77">
        <f t="shared" si="51"/>
        <v>947.87366130861176</v>
      </c>
      <c r="I219" s="77">
        <f t="shared" si="48"/>
        <v>238328.21831121587</v>
      </c>
      <c r="J219" s="77">
        <f t="shared" si="48"/>
        <v>136158.5459020524</v>
      </c>
      <c r="K219" s="77">
        <f t="shared" si="52"/>
        <v>184789.32775925598</v>
      </c>
      <c r="L219" s="75">
        <v>400000</v>
      </c>
      <c r="M219" s="75">
        <f t="shared" si="49"/>
        <v>215210.67224074402</v>
      </c>
      <c r="N219" s="75"/>
      <c r="O219" s="75"/>
      <c r="P219" s="75"/>
    </row>
    <row r="220" spans="5:16">
      <c r="E220">
        <v>218</v>
      </c>
      <c r="F220" s="77">
        <f t="shared" si="50"/>
        <v>1717.829193638845</v>
      </c>
      <c r="G220" s="77">
        <f t="shared" si="47"/>
        <v>766.0060587414473</v>
      </c>
      <c r="H220" s="77">
        <f t="shared" si="51"/>
        <v>951.82313489739772</v>
      </c>
      <c r="I220" s="77">
        <f t="shared" si="48"/>
        <v>239094.22436995732</v>
      </c>
      <c r="J220" s="77">
        <f t="shared" si="48"/>
        <v>137110.36903694979</v>
      </c>
      <c r="K220" s="77">
        <f t="shared" si="52"/>
        <v>183841.45409794737</v>
      </c>
      <c r="L220" s="75">
        <v>400000</v>
      </c>
      <c r="M220" s="75">
        <f t="shared" si="49"/>
        <v>216158.54590205263</v>
      </c>
      <c r="N220" s="75"/>
      <c r="O220" s="75"/>
      <c r="P220" s="75"/>
    </row>
    <row r="221" spans="5:16">
      <c r="E221">
        <v>219</v>
      </c>
      <c r="F221" s="77">
        <f t="shared" si="50"/>
        <v>1717.829193638845</v>
      </c>
      <c r="G221" s="77">
        <f t="shared" si="47"/>
        <v>762.04012901270823</v>
      </c>
      <c r="H221" s="77">
        <f t="shared" si="51"/>
        <v>955.78906462613679</v>
      </c>
      <c r="I221" s="77">
        <f t="shared" si="48"/>
        <v>239856.26449897003</v>
      </c>
      <c r="J221" s="77">
        <f t="shared" si="48"/>
        <v>138066.15810157594</v>
      </c>
      <c r="K221" s="77">
        <f t="shared" si="52"/>
        <v>182889.63096304997</v>
      </c>
      <c r="L221" s="75">
        <v>400000</v>
      </c>
      <c r="M221" s="75">
        <f t="shared" si="49"/>
        <v>217110.36903695003</v>
      </c>
      <c r="N221" s="75"/>
      <c r="O221" s="75"/>
      <c r="P221" s="75"/>
    </row>
    <row r="222" spans="5:16">
      <c r="E222">
        <v>220</v>
      </c>
      <c r="F222" s="77">
        <f t="shared" si="50"/>
        <v>1717.829193638845</v>
      </c>
      <c r="G222" s="77">
        <f t="shared" si="47"/>
        <v>758.05767457676598</v>
      </c>
      <c r="H222" s="77">
        <f t="shared" si="51"/>
        <v>959.77151906207905</v>
      </c>
      <c r="I222" s="77">
        <f t="shared" si="48"/>
        <v>240614.3221735468</v>
      </c>
      <c r="J222" s="77">
        <f t="shared" si="48"/>
        <v>139025.92962063802</v>
      </c>
      <c r="K222" s="77">
        <f t="shared" si="52"/>
        <v>181933.84189842382</v>
      </c>
      <c r="L222" s="75">
        <v>400000</v>
      </c>
      <c r="M222" s="75">
        <f t="shared" si="49"/>
        <v>218066.15810157618</v>
      </c>
      <c r="N222" s="75"/>
      <c r="O222" s="75"/>
      <c r="P222" s="75"/>
    </row>
    <row r="223" spans="5:16">
      <c r="E223">
        <v>221</v>
      </c>
      <c r="F223" s="77">
        <f t="shared" si="50"/>
        <v>1717.829193638845</v>
      </c>
      <c r="G223" s="77">
        <f t="shared" si="47"/>
        <v>754.05862658067394</v>
      </c>
      <c r="H223" s="77">
        <f t="shared" si="51"/>
        <v>963.77056705817108</v>
      </c>
      <c r="I223" s="77">
        <f t="shared" si="48"/>
        <v>241368.38080012746</v>
      </c>
      <c r="J223" s="77">
        <f t="shared" si="48"/>
        <v>139989.7001876962</v>
      </c>
      <c r="K223" s="77">
        <f t="shared" si="52"/>
        <v>180974.07037936174</v>
      </c>
      <c r="L223" s="75">
        <v>400000</v>
      </c>
      <c r="M223" s="75">
        <f t="shared" si="49"/>
        <v>219025.92962063826</v>
      </c>
      <c r="N223" s="75"/>
      <c r="O223" s="75"/>
      <c r="P223" s="75"/>
    </row>
    <row r="224" spans="5:16">
      <c r="E224">
        <v>222</v>
      </c>
      <c r="F224" s="77">
        <f t="shared" si="50"/>
        <v>1717.829193638845</v>
      </c>
      <c r="G224" s="77">
        <f t="shared" si="47"/>
        <v>750.04291588459819</v>
      </c>
      <c r="H224" s="77">
        <f t="shared" si="51"/>
        <v>967.78627775424684</v>
      </c>
      <c r="I224" s="77">
        <f t="shared" si="48"/>
        <v>242118.42371601207</v>
      </c>
      <c r="J224" s="77">
        <f t="shared" si="48"/>
        <v>140957.48646545043</v>
      </c>
      <c r="K224" s="77">
        <f t="shared" si="52"/>
        <v>180010.29981230356</v>
      </c>
      <c r="L224" s="75">
        <v>400000</v>
      </c>
      <c r="M224" s="75">
        <f t="shared" si="49"/>
        <v>219989.70018769644</v>
      </c>
      <c r="N224" s="75"/>
      <c r="O224" s="75"/>
      <c r="P224" s="75"/>
    </row>
    <row r="225" spans="5:16">
      <c r="E225">
        <v>223</v>
      </c>
      <c r="F225" s="77">
        <f t="shared" si="50"/>
        <v>1717.829193638845</v>
      </c>
      <c r="G225" s="77">
        <f t="shared" si="47"/>
        <v>746.01047306062219</v>
      </c>
      <c r="H225" s="77">
        <f t="shared" si="51"/>
        <v>971.81872057822284</v>
      </c>
      <c r="I225" s="77">
        <f t="shared" si="48"/>
        <v>242864.43418907269</v>
      </c>
      <c r="J225" s="77">
        <f t="shared" si="48"/>
        <v>141929.30518602865</v>
      </c>
      <c r="K225" s="77">
        <f t="shared" si="52"/>
        <v>179042.51353454933</v>
      </c>
      <c r="L225" s="75">
        <v>400000</v>
      </c>
      <c r="M225" s="75">
        <f t="shared" si="49"/>
        <v>220957.48646545067</v>
      </c>
      <c r="N225" s="75"/>
      <c r="O225" s="75"/>
      <c r="P225" s="75"/>
    </row>
    <row r="226" spans="5:16">
      <c r="E226">
        <v>224</v>
      </c>
      <c r="F226" s="77">
        <f t="shared" si="50"/>
        <v>1717.829193638845</v>
      </c>
      <c r="G226" s="77">
        <f t="shared" si="47"/>
        <v>741.96122839154634</v>
      </c>
      <c r="H226" s="77">
        <f t="shared" si="51"/>
        <v>975.86796524729868</v>
      </c>
      <c r="I226" s="77">
        <f t="shared" si="48"/>
        <v>243606.39541746423</v>
      </c>
      <c r="J226" s="77">
        <f t="shared" si="48"/>
        <v>142905.17315127596</v>
      </c>
      <c r="K226" s="77">
        <f t="shared" si="52"/>
        <v>178070.69481397112</v>
      </c>
      <c r="L226" s="75">
        <v>400000</v>
      </c>
      <c r="M226" s="75">
        <f t="shared" si="49"/>
        <v>221929.30518602888</v>
      </c>
      <c r="N226" s="75"/>
      <c r="O226" s="75"/>
      <c r="P226" s="75"/>
    </row>
    <row r="227" spans="5:16">
      <c r="E227">
        <v>225</v>
      </c>
      <c r="F227" s="77">
        <f t="shared" si="50"/>
        <v>1717.829193638845</v>
      </c>
      <c r="G227" s="77">
        <f t="shared" si="47"/>
        <v>737.89511186968252</v>
      </c>
      <c r="H227" s="77">
        <f t="shared" si="51"/>
        <v>979.9340817691625</v>
      </c>
      <c r="I227" s="77">
        <f t="shared" si="48"/>
        <v>244344.2905293339</v>
      </c>
      <c r="J227" s="77">
        <f t="shared" si="48"/>
        <v>143885.10723304513</v>
      </c>
      <c r="K227" s="77">
        <f t="shared" si="52"/>
        <v>177094.82684872381</v>
      </c>
      <c r="L227" s="75">
        <v>400000</v>
      </c>
      <c r="M227" s="75">
        <f t="shared" si="49"/>
        <v>222905.17315127619</v>
      </c>
      <c r="N227" s="75"/>
      <c r="O227" s="75"/>
      <c r="P227" s="75"/>
    </row>
    <row r="228" spans="5:16">
      <c r="E228">
        <v>226</v>
      </c>
      <c r="F228" s="77">
        <f t="shared" si="50"/>
        <v>1717.829193638845</v>
      </c>
      <c r="G228" s="77">
        <f t="shared" si="47"/>
        <v>733.81205319564435</v>
      </c>
      <c r="H228" s="77">
        <f t="shared" si="51"/>
        <v>984.01714044320067</v>
      </c>
      <c r="I228" s="77">
        <f t="shared" si="48"/>
        <v>245078.10258252954</v>
      </c>
      <c r="J228" s="77">
        <f t="shared" si="48"/>
        <v>144869.12437348833</v>
      </c>
      <c r="K228" s="77">
        <f t="shared" si="52"/>
        <v>176114.89276695464</v>
      </c>
      <c r="L228" s="75">
        <v>400000</v>
      </c>
      <c r="M228" s="75">
        <f t="shared" si="49"/>
        <v>223885.10723304536</v>
      </c>
      <c r="N228" s="75"/>
      <c r="O228" s="75"/>
      <c r="P228" s="75"/>
    </row>
    <row r="229" spans="5:16">
      <c r="E229">
        <v>227</v>
      </c>
      <c r="F229" s="77">
        <f t="shared" si="50"/>
        <v>1717.829193638845</v>
      </c>
      <c r="G229" s="77">
        <f t="shared" si="47"/>
        <v>729.71198177713097</v>
      </c>
      <c r="H229" s="77">
        <f t="shared" si="51"/>
        <v>988.11721186171405</v>
      </c>
      <c r="I229" s="77">
        <f t="shared" si="48"/>
        <v>245807.81456430667</v>
      </c>
      <c r="J229" s="77">
        <f t="shared" si="48"/>
        <v>145857.24158535004</v>
      </c>
      <c r="K229" s="77">
        <f t="shared" si="52"/>
        <v>175130.87562651144</v>
      </c>
      <c r="L229" s="75">
        <v>400000</v>
      </c>
      <c r="M229" s="75">
        <f t="shared" si="49"/>
        <v>224869.12437348856</v>
      </c>
      <c r="N229" s="75"/>
      <c r="O229" s="75"/>
      <c r="P229" s="75"/>
    </row>
    <row r="230" spans="5:16">
      <c r="E230">
        <v>228</v>
      </c>
      <c r="F230" s="77">
        <f t="shared" si="50"/>
        <v>1717.829193638845</v>
      </c>
      <c r="G230" s="77">
        <f t="shared" si="47"/>
        <v>725.59482672770719</v>
      </c>
      <c r="H230" s="77">
        <f t="shared" si="51"/>
        <v>992.23436691113784</v>
      </c>
      <c r="I230" s="77">
        <f t="shared" si="48"/>
        <v>246533.40939103437</v>
      </c>
      <c r="J230" s="77">
        <f t="shared" si="48"/>
        <v>146849.47595226119</v>
      </c>
      <c r="K230" s="77">
        <f t="shared" si="52"/>
        <v>174142.75841464972</v>
      </c>
      <c r="L230" s="75">
        <v>400000</v>
      </c>
      <c r="M230" s="75">
        <f t="shared" si="49"/>
        <v>225857.24158535028</v>
      </c>
      <c r="N230" s="75"/>
      <c r="O230" s="75"/>
      <c r="P230" s="75"/>
    </row>
    <row r="231" spans="5:16">
      <c r="E231">
        <v>229</v>
      </c>
      <c r="F231" s="77">
        <f t="shared" si="50"/>
        <v>1717.829193638845</v>
      </c>
      <c r="G231" s="77">
        <f t="shared" si="47"/>
        <v>721.46051686557746</v>
      </c>
      <c r="H231" s="77">
        <f t="shared" si="51"/>
        <v>996.36867677326757</v>
      </c>
      <c r="I231" s="77">
        <f t="shared" si="48"/>
        <v>247254.86990789993</v>
      </c>
      <c r="J231" s="77">
        <f t="shared" si="48"/>
        <v>147845.84462903446</v>
      </c>
      <c r="K231" s="77">
        <f t="shared" si="52"/>
        <v>173150.52404773858</v>
      </c>
      <c r="L231" s="75">
        <v>400000</v>
      </c>
      <c r="M231" s="75">
        <f t="shared" si="49"/>
        <v>226849.47595226142</v>
      </c>
      <c r="N231" s="75"/>
      <c r="O231" s="75"/>
      <c r="P231" s="75"/>
    </row>
    <row r="232" spans="5:16">
      <c r="E232">
        <v>230</v>
      </c>
      <c r="F232" s="77">
        <f t="shared" si="50"/>
        <v>1717.829193638845</v>
      </c>
      <c r="G232" s="77">
        <f t="shared" si="47"/>
        <v>717.30898071235549</v>
      </c>
      <c r="H232" s="77">
        <f t="shared" si="51"/>
        <v>1000.5202129264895</v>
      </c>
      <c r="I232" s="77">
        <f t="shared" si="48"/>
        <v>247972.17888861228</v>
      </c>
      <c r="J232" s="77">
        <f t="shared" si="48"/>
        <v>148846.36484196095</v>
      </c>
      <c r="K232" s="77">
        <f t="shared" si="52"/>
        <v>172154.15537096531</v>
      </c>
      <c r="L232" s="75">
        <v>400000</v>
      </c>
      <c r="M232" s="75">
        <f t="shared" si="49"/>
        <v>227845.84462903469</v>
      </c>
      <c r="N232" s="75"/>
      <c r="O232" s="75"/>
      <c r="P232" s="75"/>
    </row>
    <row r="233" spans="5:16">
      <c r="E233">
        <v>231</v>
      </c>
      <c r="F233" s="77">
        <f t="shared" si="50"/>
        <v>1717.829193638845</v>
      </c>
      <c r="G233" s="77">
        <f t="shared" si="47"/>
        <v>713.14014649182843</v>
      </c>
      <c r="H233" s="77">
        <f t="shared" si="51"/>
        <v>1004.6890471470166</v>
      </c>
      <c r="I233" s="77">
        <f t="shared" si="48"/>
        <v>248685.3190351041</v>
      </c>
      <c r="J233" s="77">
        <f t="shared" si="48"/>
        <v>149851.05388910798</v>
      </c>
      <c r="K233" s="77">
        <f t="shared" si="52"/>
        <v>171153.63515803881</v>
      </c>
      <c r="L233" s="75">
        <v>400000</v>
      </c>
      <c r="M233" s="75">
        <f t="shared" si="49"/>
        <v>228846.36484196119</v>
      </c>
      <c r="N233" s="75"/>
      <c r="O233" s="75"/>
      <c r="P233" s="75"/>
    </row>
    <row r="234" spans="5:16">
      <c r="E234">
        <v>232</v>
      </c>
      <c r="F234" s="77">
        <f t="shared" si="50"/>
        <v>1717.829193638845</v>
      </c>
      <c r="G234" s="77">
        <f t="shared" si="47"/>
        <v>708.95394212871577</v>
      </c>
      <c r="H234" s="77">
        <f t="shared" si="51"/>
        <v>1008.8752515101293</v>
      </c>
      <c r="I234" s="77">
        <f t="shared" si="48"/>
        <v>249394.27297723282</v>
      </c>
      <c r="J234" s="77">
        <f t="shared" si="48"/>
        <v>150859.9291406181</v>
      </c>
      <c r="K234" s="77">
        <f t="shared" si="52"/>
        <v>170148.94611089179</v>
      </c>
      <c r="L234" s="75">
        <v>400000</v>
      </c>
      <c r="M234" s="75">
        <f t="shared" si="49"/>
        <v>229851.05388910821</v>
      </c>
      <c r="N234" s="75"/>
      <c r="O234" s="75"/>
      <c r="P234" s="75"/>
    </row>
    <row r="235" spans="5:16">
      <c r="E235">
        <v>233</v>
      </c>
      <c r="F235" s="77">
        <f t="shared" si="50"/>
        <v>1717.829193638845</v>
      </c>
      <c r="G235" s="77">
        <f t="shared" si="47"/>
        <v>704.75029524742365</v>
      </c>
      <c r="H235" s="77">
        <f t="shared" si="51"/>
        <v>1013.0788983914214</v>
      </c>
      <c r="I235" s="77">
        <f t="shared" si="48"/>
        <v>250099.02327248023</v>
      </c>
      <c r="J235" s="77">
        <f t="shared" si="48"/>
        <v>151873.00803900952</v>
      </c>
      <c r="K235" s="77">
        <f t="shared" si="52"/>
        <v>169140.07085938167</v>
      </c>
      <c r="L235" s="75">
        <v>400000</v>
      </c>
      <c r="M235" s="75">
        <f t="shared" si="49"/>
        <v>230859.92914061833</v>
      </c>
      <c r="N235" s="75"/>
      <c r="O235" s="75"/>
      <c r="P235" s="75"/>
    </row>
    <row r="236" spans="5:16">
      <c r="E236">
        <v>234</v>
      </c>
      <c r="F236" s="77">
        <f t="shared" si="50"/>
        <v>1717.829193638845</v>
      </c>
      <c r="G236" s="77">
        <f t="shared" si="47"/>
        <v>700.52913317079265</v>
      </c>
      <c r="H236" s="77">
        <f t="shared" si="51"/>
        <v>1017.3000604680524</v>
      </c>
      <c r="I236" s="77">
        <f t="shared" si="48"/>
        <v>250799.55240565102</v>
      </c>
      <c r="J236" s="77">
        <f t="shared" si="48"/>
        <v>152890.30809947758</v>
      </c>
      <c r="K236" s="77">
        <f t="shared" si="52"/>
        <v>168126.99196099024</v>
      </c>
      <c r="L236" s="75">
        <v>400000</v>
      </c>
      <c r="M236" s="75">
        <f t="shared" si="49"/>
        <v>231873.00803900976</v>
      </c>
      <c r="N236" s="75"/>
      <c r="O236" s="75"/>
      <c r="P236" s="75"/>
    </row>
    <row r="237" spans="5:16">
      <c r="E237">
        <v>235</v>
      </c>
      <c r="F237" s="77">
        <f t="shared" si="50"/>
        <v>1717.829193638845</v>
      </c>
      <c r="G237" s="77">
        <f t="shared" si="47"/>
        <v>696.2903829188424</v>
      </c>
      <c r="H237" s="77">
        <f t="shared" si="51"/>
        <v>1021.5388107200026</v>
      </c>
      <c r="I237" s="77">
        <f t="shared" si="48"/>
        <v>251495.84278856986</v>
      </c>
      <c r="J237" s="77">
        <f t="shared" si="48"/>
        <v>153911.84691019758</v>
      </c>
      <c r="K237" s="77">
        <f t="shared" si="52"/>
        <v>167109.69190052219</v>
      </c>
      <c r="L237" s="75">
        <v>400000</v>
      </c>
      <c r="M237" s="75">
        <f t="shared" si="49"/>
        <v>232890.30809947781</v>
      </c>
      <c r="N237" s="75"/>
      <c r="O237" s="75"/>
      <c r="P237" s="75"/>
    </row>
    <row r="238" spans="5:16">
      <c r="E238">
        <v>236</v>
      </c>
      <c r="F238" s="77">
        <f t="shared" si="50"/>
        <v>1717.829193638845</v>
      </c>
      <c r="G238" s="77">
        <f t="shared" si="47"/>
        <v>692.03397120750913</v>
      </c>
      <c r="H238" s="77">
        <f t="shared" si="51"/>
        <v>1025.7952224313358</v>
      </c>
      <c r="I238" s="77">
        <f t="shared" si="48"/>
        <v>252187.87675977737</v>
      </c>
      <c r="J238" s="77">
        <f t="shared" si="48"/>
        <v>154937.64213262891</v>
      </c>
      <c r="K238" s="77">
        <f t="shared" si="52"/>
        <v>166088.15308980219</v>
      </c>
      <c r="L238" s="75">
        <v>400000</v>
      </c>
      <c r="M238" s="75">
        <f t="shared" si="49"/>
        <v>233911.84691019781</v>
      </c>
      <c r="N238" s="75"/>
      <c r="O238" s="75"/>
      <c r="P238" s="75"/>
    </row>
    <row r="239" spans="5:16">
      <c r="E239">
        <v>237</v>
      </c>
      <c r="F239" s="77">
        <f t="shared" si="50"/>
        <v>1717.829193638845</v>
      </c>
      <c r="G239" s="77">
        <f t="shared" si="47"/>
        <v>687.75982444737861</v>
      </c>
      <c r="H239" s="77">
        <f t="shared" si="51"/>
        <v>1030.0693691914664</v>
      </c>
      <c r="I239" s="77">
        <f t="shared" si="48"/>
        <v>252875.63658422476</v>
      </c>
      <c r="J239" s="77">
        <f t="shared" si="48"/>
        <v>155967.71150182039</v>
      </c>
      <c r="K239" s="77">
        <f t="shared" si="52"/>
        <v>165062.35786737085</v>
      </c>
      <c r="L239" s="75">
        <v>400000</v>
      </c>
      <c r="M239" s="75">
        <f t="shared" si="49"/>
        <v>234937.64213262915</v>
      </c>
      <c r="N239" s="75"/>
      <c r="O239" s="75"/>
      <c r="P239" s="75"/>
    </row>
    <row r="240" spans="5:16">
      <c r="E240">
        <v>238</v>
      </c>
      <c r="F240" s="77">
        <f t="shared" si="50"/>
        <v>1717.829193638845</v>
      </c>
      <c r="G240" s="77">
        <f t="shared" si="47"/>
        <v>683.46786874241411</v>
      </c>
      <c r="H240" s="77">
        <f t="shared" si="51"/>
        <v>1034.3613248964309</v>
      </c>
      <c r="I240" s="77">
        <f t="shared" si="48"/>
        <v>253559.10445296718</v>
      </c>
      <c r="J240" s="77">
        <f t="shared" si="48"/>
        <v>157002.07282671682</v>
      </c>
      <c r="K240" s="77">
        <f t="shared" si="52"/>
        <v>164032.28849817938</v>
      </c>
      <c r="L240" s="75">
        <v>400000</v>
      </c>
      <c r="M240" s="75">
        <f t="shared" si="49"/>
        <v>235967.71150182062</v>
      </c>
      <c r="N240" s="75"/>
      <c r="O240" s="75"/>
      <c r="P240" s="75"/>
    </row>
    <row r="241" spans="5:16">
      <c r="E241">
        <v>239</v>
      </c>
      <c r="F241" s="77">
        <f t="shared" si="50"/>
        <v>1717.829193638845</v>
      </c>
      <c r="G241" s="77">
        <f t="shared" si="47"/>
        <v>679.15802988867893</v>
      </c>
      <c r="H241" s="77">
        <f t="shared" si="51"/>
        <v>1038.6711637501662</v>
      </c>
      <c r="I241" s="77">
        <f t="shared" si="48"/>
        <v>254238.26248285585</v>
      </c>
      <c r="J241" s="77">
        <f t="shared" si="48"/>
        <v>158040.74399046699</v>
      </c>
      <c r="K241" s="77">
        <f t="shared" si="52"/>
        <v>162997.92717328295</v>
      </c>
      <c r="L241" s="75">
        <v>400000</v>
      </c>
      <c r="M241" s="75">
        <f t="shared" si="49"/>
        <v>237002.07282671705</v>
      </c>
      <c r="N241" s="75"/>
      <c r="O241" s="75"/>
      <c r="P241" s="75"/>
    </row>
    <row r="242" spans="5:16">
      <c r="E242">
        <v>240</v>
      </c>
      <c r="F242" s="77">
        <f t="shared" si="50"/>
        <v>1717.829193638845</v>
      </c>
      <c r="G242" s="77">
        <f t="shared" si="47"/>
        <v>674.83023337305326</v>
      </c>
      <c r="H242" s="77">
        <f t="shared" si="51"/>
        <v>1042.9989602657918</v>
      </c>
      <c r="I242" s="77">
        <f t="shared" si="48"/>
        <v>254913.09271622889</v>
      </c>
      <c r="J242" s="77">
        <f t="shared" si="48"/>
        <v>159083.74295073279</v>
      </c>
      <c r="K242" s="77">
        <f t="shared" si="52"/>
        <v>161959.25600953278</v>
      </c>
      <c r="L242" s="75">
        <v>400000</v>
      </c>
      <c r="M242" s="75">
        <f t="shared" si="49"/>
        <v>238040.74399046722</v>
      </c>
      <c r="N242" s="75"/>
      <c r="O242" s="75"/>
      <c r="P242" s="75"/>
    </row>
    <row r="243" spans="5:16">
      <c r="E243">
        <v>241</v>
      </c>
      <c r="F243" s="77">
        <f t="shared" si="50"/>
        <v>1717.829193638845</v>
      </c>
      <c r="G243" s="77">
        <f t="shared" si="47"/>
        <v>670.48440437194574</v>
      </c>
      <c r="H243" s="77">
        <f t="shared" si="51"/>
        <v>1047.3447892668992</v>
      </c>
      <c r="I243" s="77">
        <f t="shared" si="48"/>
        <v>255583.57712060082</v>
      </c>
      <c r="J243" s="77">
        <f t="shared" si="48"/>
        <v>160131.0877399997</v>
      </c>
      <c r="K243" s="77">
        <f t="shared" si="52"/>
        <v>160916.25704926698</v>
      </c>
      <c r="L243" s="75">
        <v>400000</v>
      </c>
      <c r="M243" s="75">
        <f t="shared" si="49"/>
        <v>239083.74295073302</v>
      </c>
      <c r="N243" s="75"/>
      <c r="O243" s="75"/>
      <c r="P243" s="75"/>
    </row>
    <row r="244" spans="5:16">
      <c r="E244">
        <v>242</v>
      </c>
      <c r="F244" s="77">
        <f t="shared" si="50"/>
        <v>1717.829193638845</v>
      </c>
      <c r="G244" s="77">
        <f t="shared" si="47"/>
        <v>666.12046775000033</v>
      </c>
      <c r="H244" s="77">
        <f t="shared" si="51"/>
        <v>1051.7087258888446</v>
      </c>
      <c r="I244" s="77">
        <f t="shared" si="48"/>
        <v>256249.69758835083</v>
      </c>
      <c r="J244" s="77">
        <f t="shared" si="48"/>
        <v>161182.79646588853</v>
      </c>
      <c r="K244" s="77">
        <f t="shared" si="52"/>
        <v>159868.91226000007</v>
      </c>
      <c r="L244" s="75">
        <v>400000</v>
      </c>
      <c r="M244" s="75">
        <f t="shared" si="49"/>
        <v>240131.08773999993</v>
      </c>
      <c r="N244" s="75"/>
      <c r="O244" s="75"/>
      <c r="P244" s="75"/>
    </row>
    <row r="245" spans="5:16">
      <c r="E245">
        <v>243</v>
      </c>
      <c r="F245" s="77">
        <f t="shared" si="50"/>
        <v>1717.829193638845</v>
      </c>
      <c r="G245" s="77">
        <f t="shared" si="47"/>
        <v>661.73834805879676</v>
      </c>
      <c r="H245" s="77">
        <f t="shared" si="51"/>
        <v>1056.0908455800482</v>
      </c>
      <c r="I245" s="77">
        <f t="shared" si="48"/>
        <v>256911.43593640963</v>
      </c>
      <c r="J245" s="77">
        <f t="shared" si="48"/>
        <v>162238.88731146857</v>
      </c>
      <c r="K245" s="77">
        <f t="shared" si="52"/>
        <v>158817.20353411124</v>
      </c>
      <c r="L245" s="75">
        <v>400000</v>
      </c>
      <c r="M245" s="75">
        <f t="shared" si="49"/>
        <v>241182.79646588876</v>
      </c>
      <c r="N245" s="75"/>
      <c r="O245" s="75"/>
      <c r="P245" s="75"/>
    </row>
    <row r="246" spans="5:16">
      <c r="E246">
        <v>244</v>
      </c>
      <c r="F246" s="77">
        <f t="shared" si="50"/>
        <v>1717.829193638845</v>
      </c>
      <c r="G246" s="77">
        <f t="shared" si="47"/>
        <v>657.33796953554668</v>
      </c>
      <c r="H246" s="77">
        <f t="shared" si="51"/>
        <v>1060.4912241032985</v>
      </c>
      <c r="I246" s="77">
        <f t="shared" si="48"/>
        <v>257568.77390594519</v>
      </c>
      <c r="J246" s="77">
        <f t="shared" si="48"/>
        <v>163299.37853557186</v>
      </c>
      <c r="K246" s="77">
        <f t="shared" si="52"/>
        <v>157761.1126885312</v>
      </c>
      <c r="L246" s="75">
        <v>400000</v>
      </c>
      <c r="M246" s="75">
        <f t="shared" si="49"/>
        <v>242238.8873114688</v>
      </c>
      <c r="N246" s="75"/>
      <c r="O246" s="75"/>
      <c r="P246" s="75"/>
    </row>
    <row r="247" spans="5:16">
      <c r="E247">
        <v>245</v>
      </c>
      <c r="F247" s="77">
        <f t="shared" si="50"/>
        <v>1717.829193638845</v>
      </c>
      <c r="G247" s="77">
        <f t="shared" si="47"/>
        <v>652.91925610178293</v>
      </c>
      <c r="H247" s="77">
        <f t="shared" si="51"/>
        <v>1064.909937537062</v>
      </c>
      <c r="I247" s="77">
        <f t="shared" si="48"/>
        <v>258221.69316204695</v>
      </c>
      <c r="J247" s="77">
        <f t="shared" si="48"/>
        <v>164364.28847310893</v>
      </c>
      <c r="K247" s="77">
        <f t="shared" si="52"/>
        <v>156700.62146442791</v>
      </c>
      <c r="L247" s="75">
        <v>400000</v>
      </c>
      <c r="M247" s="75">
        <f t="shared" si="49"/>
        <v>243299.37853557209</v>
      </c>
      <c r="N247" s="75"/>
      <c r="O247" s="75"/>
      <c r="P247" s="75"/>
    </row>
    <row r="248" spans="5:16">
      <c r="E248">
        <v>246</v>
      </c>
      <c r="F248" s="77">
        <f t="shared" si="50"/>
        <v>1717.829193638845</v>
      </c>
      <c r="G248" s="77">
        <f t="shared" si="47"/>
        <v>648.48213136204515</v>
      </c>
      <c r="H248" s="77">
        <f t="shared" si="51"/>
        <v>1069.3470622768</v>
      </c>
      <c r="I248" s="77">
        <f t="shared" si="48"/>
        <v>258870.175293409</v>
      </c>
      <c r="J248" s="77">
        <f t="shared" si="48"/>
        <v>165433.63553538572</v>
      </c>
      <c r="K248" s="77">
        <f t="shared" si="52"/>
        <v>155635.71152689084</v>
      </c>
      <c r="L248" s="75">
        <v>400000</v>
      </c>
      <c r="M248" s="75">
        <f t="shared" si="49"/>
        <v>244364.28847310916</v>
      </c>
      <c r="N248" s="75"/>
      <c r="O248" s="75"/>
      <c r="P248" s="75"/>
    </row>
    <row r="249" spans="5:16">
      <c r="E249">
        <v>247</v>
      </c>
      <c r="F249" s="77">
        <f t="shared" si="50"/>
        <v>1717.829193638845</v>
      </c>
      <c r="G249" s="77">
        <f t="shared" si="47"/>
        <v>644.02651860255855</v>
      </c>
      <c r="H249" s="77">
        <f t="shared" si="51"/>
        <v>1073.8026750362865</v>
      </c>
      <c r="I249" s="77">
        <f t="shared" si="48"/>
        <v>259514.20181201157</v>
      </c>
      <c r="J249" s="77">
        <f t="shared" si="48"/>
        <v>166507.438210422</v>
      </c>
      <c r="K249" s="77">
        <f t="shared" si="52"/>
        <v>154566.36446461405</v>
      </c>
      <c r="L249" s="75">
        <v>400000</v>
      </c>
      <c r="M249" s="75">
        <f t="shared" si="49"/>
        <v>245433.63553538595</v>
      </c>
      <c r="N249" s="75"/>
      <c r="O249" s="75"/>
      <c r="P249" s="75"/>
    </row>
    <row r="250" spans="5:16">
      <c r="E250">
        <v>248</v>
      </c>
      <c r="F250" s="77">
        <f t="shared" si="50"/>
        <v>1717.829193638845</v>
      </c>
      <c r="G250" s="77">
        <f t="shared" si="47"/>
        <v>639.55234078990736</v>
      </c>
      <c r="H250" s="77">
        <f t="shared" si="51"/>
        <v>1078.2768528489378</v>
      </c>
      <c r="I250" s="77">
        <f t="shared" si="48"/>
        <v>260153.75415280147</v>
      </c>
      <c r="J250" s="77">
        <f t="shared" si="48"/>
        <v>167585.71506327094</v>
      </c>
      <c r="K250" s="77">
        <f t="shared" si="52"/>
        <v>153492.56178957777</v>
      </c>
      <c r="L250" s="75">
        <v>400000</v>
      </c>
      <c r="M250" s="75">
        <f t="shared" si="49"/>
        <v>246507.43821042223</v>
      </c>
      <c r="N250" s="75"/>
      <c r="O250" s="75"/>
      <c r="P250" s="75"/>
    </row>
    <row r="251" spans="5:16">
      <c r="E251">
        <v>249</v>
      </c>
      <c r="F251" s="77">
        <f t="shared" si="50"/>
        <v>1717.829193638845</v>
      </c>
      <c r="G251" s="77">
        <f t="shared" si="47"/>
        <v>635.05952056970341</v>
      </c>
      <c r="H251" s="77">
        <f t="shared" si="51"/>
        <v>1082.7696730691416</v>
      </c>
      <c r="I251" s="77">
        <f t="shared" si="48"/>
        <v>260788.81367337119</v>
      </c>
      <c r="J251" s="77">
        <f t="shared" si="48"/>
        <v>168668.48473634009</v>
      </c>
      <c r="K251" s="77">
        <f t="shared" si="52"/>
        <v>152414.28493672883</v>
      </c>
      <c r="L251" s="75">
        <v>400000</v>
      </c>
      <c r="M251" s="75">
        <f t="shared" si="49"/>
        <v>247585.71506327117</v>
      </c>
      <c r="N251" s="75"/>
      <c r="O251" s="75"/>
      <c r="P251" s="75"/>
    </row>
    <row r="252" spans="5:16">
      <c r="E252">
        <v>250</v>
      </c>
      <c r="F252" s="77">
        <f t="shared" si="50"/>
        <v>1717.829193638845</v>
      </c>
      <c r="G252" s="77">
        <f t="shared" si="47"/>
        <v>630.54798026524861</v>
      </c>
      <c r="H252" s="77">
        <f t="shared" si="51"/>
        <v>1087.2812133735965</v>
      </c>
      <c r="I252" s="77">
        <f t="shared" si="48"/>
        <v>261419.36165363644</v>
      </c>
      <c r="J252" s="77">
        <f t="shared" si="48"/>
        <v>169755.76594971368</v>
      </c>
      <c r="K252" s="77">
        <f t="shared" si="52"/>
        <v>151331.51526365968</v>
      </c>
      <c r="L252" s="75">
        <v>400000</v>
      </c>
      <c r="M252" s="75">
        <f t="shared" si="49"/>
        <v>248668.48473634032</v>
      </c>
      <c r="N252" s="75"/>
      <c r="O252" s="75"/>
      <c r="P252" s="75"/>
    </row>
    <row r="253" spans="5:16">
      <c r="E253">
        <v>251</v>
      </c>
      <c r="F253" s="77">
        <f t="shared" si="50"/>
        <v>1717.829193638845</v>
      </c>
      <c r="G253" s="77">
        <f t="shared" si="47"/>
        <v>626.01764187619199</v>
      </c>
      <c r="H253" s="77">
        <f t="shared" si="51"/>
        <v>1091.8115517626529</v>
      </c>
      <c r="I253" s="77">
        <f t="shared" si="48"/>
        <v>262045.37929551263</v>
      </c>
      <c r="J253" s="77">
        <f t="shared" si="48"/>
        <v>170847.57750147633</v>
      </c>
      <c r="K253" s="77">
        <f t="shared" si="52"/>
        <v>150244.23405028609</v>
      </c>
      <c r="L253" s="75">
        <v>400000</v>
      </c>
      <c r="M253" s="75">
        <f t="shared" si="49"/>
        <v>249755.76594971391</v>
      </c>
      <c r="N253" s="75"/>
      <c r="O253" s="75"/>
      <c r="P253" s="75"/>
    </row>
    <row r="254" spans="5:16">
      <c r="E254">
        <v>252</v>
      </c>
      <c r="F254" s="77">
        <f t="shared" si="50"/>
        <v>1717.829193638845</v>
      </c>
      <c r="G254" s="77">
        <f t="shared" si="47"/>
        <v>621.46842707718099</v>
      </c>
      <c r="H254" s="77">
        <f t="shared" si="51"/>
        <v>1096.3607665616641</v>
      </c>
      <c r="I254" s="77">
        <f t="shared" si="48"/>
        <v>262666.8477225898</v>
      </c>
      <c r="J254" s="77">
        <f t="shared" si="48"/>
        <v>171943.93826803801</v>
      </c>
      <c r="K254" s="77">
        <f t="shared" si="52"/>
        <v>149152.42249852343</v>
      </c>
      <c r="L254" s="75">
        <v>400000</v>
      </c>
      <c r="M254" s="75">
        <f t="shared" si="49"/>
        <v>250847.57750147657</v>
      </c>
      <c r="N254" s="75"/>
      <c r="O254" s="75"/>
      <c r="P254" s="75"/>
    </row>
    <row r="255" spans="5:16">
      <c r="E255">
        <v>253</v>
      </c>
      <c r="F255" s="77">
        <f t="shared" si="50"/>
        <v>1717.829193638845</v>
      </c>
      <c r="G255" s="77">
        <f t="shared" si="47"/>
        <v>616.90025721650727</v>
      </c>
      <c r="H255" s="77">
        <f t="shared" si="51"/>
        <v>1100.9289364223378</v>
      </c>
      <c r="I255" s="77">
        <f t="shared" si="48"/>
        <v>263283.74797980633</v>
      </c>
      <c r="J255" s="77">
        <f t="shared" si="48"/>
        <v>173044.86720446034</v>
      </c>
      <c r="K255" s="77">
        <f t="shared" si="52"/>
        <v>148056.06173196176</v>
      </c>
      <c r="L255" s="75">
        <v>400000</v>
      </c>
      <c r="M255" s="75">
        <f t="shared" si="49"/>
        <v>251943.93826803824</v>
      </c>
      <c r="N255" s="75"/>
      <c r="O255" s="75"/>
      <c r="P255" s="75"/>
    </row>
    <row r="256" spans="5:16">
      <c r="E256">
        <v>254</v>
      </c>
      <c r="F256" s="77">
        <f t="shared" si="50"/>
        <v>1717.829193638845</v>
      </c>
      <c r="G256" s="77">
        <f t="shared" si="47"/>
        <v>612.31305331474755</v>
      </c>
      <c r="H256" s="77">
        <f t="shared" si="51"/>
        <v>1105.5161403240975</v>
      </c>
      <c r="I256" s="77">
        <f t="shared" si="48"/>
        <v>263896.06103312108</v>
      </c>
      <c r="J256" s="77">
        <f t="shared" si="48"/>
        <v>174150.38334478444</v>
      </c>
      <c r="K256" s="77">
        <f t="shared" si="52"/>
        <v>146955.13279553942</v>
      </c>
      <c r="L256" s="75">
        <v>400000</v>
      </c>
      <c r="M256" s="75">
        <f t="shared" si="49"/>
        <v>253044.86720446058</v>
      </c>
      <c r="N256" s="75"/>
      <c r="O256" s="75"/>
      <c r="P256" s="75"/>
    </row>
    <row r="257" spans="5:16">
      <c r="E257">
        <v>255</v>
      </c>
      <c r="F257" s="77">
        <f t="shared" si="50"/>
        <v>1717.829193638845</v>
      </c>
      <c r="G257" s="77">
        <f t="shared" si="47"/>
        <v>607.70673606339722</v>
      </c>
      <c r="H257" s="77">
        <f t="shared" si="51"/>
        <v>1110.1224575754477</v>
      </c>
      <c r="I257" s="77">
        <f t="shared" si="48"/>
        <v>264503.76776918449</v>
      </c>
      <c r="J257" s="77">
        <f t="shared" si="48"/>
        <v>175260.5058023599</v>
      </c>
      <c r="K257" s="77">
        <f t="shared" si="52"/>
        <v>145849.61665521533</v>
      </c>
      <c r="L257" s="75">
        <v>400000</v>
      </c>
      <c r="M257" s="75">
        <f t="shared" si="49"/>
        <v>254150.38334478467</v>
      </c>
      <c r="N257" s="75"/>
      <c r="O257" s="75"/>
      <c r="P257" s="75"/>
    </row>
    <row r="258" spans="5:16">
      <c r="E258">
        <v>256</v>
      </c>
      <c r="F258" s="77">
        <f t="shared" si="50"/>
        <v>1717.829193638845</v>
      </c>
      <c r="G258" s="77">
        <f t="shared" ref="G258:G321" si="53">(B$4/B$6)*K258</f>
        <v>603.08122582349949</v>
      </c>
      <c r="H258" s="77">
        <f t="shared" si="51"/>
        <v>1114.7479678153454</v>
      </c>
      <c r="I258" s="77">
        <f t="shared" si="48"/>
        <v>265106.84899500798</v>
      </c>
      <c r="J258" s="77">
        <f t="shared" si="48"/>
        <v>176375.25377017524</v>
      </c>
      <c r="K258" s="77">
        <f t="shared" si="52"/>
        <v>144739.49419763987</v>
      </c>
      <c r="L258" s="75">
        <v>400000</v>
      </c>
      <c r="M258" s="75">
        <f t="shared" si="49"/>
        <v>255260.50580236013</v>
      </c>
      <c r="N258" s="75"/>
      <c r="O258" s="75"/>
      <c r="P258" s="75"/>
    </row>
    <row r="259" spans="5:16">
      <c r="E259">
        <v>257</v>
      </c>
      <c r="F259" s="77">
        <f t="shared" si="50"/>
        <v>1717.829193638845</v>
      </c>
      <c r="G259" s="77">
        <f t="shared" si="53"/>
        <v>598.43644262426881</v>
      </c>
      <c r="H259" s="77">
        <f t="shared" si="51"/>
        <v>1119.3927510145763</v>
      </c>
      <c r="I259" s="77">
        <f t="shared" ref="I259:J322" si="54">I258+G259</f>
        <v>265705.28543763224</v>
      </c>
      <c r="J259" s="77">
        <f t="shared" si="54"/>
        <v>177494.64652118983</v>
      </c>
      <c r="K259" s="77">
        <f t="shared" si="52"/>
        <v>143624.74622982452</v>
      </c>
      <c r="L259" s="75">
        <v>400000</v>
      </c>
      <c r="M259" s="75">
        <f t="shared" ref="M259:M322" si="55">L259-K259</f>
        <v>256375.25377017548</v>
      </c>
      <c r="N259" s="75"/>
      <c r="O259" s="75"/>
      <c r="P259" s="75"/>
    </row>
    <row r="260" spans="5:16">
      <c r="E260">
        <v>258</v>
      </c>
      <c r="F260" s="77">
        <f t="shared" ref="F260:F323" si="56">F259</f>
        <v>1717.829193638845</v>
      </c>
      <c r="G260" s="77">
        <f t="shared" si="53"/>
        <v>593.772306161708</v>
      </c>
      <c r="H260" s="77">
        <f t="shared" ref="H260:H323" si="57">F260-G260</f>
        <v>1124.056887477137</v>
      </c>
      <c r="I260" s="77">
        <f t="shared" si="54"/>
        <v>266299.05774379394</v>
      </c>
      <c r="J260" s="77">
        <f t="shared" si="54"/>
        <v>178618.70340866697</v>
      </c>
      <c r="K260" s="77">
        <f t="shared" ref="K260:K323" si="58">K259-H259</f>
        <v>142505.35347880994</v>
      </c>
      <c r="L260" s="75">
        <v>400000</v>
      </c>
      <c r="M260" s="75">
        <f t="shared" si="55"/>
        <v>257494.64652119006</v>
      </c>
      <c r="N260" s="75"/>
      <c r="O260" s="75"/>
      <c r="P260" s="75"/>
    </row>
    <row r="261" spans="5:16">
      <c r="E261">
        <v>259</v>
      </c>
      <c r="F261" s="77">
        <f t="shared" si="56"/>
        <v>1717.829193638845</v>
      </c>
      <c r="G261" s="77">
        <f t="shared" si="53"/>
        <v>589.08873579722001</v>
      </c>
      <c r="H261" s="77">
        <f t="shared" si="57"/>
        <v>1128.7404578416249</v>
      </c>
      <c r="I261" s="77">
        <f t="shared" si="54"/>
        <v>266888.14647959115</v>
      </c>
      <c r="J261" s="77">
        <f t="shared" si="54"/>
        <v>179747.44386650861</v>
      </c>
      <c r="K261" s="77">
        <f t="shared" si="58"/>
        <v>141381.29659133279</v>
      </c>
      <c r="L261" s="75">
        <v>400000</v>
      </c>
      <c r="M261" s="75">
        <f t="shared" si="55"/>
        <v>258618.70340866721</v>
      </c>
      <c r="N261" s="75"/>
      <c r="O261" s="75"/>
      <c r="P261" s="75"/>
    </row>
    <row r="262" spans="5:16">
      <c r="E262">
        <v>260</v>
      </c>
      <c r="F262" s="77">
        <f t="shared" si="56"/>
        <v>1717.829193638845</v>
      </c>
      <c r="G262" s="77">
        <f t="shared" si="53"/>
        <v>584.38565055621314</v>
      </c>
      <c r="H262" s="77">
        <f t="shared" si="57"/>
        <v>1133.443543082632</v>
      </c>
      <c r="I262" s="77">
        <f t="shared" si="54"/>
        <v>267472.53213014733</v>
      </c>
      <c r="J262" s="77">
        <f t="shared" si="54"/>
        <v>180880.88740959123</v>
      </c>
      <c r="K262" s="77">
        <f t="shared" si="58"/>
        <v>140252.55613349116</v>
      </c>
      <c r="L262" s="75">
        <v>400000</v>
      </c>
      <c r="M262" s="75">
        <f t="shared" si="55"/>
        <v>259747.44386650884</v>
      </c>
      <c r="N262" s="75"/>
      <c r="O262" s="75"/>
      <c r="P262" s="75"/>
    </row>
    <row r="263" spans="5:16">
      <c r="E263">
        <v>261</v>
      </c>
      <c r="F263" s="77">
        <f t="shared" si="56"/>
        <v>1717.829193638845</v>
      </c>
      <c r="G263" s="77">
        <f t="shared" si="53"/>
        <v>579.66296912670225</v>
      </c>
      <c r="H263" s="77">
        <f t="shared" si="57"/>
        <v>1138.1662245121429</v>
      </c>
      <c r="I263" s="77">
        <f t="shared" si="54"/>
        <v>268052.19509927405</v>
      </c>
      <c r="J263" s="77">
        <f t="shared" si="54"/>
        <v>182019.05363410339</v>
      </c>
      <c r="K263" s="77">
        <f t="shared" si="58"/>
        <v>139119.11259040853</v>
      </c>
      <c r="L263" s="75">
        <v>400000</v>
      </c>
      <c r="M263" s="75">
        <f t="shared" si="55"/>
        <v>260880.88740959147</v>
      </c>
      <c r="N263" s="75"/>
      <c r="O263" s="75"/>
      <c r="P263" s="75"/>
    </row>
    <row r="264" spans="5:16">
      <c r="E264">
        <v>262</v>
      </c>
      <c r="F264" s="77">
        <f t="shared" si="56"/>
        <v>1717.829193638845</v>
      </c>
      <c r="G264" s="77">
        <f t="shared" si="53"/>
        <v>574.92060985790158</v>
      </c>
      <c r="H264" s="77">
        <f t="shared" si="57"/>
        <v>1142.9085837809434</v>
      </c>
      <c r="I264" s="77">
        <f t="shared" si="54"/>
        <v>268627.11570913193</v>
      </c>
      <c r="J264" s="77">
        <f t="shared" si="54"/>
        <v>183161.96221788434</v>
      </c>
      <c r="K264" s="77">
        <f t="shared" si="58"/>
        <v>137980.94636589638</v>
      </c>
      <c r="L264" s="75">
        <v>400000</v>
      </c>
      <c r="M264" s="75">
        <f t="shared" si="55"/>
        <v>262019.05363410362</v>
      </c>
      <c r="N264" s="75"/>
      <c r="O264" s="75"/>
      <c r="P264" s="75"/>
    </row>
    <row r="265" spans="5:16">
      <c r="E265">
        <v>263</v>
      </c>
      <c r="F265" s="77">
        <f t="shared" si="56"/>
        <v>1717.829193638845</v>
      </c>
      <c r="G265" s="77">
        <f t="shared" si="53"/>
        <v>570.15849075881431</v>
      </c>
      <c r="H265" s="77">
        <f t="shared" si="57"/>
        <v>1147.6707028800306</v>
      </c>
      <c r="I265" s="77">
        <f t="shared" si="54"/>
        <v>269197.27419989073</v>
      </c>
      <c r="J265" s="77">
        <f t="shared" si="54"/>
        <v>184309.63292076439</v>
      </c>
      <c r="K265" s="77">
        <f t="shared" si="58"/>
        <v>136838.03778211543</v>
      </c>
      <c r="L265" s="75">
        <v>400000</v>
      </c>
      <c r="M265" s="75">
        <f t="shared" si="55"/>
        <v>263161.9622178846</v>
      </c>
      <c r="N265" s="75"/>
      <c r="O265" s="75"/>
      <c r="P265" s="75"/>
    </row>
    <row r="266" spans="5:16">
      <c r="E266">
        <v>264</v>
      </c>
      <c r="F266" s="77">
        <f t="shared" si="56"/>
        <v>1717.829193638845</v>
      </c>
      <c r="G266" s="77">
        <f t="shared" si="53"/>
        <v>565.3765294968141</v>
      </c>
      <c r="H266" s="77">
        <f t="shared" si="57"/>
        <v>1152.4526641420309</v>
      </c>
      <c r="I266" s="77">
        <f t="shared" si="54"/>
        <v>269762.65072938753</v>
      </c>
      <c r="J266" s="77">
        <f t="shared" si="54"/>
        <v>185462.08558490642</v>
      </c>
      <c r="K266" s="77">
        <f t="shared" si="58"/>
        <v>135690.36707923538</v>
      </c>
      <c r="L266" s="75">
        <v>400000</v>
      </c>
      <c r="M266" s="75">
        <f t="shared" si="55"/>
        <v>264309.63292076462</v>
      </c>
      <c r="N266" s="75"/>
      <c r="O266" s="75"/>
      <c r="P266" s="75"/>
    </row>
    <row r="267" spans="5:16">
      <c r="E267">
        <v>265</v>
      </c>
      <c r="F267" s="77">
        <f t="shared" si="56"/>
        <v>1717.829193638845</v>
      </c>
      <c r="G267" s="77">
        <f t="shared" si="53"/>
        <v>560.5746433962222</v>
      </c>
      <c r="H267" s="77">
        <f t="shared" si="57"/>
        <v>1157.2545502426228</v>
      </c>
      <c r="I267" s="77">
        <f t="shared" si="54"/>
        <v>270323.22537278378</v>
      </c>
      <c r="J267" s="77">
        <f t="shared" si="54"/>
        <v>186619.34013514905</v>
      </c>
      <c r="K267" s="77">
        <f t="shared" si="58"/>
        <v>134537.91441509334</v>
      </c>
      <c r="L267" s="75">
        <v>400000</v>
      </c>
      <c r="M267" s="75">
        <f t="shared" si="55"/>
        <v>265462.08558490663</v>
      </c>
      <c r="N267" s="75"/>
      <c r="O267" s="75"/>
      <c r="P267" s="75"/>
    </row>
    <row r="268" spans="5:16">
      <c r="E268">
        <v>266</v>
      </c>
      <c r="F268" s="77">
        <f t="shared" si="56"/>
        <v>1717.829193638845</v>
      </c>
      <c r="G268" s="77">
        <f t="shared" si="53"/>
        <v>555.75274943687805</v>
      </c>
      <c r="H268" s="77">
        <f t="shared" si="57"/>
        <v>1162.076444201967</v>
      </c>
      <c r="I268" s="77">
        <f t="shared" si="54"/>
        <v>270878.97812222067</v>
      </c>
      <c r="J268" s="77">
        <f t="shared" si="54"/>
        <v>187781.416579351</v>
      </c>
      <c r="K268" s="77">
        <f t="shared" si="58"/>
        <v>133380.65986485072</v>
      </c>
      <c r="L268" s="75">
        <v>400000</v>
      </c>
      <c r="M268" s="75">
        <f t="shared" si="55"/>
        <v>266619.34013514931</v>
      </c>
      <c r="N268" s="75"/>
      <c r="O268" s="75"/>
      <c r="P268" s="75"/>
    </row>
    <row r="269" spans="5:16">
      <c r="E269">
        <v>267</v>
      </c>
      <c r="F269" s="77">
        <f t="shared" si="56"/>
        <v>1717.829193638845</v>
      </c>
      <c r="G269" s="77">
        <f t="shared" si="53"/>
        <v>550.91076425270319</v>
      </c>
      <c r="H269" s="77">
        <f t="shared" si="57"/>
        <v>1166.9184293861417</v>
      </c>
      <c r="I269" s="77">
        <f t="shared" si="54"/>
        <v>271429.88888647337</v>
      </c>
      <c r="J269" s="77">
        <f t="shared" si="54"/>
        <v>188948.33500873714</v>
      </c>
      <c r="K269" s="77">
        <f t="shared" si="58"/>
        <v>132218.58342064876</v>
      </c>
      <c r="L269" s="75">
        <v>400000</v>
      </c>
      <c r="M269" s="75">
        <f t="shared" si="55"/>
        <v>267781.41657935124</v>
      </c>
      <c r="N269" s="75"/>
      <c r="O269" s="75"/>
      <c r="P269" s="75"/>
    </row>
    <row r="270" spans="5:16">
      <c r="E270">
        <v>268</v>
      </c>
      <c r="F270" s="77">
        <f t="shared" si="56"/>
        <v>1717.829193638845</v>
      </c>
      <c r="G270" s="77">
        <f t="shared" si="53"/>
        <v>546.04860413026086</v>
      </c>
      <c r="H270" s="77">
        <f t="shared" si="57"/>
        <v>1171.7805895085842</v>
      </c>
      <c r="I270" s="77">
        <f t="shared" si="54"/>
        <v>271975.93749060365</v>
      </c>
      <c r="J270" s="77">
        <f t="shared" si="54"/>
        <v>190120.11559824573</v>
      </c>
      <c r="K270" s="77">
        <f t="shared" si="58"/>
        <v>131051.66499126262</v>
      </c>
      <c r="L270" s="75">
        <v>400000</v>
      </c>
      <c r="M270" s="75">
        <f t="shared" si="55"/>
        <v>268948.3350087374</v>
      </c>
      <c r="N270" s="75"/>
      <c r="O270" s="75"/>
      <c r="P270" s="75"/>
    </row>
    <row r="271" spans="5:16">
      <c r="E271">
        <v>269</v>
      </c>
      <c r="F271" s="77">
        <f t="shared" si="56"/>
        <v>1717.829193638845</v>
      </c>
      <c r="G271" s="77">
        <f t="shared" si="53"/>
        <v>541.1661850073084</v>
      </c>
      <c r="H271" s="77">
        <f t="shared" si="57"/>
        <v>1176.6630086315367</v>
      </c>
      <c r="I271" s="77">
        <f t="shared" si="54"/>
        <v>272517.10367561097</v>
      </c>
      <c r="J271" s="77">
        <f t="shared" si="54"/>
        <v>191296.77860687725</v>
      </c>
      <c r="K271" s="77">
        <f t="shared" si="58"/>
        <v>129879.88440175403</v>
      </c>
      <c r="L271" s="75">
        <v>400000</v>
      </c>
      <c r="M271" s="75">
        <f t="shared" si="55"/>
        <v>270120.11559824599</v>
      </c>
      <c r="N271" s="75"/>
      <c r="O271" s="75"/>
      <c r="P271" s="75"/>
    </row>
    <row r="272" spans="5:16">
      <c r="E272">
        <v>270</v>
      </c>
      <c r="F272" s="77">
        <f t="shared" si="56"/>
        <v>1717.829193638845</v>
      </c>
      <c r="G272" s="77">
        <f t="shared" si="53"/>
        <v>536.26342247134369</v>
      </c>
      <c r="H272" s="77">
        <f t="shared" si="57"/>
        <v>1181.5657711675012</v>
      </c>
      <c r="I272" s="77">
        <f t="shared" si="54"/>
        <v>273053.36709808232</v>
      </c>
      <c r="J272" s="77">
        <f t="shared" si="54"/>
        <v>192478.34437804477</v>
      </c>
      <c r="K272" s="77">
        <f t="shared" si="58"/>
        <v>128703.22139312248</v>
      </c>
      <c r="L272" s="75">
        <v>400000</v>
      </c>
      <c r="M272" s="75">
        <f t="shared" si="55"/>
        <v>271296.77860687755</v>
      </c>
      <c r="N272" s="75"/>
      <c r="O272" s="75"/>
      <c r="P272" s="75"/>
    </row>
    <row r="273" spans="5:16">
      <c r="E273">
        <v>271</v>
      </c>
      <c r="F273" s="77">
        <f t="shared" si="56"/>
        <v>1717.829193638845</v>
      </c>
      <c r="G273" s="77">
        <f t="shared" si="53"/>
        <v>531.34023175814571</v>
      </c>
      <c r="H273" s="77">
        <f t="shared" si="57"/>
        <v>1186.4889618806992</v>
      </c>
      <c r="I273" s="77">
        <f t="shared" si="54"/>
        <v>273584.70732984046</v>
      </c>
      <c r="J273" s="77">
        <f t="shared" si="54"/>
        <v>193664.83333992548</v>
      </c>
      <c r="K273" s="77">
        <f t="shared" si="58"/>
        <v>127521.65562195498</v>
      </c>
      <c r="L273" s="75">
        <v>400000</v>
      </c>
      <c r="M273" s="75">
        <f t="shared" si="55"/>
        <v>272478.344378045</v>
      </c>
      <c r="N273" s="75"/>
      <c r="O273" s="75"/>
      <c r="P273" s="75"/>
    </row>
    <row r="274" spans="5:16">
      <c r="E274">
        <v>272</v>
      </c>
      <c r="F274" s="77">
        <f t="shared" si="56"/>
        <v>1717.829193638845</v>
      </c>
      <c r="G274" s="77">
        <f t="shared" si="53"/>
        <v>526.39652775030959</v>
      </c>
      <c r="H274" s="77">
        <f t="shared" si="57"/>
        <v>1191.4326658885354</v>
      </c>
      <c r="I274" s="77">
        <f t="shared" si="54"/>
        <v>274111.10385759076</v>
      </c>
      <c r="J274" s="77">
        <f t="shared" si="54"/>
        <v>194856.26600581402</v>
      </c>
      <c r="K274" s="77">
        <f t="shared" si="58"/>
        <v>126335.16666007429</v>
      </c>
      <c r="L274" s="75">
        <v>400000</v>
      </c>
      <c r="M274" s="75">
        <f t="shared" si="55"/>
        <v>273664.83333992574</v>
      </c>
      <c r="N274" s="75"/>
      <c r="O274" s="75"/>
      <c r="P274" s="75"/>
    </row>
    <row r="275" spans="5:16">
      <c r="E275">
        <v>273</v>
      </c>
      <c r="F275" s="77">
        <f t="shared" si="56"/>
        <v>1717.829193638845</v>
      </c>
      <c r="G275" s="77">
        <f t="shared" si="53"/>
        <v>521.43222497577392</v>
      </c>
      <c r="H275" s="77">
        <f t="shared" si="57"/>
        <v>1196.3969686630712</v>
      </c>
      <c r="I275" s="77">
        <f t="shared" si="54"/>
        <v>274632.53608256654</v>
      </c>
      <c r="J275" s="77">
        <f t="shared" si="54"/>
        <v>196052.66297447708</v>
      </c>
      <c r="K275" s="77">
        <f t="shared" si="58"/>
        <v>125143.73399418575</v>
      </c>
      <c r="L275" s="75">
        <v>400000</v>
      </c>
      <c r="M275" s="75">
        <f t="shared" si="55"/>
        <v>274856.26600581425</v>
      </c>
      <c r="N275" s="75"/>
      <c r="O275" s="75"/>
      <c r="P275" s="75"/>
    </row>
    <row r="276" spans="5:16">
      <c r="E276">
        <v>274</v>
      </c>
      <c r="F276" s="77">
        <f t="shared" si="56"/>
        <v>1717.829193638845</v>
      </c>
      <c r="G276" s="77">
        <f t="shared" si="53"/>
        <v>516.44723760634452</v>
      </c>
      <c r="H276" s="77">
        <f t="shared" si="57"/>
        <v>1201.3819560325005</v>
      </c>
      <c r="I276" s="77">
        <f t="shared" si="54"/>
        <v>275148.98332017288</v>
      </c>
      <c r="J276" s="77">
        <f t="shared" si="54"/>
        <v>197254.04493050958</v>
      </c>
      <c r="K276" s="77">
        <f t="shared" si="58"/>
        <v>123947.33702552268</v>
      </c>
      <c r="L276" s="75">
        <v>400000</v>
      </c>
      <c r="M276" s="75">
        <f t="shared" si="55"/>
        <v>276052.66297447734</v>
      </c>
      <c r="N276" s="75"/>
      <c r="O276" s="75"/>
      <c r="P276" s="75"/>
    </row>
    <row r="277" spans="5:16">
      <c r="E277">
        <v>275</v>
      </c>
      <c r="F277" s="77">
        <f t="shared" si="56"/>
        <v>1717.829193638845</v>
      </c>
      <c r="G277" s="77">
        <f t="shared" si="53"/>
        <v>511.44147945620904</v>
      </c>
      <c r="H277" s="77">
        <f t="shared" si="57"/>
        <v>1206.387714182636</v>
      </c>
      <c r="I277" s="77">
        <f t="shared" si="54"/>
        <v>275660.42479962908</v>
      </c>
      <c r="J277" s="77">
        <f t="shared" si="54"/>
        <v>198460.43264469222</v>
      </c>
      <c r="K277" s="77">
        <f t="shared" si="58"/>
        <v>122745.95506949017</v>
      </c>
      <c r="L277" s="75">
        <v>400000</v>
      </c>
      <c r="M277" s="75">
        <f t="shared" si="55"/>
        <v>277254.04493050982</v>
      </c>
      <c r="N277" s="75"/>
      <c r="O277" s="75"/>
      <c r="P277" s="75"/>
    </row>
    <row r="278" spans="5:16">
      <c r="E278">
        <v>276</v>
      </c>
      <c r="F278" s="77">
        <f t="shared" si="56"/>
        <v>1717.829193638845</v>
      </c>
      <c r="G278" s="77">
        <f t="shared" si="53"/>
        <v>506.41486398044805</v>
      </c>
      <c r="H278" s="77">
        <f t="shared" si="57"/>
        <v>1211.414329658397</v>
      </c>
      <c r="I278" s="77">
        <f t="shared" si="54"/>
        <v>276166.83966360951</v>
      </c>
      <c r="J278" s="77">
        <f t="shared" si="54"/>
        <v>199671.84697435063</v>
      </c>
      <c r="K278" s="77">
        <f t="shared" si="58"/>
        <v>121539.56735530753</v>
      </c>
      <c r="L278" s="75">
        <v>400000</v>
      </c>
      <c r="M278" s="75">
        <f t="shared" si="55"/>
        <v>278460.43264469248</v>
      </c>
      <c r="N278" s="75"/>
      <c r="O278" s="75"/>
      <c r="P278" s="75"/>
    </row>
    <row r="279" spans="5:16">
      <c r="E279">
        <v>277</v>
      </c>
      <c r="F279" s="77">
        <f t="shared" si="56"/>
        <v>1717.829193638845</v>
      </c>
      <c r="G279" s="77">
        <f t="shared" si="53"/>
        <v>501.36730427353808</v>
      </c>
      <c r="H279" s="77">
        <f t="shared" si="57"/>
        <v>1216.4618893653069</v>
      </c>
      <c r="I279" s="77">
        <f t="shared" si="54"/>
        <v>276668.20696788304</v>
      </c>
      <c r="J279" s="77">
        <f t="shared" si="54"/>
        <v>200888.30886371594</v>
      </c>
      <c r="K279" s="77">
        <f t="shared" si="58"/>
        <v>120328.15302564914</v>
      </c>
      <c r="L279" s="75">
        <v>400000</v>
      </c>
      <c r="M279" s="75">
        <f t="shared" si="55"/>
        <v>279671.84697435086</v>
      </c>
      <c r="N279" s="75"/>
      <c r="O279" s="75"/>
      <c r="P279" s="75"/>
    </row>
    <row r="280" spans="5:16">
      <c r="E280">
        <v>278</v>
      </c>
      <c r="F280" s="77">
        <f t="shared" si="56"/>
        <v>1717.829193638845</v>
      </c>
      <c r="G280" s="77">
        <f t="shared" si="53"/>
        <v>496.29871306784929</v>
      </c>
      <c r="H280" s="77">
        <f t="shared" si="57"/>
        <v>1221.5304805709957</v>
      </c>
      <c r="I280" s="77">
        <f t="shared" si="54"/>
        <v>277164.50568095088</v>
      </c>
      <c r="J280" s="77">
        <f t="shared" si="54"/>
        <v>202109.83934428694</v>
      </c>
      <c r="K280" s="77">
        <f t="shared" si="58"/>
        <v>119111.69113628383</v>
      </c>
      <c r="L280" s="75">
        <v>400000</v>
      </c>
      <c r="M280" s="75">
        <f t="shared" si="55"/>
        <v>280888.3088637162</v>
      </c>
      <c r="N280" s="75"/>
      <c r="O280" s="75"/>
      <c r="P280" s="75"/>
    </row>
    <row r="281" spans="5:16">
      <c r="E281">
        <v>279</v>
      </c>
      <c r="F281" s="77">
        <f t="shared" si="56"/>
        <v>1717.829193638845</v>
      </c>
      <c r="G281" s="77">
        <f t="shared" si="53"/>
        <v>491.20900273213681</v>
      </c>
      <c r="H281" s="77">
        <f t="shared" si="57"/>
        <v>1226.6201909067081</v>
      </c>
      <c r="I281" s="77">
        <f t="shared" si="54"/>
        <v>277655.71468368301</v>
      </c>
      <c r="J281" s="77">
        <f t="shared" si="54"/>
        <v>203336.45953519366</v>
      </c>
      <c r="K281" s="77">
        <f t="shared" si="58"/>
        <v>117890.16065571284</v>
      </c>
      <c r="L281" s="75">
        <v>400000</v>
      </c>
      <c r="M281" s="75">
        <f t="shared" si="55"/>
        <v>282109.83934428717</v>
      </c>
      <c r="N281" s="75"/>
      <c r="O281" s="75"/>
      <c r="P281" s="75"/>
    </row>
    <row r="282" spans="5:16">
      <c r="E282">
        <v>280</v>
      </c>
      <c r="F282" s="77">
        <f t="shared" si="56"/>
        <v>1717.829193638845</v>
      </c>
      <c r="G282" s="77">
        <f t="shared" si="53"/>
        <v>486.09808527002559</v>
      </c>
      <c r="H282" s="77">
        <f t="shared" si="57"/>
        <v>1231.7311083688194</v>
      </c>
      <c r="I282" s="77">
        <f t="shared" si="54"/>
        <v>278141.81276895304</v>
      </c>
      <c r="J282" s="77">
        <f t="shared" si="54"/>
        <v>204568.19064356247</v>
      </c>
      <c r="K282" s="77">
        <f t="shared" si="58"/>
        <v>116663.54046480614</v>
      </c>
      <c r="L282" s="75">
        <v>400000</v>
      </c>
      <c r="M282" s="75">
        <f t="shared" si="55"/>
        <v>283336.45953519386</v>
      </c>
      <c r="N282" s="75"/>
      <c r="O282" s="75"/>
      <c r="P282" s="75"/>
    </row>
    <row r="283" spans="5:16">
      <c r="E283">
        <v>281</v>
      </c>
      <c r="F283" s="77">
        <f t="shared" si="56"/>
        <v>1717.829193638845</v>
      </c>
      <c r="G283" s="77">
        <f t="shared" si="53"/>
        <v>480.96587231848878</v>
      </c>
      <c r="H283" s="77">
        <f t="shared" si="57"/>
        <v>1236.8633213203561</v>
      </c>
      <c r="I283" s="77">
        <f t="shared" si="54"/>
        <v>278622.77864127152</v>
      </c>
      <c r="J283" s="77">
        <f t="shared" si="54"/>
        <v>205805.05396488283</v>
      </c>
      <c r="K283" s="77">
        <f t="shared" si="58"/>
        <v>115431.80935643731</v>
      </c>
      <c r="L283" s="75">
        <v>400000</v>
      </c>
      <c r="M283" s="75">
        <f t="shared" si="55"/>
        <v>284568.1906435627</v>
      </c>
      <c r="N283" s="75"/>
      <c r="O283" s="75"/>
      <c r="P283" s="75"/>
    </row>
    <row r="284" spans="5:16">
      <c r="E284">
        <v>282</v>
      </c>
      <c r="F284" s="77">
        <f t="shared" si="56"/>
        <v>1717.829193638845</v>
      </c>
      <c r="G284" s="77">
        <f t="shared" si="53"/>
        <v>475.81227514632064</v>
      </c>
      <c r="H284" s="77">
        <f t="shared" si="57"/>
        <v>1242.0169184925244</v>
      </c>
      <c r="I284" s="77">
        <f t="shared" si="54"/>
        <v>279098.59091641783</v>
      </c>
      <c r="J284" s="77">
        <f t="shared" si="54"/>
        <v>207047.07088337536</v>
      </c>
      <c r="K284" s="77">
        <f t="shared" si="58"/>
        <v>114194.94603511695</v>
      </c>
      <c r="L284" s="75">
        <v>400000</v>
      </c>
      <c r="M284" s="75">
        <f t="shared" si="55"/>
        <v>285805.05396488303</v>
      </c>
      <c r="N284" s="75"/>
      <c r="O284" s="75"/>
      <c r="P284" s="75"/>
    </row>
    <row r="285" spans="5:16">
      <c r="E285">
        <v>283</v>
      </c>
      <c r="F285" s="77">
        <f t="shared" si="56"/>
        <v>1717.829193638845</v>
      </c>
      <c r="G285" s="77">
        <f t="shared" si="53"/>
        <v>470.63720465260184</v>
      </c>
      <c r="H285" s="77">
        <f t="shared" si="57"/>
        <v>1247.1919889862431</v>
      </c>
      <c r="I285" s="77">
        <f t="shared" si="54"/>
        <v>279569.22812107042</v>
      </c>
      <c r="J285" s="77">
        <f t="shared" si="54"/>
        <v>208294.26287236161</v>
      </c>
      <c r="K285" s="77">
        <f t="shared" si="58"/>
        <v>112952.92911662444</v>
      </c>
      <c r="L285" s="75">
        <v>400000</v>
      </c>
      <c r="M285" s="75">
        <f t="shared" si="55"/>
        <v>287047.07088337559</v>
      </c>
      <c r="N285" s="75"/>
      <c r="O285" s="75"/>
      <c r="P285" s="75"/>
    </row>
    <row r="286" spans="5:16">
      <c r="E286">
        <v>284</v>
      </c>
      <c r="F286" s="77">
        <f t="shared" si="56"/>
        <v>1717.829193638845</v>
      </c>
      <c r="G286" s="77">
        <f t="shared" si="53"/>
        <v>465.44057136515909</v>
      </c>
      <c r="H286" s="77">
        <f t="shared" si="57"/>
        <v>1252.388622273686</v>
      </c>
      <c r="I286" s="77">
        <f t="shared" si="54"/>
        <v>280034.6686924356</v>
      </c>
      <c r="J286" s="77">
        <f t="shared" si="54"/>
        <v>209546.6514946353</v>
      </c>
      <c r="K286" s="77">
        <f t="shared" si="58"/>
        <v>111705.73712763819</v>
      </c>
      <c r="L286" s="75">
        <v>400000</v>
      </c>
      <c r="M286" s="75">
        <f t="shared" si="55"/>
        <v>288294.26287236181</v>
      </c>
      <c r="N286" s="75"/>
      <c r="O286" s="75"/>
      <c r="P286" s="75"/>
    </row>
    <row r="287" spans="5:16">
      <c r="E287">
        <v>285</v>
      </c>
      <c r="F287" s="77">
        <f t="shared" si="56"/>
        <v>1717.829193638845</v>
      </c>
      <c r="G287" s="77">
        <f t="shared" si="53"/>
        <v>460.22228543901872</v>
      </c>
      <c r="H287" s="77">
        <f t="shared" si="57"/>
        <v>1257.6069081998262</v>
      </c>
      <c r="I287" s="77">
        <f t="shared" si="54"/>
        <v>280494.89097787463</v>
      </c>
      <c r="J287" s="77">
        <f t="shared" si="54"/>
        <v>210804.25840283511</v>
      </c>
      <c r="K287" s="77">
        <f t="shared" si="58"/>
        <v>110453.3485053645</v>
      </c>
      <c r="L287" s="75">
        <v>400000</v>
      </c>
      <c r="M287" s="75">
        <f t="shared" si="55"/>
        <v>289546.6514946355</v>
      </c>
      <c r="N287" s="75"/>
      <c r="O287" s="75"/>
      <c r="P287" s="75"/>
    </row>
    <row r="288" spans="5:16">
      <c r="E288">
        <v>286</v>
      </c>
      <c r="F288" s="77">
        <f t="shared" si="56"/>
        <v>1717.829193638845</v>
      </c>
      <c r="G288" s="77">
        <f t="shared" si="53"/>
        <v>454.98225665485279</v>
      </c>
      <c r="H288" s="77">
        <f t="shared" si="57"/>
        <v>1262.8469369839922</v>
      </c>
      <c r="I288" s="77">
        <f t="shared" si="54"/>
        <v>280949.87323452946</v>
      </c>
      <c r="J288" s="77">
        <f t="shared" si="54"/>
        <v>212067.1053398191</v>
      </c>
      <c r="K288" s="77">
        <f t="shared" si="58"/>
        <v>109195.74159716467</v>
      </c>
      <c r="L288" s="75">
        <v>400000</v>
      </c>
      <c r="M288" s="75">
        <f t="shared" si="55"/>
        <v>290804.25840283534</v>
      </c>
      <c r="N288" s="75"/>
      <c r="O288" s="75"/>
      <c r="P288" s="75"/>
    </row>
    <row r="289" spans="5:16">
      <c r="E289">
        <v>287</v>
      </c>
      <c r="F289" s="77">
        <f t="shared" si="56"/>
        <v>1717.829193638845</v>
      </c>
      <c r="G289" s="77">
        <f t="shared" si="53"/>
        <v>449.72039441741953</v>
      </c>
      <c r="H289" s="77">
        <f t="shared" si="57"/>
        <v>1268.1087992214254</v>
      </c>
      <c r="I289" s="77">
        <f t="shared" si="54"/>
        <v>281399.59362894687</v>
      </c>
      <c r="J289" s="77">
        <f t="shared" si="54"/>
        <v>213335.21413904053</v>
      </c>
      <c r="K289" s="77">
        <f t="shared" si="58"/>
        <v>107932.89466018068</v>
      </c>
      <c r="L289" s="75">
        <v>400000</v>
      </c>
      <c r="M289" s="75">
        <f t="shared" si="55"/>
        <v>292067.10533981933</v>
      </c>
      <c r="N289" s="75"/>
      <c r="O289" s="75"/>
      <c r="P289" s="75"/>
    </row>
    <row r="290" spans="5:16">
      <c r="E290">
        <v>288</v>
      </c>
      <c r="F290" s="77">
        <f t="shared" si="56"/>
        <v>1717.829193638845</v>
      </c>
      <c r="G290" s="77">
        <f t="shared" si="53"/>
        <v>444.4366077539969</v>
      </c>
      <c r="H290" s="77">
        <f t="shared" si="57"/>
        <v>1273.3925858848481</v>
      </c>
      <c r="I290" s="77">
        <f t="shared" si="54"/>
        <v>281844.03023670084</v>
      </c>
      <c r="J290" s="77">
        <f t="shared" si="54"/>
        <v>214608.60672492537</v>
      </c>
      <c r="K290" s="77">
        <f t="shared" si="58"/>
        <v>106664.78586095925</v>
      </c>
      <c r="L290" s="75">
        <v>400000</v>
      </c>
      <c r="M290" s="75">
        <f t="shared" si="55"/>
        <v>293335.21413904073</v>
      </c>
      <c r="N290" s="75"/>
      <c r="O290" s="75"/>
      <c r="P290" s="75"/>
    </row>
    <row r="291" spans="5:16">
      <c r="E291">
        <v>289</v>
      </c>
      <c r="F291" s="77">
        <f t="shared" si="56"/>
        <v>1717.829193638845</v>
      </c>
      <c r="G291" s="77">
        <f t="shared" si="53"/>
        <v>439.13080531280997</v>
      </c>
      <c r="H291" s="77">
        <f t="shared" si="57"/>
        <v>1278.698388326035</v>
      </c>
      <c r="I291" s="77">
        <f t="shared" si="54"/>
        <v>282283.16104201367</v>
      </c>
      <c r="J291" s="77">
        <f t="shared" si="54"/>
        <v>215887.30511325141</v>
      </c>
      <c r="K291" s="77">
        <f t="shared" si="58"/>
        <v>105391.3932750744</v>
      </c>
      <c r="L291" s="75">
        <v>400000</v>
      </c>
      <c r="M291" s="75">
        <f t="shared" si="55"/>
        <v>294608.60672492557</v>
      </c>
      <c r="N291" s="75"/>
      <c r="O291" s="75"/>
      <c r="P291" s="75"/>
    </row>
    <row r="292" spans="5:16">
      <c r="E292">
        <v>290</v>
      </c>
      <c r="F292" s="77">
        <f t="shared" si="56"/>
        <v>1717.829193638845</v>
      </c>
      <c r="G292" s="77">
        <f t="shared" si="53"/>
        <v>433.80289536145148</v>
      </c>
      <c r="H292" s="77">
        <f t="shared" si="57"/>
        <v>1284.0262982773936</v>
      </c>
      <c r="I292" s="77">
        <f t="shared" si="54"/>
        <v>282716.96393737511</v>
      </c>
      <c r="J292" s="77">
        <f t="shared" si="54"/>
        <v>217171.33141152881</v>
      </c>
      <c r="K292" s="77">
        <f t="shared" si="58"/>
        <v>104112.69488674836</v>
      </c>
      <c r="L292" s="75">
        <v>400000</v>
      </c>
      <c r="M292" s="75">
        <f t="shared" si="55"/>
        <v>295887.30511325167</v>
      </c>
      <c r="N292" s="75"/>
      <c r="O292" s="75"/>
      <c r="P292" s="75"/>
    </row>
    <row r="293" spans="5:16">
      <c r="E293">
        <v>291</v>
      </c>
      <c r="F293" s="77">
        <f t="shared" si="56"/>
        <v>1717.829193638845</v>
      </c>
      <c r="G293" s="77">
        <f t="shared" si="53"/>
        <v>428.45278578529565</v>
      </c>
      <c r="H293" s="77">
        <f t="shared" si="57"/>
        <v>1289.3764078535494</v>
      </c>
      <c r="I293" s="77">
        <f t="shared" si="54"/>
        <v>283145.41672316042</v>
      </c>
      <c r="J293" s="77">
        <f t="shared" si="54"/>
        <v>218460.70781938237</v>
      </c>
      <c r="K293" s="77">
        <f t="shared" si="58"/>
        <v>102828.66858847096</v>
      </c>
      <c r="L293" s="75">
        <v>400000</v>
      </c>
      <c r="M293" s="75">
        <f t="shared" si="55"/>
        <v>297171.33141152904</v>
      </c>
      <c r="N293" s="75"/>
      <c r="O293" s="75"/>
      <c r="P293" s="75"/>
    </row>
    <row r="294" spans="5:16">
      <c r="E294">
        <v>292</v>
      </c>
      <c r="F294" s="77">
        <f t="shared" si="56"/>
        <v>1717.829193638845</v>
      </c>
      <c r="G294" s="77">
        <f t="shared" si="53"/>
        <v>423.08038408590591</v>
      </c>
      <c r="H294" s="77">
        <f t="shared" si="57"/>
        <v>1294.7488095529391</v>
      </c>
      <c r="I294" s="77">
        <f t="shared" si="54"/>
        <v>283568.49710724631</v>
      </c>
      <c r="J294" s="77">
        <f t="shared" si="54"/>
        <v>219755.4566289353</v>
      </c>
      <c r="K294" s="77">
        <f t="shared" si="58"/>
        <v>101539.29218061741</v>
      </c>
      <c r="L294" s="75">
        <v>400000</v>
      </c>
      <c r="M294" s="75">
        <f t="shared" si="55"/>
        <v>298460.7078193826</v>
      </c>
      <c r="N294" s="75"/>
      <c r="O294" s="75"/>
      <c r="P294" s="75"/>
    </row>
    <row r="295" spans="5:16">
      <c r="E295">
        <v>293</v>
      </c>
      <c r="F295" s="77">
        <f t="shared" si="56"/>
        <v>1717.829193638845</v>
      </c>
      <c r="G295" s="77">
        <f t="shared" si="53"/>
        <v>417.68559737943531</v>
      </c>
      <c r="H295" s="77">
        <f t="shared" si="57"/>
        <v>1300.1435962594096</v>
      </c>
      <c r="I295" s="77">
        <f t="shared" si="54"/>
        <v>283986.18270462577</v>
      </c>
      <c r="J295" s="77">
        <f t="shared" si="54"/>
        <v>221055.60022519471</v>
      </c>
      <c r="K295" s="77">
        <f t="shared" si="58"/>
        <v>100244.54337106447</v>
      </c>
      <c r="L295" s="75">
        <v>400000</v>
      </c>
      <c r="M295" s="75">
        <f t="shared" si="55"/>
        <v>299755.45662893553</v>
      </c>
      <c r="N295" s="75"/>
      <c r="O295" s="75"/>
      <c r="P295" s="75"/>
    </row>
    <row r="296" spans="5:16">
      <c r="E296">
        <v>294</v>
      </c>
      <c r="F296" s="77">
        <f t="shared" si="56"/>
        <v>1717.829193638845</v>
      </c>
      <c r="G296" s="77">
        <f t="shared" si="53"/>
        <v>412.2683323950211</v>
      </c>
      <c r="H296" s="77">
        <f t="shared" si="57"/>
        <v>1305.5608612438239</v>
      </c>
      <c r="I296" s="77">
        <f t="shared" si="54"/>
        <v>284398.45103702077</v>
      </c>
      <c r="J296" s="77">
        <f t="shared" si="54"/>
        <v>222361.16108643854</v>
      </c>
      <c r="K296" s="77">
        <f t="shared" si="58"/>
        <v>98944.399774805061</v>
      </c>
      <c r="L296" s="75">
        <v>400000</v>
      </c>
      <c r="M296" s="75">
        <f t="shared" si="55"/>
        <v>301055.60022519494</v>
      </c>
      <c r="N296" s="75"/>
      <c r="O296" s="75"/>
      <c r="P296" s="75"/>
    </row>
    <row r="297" spans="5:16">
      <c r="E297">
        <v>295</v>
      </c>
      <c r="F297" s="77">
        <f t="shared" si="56"/>
        <v>1717.829193638845</v>
      </c>
      <c r="G297" s="77">
        <f t="shared" si="53"/>
        <v>406.82849547317181</v>
      </c>
      <c r="H297" s="77">
        <f t="shared" si="57"/>
        <v>1311.0006981656732</v>
      </c>
      <c r="I297" s="77">
        <f t="shared" si="54"/>
        <v>284805.27953249397</v>
      </c>
      <c r="J297" s="77">
        <f t="shared" si="54"/>
        <v>223672.16178460422</v>
      </c>
      <c r="K297" s="77">
        <f t="shared" si="58"/>
        <v>97638.838913561238</v>
      </c>
      <c r="L297" s="75">
        <v>400000</v>
      </c>
      <c r="M297" s="75">
        <f t="shared" si="55"/>
        <v>302361.16108643875</v>
      </c>
      <c r="N297" s="75"/>
      <c r="O297" s="75"/>
      <c r="P297" s="75"/>
    </row>
    <row r="298" spans="5:16">
      <c r="E298">
        <v>296</v>
      </c>
      <c r="F298" s="77">
        <f t="shared" si="56"/>
        <v>1717.829193638845</v>
      </c>
      <c r="G298" s="77">
        <f t="shared" si="53"/>
        <v>401.36599256414814</v>
      </c>
      <c r="H298" s="77">
        <f t="shared" si="57"/>
        <v>1316.4632010746968</v>
      </c>
      <c r="I298" s="77">
        <f t="shared" si="54"/>
        <v>285206.64552505809</v>
      </c>
      <c r="J298" s="77">
        <f t="shared" si="54"/>
        <v>224988.62498567891</v>
      </c>
      <c r="K298" s="77">
        <f t="shared" si="58"/>
        <v>96327.838215395561</v>
      </c>
      <c r="L298" s="75">
        <v>400000</v>
      </c>
      <c r="M298" s="75">
        <f t="shared" si="55"/>
        <v>303672.16178460442</v>
      </c>
      <c r="N298" s="75"/>
      <c r="O298" s="75"/>
      <c r="P298" s="75"/>
    </row>
    <row r="299" spans="5:16">
      <c r="E299">
        <v>297</v>
      </c>
      <c r="F299" s="77">
        <f t="shared" si="56"/>
        <v>1717.829193638845</v>
      </c>
      <c r="G299" s="77">
        <f t="shared" si="53"/>
        <v>395.88072922633694</v>
      </c>
      <c r="H299" s="77">
        <f t="shared" si="57"/>
        <v>1321.9484644125082</v>
      </c>
      <c r="I299" s="77">
        <f t="shared" si="54"/>
        <v>285602.52625428443</v>
      </c>
      <c r="J299" s="77">
        <f t="shared" si="54"/>
        <v>226310.57345009141</v>
      </c>
      <c r="K299" s="77">
        <f t="shared" si="58"/>
        <v>95011.37501432086</v>
      </c>
      <c r="L299" s="75">
        <v>400000</v>
      </c>
      <c r="M299" s="75">
        <f t="shared" si="55"/>
        <v>304988.62498567917</v>
      </c>
      <c r="N299" s="75"/>
      <c r="O299" s="75"/>
      <c r="P299" s="75"/>
    </row>
    <row r="300" spans="5:16">
      <c r="E300">
        <v>298</v>
      </c>
      <c r="F300" s="77">
        <f t="shared" si="56"/>
        <v>1717.829193638845</v>
      </c>
      <c r="G300" s="77">
        <f t="shared" si="53"/>
        <v>390.37261062461812</v>
      </c>
      <c r="H300" s="77">
        <f t="shared" si="57"/>
        <v>1327.4565830142269</v>
      </c>
      <c r="I300" s="77">
        <f t="shared" si="54"/>
        <v>285992.89886490908</v>
      </c>
      <c r="J300" s="77">
        <f t="shared" si="54"/>
        <v>227638.03003310564</v>
      </c>
      <c r="K300" s="77">
        <f t="shared" si="58"/>
        <v>93689.426549908356</v>
      </c>
      <c r="L300" s="75">
        <v>400000</v>
      </c>
      <c r="M300" s="75">
        <f t="shared" si="55"/>
        <v>306310.57345009164</v>
      </c>
      <c r="N300" s="75"/>
      <c r="O300" s="75"/>
      <c r="P300" s="75"/>
    </row>
    <row r="301" spans="5:16">
      <c r="E301">
        <v>299</v>
      </c>
      <c r="F301" s="77">
        <f t="shared" si="56"/>
        <v>1717.829193638845</v>
      </c>
      <c r="G301" s="77">
        <f t="shared" si="53"/>
        <v>384.84154152872554</v>
      </c>
      <c r="H301" s="77">
        <f t="shared" si="57"/>
        <v>1332.9876521101196</v>
      </c>
      <c r="I301" s="77">
        <f t="shared" si="54"/>
        <v>286377.74040643778</v>
      </c>
      <c r="J301" s="77">
        <f t="shared" si="54"/>
        <v>228971.01768521575</v>
      </c>
      <c r="K301" s="77">
        <f t="shared" si="58"/>
        <v>92361.969966894132</v>
      </c>
      <c r="L301" s="75">
        <v>400000</v>
      </c>
      <c r="M301" s="75">
        <f t="shared" si="55"/>
        <v>307638.03003310587</v>
      </c>
      <c r="N301" s="75"/>
      <c r="O301" s="75"/>
      <c r="P301" s="75"/>
    </row>
    <row r="302" spans="5:16">
      <c r="E302">
        <v>300</v>
      </c>
      <c r="F302" s="77">
        <f t="shared" si="56"/>
        <v>1717.829193638845</v>
      </c>
      <c r="G302" s="77">
        <f t="shared" si="53"/>
        <v>379.28742631160003</v>
      </c>
      <c r="H302" s="77">
        <f t="shared" si="57"/>
        <v>1338.541767327245</v>
      </c>
      <c r="I302" s="77">
        <f t="shared" si="54"/>
        <v>286757.02783274936</v>
      </c>
      <c r="J302" s="77">
        <f t="shared" si="54"/>
        <v>230309.55945254298</v>
      </c>
      <c r="K302" s="77">
        <f t="shared" si="58"/>
        <v>91028.982314784007</v>
      </c>
      <c r="L302" s="75">
        <v>400000</v>
      </c>
      <c r="M302" s="75">
        <f t="shared" si="55"/>
        <v>308971.01768521598</v>
      </c>
      <c r="N302" s="75"/>
      <c r="O302" s="75"/>
      <c r="P302" s="75"/>
    </row>
    <row r="303" spans="5:16">
      <c r="E303">
        <v>301</v>
      </c>
      <c r="F303" s="77">
        <f t="shared" si="56"/>
        <v>1717.829193638845</v>
      </c>
      <c r="G303" s="77">
        <f t="shared" si="53"/>
        <v>373.71016894773652</v>
      </c>
      <c r="H303" s="77">
        <f t="shared" si="57"/>
        <v>1344.1190246911085</v>
      </c>
      <c r="I303" s="77">
        <f t="shared" si="54"/>
        <v>287130.73800169711</v>
      </c>
      <c r="J303" s="77">
        <f t="shared" si="54"/>
        <v>231653.67847723409</v>
      </c>
      <c r="K303" s="77">
        <f t="shared" si="58"/>
        <v>89690.440547456761</v>
      </c>
      <c r="L303" s="75">
        <v>400000</v>
      </c>
      <c r="M303" s="75">
        <f t="shared" si="55"/>
        <v>310309.55945254327</v>
      </c>
      <c r="N303" s="75"/>
      <c r="O303" s="75"/>
      <c r="P303" s="75"/>
    </row>
    <row r="304" spans="5:16">
      <c r="E304">
        <v>302</v>
      </c>
      <c r="F304" s="77">
        <f t="shared" si="56"/>
        <v>1717.829193638845</v>
      </c>
      <c r="G304" s="77">
        <f t="shared" si="53"/>
        <v>368.10967301152351</v>
      </c>
      <c r="H304" s="77">
        <f t="shared" si="57"/>
        <v>1349.7195206273216</v>
      </c>
      <c r="I304" s="77">
        <f t="shared" si="54"/>
        <v>287498.84767470864</v>
      </c>
      <c r="J304" s="77">
        <f t="shared" si="54"/>
        <v>233003.39799786141</v>
      </c>
      <c r="K304" s="77">
        <f t="shared" si="58"/>
        <v>88346.321522765647</v>
      </c>
      <c r="L304" s="75">
        <v>400000</v>
      </c>
      <c r="M304" s="75">
        <f t="shared" si="55"/>
        <v>311653.67847723432</v>
      </c>
      <c r="N304" s="75"/>
      <c r="O304" s="75"/>
      <c r="P304" s="75"/>
    </row>
    <row r="305" spans="5:16">
      <c r="E305">
        <v>303</v>
      </c>
      <c r="F305" s="77">
        <f t="shared" si="56"/>
        <v>1717.829193638845</v>
      </c>
      <c r="G305" s="77">
        <f t="shared" si="53"/>
        <v>362.48584167557635</v>
      </c>
      <c r="H305" s="77">
        <f t="shared" si="57"/>
        <v>1355.3433519632686</v>
      </c>
      <c r="I305" s="77">
        <f t="shared" si="54"/>
        <v>287861.33351638424</v>
      </c>
      <c r="J305" s="77">
        <f t="shared" si="54"/>
        <v>234358.74134982468</v>
      </c>
      <c r="K305" s="77">
        <f t="shared" si="58"/>
        <v>86996.60200213833</v>
      </c>
      <c r="L305" s="75">
        <v>400000</v>
      </c>
      <c r="M305" s="75">
        <f t="shared" si="55"/>
        <v>313003.39799786167</v>
      </c>
      <c r="N305" s="75"/>
      <c r="O305" s="75"/>
      <c r="P305" s="75"/>
    </row>
    <row r="306" spans="5:16">
      <c r="E306">
        <v>304</v>
      </c>
      <c r="F306" s="77">
        <f t="shared" si="56"/>
        <v>1717.829193638845</v>
      </c>
      <c r="G306" s="77">
        <f t="shared" si="53"/>
        <v>356.83857770906275</v>
      </c>
      <c r="H306" s="77">
        <f t="shared" si="57"/>
        <v>1360.9906159297823</v>
      </c>
      <c r="I306" s="77">
        <f t="shared" si="54"/>
        <v>288218.17209409329</v>
      </c>
      <c r="J306" s="77">
        <f t="shared" si="54"/>
        <v>235719.73196575444</v>
      </c>
      <c r="K306" s="77">
        <f t="shared" si="58"/>
        <v>85641.258650175063</v>
      </c>
      <c r="L306" s="75">
        <v>400000</v>
      </c>
      <c r="M306" s="75">
        <f t="shared" si="55"/>
        <v>314358.74134982494</v>
      </c>
      <c r="N306" s="75"/>
      <c r="O306" s="75"/>
      <c r="P306" s="75"/>
    </row>
    <row r="307" spans="5:16">
      <c r="E307">
        <v>305</v>
      </c>
      <c r="F307" s="77">
        <f t="shared" si="56"/>
        <v>1717.829193638845</v>
      </c>
      <c r="G307" s="77">
        <f t="shared" si="53"/>
        <v>351.16778347602201</v>
      </c>
      <c r="H307" s="77">
        <f t="shared" si="57"/>
        <v>1366.6614101628229</v>
      </c>
      <c r="I307" s="77">
        <f t="shared" si="54"/>
        <v>288569.33987756929</v>
      </c>
      <c r="J307" s="77">
        <f t="shared" si="54"/>
        <v>237086.39337591728</v>
      </c>
      <c r="K307" s="77">
        <f t="shared" si="58"/>
        <v>84280.26803424528</v>
      </c>
      <c r="L307" s="75">
        <v>400000</v>
      </c>
      <c r="M307" s="75">
        <f t="shared" si="55"/>
        <v>315719.73196575471</v>
      </c>
      <c r="N307" s="75"/>
      <c r="O307" s="75"/>
      <c r="P307" s="75"/>
    </row>
    <row r="308" spans="5:16">
      <c r="E308">
        <v>306</v>
      </c>
      <c r="F308" s="77">
        <f t="shared" si="56"/>
        <v>1717.829193638845</v>
      </c>
      <c r="G308" s="77">
        <f t="shared" si="53"/>
        <v>345.47336093367693</v>
      </c>
      <c r="H308" s="77">
        <f t="shared" si="57"/>
        <v>1372.355832705168</v>
      </c>
      <c r="I308" s="77">
        <f t="shared" si="54"/>
        <v>288914.81323850295</v>
      </c>
      <c r="J308" s="77">
        <f t="shared" si="54"/>
        <v>238458.74920862244</v>
      </c>
      <c r="K308" s="77">
        <f t="shared" si="58"/>
        <v>82913.606624082458</v>
      </c>
      <c r="L308" s="75">
        <v>400000</v>
      </c>
      <c r="M308" s="75">
        <f t="shared" si="55"/>
        <v>317086.39337591757</v>
      </c>
      <c r="N308" s="75"/>
      <c r="O308" s="75"/>
      <c r="P308" s="75"/>
    </row>
    <row r="309" spans="5:16">
      <c r="E309">
        <v>307</v>
      </c>
      <c r="F309" s="77">
        <f t="shared" si="56"/>
        <v>1717.829193638845</v>
      </c>
      <c r="G309" s="77">
        <f t="shared" si="53"/>
        <v>339.7552116307387</v>
      </c>
      <c r="H309" s="77">
        <f t="shared" si="57"/>
        <v>1378.0739820081062</v>
      </c>
      <c r="I309" s="77">
        <f t="shared" si="54"/>
        <v>289254.56845013367</v>
      </c>
      <c r="J309" s="77">
        <f t="shared" si="54"/>
        <v>239836.82319063053</v>
      </c>
      <c r="K309" s="77">
        <f t="shared" si="58"/>
        <v>81541.250791377286</v>
      </c>
      <c r="L309" s="75">
        <v>400000</v>
      </c>
      <c r="M309" s="75">
        <f t="shared" si="55"/>
        <v>318458.74920862273</v>
      </c>
      <c r="N309" s="75"/>
      <c r="O309" s="75"/>
      <c r="P309" s="75"/>
    </row>
    <row r="310" spans="5:16">
      <c r="E310">
        <v>308</v>
      </c>
      <c r="F310" s="77">
        <f t="shared" si="56"/>
        <v>1717.829193638845</v>
      </c>
      <c r="G310" s="77">
        <f t="shared" si="53"/>
        <v>334.01323670570491</v>
      </c>
      <c r="H310" s="77">
        <f t="shared" si="57"/>
        <v>1383.8159569331401</v>
      </c>
      <c r="I310" s="77">
        <f t="shared" si="54"/>
        <v>289588.58168683934</v>
      </c>
      <c r="J310" s="77">
        <f t="shared" si="54"/>
        <v>241220.63914756366</v>
      </c>
      <c r="K310" s="77">
        <f t="shared" si="58"/>
        <v>80163.176809369179</v>
      </c>
      <c r="L310" s="75">
        <v>400000</v>
      </c>
      <c r="M310" s="75">
        <f t="shared" si="55"/>
        <v>319836.82319063082</v>
      </c>
      <c r="N310" s="75"/>
      <c r="O310" s="75"/>
      <c r="P310" s="75"/>
    </row>
    <row r="311" spans="5:16">
      <c r="E311">
        <v>309</v>
      </c>
      <c r="F311" s="77">
        <f t="shared" si="56"/>
        <v>1717.829193638845</v>
      </c>
      <c r="G311" s="77">
        <f t="shared" si="53"/>
        <v>328.24733688515016</v>
      </c>
      <c r="H311" s="77">
        <f t="shared" si="57"/>
        <v>1389.5818567536949</v>
      </c>
      <c r="I311" s="77">
        <f t="shared" si="54"/>
        <v>289916.82902372448</v>
      </c>
      <c r="J311" s="77">
        <f t="shared" si="54"/>
        <v>242610.22100431737</v>
      </c>
      <c r="K311" s="77">
        <f t="shared" si="58"/>
        <v>78779.360852436046</v>
      </c>
      <c r="L311" s="75">
        <v>400000</v>
      </c>
      <c r="M311" s="75">
        <f t="shared" si="55"/>
        <v>321220.63914756395</v>
      </c>
      <c r="N311" s="75"/>
      <c r="O311" s="75"/>
      <c r="P311" s="75"/>
    </row>
    <row r="312" spans="5:16">
      <c r="E312">
        <v>310</v>
      </c>
      <c r="F312" s="77">
        <f t="shared" si="56"/>
        <v>1717.829193638845</v>
      </c>
      <c r="G312" s="77">
        <f t="shared" si="53"/>
        <v>322.45741248200983</v>
      </c>
      <c r="H312" s="77">
        <f t="shared" si="57"/>
        <v>1395.3717811568351</v>
      </c>
      <c r="I312" s="77">
        <f t="shared" si="54"/>
        <v>290239.28643620649</v>
      </c>
      <c r="J312" s="77">
        <f t="shared" si="54"/>
        <v>244005.5927854742</v>
      </c>
      <c r="K312" s="77">
        <f t="shared" si="58"/>
        <v>77389.778995682354</v>
      </c>
      <c r="L312" s="75">
        <v>400000</v>
      </c>
      <c r="M312" s="75">
        <f t="shared" si="55"/>
        <v>322610.22100431763</v>
      </c>
      <c r="N312" s="75"/>
      <c r="O312" s="75"/>
      <c r="P312" s="75"/>
    </row>
    <row r="313" spans="5:16">
      <c r="E313">
        <v>311</v>
      </c>
      <c r="F313" s="77">
        <f t="shared" si="56"/>
        <v>1717.829193638845</v>
      </c>
      <c r="G313" s="77">
        <f t="shared" si="53"/>
        <v>316.6433633938563</v>
      </c>
      <c r="H313" s="77">
        <f t="shared" si="57"/>
        <v>1401.1858302449887</v>
      </c>
      <c r="I313" s="77">
        <f t="shared" si="54"/>
        <v>290555.92979960033</v>
      </c>
      <c r="J313" s="77">
        <f t="shared" si="54"/>
        <v>245406.7786157192</v>
      </c>
      <c r="K313" s="77">
        <f t="shared" si="58"/>
        <v>75994.40721452552</v>
      </c>
      <c r="L313" s="75">
        <v>400000</v>
      </c>
      <c r="M313" s="75">
        <f t="shared" si="55"/>
        <v>324005.5927854745</v>
      </c>
      <c r="N313" s="75"/>
      <c r="O313" s="75"/>
      <c r="P313" s="75"/>
    </row>
    <row r="314" spans="5:16">
      <c r="E314">
        <v>312</v>
      </c>
      <c r="F314" s="77">
        <f t="shared" si="56"/>
        <v>1717.829193638845</v>
      </c>
      <c r="G314" s="77">
        <f t="shared" si="53"/>
        <v>310.8050891011689</v>
      </c>
      <c r="H314" s="77">
        <f t="shared" si="57"/>
        <v>1407.0241045376761</v>
      </c>
      <c r="I314" s="77">
        <f t="shared" si="54"/>
        <v>290866.73488870153</v>
      </c>
      <c r="J314" s="77">
        <f t="shared" si="54"/>
        <v>246813.80272025688</v>
      </c>
      <c r="K314" s="77">
        <f t="shared" si="58"/>
        <v>74593.221384280536</v>
      </c>
      <c r="L314" s="75">
        <v>400000</v>
      </c>
      <c r="M314" s="75">
        <f t="shared" si="55"/>
        <v>325406.77861571946</v>
      </c>
      <c r="N314" s="75"/>
      <c r="O314" s="75"/>
      <c r="P314" s="75"/>
    </row>
    <row r="315" spans="5:16">
      <c r="E315">
        <v>313</v>
      </c>
      <c r="F315" s="77">
        <f t="shared" si="56"/>
        <v>1717.829193638845</v>
      </c>
      <c r="G315" s="77">
        <f t="shared" si="53"/>
        <v>304.94248866559525</v>
      </c>
      <c r="H315" s="77">
        <f t="shared" si="57"/>
        <v>1412.8867049732498</v>
      </c>
      <c r="I315" s="77">
        <f t="shared" si="54"/>
        <v>291171.6773773671</v>
      </c>
      <c r="J315" s="77">
        <f t="shared" si="54"/>
        <v>248226.68942523011</v>
      </c>
      <c r="K315" s="77">
        <f t="shared" si="58"/>
        <v>73186.197279742861</v>
      </c>
      <c r="L315" s="75">
        <v>400000</v>
      </c>
      <c r="M315" s="75">
        <f t="shared" si="55"/>
        <v>326813.80272025714</v>
      </c>
      <c r="N315" s="75"/>
      <c r="O315" s="75"/>
      <c r="P315" s="75"/>
    </row>
    <row r="316" spans="5:16">
      <c r="E316">
        <v>314</v>
      </c>
      <c r="F316" s="77">
        <f t="shared" si="56"/>
        <v>1717.829193638845</v>
      </c>
      <c r="G316" s="77">
        <f t="shared" si="53"/>
        <v>299.0554607282067</v>
      </c>
      <c r="H316" s="77">
        <f t="shared" si="57"/>
        <v>1418.7737329106383</v>
      </c>
      <c r="I316" s="77">
        <f t="shared" si="54"/>
        <v>291470.73283809528</v>
      </c>
      <c r="J316" s="77">
        <f t="shared" si="54"/>
        <v>249645.46315814074</v>
      </c>
      <c r="K316" s="77">
        <f t="shared" si="58"/>
        <v>71773.31057476961</v>
      </c>
      <c r="L316" s="75">
        <v>400000</v>
      </c>
      <c r="M316" s="75">
        <f t="shared" si="55"/>
        <v>328226.68942523038</v>
      </c>
      <c r="N316" s="75"/>
      <c r="O316" s="75"/>
      <c r="P316" s="75"/>
    </row>
    <row r="317" spans="5:16">
      <c r="E317">
        <v>315</v>
      </c>
      <c r="F317" s="77">
        <f t="shared" si="56"/>
        <v>1717.829193638845</v>
      </c>
      <c r="G317" s="77">
        <f t="shared" si="53"/>
        <v>293.14390350774573</v>
      </c>
      <c r="H317" s="77">
        <f t="shared" si="57"/>
        <v>1424.6852901310992</v>
      </c>
      <c r="I317" s="77">
        <f t="shared" si="54"/>
        <v>291763.87674160302</v>
      </c>
      <c r="J317" s="77">
        <f t="shared" si="54"/>
        <v>251070.14844827185</v>
      </c>
      <c r="K317" s="77">
        <f t="shared" si="58"/>
        <v>70354.536841858979</v>
      </c>
      <c r="L317" s="75">
        <v>400000</v>
      </c>
      <c r="M317" s="75">
        <f t="shared" si="55"/>
        <v>329645.46315814101</v>
      </c>
      <c r="N317" s="75"/>
      <c r="O317" s="75"/>
      <c r="P317" s="75"/>
    </row>
    <row r="318" spans="5:16">
      <c r="E318">
        <v>316</v>
      </c>
      <c r="F318" s="77">
        <f t="shared" si="56"/>
        <v>1717.829193638845</v>
      </c>
      <c r="G318" s="77">
        <f t="shared" si="53"/>
        <v>287.20771479886616</v>
      </c>
      <c r="H318" s="77">
        <f t="shared" si="57"/>
        <v>1430.6214788399789</v>
      </c>
      <c r="I318" s="77">
        <f t="shared" si="54"/>
        <v>292051.08445640188</v>
      </c>
      <c r="J318" s="77">
        <f t="shared" si="54"/>
        <v>252500.76992711183</v>
      </c>
      <c r="K318" s="77">
        <f t="shared" si="58"/>
        <v>68929.851551727887</v>
      </c>
      <c r="L318" s="75">
        <v>400000</v>
      </c>
      <c r="M318" s="75">
        <f t="shared" si="55"/>
        <v>331070.14844827214</v>
      </c>
      <c r="N318" s="75"/>
      <c r="O318" s="75"/>
      <c r="P318" s="75"/>
    </row>
    <row r="319" spans="5:16">
      <c r="E319">
        <v>317</v>
      </c>
      <c r="F319" s="77">
        <f t="shared" si="56"/>
        <v>1717.829193638845</v>
      </c>
      <c r="G319" s="77">
        <f t="shared" si="53"/>
        <v>281.24679197036625</v>
      </c>
      <c r="H319" s="77">
        <f t="shared" si="57"/>
        <v>1436.5824016684787</v>
      </c>
      <c r="I319" s="77">
        <f t="shared" si="54"/>
        <v>292332.33124837227</v>
      </c>
      <c r="J319" s="77">
        <f t="shared" si="54"/>
        <v>253937.35232878031</v>
      </c>
      <c r="K319" s="77">
        <f t="shared" si="58"/>
        <v>67499.230072887905</v>
      </c>
      <c r="L319" s="75">
        <v>400000</v>
      </c>
      <c r="M319" s="75">
        <f t="shared" si="55"/>
        <v>332500.76992711209</v>
      </c>
      <c r="N319" s="75"/>
      <c r="O319" s="75"/>
      <c r="P319" s="75"/>
    </row>
    <row r="320" spans="5:16">
      <c r="E320">
        <v>318</v>
      </c>
      <c r="F320" s="77">
        <f t="shared" si="56"/>
        <v>1717.829193638845</v>
      </c>
      <c r="G320" s="77">
        <f t="shared" si="53"/>
        <v>275.26103196341427</v>
      </c>
      <c r="H320" s="77">
        <f t="shared" si="57"/>
        <v>1442.5681616754307</v>
      </c>
      <c r="I320" s="77">
        <f t="shared" si="54"/>
        <v>292607.59228033567</v>
      </c>
      <c r="J320" s="77">
        <f t="shared" si="54"/>
        <v>255379.92049045576</v>
      </c>
      <c r="K320" s="77">
        <f t="shared" si="58"/>
        <v>66062.647671219427</v>
      </c>
      <c r="L320" s="75">
        <v>400000</v>
      </c>
      <c r="M320" s="75">
        <f t="shared" si="55"/>
        <v>333937.35232878057</v>
      </c>
      <c r="N320" s="75"/>
      <c r="O320" s="75"/>
      <c r="P320" s="75"/>
    </row>
    <row r="321" spans="5:16">
      <c r="E321">
        <v>319</v>
      </c>
      <c r="F321" s="77">
        <f t="shared" si="56"/>
        <v>1717.829193638845</v>
      </c>
      <c r="G321" s="77">
        <f t="shared" si="53"/>
        <v>269.25033128976668</v>
      </c>
      <c r="H321" s="77">
        <f t="shared" si="57"/>
        <v>1448.5788623490785</v>
      </c>
      <c r="I321" s="77">
        <f t="shared" si="54"/>
        <v>292876.84261162544</v>
      </c>
      <c r="J321" s="77">
        <f t="shared" si="54"/>
        <v>256828.49935280482</v>
      </c>
      <c r="K321" s="77">
        <f t="shared" si="58"/>
        <v>64620.079509543997</v>
      </c>
      <c r="L321" s="75">
        <v>400000</v>
      </c>
      <c r="M321" s="75">
        <f t="shared" si="55"/>
        <v>335379.92049045599</v>
      </c>
      <c r="N321" s="75"/>
      <c r="O321" s="75"/>
      <c r="P321" s="75"/>
    </row>
    <row r="322" spans="5:16">
      <c r="E322">
        <v>320</v>
      </c>
      <c r="F322" s="77">
        <f t="shared" si="56"/>
        <v>1717.829193638845</v>
      </c>
      <c r="G322" s="77">
        <f t="shared" ref="G322:G362" si="59">(B$4/B$6)*K322</f>
        <v>263.21458602997882</v>
      </c>
      <c r="H322" s="77">
        <f t="shared" si="57"/>
        <v>1454.6146076088662</v>
      </c>
      <c r="I322" s="77">
        <f t="shared" si="54"/>
        <v>293140.05719765543</v>
      </c>
      <c r="J322" s="77">
        <f t="shared" si="54"/>
        <v>258283.1139604137</v>
      </c>
      <c r="K322" s="77">
        <f t="shared" si="58"/>
        <v>63171.500647194916</v>
      </c>
      <c r="L322" s="75">
        <v>400000</v>
      </c>
      <c r="M322" s="75">
        <f t="shared" si="55"/>
        <v>336828.49935280508</v>
      </c>
      <c r="N322" s="75"/>
      <c r="O322" s="75"/>
      <c r="P322" s="75"/>
    </row>
    <row r="323" spans="5:16">
      <c r="E323">
        <v>321</v>
      </c>
      <c r="F323" s="77">
        <f t="shared" si="56"/>
        <v>1717.829193638845</v>
      </c>
      <c r="G323" s="77">
        <f t="shared" si="59"/>
        <v>257.15369183160857</v>
      </c>
      <c r="H323" s="77">
        <f t="shared" si="57"/>
        <v>1460.6755018072365</v>
      </c>
      <c r="I323" s="77">
        <f t="shared" ref="I323:J362" si="60">I322+G323</f>
        <v>293397.21088948706</v>
      </c>
      <c r="J323" s="77">
        <f t="shared" si="60"/>
        <v>259743.78946222094</v>
      </c>
      <c r="K323" s="77">
        <f t="shared" si="58"/>
        <v>61716.886039586054</v>
      </c>
      <c r="L323" s="75">
        <v>400000</v>
      </c>
      <c r="M323" s="75">
        <f t="shared" ref="M323:M362" si="61">L323-K323</f>
        <v>338283.11396041396</v>
      </c>
      <c r="N323" s="75"/>
      <c r="O323" s="75"/>
      <c r="P323" s="75"/>
    </row>
    <row r="324" spans="5:16">
      <c r="E324">
        <v>322</v>
      </c>
      <c r="F324" s="77">
        <f t="shared" ref="F324:F362" si="62">F323</f>
        <v>1717.829193638845</v>
      </c>
      <c r="G324" s="77">
        <f t="shared" si="59"/>
        <v>251.06754390741173</v>
      </c>
      <c r="H324" s="77">
        <f t="shared" ref="H324:H362" si="63">F324-G324</f>
        <v>1466.7616497314334</v>
      </c>
      <c r="I324" s="77">
        <f t="shared" si="60"/>
        <v>293648.2784333945</v>
      </c>
      <c r="J324" s="77">
        <f t="shared" si="60"/>
        <v>261210.55111195237</v>
      </c>
      <c r="K324" s="77">
        <f t="shared" ref="K324:K362" si="64">K323-H323</f>
        <v>60256.210537778818</v>
      </c>
      <c r="L324" s="75">
        <v>400000</v>
      </c>
      <c r="M324" s="75">
        <f t="shared" si="61"/>
        <v>339743.7894622212</v>
      </c>
      <c r="N324" s="75"/>
      <c r="O324" s="75"/>
      <c r="P324" s="75"/>
    </row>
    <row r="325" spans="5:16">
      <c r="E325">
        <v>323</v>
      </c>
      <c r="F325" s="77">
        <f t="shared" si="62"/>
        <v>1717.829193638845</v>
      </c>
      <c r="G325" s="77">
        <f t="shared" si="59"/>
        <v>244.95603703353078</v>
      </c>
      <c r="H325" s="77">
        <f t="shared" si="63"/>
        <v>1472.8731566053143</v>
      </c>
      <c r="I325" s="77">
        <f t="shared" si="60"/>
        <v>293893.23447042803</v>
      </c>
      <c r="J325" s="77">
        <f t="shared" si="60"/>
        <v>262683.42426855769</v>
      </c>
      <c r="K325" s="77">
        <f t="shared" si="64"/>
        <v>58789.448888047387</v>
      </c>
      <c r="L325" s="75">
        <v>400000</v>
      </c>
      <c r="M325" s="75">
        <f t="shared" si="61"/>
        <v>341210.55111195263</v>
      </c>
      <c r="N325" s="75"/>
      <c r="O325" s="75"/>
      <c r="P325" s="75"/>
    </row>
    <row r="326" spans="5:16">
      <c r="E326">
        <v>324</v>
      </c>
      <c r="F326" s="77">
        <f t="shared" si="62"/>
        <v>1717.829193638845</v>
      </c>
      <c r="G326" s="77">
        <f t="shared" si="59"/>
        <v>238.81906554767528</v>
      </c>
      <c r="H326" s="77">
        <f t="shared" si="63"/>
        <v>1479.0101280911697</v>
      </c>
      <c r="I326" s="77">
        <f t="shared" si="60"/>
        <v>294132.05353597569</v>
      </c>
      <c r="J326" s="77">
        <f t="shared" si="60"/>
        <v>264162.43439664884</v>
      </c>
      <c r="K326" s="77">
        <f t="shared" si="64"/>
        <v>57316.57573144207</v>
      </c>
      <c r="L326" s="75">
        <v>400000</v>
      </c>
      <c r="M326" s="75">
        <f t="shared" si="61"/>
        <v>342683.42426855792</v>
      </c>
      <c r="N326" s="75"/>
      <c r="O326" s="75"/>
      <c r="P326" s="75"/>
    </row>
    <row r="327" spans="5:16">
      <c r="E327">
        <v>325</v>
      </c>
      <c r="F327" s="77">
        <f t="shared" si="62"/>
        <v>1717.829193638845</v>
      </c>
      <c r="G327" s="77">
        <f t="shared" si="59"/>
        <v>232.6565233472954</v>
      </c>
      <c r="H327" s="77">
        <f t="shared" si="63"/>
        <v>1485.1726702915496</v>
      </c>
      <c r="I327" s="77">
        <f t="shared" si="60"/>
        <v>294364.710059323</v>
      </c>
      <c r="J327" s="77">
        <f t="shared" si="60"/>
        <v>265647.6070669404</v>
      </c>
      <c r="K327" s="77">
        <f t="shared" si="64"/>
        <v>55837.5656033509</v>
      </c>
      <c r="L327" s="75">
        <v>400000</v>
      </c>
      <c r="M327" s="75">
        <f t="shared" si="61"/>
        <v>344162.43439664913</v>
      </c>
      <c r="N327" s="75"/>
      <c r="O327" s="75"/>
      <c r="P327" s="75"/>
    </row>
    <row r="328" spans="5:16">
      <c r="E328">
        <v>326</v>
      </c>
      <c r="F328" s="77">
        <f t="shared" si="62"/>
        <v>1717.829193638845</v>
      </c>
      <c r="G328" s="77">
        <f t="shared" si="59"/>
        <v>226.46830388774731</v>
      </c>
      <c r="H328" s="77">
        <f t="shared" si="63"/>
        <v>1491.3608897510976</v>
      </c>
      <c r="I328" s="77">
        <f t="shared" si="60"/>
        <v>294591.17836321075</v>
      </c>
      <c r="J328" s="77">
        <f t="shared" si="60"/>
        <v>267138.96795669151</v>
      </c>
      <c r="K328" s="77">
        <f t="shared" si="64"/>
        <v>54352.392933059353</v>
      </c>
      <c r="L328" s="75">
        <v>400000</v>
      </c>
      <c r="M328" s="75">
        <f t="shared" si="61"/>
        <v>345647.60706694063</v>
      </c>
      <c r="N328" s="75"/>
      <c r="O328" s="75"/>
      <c r="P328" s="75"/>
    </row>
    <row r="329" spans="5:16">
      <c r="E329">
        <v>327</v>
      </c>
      <c r="F329" s="77">
        <f t="shared" si="62"/>
        <v>1717.829193638845</v>
      </c>
      <c r="G329" s="77">
        <f t="shared" si="59"/>
        <v>220.25430018045105</v>
      </c>
      <c r="H329" s="77">
        <f t="shared" si="63"/>
        <v>1497.5748934583939</v>
      </c>
      <c r="I329" s="77">
        <f t="shared" si="60"/>
        <v>294811.43266339123</v>
      </c>
      <c r="J329" s="77">
        <f t="shared" si="60"/>
        <v>268636.54285014991</v>
      </c>
      <c r="K329" s="77">
        <f t="shared" si="64"/>
        <v>52861.032043308252</v>
      </c>
      <c r="L329" s="75">
        <v>400000</v>
      </c>
      <c r="M329" s="75">
        <f t="shared" si="61"/>
        <v>347138.96795669175</v>
      </c>
      <c r="N329" s="75"/>
      <c r="O329" s="75"/>
      <c r="P329" s="75"/>
    </row>
    <row r="330" spans="5:16">
      <c r="E330">
        <v>328</v>
      </c>
      <c r="F330" s="77">
        <f t="shared" si="62"/>
        <v>1717.829193638845</v>
      </c>
      <c r="G330" s="77">
        <f t="shared" si="59"/>
        <v>214.01440479104107</v>
      </c>
      <c r="H330" s="77">
        <f t="shared" si="63"/>
        <v>1503.814788847804</v>
      </c>
      <c r="I330" s="77">
        <f t="shared" si="60"/>
        <v>295025.44706818229</v>
      </c>
      <c r="J330" s="77">
        <f t="shared" si="60"/>
        <v>270140.35763899772</v>
      </c>
      <c r="K330" s="77">
        <f t="shared" si="64"/>
        <v>51363.457149849855</v>
      </c>
      <c r="L330" s="75">
        <v>400000</v>
      </c>
      <c r="M330" s="75">
        <f t="shared" si="61"/>
        <v>348636.54285015014</v>
      </c>
      <c r="N330" s="75"/>
      <c r="O330" s="75"/>
      <c r="P330" s="75"/>
    </row>
    <row r="331" spans="5:16">
      <c r="E331">
        <v>329</v>
      </c>
      <c r="F331" s="77">
        <f t="shared" si="62"/>
        <v>1717.829193638845</v>
      </c>
      <c r="G331" s="77">
        <f t="shared" si="59"/>
        <v>207.74850983750855</v>
      </c>
      <c r="H331" s="77">
        <f t="shared" si="63"/>
        <v>1510.0806838013364</v>
      </c>
      <c r="I331" s="77">
        <f t="shared" si="60"/>
        <v>295233.19557801977</v>
      </c>
      <c r="J331" s="77">
        <f t="shared" si="60"/>
        <v>271650.43832279905</v>
      </c>
      <c r="K331" s="77">
        <f t="shared" si="64"/>
        <v>49859.64236100205</v>
      </c>
      <c r="L331" s="75">
        <v>400000</v>
      </c>
      <c r="M331" s="75">
        <f t="shared" si="61"/>
        <v>350140.35763899796</v>
      </c>
      <c r="N331" s="75"/>
      <c r="O331" s="75"/>
      <c r="P331" s="75"/>
    </row>
    <row r="332" spans="5:16">
      <c r="E332">
        <v>330</v>
      </c>
      <c r="F332" s="77">
        <f t="shared" si="62"/>
        <v>1717.829193638845</v>
      </c>
      <c r="G332" s="77">
        <f t="shared" si="59"/>
        <v>201.45650698833629</v>
      </c>
      <c r="H332" s="77">
        <f t="shared" si="63"/>
        <v>1516.3726866505087</v>
      </c>
      <c r="I332" s="77">
        <f t="shared" si="60"/>
        <v>295434.6520850081</v>
      </c>
      <c r="J332" s="77">
        <f t="shared" si="60"/>
        <v>273166.81100944954</v>
      </c>
      <c r="K332" s="77">
        <f t="shared" si="64"/>
        <v>48349.561677200712</v>
      </c>
      <c r="L332" s="75">
        <v>400000</v>
      </c>
      <c r="M332" s="75">
        <f t="shared" si="61"/>
        <v>351650.43832279928</v>
      </c>
      <c r="N332" s="75"/>
      <c r="O332" s="75"/>
      <c r="P332" s="75"/>
    </row>
    <row r="333" spans="5:16">
      <c r="E333">
        <v>331</v>
      </c>
      <c r="F333" s="77">
        <f t="shared" si="62"/>
        <v>1717.829193638845</v>
      </c>
      <c r="G333" s="77">
        <f t="shared" si="59"/>
        <v>195.13828746062583</v>
      </c>
      <c r="H333" s="77">
        <f t="shared" si="63"/>
        <v>1522.6909061782192</v>
      </c>
      <c r="I333" s="77">
        <f t="shared" si="60"/>
        <v>295629.79037246871</v>
      </c>
      <c r="J333" s="77">
        <f t="shared" si="60"/>
        <v>274689.50191562774</v>
      </c>
      <c r="K333" s="77">
        <f t="shared" si="64"/>
        <v>46833.188990550203</v>
      </c>
      <c r="L333" s="75">
        <v>400000</v>
      </c>
      <c r="M333" s="75">
        <f t="shared" si="61"/>
        <v>353166.81100944977</v>
      </c>
      <c r="N333" s="75"/>
      <c r="O333" s="75"/>
      <c r="P333" s="75"/>
    </row>
    <row r="334" spans="5:16">
      <c r="E334">
        <v>332</v>
      </c>
      <c r="F334" s="77">
        <f t="shared" si="62"/>
        <v>1717.829193638845</v>
      </c>
      <c r="G334" s="77">
        <f t="shared" si="59"/>
        <v>188.79374201821659</v>
      </c>
      <c r="H334" s="77">
        <f t="shared" si="63"/>
        <v>1529.0354516206285</v>
      </c>
      <c r="I334" s="77">
        <f t="shared" si="60"/>
        <v>295818.58411448693</v>
      </c>
      <c r="J334" s="77">
        <f t="shared" si="60"/>
        <v>276218.53736724838</v>
      </c>
      <c r="K334" s="77">
        <f t="shared" si="64"/>
        <v>45310.498084371982</v>
      </c>
      <c r="L334" s="75">
        <v>400000</v>
      </c>
      <c r="M334" s="75">
        <f t="shared" si="61"/>
        <v>354689.50191562803</v>
      </c>
      <c r="N334" s="75"/>
      <c r="O334" s="75"/>
      <c r="P334" s="75"/>
    </row>
    <row r="335" spans="5:16">
      <c r="E335">
        <v>333</v>
      </c>
      <c r="F335" s="77">
        <f t="shared" si="62"/>
        <v>1717.829193638845</v>
      </c>
      <c r="G335" s="77">
        <f t="shared" si="59"/>
        <v>182.42276096979731</v>
      </c>
      <c r="H335" s="77">
        <f t="shared" si="63"/>
        <v>1535.4064326690477</v>
      </c>
      <c r="I335" s="77">
        <f t="shared" si="60"/>
        <v>296001.00687545672</v>
      </c>
      <c r="J335" s="77">
        <f t="shared" si="60"/>
        <v>277753.94379991741</v>
      </c>
      <c r="K335" s="77">
        <f t="shared" si="64"/>
        <v>43781.462632751354</v>
      </c>
      <c r="L335" s="75">
        <v>400000</v>
      </c>
      <c r="M335" s="75">
        <f t="shared" si="61"/>
        <v>356218.53736724867</v>
      </c>
      <c r="N335" s="75"/>
      <c r="O335" s="75"/>
      <c r="P335" s="75"/>
    </row>
    <row r="336" spans="5:16">
      <c r="E336">
        <v>334</v>
      </c>
      <c r="F336" s="77">
        <f t="shared" si="62"/>
        <v>1717.829193638845</v>
      </c>
      <c r="G336" s="77">
        <f t="shared" si="59"/>
        <v>176.02523416700961</v>
      </c>
      <c r="H336" s="77">
        <f t="shared" si="63"/>
        <v>1541.8039594718355</v>
      </c>
      <c r="I336" s="77">
        <f t="shared" si="60"/>
        <v>296177.03210962372</v>
      </c>
      <c r="J336" s="77">
        <f t="shared" si="60"/>
        <v>279295.74775938923</v>
      </c>
      <c r="K336" s="77">
        <f t="shared" si="64"/>
        <v>42246.056200082305</v>
      </c>
      <c r="L336" s="75">
        <v>400000</v>
      </c>
      <c r="M336" s="75">
        <f t="shared" si="61"/>
        <v>357753.9437999177</v>
      </c>
      <c r="N336" s="75"/>
      <c r="O336" s="75"/>
      <c r="P336" s="75"/>
    </row>
    <row r="337" spans="5:16">
      <c r="E337">
        <v>335</v>
      </c>
      <c r="F337" s="77">
        <f t="shared" si="62"/>
        <v>1717.829193638845</v>
      </c>
      <c r="G337" s="77">
        <f t="shared" si="59"/>
        <v>169.60105100254361</v>
      </c>
      <c r="H337" s="77">
        <f t="shared" si="63"/>
        <v>1548.2281426363015</v>
      </c>
      <c r="I337" s="77">
        <f t="shared" si="60"/>
        <v>296346.63316062628</v>
      </c>
      <c r="J337" s="77">
        <f t="shared" si="60"/>
        <v>280843.97590202553</v>
      </c>
      <c r="K337" s="77">
        <f t="shared" si="64"/>
        <v>40704.252240610469</v>
      </c>
      <c r="L337" s="75">
        <v>400000</v>
      </c>
      <c r="M337" s="75">
        <f t="shared" si="61"/>
        <v>359295.74775938952</v>
      </c>
      <c r="N337" s="75"/>
      <c r="O337" s="75"/>
      <c r="P337" s="75"/>
    </row>
    <row r="338" spans="5:16">
      <c r="E338">
        <v>336</v>
      </c>
      <c r="F338" s="77">
        <f t="shared" si="62"/>
        <v>1717.829193638845</v>
      </c>
      <c r="G338" s="77">
        <f t="shared" si="59"/>
        <v>163.15010040822568</v>
      </c>
      <c r="H338" s="77">
        <f t="shared" si="63"/>
        <v>1554.6790932306194</v>
      </c>
      <c r="I338" s="77">
        <f t="shared" si="60"/>
        <v>296509.78326103452</v>
      </c>
      <c r="J338" s="77">
        <f t="shared" si="60"/>
        <v>282398.65499525616</v>
      </c>
      <c r="K338" s="77">
        <f t="shared" si="64"/>
        <v>39156.024097974165</v>
      </c>
      <c r="L338" s="75">
        <v>400000</v>
      </c>
      <c r="M338" s="75">
        <f t="shared" si="61"/>
        <v>360843.97590202582</v>
      </c>
      <c r="N338" s="75"/>
      <c r="O338" s="75"/>
      <c r="P338" s="75"/>
    </row>
    <row r="339" spans="5:16">
      <c r="E339">
        <v>337</v>
      </c>
      <c r="F339" s="77">
        <f t="shared" si="62"/>
        <v>1717.829193638845</v>
      </c>
      <c r="G339" s="77">
        <f t="shared" si="59"/>
        <v>156.6722708530981</v>
      </c>
      <c r="H339" s="77">
        <f t="shared" si="63"/>
        <v>1561.1569227857469</v>
      </c>
      <c r="I339" s="77">
        <f t="shared" si="60"/>
        <v>296666.45553188759</v>
      </c>
      <c r="J339" s="77">
        <f t="shared" si="60"/>
        <v>283959.8119180419</v>
      </c>
      <c r="K339" s="77">
        <f t="shared" si="64"/>
        <v>37601.345004743547</v>
      </c>
      <c r="L339" s="75">
        <v>400000</v>
      </c>
      <c r="M339" s="75">
        <f t="shared" si="61"/>
        <v>362398.65499525645</v>
      </c>
      <c r="N339" s="75"/>
      <c r="O339" s="75"/>
      <c r="P339" s="75"/>
    </row>
    <row r="340" spans="5:16">
      <c r="E340">
        <v>338</v>
      </c>
      <c r="F340" s="77">
        <f t="shared" si="62"/>
        <v>1717.829193638845</v>
      </c>
      <c r="G340" s="77">
        <f t="shared" si="59"/>
        <v>150.16745034149082</v>
      </c>
      <c r="H340" s="77">
        <f t="shared" si="63"/>
        <v>1567.6617432973542</v>
      </c>
      <c r="I340" s="77">
        <f t="shared" si="60"/>
        <v>296816.62298222911</v>
      </c>
      <c r="J340" s="77">
        <f t="shared" si="60"/>
        <v>285527.47366133926</v>
      </c>
      <c r="K340" s="77">
        <f t="shared" si="64"/>
        <v>36040.1880819578</v>
      </c>
      <c r="L340" s="75">
        <v>400000</v>
      </c>
      <c r="M340" s="75">
        <f t="shared" si="61"/>
        <v>363959.81191804219</v>
      </c>
      <c r="N340" s="75"/>
      <c r="O340" s="75"/>
      <c r="P340" s="75"/>
    </row>
    <row r="341" spans="5:16">
      <c r="E341">
        <v>339</v>
      </c>
      <c r="F341" s="77">
        <f t="shared" si="62"/>
        <v>1717.829193638845</v>
      </c>
      <c r="G341" s="77">
        <f t="shared" si="59"/>
        <v>143.63552641108521</v>
      </c>
      <c r="H341" s="77">
        <f t="shared" si="63"/>
        <v>1574.1936672277598</v>
      </c>
      <c r="I341" s="77">
        <f t="shared" si="60"/>
        <v>296960.25850864017</v>
      </c>
      <c r="J341" s="77">
        <f t="shared" si="60"/>
        <v>287101.66732856701</v>
      </c>
      <c r="K341" s="77">
        <f t="shared" si="64"/>
        <v>34472.526338660449</v>
      </c>
      <c r="L341" s="75">
        <v>400000</v>
      </c>
      <c r="M341" s="75">
        <f t="shared" si="61"/>
        <v>365527.47366133955</v>
      </c>
      <c r="N341" s="75"/>
      <c r="O341" s="75"/>
      <c r="P341" s="75"/>
    </row>
    <row r="342" spans="5:16">
      <c r="E342">
        <v>340</v>
      </c>
      <c r="F342" s="77">
        <f t="shared" si="62"/>
        <v>1717.829193638845</v>
      </c>
      <c r="G342" s="77">
        <f t="shared" si="59"/>
        <v>137.07638613096955</v>
      </c>
      <c r="H342" s="77">
        <f t="shared" si="63"/>
        <v>1580.7528075078756</v>
      </c>
      <c r="I342" s="77">
        <f t="shared" si="60"/>
        <v>297097.33489477116</v>
      </c>
      <c r="J342" s="77">
        <f t="shared" si="60"/>
        <v>288682.42013607488</v>
      </c>
      <c r="K342" s="77">
        <f t="shared" si="64"/>
        <v>32898.33267143269</v>
      </c>
      <c r="L342" s="75">
        <v>400000</v>
      </c>
      <c r="M342" s="75">
        <f t="shared" si="61"/>
        <v>367101.6673285673</v>
      </c>
      <c r="N342" s="75"/>
      <c r="O342" s="75"/>
      <c r="P342" s="75"/>
    </row>
    <row r="343" spans="5:16">
      <c r="E343">
        <v>341</v>
      </c>
      <c r="F343" s="77">
        <f t="shared" si="62"/>
        <v>1717.829193638845</v>
      </c>
      <c r="G343" s="77">
        <f t="shared" si="59"/>
        <v>130.48991609968672</v>
      </c>
      <c r="H343" s="77">
        <f t="shared" si="63"/>
        <v>1587.3392775391583</v>
      </c>
      <c r="I343" s="77">
        <f t="shared" si="60"/>
        <v>297227.82481087086</v>
      </c>
      <c r="J343" s="77">
        <f t="shared" si="60"/>
        <v>290269.75941361405</v>
      </c>
      <c r="K343" s="77">
        <f t="shared" si="64"/>
        <v>31317.579863924813</v>
      </c>
      <c r="L343" s="75">
        <v>400000</v>
      </c>
      <c r="M343" s="75">
        <f t="shared" si="61"/>
        <v>368682.42013607518</v>
      </c>
      <c r="N343" s="75"/>
      <c r="O343" s="75"/>
      <c r="P343" s="75"/>
    </row>
    <row r="344" spans="5:16">
      <c r="E344">
        <v>342</v>
      </c>
      <c r="F344" s="77">
        <f t="shared" si="62"/>
        <v>1717.829193638845</v>
      </c>
      <c r="G344" s="77">
        <f t="shared" si="59"/>
        <v>123.87600244327356</v>
      </c>
      <c r="H344" s="77">
        <f t="shared" si="63"/>
        <v>1593.9531911955714</v>
      </c>
      <c r="I344" s="77">
        <f t="shared" si="60"/>
        <v>297351.70081331412</v>
      </c>
      <c r="J344" s="77">
        <f t="shared" si="60"/>
        <v>291863.71260480961</v>
      </c>
      <c r="K344" s="77">
        <f t="shared" si="64"/>
        <v>29730.240586385655</v>
      </c>
      <c r="L344" s="75">
        <v>400000</v>
      </c>
      <c r="M344" s="75">
        <f t="shared" si="61"/>
        <v>370269.75941361435</v>
      </c>
      <c r="N344" s="75"/>
      <c r="O344" s="75"/>
      <c r="P344" s="75"/>
    </row>
    <row r="345" spans="5:16">
      <c r="E345">
        <v>343</v>
      </c>
      <c r="F345" s="77">
        <f t="shared" si="62"/>
        <v>1717.829193638845</v>
      </c>
      <c r="G345" s="77">
        <f t="shared" si="59"/>
        <v>117.23453081329201</v>
      </c>
      <c r="H345" s="77">
        <f t="shared" si="63"/>
        <v>1600.5946628255531</v>
      </c>
      <c r="I345" s="77">
        <f t="shared" si="60"/>
        <v>297468.93534412741</v>
      </c>
      <c r="J345" s="77">
        <f t="shared" si="60"/>
        <v>293464.30726763519</v>
      </c>
      <c r="K345" s="77">
        <f t="shared" si="64"/>
        <v>28136.287395190084</v>
      </c>
      <c r="L345" s="75">
        <v>400000</v>
      </c>
      <c r="M345" s="75">
        <f t="shared" si="61"/>
        <v>371863.7126048099</v>
      </c>
      <c r="N345" s="75"/>
      <c r="O345" s="75"/>
      <c r="P345" s="75"/>
    </row>
    <row r="346" spans="5:16">
      <c r="E346">
        <v>344</v>
      </c>
      <c r="F346" s="77">
        <f t="shared" si="62"/>
        <v>1717.829193638845</v>
      </c>
      <c r="G346" s="77">
        <f t="shared" si="59"/>
        <v>110.56538638485222</v>
      </c>
      <c r="H346" s="77">
        <f t="shared" si="63"/>
        <v>1607.2638072539928</v>
      </c>
      <c r="I346" s="77">
        <f t="shared" si="60"/>
        <v>297579.50073051226</v>
      </c>
      <c r="J346" s="77">
        <f t="shared" si="60"/>
        <v>295071.57107488916</v>
      </c>
      <c r="K346" s="77">
        <f t="shared" si="64"/>
        <v>26535.692732364532</v>
      </c>
      <c r="L346" s="75">
        <v>400000</v>
      </c>
      <c r="M346" s="75">
        <f t="shared" si="61"/>
        <v>373464.30726763548</v>
      </c>
      <c r="N346" s="75"/>
      <c r="O346" s="75"/>
      <c r="P346" s="75"/>
    </row>
    <row r="347" spans="5:16">
      <c r="E347">
        <v>345</v>
      </c>
      <c r="F347" s="77">
        <f t="shared" si="62"/>
        <v>1717.829193638845</v>
      </c>
      <c r="G347" s="77">
        <f t="shared" si="59"/>
        <v>103.86845385462725</v>
      </c>
      <c r="H347" s="77">
        <f t="shared" si="63"/>
        <v>1613.9607397842178</v>
      </c>
      <c r="I347" s="77">
        <f t="shared" si="60"/>
        <v>297683.36918436689</v>
      </c>
      <c r="J347" s="77">
        <f t="shared" si="60"/>
        <v>296685.53181467339</v>
      </c>
      <c r="K347" s="77">
        <f t="shared" si="64"/>
        <v>24928.42892511054</v>
      </c>
      <c r="L347" s="75">
        <v>400000</v>
      </c>
      <c r="M347" s="75">
        <f t="shared" si="61"/>
        <v>375071.57107488945</v>
      </c>
      <c r="N347" s="75"/>
      <c r="O347" s="75"/>
      <c r="P347" s="75"/>
    </row>
    <row r="348" spans="5:16">
      <c r="E348">
        <v>346</v>
      </c>
      <c r="F348" s="77">
        <f t="shared" si="62"/>
        <v>1717.829193638845</v>
      </c>
      <c r="G348" s="77">
        <f t="shared" si="59"/>
        <v>97.143617438859664</v>
      </c>
      <c r="H348" s="77">
        <f t="shared" si="63"/>
        <v>1620.6855761999855</v>
      </c>
      <c r="I348" s="77">
        <f t="shared" si="60"/>
        <v>297780.51280180574</v>
      </c>
      <c r="J348" s="77">
        <f t="shared" si="60"/>
        <v>298306.21739087335</v>
      </c>
      <c r="K348" s="77">
        <f t="shared" si="64"/>
        <v>23314.468185326321</v>
      </c>
      <c r="L348" s="75">
        <v>400000</v>
      </c>
      <c r="M348" s="75">
        <f t="shared" si="61"/>
        <v>376685.53181467368</v>
      </c>
      <c r="N348" s="75"/>
      <c r="O348" s="75"/>
      <c r="P348" s="75"/>
    </row>
    <row r="349" spans="5:16">
      <c r="E349">
        <v>347</v>
      </c>
      <c r="F349" s="77">
        <f t="shared" si="62"/>
        <v>1717.829193638845</v>
      </c>
      <c r="G349" s="77">
        <f t="shared" si="59"/>
        <v>90.390760871359731</v>
      </c>
      <c r="H349" s="77">
        <f t="shared" si="63"/>
        <v>1627.4384327674852</v>
      </c>
      <c r="I349" s="77">
        <f t="shared" si="60"/>
        <v>297870.90356267709</v>
      </c>
      <c r="J349" s="77">
        <f t="shared" si="60"/>
        <v>299933.65582364082</v>
      </c>
      <c r="K349" s="77">
        <f t="shared" si="64"/>
        <v>21693.782609126334</v>
      </c>
      <c r="L349" s="75">
        <v>400000</v>
      </c>
      <c r="M349" s="75">
        <f t="shared" si="61"/>
        <v>378306.21739087364</v>
      </c>
      <c r="N349" s="75"/>
      <c r="O349" s="75"/>
      <c r="P349" s="75"/>
    </row>
    <row r="350" spans="5:16">
      <c r="E350">
        <v>348</v>
      </c>
      <c r="F350" s="77">
        <f t="shared" si="62"/>
        <v>1717.829193638845</v>
      </c>
      <c r="G350" s="77">
        <f t="shared" si="59"/>
        <v>83.609767401495205</v>
      </c>
      <c r="H350" s="77">
        <f t="shared" si="63"/>
        <v>1634.2194262373498</v>
      </c>
      <c r="I350" s="77">
        <f t="shared" si="60"/>
        <v>297954.51333007857</v>
      </c>
      <c r="J350" s="77">
        <f t="shared" si="60"/>
        <v>301567.87524987815</v>
      </c>
      <c r="K350" s="77">
        <f t="shared" si="64"/>
        <v>20066.344176358849</v>
      </c>
      <c r="L350" s="75">
        <v>400000</v>
      </c>
      <c r="M350" s="75">
        <f t="shared" si="61"/>
        <v>379933.65582364117</v>
      </c>
      <c r="N350" s="75"/>
      <c r="O350" s="75"/>
      <c r="P350" s="75"/>
    </row>
    <row r="351" spans="5:16">
      <c r="E351">
        <v>349</v>
      </c>
      <c r="F351" s="77">
        <f t="shared" si="62"/>
        <v>1717.829193638845</v>
      </c>
      <c r="G351" s="77">
        <f t="shared" si="59"/>
        <v>76.800519792172921</v>
      </c>
      <c r="H351" s="77">
        <f t="shared" si="63"/>
        <v>1641.0286738466721</v>
      </c>
      <c r="I351" s="77">
        <f t="shared" si="60"/>
        <v>298031.31384987076</v>
      </c>
      <c r="J351" s="77">
        <f t="shared" si="60"/>
        <v>303208.90392372484</v>
      </c>
      <c r="K351" s="77">
        <f t="shared" si="64"/>
        <v>18432.1247501215</v>
      </c>
      <c r="L351" s="75">
        <v>400000</v>
      </c>
      <c r="M351" s="75">
        <f t="shared" si="61"/>
        <v>381567.8752498785</v>
      </c>
      <c r="N351" s="75"/>
      <c r="O351" s="75"/>
      <c r="P351" s="75"/>
    </row>
    <row r="352" spans="5:16">
      <c r="E352">
        <v>350</v>
      </c>
      <c r="F352" s="77">
        <f t="shared" si="62"/>
        <v>1717.829193638845</v>
      </c>
      <c r="G352" s="77">
        <f t="shared" si="59"/>
        <v>69.962900317811787</v>
      </c>
      <c r="H352" s="77">
        <f t="shared" si="63"/>
        <v>1647.8662933210333</v>
      </c>
      <c r="I352" s="77">
        <f t="shared" si="60"/>
        <v>298101.27675018855</v>
      </c>
      <c r="J352" s="77">
        <f t="shared" si="60"/>
        <v>304856.77021704585</v>
      </c>
      <c r="K352" s="77">
        <f t="shared" si="64"/>
        <v>16791.096076274829</v>
      </c>
      <c r="L352" s="75">
        <v>400000</v>
      </c>
      <c r="M352" s="75">
        <f t="shared" si="61"/>
        <v>383208.90392372519</v>
      </c>
      <c r="N352" s="75"/>
      <c r="O352" s="75"/>
      <c r="P352" s="75"/>
    </row>
    <row r="353" spans="5:16">
      <c r="E353">
        <v>351</v>
      </c>
      <c r="F353" s="77">
        <f t="shared" si="62"/>
        <v>1717.829193638845</v>
      </c>
      <c r="G353" s="77">
        <f t="shared" si="59"/>
        <v>63.096790762307485</v>
      </c>
      <c r="H353" s="77">
        <f t="shared" si="63"/>
        <v>1654.7324028765374</v>
      </c>
      <c r="I353" s="77">
        <f t="shared" si="60"/>
        <v>298164.37354095088</v>
      </c>
      <c r="J353" s="77">
        <f t="shared" si="60"/>
        <v>306511.50261992239</v>
      </c>
      <c r="K353" s="77">
        <f t="shared" si="64"/>
        <v>15143.229782953797</v>
      </c>
      <c r="L353" s="75">
        <v>400000</v>
      </c>
      <c r="M353" s="75">
        <f t="shared" si="61"/>
        <v>384856.7702170462</v>
      </c>
      <c r="N353" s="75"/>
      <c r="O353" s="75"/>
      <c r="P353" s="75"/>
    </row>
    <row r="354" spans="5:16">
      <c r="E354">
        <v>352</v>
      </c>
      <c r="F354" s="77">
        <f t="shared" si="62"/>
        <v>1717.829193638845</v>
      </c>
      <c r="G354" s="77">
        <f t="shared" si="59"/>
        <v>56.202072416988578</v>
      </c>
      <c r="H354" s="77">
        <f t="shared" si="63"/>
        <v>1661.6271212218564</v>
      </c>
      <c r="I354" s="77">
        <f t="shared" si="60"/>
        <v>298220.5756133679</v>
      </c>
      <c r="J354" s="77">
        <f t="shared" si="60"/>
        <v>308173.12974114425</v>
      </c>
      <c r="K354" s="77">
        <f t="shared" si="64"/>
        <v>13488.497380077259</v>
      </c>
      <c r="L354" s="75">
        <v>400000</v>
      </c>
      <c r="M354" s="75">
        <f t="shared" si="61"/>
        <v>386511.50261992274</v>
      </c>
      <c r="N354" s="75"/>
      <c r="O354" s="75"/>
      <c r="P354" s="75"/>
    </row>
    <row r="355" spans="5:16">
      <c r="E355">
        <v>353</v>
      </c>
      <c r="F355" s="77">
        <f t="shared" si="62"/>
        <v>1717.829193638845</v>
      </c>
      <c r="G355" s="77">
        <f t="shared" si="59"/>
        <v>49.278626078564173</v>
      </c>
      <c r="H355" s="77">
        <f t="shared" si="63"/>
        <v>1668.5505675602808</v>
      </c>
      <c r="I355" s="77">
        <f t="shared" si="60"/>
        <v>298269.85423944646</v>
      </c>
      <c r="J355" s="77">
        <f t="shared" si="60"/>
        <v>309841.68030870456</v>
      </c>
      <c r="K355" s="77">
        <f t="shared" si="64"/>
        <v>11826.870258855402</v>
      </c>
      <c r="L355" s="75">
        <v>400000</v>
      </c>
      <c r="M355" s="75">
        <f t="shared" si="61"/>
        <v>388173.1297411446</v>
      </c>
      <c r="N355" s="75"/>
      <c r="O355" s="75"/>
      <c r="P355" s="75"/>
    </row>
    <row r="356" spans="5:16">
      <c r="E356">
        <v>354</v>
      </c>
      <c r="F356" s="77">
        <f t="shared" si="62"/>
        <v>1717.829193638845</v>
      </c>
      <c r="G356" s="77">
        <f t="shared" si="59"/>
        <v>42.326332047063005</v>
      </c>
      <c r="H356" s="77">
        <f t="shared" si="63"/>
        <v>1675.502861591782</v>
      </c>
      <c r="I356" s="77">
        <f t="shared" si="60"/>
        <v>298312.18057149352</v>
      </c>
      <c r="J356" s="77">
        <f t="shared" si="60"/>
        <v>311517.18317029631</v>
      </c>
      <c r="K356" s="77">
        <f t="shared" si="64"/>
        <v>10158.319691295121</v>
      </c>
      <c r="L356" s="75">
        <v>400000</v>
      </c>
      <c r="M356" s="75">
        <f t="shared" si="61"/>
        <v>389841.6803087049</v>
      </c>
      <c r="N356" s="75"/>
      <c r="O356" s="75"/>
      <c r="P356" s="75"/>
    </row>
    <row r="357" spans="5:16">
      <c r="E357">
        <v>355</v>
      </c>
      <c r="F357" s="77">
        <f t="shared" si="62"/>
        <v>1717.829193638845</v>
      </c>
      <c r="G357" s="77">
        <f t="shared" si="59"/>
        <v>35.345070123763911</v>
      </c>
      <c r="H357" s="77">
        <f t="shared" si="63"/>
        <v>1682.4841235150811</v>
      </c>
      <c r="I357" s="77">
        <f t="shared" si="60"/>
        <v>298347.52564161731</v>
      </c>
      <c r="J357" s="77">
        <f t="shared" si="60"/>
        <v>313199.66729381139</v>
      </c>
      <c r="K357" s="77">
        <f t="shared" si="64"/>
        <v>8482.816829703339</v>
      </c>
      <c r="L357" s="75">
        <v>400000</v>
      </c>
      <c r="M357" s="75">
        <f t="shared" si="61"/>
        <v>391517.18317029666</v>
      </c>
      <c r="N357" s="75"/>
      <c r="O357" s="75"/>
      <c r="P357" s="75"/>
    </row>
    <row r="358" spans="5:16">
      <c r="E358">
        <v>356</v>
      </c>
      <c r="F358" s="77">
        <f t="shared" si="62"/>
        <v>1717.829193638845</v>
      </c>
      <c r="G358" s="77">
        <f t="shared" si="59"/>
        <v>28.334719609117737</v>
      </c>
      <c r="H358" s="77">
        <f t="shared" si="63"/>
        <v>1689.4944740297274</v>
      </c>
      <c r="I358" s="77">
        <f t="shared" si="60"/>
        <v>298375.86036122643</v>
      </c>
      <c r="J358" s="77">
        <f t="shared" si="60"/>
        <v>314889.16176784114</v>
      </c>
      <c r="K358" s="77">
        <f t="shared" si="64"/>
        <v>6800.3327061882574</v>
      </c>
      <c r="L358" s="75">
        <v>400000</v>
      </c>
      <c r="M358" s="75">
        <f t="shared" si="61"/>
        <v>393199.66729381174</v>
      </c>
      <c r="N358" s="75"/>
      <c r="O358" s="75"/>
      <c r="P358" s="75"/>
    </row>
    <row r="359" spans="5:16">
      <c r="E359">
        <v>357</v>
      </c>
      <c r="F359" s="77">
        <f t="shared" si="62"/>
        <v>1717.829193638845</v>
      </c>
      <c r="G359" s="77">
        <f t="shared" si="59"/>
        <v>21.295159300660544</v>
      </c>
      <c r="H359" s="77">
        <f t="shared" si="63"/>
        <v>1696.5340343381845</v>
      </c>
      <c r="I359" s="77">
        <f t="shared" si="60"/>
        <v>298397.1555205271</v>
      </c>
      <c r="J359" s="77">
        <f t="shared" si="60"/>
        <v>316585.69580217934</v>
      </c>
      <c r="K359" s="77">
        <f t="shared" si="64"/>
        <v>5110.8382321585304</v>
      </c>
      <c r="L359" s="75">
        <v>400000</v>
      </c>
      <c r="M359" s="75">
        <f t="shared" si="61"/>
        <v>394889.16176784149</v>
      </c>
      <c r="N359" s="75"/>
      <c r="O359" s="75"/>
      <c r="P359" s="75"/>
    </row>
    <row r="360" spans="5:16">
      <c r="E360">
        <v>358</v>
      </c>
      <c r="F360" s="77">
        <f t="shared" si="62"/>
        <v>1717.829193638845</v>
      </c>
      <c r="G360" s="77">
        <f t="shared" si="59"/>
        <v>14.226267490918108</v>
      </c>
      <c r="H360" s="77">
        <f t="shared" si="63"/>
        <v>1703.6029261479268</v>
      </c>
      <c r="I360" s="77">
        <f t="shared" si="60"/>
        <v>298411.38178801804</v>
      </c>
      <c r="J360" s="77">
        <f t="shared" si="60"/>
        <v>318289.29872832727</v>
      </c>
      <c r="K360" s="77">
        <f t="shared" si="64"/>
        <v>3414.304197820346</v>
      </c>
      <c r="L360" s="75">
        <v>400000</v>
      </c>
      <c r="M360" s="75">
        <f t="shared" si="61"/>
        <v>396585.69580217963</v>
      </c>
      <c r="N360" s="75"/>
      <c r="O360" s="75"/>
      <c r="P360" s="75"/>
    </row>
    <row r="361" spans="5:16">
      <c r="E361">
        <v>359</v>
      </c>
      <c r="F361" s="77">
        <f t="shared" si="62"/>
        <v>1717.829193638845</v>
      </c>
      <c r="G361" s="77">
        <f t="shared" si="59"/>
        <v>7.1279219653017458</v>
      </c>
      <c r="H361" s="77">
        <f t="shared" si="63"/>
        <v>1710.7012716735433</v>
      </c>
      <c r="I361" s="77">
        <f t="shared" si="60"/>
        <v>298418.50970998337</v>
      </c>
      <c r="J361" s="77">
        <f t="shared" si="60"/>
        <v>320000.00000000081</v>
      </c>
      <c r="K361" s="77">
        <f t="shared" si="64"/>
        <v>1710.7012716724191</v>
      </c>
      <c r="L361" s="75">
        <v>400000</v>
      </c>
      <c r="M361" s="75">
        <f t="shared" si="61"/>
        <v>398289.29872832756</v>
      </c>
      <c r="N361" s="75"/>
      <c r="O361" s="75"/>
      <c r="P361" s="75"/>
    </row>
    <row r="362" spans="5:16">
      <c r="E362">
        <v>360</v>
      </c>
      <c r="F362" s="77">
        <f t="shared" si="62"/>
        <v>1717.829193638845</v>
      </c>
      <c r="G362" s="77">
        <f t="shared" si="59"/>
        <v>-4.6838977141305807E-12</v>
      </c>
      <c r="H362" s="77">
        <f t="shared" si="63"/>
        <v>1717.8291936388498</v>
      </c>
      <c r="I362" s="77">
        <f t="shared" si="60"/>
        <v>298418.50970998337</v>
      </c>
      <c r="J362" s="77">
        <f t="shared" si="60"/>
        <v>321717.82919363969</v>
      </c>
      <c r="K362" s="77">
        <f t="shared" si="64"/>
        <v>-1.1241354513913393E-9</v>
      </c>
      <c r="L362" s="75">
        <v>400000</v>
      </c>
      <c r="M362" s="75">
        <f t="shared" si="61"/>
        <v>400000.00000000111</v>
      </c>
      <c r="N362" s="75"/>
      <c r="O362" s="75"/>
      <c r="P362" s="75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7183-B2D1-8946-8090-9713F05305AC}">
  <sheetPr>
    <tabColor theme="7"/>
  </sheetPr>
  <dimension ref="A1:R363"/>
  <sheetViews>
    <sheetView workbookViewId="0">
      <selection activeCell="P58" sqref="P58"/>
    </sheetView>
  </sheetViews>
  <sheetFormatPr defaultColWidth="11.5546875" defaultRowHeight="14.4"/>
  <cols>
    <col min="1" max="1" width="19.6640625" bestFit="1" customWidth="1"/>
    <col min="2" max="2" width="15" bestFit="1" customWidth="1"/>
    <col min="5" max="5" width="14.33203125" bestFit="1" customWidth="1"/>
    <col min="6" max="6" width="10.109375" bestFit="1" customWidth="1"/>
    <col min="8" max="8" width="13" bestFit="1" customWidth="1"/>
    <col min="9" max="9" width="14.77734375" bestFit="1" customWidth="1"/>
    <col min="10" max="10" width="15.77734375" bestFit="1" customWidth="1"/>
    <col min="11" max="11" width="16.44140625" bestFit="1" customWidth="1"/>
    <col min="16" max="16" width="11.6640625" bestFit="1" customWidth="1"/>
    <col min="17" max="17" width="15.77734375" bestFit="1" customWidth="1"/>
  </cols>
  <sheetData>
    <row r="1" spans="1:18">
      <c r="A1" s="295" t="s">
        <v>530</v>
      </c>
      <c r="B1" s="295"/>
    </row>
    <row r="2" spans="1:18">
      <c r="A2" s="78" t="s">
        <v>12</v>
      </c>
      <c r="B2" s="79">
        <v>400000</v>
      </c>
      <c r="E2" s="67" t="s">
        <v>142</v>
      </c>
      <c r="F2" s="67" t="s">
        <v>143</v>
      </c>
      <c r="G2" s="67" t="s">
        <v>144</v>
      </c>
      <c r="H2" s="67" t="s">
        <v>145</v>
      </c>
      <c r="I2" s="67" t="s">
        <v>147</v>
      </c>
      <c r="J2" s="67" t="s">
        <v>148</v>
      </c>
      <c r="K2" s="67" t="s">
        <v>146</v>
      </c>
      <c r="L2" s="67" t="s">
        <v>149</v>
      </c>
      <c r="M2" s="67" t="s">
        <v>150</v>
      </c>
    </row>
    <row r="3" spans="1:18">
      <c r="A3" s="78" t="s">
        <v>133</v>
      </c>
      <c r="B3" s="80">
        <v>0.2</v>
      </c>
      <c r="E3">
        <v>0</v>
      </c>
      <c r="F3" s="77">
        <f>B9</f>
        <v>1717.829193638845</v>
      </c>
      <c r="G3" s="77">
        <f t="shared" ref="G3:G66" si="0">(B$5/B$7)*K3</f>
        <v>1333.3333333333333</v>
      </c>
      <c r="H3" s="77">
        <f>F3-G3</f>
        <v>384.49586030551177</v>
      </c>
      <c r="I3" s="77">
        <f>G3</f>
        <v>1333.3333333333333</v>
      </c>
      <c r="J3" s="77">
        <f>H3</f>
        <v>384.49586030551177</v>
      </c>
      <c r="K3" s="75">
        <f>B4</f>
        <v>320000</v>
      </c>
      <c r="L3" s="75">
        <v>400000</v>
      </c>
      <c r="M3" s="75">
        <f>L3-K3</f>
        <v>80000</v>
      </c>
    </row>
    <row r="4" spans="1:18" ht="13.95" customHeight="1">
      <c r="A4" s="78" t="s">
        <v>134</v>
      </c>
      <c r="B4" s="75">
        <f>(1-B3)*B2</f>
        <v>320000</v>
      </c>
      <c r="E4">
        <v>1</v>
      </c>
      <c r="F4" s="77">
        <f>F3</f>
        <v>1717.829193638845</v>
      </c>
      <c r="G4" s="77">
        <f t="shared" si="0"/>
        <v>1331.7312672487271</v>
      </c>
      <c r="H4" s="77">
        <f>F4-G4</f>
        <v>386.09792639011789</v>
      </c>
      <c r="I4" s="77">
        <f t="shared" ref="I4:I67" si="1">I3+G4</f>
        <v>2665.0646005820604</v>
      </c>
      <c r="J4" s="77">
        <f t="shared" ref="J4:J67" si="2">J3+H4</f>
        <v>770.59378669562966</v>
      </c>
      <c r="K4" s="77">
        <f>K3-H3</f>
        <v>319615.5041396945</v>
      </c>
      <c r="L4" s="75">
        <v>400000</v>
      </c>
      <c r="M4" s="75">
        <f t="shared" ref="M4:M67" si="3">L4-K4</f>
        <v>80384.495860305498</v>
      </c>
    </row>
    <row r="5" spans="1:18">
      <c r="A5" s="78" t="s">
        <v>135</v>
      </c>
      <c r="B5" s="80">
        <f>0.05</f>
        <v>0.05</v>
      </c>
      <c r="E5">
        <v>2</v>
      </c>
      <c r="F5" s="77">
        <f t="shared" ref="F5:F68" si="4">F4</f>
        <v>1717.829193638845</v>
      </c>
      <c r="G5" s="77">
        <f t="shared" si="0"/>
        <v>1330.1225258887682</v>
      </c>
      <c r="H5" s="77">
        <f t="shared" ref="H5:H68" si="5">F5-G5</f>
        <v>387.7066677500768</v>
      </c>
      <c r="I5" s="77">
        <f t="shared" si="1"/>
        <v>3995.1871264708288</v>
      </c>
      <c r="J5" s="77">
        <f t="shared" si="2"/>
        <v>1158.3004544457065</v>
      </c>
      <c r="K5" s="77">
        <f t="shared" ref="K5:K68" si="6">K4-H4</f>
        <v>319229.40621330438</v>
      </c>
      <c r="L5" s="75">
        <v>400000</v>
      </c>
      <c r="M5" s="75">
        <f t="shared" si="3"/>
        <v>80770.593786695623</v>
      </c>
    </row>
    <row r="6" spans="1:18">
      <c r="A6" s="78" t="s">
        <v>136</v>
      </c>
      <c r="B6" s="81">
        <v>30</v>
      </c>
      <c r="E6">
        <v>3</v>
      </c>
      <c r="F6" s="77">
        <f t="shared" si="4"/>
        <v>1717.829193638845</v>
      </c>
      <c r="G6" s="77">
        <f t="shared" si="0"/>
        <v>1328.5070814398096</v>
      </c>
      <c r="H6" s="77">
        <f t="shared" si="5"/>
        <v>389.32211219903547</v>
      </c>
      <c r="I6" s="77">
        <f t="shared" si="1"/>
        <v>5323.6942079106384</v>
      </c>
      <c r="J6" s="77">
        <f t="shared" si="2"/>
        <v>1547.6225666447419</v>
      </c>
      <c r="K6" s="77">
        <f t="shared" si="6"/>
        <v>318841.69954555429</v>
      </c>
      <c r="L6" s="75">
        <v>400000</v>
      </c>
      <c r="M6" s="75">
        <f t="shared" si="3"/>
        <v>81158.300454445707</v>
      </c>
    </row>
    <row r="7" spans="1:18">
      <c r="A7" s="78" t="s">
        <v>137</v>
      </c>
      <c r="B7" s="81">
        <v>12</v>
      </c>
      <c r="E7">
        <v>4</v>
      </c>
      <c r="F7" s="77">
        <f t="shared" si="4"/>
        <v>1717.829193638845</v>
      </c>
      <c r="G7" s="77">
        <f t="shared" si="0"/>
        <v>1326.8849059723136</v>
      </c>
      <c r="H7" s="77">
        <f t="shared" si="5"/>
        <v>390.94428766653141</v>
      </c>
      <c r="I7" s="77">
        <f t="shared" si="1"/>
        <v>6650.5791138829518</v>
      </c>
      <c r="J7" s="77">
        <f t="shared" si="2"/>
        <v>1938.5668543112733</v>
      </c>
      <c r="K7" s="77">
        <f t="shared" si="6"/>
        <v>318452.37743335526</v>
      </c>
      <c r="L7" s="75">
        <v>400000</v>
      </c>
      <c r="M7" s="75">
        <f t="shared" si="3"/>
        <v>81547.622566644743</v>
      </c>
    </row>
    <row r="8" spans="1:18">
      <c r="A8" s="78" t="s">
        <v>138</v>
      </c>
      <c r="B8">
        <f>B7*B6</f>
        <v>360</v>
      </c>
      <c r="E8">
        <v>5</v>
      </c>
      <c r="F8" s="77">
        <f t="shared" si="4"/>
        <v>1717.829193638845</v>
      </c>
      <c r="G8" s="77">
        <f t="shared" si="0"/>
        <v>1325.2559714403696</v>
      </c>
      <c r="H8" s="77">
        <f t="shared" si="5"/>
        <v>392.57322219847538</v>
      </c>
      <c r="I8" s="77">
        <f t="shared" si="1"/>
        <v>7975.8350853233214</v>
      </c>
      <c r="J8" s="77">
        <f t="shared" si="2"/>
        <v>2331.1400765097487</v>
      </c>
      <c r="K8" s="77">
        <f t="shared" si="6"/>
        <v>318061.43314568873</v>
      </c>
      <c r="L8" s="75">
        <v>400000</v>
      </c>
      <c r="M8" s="75">
        <f t="shared" si="3"/>
        <v>81938.56685431127</v>
      </c>
    </row>
    <row r="9" spans="1:18">
      <c r="A9" s="78" t="s">
        <v>139</v>
      </c>
      <c r="B9" s="77">
        <f>-PMT(B5/B7, B8, B4, 0)</f>
        <v>1717.829193638845</v>
      </c>
      <c r="E9">
        <v>6</v>
      </c>
      <c r="F9" s="77">
        <f t="shared" si="4"/>
        <v>1717.829193638845</v>
      </c>
      <c r="G9" s="77">
        <f t="shared" si="0"/>
        <v>1323.6202496812093</v>
      </c>
      <c r="H9" s="77">
        <f t="shared" si="5"/>
        <v>394.20894395763571</v>
      </c>
      <c r="I9" s="77">
        <f t="shared" si="1"/>
        <v>9299.4553350045317</v>
      </c>
      <c r="J9" s="77">
        <f t="shared" si="2"/>
        <v>2725.3490204673844</v>
      </c>
      <c r="K9" s="77">
        <f t="shared" si="6"/>
        <v>317668.85992349026</v>
      </c>
      <c r="L9" s="75">
        <v>400000</v>
      </c>
      <c r="M9" s="75">
        <f t="shared" si="3"/>
        <v>82331.140076509735</v>
      </c>
    </row>
    <row r="10" spans="1:18">
      <c r="A10" s="78" t="s">
        <v>140</v>
      </c>
      <c r="B10" s="77">
        <f>B9*B8</f>
        <v>618418.50970998418</v>
      </c>
      <c r="E10">
        <v>7</v>
      </c>
      <c r="F10" s="77">
        <f t="shared" si="4"/>
        <v>1717.829193638845</v>
      </c>
      <c r="G10" s="77">
        <f t="shared" si="0"/>
        <v>1321.9777124147192</v>
      </c>
      <c r="H10" s="77">
        <f t="shared" si="5"/>
        <v>395.85148122412579</v>
      </c>
      <c r="I10" s="77">
        <f t="shared" si="1"/>
        <v>10621.43304741925</v>
      </c>
      <c r="J10" s="77">
        <f t="shared" si="2"/>
        <v>3121.20050169151</v>
      </c>
      <c r="K10" s="77">
        <f t="shared" si="6"/>
        <v>317274.65097953263</v>
      </c>
      <c r="L10" s="75">
        <v>400000</v>
      </c>
      <c r="M10" s="75">
        <f t="shared" si="3"/>
        <v>82725.349020467373</v>
      </c>
    </row>
    <row r="11" spans="1:18">
      <c r="A11" s="78" t="s">
        <v>141</v>
      </c>
      <c r="B11" s="82">
        <f>B10-B4</f>
        <v>298418.50970998418</v>
      </c>
      <c r="E11">
        <v>8</v>
      </c>
      <c r="F11" s="77">
        <f t="shared" si="4"/>
        <v>1717.829193638845</v>
      </c>
      <c r="G11" s="77">
        <f t="shared" si="0"/>
        <v>1320.3283312429521</v>
      </c>
      <c r="H11" s="77">
        <f t="shared" si="5"/>
        <v>397.50086239589291</v>
      </c>
      <c r="I11" s="77">
        <f t="shared" si="1"/>
        <v>11941.761378662202</v>
      </c>
      <c r="J11" s="77">
        <f t="shared" si="2"/>
        <v>3518.7013640874029</v>
      </c>
      <c r="K11" s="77">
        <f t="shared" si="6"/>
        <v>316878.79949830851</v>
      </c>
      <c r="L11" s="75">
        <v>400000</v>
      </c>
      <c r="M11" s="75">
        <f t="shared" si="3"/>
        <v>83121.200501691492</v>
      </c>
    </row>
    <row r="12" spans="1:18">
      <c r="E12">
        <v>9</v>
      </c>
      <c r="F12" s="77">
        <f t="shared" si="4"/>
        <v>1717.829193638845</v>
      </c>
      <c r="G12" s="77">
        <f t="shared" si="0"/>
        <v>1318.6720776496359</v>
      </c>
      <c r="H12" s="77">
        <f t="shared" si="5"/>
        <v>399.15711598920916</v>
      </c>
      <c r="I12" s="77">
        <f t="shared" si="1"/>
        <v>13260.433456311839</v>
      </c>
      <c r="J12" s="77">
        <f t="shared" si="2"/>
        <v>3917.8584800766121</v>
      </c>
      <c r="K12" s="77">
        <f t="shared" si="6"/>
        <v>316481.29863591259</v>
      </c>
      <c r="L12" s="75">
        <v>400000</v>
      </c>
      <c r="M12" s="75">
        <f t="shared" si="3"/>
        <v>83518.701364087407</v>
      </c>
    </row>
    <row r="13" spans="1:18">
      <c r="E13">
        <v>10</v>
      </c>
      <c r="F13" s="77">
        <f t="shared" si="4"/>
        <v>1717.829193638845</v>
      </c>
      <c r="G13" s="77">
        <f t="shared" si="0"/>
        <v>1317.0089229996809</v>
      </c>
      <c r="H13" s="77">
        <f t="shared" si="5"/>
        <v>400.82027063916416</v>
      </c>
      <c r="I13" s="77">
        <f t="shared" si="1"/>
        <v>14577.44237931152</v>
      </c>
      <c r="J13" s="77">
        <f t="shared" si="2"/>
        <v>4318.678750715776</v>
      </c>
      <c r="K13" s="77">
        <f t="shared" si="6"/>
        <v>316082.1415199234</v>
      </c>
      <c r="L13" s="75">
        <v>400000</v>
      </c>
      <c r="M13" s="75">
        <f t="shared" si="3"/>
        <v>83917.858480076597</v>
      </c>
    </row>
    <row r="14" spans="1:18">
      <c r="B14" s="77"/>
      <c r="E14">
        <v>11</v>
      </c>
      <c r="F14" s="77">
        <f t="shared" si="4"/>
        <v>1717.829193638845</v>
      </c>
      <c r="G14" s="77">
        <f t="shared" si="0"/>
        <v>1315.3388385386843</v>
      </c>
      <c r="H14" s="77">
        <f t="shared" si="5"/>
        <v>402.49035510016074</v>
      </c>
      <c r="I14" s="77">
        <f t="shared" si="1"/>
        <v>15892.781217850204</v>
      </c>
      <c r="J14" s="77">
        <f t="shared" si="2"/>
        <v>4721.1691058159367</v>
      </c>
      <c r="K14" s="77">
        <f t="shared" si="6"/>
        <v>315681.32124928426</v>
      </c>
      <c r="L14" s="75">
        <v>400000</v>
      </c>
      <c r="M14" s="75">
        <f t="shared" si="3"/>
        <v>84318.678750715742</v>
      </c>
      <c r="O14" s="83" t="s">
        <v>119</v>
      </c>
      <c r="Q14" t="s">
        <v>148</v>
      </c>
      <c r="R14" t="s">
        <v>151</v>
      </c>
    </row>
    <row r="15" spans="1:18">
      <c r="E15">
        <v>12</v>
      </c>
      <c r="F15" s="77">
        <f t="shared" si="4"/>
        <v>1717.829193638845</v>
      </c>
      <c r="G15" s="77">
        <f t="shared" si="0"/>
        <v>1313.6617953924338</v>
      </c>
      <c r="H15" s="77">
        <f t="shared" si="5"/>
        <v>404.16739824641127</v>
      </c>
      <c r="I15" s="77">
        <f t="shared" si="1"/>
        <v>17206.443013242639</v>
      </c>
      <c r="J15" s="77">
        <f t="shared" si="2"/>
        <v>5125.3365040623485</v>
      </c>
      <c r="K15" s="77">
        <f t="shared" si="6"/>
        <v>315278.83089418412</v>
      </c>
      <c r="L15" s="75">
        <v>400000</v>
      </c>
      <c r="M15" s="75">
        <f t="shared" si="3"/>
        <v>84721.169105815876</v>
      </c>
      <c r="O15">
        <v>1</v>
      </c>
      <c r="P15" s="77">
        <f>I14</f>
        <v>15892.781217850204</v>
      </c>
      <c r="Q15" s="77">
        <f>J14</f>
        <v>4721.1691058159367</v>
      </c>
      <c r="R15" s="77">
        <f>Q15</f>
        <v>4721.1691058159367</v>
      </c>
    </row>
    <row r="16" spans="1:18">
      <c r="E16">
        <v>13</v>
      </c>
      <c r="F16" s="77">
        <f t="shared" si="4"/>
        <v>1717.829193638845</v>
      </c>
      <c r="G16" s="77">
        <f t="shared" si="0"/>
        <v>1311.9777645664071</v>
      </c>
      <c r="H16" s="77">
        <f t="shared" si="5"/>
        <v>405.8514290724379</v>
      </c>
      <c r="I16" s="77">
        <f t="shared" si="1"/>
        <v>18518.420777809046</v>
      </c>
      <c r="J16" s="77">
        <f t="shared" si="2"/>
        <v>5531.1879331347864</v>
      </c>
      <c r="K16" s="77">
        <f t="shared" si="6"/>
        <v>314874.66349593771</v>
      </c>
      <c r="L16" s="75">
        <v>400000</v>
      </c>
      <c r="M16" s="75">
        <f t="shared" si="3"/>
        <v>85125.336504062288</v>
      </c>
      <c r="O16">
        <v>2</v>
      </c>
      <c r="P16" s="77">
        <f>I26</f>
        <v>31544.018464026263</v>
      </c>
      <c r="Q16" s="77">
        <f>J26</f>
        <v>9683.882183306021</v>
      </c>
      <c r="R16" s="77">
        <f>Q16-Q15</f>
        <v>4962.7130774900843</v>
      </c>
    </row>
    <row r="17" spans="1:18">
      <c r="E17">
        <v>14</v>
      </c>
      <c r="F17" s="77">
        <f t="shared" si="4"/>
        <v>1717.829193638845</v>
      </c>
      <c r="G17" s="77">
        <f t="shared" si="0"/>
        <v>1310.286716945272</v>
      </c>
      <c r="H17" s="77">
        <f t="shared" si="5"/>
        <v>407.54247669357301</v>
      </c>
      <c r="I17" s="77">
        <f t="shared" si="1"/>
        <v>19828.707494754319</v>
      </c>
      <c r="J17" s="77">
        <f t="shared" si="2"/>
        <v>5938.7304098283594</v>
      </c>
      <c r="K17" s="77">
        <f t="shared" si="6"/>
        <v>314468.81206686527</v>
      </c>
      <c r="L17" s="75">
        <v>400000</v>
      </c>
      <c r="M17" s="75">
        <f t="shared" si="3"/>
        <v>85531.18793313473</v>
      </c>
      <c r="O17">
        <v>3</v>
      </c>
      <c r="P17" s="77">
        <f>I38</f>
        <v>46941.353890515442</v>
      </c>
      <c r="Q17" s="77">
        <f>J38</f>
        <v>14900.497080482994</v>
      </c>
      <c r="R17" s="77">
        <f t="shared" ref="R17:R44" si="7">Q17-Q16</f>
        <v>5216.6148971769726</v>
      </c>
    </row>
    <row r="18" spans="1:18">
      <c r="E18">
        <v>15</v>
      </c>
      <c r="F18" s="77">
        <f t="shared" si="4"/>
        <v>1717.829193638845</v>
      </c>
      <c r="G18" s="77">
        <f t="shared" si="0"/>
        <v>1308.588623292382</v>
      </c>
      <c r="H18" s="77">
        <f t="shared" si="5"/>
        <v>409.24057034646307</v>
      </c>
      <c r="I18" s="77">
        <f t="shared" si="1"/>
        <v>21137.296118046699</v>
      </c>
      <c r="J18" s="77">
        <f t="shared" si="2"/>
        <v>6347.9709801748222</v>
      </c>
      <c r="K18" s="77">
        <f t="shared" si="6"/>
        <v>314061.26959017169</v>
      </c>
      <c r="L18" s="75">
        <v>400000</v>
      </c>
      <c r="M18" s="75">
        <f t="shared" si="3"/>
        <v>85938.730409828306</v>
      </c>
      <c r="O18">
        <v>4</v>
      </c>
      <c r="P18" s="77">
        <f>I50</f>
        <v>62071.797398346913</v>
      </c>
      <c r="Q18" s="77">
        <f>J50</f>
        <v>20384.003896317667</v>
      </c>
      <c r="R18" s="77">
        <f t="shared" si="7"/>
        <v>5483.506815834673</v>
      </c>
    </row>
    <row r="19" spans="1:18">
      <c r="A19" s="76"/>
      <c r="E19">
        <v>16</v>
      </c>
      <c r="F19" s="77">
        <f t="shared" si="4"/>
        <v>1717.829193638845</v>
      </c>
      <c r="G19" s="77">
        <f t="shared" si="0"/>
        <v>1306.8834542492718</v>
      </c>
      <c r="H19" s="77">
        <f t="shared" si="5"/>
        <v>410.94573938957319</v>
      </c>
      <c r="I19" s="77">
        <f t="shared" si="1"/>
        <v>22444.179572295972</v>
      </c>
      <c r="J19" s="77">
        <f t="shared" si="2"/>
        <v>6758.916719564395</v>
      </c>
      <c r="K19" s="77">
        <f t="shared" si="6"/>
        <v>313652.02901982522</v>
      </c>
      <c r="L19" s="75">
        <v>400000</v>
      </c>
      <c r="M19" s="75">
        <f t="shared" si="3"/>
        <v>86347.970980174781</v>
      </c>
      <c r="O19">
        <v>5</v>
      </c>
      <c r="P19" s="77">
        <f>I62</f>
        <v>76921.694290432861</v>
      </c>
      <c r="Q19" s="77">
        <f>J62</f>
        <v>26148.057327897859</v>
      </c>
      <c r="R19" s="77">
        <f t="shared" si="7"/>
        <v>5764.0534315801924</v>
      </c>
    </row>
    <row r="20" spans="1:18">
      <c r="E20">
        <v>17</v>
      </c>
      <c r="F20" s="77">
        <f t="shared" si="4"/>
        <v>1717.829193638845</v>
      </c>
      <c r="G20" s="77">
        <f t="shared" si="0"/>
        <v>1305.1711803351486</v>
      </c>
      <c r="H20" s="77">
        <f t="shared" si="5"/>
        <v>412.65801330369641</v>
      </c>
      <c r="I20" s="77">
        <f t="shared" si="1"/>
        <v>23749.350752631122</v>
      </c>
      <c r="J20" s="77">
        <f t="shared" si="2"/>
        <v>7171.5747328680918</v>
      </c>
      <c r="K20" s="77">
        <f t="shared" si="6"/>
        <v>313241.08328043565</v>
      </c>
      <c r="L20" s="75">
        <v>400000</v>
      </c>
      <c r="M20" s="75">
        <f t="shared" si="3"/>
        <v>86758.916719564353</v>
      </c>
      <c r="O20">
        <v>6</v>
      </c>
      <c r="P20" s="77">
        <f>I74</f>
        <v>91476.691269467483</v>
      </c>
      <c r="Q20" s="77">
        <f>J74</f>
        <v>32207.010672529417</v>
      </c>
      <c r="R20" s="77">
        <f t="shared" si="7"/>
        <v>6058.9533446315581</v>
      </c>
    </row>
    <row r="21" spans="1:18">
      <c r="B21" s="77"/>
      <c r="E21">
        <v>18</v>
      </c>
      <c r="F21" s="77">
        <f t="shared" si="4"/>
        <v>1717.829193638845</v>
      </c>
      <c r="G21" s="77">
        <f t="shared" si="0"/>
        <v>1303.4517719463831</v>
      </c>
      <c r="H21" s="77">
        <f t="shared" si="5"/>
        <v>414.37742169246189</v>
      </c>
      <c r="I21" s="77">
        <f t="shared" si="1"/>
        <v>25052.802524577506</v>
      </c>
      <c r="J21" s="77">
        <f t="shared" si="2"/>
        <v>7585.9521545605539</v>
      </c>
      <c r="K21" s="77">
        <f t="shared" si="6"/>
        <v>312828.42526713194</v>
      </c>
      <c r="L21" s="75">
        <v>400000</v>
      </c>
      <c r="M21" s="75">
        <f t="shared" si="3"/>
        <v>87171.574732868059</v>
      </c>
      <c r="O21">
        <v>7</v>
      </c>
      <c r="P21" s="77">
        <f>I86</f>
        <v>105721.70069621384</v>
      </c>
      <c r="Q21" s="77">
        <f>J86</f>
        <v>38575.951569449193</v>
      </c>
      <c r="R21" s="77">
        <f t="shared" si="7"/>
        <v>6368.9408969197757</v>
      </c>
    </row>
    <row r="22" spans="1:18">
      <c r="E22">
        <v>19</v>
      </c>
      <c r="F22" s="77">
        <f t="shared" si="4"/>
        <v>1717.829193638845</v>
      </c>
      <c r="G22" s="77">
        <f t="shared" si="0"/>
        <v>1301.7251993559978</v>
      </c>
      <c r="H22" s="77">
        <f t="shared" si="5"/>
        <v>416.10399428284722</v>
      </c>
      <c r="I22" s="77">
        <f t="shared" si="1"/>
        <v>26354.527723933505</v>
      </c>
      <c r="J22" s="77">
        <f t="shared" si="2"/>
        <v>8002.0561488434014</v>
      </c>
      <c r="K22" s="77">
        <f t="shared" si="6"/>
        <v>312414.04784543946</v>
      </c>
      <c r="L22" s="75">
        <v>400000</v>
      </c>
      <c r="M22" s="75">
        <f t="shared" si="3"/>
        <v>87585.952154560538</v>
      </c>
      <c r="O22">
        <v>8</v>
      </c>
      <c r="P22" s="77">
        <f>I98</f>
        <v>119640.8630191772</v>
      </c>
      <c r="Q22" s="77">
        <f>J98</f>
        <v>45270.739570151993</v>
      </c>
      <c r="R22" s="77">
        <f t="shared" si="7"/>
        <v>6694.7880007027998</v>
      </c>
    </row>
    <row r="23" spans="1:18">
      <c r="E23">
        <v>20</v>
      </c>
      <c r="F23" s="77">
        <f t="shared" si="4"/>
        <v>1717.829193638845</v>
      </c>
      <c r="G23" s="77">
        <f t="shared" si="0"/>
        <v>1299.9914327131526</v>
      </c>
      <c r="H23" s="77">
        <f t="shared" si="5"/>
        <v>417.83776092569246</v>
      </c>
      <c r="I23" s="77">
        <f t="shared" si="1"/>
        <v>27654.519156646656</v>
      </c>
      <c r="J23" s="77">
        <f t="shared" si="2"/>
        <v>8419.8939097690945</v>
      </c>
      <c r="K23" s="77">
        <f t="shared" si="6"/>
        <v>311997.94385115663</v>
      </c>
      <c r="L23" s="75">
        <v>400000</v>
      </c>
      <c r="M23" s="75">
        <f t="shared" si="3"/>
        <v>88002.056148843374</v>
      </c>
      <c r="O23">
        <v>9</v>
      </c>
      <c r="P23" s="77">
        <f>I110</f>
        <v>133217.50728210874</v>
      </c>
      <c r="Q23" s="77">
        <f>J110</f>
        <v>52308.045630886605</v>
      </c>
      <c r="R23" s="77">
        <f t="shared" si="7"/>
        <v>7037.3060607346124</v>
      </c>
    </row>
    <row r="24" spans="1:18">
      <c r="E24">
        <v>21</v>
      </c>
      <c r="F24" s="77">
        <f t="shared" si="4"/>
        <v>1717.829193638845</v>
      </c>
      <c r="G24" s="77">
        <f t="shared" si="0"/>
        <v>1298.2504420426289</v>
      </c>
      <c r="H24" s="77">
        <f t="shared" si="5"/>
        <v>419.57875159621608</v>
      </c>
      <c r="I24" s="77">
        <f t="shared" si="1"/>
        <v>28952.769598689287</v>
      </c>
      <c r="J24" s="77">
        <f t="shared" si="2"/>
        <v>8839.4726613653111</v>
      </c>
      <c r="K24" s="77">
        <f t="shared" si="6"/>
        <v>311580.10609023093</v>
      </c>
      <c r="L24" s="75">
        <v>400000</v>
      </c>
      <c r="M24" s="75">
        <f t="shared" si="3"/>
        <v>88419.893909769075</v>
      </c>
      <c r="O24">
        <v>10</v>
      </c>
      <c r="P24" s="77">
        <f>I122</f>
        <v>146434.10961099845</v>
      </c>
      <c r="Q24" s="77">
        <f>J122</f>
        <v>59705.393625663011</v>
      </c>
      <c r="R24" s="77">
        <f t="shared" si="7"/>
        <v>7397.3479947764063</v>
      </c>
    </row>
    <row r="25" spans="1:18">
      <c r="E25">
        <v>22</v>
      </c>
      <c r="F25" s="77">
        <f t="shared" si="4"/>
        <v>1717.829193638845</v>
      </c>
      <c r="G25" s="77">
        <f t="shared" si="0"/>
        <v>1296.5021972443112</v>
      </c>
      <c r="H25" s="77">
        <f t="shared" si="5"/>
        <v>421.32699639453381</v>
      </c>
      <c r="I25" s="77">
        <f t="shared" si="1"/>
        <v>30249.271795933597</v>
      </c>
      <c r="J25" s="77">
        <f t="shared" si="2"/>
        <v>9260.7996577598442</v>
      </c>
      <c r="K25" s="77">
        <f t="shared" si="6"/>
        <v>311160.52733863471</v>
      </c>
      <c r="L25" s="75">
        <v>400000</v>
      </c>
      <c r="M25" s="75">
        <f t="shared" si="3"/>
        <v>88839.472661365289</v>
      </c>
      <c r="O25">
        <v>11</v>
      </c>
      <c r="P25" s="77">
        <f>I134</f>
        <v>159272.2495771838</v>
      </c>
      <c r="Q25" s="77">
        <f>J134</f>
        <v>67481.203983143816</v>
      </c>
      <c r="R25" s="77">
        <f t="shared" si="7"/>
        <v>7775.8103574808047</v>
      </c>
    </row>
    <row r="26" spans="1:18">
      <c r="E26">
        <v>23</v>
      </c>
      <c r="F26" s="77">
        <f t="shared" si="4"/>
        <v>1717.829193638845</v>
      </c>
      <c r="G26" s="77">
        <f t="shared" si="0"/>
        <v>1294.7466680926673</v>
      </c>
      <c r="H26" s="77">
        <f t="shared" si="5"/>
        <v>423.08252554617775</v>
      </c>
      <c r="I26" s="77">
        <f t="shared" si="1"/>
        <v>31544.018464026263</v>
      </c>
      <c r="J26" s="77">
        <f t="shared" si="2"/>
        <v>9683.882183306021</v>
      </c>
      <c r="K26" s="77">
        <f t="shared" si="6"/>
        <v>310739.20034224016</v>
      </c>
      <c r="L26" s="75">
        <v>400000</v>
      </c>
      <c r="M26" s="75">
        <f t="shared" si="3"/>
        <v>89260.799657759839</v>
      </c>
      <c r="O26">
        <v>12</v>
      </c>
      <c r="P26" s="77">
        <f>I146</f>
        <v>171712.56432791194</v>
      </c>
      <c r="Q26" s="77">
        <f>J146</f>
        <v>75654.839556081773</v>
      </c>
      <c r="R26" s="77">
        <f t="shared" si="7"/>
        <v>8173.6355729379575</v>
      </c>
    </row>
    <row r="27" spans="1:18">
      <c r="E27">
        <v>24</v>
      </c>
      <c r="F27" s="77">
        <f t="shared" si="4"/>
        <v>1717.829193638845</v>
      </c>
      <c r="G27" s="77">
        <f t="shared" si="0"/>
        <v>1292.9838242362248</v>
      </c>
      <c r="H27" s="77">
        <f t="shared" si="5"/>
        <v>424.84536940262024</v>
      </c>
      <c r="I27" s="77">
        <f t="shared" si="1"/>
        <v>32837.002288262491</v>
      </c>
      <c r="J27" s="77">
        <f t="shared" si="2"/>
        <v>10108.727552708642</v>
      </c>
      <c r="K27" s="77">
        <f t="shared" si="6"/>
        <v>310316.11781669396</v>
      </c>
      <c r="L27" s="75">
        <v>400000</v>
      </c>
      <c r="M27" s="75">
        <f t="shared" si="3"/>
        <v>89683.882183306036</v>
      </c>
      <c r="O27">
        <v>13</v>
      </c>
      <c r="P27" s="77">
        <f>I158</f>
        <v>183734.70037013499</v>
      </c>
      <c r="Q27" s="77">
        <f>J158</f>
        <v>84246.653837524907</v>
      </c>
      <c r="R27" s="77">
        <f t="shared" si="7"/>
        <v>8591.814281443134</v>
      </c>
    </row>
    <row r="28" spans="1:18">
      <c r="E28">
        <v>25</v>
      </c>
      <c r="F28" s="77">
        <f t="shared" si="4"/>
        <v>1717.829193638845</v>
      </c>
      <c r="G28" s="77">
        <f t="shared" si="0"/>
        <v>1291.2136351970473</v>
      </c>
      <c r="H28" s="77">
        <f t="shared" si="5"/>
        <v>426.6155584417977</v>
      </c>
      <c r="I28" s="77">
        <f t="shared" si="1"/>
        <v>34128.215923459538</v>
      </c>
      <c r="J28" s="77">
        <f t="shared" si="2"/>
        <v>10535.34311115044</v>
      </c>
      <c r="K28" s="77">
        <f t="shared" si="6"/>
        <v>309891.27244729135</v>
      </c>
      <c r="L28" s="75">
        <v>400000</v>
      </c>
      <c r="M28" s="75">
        <f t="shared" si="3"/>
        <v>90108.727552708646</v>
      </c>
      <c r="O28">
        <v>14</v>
      </c>
      <c r="P28" s="77">
        <f>I170</f>
        <v>195317.26288747197</v>
      </c>
      <c r="Q28" s="77">
        <f>J170</f>
        <v>93278.041643854041</v>
      </c>
      <c r="R28" s="77">
        <f t="shared" si="7"/>
        <v>9031.387806329134</v>
      </c>
    </row>
    <row r="29" spans="1:18">
      <c r="E29">
        <v>26</v>
      </c>
      <c r="F29" s="77">
        <f t="shared" si="4"/>
        <v>1717.829193638845</v>
      </c>
      <c r="G29" s="77">
        <f t="shared" si="0"/>
        <v>1289.4360703702066</v>
      </c>
      <c r="H29" s="77">
        <f t="shared" si="5"/>
        <v>428.39312326863842</v>
      </c>
      <c r="I29" s="77">
        <f t="shared" si="1"/>
        <v>35417.651993829742</v>
      </c>
      <c r="J29" s="77">
        <f t="shared" si="2"/>
        <v>10963.736234419079</v>
      </c>
      <c r="K29" s="77">
        <f t="shared" si="6"/>
        <v>309464.65688884957</v>
      </c>
      <c r="L29" s="75">
        <v>400000</v>
      </c>
      <c r="M29" s="75">
        <f t="shared" si="3"/>
        <v>90535.343111150432</v>
      </c>
      <c r="O29">
        <v>15</v>
      </c>
      <c r="P29" s="77">
        <f>I182</f>
        <v>206437.76246413123</v>
      </c>
      <c r="Q29" s="77">
        <f>J182</f>
        <v>102771.49239086091</v>
      </c>
      <c r="R29" s="77">
        <f t="shared" si="7"/>
        <v>9493.4507470068638</v>
      </c>
    </row>
    <row r="30" spans="1:18">
      <c r="E30">
        <v>27</v>
      </c>
      <c r="F30" s="77">
        <f t="shared" si="4"/>
        <v>1717.829193638845</v>
      </c>
      <c r="G30" s="77">
        <f t="shared" si="0"/>
        <v>1287.6510990232539</v>
      </c>
      <c r="H30" s="77">
        <f t="shared" si="5"/>
        <v>430.17809461559114</v>
      </c>
      <c r="I30" s="77">
        <f t="shared" si="1"/>
        <v>36705.303092852999</v>
      </c>
      <c r="J30" s="77">
        <f t="shared" si="2"/>
        <v>11393.914329034669</v>
      </c>
      <c r="K30" s="77">
        <f t="shared" si="6"/>
        <v>309036.26376558095</v>
      </c>
      <c r="L30" s="75">
        <v>400000</v>
      </c>
      <c r="M30" s="75">
        <f t="shared" si="3"/>
        <v>90963.736234419048</v>
      </c>
      <c r="O30">
        <v>16</v>
      </c>
      <c r="P30" s="77">
        <f>I194</f>
        <v>217072.55908312689</v>
      </c>
      <c r="Q30" s="77">
        <f>J194</f>
        <v>112750.64609553141</v>
      </c>
      <c r="R30" s="77">
        <f t="shared" si="7"/>
        <v>9979.1537046705052</v>
      </c>
    </row>
    <row r="31" spans="1:18">
      <c r="E31">
        <v>28</v>
      </c>
      <c r="F31" s="77">
        <f t="shared" si="4"/>
        <v>1717.829193638845</v>
      </c>
      <c r="G31" s="77">
        <f t="shared" si="0"/>
        <v>1285.858690295689</v>
      </c>
      <c r="H31" s="77">
        <f t="shared" si="5"/>
        <v>431.970503343156</v>
      </c>
      <c r="I31" s="77">
        <f t="shared" si="1"/>
        <v>37991.161783148687</v>
      </c>
      <c r="J31" s="77">
        <f t="shared" si="2"/>
        <v>11825.884832377826</v>
      </c>
      <c r="K31" s="77">
        <f t="shared" si="6"/>
        <v>308606.08567096537</v>
      </c>
      <c r="L31" s="75">
        <v>400000</v>
      </c>
      <c r="M31" s="75">
        <f t="shared" si="3"/>
        <v>91393.914329034626</v>
      </c>
      <c r="O31">
        <v>17</v>
      </c>
      <c r="P31" s="77">
        <f>I206</f>
        <v>227196.80325933811</v>
      </c>
      <c r="Q31" s="77">
        <f>J206</f>
        <v>123240.35224298637</v>
      </c>
      <c r="R31" s="77">
        <f t="shared" si="7"/>
        <v>10489.706147454955</v>
      </c>
    </row>
    <row r="32" spans="1:18">
      <c r="E32">
        <v>29</v>
      </c>
      <c r="F32" s="77">
        <f t="shared" si="4"/>
        <v>1717.829193638845</v>
      </c>
      <c r="G32" s="77">
        <f t="shared" si="0"/>
        <v>1284.0588131984259</v>
      </c>
      <c r="H32" s="77">
        <f t="shared" si="5"/>
        <v>433.7703804404191</v>
      </c>
      <c r="I32" s="77">
        <f t="shared" si="1"/>
        <v>39275.220596347113</v>
      </c>
      <c r="J32" s="77">
        <f t="shared" si="2"/>
        <v>12259.655212818245</v>
      </c>
      <c r="K32" s="77">
        <f t="shared" si="6"/>
        <v>308174.11516762222</v>
      </c>
      <c r="L32" s="75">
        <v>400000</v>
      </c>
      <c r="M32" s="75">
        <f t="shared" si="3"/>
        <v>91825.884832377778</v>
      </c>
      <c r="O32">
        <v>18</v>
      </c>
      <c r="P32" s="77">
        <f>I218</f>
        <v>236784.37416082382</v>
      </c>
      <c r="Q32" s="77">
        <f>J218</f>
        <v>134266.73166516676</v>
      </c>
      <c r="R32" s="77">
        <f t="shared" si="7"/>
        <v>11026.379422180398</v>
      </c>
    </row>
    <row r="33" spans="5:18">
      <c r="E33">
        <v>30</v>
      </c>
      <c r="F33" s="77">
        <f t="shared" si="4"/>
        <v>1717.829193638845</v>
      </c>
      <c r="G33" s="77">
        <f t="shared" si="0"/>
        <v>1282.2514366132575</v>
      </c>
      <c r="H33" s="77">
        <f t="shared" si="5"/>
        <v>435.57775702558752</v>
      </c>
      <c r="I33" s="77">
        <f t="shared" si="1"/>
        <v>40557.472032960373</v>
      </c>
      <c r="J33" s="77">
        <f t="shared" si="2"/>
        <v>12695.232969843832</v>
      </c>
      <c r="K33" s="77">
        <f t="shared" si="6"/>
        <v>307740.34478718182</v>
      </c>
      <c r="L33" s="75">
        <v>400000</v>
      </c>
      <c r="M33" s="75">
        <f t="shared" si="3"/>
        <v>92259.655212818179</v>
      </c>
      <c r="O33">
        <v>19</v>
      </c>
      <c r="P33" s="77">
        <f>I230</f>
        <v>245807.81456430667</v>
      </c>
      <c r="Q33" s="77">
        <f>J230</f>
        <v>145857.24158535004</v>
      </c>
      <c r="R33" s="77">
        <f t="shared" si="7"/>
        <v>11590.509920183278</v>
      </c>
    </row>
    <row r="34" spans="5:18">
      <c r="E34">
        <v>31</v>
      </c>
      <c r="F34" s="77">
        <f t="shared" si="4"/>
        <v>1717.829193638845</v>
      </c>
      <c r="G34" s="77">
        <f t="shared" si="0"/>
        <v>1280.4365292923176</v>
      </c>
      <c r="H34" s="77">
        <f t="shared" si="5"/>
        <v>437.39266434652745</v>
      </c>
      <c r="I34" s="77">
        <f t="shared" si="1"/>
        <v>41837.908562252691</v>
      </c>
      <c r="J34" s="77">
        <f t="shared" si="2"/>
        <v>13132.625634190359</v>
      </c>
      <c r="K34" s="77">
        <f t="shared" si="6"/>
        <v>307304.76703015622</v>
      </c>
      <c r="L34" s="75">
        <v>400000</v>
      </c>
      <c r="M34" s="75">
        <f t="shared" si="3"/>
        <v>92695.232969843782</v>
      </c>
      <c r="O34">
        <v>20</v>
      </c>
      <c r="P34" s="77">
        <f>I242</f>
        <v>254238.26248285585</v>
      </c>
      <c r="Q34" s="77">
        <f>J242</f>
        <v>158040.74399046699</v>
      </c>
      <c r="R34" s="77">
        <f t="shared" si="7"/>
        <v>12183.502405116946</v>
      </c>
    </row>
    <row r="35" spans="5:18">
      <c r="E35">
        <v>32</v>
      </c>
      <c r="F35" s="77">
        <f t="shared" si="4"/>
        <v>1717.829193638845</v>
      </c>
      <c r="G35" s="77">
        <f t="shared" si="0"/>
        <v>1278.6140598575403</v>
      </c>
      <c r="H35" s="77">
        <f t="shared" si="5"/>
        <v>439.21513378130476</v>
      </c>
      <c r="I35" s="77">
        <f t="shared" si="1"/>
        <v>43116.522622110235</v>
      </c>
      <c r="J35" s="77">
        <f t="shared" si="2"/>
        <v>13571.840767971664</v>
      </c>
      <c r="K35" s="77">
        <f t="shared" si="6"/>
        <v>306867.37436580966</v>
      </c>
      <c r="L35" s="75">
        <v>400000</v>
      </c>
      <c r="M35" s="75">
        <f t="shared" si="3"/>
        <v>93132.625634190335</v>
      </c>
      <c r="O35">
        <v>21</v>
      </c>
      <c r="P35" s="77">
        <f>I254</f>
        <v>262045.37929551263</v>
      </c>
      <c r="Q35" s="77">
        <f>J254</f>
        <v>170847.57750147633</v>
      </c>
      <c r="R35" s="77">
        <f t="shared" si="7"/>
        <v>12806.833511009347</v>
      </c>
    </row>
    <row r="36" spans="5:18">
      <c r="E36">
        <v>33</v>
      </c>
      <c r="F36" s="77">
        <f t="shared" si="4"/>
        <v>1717.829193638845</v>
      </c>
      <c r="G36" s="77">
        <f t="shared" si="0"/>
        <v>1276.7839968001181</v>
      </c>
      <c r="H36" s="77">
        <f t="shared" si="5"/>
        <v>441.04519683872695</v>
      </c>
      <c r="I36" s="77">
        <f t="shared" si="1"/>
        <v>44393.306618910356</v>
      </c>
      <c r="J36" s="77">
        <f t="shared" si="2"/>
        <v>14012.88596481039</v>
      </c>
      <c r="K36" s="77">
        <f t="shared" si="6"/>
        <v>306428.15923202835</v>
      </c>
      <c r="L36" s="75">
        <v>400000</v>
      </c>
      <c r="M36" s="75">
        <f t="shared" si="3"/>
        <v>93571.840767971647</v>
      </c>
      <c r="O36">
        <v>22</v>
      </c>
      <c r="P36" s="77">
        <f>I266</f>
        <v>269197.27419989073</v>
      </c>
      <c r="Q36" s="77">
        <f>J266</f>
        <v>184309.63292076439</v>
      </c>
      <c r="R36" s="77">
        <f t="shared" si="7"/>
        <v>13462.055419288052</v>
      </c>
    </row>
    <row r="37" spans="5:18">
      <c r="E37">
        <v>34</v>
      </c>
      <c r="F37" s="77">
        <f t="shared" si="4"/>
        <v>1717.829193638845</v>
      </c>
      <c r="G37" s="77">
        <f t="shared" si="0"/>
        <v>1274.9463084799568</v>
      </c>
      <c r="H37" s="77">
        <f t="shared" si="5"/>
        <v>442.88288515888826</v>
      </c>
      <c r="I37" s="77">
        <f t="shared" si="1"/>
        <v>45668.252927390313</v>
      </c>
      <c r="J37" s="77">
        <f t="shared" si="2"/>
        <v>14455.768849969278</v>
      </c>
      <c r="K37" s="77">
        <f t="shared" si="6"/>
        <v>305987.11403518962</v>
      </c>
      <c r="L37" s="75">
        <v>400000</v>
      </c>
      <c r="M37" s="75">
        <f t="shared" si="3"/>
        <v>94012.885964810383</v>
      </c>
      <c r="O37">
        <v>23</v>
      </c>
      <c r="P37" s="77">
        <f>I278</f>
        <v>275660.42479962908</v>
      </c>
      <c r="Q37" s="77">
        <f>J278</f>
        <v>198460.43264469222</v>
      </c>
      <c r="R37" s="77">
        <f t="shared" si="7"/>
        <v>14150.799723927834</v>
      </c>
    </row>
    <row r="38" spans="5:18">
      <c r="E38">
        <v>35</v>
      </c>
      <c r="F38" s="77">
        <f t="shared" si="4"/>
        <v>1717.829193638845</v>
      </c>
      <c r="G38" s="77">
        <f t="shared" si="0"/>
        <v>1273.1009631251281</v>
      </c>
      <c r="H38" s="77">
        <f t="shared" si="5"/>
        <v>444.72823051371688</v>
      </c>
      <c r="I38" s="77">
        <f t="shared" si="1"/>
        <v>46941.353890515442</v>
      </c>
      <c r="J38" s="77">
        <f t="shared" si="2"/>
        <v>14900.497080482994</v>
      </c>
      <c r="K38" s="77">
        <f t="shared" si="6"/>
        <v>305544.23115003074</v>
      </c>
      <c r="L38" s="75">
        <v>400000</v>
      </c>
      <c r="M38" s="75">
        <f t="shared" si="3"/>
        <v>94455.768849969259</v>
      </c>
      <c r="O38">
        <v>24</v>
      </c>
      <c r="P38" s="77">
        <f>I290</f>
        <v>281399.59362894687</v>
      </c>
      <c r="Q38" s="77">
        <f>J290</f>
        <v>213335.21413904053</v>
      </c>
      <c r="R38" s="77">
        <f t="shared" si="7"/>
        <v>14874.78149434831</v>
      </c>
    </row>
    <row r="39" spans="5:18">
      <c r="E39">
        <v>36</v>
      </c>
      <c r="F39" s="77">
        <f t="shared" si="4"/>
        <v>1717.829193638845</v>
      </c>
      <c r="G39" s="77">
        <f t="shared" si="0"/>
        <v>1271.2479288313211</v>
      </c>
      <c r="H39" s="77">
        <f t="shared" si="5"/>
        <v>446.58126480752389</v>
      </c>
      <c r="I39" s="77">
        <f t="shared" si="1"/>
        <v>48212.601819346761</v>
      </c>
      <c r="J39" s="77">
        <f t="shared" si="2"/>
        <v>15347.078345290518</v>
      </c>
      <c r="K39" s="77">
        <f t="shared" si="6"/>
        <v>305099.50291951705</v>
      </c>
      <c r="L39" s="75">
        <v>400000</v>
      </c>
      <c r="M39" s="75">
        <f t="shared" si="3"/>
        <v>94900.49708048295</v>
      </c>
      <c r="O39">
        <v>25</v>
      </c>
      <c r="P39" s="77">
        <f>I302</f>
        <v>286377.74040643778</v>
      </c>
      <c r="Q39" s="77">
        <f>J302</f>
        <v>228971.01768521575</v>
      </c>
      <c r="R39" s="77">
        <f t="shared" si="7"/>
        <v>15635.803546175215</v>
      </c>
    </row>
    <row r="40" spans="5:18">
      <c r="E40">
        <v>37</v>
      </c>
      <c r="F40" s="77">
        <f t="shared" si="4"/>
        <v>1717.829193638845</v>
      </c>
      <c r="G40" s="77">
        <f t="shared" si="0"/>
        <v>1269.3871735612895</v>
      </c>
      <c r="H40" s="77">
        <f t="shared" si="5"/>
        <v>448.44202007755553</v>
      </c>
      <c r="I40" s="77">
        <f t="shared" si="1"/>
        <v>49481.988992908053</v>
      </c>
      <c r="J40" s="77">
        <f t="shared" si="2"/>
        <v>15795.520365368073</v>
      </c>
      <c r="K40" s="77">
        <f t="shared" si="6"/>
        <v>304652.9216547095</v>
      </c>
      <c r="L40" s="75">
        <v>400000</v>
      </c>
      <c r="M40" s="75">
        <f t="shared" si="3"/>
        <v>95347.078345290502</v>
      </c>
      <c r="O40">
        <v>26</v>
      </c>
      <c r="P40" s="77">
        <f>I314</f>
        <v>290555.92979960033</v>
      </c>
      <c r="Q40" s="77">
        <f>J314</f>
        <v>245406.7786157192</v>
      </c>
      <c r="R40" s="77">
        <f t="shared" si="7"/>
        <v>16435.760930503457</v>
      </c>
    </row>
    <row r="41" spans="5:18">
      <c r="E41">
        <v>38</v>
      </c>
      <c r="F41" s="77">
        <f t="shared" si="4"/>
        <v>1717.829193638845</v>
      </c>
      <c r="G41" s="77">
        <f t="shared" si="0"/>
        <v>1267.5186651442998</v>
      </c>
      <c r="H41" s="77">
        <f t="shared" si="5"/>
        <v>450.31052849454522</v>
      </c>
      <c r="I41" s="77">
        <f t="shared" si="1"/>
        <v>50749.507658052353</v>
      </c>
      <c r="J41" s="77">
        <f t="shared" si="2"/>
        <v>16245.830893862618</v>
      </c>
      <c r="K41" s="77">
        <f t="shared" si="6"/>
        <v>304204.47963463195</v>
      </c>
      <c r="L41" s="75">
        <v>400000</v>
      </c>
      <c r="M41" s="75">
        <f t="shared" si="3"/>
        <v>95795.520365368051</v>
      </c>
      <c r="O41">
        <v>27</v>
      </c>
      <c r="P41" s="77">
        <f>I326</f>
        <v>293893.23447042803</v>
      </c>
      <c r="Q41" s="77">
        <f>J326</f>
        <v>262683.42426855769</v>
      </c>
      <c r="R41" s="77">
        <f t="shared" si="7"/>
        <v>17276.645652838488</v>
      </c>
    </row>
    <row r="42" spans="5:18">
      <c r="E42">
        <v>39</v>
      </c>
      <c r="F42" s="77">
        <f t="shared" si="4"/>
        <v>1717.829193638845</v>
      </c>
      <c r="G42" s="77">
        <f t="shared" si="0"/>
        <v>1265.6423712755725</v>
      </c>
      <c r="H42" s="77">
        <f t="shared" si="5"/>
        <v>452.18682236327254</v>
      </c>
      <c r="I42" s="77">
        <f t="shared" si="1"/>
        <v>52015.150029327924</v>
      </c>
      <c r="J42" s="77">
        <f t="shared" si="2"/>
        <v>16698.017716225891</v>
      </c>
      <c r="K42" s="77">
        <f t="shared" si="6"/>
        <v>303754.16910613741</v>
      </c>
      <c r="L42" s="75">
        <v>400000</v>
      </c>
      <c r="M42" s="75">
        <f t="shared" si="3"/>
        <v>96245.830893862585</v>
      </c>
      <c r="O42">
        <v>28</v>
      </c>
      <c r="P42" s="77">
        <f>I338</f>
        <v>296346.63316062628</v>
      </c>
      <c r="Q42" s="77">
        <f>J338</f>
        <v>280843.97590202553</v>
      </c>
      <c r="R42" s="77">
        <f t="shared" si="7"/>
        <v>18160.55163346784</v>
      </c>
    </row>
    <row r="43" spans="5:18">
      <c r="E43">
        <v>40</v>
      </c>
      <c r="F43" s="77">
        <f t="shared" si="4"/>
        <v>1717.829193638845</v>
      </c>
      <c r="G43" s="77">
        <f t="shared" si="0"/>
        <v>1263.7582595157255</v>
      </c>
      <c r="H43" s="77">
        <f t="shared" si="5"/>
        <v>454.07093412311951</v>
      </c>
      <c r="I43" s="77">
        <f t="shared" si="1"/>
        <v>53278.908288843653</v>
      </c>
      <c r="J43" s="77">
        <f t="shared" si="2"/>
        <v>17152.088650349011</v>
      </c>
      <c r="K43" s="77">
        <f t="shared" si="6"/>
        <v>303301.98228377412</v>
      </c>
      <c r="L43" s="75">
        <v>400000</v>
      </c>
      <c r="M43" s="75">
        <f t="shared" si="3"/>
        <v>96698.017716225877</v>
      </c>
      <c r="O43">
        <v>29</v>
      </c>
      <c r="P43" s="77">
        <f>I350</f>
        <v>297870.90356267709</v>
      </c>
      <c r="Q43" s="77">
        <f>J350</f>
        <v>299933.65582364082</v>
      </c>
      <c r="R43" s="77">
        <f t="shared" si="7"/>
        <v>19089.679921615287</v>
      </c>
    </row>
    <row r="44" spans="5:18">
      <c r="E44">
        <v>41</v>
      </c>
      <c r="F44" s="77">
        <f t="shared" si="4"/>
        <v>1717.829193638845</v>
      </c>
      <c r="G44" s="77">
        <f t="shared" si="0"/>
        <v>1261.8662972902125</v>
      </c>
      <c r="H44" s="77">
        <f t="shared" si="5"/>
        <v>455.96289634863251</v>
      </c>
      <c r="I44" s="77">
        <f t="shared" si="1"/>
        <v>54540.774586133863</v>
      </c>
      <c r="J44" s="77">
        <f t="shared" si="2"/>
        <v>17608.051546697643</v>
      </c>
      <c r="K44" s="77">
        <f t="shared" si="6"/>
        <v>302847.911349651</v>
      </c>
      <c r="L44" s="75">
        <v>400000</v>
      </c>
      <c r="M44" s="75">
        <f t="shared" si="3"/>
        <v>97152.088650349004</v>
      </c>
      <c r="O44">
        <v>30</v>
      </c>
      <c r="P44" s="77">
        <f>I362</f>
        <v>298418.50970998337</v>
      </c>
      <c r="Q44" s="77">
        <f>J362</f>
        <v>320000.00000000081</v>
      </c>
      <c r="R44" s="77">
        <f t="shared" si="7"/>
        <v>20066.344176359999</v>
      </c>
    </row>
    <row r="45" spans="5:18">
      <c r="E45">
        <v>42</v>
      </c>
      <c r="F45" s="77">
        <f t="shared" si="4"/>
        <v>1717.829193638845</v>
      </c>
      <c r="G45" s="77">
        <f t="shared" si="0"/>
        <v>1259.9664518887598</v>
      </c>
      <c r="H45" s="77">
        <f t="shared" si="5"/>
        <v>457.86274175008521</v>
      </c>
      <c r="I45" s="77">
        <f t="shared" si="1"/>
        <v>55800.741038022621</v>
      </c>
      <c r="J45" s="77">
        <f t="shared" si="2"/>
        <v>18065.91428844773</v>
      </c>
      <c r="K45" s="77">
        <f t="shared" si="6"/>
        <v>302391.94845330238</v>
      </c>
      <c r="L45" s="75">
        <v>400000</v>
      </c>
      <c r="M45" s="75">
        <f t="shared" si="3"/>
        <v>97608.051546697621</v>
      </c>
    </row>
    <row r="46" spans="5:18">
      <c r="E46">
        <v>43</v>
      </c>
      <c r="F46" s="77">
        <f t="shared" si="4"/>
        <v>1717.829193638845</v>
      </c>
      <c r="G46" s="77">
        <f t="shared" si="0"/>
        <v>1258.0586904648012</v>
      </c>
      <c r="H46" s="77">
        <f t="shared" si="5"/>
        <v>459.77050317404382</v>
      </c>
      <c r="I46" s="77">
        <f t="shared" si="1"/>
        <v>57058.799728487422</v>
      </c>
      <c r="J46" s="77">
        <f t="shared" si="2"/>
        <v>18525.684791621774</v>
      </c>
      <c r="K46" s="77">
        <f t="shared" si="6"/>
        <v>301934.0857115523</v>
      </c>
      <c r="L46" s="75">
        <v>400000</v>
      </c>
      <c r="M46" s="75">
        <f t="shared" si="3"/>
        <v>98065.914288447704</v>
      </c>
    </row>
    <row r="47" spans="5:18">
      <c r="E47">
        <v>44</v>
      </c>
      <c r="F47" s="77">
        <f t="shared" si="4"/>
        <v>1717.829193638845</v>
      </c>
      <c r="G47" s="77">
        <f t="shared" si="0"/>
        <v>1256.1429800349094</v>
      </c>
      <c r="H47" s="77">
        <f t="shared" si="5"/>
        <v>461.68621360393558</v>
      </c>
      <c r="I47" s="77">
        <f t="shared" si="1"/>
        <v>58314.942708522329</v>
      </c>
      <c r="J47" s="77">
        <f t="shared" si="2"/>
        <v>18987.371005225708</v>
      </c>
      <c r="K47" s="77">
        <f t="shared" si="6"/>
        <v>301474.31520837825</v>
      </c>
      <c r="L47" s="75">
        <v>400000</v>
      </c>
      <c r="M47" s="75">
        <f t="shared" si="3"/>
        <v>98525.684791621752</v>
      </c>
    </row>
    <row r="48" spans="5:18">
      <c r="E48">
        <v>45</v>
      </c>
      <c r="F48" s="77">
        <f t="shared" si="4"/>
        <v>1717.829193638845</v>
      </c>
      <c r="G48" s="77">
        <f t="shared" si="0"/>
        <v>1254.2192874782263</v>
      </c>
      <c r="H48" s="77">
        <f t="shared" si="5"/>
        <v>463.60990616061872</v>
      </c>
      <c r="I48" s="77">
        <f t="shared" si="1"/>
        <v>59569.161996000556</v>
      </c>
      <c r="J48" s="77">
        <f t="shared" si="2"/>
        <v>19450.980911386327</v>
      </c>
      <c r="K48" s="77">
        <f t="shared" si="6"/>
        <v>301012.62899477431</v>
      </c>
      <c r="L48" s="75">
        <v>400000</v>
      </c>
      <c r="M48" s="75">
        <f t="shared" si="3"/>
        <v>98987.371005225694</v>
      </c>
    </row>
    <row r="49" spans="5:13">
      <c r="E49">
        <v>46</v>
      </c>
      <c r="F49" s="77">
        <f t="shared" si="4"/>
        <v>1717.829193638845</v>
      </c>
      <c r="G49" s="77">
        <f t="shared" si="0"/>
        <v>1252.2875795358902</v>
      </c>
      <c r="H49" s="77">
        <f t="shared" si="5"/>
        <v>465.54161410295478</v>
      </c>
      <c r="I49" s="77">
        <f t="shared" si="1"/>
        <v>60821.449575536448</v>
      </c>
      <c r="J49" s="77">
        <f t="shared" si="2"/>
        <v>19916.522525489283</v>
      </c>
      <c r="K49" s="77">
        <f t="shared" si="6"/>
        <v>300549.01908861368</v>
      </c>
      <c r="L49" s="75">
        <v>400000</v>
      </c>
      <c r="M49" s="75">
        <f t="shared" si="3"/>
        <v>99450.980911386316</v>
      </c>
    </row>
    <row r="50" spans="5:13">
      <c r="E50">
        <v>47</v>
      </c>
      <c r="F50" s="77">
        <f t="shared" si="4"/>
        <v>1717.829193638845</v>
      </c>
      <c r="G50" s="77">
        <f t="shared" si="0"/>
        <v>1250.3478228104614</v>
      </c>
      <c r="H50" s="77">
        <f t="shared" si="5"/>
        <v>467.48137082838366</v>
      </c>
      <c r="I50" s="77">
        <f t="shared" si="1"/>
        <v>62071.797398346913</v>
      </c>
      <c r="J50" s="77">
        <f t="shared" si="2"/>
        <v>20384.003896317667</v>
      </c>
      <c r="K50" s="77">
        <f t="shared" si="6"/>
        <v>300083.47747451073</v>
      </c>
      <c r="L50" s="75">
        <v>400000</v>
      </c>
      <c r="M50" s="75">
        <f t="shared" si="3"/>
        <v>99916.522525489272</v>
      </c>
    </row>
    <row r="51" spans="5:13">
      <c r="E51">
        <v>48</v>
      </c>
      <c r="F51" s="77">
        <f t="shared" si="4"/>
        <v>1717.829193638845</v>
      </c>
      <c r="G51" s="77">
        <f t="shared" si="0"/>
        <v>1248.399983765343</v>
      </c>
      <c r="H51" s="77">
        <f t="shared" si="5"/>
        <v>469.42920987350203</v>
      </c>
      <c r="I51" s="77">
        <f t="shared" si="1"/>
        <v>63320.197382112259</v>
      </c>
      <c r="J51" s="77">
        <f t="shared" si="2"/>
        <v>20853.433106191169</v>
      </c>
      <c r="K51" s="77">
        <f t="shared" si="6"/>
        <v>299615.99610368232</v>
      </c>
      <c r="L51" s="75">
        <v>400000</v>
      </c>
      <c r="M51" s="75">
        <f t="shared" si="3"/>
        <v>100384.00389631768</v>
      </c>
    </row>
    <row r="52" spans="5:13">
      <c r="E52">
        <v>49</v>
      </c>
      <c r="F52" s="77">
        <f t="shared" si="4"/>
        <v>1717.829193638845</v>
      </c>
      <c r="G52" s="77">
        <f t="shared" si="0"/>
        <v>1246.4440287242035</v>
      </c>
      <c r="H52" s="77">
        <f t="shared" si="5"/>
        <v>471.38516491464156</v>
      </c>
      <c r="I52" s="77">
        <f t="shared" si="1"/>
        <v>64566.641410836462</v>
      </c>
      <c r="J52" s="77">
        <f t="shared" si="2"/>
        <v>21324.818271105811</v>
      </c>
      <c r="K52" s="77">
        <f t="shared" si="6"/>
        <v>299146.56689380883</v>
      </c>
      <c r="L52" s="75">
        <v>400000</v>
      </c>
      <c r="M52" s="75">
        <f t="shared" si="3"/>
        <v>100853.43310619117</v>
      </c>
    </row>
    <row r="53" spans="5:13">
      <c r="E53">
        <v>50</v>
      </c>
      <c r="F53" s="77">
        <f t="shared" si="4"/>
        <v>1717.829193638845</v>
      </c>
      <c r="G53" s="77">
        <f t="shared" si="0"/>
        <v>1244.4799238703924</v>
      </c>
      <c r="H53" s="77">
        <f t="shared" si="5"/>
        <v>473.34926976845259</v>
      </c>
      <c r="I53" s="77">
        <f t="shared" si="1"/>
        <v>65811.121334706855</v>
      </c>
      <c r="J53" s="77">
        <f t="shared" si="2"/>
        <v>21798.167540874263</v>
      </c>
      <c r="K53" s="77">
        <f t="shared" si="6"/>
        <v>298675.18172889418</v>
      </c>
      <c r="L53" s="75">
        <v>400000</v>
      </c>
      <c r="M53" s="75">
        <f t="shared" si="3"/>
        <v>101324.81827110582</v>
      </c>
    </row>
    <row r="54" spans="5:13">
      <c r="E54">
        <v>51</v>
      </c>
      <c r="F54" s="77">
        <f t="shared" si="4"/>
        <v>1717.829193638845</v>
      </c>
      <c r="G54" s="77">
        <f t="shared" si="0"/>
        <v>1242.5076352463573</v>
      </c>
      <c r="H54" s="77">
        <f t="shared" si="5"/>
        <v>475.32155839248776</v>
      </c>
      <c r="I54" s="77">
        <f t="shared" si="1"/>
        <v>67053.628969953206</v>
      </c>
      <c r="J54" s="77">
        <f t="shared" si="2"/>
        <v>22273.48909926675</v>
      </c>
      <c r="K54" s="77">
        <f t="shared" si="6"/>
        <v>298201.83245912573</v>
      </c>
      <c r="L54" s="75">
        <v>400000</v>
      </c>
      <c r="M54" s="75">
        <f t="shared" si="3"/>
        <v>101798.16754087427</v>
      </c>
    </row>
    <row r="55" spans="5:13">
      <c r="E55">
        <v>52</v>
      </c>
      <c r="F55" s="77">
        <f t="shared" si="4"/>
        <v>1717.829193638845</v>
      </c>
      <c r="G55" s="77">
        <f t="shared" si="0"/>
        <v>1240.5271287530552</v>
      </c>
      <c r="H55" s="77">
        <f t="shared" si="5"/>
        <v>477.30206488578983</v>
      </c>
      <c r="I55" s="77">
        <f t="shared" si="1"/>
        <v>68294.156098706255</v>
      </c>
      <c r="J55" s="77">
        <f t="shared" si="2"/>
        <v>22750.791164152539</v>
      </c>
      <c r="K55" s="77">
        <f t="shared" si="6"/>
        <v>297726.51090073324</v>
      </c>
      <c r="L55" s="75">
        <v>400000</v>
      </c>
      <c r="M55" s="75">
        <f t="shared" si="3"/>
        <v>102273.48909926676</v>
      </c>
    </row>
    <row r="56" spans="5:13">
      <c r="E56">
        <v>53</v>
      </c>
      <c r="F56" s="77">
        <f t="shared" si="4"/>
        <v>1717.829193638845</v>
      </c>
      <c r="G56" s="77">
        <f t="shared" si="0"/>
        <v>1238.5383701493643</v>
      </c>
      <c r="H56" s="77">
        <f t="shared" si="5"/>
        <v>479.29082348948077</v>
      </c>
      <c r="I56" s="77">
        <f t="shared" si="1"/>
        <v>69532.694468855625</v>
      </c>
      <c r="J56" s="77">
        <f t="shared" si="2"/>
        <v>23230.081987642021</v>
      </c>
      <c r="K56" s="77">
        <f t="shared" si="6"/>
        <v>297249.20883584744</v>
      </c>
      <c r="L56" s="75">
        <v>400000</v>
      </c>
      <c r="M56" s="75">
        <f t="shared" si="3"/>
        <v>102750.79116415256</v>
      </c>
    </row>
    <row r="57" spans="5:13">
      <c r="E57">
        <v>54</v>
      </c>
      <c r="F57" s="77">
        <f t="shared" si="4"/>
        <v>1717.829193638845</v>
      </c>
      <c r="G57" s="77">
        <f t="shared" si="0"/>
        <v>1236.5413250514914</v>
      </c>
      <c r="H57" s="77">
        <f t="shared" si="5"/>
        <v>481.28786858735361</v>
      </c>
      <c r="I57" s="77">
        <f t="shared" si="1"/>
        <v>70769.235793907123</v>
      </c>
      <c r="J57" s="77">
        <f t="shared" si="2"/>
        <v>23711.369856229376</v>
      </c>
      <c r="K57" s="77">
        <f t="shared" si="6"/>
        <v>296769.91801235796</v>
      </c>
      <c r="L57" s="75">
        <v>400000</v>
      </c>
      <c r="M57" s="75">
        <f t="shared" si="3"/>
        <v>103230.08198764204</v>
      </c>
    </row>
    <row r="58" spans="5:13">
      <c r="E58">
        <v>55</v>
      </c>
      <c r="F58" s="77">
        <f t="shared" si="4"/>
        <v>1717.829193638845</v>
      </c>
      <c r="G58" s="77">
        <f t="shared" si="0"/>
        <v>1234.5359589323775</v>
      </c>
      <c r="H58" s="77">
        <f t="shared" si="5"/>
        <v>483.2932347064675</v>
      </c>
      <c r="I58" s="77">
        <f t="shared" si="1"/>
        <v>72003.771752839501</v>
      </c>
      <c r="J58" s="77">
        <f t="shared" si="2"/>
        <v>24194.663090935843</v>
      </c>
      <c r="K58" s="77">
        <f t="shared" si="6"/>
        <v>296288.6301437706</v>
      </c>
      <c r="L58" s="75">
        <v>400000</v>
      </c>
      <c r="M58" s="75">
        <f t="shared" si="3"/>
        <v>103711.3698562294</v>
      </c>
    </row>
    <row r="59" spans="5:13">
      <c r="E59">
        <v>56</v>
      </c>
      <c r="F59" s="77">
        <f t="shared" si="4"/>
        <v>1717.829193638845</v>
      </c>
      <c r="G59" s="77">
        <f t="shared" si="0"/>
        <v>1232.5222371211007</v>
      </c>
      <c r="H59" s="77">
        <f t="shared" si="5"/>
        <v>485.30695651774431</v>
      </c>
      <c r="I59" s="77">
        <f t="shared" si="1"/>
        <v>73236.293989960599</v>
      </c>
      <c r="J59" s="77">
        <f t="shared" si="2"/>
        <v>24679.970047453586</v>
      </c>
      <c r="K59" s="77">
        <f t="shared" si="6"/>
        <v>295805.33690906415</v>
      </c>
      <c r="L59" s="75">
        <v>400000</v>
      </c>
      <c r="M59" s="75">
        <f t="shared" si="3"/>
        <v>104194.66309093585</v>
      </c>
    </row>
    <row r="60" spans="5:13">
      <c r="E60">
        <v>57</v>
      </c>
      <c r="F60" s="77">
        <f t="shared" si="4"/>
        <v>1717.829193638845</v>
      </c>
      <c r="G60" s="77">
        <f t="shared" si="0"/>
        <v>1230.5001248022768</v>
      </c>
      <c r="H60" s="77">
        <f t="shared" si="5"/>
        <v>487.32906883656824</v>
      </c>
      <c r="I60" s="77">
        <f t="shared" si="1"/>
        <v>74466.794114762874</v>
      </c>
      <c r="J60" s="77">
        <f t="shared" si="2"/>
        <v>25167.299116290153</v>
      </c>
      <c r="K60" s="77">
        <f t="shared" si="6"/>
        <v>295320.02995254641</v>
      </c>
      <c r="L60" s="75">
        <v>400000</v>
      </c>
      <c r="M60" s="75">
        <f t="shared" si="3"/>
        <v>104679.97004745359</v>
      </c>
    </row>
    <row r="61" spans="5:13">
      <c r="E61">
        <v>58</v>
      </c>
      <c r="F61" s="77">
        <f t="shared" si="4"/>
        <v>1717.829193638845</v>
      </c>
      <c r="G61" s="77">
        <f t="shared" si="0"/>
        <v>1228.4695870154576</v>
      </c>
      <c r="H61" s="77">
        <f t="shared" si="5"/>
        <v>489.35960662338744</v>
      </c>
      <c r="I61" s="77">
        <f t="shared" si="1"/>
        <v>75695.263701778327</v>
      </c>
      <c r="J61" s="77">
        <f t="shared" si="2"/>
        <v>25656.65872291354</v>
      </c>
      <c r="K61" s="77">
        <f t="shared" si="6"/>
        <v>294832.70088370983</v>
      </c>
      <c r="L61" s="75">
        <v>400000</v>
      </c>
      <c r="M61" s="75">
        <f t="shared" si="3"/>
        <v>105167.29911629017</v>
      </c>
    </row>
    <row r="62" spans="5:13">
      <c r="E62">
        <v>59</v>
      </c>
      <c r="F62" s="77">
        <f t="shared" si="4"/>
        <v>1717.829193638845</v>
      </c>
      <c r="G62" s="77">
        <f t="shared" si="0"/>
        <v>1226.4305886545269</v>
      </c>
      <c r="H62" s="77">
        <f t="shared" si="5"/>
        <v>491.39860498431813</v>
      </c>
      <c r="I62" s="77">
        <f t="shared" si="1"/>
        <v>76921.694290432861</v>
      </c>
      <c r="J62" s="77">
        <f t="shared" si="2"/>
        <v>26148.057327897859</v>
      </c>
      <c r="K62" s="77">
        <f t="shared" si="6"/>
        <v>294343.34127708647</v>
      </c>
      <c r="L62" s="75">
        <v>400000</v>
      </c>
      <c r="M62" s="75">
        <f t="shared" si="3"/>
        <v>105656.65872291353</v>
      </c>
    </row>
    <row r="63" spans="5:13">
      <c r="E63">
        <v>60</v>
      </c>
      <c r="F63" s="77">
        <f t="shared" si="4"/>
        <v>1717.829193638845</v>
      </c>
      <c r="G63" s="77">
        <f t="shared" si="0"/>
        <v>1224.3830944670922</v>
      </c>
      <c r="H63" s="77">
        <f t="shared" si="5"/>
        <v>493.44609917175285</v>
      </c>
      <c r="I63" s="77">
        <f t="shared" si="1"/>
        <v>78146.077384899952</v>
      </c>
      <c r="J63" s="77">
        <f t="shared" si="2"/>
        <v>26641.503427069612</v>
      </c>
      <c r="K63" s="77">
        <f t="shared" si="6"/>
        <v>293851.94267210213</v>
      </c>
      <c r="L63" s="75">
        <v>400000</v>
      </c>
      <c r="M63" s="75">
        <f t="shared" si="3"/>
        <v>106148.05732789787</v>
      </c>
    </row>
    <row r="64" spans="5:13">
      <c r="E64">
        <v>61</v>
      </c>
      <c r="F64" s="77">
        <f t="shared" si="4"/>
        <v>1717.829193638845</v>
      </c>
      <c r="G64" s="77">
        <f t="shared" si="0"/>
        <v>1222.3270690538766</v>
      </c>
      <c r="H64" s="77">
        <f t="shared" si="5"/>
        <v>495.50212458496844</v>
      </c>
      <c r="I64" s="77">
        <f t="shared" si="1"/>
        <v>79368.40445395383</v>
      </c>
      <c r="J64" s="77">
        <f t="shared" si="2"/>
        <v>27137.00555165458</v>
      </c>
      <c r="K64" s="77">
        <f t="shared" si="6"/>
        <v>293358.49657293037</v>
      </c>
      <c r="L64" s="75">
        <v>400000</v>
      </c>
      <c r="M64" s="75">
        <f t="shared" si="3"/>
        <v>106641.50342706963</v>
      </c>
    </row>
    <row r="65" spans="5:13">
      <c r="E65">
        <v>62</v>
      </c>
      <c r="F65" s="77">
        <f t="shared" si="4"/>
        <v>1717.829193638845</v>
      </c>
      <c r="G65" s="77">
        <f t="shared" si="0"/>
        <v>1220.2624768681058</v>
      </c>
      <c r="H65" s="77">
        <f t="shared" si="5"/>
        <v>497.56671677073928</v>
      </c>
      <c r="I65" s="77">
        <f t="shared" si="1"/>
        <v>80588.666930821943</v>
      </c>
      <c r="J65" s="77">
        <f t="shared" si="2"/>
        <v>27634.57226842532</v>
      </c>
      <c r="K65" s="77">
        <f t="shared" si="6"/>
        <v>292862.99444834539</v>
      </c>
      <c r="L65" s="75">
        <v>400000</v>
      </c>
      <c r="M65" s="75">
        <f t="shared" si="3"/>
        <v>107137.00555165461</v>
      </c>
    </row>
    <row r="66" spans="5:13">
      <c r="E66">
        <v>63</v>
      </c>
      <c r="F66" s="77">
        <f t="shared" si="4"/>
        <v>1717.829193638845</v>
      </c>
      <c r="G66" s="77">
        <f t="shared" si="0"/>
        <v>1218.1892822148943</v>
      </c>
      <c r="H66" s="77">
        <f t="shared" si="5"/>
        <v>499.63991142395071</v>
      </c>
      <c r="I66" s="77">
        <f t="shared" si="1"/>
        <v>81806.856213036837</v>
      </c>
      <c r="J66" s="77">
        <f t="shared" si="2"/>
        <v>28134.21217984927</v>
      </c>
      <c r="K66" s="77">
        <f t="shared" si="6"/>
        <v>292365.42773157463</v>
      </c>
      <c r="L66" s="75">
        <v>400000</v>
      </c>
      <c r="M66" s="75">
        <f t="shared" si="3"/>
        <v>107634.57226842537</v>
      </c>
    </row>
    <row r="67" spans="5:13">
      <c r="E67">
        <v>64</v>
      </c>
      <c r="F67" s="77">
        <f t="shared" si="4"/>
        <v>1717.829193638845</v>
      </c>
      <c r="G67" s="77">
        <f t="shared" ref="G67:G130" si="8">(B$5/B$7)*K67</f>
        <v>1216.1074492506277</v>
      </c>
      <c r="H67" s="77">
        <f t="shared" si="5"/>
        <v>501.7217443882173</v>
      </c>
      <c r="I67" s="77">
        <f t="shared" si="1"/>
        <v>83022.963662287468</v>
      </c>
      <c r="J67" s="77">
        <f t="shared" si="2"/>
        <v>28635.933924237488</v>
      </c>
      <c r="K67" s="77">
        <f t="shared" si="6"/>
        <v>291865.78782015067</v>
      </c>
      <c r="L67" s="75">
        <v>400000</v>
      </c>
      <c r="M67" s="75">
        <f t="shared" si="3"/>
        <v>108134.21217984933</v>
      </c>
    </row>
    <row r="68" spans="5:13">
      <c r="E68">
        <v>65</v>
      </c>
      <c r="F68" s="77">
        <f t="shared" si="4"/>
        <v>1717.829193638845</v>
      </c>
      <c r="G68" s="77">
        <f t="shared" si="8"/>
        <v>1214.0169419823435</v>
      </c>
      <c r="H68" s="77">
        <f t="shared" si="5"/>
        <v>503.81225165650153</v>
      </c>
      <c r="I68" s="77">
        <f t="shared" ref="I68:I131" si="9">I67+G68</f>
        <v>84236.980604269818</v>
      </c>
      <c r="J68" s="77">
        <f t="shared" ref="J68:J131" si="10">J67+H68</f>
        <v>29139.74617589399</v>
      </c>
      <c r="K68" s="77">
        <f t="shared" si="6"/>
        <v>291364.06607576244</v>
      </c>
      <c r="L68" s="75">
        <v>400000</v>
      </c>
      <c r="M68" s="75">
        <f t="shared" ref="M68:M131" si="11">L68-K68</f>
        <v>108635.93392423756</v>
      </c>
    </row>
    <row r="69" spans="5:13">
      <c r="E69">
        <v>66</v>
      </c>
      <c r="F69" s="77">
        <f t="shared" ref="F69:F132" si="12">F68</f>
        <v>1717.829193638845</v>
      </c>
      <c r="G69" s="77">
        <f t="shared" si="8"/>
        <v>1211.917724267108</v>
      </c>
      <c r="H69" s="77">
        <f t="shared" ref="H69:H132" si="13">F69-G69</f>
        <v>505.91146937173698</v>
      </c>
      <c r="I69" s="77">
        <f t="shared" si="9"/>
        <v>85448.898328536932</v>
      </c>
      <c r="J69" s="77">
        <f t="shared" si="10"/>
        <v>29645.657645265728</v>
      </c>
      <c r="K69" s="77">
        <f t="shared" ref="K69:K132" si="14">K68-H68</f>
        <v>290860.25382410595</v>
      </c>
      <c r="L69" s="75">
        <v>400000</v>
      </c>
      <c r="M69" s="75">
        <f t="shared" si="11"/>
        <v>109139.74617589405</v>
      </c>
    </row>
    <row r="70" spans="5:13">
      <c r="E70">
        <v>67</v>
      </c>
      <c r="F70" s="77">
        <f t="shared" si="12"/>
        <v>1717.829193638845</v>
      </c>
      <c r="G70" s="77">
        <f t="shared" si="8"/>
        <v>1209.8097598113925</v>
      </c>
      <c r="H70" s="77">
        <f t="shared" si="13"/>
        <v>508.01943382745253</v>
      </c>
      <c r="I70" s="77">
        <f t="shared" si="9"/>
        <v>86658.708088348329</v>
      </c>
      <c r="J70" s="77">
        <f t="shared" si="10"/>
        <v>30153.677079093181</v>
      </c>
      <c r="K70" s="77">
        <f t="shared" si="14"/>
        <v>290354.3423547342</v>
      </c>
      <c r="L70" s="75">
        <v>400000</v>
      </c>
      <c r="M70" s="75">
        <f t="shared" si="11"/>
        <v>109645.6576452658</v>
      </c>
    </row>
    <row r="71" spans="5:13">
      <c r="E71">
        <v>68</v>
      </c>
      <c r="F71" s="77">
        <f t="shared" si="12"/>
        <v>1717.829193638845</v>
      </c>
      <c r="G71" s="77">
        <f t="shared" si="8"/>
        <v>1207.6930121704449</v>
      </c>
      <c r="H71" s="77">
        <f t="shared" si="13"/>
        <v>510.13618146840008</v>
      </c>
      <c r="I71" s="77">
        <f t="shared" si="9"/>
        <v>87866.401100518779</v>
      </c>
      <c r="J71" s="77">
        <f t="shared" si="10"/>
        <v>30663.813260561579</v>
      </c>
      <c r="K71" s="77">
        <f t="shared" si="14"/>
        <v>289846.32292090676</v>
      </c>
      <c r="L71" s="75">
        <v>400000</v>
      </c>
      <c r="M71" s="75">
        <f t="shared" si="11"/>
        <v>110153.67707909324</v>
      </c>
    </row>
    <row r="72" spans="5:13">
      <c r="E72">
        <v>69</v>
      </c>
      <c r="F72" s="77">
        <f t="shared" si="12"/>
        <v>1717.829193638845</v>
      </c>
      <c r="G72" s="77">
        <f t="shared" si="8"/>
        <v>1205.5674447476599</v>
      </c>
      <c r="H72" s="77">
        <f t="shared" si="13"/>
        <v>512.26174889118511</v>
      </c>
      <c r="I72" s="77">
        <f t="shared" si="9"/>
        <v>89071.968545266442</v>
      </c>
      <c r="J72" s="77">
        <f t="shared" si="10"/>
        <v>31176.075009452765</v>
      </c>
      <c r="K72" s="77">
        <f t="shared" si="14"/>
        <v>289336.18673943839</v>
      </c>
      <c r="L72" s="75">
        <v>400000</v>
      </c>
      <c r="M72" s="75">
        <f t="shared" si="11"/>
        <v>110663.81326056161</v>
      </c>
    </row>
    <row r="73" spans="5:13">
      <c r="E73">
        <v>70</v>
      </c>
      <c r="F73" s="77">
        <f t="shared" si="12"/>
        <v>1717.829193638845</v>
      </c>
      <c r="G73" s="77">
        <f t="shared" si="8"/>
        <v>1203.4330207939465</v>
      </c>
      <c r="H73" s="77">
        <f t="shared" si="13"/>
        <v>514.3961728448985</v>
      </c>
      <c r="I73" s="77">
        <f t="shared" si="9"/>
        <v>90275.401566060391</v>
      </c>
      <c r="J73" s="77">
        <f t="shared" si="10"/>
        <v>31690.471182297664</v>
      </c>
      <c r="K73" s="77">
        <f t="shared" si="14"/>
        <v>288823.92499054718</v>
      </c>
      <c r="L73" s="75">
        <v>400000</v>
      </c>
      <c r="M73" s="75">
        <f t="shared" si="11"/>
        <v>111176.07500945282</v>
      </c>
    </row>
    <row r="74" spans="5:13">
      <c r="E74">
        <v>71</v>
      </c>
      <c r="F74" s="77">
        <f t="shared" si="12"/>
        <v>1717.829193638845</v>
      </c>
      <c r="G74" s="77">
        <f t="shared" si="8"/>
        <v>1201.2897034070927</v>
      </c>
      <c r="H74" s="77">
        <f t="shared" si="13"/>
        <v>516.53949023175232</v>
      </c>
      <c r="I74" s="77">
        <f t="shared" si="9"/>
        <v>91476.691269467483</v>
      </c>
      <c r="J74" s="77">
        <f t="shared" si="10"/>
        <v>32207.010672529417</v>
      </c>
      <c r="K74" s="77">
        <f t="shared" si="14"/>
        <v>288309.52881770226</v>
      </c>
      <c r="L74" s="75">
        <v>400000</v>
      </c>
      <c r="M74" s="75">
        <f t="shared" si="11"/>
        <v>111690.47118229774</v>
      </c>
    </row>
    <row r="75" spans="5:13">
      <c r="E75">
        <v>72</v>
      </c>
      <c r="F75" s="77">
        <f t="shared" si="12"/>
        <v>1717.829193638845</v>
      </c>
      <c r="G75" s="77">
        <f t="shared" si="8"/>
        <v>1199.137455531127</v>
      </c>
      <c r="H75" s="77">
        <f t="shared" si="13"/>
        <v>518.69173810771804</v>
      </c>
      <c r="I75" s="77">
        <f t="shared" si="9"/>
        <v>92675.828724998617</v>
      </c>
      <c r="J75" s="77">
        <f t="shared" si="10"/>
        <v>32725.702410637135</v>
      </c>
      <c r="K75" s="77">
        <f t="shared" si="14"/>
        <v>287792.98932747048</v>
      </c>
      <c r="L75" s="75">
        <v>400000</v>
      </c>
      <c r="M75" s="75">
        <f t="shared" si="11"/>
        <v>112207.01067252952</v>
      </c>
    </row>
    <row r="76" spans="5:13">
      <c r="E76">
        <v>73</v>
      </c>
      <c r="F76" s="77">
        <f t="shared" si="12"/>
        <v>1717.829193638845</v>
      </c>
      <c r="G76" s="77">
        <f t="shared" si="8"/>
        <v>1196.9762399556782</v>
      </c>
      <c r="H76" s="77">
        <f t="shared" si="13"/>
        <v>520.85295368316679</v>
      </c>
      <c r="I76" s="77">
        <f t="shared" si="9"/>
        <v>93872.804964954295</v>
      </c>
      <c r="J76" s="77">
        <f t="shared" si="10"/>
        <v>33246.555364320302</v>
      </c>
      <c r="K76" s="77">
        <f t="shared" si="14"/>
        <v>287274.29758936277</v>
      </c>
      <c r="L76" s="75">
        <v>400000</v>
      </c>
      <c r="M76" s="75">
        <f t="shared" si="11"/>
        <v>112725.70241063723</v>
      </c>
    </row>
    <row r="77" spans="5:13">
      <c r="E77">
        <v>74</v>
      </c>
      <c r="F77" s="77">
        <f t="shared" si="12"/>
        <v>1717.829193638845</v>
      </c>
      <c r="G77" s="77">
        <f t="shared" si="8"/>
        <v>1194.8060193153317</v>
      </c>
      <c r="H77" s="77">
        <f t="shared" si="13"/>
        <v>523.02317432351333</v>
      </c>
      <c r="I77" s="77">
        <f t="shared" si="9"/>
        <v>95067.610984269631</v>
      </c>
      <c r="J77" s="77">
        <f t="shared" si="10"/>
        <v>33769.578538643815</v>
      </c>
      <c r="K77" s="77">
        <f t="shared" si="14"/>
        <v>286753.4446356796</v>
      </c>
      <c r="L77" s="75">
        <v>400000</v>
      </c>
      <c r="M77" s="75">
        <f t="shared" si="11"/>
        <v>113246.5553643204</v>
      </c>
    </row>
    <row r="78" spans="5:13">
      <c r="E78">
        <v>75</v>
      </c>
      <c r="F78" s="77">
        <f t="shared" si="12"/>
        <v>1717.829193638845</v>
      </c>
      <c r="G78" s="77">
        <f t="shared" si="8"/>
        <v>1192.6267560889837</v>
      </c>
      <c r="H78" s="77">
        <f t="shared" si="13"/>
        <v>525.20243754986132</v>
      </c>
      <c r="I78" s="77">
        <f t="shared" si="9"/>
        <v>96260.237740358614</v>
      </c>
      <c r="J78" s="77">
        <f t="shared" si="10"/>
        <v>34294.780976193673</v>
      </c>
      <c r="K78" s="77">
        <f t="shared" si="14"/>
        <v>286230.42146135611</v>
      </c>
      <c r="L78" s="75">
        <v>400000</v>
      </c>
      <c r="M78" s="75">
        <f t="shared" si="11"/>
        <v>113769.57853864389</v>
      </c>
    </row>
    <row r="79" spans="5:13">
      <c r="E79">
        <v>76</v>
      </c>
      <c r="F79" s="77">
        <f t="shared" si="12"/>
        <v>1717.829193638845</v>
      </c>
      <c r="G79" s="77">
        <f t="shared" si="8"/>
        <v>1190.4384125991926</v>
      </c>
      <c r="H79" s="77">
        <f t="shared" si="13"/>
        <v>527.39078103965244</v>
      </c>
      <c r="I79" s="77">
        <f t="shared" si="9"/>
        <v>97450.676152957807</v>
      </c>
      <c r="J79" s="77">
        <f t="shared" si="10"/>
        <v>34822.171757233329</v>
      </c>
      <c r="K79" s="77">
        <f t="shared" si="14"/>
        <v>285705.21902380622</v>
      </c>
      <c r="L79" s="75">
        <v>400000</v>
      </c>
      <c r="M79" s="75">
        <f t="shared" si="11"/>
        <v>114294.78097619378</v>
      </c>
    </row>
    <row r="80" spans="5:13">
      <c r="E80">
        <v>77</v>
      </c>
      <c r="F80" s="77">
        <f t="shared" si="12"/>
        <v>1717.829193638845</v>
      </c>
      <c r="G80" s="77">
        <f t="shared" si="8"/>
        <v>1188.2409510115274</v>
      </c>
      <c r="H80" s="77">
        <f t="shared" si="13"/>
        <v>529.58824262731764</v>
      </c>
      <c r="I80" s="77">
        <f t="shared" si="9"/>
        <v>98638.917103969332</v>
      </c>
      <c r="J80" s="77">
        <f t="shared" si="10"/>
        <v>35351.759999860646</v>
      </c>
      <c r="K80" s="77">
        <f t="shared" si="14"/>
        <v>285177.82824276655</v>
      </c>
      <c r="L80" s="75">
        <v>400000</v>
      </c>
      <c r="M80" s="75">
        <f t="shared" si="11"/>
        <v>114822.17175723345</v>
      </c>
    </row>
    <row r="81" spans="5:13">
      <c r="E81">
        <v>78</v>
      </c>
      <c r="F81" s="77">
        <f t="shared" si="12"/>
        <v>1717.829193638845</v>
      </c>
      <c r="G81" s="77">
        <f t="shared" si="8"/>
        <v>1186.0343333339133</v>
      </c>
      <c r="H81" s="77">
        <f t="shared" si="13"/>
        <v>531.79486030493172</v>
      </c>
      <c r="I81" s="77">
        <f t="shared" si="9"/>
        <v>99824.951437303243</v>
      </c>
      <c r="J81" s="77">
        <f t="shared" si="10"/>
        <v>35883.554860165576</v>
      </c>
      <c r="K81" s="77">
        <f t="shared" si="14"/>
        <v>284648.24000013922</v>
      </c>
      <c r="L81" s="75">
        <v>400000</v>
      </c>
      <c r="M81" s="75">
        <f t="shared" si="11"/>
        <v>115351.75999986078</v>
      </c>
    </row>
    <row r="82" spans="5:13">
      <c r="E82">
        <v>79</v>
      </c>
      <c r="F82" s="77">
        <f t="shared" si="12"/>
        <v>1717.829193638845</v>
      </c>
      <c r="G82" s="77">
        <f t="shared" si="8"/>
        <v>1183.8185214159762</v>
      </c>
      <c r="H82" s="77">
        <f t="shared" si="13"/>
        <v>534.01067222286883</v>
      </c>
      <c r="I82" s="77">
        <f t="shared" si="9"/>
        <v>101008.76995871922</v>
      </c>
      <c r="J82" s="77">
        <f t="shared" si="10"/>
        <v>36417.565532388442</v>
      </c>
      <c r="K82" s="77">
        <f t="shared" si="14"/>
        <v>284116.44513983431</v>
      </c>
      <c r="L82" s="75">
        <v>400000</v>
      </c>
      <c r="M82" s="75">
        <f t="shared" si="11"/>
        <v>115883.55486016569</v>
      </c>
    </row>
    <row r="83" spans="5:13">
      <c r="E83">
        <v>80</v>
      </c>
      <c r="F83" s="77">
        <f t="shared" si="12"/>
        <v>1717.829193638845</v>
      </c>
      <c r="G83" s="77">
        <f t="shared" si="8"/>
        <v>1181.5934769483808</v>
      </c>
      <c r="H83" s="77">
        <f t="shared" si="13"/>
        <v>536.23571669046419</v>
      </c>
      <c r="I83" s="77">
        <f t="shared" si="9"/>
        <v>102190.3634356676</v>
      </c>
      <c r="J83" s="77">
        <f t="shared" si="10"/>
        <v>36953.801249078904</v>
      </c>
      <c r="K83" s="77">
        <f t="shared" si="14"/>
        <v>283582.43446761143</v>
      </c>
      <c r="L83" s="75">
        <v>400000</v>
      </c>
      <c r="M83" s="75">
        <f t="shared" si="11"/>
        <v>116417.56553238857</v>
      </c>
    </row>
    <row r="84" spans="5:13">
      <c r="E84">
        <v>81</v>
      </c>
      <c r="F84" s="77">
        <f t="shared" si="12"/>
        <v>1717.829193638845</v>
      </c>
      <c r="G84" s="77">
        <f t="shared" si="8"/>
        <v>1179.3591614621705</v>
      </c>
      <c r="H84" s="77">
        <f t="shared" si="13"/>
        <v>538.47003217667452</v>
      </c>
      <c r="I84" s="77">
        <f t="shared" si="9"/>
        <v>103369.72259712977</v>
      </c>
      <c r="J84" s="77">
        <f t="shared" si="10"/>
        <v>37492.271281255576</v>
      </c>
      <c r="K84" s="77">
        <f t="shared" si="14"/>
        <v>283046.19875092094</v>
      </c>
      <c r="L84" s="75">
        <v>400000</v>
      </c>
      <c r="M84" s="75">
        <f t="shared" si="11"/>
        <v>116953.80124907906</v>
      </c>
    </row>
    <row r="85" spans="5:13">
      <c r="E85">
        <v>82</v>
      </c>
      <c r="F85" s="77">
        <f t="shared" si="12"/>
        <v>1717.829193638845</v>
      </c>
      <c r="G85" s="77">
        <f t="shared" si="8"/>
        <v>1177.1155363281009</v>
      </c>
      <c r="H85" s="77">
        <f t="shared" si="13"/>
        <v>540.71365731074411</v>
      </c>
      <c r="I85" s="77">
        <f t="shared" si="9"/>
        <v>104546.83813345787</v>
      </c>
      <c r="J85" s="77">
        <f t="shared" si="10"/>
        <v>38032.984938566318</v>
      </c>
      <c r="K85" s="77">
        <f t="shared" si="14"/>
        <v>282507.72871874424</v>
      </c>
      <c r="L85" s="75">
        <v>400000</v>
      </c>
      <c r="M85" s="75">
        <f t="shared" si="11"/>
        <v>117492.27128125576</v>
      </c>
    </row>
    <row r="86" spans="5:13">
      <c r="E86">
        <v>83</v>
      </c>
      <c r="F86" s="77">
        <f t="shared" si="12"/>
        <v>1717.829193638845</v>
      </c>
      <c r="G86" s="77">
        <f t="shared" si="8"/>
        <v>1174.8625627559729</v>
      </c>
      <c r="H86" s="77">
        <f t="shared" si="13"/>
        <v>542.9666308828721</v>
      </c>
      <c r="I86" s="77">
        <f t="shared" si="9"/>
        <v>105721.70069621384</v>
      </c>
      <c r="J86" s="77">
        <f t="shared" si="10"/>
        <v>38575.951569449193</v>
      </c>
      <c r="K86" s="77">
        <f t="shared" si="14"/>
        <v>281967.01506143349</v>
      </c>
      <c r="L86" s="75">
        <v>400000</v>
      </c>
      <c r="M86" s="75">
        <f t="shared" si="11"/>
        <v>118032.98493856651</v>
      </c>
    </row>
    <row r="87" spans="5:13">
      <c r="E87">
        <v>84</v>
      </c>
      <c r="F87" s="77">
        <f t="shared" si="12"/>
        <v>1717.829193638845</v>
      </c>
      <c r="G87" s="77">
        <f t="shared" si="8"/>
        <v>1172.6002017939609</v>
      </c>
      <c r="H87" s="77">
        <f t="shared" si="13"/>
        <v>545.22899184488415</v>
      </c>
      <c r="I87" s="77">
        <f t="shared" si="9"/>
        <v>106894.3008980078</v>
      </c>
      <c r="J87" s="77">
        <f t="shared" si="10"/>
        <v>39121.180561294081</v>
      </c>
      <c r="K87" s="77">
        <f t="shared" si="14"/>
        <v>281424.04843055061</v>
      </c>
      <c r="L87" s="75">
        <v>400000</v>
      </c>
      <c r="M87" s="75">
        <f t="shared" si="11"/>
        <v>118575.95156944939</v>
      </c>
    </row>
    <row r="88" spans="5:13">
      <c r="E88">
        <v>85</v>
      </c>
      <c r="F88" s="77">
        <f t="shared" si="12"/>
        <v>1717.829193638845</v>
      </c>
      <c r="G88" s="77">
        <f t="shared" si="8"/>
        <v>1170.3284143279407</v>
      </c>
      <c r="H88" s="77">
        <f t="shared" si="13"/>
        <v>547.50077931090436</v>
      </c>
      <c r="I88" s="77">
        <f t="shared" si="9"/>
        <v>108064.62931233575</v>
      </c>
      <c r="J88" s="77">
        <f t="shared" si="10"/>
        <v>39668.681340604984</v>
      </c>
      <c r="K88" s="77">
        <f t="shared" si="14"/>
        <v>280878.81943870574</v>
      </c>
      <c r="L88" s="75">
        <v>400000</v>
      </c>
      <c r="M88" s="75">
        <f t="shared" si="11"/>
        <v>119121.18056129426</v>
      </c>
    </row>
    <row r="89" spans="5:13">
      <c r="E89">
        <v>86</v>
      </c>
      <c r="F89" s="77">
        <f t="shared" si="12"/>
        <v>1717.829193638845</v>
      </c>
      <c r="G89" s="77">
        <f t="shared" si="8"/>
        <v>1168.047161080812</v>
      </c>
      <c r="H89" s="77">
        <f t="shared" si="13"/>
        <v>549.78203255803305</v>
      </c>
      <c r="I89" s="77">
        <f t="shared" si="9"/>
        <v>109232.67647341656</v>
      </c>
      <c r="J89" s="77">
        <f t="shared" si="10"/>
        <v>40218.463373163017</v>
      </c>
      <c r="K89" s="77">
        <f t="shared" si="14"/>
        <v>280331.31865939486</v>
      </c>
      <c r="L89" s="75">
        <v>400000</v>
      </c>
      <c r="M89" s="75">
        <f t="shared" si="11"/>
        <v>119668.68134060514</v>
      </c>
    </row>
    <row r="90" spans="5:13">
      <c r="E90">
        <v>87</v>
      </c>
      <c r="F90" s="77">
        <f t="shared" si="12"/>
        <v>1717.829193638845</v>
      </c>
      <c r="G90" s="77">
        <f t="shared" si="8"/>
        <v>1165.75640261182</v>
      </c>
      <c r="H90" s="77">
        <f t="shared" si="13"/>
        <v>552.072791027025</v>
      </c>
      <c r="I90" s="77">
        <f t="shared" si="9"/>
        <v>110398.43287602838</v>
      </c>
      <c r="J90" s="77">
        <f t="shared" si="10"/>
        <v>40770.536164190038</v>
      </c>
      <c r="K90" s="77">
        <f t="shared" si="14"/>
        <v>279781.53662683681</v>
      </c>
      <c r="L90" s="75">
        <v>400000</v>
      </c>
      <c r="M90" s="75">
        <f t="shared" si="11"/>
        <v>120218.46337316319</v>
      </c>
    </row>
    <row r="91" spans="5:13">
      <c r="E91">
        <v>88</v>
      </c>
      <c r="F91" s="77">
        <f t="shared" si="12"/>
        <v>1717.829193638845</v>
      </c>
      <c r="G91" s="77">
        <f t="shared" si="8"/>
        <v>1163.4560993158741</v>
      </c>
      <c r="H91" s="77">
        <f t="shared" si="13"/>
        <v>554.37309432297093</v>
      </c>
      <c r="I91" s="77">
        <f t="shared" si="9"/>
        <v>111561.88897534426</v>
      </c>
      <c r="J91" s="77">
        <f t="shared" si="10"/>
        <v>41324.909258513006</v>
      </c>
      <c r="K91" s="77">
        <f t="shared" si="14"/>
        <v>279229.46383580979</v>
      </c>
      <c r="L91" s="75">
        <v>400000</v>
      </c>
      <c r="M91" s="75">
        <f t="shared" si="11"/>
        <v>120770.53616419021</v>
      </c>
    </row>
    <row r="92" spans="5:13">
      <c r="E92">
        <v>89</v>
      </c>
      <c r="F92" s="77">
        <f t="shared" si="12"/>
        <v>1717.829193638845</v>
      </c>
      <c r="G92" s="77">
        <f t="shared" si="8"/>
        <v>1161.1462114228616</v>
      </c>
      <c r="H92" s="77">
        <f t="shared" si="13"/>
        <v>556.68298221598343</v>
      </c>
      <c r="I92" s="77">
        <f t="shared" si="9"/>
        <v>112723.03518676713</v>
      </c>
      <c r="J92" s="77">
        <f t="shared" si="10"/>
        <v>41881.592240728991</v>
      </c>
      <c r="K92" s="77">
        <f t="shared" si="14"/>
        <v>278675.09074148681</v>
      </c>
      <c r="L92" s="75">
        <v>400000</v>
      </c>
      <c r="M92" s="75">
        <f t="shared" si="11"/>
        <v>121324.90925851319</v>
      </c>
    </row>
    <row r="93" spans="5:13">
      <c r="E93">
        <v>90</v>
      </c>
      <c r="F93" s="77">
        <f t="shared" si="12"/>
        <v>1717.829193638845</v>
      </c>
      <c r="G93" s="77">
        <f t="shared" si="8"/>
        <v>1158.8266989969616</v>
      </c>
      <c r="H93" s="77">
        <f t="shared" si="13"/>
        <v>559.00249464188346</v>
      </c>
      <c r="I93" s="77">
        <f t="shared" si="9"/>
        <v>113881.86188576408</v>
      </c>
      <c r="J93" s="77">
        <f t="shared" si="10"/>
        <v>42440.594735370876</v>
      </c>
      <c r="K93" s="77">
        <f t="shared" si="14"/>
        <v>278118.40775927081</v>
      </c>
      <c r="L93" s="75">
        <v>400000</v>
      </c>
      <c r="M93" s="75">
        <f t="shared" si="11"/>
        <v>121881.59224072919</v>
      </c>
    </row>
    <row r="94" spans="5:13">
      <c r="E94">
        <v>91</v>
      </c>
      <c r="F94" s="77">
        <f t="shared" si="12"/>
        <v>1717.829193638845</v>
      </c>
      <c r="G94" s="77">
        <f t="shared" si="8"/>
        <v>1156.497521935954</v>
      </c>
      <c r="H94" s="77">
        <f t="shared" si="13"/>
        <v>561.33167170289107</v>
      </c>
      <c r="I94" s="77">
        <f t="shared" si="9"/>
        <v>115038.35940770003</v>
      </c>
      <c r="J94" s="77">
        <f t="shared" si="10"/>
        <v>43001.92640707377</v>
      </c>
      <c r="K94" s="77">
        <f t="shared" si="14"/>
        <v>277559.40526462893</v>
      </c>
      <c r="L94" s="75">
        <v>400000</v>
      </c>
      <c r="M94" s="75">
        <f t="shared" si="11"/>
        <v>122440.59473537107</v>
      </c>
    </row>
    <row r="95" spans="5:13">
      <c r="E95">
        <v>92</v>
      </c>
      <c r="F95" s="77">
        <f t="shared" si="12"/>
        <v>1717.829193638845</v>
      </c>
      <c r="G95" s="77">
        <f t="shared" si="8"/>
        <v>1154.1586399705252</v>
      </c>
      <c r="H95" s="77">
        <f t="shared" si="13"/>
        <v>563.67055366831983</v>
      </c>
      <c r="I95" s="77">
        <f t="shared" si="9"/>
        <v>116192.51804767056</v>
      </c>
      <c r="J95" s="77">
        <f t="shared" si="10"/>
        <v>43565.596960742092</v>
      </c>
      <c r="K95" s="77">
        <f t="shared" si="14"/>
        <v>276998.07359292603</v>
      </c>
      <c r="L95" s="75">
        <v>400000</v>
      </c>
      <c r="M95" s="75">
        <f t="shared" si="11"/>
        <v>123001.92640707397</v>
      </c>
    </row>
    <row r="96" spans="5:13">
      <c r="E96">
        <v>93</v>
      </c>
      <c r="F96" s="77">
        <f t="shared" si="12"/>
        <v>1717.829193638845</v>
      </c>
      <c r="G96" s="77">
        <f t="shared" si="8"/>
        <v>1151.8100126635736</v>
      </c>
      <c r="H96" s="77">
        <f t="shared" si="13"/>
        <v>566.01918097527141</v>
      </c>
      <c r="I96" s="77">
        <f t="shared" si="9"/>
        <v>117344.32806033413</v>
      </c>
      <c r="J96" s="77">
        <f t="shared" si="10"/>
        <v>44131.616141717364</v>
      </c>
      <c r="K96" s="77">
        <f t="shared" si="14"/>
        <v>276434.40303925768</v>
      </c>
      <c r="L96" s="75">
        <v>400000</v>
      </c>
      <c r="M96" s="75">
        <f t="shared" si="11"/>
        <v>123565.59696074232</v>
      </c>
    </row>
    <row r="97" spans="5:13">
      <c r="E97">
        <v>94</v>
      </c>
      <c r="F97" s="77">
        <f t="shared" si="12"/>
        <v>1717.829193638845</v>
      </c>
      <c r="G97" s="77">
        <f t="shared" si="8"/>
        <v>1149.45159940951</v>
      </c>
      <c r="H97" s="77">
        <f t="shared" si="13"/>
        <v>568.37759422933505</v>
      </c>
      <c r="I97" s="77">
        <f t="shared" si="9"/>
        <v>118493.77965974364</v>
      </c>
      <c r="J97" s="77">
        <f t="shared" si="10"/>
        <v>44699.9937359467</v>
      </c>
      <c r="K97" s="77">
        <f t="shared" si="14"/>
        <v>275868.38385828241</v>
      </c>
      <c r="L97" s="75">
        <v>400000</v>
      </c>
      <c r="M97" s="75">
        <f t="shared" si="11"/>
        <v>124131.61614171759</v>
      </c>
    </row>
    <row r="98" spans="5:13">
      <c r="E98">
        <v>95</v>
      </c>
      <c r="F98" s="77">
        <f t="shared" si="12"/>
        <v>1717.829193638845</v>
      </c>
      <c r="G98" s="77">
        <f t="shared" si="8"/>
        <v>1147.0833594335543</v>
      </c>
      <c r="H98" s="77">
        <f t="shared" si="13"/>
        <v>570.74583420529075</v>
      </c>
      <c r="I98" s="77">
        <f t="shared" si="9"/>
        <v>119640.8630191772</v>
      </c>
      <c r="J98" s="77">
        <f t="shared" si="10"/>
        <v>45270.739570151993</v>
      </c>
      <c r="K98" s="77">
        <f t="shared" si="14"/>
        <v>275300.00626405305</v>
      </c>
      <c r="L98" s="75">
        <v>400000</v>
      </c>
      <c r="M98" s="75">
        <f t="shared" si="11"/>
        <v>124699.99373594695</v>
      </c>
    </row>
    <row r="99" spans="5:13">
      <c r="E99">
        <v>96</v>
      </c>
      <c r="F99" s="77">
        <f t="shared" si="12"/>
        <v>1717.829193638845</v>
      </c>
      <c r="G99" s="77">
        <f t="shared" si="8"/>
        <v>1144.7052517910322</v>
      </c>
      <c r="H99" s="77">
        <f t="shared" si="13"/>
        <v>573.12394184781283</v>
      </c>
      <c r="I99" s="77">
        <f t="shared" si="9"/>
        <v>120785.56827096823</v>
      </c>
      <c r="J99" s="77">
        <f t="shared" si="10"/>
        <v>45843.863511999807</v>
      </c>
      <c r="K99" s="77">
        <f t="shared" si="14"/>
        <v>274729.26042984775</v>
      </c>
      <c r="L99" s="75">
        <v>400000</v>
      </c>
      <c r="M99" s="75">
        <f t="shared" si="11"/>
        <v>125270.73957015225</v>
      </c>
    </row>
    <row r="100" spans="5:13">
      <c r="E100">
        <v>97</v>
      </c>
      <c r="F100" s="77">
        <f t="shared" si="12"/>
        <v>1717.829193638845</v>
      </c>
      <c r="G100" s="77">
        <f t="shared" si="8"/>
        <v>1142.3172353666664</v>
      </c>
      <c r="H100" s="77">
        <f t="shared" si="13"/>
        <v>575.51195827217862</v>
      </c>
      <c r="I100" s="77">
        <f t="shared" si="9"/>
        <v>121927.88550633489</v>
      </c>
      <c r="J100" s="77">
        <f t="shared" si="10"/>
        <v>46419.375470271989</v>
      </c>
      <c r="K100" s="77">
        <f t="shared" si="14"/>
        <v>274156.13648799993</v>
      </c>
      <c r="L100" s="75">
        <v>400000</v>
      </c>
      <c r="M100" s="75">
        <f t="shared" si="11"/>
        <v>125843.86351200007</v>
      </c>
    </row>
    <row r="101" spans="5:13">
      <c r="E101">
        <v>98</v>
      </c>
      <c r="F101" s="77">
        <f t="shared" si="12"/>
        <v>1717.829193638845</v>
      </c>
      <c r="G101" s="77">
        <f t="shared" si="8"/>
        <v>1139.9192688738656</v>
      </c>
      <c r="H101" s="77">
        <f t="shared" si="13"/>
        <v>577.90992476497945</v>
      </c>
      <c r="I101" s="77">
        <f t="shared" si="9"/>
        <v>123067.80477520876</v>
      </c>
      <c r="J101" s="77">
        <f t="shared" si="10"/>
        <v>46997.285395036968</v>
      </c>
      <c r="K101" s="77">
        <f t="shared" si="14"/>
        <v>273580.62452972773</v>
      </c>
      <c r="L101" s="75">
        <v>400000</v>
      </c>
      <c r="M101" s="75">
        <f t="shared" si="11"/>
        <v>126419.37547027227</v>
      </c>
    </row>
    <row r="102" spans="5:13">
      <c r="E102">
        <v>99</v>
      </c>
      <c r="F102" s="77">
        <f t="shared" si="12"/>
        <v>1717.829193638845</v>
      </c>
      <c r="G102" s="77">
        <f t="shared" si="8"/>
        <v>1137.5113108540113</v>
      </c>
      <c r="H102" s="77">
        <f t="shared" si="13"/>
        <v>580.31788278483373</v>
      </c>
      <c r="I102" s="77">
        <f t="shared" si="9"/>
        <v>124205.31608606277</v>
      </c>
      <c r="J102" s="77">
        <f t="shared" si="10"/>
        <v>47577.6032778218</v>
      </c>
      <c r="K102" s="77">
        <f t="shared" si="14"/>
        <v>273002.71460496273</v>
      </c>
      <c r="L102" s="75">
        <v>400000</v>
      </c>
      <c r="M102" s="75">
        <f t="shared" si="11"/>
        <v>126997.28539503727</v>
      </c>
    </row>
    <row r="103" spans="5:13">
      <c r="E103">
        <v>100</v>
      </c>
      <c r="F103" s="77">
        <f t="shared" si="12"/>
        <v>1717.829193638845</v>
      </c>
      <c r="G103" s="77">
        <f t="shared" si="8"/>
        <v>1135.0933196757412</v>
      </c>
      <c r="H103" s="77">
        <f t="shared" si="13"/>
        <v>582.73587396310381</v>
      </c>
      <c r="I103" s="77">
        <f t="shared" si="9"/>
        <v>125340.40940573851</v>
      </c>
      <c r="J103" s="77">
        <f t="shared" si="10"/>
        <v>48160.339151784901</v>
      </c>
      <c r="K103" s="77">
        <f t="shared" si="14"/>
        <v>272422.39672217792</v>
      </c>
      <c r="L103" s="75">
        <v>400000</v>
      </c>
      <c r="M103" s="75">
        <f t="shared" si="11"/>
        <v>127577.60327782208</v>
      </c>
    </row>
    <row r="104" spans="5:13">
      <c r="E104">
        <v>101</v>
      </c>
      <c r="F104" s="77">
        <f t="shared" si="12"/>
        <v>1717.829193638845</v>
      </c>
      <c r="G104" s="77">
        <f t="shared" si="8"/>
        <v>1132.6652535342284</v>
      </c>
      <c r="H104" s="77">
        <f t="shared" si="13"/>
        <v>585.16394010461659</v>
      </c>
      <c r="I104" s="77">
        <f t="shared" si="9"/>
        <v>126473.07465927274</v>
      </c>
      <c r="J104" s="77">
        <f t="shared" si="10"/>
        <v>48745.503091889521</v>
      </c>
      <c r="K104" s="77">
        <f t="shared" si="14"/>
        <v>271839.66084821481</v>
      </c>
      <c r="L104" s="75">
        <v>400000</v>
      </c>
      <c r="M104" s="75">
        <f t="shared" si="11"/>
        <v>128160.33915178519</v>
      </c>
    </row>
    <row r="105" spans="5:13">
      <c r="E105">
        <v>102</v>
      </c>
      <c r="F105" s="77">
        <f t="shared" si="12"/>
        <v>1717.829193638845</v>
      </c>
      <c r="G105" s="77">
        <f t="shared" si="8"/>
        <v>1130.2270704504592</v>
      </c>
      <c r="H105" s="77">
        <f t="shared" si="13"/>
        <v>587.6021231883858</v>
      </c>
      <c r="I105" s="77">
        <f t="shared" si="9"/>
        <v>127603.3017297232</v>
      </c>
      <c r="J105" s="77">
        <f t="shared" si="10"/>
        <v>49333.105215077907</v>
      </c>
      <c r="K105" s="77">
        <f t="shared" si="14"/>
        <v>271254.49690811022</v>
      </c>
      <c r="L105" s="75">
        <v>400000</v>
      </c>
      <c r="M105" s="75">
        <f t="shared" si="11"/>
        <v>128745.50309188978</v>
      </c>
    </row>
    <row r="106" spans="5:13">
      <c r="E106">
        <v>103</v>
      </c>
      <c r="F106" s="77">
        <f t="shared" si="12"/>
        <v>1717.829193638845</v>
      </c>
      <c r="G106" s="77">
        <f t="shared" si="8"/>
        <v>1127.7787282705076</v>
      </c>
      <c r="H106" s="77">
        <f t="shared" si="13"/>
        <v>590.05046536833743</v>
      </c>
      <c r="I106" s="77">
        <f t="shared" si="9"/>
        <v>128731.08045799371</v>
      </c>
      <c r="J106" s="77">
        <f t="shared" si="10"/>
        <v>49923.155680446245</v>
      </c>
      <c r="K106" s="77">
        <f t="shared" si="14"/>
        <v>270666.89478492184</v>
      </c>
      <c r="L106" s="75">
        <v>400000</v>
      </c>
      <c r="M106" s="75">
        <f t="shared" si="11"/>
        <v>129333.10521507816</v>
      </c>
    </row>
    <row r="107" spans="5:13">
      <c r="E107">
        <v>104</v>
      </c>
      <c r="F107" s="77">
        <f t="shared" si="12"/>
        <v>1717.829193638845</v>
      </c>
      <c r="G107" s="77">
        <f t="shared" si="8"/>
        <v>1125.3201846648062</v>
      </c>
      <c r="H107" s="77">
        <f t="shared" si="13"/>
        <v>592.50900897403881</v>
      </c>
      <c r="I107" s="77">
        <f t="shared" si="9"/>
        <v>129856.40064265851</v>
      </c>
      <c r="J107" s="77">
        <f t="shared" si="10"/>
        <v>50515.664689420286</v>
      </c>
      <c r="K107" s="77">
        <f t="shared" si="14"/>
        <v>270076.84431955352</v>
      </c>
      <c r="L107" s="75">
        <v>400000</v>
      </c>
      <c r="M107" s="75">
        <f t="shared" si="11"/>
        <v>129923.15568044648</v>
      </c>
    </row>
    <row r="108" spans="5:13">
      <c r="E108">
        <v>105</v>
      </c>
      <c r="F108" s="77">
        <f t="shared" si="12"/>
        <v>1717.829193638845</v>
      </c>
      <c r="G108" s="77">
        <f t="shared" si="8"/>
        <v>1122.8513971274147</v>
      </c>
      <c r="H108" s="77">
        <f t="shared" si="13"/>
        <v>594.97779651143037</v>
      </c>
      <c r="I108" s="77">
        <f t="shared" si="9"/>
        <v>130979.25203978592</v>
      </c>
      <c r="J108" s="77">
        <f t="shared" si="10"/>
        <v>51110.642485931719</v>
      </c>
      <c r="K108" s="77">
        <f t="shared" si="14"/>
        <v>269484.33531057951</v>
      </c>
      <c r="L108" s="75">
        <v>400000</v>
      </c>
      <c r="M108" s="75">
        <f t="shared" si="11"/>
        <v>130515.66468942049</v>
      </c>
    </row>
    <row r="109" spans="5:13">
      <c r="E109">
        <v>106</v>
      </c>
      <c r="F109" s="77">
        <f t="shared" si="12"/>
        <v>1717.829193638845</v>
      </c>
      <c r="G109" s="77">
        <f t="shared" si="8"/>
        <v>1120.3723229752836</v>
      </c>
      <c r="H109" s="77">
        <f t="shared" si="13"/>
        <v>597.4568706635614</v>
      </c>
      <c r="I109" s="77">
        <f t="shared" si="9"/>
        <v>132099.62436276121</v>
      </c>
      <c r="J109" s="77">
        <f t="shared" si="10"/>
        <v>51708.099356595281</v>
      </c>
      <c r="K109" s="77">
        <f t="shared" si="14"/>
        <v>268889.35751406808</v>
      </c>
      <c r="L109" s="75">
        <v>400000</v>
      </c>
      <c r="M109" s="75">
        <f t="shared" si="11"/>
        <v>131110.64248593192</v>
      </c>
    </row>
    <row r="110" spans="5:13">
      <c r="E110">
        <v>107</v>
      </c>
      <c r="F110" s="77">
        <f t="shared" si="12"/>
        <v>1717.829193638845</v>
      </c>
      <c r="G110" s="77">
        <f t="shared" si="8"/>
        <v>1117.8829193475187</v>
      </c>
      <c r="H110" s="77">
        <f t="shared" si="13"/>
        <v>599.94627429132629</v>
      </c>
      <c r="I110" s="77">
        <f t="shared" si="9"/>
        <v>133217.50728210874</v>
      </c>
      <c r="J110" s="77">
        <f t="shared" si="10"/>
        <v>52308.045630886605</v>
      </c>
      <c r="K110" s="77">
        <f t="shared" si="14"/>
        <v>268291.90064340451</v>
      </c>
      <c r="L110" s="75">
        <v>400000</v>
      </c>
      <c r="M110" s="75">
        <f t="shared" si="11"/>
        <v>131708.09935659549</v>
      </c>
    </row>
    <row r="111" spans="5:13">
      <c r="E111">
        <v>108</v>
      </c>
      <c r="F111" s="77">
        <f t="shared" si="12"/>
        <v>1717.829193638845</v>
      </c>
      <c r="G111" s="77">
        <f t="shared" si="8"/>
        <v>1115.3831432046384</v>
      </c>
      <c r="H111" s="77">
        <f t="shared" si="13"/>
        <v>602.44605043420665</v>
      </c>
      <c r="I111" s="77">
        <f t="shared" si="9"/>
        <v>134332.89042531338</v>
      </c>
      <c r="J111" s="77">
        <f t="shared" si="10"/>
        <v>52910.491681320811</v>
      </c>
      <c r="K111" s="77">
        <f t="shared" si="14"/>
        <v>267691.9543691132</v>
      </c>
      <c r="L111" s="75">
        <v>400000</v>
      </c>
      <c r="M111" s="75">
        <f t="shared" si="11"/>
        <v>132308.0456308868</v>
      </c>
    </row>
    <row r="112" spans="5:13">
      <c r="E112">
        <v>109</v>
      </c>
      <c r="F112" s="77">
        <f t="shared" si="12"/>
        <v>1717.829193638845</v>
      </c>
      <c r="G112" s="77">
        <f t="shared" si="8"/>
        <v>1112.8729513278292</v>
      </c>
      <c r="H112" s="77">
        <f t="shared" si="13"/>
        <v>604.95624231101579</v>
      </c>
      <c r="I112" s="77">
        <f t="shared" si="9"/>
        <v>135445.7633766412</v>
      </c>
      <c r="J112" s="77">
        <f t="shared" si="10"/>
        <v>53515.447923631829</v>
      </c>
      <c r="K112" s="77">
        <f t="shared" si="14"/>
        <v>267089.508318679</v>
      </c>
      <c r="L112" s="75">
        <v>400000</v>
      </c>
      <c r="M112" s="75">
        <f t="shared" si="11"/>
        <v>132910.491681321</v>
      </c>
    </row>
    <row r="113" spans="5:13">
      <c r="E113">
        <v>110</v>
      </c>
      <c r="F113" s="77">
        <f t="shared" si="12"/>
        <v>1717.829193638845</v>
      </c>
      <c r="G113" s="77">
        <f t="shared" si="8"/>
        <v>1110.3523003181999</v>
      </c>
      <c r="H113" s="77">
        <f t="shared" si="13"/>
        <v>607.4768933206451</v>
      </c>
      <c r="I113" s="77">
        <f t="shared" si="9"/>
        <v>136556.11567695939</v>
      </c>
      <c r="J113" s="77">
        <f t="shared" si="10"/>
        <v>54122.924816952473</v>
      </c>
      <c r="K113" s="77">
        <f t="shared" si="14"/>
        <v>266484.55207636801</v>
      </c>
      <c r="L113" s="75">
        <v>400000</v>
      </c>
      <c r="M113" s="75">
        <f t="shared" si="11"/>
        <v>133515.44792363199</v>
      </c>
    </row>
    <row r="114" spans="5:13">
      <c r="E114">
        <v>111</v>
      </c>
      <c r="F114" s="77">
        <f t="shared" si="12"/>
        <v>1717.829193638845</v>
      </c>
      <c r="G114" s="77">
        <f t="shared" si="8"/>
        <v>1107.8211465960308</v>
      </c>
      <c r="H114" s="77">
        <f t="shared" si="13"/>
        <v>610.00804704281427</v>
      </c>
      <c r="I114" s="77">
        <f t="shared" si="9"/>
        <v>137663.93682355541</v>
      </c>
      <c r="J114" s="77">
        <f t="shared" si="10"/>
        <v>54732.932863995287</v>
      </c>
      <c r="K114" s="77">
        <f t="shared" si="14"/>
        <v>265877.07518304739</v>
      </c>
      <c r="L114" s="75">
        <v>400000</v>
      </c>
      <c r="M114" s="75">
        <f t="shared" si="11"/>
        <v>134122.92481695261</v>
      </c>
    </row>
    <row r="115" spans="5:13">
      <c r="E115">
        <v>112</v>
      </c>
      <c r="F115" s="77">
        <f t="shared" si="12"/>
        <v>1717.829193638845</v>
      </c>
      <c r="G115" s="77">
        <f t="shared" si="8"/>
        <v>1105.279446400019</v>
      </c>
      <c r="H115" s="77">
        <f t="shared" si="13"/>
        <v>612.54974723882606</v>
      </c>
      <c r="I115" s="77">
        <f t="shared" si="9"/>
        <v>138769.21626995545</v>
      </c>
      <c r="J115" s="77">
        <f t="shared" si="10"/>
        <v>55345.482611234111</v>
      </c>
      <c r="K115" s="77">
        <f t="shared" si="14"/>
        <v>265267.06713600457</v>
      </c>
      <c r="L115" s="75">
        <v>400000</v>
      </c>
      <c r="M115" s="75">
        <f t="shared" si="11"/>
        <v>134732.93286399543</v>
      </c>
    </row>
    <row r="116" spans="5:13">
      <c r="E116">
        <v>113</v>
      </c>
      <c r="F116" s="77">
        <f t="shared" si="12"/>
        <v>1717.829193638845</v>
      </c>
      <c r="G116" s="77">
        <f t="shared" si="8"/>
        <v>1102.727155786524</v>
      </c>
      <c r="H116" s="77">
        <f t="shared" si="13"/>
        <v>615.10203785232102</v>
      </c>
      <c r="I116" s="77">
        <f t="shared" si="9"/>
        <v>139871.94342574198</v>
      </c>
      <c r="J116" s="77">
        <f t="shared" si="10"/>
        <v>55960.584649086435</v>
      </c>
      <c r="K116" s="77">
        <f t="shared" si="14"/>
        <v>264654.51738876576</v>
      </c>
      <c r="L116" s="75">
        <v>400000</v>
      </c>
      <c r="M116" s="75">
        <f t="shared" si="11"/>
        <v>135345.48261123424</v>
      </c>
    </row>
    <row r="117" spans="5:13">
      <c r="E117">
        <v>114</v>
      </c>
      <c r="F117" s="77">
        <f t="shared" si="12"/>
        <v>1717.829193638845</v>
      </c>
      <c r="G117" s="77">
        <f t="shared" si="8"/>
        <v>1100.1642306288059</v>
      </c>
      <c r="H117" s="77">
        <f t="shared" si="13"/>
        <v>617.66496301003917</v>
      </c>
      <c r="I117" s="77">
        <f t="shared" si="9"/>
        <v>140972.10765637079</v>
      </c>
      <c r="J117" s="77">
        <f t="shared" si="10"/>
        <v>56578.249612096472</v>
      </c>
      <c r="K117" s="77">
        <f t="shared" si="14"/>
        <v>264039.41535091342</v>
      </c>
      <c r="L117" s="75">
        <v>400000</v>
      </c>
      <c r="M117" s="75">
        <f t="shared" si="11"/>
        <v>135960.58464908658</v>
      </c>
    </row>
    <row r="118" spans="5:13">
      <c r="E118">
        <v>115</v>
      </c>
      <c r="F118" s="77">
        <f t="shared" si="12"/>
        <v>1717.829193638845</v>
      </c>
      <c r="G118" s="77">
        <f t="shared" si="8"/>
        <v>1097.590626616264</v>
      </c>
      <c r="H118" s="77">
        <f t="shared" si="13"/>
        <v>620.23856702258104</v>
      </c>
      <c r="I118" s="77">
        <f t="shared" si="9"/>
        <v>142069.69828298705</v>
      </c>
      <c r="J118" s="77">
        <f t="shared" si="10"/>
        <v>57198.488179119049</v>
      </c>
      <c r="K118" s="77">
        <f t="shared" si="14"/>
        <v>263421.75038790336</v>
      </c>
      <c r="L118" s="75">
        <v>400000</v>
      </c>
      <c r="M118" s="75">
        <f t="shared" si="11"/>
        <v>136578.24961209664</v>
      </c>
    </row>
    <row r="119" spans="5:13">
      <c r="E119">
        <v>116</v>
      </c>
      <c r="F119" s="77">
        <f t="shared" si="12"/>
        <v>1717.829193638845</v>
      </c>
      <c r="G119" s="77">
        <f t="shared" si="8"/>
        <v>1095.0062992536698</v>
      </c>
      <c r="H119" s="77">
        <f t="shared" si="13"/>
        <v>622.82289438517523</v>
      </c>
      <c r="I119" s="77">
        <f t="shared" si="9"/>
        <v>143164.70458224072</v>
      </c>
      <c r="J119" s="77">
        <f t="shared" si="10"/>
        <v>57821.311073504221</v>
      </c>
      <c r="K119" s="77">
        <f t="shared" si="14"/>
        <v>262801.51182088075</v>
      </c>
      <c r="L119" s="75">
        <v>400000</v>
      </c>
      <c r="M119" s="75">
        <f t="shared" si="11"/>
        <v>137198.48817911925</v>
      </c>
    </row>
    <row r="120" spans="5:13">
      <c r="E120">
        <v>117</v>
      </c>
      <c r="F120" s="77">
        <f t="shared" si="12"/>
        <v>1717.829193638845</v>
      </c>
      <c r="G120" s="77">
        <f t="shared" si="8"/>
        <v>1092.411203860398</v>
      </c>
      <c r="H120" s="77">
        <f t="shared" si="13"/>
        <v>625.41798977844701</v>
      </c>
      <c r="I120" s="77">
        <f t="shared" si="9"/>
        <v>144257.11578610112</v>
      </c>
      <c r="J120" s="77">
        <f t="shared" si="10"/>
        <v>58446.72906328267</v>
      </c>
      <c r="K120" s="77">
        <f t="shared" si="14"/>
        <v>262178.68892649555</v>
      </c>
      <c r="L120" s="75">
        <v>400000</v>
      </c>
      <c r="M120" s="75">
        <f t="shared" si="11"/>
        <v>137821.31107350445</v>
      </c>
    </row>
    <row r="121" spans="5:13">
      <c r="E121">
        <v>118</v>
      </c>
      <c r="F121" s="77">
        <f t="shared" si="12"/>
        <v>1717.829193638845</v>
      </c>
      <c r="G121" s="77">
        <f t="shared" si="8"/>
        <v>1089.8052955696546</v>
      </c>
      <c r="H121" s="77">
        <f t="shared" si="13"/>
        <v>628.02389806919041</v>
      </c>
      <c r="I121" s="77">
        <f t="shared" si="9"/>
        <v>145346.92108167076</v>
      </c>
      <c r="J121" s="77">
        <f t="shared" si="10"/>
        <v>59074.752961351864</v>
      </c>
      <c r="K121" s="77">
        <f t="shared" si="14"/>
        <v>261553.2709367171</v>
      </c>
      <c r="L121" s="75">
        <v>400000</v>
      </c>
      <c r="M121" s="75">
        <f t="shared" si="11"/>
        <v>138446.7290632829</v>
      </c>
    </row>
    <row r="122" spans="5:13">
      <c r="E122">
        <v>119</v>
      </c>
      <c r="F122" s="77">
        <f t="shared" si="12"/>
        <v>1717.829193638845</v>
      </c>
      <c r="G122" s="77">
        <f t="shared" si="8"/>
        <v>1087.1885293276996</v>
      </c>
      <c r="H122" s="77">
        <f t="shared" si="13"/>
        <v>630.64066431114543</v>
      </c>
      <c r="I122" s="77">
        <f t="shared" si="9"/>
        <v>146434.10961099845</v>
      </c>
      <c r="J122" s="77">
        <f t="shared" si="10"/>
        <v>59705.393625663011</v>
      </c>
      <c r="K122" s="77">
        <f t="shared" si="14"/>
        <v>260925.24703864791</v>
      </c>
      <c r="L122" s="75">
        <v>400000</v>
      </c>
      <c r="M122" s="75">
        <f t="shared" si="11"/>
        <v>139074.75296135209</v>
      </c>
    </row>
    <row r="123" spans="5:13">
      <c r="E123">
        <v>120</v>
      </c>
      <c r="F123" s="77">
        <f t="shared" si="12"/>
        <v>1717.829193638845</v>
      </c>
      <c r="G123" s="77">
        <f t="shared" si="8"/>
        <v>1084.5608598930698</v>
      </c>
      <c r="H123" s="77">
        <f t="shared" si="13"/>
        <v>633.26833374577518</v>
      </c>
      <c r="I123" s="77">
        <f t="shared" si="9"/>
        <v>147518.67047089152</v>
      </c>
      <c r="J123" s="77">
        <f t="shared" si="10"/>
        <v>60338.66195940879</v>
      </c>
      <c r="K123" s="77">
        <f t="shared" si="14"/>
        <v>260294.60637433676</v>
      </c>
      <c r="L123" s="75">
        <v>400000</v>
      </c>
      <c r="M123" s="75">
        <f t="shared" si="11"/>
        <v>139705.39362566324</v>
      </c>
    </row>
    <row r="124" spans="5:13">
      <c r="E124">
        <v>121</v>
      </c>
      <c r="F124" s="77">
        <f t="shared" si="12"/>
        <v>1717.829193638845</v>
      </c>
      <c r="G124" s="77">
        <f t="shared" si="8"/>
        <v>1081.9222418357958</v>
      </c>
      <c r="H124" s="77">
        <f t="shared" si="13"/>
        <v>635.9069518030492</v>
      </c>
      <c r="I124" s="77">
        <f t="shared" si="9"/>
        <v>148600.59271272732</v>
      </c>
      <c r="J124" s="77">
        <f t="shared" si="10"/>
        <v>60974.568911211842</v>
      </c>
      <c r="K124" s="77">
        <f t="shared" si="14"/>
        <v>259661.33804059098</v>
      </c>
      <c r="L124" s="75">
        <v>400000</v>
      </c>
      <c r="M124" s="75">
        <f t="shared" si="11"/>
        <v>140338.66195940902</v>
      </c>
    </row>
    <row r="125" spans="5:13">
      <c r="E125">
        <v>122</v>
      </c>
      <c r="F125" s="77">
        <f t="shared" si="12"/>
        <v>1717.829193638845</v>
      </c>
      <c r="G125" s="77">
        <f t="shared" si="8"/>
        <v>1079.2726295366165</v>
      </c>
      <c r="H125" s="77">
        <f t="shared" si="13"/>
        <v>638.55656410222855</v>
      </c>
      <c r="I125" s="77">
        <f t="shared" si="9"/>
        <v>149679.86534226395</v>
      </c>
      <c r="J125" s="77">
        <f t="shared" si="10"/>
        <v>61613.125475314067</v>
      </c>
      <c r="K125" s="77">
        <f t="shared" si="14"/>
        <v>259025.43108878794</v>
      </c>
      <c r="L125" s="75">
        <v>400000</v>
      </c>
      <c r="M125" s="75">
        <f t="shared" si="11"/>
        <v>140974.56891121206</v>
      </c>
    </row>
    <row r="126" spans="5:13">
      <c r="E126">
        <v>123</v>
      </c>
      <c r="F126" s="77">
        <f t="shared" si="12"/>
        <v>1717.829193638845</v>
      </c>
      <c r="G126" s="77">
        <f t="shared" si="8"/>
        <v>1076.6119771861904</v>
      </c>
      <c r="H126" s="77">
        <f t="shared" si="13"/>
        <v>641.21721645265461</v>
      </c>
      <c r="I126" s="77">
        <f t="shared" si="9"/>
        <v>150756.47731945015</v>
      </c>
      <c r="J126" s="77">
        <f t="shared" si="10"/>
        <v>62254.342691766724</v>
      </c>
      <c r="K126" s="77">
        <f t="shared" si="14"/>
        <v>258386.8745246857</v>
      </c>
      <c r="L126" s="75">
        <v>400000</v>
      </c>
      <c r="M126" s="75">
        <f t="shared" si="11"/>
        <v>141613.1254753143</v>
      </c>
    </row>
    <row r="127" spans="5:13">
      <c r="E127">
        <v>124</v>
      </c>
      <c r="F127" s="77">
        <f t="shared" si="12"/>
        <v>1717.829193638845</v>
      </c>
      <c r="G127" s="77">
        <f t="shared" si="8"/>
        <v>1073.9402387843045</v>
      </c>
      <c r="H127" s="77">
        <f t="shared" si="13"/>
        <v>643.88895485454054</v>
      </c>
      <c r="I127" s="77">
        <f t="shared" si="9"/>
        <v>151830.41755823445</v>
      </c>
      <c r="J127" s="77">
        <f t="shared" si="10"/>
        <v>62898.231646621265</v>
      </c>
      <c r="K127" s="77">
        <f t="shared" si="14"/>
        <v>257745.65730823306</v>
      </c>
      <c r="L127" s="75">
        <v>400000</v>
      </c>
      <c r="M127" s="75">
        <f t="shared" si="11"/>
        <v>142254.34269176694</v>
      </c>
    </row>
    <row r="128" spans="5:13">
      <c r="E128">
        <v>125</v>
      </c>
      <c r="F128" s="77">
        <f t="shared" si="12"/>
        <v>1717.829193638845</v>
      </c>
      <c r="G128" s="77">
        <f t="shared" si="8"/>
        <v>1071.2573681390772</v>
      </c>
      <c r="H128" s="77">
        <f t="shared" si="13"/>
        <v>646.57182549976778</v>
      </c>
      <c r="I128" s="77">
        <f t="shared" si="9"/>
        <v>152901.67492637353</v>
      </c>
      <c r="J128" s="77">
        <f t="shared" si="10"/>
        <v>63544.803472121035</v>
      </c>
      <c r="K128" s="77">
        <f t="shared" si="14"/>
        <v>257101.76835337852</v>
      </c>
      <c r="L128" s="75">
        <v>400000</v>
      </c>
      <c r="M128" s="75">
        <f t="shared" si="11"/>
        <v>142898.23164662148</v>
      </c>
    </row>
    <row r="129" spans="5:13">
      <c r="E129">
        <v>126</v>
      </c>
      <c r="F129" s="77">
        <f t="shared" si="12"/>
        <v>1717.829193638845</v>
      </c>
      <c r="G129" s="77">
        <f t="shared" si="8"/>
        <v>1068.5633188661614</v>
      </c>
      <c r="H129" s="77">
        <f t="shared" si="13"/>
        <v>649.26587477268367</v>
      </c>
      <c r="I129" s="77">
        <f t="shared" si="9"/>
        <v>153970.23824523969</v>
      </c>
      <c r="J129" s="77">
        <f t="shared" si="10"/>
        <v>64194.069346893717</v>
      </c>
      <c r="K129" s="77">
        <f t="shared" si="14"/>
        <v>256455.19652787875</v>
      </c>
      <c r="L129" s="75">
        <v>400000</v>
      </c>
      <c r="M129" s="75">
        <f t="shared" si="11"/>
        <v>143544.80347212125</v>
      </c>
    </row>
    <row r="130" spans="5:13">
      <c r="E130">
        <v>127</v>
      </c>
      <c r="F130" s="77">
        <f t="shared" si="12"/>
        <v>1717.829193638845</v>
      </c>
      <c r="G130" s="77">
        <f t="shared" si="8"/>
        <v>1065.8580443879418</v>
      </c>
      <c r="H130" s="77">
        <f t="shared" si="13"/>
        <v>651.97114925090318</v>
      </c>
      <c r="I130" s="77">
        <f t="shared" si="9"/>
        <v>155036.09628962763</v>
      </c>
      <c r="J130" s="77">
        <f t="shared" si="10"/>
        <v>64846.040496144618</v>
      </c>
      <c r="K130" s="77">
        <f t="shared" si="14"/>
        <v>255805.93065310607</v>
      </c>
      <c r="L130" s="75">
        <v>400000</v>
      </c>
      <c r="M130" s="75">
        <f t="shared" si="11"/>
        <v>144194.06934689393</v>
      </c>
    </row>
    <row r="131" spans="5:13">
      <c r="E131">
        <v>128</v>
      </c>
      <c r="F131" s="77">
        <f t="shared" si="12"/>
        <v>1717.829193638845</v>
      </c>
      <c r="G131" s="77">
        <f t="shared" ref="G131:G194" si="15">(B$5/B$7)*K131</f>
        <v>1063.1414979327299</v>
      </c>
      <c r="H131" s="77">
        <f t="shared" si="13"/>
        <v>654.68769570611516</v>
      </c>
      <c r="I131" s="77">
        <f t="shared" si="9"/>
        <v>156099.23778756036</v>
      </c>
      <c r="J131" s="77">
        <f t="shared" si="10"/>
        <v>65500.728191850736</v>
      </c>
      <c r="K131" s="77">
        <f t="shared" si="14"/>
        <v>255153.95950385518</v>
      </c>
      <c r="L131" s="75">
        <v>400000</v>
      </c>
      <c r="M131" s="75">
        <f t="shared" si="11"/>
        <v>144846.04049614482</v>
      </c>
    </row>
    <row r="132" spans="5:13">
      <c r="E132">
        <v>129</v>
      </c>
      <c r="F132" s="77">
        <f t="shared" si="12"/>
        <v>1717.829193638845</v>
      </c>
      <c r="G132" s="77">
        <f t="shared" si="15"/>
        <v>1060.4136325339543</v>
      </c>
      <c r="H132" s="77">
        <f t="shared" si="13"/>
        <v>657.41556110489068</v>
      </c>
      <c r="I132" s="77">
        <f t="shared" ref="I132:I195" si="16">I131+G132</f>
        <v>157159.65142009431</v>
      </c>
      <c r="J132" s="77">
        <f t="shared" ref="J132:J195" si="17">J131+H132</f>
        <v>66158.143752955628</v>
      </c>
      <c r="K132" s="77">
        <f t="shared" si="14"/>
        <v>254499.27180814906</v>
      </c>
      <c r="L132" s="75">
        <v>400000</v>
      </c>
      <c r="M132" s="75">
        <f t="shared" ref="M132:M195" si="18">L132-K132</f>
        <v>145500.72819185094</v>
      </c>
    </row>
    <row r="133" spans="5:13">
      <c r="E133">
        <v>130</v>
      </c>
      <c r="F133" s="77">
        <f t="shared" ref="F133:F196" si="19">F132</f>
        <v>1717.829193638845</v>
      </c>
      <c r="G133" s="77">
        <f t="shared" si="15"/>
        <v>1057.6744010293507</v>
      </c>
      <c r="H133" s="77">
        <f t="shared" ref="H133:H196" si="20">F133-G133</f>
        <v>660.15479260949428</v>
      </c>
      <c r="I133" s="77">
        <f t="shared" si="16"/>
        <v>158217.32582112367</v>
      </c>
      <c r="J133" s="77">
        <f t="shared" si="17"/>
        <v>66818.298545565121</v>
      </c>
      <c r="K133" s="77">
        <f t="shared" ref="K133:K196" si="21">K132-H132</f>
        <v>253841.85624704417</v>
      </c>
      <c r="L133" s="75">
        <v>400000</v>
      </c>
      <c r="M133" s="75">
        <f t="shared" si="18"/>
        <v>146158.14375295583</v>
      </c>
    </row>
    <row r="134" spans="5:13">
      <c r="E134">
        <v>131</v>
      </c>
      <c r="F134" s="77">
        <f t="shared" si="19"/>
        <v>1717.829193638845</v>
      </c>
      <c r="G134" s="77">
        <f t="shared" si="15"/>
        <v>1054.9237560601443</v>
      </c>
      <c r="H134" s="77">
        <f t="shared" si="20"/>
        <v>662.90543757870068</v>
      </c>
      <c r="I134" s="77">
        <f t="shared" si="16"/>
        <v>159272.2495771838</v>
      </c>
      <c r="J134" s="77">
        <f t="shared" si="17"/>
        <v>67481.203983143816</v>
      </c>
      <c r="K134" s="77">
        <f t="shared" si="21"/>
        <v>253181.70145443466</v>
      </c>
      <c r="L134" s="75">
        <v>400000</v>
      </c>
      <c r="M134" s="75">
        <f t="shared" si="18"/>
        <v>146818.29854556534</v>
      </c>
    </row>
    <row r="135" spans="5:13">
      <c r="E135">
        <v>132</v>
      </c>
      <c r="F135" s="77">
        <f t="shared" si="19"/>
        <v>1717.829193638845</v>
      </c>
      <c r="G135" s="77">
        <f t="shared" si="15"/>
        <v>1052.161650070233</v>
      </c>
      <c r="H135" s="77">
        <f t="shared" si="20"/>
        <v>665.66754356861202</v>
      </c>
      <c r="I135" s="77">
        <f t="shared" si="16"/>
        <v>160324.41122725402</v>
      </c>
      <c r="J135" s="77">
        <f t="shared" si="17"/>
        <v>68146.871526712435</v>
      </c>
      <c r="K135" s="77">
        <f t="shared" si="21"/>
        <v>252518.79601685595</v>
      </c>
      <c r="L135" s="75">
        <v>400000</v>
      </c>
      <c r="M135" s="75">
        <f t="shared" si="18"/>
        <v>147481.20398314405</v>
      </c>
    </row>
    <row r="136" spans="5:13">
      <c r="E136">
        <v>133</v>
      </c>
      <c r="F136" s="77">
        <f t="shared" si="19"/>
        <v>1717.829193638845</v>
      </c>
      <c r="G136" s="77">
        <f t="shared" si="15"/>
        <v>1049.3880353053639</v>
      </c>
      <c r="H136" s="77">
        <f t="shared" si="20"/>
        <v>668.4411583334811</v>
      </c>
      <c r="I136" s="77">
        <f t="shared" si="16"/>
        <v>161373.79926255939</v>
      </c>
      <c r="J136" s="77">
        <f t="shared" si="17"/>
        <v>68815.312685045923</v>
      </c>
      <c r="K136" s="77">
        <f t="shared" si="21"/>
        <v>251853.12847328733</v>
      </c>
      <c r="L136" s="75">
        <v>400000</v>
      </c>
      <c r="M136" s="75">
        <f t="shared" si="18"/>
        <v>148146.87152671267</v>
      </c>
    </row>
    <row r="137" spans="5:13">
      <c r="E137">
        <v>134</v>
      </c>
      <c r="F137" s="77">
        <f t="shared" si="19"/>
        <v>1717.829193638845</v>
      </c>
      <c r="G137" s="77">
        <f t="shared" si="15"/>
        <v>1046.6028638123078</v>
      </c>
      <c r="H137" s="77">
        <f t="shared" si="20"/>
        <v>671.22632982653727</v>
      </c>
      <c r="I137" s="77">
        <f t="shared" si="16"/>
        <v>162420.40212637169</v>
      </c>
      <c r="J137" s="77">
        <f t="shared" si="17"/>
        <v>69486.539014872455</v>
      </c>
      <c r="K137" s="77">
        <f t="shared" si="21"/>
        <v>251184.68731495386</v>
      </c>
      <c r="L137" s="75">
        <v>400000</v>
      </c>
      <c r="M137" s="75">
        <f t="shared" si="18"/>
        <v>148815.31268504614</v>
      </c>
    </row>
    <row r="138" spans="5:13">
      <c r="E138">
        <v>135</v>
      </c>
      <c r="F138" s="77">
        <f t="shared" si="19"/>
        <v>1717.829193638845</v>
      </c>
      <c r="G138" s="77">
        <f t="shared" si="15"/>
        <v>1043.8060874380305</v>
      </c>
      <c r="H138" s="77">
        <f t="shared" si="20"/>
        <v>674.02310620081448</v>
      </c>
      <c r="I138" s="77">
        <f t="shared" si="16"/>
        <v>163464.2082138097</v>
      </c>
      <c r="J138" s="77">
        <f t="shared" si="17"/>
        <v>70160.562121073264</v>
      </c>
      <c r="K138" s="77">
        <f t="shared" si="21"/>
        <v>250513.46098512731</v>
      </c>
      <c r="L138" s="75">
        <v>400000</v>
      </c>
      <c r="M138" s="75">
        <f t="shared" si="18"/>
        <v>149486.53901487269</v>
      </c>
    </row>
    <row r="139" spans="5:13">
      <c r="E139">
        <v>136</v>
      </c>
      <c r="F139" s="77">
        <f t="shared" si="19"/>
        <v>1717.829193638845</v>
      </c>
      <c r="G139" s="77">
        <f t="shared" si="15"/>
        <v>1040.9976578288604</v>
      </c>
      <c r="H139" s="77">
        <f t="shared" si="20"/>
        <v>676.83153580998464</v>
      </c>
      <c r="I139" s="77">
        <f t="shared" si="16"/>
        <v>164505.20587163855</v>
      </c>
      <c r="J139" s="77">
        <f t="shared" si="17"/>
        <v>70837.393656883243</v>
      </c>
      <c r="K139" s="77">
        <f t="shared" si="21"/>
        <v>249839.43787892649</v>
      </c>
      <c r="L139" s="75">
        <v>400000</v>
      </c>
      <c r="M139" s="75">
        <f t="shared" si="18"/>
        <v>150160.56212107351</v>
      </c>
    </row>
    <row r="140" spans="5:13">
      <c r="E140">
        <v>137</v>
      </c>
      <c r="F140" s="77">
        <f t="shared" si="19"/>
        <v>1717.829193638845</v>
      </c>
      <c r="G140" s="77">
        <f t="shared" si="15"/>
        <v>1038.1775264296521</v>
      </c>
      <c r="H140" s="77">
        <f t="shared" si="20"/>
        <v>679.65166720919296</v>
      </c>
      <c r="I140" s="77">
        <f t="shared" si="16"/>
        <v>165543.3833980682</v>
      </c>
      <c r="J140" s="77">
        <f t="shared" si="17"/>
        <v>71517.04532409244</v>
      </c>
      <c r="K140" s="77">
        <f t="shared" si="21"/>
        <v>249162.60634311649</v>
      </c>
      <c r="L140" s="75">
        <v>400000</v>
      </c>
      <c r="M140" s="75">
        <f t="shared" si="18"/>
        <v>150837.39365688351</v>
      </c>
    </row>
    <row r="141" spans="5:13">
      <c r="E141">
        <v>138</v>
      </c>
      <c r="F141" s="77">
        <f t="shared" si="19"/>
        <v>1717.829193638845</v>
      </c>
      <c r="G141" s="77">
        <f t="shared" si="15"/>
        <v>1035.3456444829471</v>
      </c>
      <c r="H141" s="77">
        <f t="shared" si="20"/>
        <v>682.48354915589789</v>
      </c>
      <c r="I141" s="77">
        <f t="shared" si="16"/>
        <v>166578.72904255113</v>
      </c>
      <c r="J141" s="77">
        <f t="shared" si="17"/>
        <v>72199.528873248331</v>
      </c>
      <c r="K141" s="77">
        <f t="shared" si="21"/>
        <v>248482.9546759073</v>
      </c>
      <c r="L141" s="75">
        <v>400000</v>
      </c>
      <c r="M141" s="75">
        <f t="shared" si="18"/>
        <v>151517.0453240927</v>
      </c>
    </row>
    <row r="142" spans="5:13">
      <c r="E142">
        <v>139</v>
      </c>
      <c r="F142" s="77">
        <f t="shared" si="19"/>
        <v>1717.829193638845</v>
      </c>
      <c r="G142" s="77">
        <f t="shared" si="15"/>
        <v>1032.5019630281308</v>
      </c>
      <c r="H142" s="77">
        <f t="shared" si="20"/>
        <v>685.3272306107142</v>
      </c>
      <c r="I142" s="77">
        <f t="shared" si="16"/>
        <v>167611.23100557926</v>
      </c>
      <c r="J142" s="77">
        <f t="shared" si="17"/>
        <v>72884.856103859041</v>
      </c>
      <c r="K142" s="77">
        <f t="shared" si="21"/>
        <v>247800.47112675139</v>
      </c>
      <c r="L142" s="75">
        <v>400000</v>
      </c>
      <c r="M142" s="75">
        <f t="shared" si="18"/>
        <v>152199.52887324861</v>
      </c>
    </row>
    <row r="143" spans="5:13">
      <c r="E143">
        <v>140</v>
      </c>
      <c r="F143" s="77">
        <f t="shared" si="19"/>
        <v>1717.829193638845</v>
      </c>
      <c r="G143" s="77">
        <f t="shared" si="15"/>
        <v>1029.6464329005862</v>
      </c>
      <c r="H143" s="77">
        <f t="shared" si="20"/>
        <v>688.18276073825882</v>
      </c>
      <c r="I143" s="77">
        <f t="shared" si="16"/>
        <v>168640.87743847986</v>
      </c>
      <c r="J143" s="77">
        <f t="shared" si="17"/>
        <v>73573.0388645973</v>
      </c>
      <c r="K143" s="77">
        <f t="shared" si="21"/>
        <v>247115.14389614068</v>
      </c>
      <c r="L143" s="75">
        <v>400000</v>
      </c>
      <c r="M143" s="75">
        <f t="shared" si="18"/>
        <v>152884.85610385932</v>
      </c>
    </row>
    <row r="144" spans="5:13">
      <c r="E144">
        <v>141</v>
      </c>
      <c r="F144" s="77">
        <f t="shared" si="19"/>
        <v>1717.829193638845</v>
      </c>
      <c r="G144" s="77">
        <f t="shared" si="15"/>
        <v>1026.7790047308433</v>
      </c>
      <c r="H144" s="77">
        <f t="shared" si="20"/>
        <v>691.0501889080017</v>
      </c>
      <c r="I144" s="77">
        <f t="shared" si="16"/>
        <v>169667.6564432107</v>
      </c>
      <c r="J144" s="77">
        <f t="shared" si="17"/>
        <v>74264.089053505304</v>
      </c>
      <c r="K144" s="77">
        <f t="shared" si="21"/>
        <v>246426.96113540241</v>
      </c>
      <c r="L144" s="75">
        <v>400000</v>
      </c>
      <c r="M144" s="75">
        <f t="shared" si="18"/>
        <v>153573.03886459759</v>
      </c>
    </row>
    <row r="145" spans="5:13">
      <c r="E145">
        <v>142</v>
      </c>
      <c r="F145" s="77">
        <f t="shared" si="19"/>
        <v>1717.829193638845</v>
      </c>
      <c r="G145" s="77">
        <f t="shared" si="15"/>
        <v>1023.8996289437267</v>
      </c>
      <c r="H145" s="77">
        <f t="shared" si="20"/>
        <v>693.9295646951183</v>
      </c>
      <c r="I145" s="77">
        <f t="shared" si="16"/>
        <v>170691.55607215443</v>
      </c>
      <c r="J145" s="77">
        <f t="shared" si="17"/>
        <v>74958.018618200425</v>
      </c>
      <c r="K145" s="77">
        <f t="shared" si="21"/>
        <v>245735.9109464944</v>
      </c>
      <c r="L145" s="75">
        <v>400000</v>
      </c>
      <c r="M145" s="75">
        <f t="shared" si="18"/>
        <v>154264.0890535056</v>
      </c>
    </row>
    <row r="146" spans="5:13">
      <c r="E146">
        <v>143</v>
      </c>
      <c r="F146" s="77">
        <f t="shared" si="19"/>
        <v>1717.829193638845</v>
      </c>
      <c r="G146" s="77">
        <f t="shared" si="15"/>
        <v>1021.0082557574971</v>
      </c>
      <c r="H146" s="77">
        <f t="shared" si="20"/>
        <v>696.82093788134796</v>
      </c>
      <c r="I146" s="77">
        <f t="shared" si="16"/>
        <v>171712.56432791194</v>
      </c>
      <c r="J146" s="77">
        <f t="shared" si="17"/>
        <v>75654.839556081773</v>
      </c>
      <c r="K146" s="77">
        <f t="shared" si="21"/>
        <v>245041.9813817993</v>
      </c>
      <c r="L146" s="75">
        <v>400000</v>
      </c>
      <c r="M146" s="75">
        <f t="shared" si="18"/>
        <v>154958.0186182007</v>
      </c>
    </row>
    <row r="147" spans="5:13">
      <c r="E147">
        <v>144</v>
      </c>
      <c r="F147" s="77">
        <f t="shared" si="19"/>
        <v>1717.829193638845</v>
      </c>
      <c r="G147" s="77">
        <f t="shared" si="15"/>
        <v>1018.1048351829915</v>
      </c>
      <c r="H147" s="77">
        <f t="shared" si="20"/>
        <v>699.72435845585358</v>
      </c>
      <c r="I147" s="77">
        <f t="shared" si="16"/>
        <v>172730.66916309492</v>
      </c>
      <c r="J147" s="77">
        <f t="shared" si="17"/>
        <v>76354.563914537634</v>
      </c>
      <c r="K147" s="77">
        <f t="shared" si="21"/>
        <v>244345.16044391796</v>
      </c>
      <c r="L147" s="75">
        <v>400000</v>
      </c>
      <c r="M147" s="75">
        <f t="shared" si="18"/>
        <v>155654.83955608204</v>
      </c>
    </row>
    <row r="148" spans="5:13">
      <c r="E148">
        <v>145</v>
      </c>
      <c r="F148" s="77">
        <f t="shared" si="19"/>
        <v>1717.829193638845</v>
      </c>
      <c r="G148" s="77">
        <f t="shared" si="15"/>
        <v>1015.1893170227587</v>
      </c>
      <c r="H148" s="77">
        <f t="shared" si="20"/>
        <v>702.63987661608633</v>
      </c>
      <c r="I148" s="77">
        <f t="shared" si="16"/>
        <v>173745.85848011769</v>
      </c>
      <c r="J148" s="77">
        <f t="shared" si="17"/>
        <v>77057.203791153719</v>
      </c>
      <c r="K148" s="77">
        <f t="shared" si="21"/>
        <v>243645.4360854621</v>
      </c>
      <c r="L148" s="75">
        <v>400000</v>
      </c>
      <c r="M148" s="75">
        <f t="shared" si="18"/>
        <v>156354.5639145379</v>
      </c>
    </row>
    <row r="149" spans="5:13">
      <c r="E149">
        <v>146</v>
      </c>
      <c r="F149" s="77">
        <f t="shared" si="19"/>
        <v>1717.829193638845</v>
      </c>
      <c r="G149" s="77">
        <f t="shared" si="15"/>
        <v>1012.2616508701917</v>
      </c>
      <c r="H149" s="77">
        <f t="shared" si="20"/>
        <v>705.56754276865331</v>
      </c>
      <c r="I149" s="77">
        <f t="shared" si="16"/>
        <v>174758.1201309879</v>
      </c>
      <c r="J149" s="77">
        <f t="shared" si="17"/>
        <v>77762.77133392237</v>
      </c>
      <c r="K149" s="77">
        <f t="shared" si="21"/>
        <v>242942.796208846</v>
      </c>
      <c r="L149" s="75">
        <v>400000</v>
      </c>
      <c r="M149" s="75">
        <f t="shared" si="18"/>
        <v>157057.203791154</v>
      </c>
    </row>
    <row r="150" spans="5:13">
      <c r="E150">
        <v>147</v>
      </c>
      <c r="F150" s="77">
        <f t="shared" si="19"/>
        <v>1717.829193638845</v>
      </c>
      <c r="G150" s="77">
        <f t="shared" si="15"/>
        <v>1009.3217861086556</v>
      </c>
      <c r="H150" s="77">
        <f t="shared" si="20"/>
        <v>708.50740753018943</v>
      </c>
      <c r="I150" s="77">
        <f t="shared" si="16"/>
        <v>175767.44191709656</v>
      </c>
      <c r="J150" s="77">
        <f t="shared" si="17"/>
        <v>78471.278741452566</v>
      </c>
      <c r="K150" s="77">
        <f t="shared" si="21"/>
        <v>242237.22866607734</v>
      </c>
      <c r="L150" s="75">
        <v>400000</v>
      </c>
      <c r="M150" s="75">
        <f t="shared" si="18"/>
        <v>157762.77133392266</v>
      </c>
    </row>
    <row r="151" spans="5:13">
      <c r="E151">
        <v>148</v>
      </c>
      <c r="F151" s="77">
        <f t="shared" si="19"/>
        <v>1717.829193638845</v>
      </c>
      <c r="G151" s="77">
        <f t="shared" si="15"/>
        <v>1006.3696719106132</v>
      </c>
      <c r="H151" s="77">
        <f t="shared" si="20"/>
        <v>711.45952172823183</v>
      </c>
      <c r="I151" s="77">
        <f t="shared" si="16"/>
        <v>176773.81158900718</v>
      </c>
      <c r="J151" s="77">
        <f t="shared" si="17"/>
        <v>79182.7382631808</v>
      </c>
      <c r="K151" s="77">
        <f t="shared" si="21"/>
        <v>241528.72125854716</v>
      </c>
      <c r="L151" s="75">
        <v>400000</v>
      </c>
      <c r="M151" s="75">
        <f t="shared" si="18"/>
        <v>158471.27874145284</v>
      </c>
    </row>
    <row r="152" spans="5:13">
      <c r="E152">
        <v>149</v>
      </c>
      <c r="F152" s="77">
        <f t="shared" si="19"/>
        <v>1717.829193638845</v>
      </c>
      <c r="G152" s="77">
        <f t="shared" si="15"/>
        <v>1003.4052572367456</v>
      </c>
      <c r="H152" s="77">
        <f t="shared" si="20"/>
        <v>714.42393640209946</v>
      </c>
      <c r="I152" s="77">
        <f t="shared" si="16"/>
        <v>177777.21684624391</v>
      </c>
      <c r="J152" s="77">
        <f t="shared" si="17"/>
        <v>79897.162199582905</v>
      </c>
      <c r="K152" s="77">
        <f t="shared" si="21"/>
        <v>240817.26173681894</v>
      </c>
      <c r="L152" s="75">
        <v>400000</v>
      </c>
      <c r="M152" s="75">
        <f t="shared" si="18"/>
        <v>159182.73826318106</v>
      </c>
    </row>
    <row r="153" spans="5:13">
      <c r="E153">
        <v>150</v>
      </c>
      <c r="F153" s="77">
        <f t="shared" si="19"/>
        <v>1717.829193638845</v>
      </c>
      <c r="G153" s="77">
        <f t="shared" si="15"/>
        <v>1000.4284908350701</v>
      </c>
      <c r="H153" s="77">
        <f t="shared" si="20"/>
        <v>717.40070280377495</v>
      </c>
      <c r="I153" s="77">
        <f t="shared" si="16"/>
        <v>178777.64533707898</v>
      </c>
      <c r="J153" s="77">
        <f t="shared" si="17"/>
        <v>80614.562902386679</v>
      </c>
      <c r="K153" s="77">
        <f t="shared" si="21"/>
        <v>240102.83780041683</v>
      </c>
      <c r="L153" s="75">
        <v>400000</v>
      </c>
      <c r="M153" s="75">
        <f t="shared" si="18"/>
        <v>159897.16219958317</v>
      </c>
    </row>
    <row r="154" spans="5:13">
      <c r="E154">
        <v>151</v>
      </c>
      <c r="F154" s="77">
        <f t="shared" si="19"/>
        <v>1717.829193638845</v>
      </c>
      <c r="G154" s="77">
        <f t="shared" si="15"/>
        <v>997.43932124005437</v>
      </c>
      <c r="H154" s="77">
        <f t="shared" si="20"/>
        <v>720.38987239879066</v>
      </c>
      <c r="I154" s="77">
        <f t="shared" si="16"/>
        <v>179775.08465831904</v>
      </c>
      <c r="J154" s="77">
        <f t="shared" si="17"/>
        <v>81334.952774785474</v>
      </c>
      <c r="K154" s="77">
        <f t="shared" si="21"/>
        <v>239385.43709761306</v>
      </c>
      <c r="L154" s="75">
        <v>400000</v>
      </c>
      <c r="M154" s="75">
        <f t="shared" si="18"/>
        <v>160614.56290238694</v>
      </c>
    </row>
    <row r="155" spans="5:13">
      <c r="E155">
        <v>152</v>
      </c>
      <c r="F155" s="77">
        <f t="shared" si="19"/>
        <v>1717.829193638845</v>
      </c>
      <c r="G155" s="77">
        <f t="shared" si="15"/>
        <v>994.43769677172611</v>
      </c>
      <c r="H155" s="77">
        <f t="shared" si="20"/>
        <v>723.39149686711892</v>
      </c>
      <c r="I155" s="77">
        <f t="shared" si="16"/>
        <v>180769.52235509077</v>
      </c>
      <c r="J155" s="77">
        <f t="shared" si="17"/>
        <v>82058.34427165259</v>
      </c>
      <c r="K155" s="77">
        <f t="shared" si="21"/>
        <v>238665.04722521428</v>
      </c>
      <c r="L155" s="75">
        <v>400000</v>
      </c>
      <c r="M155" s="75">
        <f t="shared" si="18"/>
        <v>161334.95277478572</v>
      </c>
    </row>
    <row r="156" spans="5:13">
      <c r="E156">
        <v>153</v>
      </c>
      <c r="F156" s="77">
        <f t="shared" si="19"/>
        <v>1717.829193638845</v>
      </c>
      <c r="G156" s="77">
        <f t="shared" si="15"/>
        <v>991.42356553477987</v>
      </c>
      <c r="H156" s="77">
        <f t="shared" si="20"/>
        <v>726.40562810406516</v>
      </c>
      <c r="I156" s="77">
        <f t="shared" si="16"/>
        <v>181760.94592062556</v>
      </c>
      <c r="J156" s="77">
        <f t="shared" si="17"/>
        <v>82784.749899756658</v>
      </c>
      <c r="K156" s="77">
        <f t="shared" si="21"/>
        <v>237941.65572834716</v>
      </c>
      <c r="L156" s="75">
        <v>400000</v>
      </c>
      <c r="M156" s="75">
        <f t="shared" si="18"/>
        <v>162058.34427165284</v>
      </c>
    </row>
    <row r="157" spans="5:13">
      <c r="E157">
        <v>154</v>
      </c>
      <c r="F157" s="77">
        <f t="shared" si="19"/>
        <v>1717.829193638845</v>
      </c>
      <c r="G157" s="77">
        <f t="shared" si="15"/>
        <v>988.39687541767955</v>
      </c>
      <c r="H157" s="77">
        <f t="shared" si="20"/>
        <v>729.43231822116547</v>
      </c>
      <c r="I157" s="77">
        <f t="shared" si="16"/>
        <v>182749.34279604323</v>
      </c>
      <c r="J157" s="77">
        <f t="shared" si="17"/>
        <v>83514.182217977825</v>
      </c>
      <c r="K157" s="77">
        <f t="shared" si="21"/>
        <v>237215.25010024311</v>
      </c>
      <c r="L157" s="75">
        <v>400000</v>
      </c>
      <c r="M157" s="75">
        <f t="shared" si="18"/>
        <v>162784.74989975689</v>
      </c>
    </row>
    <row r="158" spans="5:13">
      <c r="E158">
        <v>155</v>
      </c>
      <c r="F158" s="77">
        <f t="shared" si="19"/>
        <v>1717.829193638845</v>
      </c>
      <c r="G158" s="77">
        <f t="shared" si="15"/>
        <v>985.35757409175812</v>
      </c>
      <c r="H158" s="77">
        <f t="shared" si="20"/>
        <v>732.4716195470869</v>
      </c>
      <c r="I158" s="77">
        <f t="shared" si="16"/>
        <v>183734.70037013499</v>
      </c>
      <c r="J158" s="77">
        <f t="shared" si="17"/>
        <v>84246.653837524907</v>
      </c>
      <c r="K158" s="77">
        <f t="shared" si="21"/>
        <v>236485.81778202194</v>
      </c>
      <c r="L158" s="75">
        <v>400000</v>
      </c>
      <c r="M158" s="75">
        <f t="shared" si="18"/>
        <v>163514.18221797806</v>
      </c>
    </row>
    <row r="159" spans="5:13">
      <c r="E159">
        <v>156</v>
      </c>
      <c r="F159" s="77">
        <f t="shared" si="19"/>
        <v>1717.829193638845</v>
      </c>
      <c r="G159" s="77">
        <f t="shared" si="15"/>
        <v>982.30560901031185</v>
      </c>
      <c r="H159" s="77">
        <f t="shared" si="20"/>
        <v>735.52358462853317</v>
      </c>
      <c r="I159" s="77">
        <f t="shared" si="16"/>
        <v>184717.00597914529</v>
      </c>
      <c r="J159" s="77">
        <f t="shared" si="17"/>
        <v>84982.177422153443</v>
      </c>
      <c r="K159" s="77">
        <f t="shared" si="21"/>
        <v>235753.34616247486</v>
      </c>
      <c r="L159" s="75">
        <v>400000</v>
      </c>
      <c r="M159" s="75">
        <f t="shared" si="18"/>
        <v>164246.65383752514</v>
      </c>
    </row>
    <row r="160" spans="5:13">
      <c r="E160">
        <v>157</v>
      </c>
      <c r="F160" s="77">
        <f t="shared" si="19"/>
        <v>1717.829193638845</v>
      </c>
      <c r="G160" s="77">
        <f t="shared" si="15"/>
        <v>979.24092740769299</v>
      </c>
      <c r="H160" s="77">
        <f t="shared" si="20"/>
        <v>738.58826623115203</v>
      </c>
      <c r="I160" s="77">
        <f t="shared" si="16"/>
        <v>185696.24690655299</v>
      </c>
      <c r="J160" s="77">
        <f t="shared" si="17"/>
        <v>85720.765688384592</v>
      </c>
      <c r="K160" s="77">
        <f t="shared" si="21"/>
        <v>235017.82257784632</v>
      </c>
      <c r="L160" s="75">
        <v>400000</v>
      </c>
      <c r="M160" s="75">
        <f t="shared" si="18"/>
        <v>164982.17742215368</v>
      </c>
    </row>
    <row r="161" spans="5:13">
      <c r="E161">
        <v>158</v>
      </c>
      <c r="F161" s="77">
        <f t="shared" si="19"/>
        <v>1717.829193638845</v>
      </c>
      <c r="G161" s="77">
        <f t="shared" si="15"/>
        <v>976.16347629839652</v>
      </c>
      <c r="H161" s="77">
        <f t="shared" si="20"/>
        <v>741.66571734044851</v>
      </c>
      <c r="I161" s="77">
        <f t="shared" si="16"/>
        <v>186672.41038285138</v>
      </c>
      <c r="J161" s="77">
        <f t="shared" si="17"/>
        <v>86462.431405725045</v>
      </c>
      <c r="K161" s="77">
        <f t="shared" si="21"/>
        <v>234279.23431161518</v>
      </c>
      <c r="L161" s="75">
        <v>400000</v>
      </c>
      <c r="M161" s="75">
        <f t="shared" si="18"/>
        <v>165720.76568838482</v>
      </c>
    </row>
    <row r="162" spans="5:13">
      <c r="E162">
        <v>159</v>
      </c>
      <c r="F162" s="77">
        <f t="shared" si="19"/>
        <v>1717.829193638845</v>
      </c>
      <c r="G162" s="77">
        <f t="shared" si="15"/>
        <v>973.07320247614462</v>
      </c>
      <c r="H162" s="77">
        <f t="shared" si="20"/>
        <v>744.75599116270041</v>
      </c>
      <c r="I162" s="77">
        <f t="shared" si="16"/>
        <v>187645.48358532751</v>
      </c>
      <c r="J162" s="77">
        <f t="shared" si="17"/>
        <v>87207.187396887748</v>
      </c>
      <c r="K162" s="77">
        <f t="shared" si="21"/>
        <v>233537.56859427472</v>
      </c>
      <c r="L162" s="75">
        <v>400000</v>
      </c>
      <c r="M162" s="75">
        <f t="shared" si="18"/>
        <v>166462.43140572528</v>
      </c>
    </row>
    <row r="163" spans="5:13">
      <c r="E163">
        <v>160</v>
      </c>
      <c r="F163" s="77">
        <f t="shared" si="19"/>
        <v>1717.829193638845</v>
      </c>
      <c r="G163" s="77">
        <f t="shared" si="15"/>
        <v>969.97005251296673</v>
      </c>
      <c r="H163" s="77">
        <f t="shared" si="20"/>
        <v>747.8591411258783</v>
      </c>
      <c r="I163" s="77">
        <f t="shared" si="16"/>
        <v>188615.45363784049</v>
      </c>
      <c r="J163" s="77">
        <f t="shared" si="17"/>
        <v>87955.04653801363</v>
      </c>
      <c r="K163" s="77">
        <f t="shared" si="21"/>
        <v>232792.81260311202</v>
      </c>
      <c r="L163" s="75">
        <v>400000</v>
      </c>
      <c r="M163" s="75">
        <f t="shared" si="18"/>
        <v>167207.18739688798</v>
      </c>
    </row>
    <row r="164" spans="5:13">
      <c r="E164">
        <v>161</v>
      </c>
      <c r="F164" s="77">
        <f t="shared" si="19"/>
        <v>1717.829193638845</v>
      </c>
      <c r="G164" s="77">
        <f t="shared" si="15"/>
        <v>966.85397275827563</v>
      </c>
      <c r="H164" s="77">
        <f t="shared" si="20"/>
        <v>750.9752208805694</v>
      </c>
      <c r="I164" s="77">
        <f t="shared" si="16"/>
        <v>189582.30761059877</v>
      </c>
      <c r="J164" s="77">
        <f t="shared" si="17"/>
        <v>88706.021758894203</v>
      </c>
      <c r="K164" s="77">
        <f t="shared" si="21"/>
        <v>232044.95346198615</v>
      </c>
      <c r="L164" s="75">
        <v>400000</v>
      </c>
      <c r="M164" s="75">
        <f t="shared" si="18"/>
        <v>167955.04653801385</v>
      </c>
    </row>
    <row r="165" spans="5:13">
      <c r="E165">
        <v>162</v>
      </c>
      <c r="F165" s="77">
        <f t="shared" si="19"/>
        <v>1717.829193638845</v>
      </c>
      <c r="G165" s="77">
        <f t="shared" si="15"/>
        <v>963.72490933793995</v>
      </c>
      <c r="H165" s="77">
        <f t="shared" si="20"/>
        <v>754.10428430090508</v>
      </c>
      <c r="I165" s="77">
        <f t="shared" si="16"/>
        <v>190546.03251993671</v>
      </c>
      <c r="J165" s="77">
        <f t="shared" si="17"/>
        <v>89460.126043195109</v>
      </c>
      <c r="K165" s="77">
        <f t="shared" si="21"/>
        <v>231293.97824110559</v>
      </c>
      <c r="L165" s="75">
        <v>400000</v>
      </c>
      <c r="M165" s="75">
        <f t="shared" si="18"/>
        <v>168706.02175889441</v>
      </c>
    </row>
    <row r="166" spans="5:13">
      <c r="E166">
        <v>163</v>
      </c>
      <c r="F166" s="77">
        <f t="shared" si="19"/>
        <v>1717.829193638845</v>
      </c>
      <c r="G166" s="77">
        <f t="shared" si="15"/>
        <v>960.58280815335286</v>
      </c>
      <c r="H166" s="77">
        <f t="shared" si="20"/>
        <v>757.24638548549217</v>
      </c>
      <c r="I166" s="77">
        <f t="shared" si="16"/>
        <v>191506.61532809006</v>
      </c>
      <c r="J166" s="77">
        <f t="shared" si="17"/>
        <v>90217.372428680595</v>
      </c>
      <c r="K166" s="77">
        <f t="shared" si="21"/>
        <v>230539.87395680469</v>
      </c>
      <c r="L166" s="75">
        <v>400000</v>
      </c>
      <c r="M166" s="75">
        <f t="shared" si="18"/>
        <v>169460.12604319531</v>
      </c>
    </row>
    <row r="167" spans="5:13">
      <c r="E167">
        <v>164</v>
      </c>
      <c r="F167" s="77">
        <f t="shared" si="19"/>
        <v>1717.829193638845</v>
      </c>
      <c r="G167" s="77">
        <f t="shared" si="15"/>
        <v>957.42761488049666</v>
      </c>
      <c r="H167" s="77">
        <f t="shared" si="20"/>
        <v>760.40157875834836</v>
      </c>
      <c r="I167" s="77">
        <f t="shared" si="16"/>
        <v>192464.04294297055</v>
      </c>
      <c r="J167" s="77">
        <f t="shared" si="17"/>
        <v>90977.774007438944</v>
      </c>
      <c r="K167" s="77">
        <f t="shared" si="21"/>
        <v>229782.6275713192</v>
      </c>
      <c r="L167" s="75">
        <v>400000</v>
      </c>
      <c r="M167" s="75">
        <f t="shared" si="18"/>
        <v>170217.3724286808</v>
      </c>
    </row>
    <row r="168" spans="5:13">
      <c r="E168">
        <v>165</v>
      </c>
      <c r="F168" s="77">
        <f t="shared" si="19"/>
        <v>1717.829193638845</v>
      </c>
      <c r="G168" s="77">
        <f t="shared" si="15"/>
        <v>954.25927496900351</v>
      </c>
      <c r="H168" s="77">
        <f t="shared" si="20"/>
        <v>763.56991866984151</v>
      </c>
      <c r="I168" s="77">
        <f t="shared" si="16"/>
        <v>193418.30221793955</v>
      </c>
      <c r="J168" s="77">
        <f t="shared" si="17"/>
        <v>91741.343926108791</v>
      </c>
      <c r="K168" s="77">
        <f t="shared" si="21"/>
        <v>229022.22599256085</v>
      </c>
      <c r="L168" s="75">
        <v>400000</v>
      </c>
      <c r="M168" s="75">
        <f t="shared" si="18"/>
        <v>170977.77400743915</v>
      </c>
    </row>
    <row r="169" spans="5:13">
      <c r="E169">
        <v>166</v>
      </c>
      <c r="F169" s="77">
        <f t="shared" si="19"/>
        <v>1717.829193638845</v>
      </c>
      <c r="G169" s="77">
        <f t="shared" si="15"/>
        <v>951.07773364121249</v>
      </c>
      <c r="H169" s="77">
        <f t="shared" si="20"/>
        <v>766.75145999763254</v>
      </c>
      <c r="I169" s="77">
        <f t="shared" si="16"/>
        <v>194369.37995158075</v>
      </c>
      <c r="J169" s="77">
        <f t="shared" si="17"/>
        <v>92508.095386106419</v>
      </c>
      <c r="K169" s="77">
        <f t="shared" si="21"/>
        <v>228258.656073891</v>
      </c>
      <c r="L169" s="75">
        <v>400000</v>
      </c>
      <c r="M169" s="75">
        <f t="shared" si="18"/>
        <v>171741.343926109</v>
      </c>
    </row>
    <row r="170" spans="5:13">
      <c r="E170">
        <v>167</v>
      </c>
      <c r="F170" s="77">
        <f t="shared" si="19"/>
        <v>1717.829193638845</v>
      </c>
      <c r="G170" s="77">
        <f t="shared" si="15"/>
        <v>947.88293589122236</v>
      </c>
      <c r="H170" s="77">
        <f t="shared" si="20"/>
        <v>769.94625774762267</v>
      </c>
      <c r="I170" s="77">
        <f t="shared" si="16"/>
        <v>195317.26288747197</v>
      </c>
      <c r="J170" s="77">
        <f t="shared" si="17"/>
        <v>93278.041643854041</v>
      </c>
      <c r="K170" s="77">
        <f t="shared" si="21"/>
        <v>227491.90461389336</v>
      </c>
      <c r="L170" s="75">
        <v>400000</v>
      </c>
      <c r="M170" s="75">
        <f t="shared" si="18"/>
        <v>172508.09538610664</v>
      </c>
    </row>
    <row r="171" spans="5:13">
      <c r="E171">
        <v>168</v>
      </c>
      <c r="F171" s="77">
        <f t="shared" si="19"/>
        <v>1717.829193638845</v>
      </c>
      <c r="G171" s="77">
        <f t="shared" si="15"/>
        <v>944.67482648394059</v>
      </c>
      <c r="H171" s="77">
        <f t="shared" si="20"/>
        <v>773.15436715490443</v>
      </c>
      <c r="I171" s="77">
        <f t="shared" si="16"/>
        <v>196261.93771395591</v>
      </c>
      <c r="J171" s="77">
        <f t="shared" si="17"/>
        <v>94051.196011008942</v>
      </c>
      <c r="K171" s="77">
        <f t="shared" si="21"/>
        <v>226721.95835614574</v>
      </c>
      <c r="L171" s="75">
        <v>400000</v>
      </c>
      <c r="M171" s="75">
        <f t="shared" si="18"/>
        <v>173278.04164385426</v>
      </c>
    </row>
    <row r="172" spans="5:13">
      <c r="E172">
        <v>169</v>
      </c>
      <c r="F172" s="77">
        <f t="shared" si="19"/>
        <v>1717.829193638845</v>
      </c>
      <c r="G172" s="77">
        <f t="shared" si="15"/>
        <v>941.4533499541285</v>
      </c>
      <c r="H172" s="77">
        <f t="shared" si="20"/>
        <v>776.37584368471653</v>
      </c>
      <c r="I172" s="77">
        <f t="shared" si="16"/>
        <v>197203.39106391004</v>
      </c>
      <c r="J172" s="77">
        <f t="shared" si="17"/>
        <v>94827.571854693655</v>
      </c>
      <c r="K172" s="77">
        <f t="shared" si="21"/>
        <v>225948.80398899084</v>
      </c>
      <c r="L172" s="75">
        <v>400000</v>
      </c>
      <c r="M172" s="75">
        <f t="shared" si="18"/>
        <v>174051.19601100916</v>
      </c>
    </row>
    <row r="173" spans="5:13">
      <c r="E173">
        <v>170</v>
      </c>
      <c r="F173" s="77">
        <f t="shared" si="19"/>
        <v>1717.829193638845</v>
      </c>
      <c r="G173" s="77">
        <f t="shared" si="15"/>
        <v>938.21845060544217</v>
      </c>
      <c r="H173" s="77">
        <f t="shared" si="20"/>
        <v>779.61074303340285</v>
      </c>
      <c r="I173" s="77">
        <f t="shared" si="16"/>
        <v>198141.60951451547</v>
      </c>
      <c r="J173" s="77">
        <f t="shared" si="17"/>
        <v>95607.182597727064</v>
      </c>
      <c r="K173" s="77">
        <f t="shared" si="21"/>
        <v>225172.42814530613</v>
      </c>
      <c r="L173" s="75">
        <v>400000</v>
      </c>
      <c r="M173" s="75">
        <f t="shared" si="18"/>
        <v>174827.57185469387</v>
      </c>
    </row>
    <row r="174" spans="5:13">
      <c r="E174">
        <v>171</v>
      </c>
      <c r="F174" s="77">
        <f t="shared" si="19"/>
        <v>1717.829193638845</v>
      </c>
      <c r="G174" s="77">
        <f t="shared" si="15"/>
        <v>934.97007250946967</v>
      </c>
      <c r="H174" s="77">
        <f t="shared" si="20"/>
        <v>782.85912112937535</v>
      </c>
      <c r="I174" s="77">
        <f t="shared" si="16"/>
        <v>199076.57958702493</v>
      </c>
      <c r="J174" s="77">
        <f t="shared" si="17"/>
        <v>96390.041718856446</v>
      </c>
      <c r="K174" s="77">
        <f t="shared" si="21"/>
        <v>224392.81740227272</v>
      </c>
      <c r="L174" s="75">
        <v>400000</v>
      </c>
      <c r="M174" s="75">
        <f t="shared" si="18"/>
        <v>175607.18259772728</v>
      </c>
    </row>
    <row r="175" spans="5:13">
      <c r="E175">
        <v>172</v>
      </c>
      <c r="F175" s="77">
        <f t="shared" si="19"/>
        <v>1717.829193638845</v>
      </c>
      <c r="G175" s="77">
        <f t="shared" si="15"/>
        <v>931.7081595047639</v>
      </c>
      <c r="H175" s="77">
        <f t="shared" si="20"/>
        <v>786.12103413408113</v>
      </c>
      <c r="I175" s="77">
        <f t="shared" si="16"/>
        <v>200008.28774652968</v>
      </c>
      <c r="J175" s="77">
        <f t="shared" si="17"/>
        <v>97176.162752990524</v>
      </c>
      <c r="K175" s="77">
        <f t="shared" si="21"/>
        <v>223609.95828114334</v>
      </c>
      <c r="L175" s="75">
        <v>400000</v>
      </c>
      <c r="M175" s="75">
        <f t="shared" si="18"/>
        <v>176390.04171885666</v>
      </c>
    </row>
    <row r="176" spans="5:13">
      <c r="E176">
        <v>173</v>
      </c>
      <c r="F176" s="77">
        <f t="shared" si="19"/>
        <v>1717.829193638845</v>
      </c>
      <c r="G176" s="77">
        <f t="shared" si="15"/>
        <v>928.4326551958718</v>
      </c>
      <c r="H176" s="77">
        <f t="shared" si="20"/>
        <v>789.39653844297322</v>
      </c>
      <c r="I176" s="77">
        <f t="shared" si="16"/>
        <v>200936.72040172556</v>
      </c>
      <c r="J176" s="77">
        <f t="shared" si="17"/>
        <v>97965.559291433499</v>
      </c>
      <c r="K176" s="77">
        <f t="shared" si="21"/>
        <v>222823.83724700924</v>
      </c>
      <c r="L176" s="75">
        <v>400000</v>
      </c>
      <c r="M176" s="75">
        <f t="shared" si="18"/>
        <v>177176.16275299076</v>
      </c>
    </row>
    <row r="177" spans="5:13">
      <c r="E177">
        <v>174</v>
      </c>
      <c r="F177" s="77">
        <f t="shared" si="19"/>
        <v>1717.829193638845</v>
      </c>
      <c r="G177" s="77">
        <f t="shared" si="15"/>
        <v>925.14350295235954</v>
      </c>
      <c r="H177" s="77">
        <f t="shared" si="20"/>
        <v>792.68569068648549</v>
      </c>
      <c r="I177" s="77">
        <f t="shared" si="16"/>
        <v>201861.86390467791</v>
      </c>
      <c r="J177" s="77">
        <f t="shared" si="17"/>
        <v>98758.244982119984</v>
      </c>
      <c r="K177" s="77">
        <f t="shared" si="21"/>
        <v>222034.44070856628</v>
      </c>
      <c r="L177" s="75">
        <v>400000</v>
      </c>
      <c r="M177" s="75">
        <f t="shared" si="18"/>
        <v>177965.55929143372</v>
      </c>
    </row>
    <row r="178" spans="5:13">
      <c r="E178">
        <v>175</v>
      </c>
      <c r="F178" s="77">
        <f t="shared" si="19"/>
        <v>1717.829193638845</v>
      </c>
      <c r="G178" s="77">
        <f t="shared" si="15"/>
        <v>921.84064590783248</v>
      </c>
      <c r="H178" s="77">
        <f t="shared" si="20"/>
        <v>795.98854773101255</v>
      </c>
      <c r="I178" s="77">
        <f t="shared" si="16"/>
        <v>202783.70455058574</v>
      </c>
      <c r="J178" s="77">
        <f t="shared" si="17"/>
        <v>99554.233529851001</v>
      </c>
      <c r="K178" s="77">
        <f t="shared" si="21"/>
        <v>221241.7550178798</v>
      </c>
      <c r="L178" s="75">
        <v>400000</v>
      </c>
      <c r="M178" s="75">
        <f t="shared" si="18"/>
        <v>178758.2449821202</v>
      </c>
    </row>
    <row r="179" spans="5:13">
      <c r="E179">
        <v>176</v>
      </c>
      <c r="F179" s="77">
        <f t="shared" si="19"/>
        <v>1717.829193638845</v>
      </c>
      <c r="G179" s="77">
        <f t="shared" si="15"/>
        <v>918.52402695895319</v>
      </c>
      <c r="H179" s="77">
        <f t="shared" si="20"/>
        <v>799.30516667989184</v>
      </c>
      <c r="I179" s="77">
        <f t="shared" si="16"/>
        <v>203702.22857754468</v>
      </c>
      <c r="J179" s="77">
        <f t="shared" si="17"/>
        <v>100353.53869653089</v>
      </c>
      <c r="K179" s="77">
        <f t="shared" si="21"/>
        <v>220445.76647014878</v>
      </c>
      <c r="L179" s="75">
        <v>400000</v>
      </c>
      <c r="M179" s="75">
        <f t="shared" si="18"/>
        <v>179554.23352985122</v>
      </c>
    </row>
    <row r="180" spans="5:13">
      <c r="E180">
        <v>177</v>
      </c>
      <c r="F180" s="77">
        <f t="shared" si="19"/>
        <v>1717.829193638845</v>
      </c>
      <c r="G180" s="77">
        <f t="shared" si="15"/>
        <v>915.19358876445369</v>
      </c>
      <c r="H180" s="77">
        <f t="shared" si="20"/>
        <v>802.63560487439133</v>
      </c>
      <c r="I180" s="77">
        <f t="shared" si="16"/>
        <v>204617.42216630914</v>
      </c>
      <c r="J180" s="77">
        <f t="shared" si="17"/>
        <v>101156.17430140528</v>
      </c>
      <c r="K180" s="77">
        <f t="shared" si="21"/>
        <v>219646.46130346888</v>
      </c>
      <c r="L180" s="75">
        <v>400000</v>
      </c>
      <c r="M180" s="75">
        <f t="shared" si="18"/>
        <v>180353.53869653112</v>
      </c>
    </row>
    <row r="181" spans="5:13">
      <c r="E181">
        <v>178</v>
      </c>
      <c r="F181" s="77">
        <f t="shared" si="19"/>
        <v>1717.829193638845</v>
      </c>
      <c r="G181" s="77">
        <f t="shared" si="15"/>
        <v>911.8492737441436</v>
      </c>
      <c r="H181" s="77">
        <f t="shared" si="20"/>
        <v>805.97991989470142</v>
      </c>
      <c r="I181" s="77">
        <f t="shared" si="16"/>
        <v>205529.2714400533</v>
      </c>
      <c r="J181" s="77">
        <f t="shared" si="17"/>
        <v>101962.15422129998</v>
      </c>
      <c r="K181" s="77">
        <f t="shared" si="21"/>
        <v>218843.82569859448</v>
      </c>
      <c r="L181" s="75">
        <v>400000</v>
      </c>
      <c r="M181" s="75">
        <f t="shared" si="18"/>
        <v>181156.17430140552</v>
      </c>
    </row>
    <row r="182" spans="5:13">
      <c r="E182">
        <v>179</v>
      </c>
      <c r="F182" s="77">
        <f t="shared" si="19"/>
        <v>1717.829193638845</v>
      </c>
      <c r="G182" s="77">
        <f t="shared" si="15"/>
        <v>908.49102407791565</v>
      </c>
      <c r="H182" s="77">
        <f t="shared" si="20"/>
        <v>809.33816956092937</v>
      </c>
      <c r="I182" s="77">
        <f t="shared" si="16"/>
        <v>206437.76246413123</v>
      </c>
      <c r="J182" s="77">
        <f t="shared" si="17"/>
        <v>102771.49239086091</v>
      </c>
      <c r="K182" s="77">
        <f t="shared" si="21"/>
        <v>218037.84577869976</v>
      </c>
      <c r="L182" s="75">
        <v>400000</v>
      </c>
      <c r="M182" s="75">
        <f t="shared" si="18"/>
        <v>181962.15422130024</v>
      </c>
    </row>
    <row r="183" spans="5:13">
      <c r="E183">
        <v>180</v>
      </c>
      <c r="F183" s="77">
        <f t="shared" si="19"/>
        <v>1717.829193638845</v>
      </c>
      <c r="G183" s="77">
        <f t="shared" si="15"/>
        <v>905.11878170474506</v>
      </c>
      <c r="H183" s="77">
        <f t="shared" si="20"/>
        <v>812.71041193409997</v>
      </c>
      <c r="I183" s="77">
        <f t="shared" si="16"/>
        <v>207342.88124583598</v>
      </c>
      <c r="J183" s="77">
        <f t="shared" si="17"/>
        <v>103584.202802795</v>
      </c>
      <c r="K183" s="77">
        <f t="shared" si="21"/>
        <v>217228.50760913882</v>
      </c>
      <c r="L183" s="75">
        <v>400000</v>
      </c>
      <c r="M183" s="75">
        <f t="shared" si="18"/>
        <v>182771.49239086118</v>
      </c>
    </row>
    <row r="184" spans="5:13">
      <c r="E184">
        <v>181</v>
      </c>
      <c r="F184" s="77">
        <f t="shared" si="19"/>
        <v>1717.829193638845</v>
      </c>
      <c r="G184" s="77">
        <f t="shared" si="15"/>
        <v>901.73248832168633</v>
      </c>
      <c r="H184" s="77">
        <f t="shared" si="20"/>
        <v>816.09670531715869</v>
      </c>
      <c r="I184" s="77">
        <f t="shared" si="16"/>
        <v>208244.61373415767</v>
      </c>
      <c r="J184" s="77">
        <f t="shared" si="17"/>
        <v>104400.29950811216</v>
      </c>
      <c r="K184" s="77">
        <f t="shared" si="21"/>
        <v>216415.79719720472</v>
      </c>
      <c r="L184" s="75">
        <v>400000</v>
      </c>
      <c r="M184" s="75">
        <f t="shared" si="18"/>
        <v>183584.20280279528</v>
      </c>
    </row>
    <row r="185" spans="5:13">
      <c r="E185">
        <v>182</v>
      </c>
      <c r="F185" s="77">
        <f t="shared" si="19"/>
        <v>1717.829193638845</v>
      </c>
      <c r="G185" s="77">
        <f t="shared" si="15"/>
        <v>898.33208538286488</v>
      </c>
      <c r="H185" s="77">
        <f t="shared" si="20"/>
        <v>819.49710825598015</v>
      </c>
      <c r="I185" s="77">
        <f t="shared" si="16"/>
        <v>209142.94581954053</v>
      </c>
      <c r="J185" s="77">
        <f t="shared" si="17"/>
        <v>105219.79661636814</v>
      </c>
      <c r="K185" s="77">
        <f t="shared" si="21"/>
        <v>215599.70049188758</v>
      </c>
      <c r="L185" s="75">
        <v>400000</v>
      </c>
      <c r="M185" s="75">
        <f t="shared" si="18"/>
        <v>184400.29950811242</v>
      </c>
    </row>
    <row r="186" spans="5:13">
      <c r="E186">
        <v>183</v>
      </c>
      <c r="F186" s="77">
        <f t="shared" si="19"/>
        <v>1717.829193638845</v>
      </c>
      <c r="G186" s="77">
        <f t="shared" si="15"/>
        <v>894.91751409846495</v>
      </c>
      <c r="H186" s="77">
        <f t="shared" si="20"/>
        <v>822.91167954038008</v>
      </c>
      <c r="I186" s="77">
        <f t="shared" si="16"/>
        <v>210037.86333363899</v>
      </c>
      <c r="J186" s="77">
        <f t="shared" si="17"/>
        <v>106042.70829590852</v>
      </c>
      <c r="K186" s="77">
        <f t="shared" si="21"/>
        <v>214780.2033836316</v>
      </c>
      <c r="L186" s="75">
        <v>400000</v>
      </c>
      <c r="M186" s="75">
        <f t="shared" si="18"/>
        <v>185219.7966163684</v>
      </c>
    </row>
    <row r="187" spans="5:13">
      <c r="E187">
        <v>184</v>
      </c>
      <c r="F187" s="77">
        <f t="shared" si="19"/>
        <v>1717.829193638845</v>
      </c>
      <c r="G187" s="77">
        <f t="shared" si="15"/>
        <v>891.48871543371342</v>
      </c>
      <c r="H187" s="77">
        <f t="shared" si="20"/>
        <v>826.3404782051316</v>
      </c>
      <c r="I187" s="77">
        <f t="shared" si="16"/>
        <v>210929.35204907271</v>
      </c>
      <c r="J187" s="77">
        <f t="shared" si="17"/>
        <v>106869.04877411366</v>
      </c>
      <c r="K187" s="77">
        <f t="shared" si="21"/>
        <v>213957.29170409121</v>
      </c>
      <c r="L187" s="75">
        <v>400000</v>
      </c>
      <c r="M187" s="75">
        <f t="shared" si="18"/>
        <v>186042.70829590879</v>
      </c>
    </row>
    <row r="188" spans="5:13">
      <c r="E188">
        <v>185</v>
      </c>
      <c r="F188" s="77">
        <f t="shared" si="19"/>
        <v>1717.829193638845</v>
      </c>
      <c r="G188" s="77">
        <f t="shared" si="15"/>
        <v>888.04563010785876</v>
      </c>
      <c r="H188" s="77">
        <f t="shared" si="20"/>
        <v>829.78356353098627</v>
      </c>
      <c r="I188" s="77">
        <f t="shared" si="16"/>
        <v>211817.39767918058</v>
      </c>
      <c r="J188" s="77">
        <f t="shared" si="17"/>
        <v>107698.83233764465</v>
      </c>
      <c r="K188" s="77">
        <f t="shared" si="21"/>
        <v>213130.95122588609</v>
      </c>
      <c r="L188" s="75">
        <v>400000</v>
      </c>
      <c r="M188" s="75">
        <f t="shared" si="18"/>
        <v>186869.04877411391</v>
      </c>
    </row>
    <row r="189" spans="5:13">
      <c r="E189">
        <v>186</v>
      </c>
      <c r="F189" s="77">
        <f t="shared" si="19"/>
        <v>1717.829193638845</v>
      </c>
      <c r="G189" s="77">
        <f t="shared" si="15"/>
        <v>884.58819859314633</v>
      </c>
      <c r="H189" s="77">
        <f t="shared" si="20"/>
        <v>833.2409950456987</v>
      </c>
      <c r="I189" s="77">
        <f t="shared" si="16"/>
        <v>212701.98587777372</v>
      </c>
      <c r="J189" s="77">
        <f t="shared" si="17"/>
        <v>108532.07333269034</v>
      </c>
      <c r="K189" s="77">
        <f t="shared" si="21"/>
        <v>212301.16766235512</v>
      </c>
      <c r="L189" s="75">
        <v>400000</v>
      </c>
      <c r="M189" s="75">
        <f t="shared" si="18"/>
        <v>187698.83233764488</v>
      </c>
    </row>
    <row r="190" spans="5:13">
      <c r="E190">
        <v>187</v>
      </c>
      <c r="F190" s="77">
        <f t="shared" si="19"/>
        <v>1717.829193638845</v>
      </c>
      <c r="G190" s="77">
        <f t="shared" si="15"/>
        <v>881.11636111378925</v>
      </c>
      <c r="H190" s="77">
        <f t="shared" si="20"/>
        <v>836.71283252505577</v>
      </c>
      <c r="I190" s="77">
        <f t="shared" si="16"/>
        <v>213583.10223888751</v>
      </c>
      <c r="J190" s="77">
        <f t="shared" si="17"/>
        <v>109368.7861652154</v>
      </c>
      <c r="K190" s="77">
        <f t="shared" si="21"/>
        <v>211467.92666730942</v>
      </c>
      <c r="L190" s="75">
        <v>400000</v>
      </c>
      <c r="M190" s="75">
        <f t="shared" si="18"/>
        <v>188532.07333269058</v>
      </c>
    </row>
    <row r="191" spans="5:13">
      <c r="E191">
        <v>188</v>
      </c>
      <c r="F191" s="77">
        <f t="shared" si="19"/>
        <v>1717.829193638845</v>
      </c>
      <c r="G191" s="77">
        <f t="shared" si="15"/>
        <v>877.63005764493482</v>
      </c>
      <c r="H191" s="77">
        <f t="shared" si="20"/>
        <v>840.1991359939102</v>
      </c>
      <c r="I191" s="77">
        <f t="shared" si="16"/>
        <v>214460.73229653246</v>
      </c>
      <c r="J191" s="77">
        <f t="shared" si="17"/>
        <v>110208.98530120931</v>
      </c>
      <c r="K191" s="77">
        <f t="shared" si="21"/>
        <v>210631.21383478437</v>
      </c>
      <c r="L191" s="75">
        <v>400000</v>
      </c>
      <c r="M191" s="75">
        <f t="shared" si="18"/>
        <v>189368.78616521563</v>
      </c>
    </row>
    <row r="192" spans="5:13">
      <c r="E192">
        <v>189</v>
      </c>
      <c r="F192" s="77">
        <f t="shared" si="19"/>
        <v>1717.829193638845</v>
      </c>
      <c r="G192" s="77">
        <f t="shared" si="15"/>
        <v>874.12922791162691</v>
      </c>
      <c r="H192" s="77">
        <f t="shared" si="20"/>
        <v>843.69996572721811</v>
      </c>
      <c r="I192" s="77">
        <f t="shared" si="16"/>
        <v>215334.86152444407</v>
      </c>
      <c r="J192" s="77">
        <f t="shared" si="17"/>
        <v>111052.68526693653</v>
      </c>
      <c r="K192" s="77">
        <f t="shared" si="21"/>
        <v>209791.01469879047</v>
      </c>
      <c r="L192" s="75">
        <v>400000</v>
      </c>
      <c r="M192" s="75">
        <f t="shared" si="18"/>
        <v>190208.98530120953</v>
      </c>
    </row>
    <row r="193" spans="5:13">
      <c r="E193">
        <v>190</v>
      </c>
      <c r="F193" s="77">
        <f t="shared" si="19"/>
        <v>1717.829193638845</v>
      </c>
      <c r="G193" s="77">
        <f t="shared" si="15"/>
        <v>870.61381138776358</v>
      </c>
      <c r="H193" s="77">
        <f t="shared" si="20"/>
        <v>847.21538225108145</v>
      </c>
      <c r="I193" s="77">
        <f t="shared" si="16"/>
        <v>216205.47533583184</v>
      </c>
      <c r="J193" s="77">
        <f t="shared" si="17"/>
        <v>111899.90064918762</v>
      </c>
      <c r="K193" s="77">
        <f t="shared" si="21"/>
        <v>208947.31473306325</v>
      </c>
      <c r="L193" s="75">
        <v>400000</v>
      </c>
      <c r="M193" s="75">
        <f t="shared" si="18"/>
        <v>191052.68526693675</v>
      </c>
    </row>
    <row r="194" spans="5:13">
      <c r="E194">
        <v>191</v>
      </c>
      <c r="F194" s="77">
        <f t="shared" si="19"/>
        <v>1717.829193638845</v>
      </c>
      <c r="G194" s="77">
        <f t="shared" si="15"/>
        <v>867.08374729505067</v>
      </c>
      <c r="H194" s="77">
        <f t="shared" si="20"/>
        <v>850.74544634379436</v>
      </c>
      <c r="I194" s="77">
        <f t="shared" si="16"/>
        <v>217072.55908312689</v>
      </c>
      <c r="J194" s="77">
        <f t="shared" si="17"/>
        <v>112750.64609553141</v>
      </c>
      <c r="K194" s="77">
        <f t="shared" si="21"/>
        <v>208100.09935081218</v>
      </c>
      <c r="L194" s="75">
        <v>400000</v>
      </c>
      <c r="M194" s="75">
        <f t="shared" si="18"/>
        <v>191899.90064918782</v>
      </c>
    </row>
    <row r="195" spans="5:13">
      <c r="E195">
        <v>192</v>
      </c>
      <c r="F195" s="77">
        <f t="shared" si="19"/>
        <v>1717.829193638845</v>
      </c>
      <c r="G195" s="77">
        <f t="shared" ref="G195:G258" si="22">(B$5/B$7)*K195</f>
        <v>863.53897460195162</v>
      </c>
      <c r="H195" s="77">
        <f t="shared" si="20"/>
        <v>854.2902190368934</v>
      </c>
      <c r="I195" s="77">
        <f t="shared" si="16"/>
        <v>217936.09805772884</v>
      </c>
      <c r="J195" s="77">
        <f t="shared" si="17"/>
        <v>113604.9363145683</v>
      </c>
      <c r="K195" s="77">
        <f t="shared" si="21"/>
        <v>207249.35390446839</v>
      </c>
      <c r="L195" s="75">
        <v>400000</v>
      </c>
      <c r="M195" s="75">
        <f t="shared" si="18"/>
        <v>192750.64609553161</v>
      </c>
    </row>
    <row r="196" spans="5:13">
      <c r="E196">
        <v>193</v>
      </c>
      <c r="F196" s="77">
        <f t="shared" si="19"/>
        <v>1717.829193638845</v>
      </c>
      <c r="G196" s="77">
        <f t="shared" si="22"/>
        <v>859.97943202263116</v>
      </c>
      <c r="H196" s="77">
        <f t="shared" si="20"/>
        <v>857.84976161621387</v>
      </c>
      <c r="I196" s="77">
        <f t="shared" ref="I196:I259" si="23">I195+G196</f>
        <v>218796.07748975148</v>
      </c>
      <c r="J196" s="77">
        <f t="shared" ref="J196:J259" si="24">J195+H196</f>
        <v>114462.78607618452</v>
      </c>
      <c r="K196" s="77">
        <f t="shared" si="21"/>
        <v>206395.06368543149</v>
      </c>
      <c r="L196" s="75">
        <v>400000</v>
      </c>
      <c r="M196" s="75">
        <f t="shared" ref="M196:M259" si="25">L196-K196</f>
        <v>193604.93631456851</v>
      </c>
    </row>
    <row r="197" spans="5:13">
      <c r="E197">
        <v>194</v>
      </c>
      <c r="F197" s="77">
        <f t="shared" ref="F197:F260" si="26">F196</f>
        <v>1717.829193638845</v>
      </c>
      <c r="G197" s="77">
        <f t="shared" si="22"/>
        <v>856.405058015897</v>
      </c>
      <c r="H197" s="77">
        <f t="shared" ref="H197:H260" si="27">F197-G197</f>
        <v>861.42413562294803</v>
      </c>
      <c r="I197" s="77">
        <f t="shared" si="23"/>
        <v>219652.48254776737</v>
      </c>
      <c r="J197" s="77">
        <f t="shared" si="24"/>
        <v>115324.21021180747</v>
      </c>
      <c r="K197" s="77">
        <f t="shared" ref="K197:K260" si="28">K196-H196</f>
        <v>205537.21392381529</v>
      </c>
      <c r="L197" s="75">
        <v>400000</v>
      </c>
      <c r="M197" s="75">
        <f t="shared" si="25"/>
        <v>194462.78607618471</v>
      </c>
    </row>
    <row r="198" spans="5:13">
      <c r="E198">
        <v>195</v>
      </c>
      <c r="F198" s="77">
        <f t="shared" si="26"/>
        <v>1717.829193638845</v>
      </c>
      <c r="G198" s="77">
        <f t="shared" si="22"/>
        <v>852.81579078413472</v>
      </c>
      <c r="H198" s="77">
        <f t="shared" si="27"/>
        <v>865.01340285471031</v>
      </c>
      <c r="I198" s="77">
        <f t="shared" si="23"/>
        <v>220505.29833855151</v>
      </c>
      <c r="J198" s="77">
        <f t="shared" si="24"/>
        <v>116189.22361466217</v>
      </c>
      <c r="K198" s="77">
        <f t="shared" si="28"/>
        <v>204675.78978819234</v>
      </c>
      <c r="L198" s="75">
        <v>400000</v>
      </c>
      <c r="M198" s="75">
        <f t="shared" si="25"/>
        <v>195324.21021180766</v>
      </c>
    </row>
    <row r="199" spans="5:13">
      <c r="E199">
        <v>196</v>
      </c>
      <c r="F199" s="77">
        <f t="shared" si="26"/>
        <v>1717.829193638845</v>
      </c>
      <c r="G199" s="77">
        <f t="shared" si="22"/>
        <v>849.21156827224013</v>
      </c>
      <c r="H199" s="77">
        <f t="shared" si="27"/>
        <v>868.6176253666049</v>
      </c>
      <c r="I199" s="77">
        <f t="shared" si="23"/>
        <v>221354.50990682375</v>
      </c>
      <c r="J199" s="77">
        <f t="shared" si="24"/>
        <v>117057.84124002878</v>
      </c>
      <c r="K199" s="77">
        <f t="shared" si="28"/>
        <v>203810.77638533764</v>
      </c>
      <c r="L199" s="75">
        <v>400000</v>
      </c>
      <c r="M199" s="75">
        <f t="shared" si="25"/>
        <v>196189.22361466236</v>
      </c>
    </row>
    <row r="200" spans="5:13">
      <c r="E200">
        <v>197</v>
      </c>
      <c r="F200" s="77">
        <f t="shared" si="26"/>
        <v>1717.829193638845</v>
      </c>
      <c r="G200" s="77">
        <f t="shared" si="22"/>
        <v>845.59232816654594</v>
      </c>
      <c r="H200" s="77">
        <f t="shared" si="27"/>
        <v>872.23686547229909</v>
      </c>
      <c r="I200" s="77">
        <f t="shared" si="23"/>
        <v>222200.10223499031</v>
      </c>
      <c r="J200" s="77">
        <f t="shared" si="24"/>
        <v>117930.07810550107</v>
      </c>
      <c r="K200" s="77">
        <f t="shared" si="28"/>
        <v>202942.15875997103</v>
      </c>
      <c r="L200" s="75">
        <v>400000</v>
      </c>
      <c r="M200" s="75">
        <f t="shared" si="25"/>
        <v>197057.84124002897</v>
      </c>
    </row>
    <row r="201" spans="5:13">
      <c r="E201">
        <v>198</v>
      </c>
      <c r="F201" s="77">
        <f t="shared" si="26"/>
        <v>1717.829193638845</v>
      </c>
      <c r="G201" s="77">
        <f t="shared" si="22"/>
        <v>841.95800789374471</v>
      </c>
      <c r="H201" s="77">
        <f t="shared" si="27"/>
        <v>875.87118574510032</v>
      </c>
      <c r="I201" s="77">
        <f t="shared" si="23"/>
        <v>223042.06024288406</v>
      </c>
      <c r="J201" s="77">
        <f t="shared" si="24"/>
        <v>118805.94929124617</v>
      </c>
      <c r="K201" s="77">
        <f t="shared" si="28"/>
        <v>202069.92189449872</v>
      </c>
      <c r="L201" s="75">
        <v>400000</v>
      </c>
      <c r="M201" s="75">
        <f t="shared" si="25"/>
        <v>197930.07810550128</v>
      </c>
    </row>
    <row r="202" spans="5:13">
      <c r="E202">
        <v>199</v>
      </c>
      <c r="F202" s="77">
        <f t="shared" si="26"/>
        <v>1717.829193638845</v>
      </c>
      <c r="G202" s="77">
        <f t="shared" si="22"/>
        <v>838.30854461980664</v>
      </c>
      <c r="H202" s="77">
        <f t="shared" si="27"/>
        <v>879.52064901903839</v>
      </c>
      <c r="I202" s="77">
        <f t="shared" si="23"/>
        <v>223880.36878750386</v>
      </c>
      <c r="J202" s="77">
        <f t="shared" si="24"/>
        <v>119685.4699402652</v>
      </c>
      <c r="K202" s="77">
        <f t="shared" si="28"/>
        <v>201194.05070875361</v>
      </c>
      <c r="L202" s="75">
        <v>400000</v>
      </c>
      <c r="M202" s="75">
        <f t="shared" si="25"/>
        <v>198805.94929124639</v>
      </c>
    </row>
    <row r="203" spans="5:13">
      <c r="E203">
        <v>200</v>
      </c>
      <c r="F203" s="77">
        <f t="shared" si="26"/>
        <v>1717.829193638845</v>
      </c>
      <c r="G203" s="77">
        <f t="shared" si="22"/>
        <v>834.64387524889401</v>
      </c>
      <c r="H203" s="77">
        <f t="shared" si="27"/>
        <v>883.18531838995102</v>
      </c>
      <c r="I203" s="77">
        <f t="shared" si="23"/>
        <v>224715.01266275276</v>
      </c>
      <c r="J203" s="77">
        <f t="shared" si="24"/>
        <v>120568.65525865516</v>
      </c>
      <c r="K203" s="77">
        <f t="shared" si="28"/>
        <v>200314.53005973456</v>
      </c>
      <c r="L203" s="75">
        <v>400000</v>
      </c>
      <c r="M203" s="75">
        <f t="shared" si="25"/>
        <v>199685.46994026544</v>
      </c>
    </row>
    <row r="204" spans="5:13">
      <c r="E204">
        <v>201</v>
      </c>
      <c r="F204" s="77">
        <f t="shared" si="26"/>
        <v>1717.829193638845</v>
      </c>
      <c r="G204" s="77">
        <f t="shared" si="22"/>
        <v>830.96393642226928</v>
      </c>
      <c r="H204" s="77">
        <f t="shared" si="27"/>
        <v>886.86525721657574</v>
      </c>
      <c r="I204" s="77">
        <f t="shared" si="23"/>
        <v>225545.97659917505</v>
      </c>
      <c r="J204" s="77">
        <f t="shared" si="24"/>
        <v>121455.52051587173</v>
      </c>
      <c r="K204" s="77">
        <f t="shared" si="28"/>
        <v>199431.34474134463</v>
      </c>
      <c r="L204" s="75">
        <v>400000</v>
      </c>
      <c r="M204" s="75">
        <f t="shared" si="25"/>
        <v>200568.65525865537</v>
      </c>
    </row>
    <row r="205" spans="5:13">
      <c r="E205">
        <v>202</v>
      </c>
      <c r="F205" s="77">
        <f t="shared" si="26"/>
        <v>1717.829193638845</v>
      </c>
      <c r="G205" s="77">
        <f t="shared" si="22"/>
        <v>827.26866451720014</v>
      </c>
      <c r="H205" s="77">
        <f t="shared" si="27"/>
        <v>890.56052912164489</v>
      </c>
      <c r="I205" s="77">
        <f t="shared" si="23"/>
        <v>226373.24526369225</v>
      </c>
      <c r="J205" s="77">
        <f t="shared" si="24"/>
        <v>122346.08104499338</v>
      </c>
      <c r="K205" s="77">
        <f t="shared" si="28"/>
        <v>198544.47948412804</v>
      </c>
      <c r="L205" s="75">
        <v>400000</v>
      </c>
      <c r="M205" s="75">
        <f t="shared" si="25"/>
        <v>201455.52051587196</v>
      </c>
    </row>
    <row r="206" spans="5:13">
      <c r="E206">
        <v>203</v>
      </c>
      <c r="F206" s="77">
        <f t="shared" si="26"/>
        <v>1717.829193638845</v>
      </c>
      <c r="G206" s="77">
        <f t="shared" si="22"/>
        <v>823.55799564586005</v>
      </c>
      <c r="H206" s="77">
        <f t="shared" si="27"/>
        <v>894.27119799298498</v>
      </c>
      <c r="I206" s="77">
        <f t="shared" si="23"/>
        <v>227196.80325933811</v>
      </c>
      <c r="J206" s="77">
        <f t="shared" si="24"/>
        <v>123240.35224298637</v>
      </c>
      <c r="K206" s="77">
        <f t="shared" si="28"/>
        <v>197653.9189550064</v>
      </c>
      <c r="L206" s="75">
        <v>400000</v>
      </c>
      <c r="M206" s="75">
        <f t="shared" si="25"/>
        <v>202346.0810449936</v>
      </c>
    </row>
    <row r="207" spans="5:13">
      <c r="E207">
        <v>204</v>
      </c>
      <c r="F207" s="77">
        <f t="shared" si="26"/>
        <v>1717.829193638845</v>
      </c>
      <c r="G207" s="77">
        <f t="shared" si="22"/>
        <v>819.8318656542225</v>
      </c>
      <c r="H207" s="77">
        <f t="shared" si="27"/>
        <v>897.99732798462253</v>
      </c>
      <c r="I207" s="77">
        <f t="shared" si="23"/>
        <v>228016.63512499232</v>
      </c>
      <c r="J207" s="77">
        <f t="shared" si="24"/>
        <v>124138.34957097098</v>
      </c>
      <c r="K207" s="77">
        <f t="shared" si="28"/>
        <v>196759.64775701342</v>
      </c>
      <c r="L207" s="75">
        <v>400000</v>
      </c>
      <c r="M207" s="75">
        <f t="shared" si="25"/>
        <v>203240.35224298658</v>
      </c>
    </row>
    <row r="208" spans="5:13">
      <c r="E208">
        <v>205</v>
      </c>
      <c r="F208" s="77">
        <f t="shared" si="26"/>
        <v>1717.829193638845</v>
      </c>
      <c r="G208" s="77">
        <f t="shared" si="22"/>
        <v>816.09021012095332</v>
      </c>
      <c r="H208" s="77">
        <f t="shared" si="27"/>
        <v>901.73898351789171</v>
      </c>
      <c r="I208" s="77">
        <f t="shared" si="23"/>
        <v>228832.72533511327</v>
      </c>
      <c r="J208" s="77">
        <f t="shared" si="24"/>
        <v>125040.08855448887</v>
      </c>
      <c r="K208" s="77">
        <f t="shared" si="28"/>
        <v>195861.65042902878</v>
      </c>
      <c r="L208" s="75">
        <v>400000</v>
      </c>
      <c r="M208" s="75">
        <f t="shared" si="25"/>
        <v>204138.34957097122</v>
      </c>
    </row>
    <row r="209" spans="5:13">
      <c r="E209">
        <v>206</v>
      </c>
      <c r="F209" s="77">
        <f t="shared" si="26"/>
        <v>1717.829193638845</v>
      </c>
      <c r="G209" s="77">
        <f t="shared" si="22"/>
        <v>812.33296435629541</v>
      </c>
      <c r="H209" s="77">
        <f t="shared" si="27"/>
        <v>905.49622928254962</v>
      </c>
      <c r="I209" s="77">
        <f t="shared" si="23"/>
        <v>229645.05829946956</v>
      </c>
      <c r="J209" s="77">
        <f t="shared" si="24"/>
        <v>125945.58478377142</v>
      </c>
      <c r="K209" s="77">
        <f t="shared" si="28"/>
        <v>194959.91144551089</v>
      </c>
      <c r="L209" s="75">
        <v>400000</v>
      </c>
      <c r="M209" s="75">
        <f t="shared" si="25"/>
        <v>205040.08855448911</v>
      </c>
    </row>
    <row r="210" spans="5:13">
      <c r="E210">
        <v>207</v>
      </c>
      <c r="F210" s="77">
        <f t="shared" si="26"/>
        <v>1717.829193638845</v>
      </c>
      <c r="G210" s="77">
        <f t="shared" si="22"/>
        <v>808.56006340095144</v>
      </c>
      <c r="H210" s="77">
        <f t="shared" si="27"/>
        <v>909.26913023789359</v>
      </c>
      <c r="I210" s="77">
        <f t="shared" si="23"/>
        <v>230453.6183628705</v>
      </c>
      <c r="J210" s="77">
        <f t="shared" si="24"/>
        <v>126854.85391400932</v>
      </c>
      <c r="K210" s="77">
        <f t="shared" si="28"/>
        <v>194054.41521622834</v>
      </c>
      <c r="L210" s="75">
        <v>400000</v>
      </c>
      <c r="M210" s="75">
        <f t="shared" si="25"/>
        <v>205945.58478377166</v>
      </c>
    </row>
    <row r="211" spans="5:13">
      <c r="E211">
        <v>208</v>
      </c>
      <c r="F211" s="77">
        <f t="shared" si="26"/>
        <v>1717.829193638845</v>
      </c>
      <c r="G211" s="77">
        <f t="shared" si="22"/>
        <v>804.77144202496015</v>
      </c>
      <c r="H211" s="77">
        <f t="shared" si="27"/>
        <v>913.05775161388488</v>
      </c>
      <c r="I211" s="77">
        <f t="shared" si="23"/>
        <v>231258.38980489547</v>
      </c>
      <c r="J211" s="77">
        <f t="shared" si="24"/>
        <v>127767.91166562321</v>
      </c>
      <c r="K211" s="77">
        <f t="shared" si="28"/>
        <v>193145.14608599045</v>
      </c>
      <c r="L211" s="75">
        <v>400000</v>
      </c>
      <c r="M211" s="75">
        <f t="shared" si="25"/>
        <v>206854.85391400955</v>
      </c>
    </row>
    <row r="212" spans="5:13">
      <c r="E212">
        <v>209</v>
      </c>
      <c r="F212" s="77">
        <f t="shared" si="26"/>
        <v>1717.829193638845</v>
      </c>
      <c r="G212" s="77">
        <f t="shared" si="22"/>
        <v>800.96703472656907</v>
      </c>
      <c r="H212" s="77">
        <f t="shared" si="27"/>
        <v>916.86215891227596</v>
      </c>
      <c r="I212" s="77">
        <f t="shared" si="23"/>
        <v>232059.35683962205</v>
      </c>
      <c r="J212" s="77">
        <f t="shared" si="24"/>
        <v>128684.77382453548</v>
      </c>
      <c r="K212" s="77">
        <f t="shared" si="28"/>
        <v>192232.08833437657</v>
      </c>
      <c r="L212" s="75">
        <v>400000</v>
      </c>
      <c r="M212" s="75">
        <f t="shared" si="25"/>
        <v>207767.91166562343</v>
      </c>
    </row>
    <row r="213" spans="5:13">
      <c r="E213">
        <v>210</v>
      </c>
      <c r="F213" s="77">
        <f t="shared" si="26"/>
        <v>1717.829193638845</v>
      </c>
      <c r="G213" s="77">
        <f t="shared" si="22"/>
        <v>797.14677573110134</v>
      </c>
      <c r="H213" s="77">
        <f t="shared" si="27"/>
        <v>920.68241790774368</v>
      </c>
      <c r="I213" s="77">
        <f t="shared" si="23"/>
        <v>232856.50361535314</v>
      </c>
      <c r="J213" s="77">
        <f t="shared" si="24"/>
        <v>129605.45624244322</v>
      </c>
      <c r="K213" s="77">
        <f t="shared" si="28"/>
        <v>191315.22617546431</v>
      </c>
      <c r="L213" s="75">
        <v>400000</v>
      </c>
      <c r="M213" s="75">
        <f t="shared" si="25"/>
        <v>208684.77382453569</v>
      </c>
    </row>
    <row r="214" spans="5:13">
      <c r="E214">
        <v>211</v>
      </c>
      <c r="F214" s="77">
        <f t="shared" si="26"/>
        <v>1717.829193638845</v>
      </c>
      <c r="G214" s="77">
        <f t="shared" si="22"/>
        <v>793.31059898981903</v>
      </c>
      <c r="H214" s="77">
        <f t="shared" si="27"/>
        <v>924.518594649026</v>
      </c>
      <c r="I214" s="77">
        <f t="shared" si="23"/>
        <v>233649.81421434297</v>
      </c>
      <c r="J214" s="77">
        <f t="shared" si="24"/>
        <v>130529.97483709225</v>
      </c>
      <c r="K214" s="77">
        <f t="shared" si="28"/>
        <v>190394.54375755656</v>
      </c>
      <c r="L214" s="75">
        <v>400000</v>
      </c>
      <c r="M214" s="75">
        <f t="shared" si="25"/>
        <v>209605.45624244344</v>
      </c>
    </row>
    <row r="215" spans="5:13">
      <c r="E215">
        <v>212</v>
      </c>
      <c r="F215" s="77">
        <f t="shared" si="26"/>
        <v>1717.829193638845</v>
      </c>
      <c r="G215" s="77">
        <f t="shared" si="22"/>
        <v>789.45843817878131</v>
      </c>
      <c r="H215" s="77">
        <f t="shared" si="27"/>
        <v>928.37075546006372</v>
      </c>
      <c r="I215" s="77">
        <f t="shared" si="23"/>
        <v>234439.27265252176</v>
      </c>
      <c r="J215" s="77">
        <f t="shared" si="24"/>
        <v>131458.3455925523</v>
      </c>
      <c r="K215" s="77">
        <f t="shared" si="28"/>
        <v>189470.02516290752</v>
      </c>
      <c r="L215" s="75">
        <v>400000</v>
      </c>
      <c r="M215" s="75">
        <f t="shared" si="25"/>
        <v>210529.97483709248</v>
      </c>
    </row>
    <row r="216" spans="5:13">
      <c r="E216">
        <v>213</v>
      </c>
      <c r="F216" s="77">
        <f t="shared" si="26"/>
        <v>1717.829193638845</v>
      </c>
      <c r="G216" s="77">
        <f t="shared" si="22"/>
        <v>785.59022669769774</v>
      </c>
      <c r="H216" s="77">
        <f t="shared" si="27"/>
        <v>932.23896694114728</v>
      </c>
      <c r="I216" s="77">
        <f t="shared" si="23"/>
        <v>235224.86287921946</v>
      </c>
      <c r="J216" s="77">
        <f t="shared" si="24"/>
        <v>132390.58455949344</v>
      </c>
      <c r="K216" s="77">
        <f t="shared" si="28"/>
        <v>188541.65440744747</v>
      </c>
      <c r="L216" s="75">
        <v>400000</v>
      </c>
      <c r="M216" s="75">
        <f t="shared" si="25"/>
        <v>211458.34559255253</v>
      </c>
    </row>
    <row r="217" spans="5:13">
      <c r="E217">
        <v>214</v>
      </c>
      <c r="F217" s="77">
        <f t="shared" si="26"/>
        <v>1717.829193638845</v>
      </c>
      <c r="G217" s="77">
        <f t="shared" si="22"/>
        <v>781.7058976687764</v>
      </c>
      <c r="H217" s="77">
        <f t="shared" si="27"/>
        <v>936.12329597006863</v>
      </c>
      <c r="I217" s="77">
        <f t="shared" si="23"/>
        <v>236006.56877688825</v>
      </c>
      <c r="J217" s="77">
        <f t="shared" si="24"/>
        <v>133326.70785546349</v>
      </c>
      <c r="K217" s="77">
        <f t="shared" si="28"/>
        <v>187609.41544050633</v>
      </c>
      <c r="L217" s="75">
        <v>400000</v>
      </c>
      <c r="M217" s="75">
        <f t="shared" si="25"/>
        <v>212390.58455949367</v>
      </c>
    </row>
    <row r="218" spans="5:13">
      <c r="E218">
        <v>215</v>
      </c>
      <c r="F218" s="77">
        <f t="shared" si="26"/>
        <v>1717.829193638845</v>
      </c>
      <c r="G218" s="77">
        <f t="shared" si="22"/>
        <v>777.80538393556776</v>
      </c>
      <c r="H218" s="77">
        <f t="shared" si="27"/>
        <v>940.02380970327727</v>
      </c>
      <c r="I218" s="77">
        <f t="shared" si="23"/>
        <v>236784.37416082382</v>
      </c>
      <c r="J218" s="77">
        <f t="shared" si="24"/>
        <v>134266.73166516676</v>
      </c>
      <c r="K218" s="77">
        <f t="shared" si="28"/>
        <v>186673.29214453627</v>
      </c>
      <c r="L218" s="75">
        <v>400000</v>
      </c>
      <c r="M218" s="75">
        <f t="shared" si="25"/>
        <v>213326.70785546373</v>
      </c>
    </row>
    <row r="219" spans="5:13">
      <c r="E219">
        <v>216</v>
      </c>
      <c r="F219" s="77">
        <f t="shared" si="26"/>
        <v>1717.829193638845</v>
      </c>
      <c r="G219" s="77">
        <f t="shared" si="22"/>
        <v>773.88861806180421</v>
      </c>
      <c r="H219" s="77">
        <f t="shared" si="27"/>
        <v>943.94057557704082</v>
      </c>
      <c r="I219" s="77">
        <f t="shared" si="23"/>
        <v>237558.26277888563</v>
      </c>
      <c r="J219" s="77">
        <f t="shared" si="24"/>
        <v>135210.67224074379</v>
      </c>
      <c r="K219" s="77">
        <f t="shared" si="28"/>
        <v>185733.268334833</v>
      </c>
      <c r="L219" s="75">
        <v>400000</v>
      </c>
      <c r="M219" s="75">
        <f t="shared" si="25"/>
        <v>214266.731665167</v>
      </c>
    </row>
    <row r="220" spans="5:13">
      <c r="E220">
        <v>217</v>
      </c>
      <c r="F220" s="77">
        <f t="shared" si="26"/>
        <v>1717.829193638845</v>
      </c>
      <c r="G220" s="77">
        <f t="shared" si="22"/>
        <v>769.95553233023327</v>
      </c>
      <c r="H220" s="77">
        <f t="shared" si="27"/>
        <v>947.87366130861176</v>
      </c>
      <c r="I220" s="77">
        <f t="shared" si="23"/>
        <v>238328.21831121587</v>
      </c>
      <c r="J220" s="77">
        <f t="shared" si="24"/>
        <v>136158.5459020524</v>
      </c>
      <c r="K220" s="77">
        <f t="shared" si="28"/>
        <v>184789.32775925598</v>
      </c>
      <c r="L220" s="75">
        <v>400000</v>
      </c>
      <c r="M220" s="75">
        <f t="shared" si="25"/>
        <v>215210.67224074402</v>
      </c>
    </row>
    <row r="221" spans="5:13">
      <c r="E221">
        <v>218</v>
      </c>
      <c r="F221" s="77">
        <f t="shared" si="26"/>
        <v>1717.829193638845</v>
      </c>
      <c r="G221" s="77">
        <f t="shared" si="22"/>
        <v>766.0060587414473</v>
      </c>
      <c r="H221" s="77">
        <f t="shared" si="27"/>
        <v>951.82313489739772</v>
      </c>
      <c r="I221" s="77">
        <f t="shared" si="23"/>
        <v>239094.22436995732</v>
      </c>
      <c r="J221" s="77">
        <f t="shared" si="24"/>
        <v>137110.36903694979</v>
      </c>
      <c r="K221" s="77">
        <f t="shared" si="28"/>
        <v>183841.45409794737</v>
      </c>
      <c r="L221" s="75">
        <v>400000</v>
      </c>
      <c r="M221" s="75">
        <f t="shared" si="25"/>
        <v>216158.54590205263</v>
      </c>
    </row>
    <row r="222" spans="5:13">
      <c r="E222">
        <v>219</v>
      </c>
      <c r="F222" s="77">
        <f t="shared" si="26"/>
        <v>1717.829193638845</v>
      </c>
      <c r="G222" s="77">
        <f t="shared" si="22"/>
        <v>762.04012901270823</v>
      </c>
      <c r="H222" s="77">
        <f t="shared" si="27"/>
        <v>955.78906462613679</v>
      </c>
      <c r="I222" s="77">
        <f t="shared" si="23"/>
        <v>239856.26449897003</v>
      </c>
      <c r="J222" s="77">
        <f t="shared" si="24"/>
        <v>138066.15810157594</v>
      </c>
      <c r="K222" s="77">
        <f t="shared" si="28"/>
        <v>182889.63096304997</v>
      </c>
      <c r="L222" s="75">
        <v>400000</v>
      </c>
      <c r="M222" s="75">
        <f t="shared" si="25"/>
        <v>217110.36903695003</v>
      </c>
    </row>
    <row r="223" spans="5:13">
      <c r="E223">
        <v>220</v>
      </c>
      <c r="F223" s="77">
        <f t="shared" si="26"/>
        <v>1717.829193638845</v>
      </c>
      <c r="G223" s="77">
        <f t="shared" si="22"/>
        <v>758.05767457676598</v>
      </c>
      <c r="H223" s="77">
        <f t="shared" si="27"/>
        <v>959.77151906207905</v>
      </c>
      <c r="I223" s="77">
        <f t="shared" si="23"/>
        <v>240614.3221735468</v>
      </c>
      <c r="J223" s="77">
        <f t="shared" si="24"/>
        <v>139025.92962063802</v>
      </c>
      <c r="K223" s="77">
        <f t="shared" si="28"/>
        <v>181933.84189842382</v>
      </c>
      <c r="L223" s="75">
        <v>400000</v>
      </c>
      <c r="M223" s="75">
        <f t="shared" si="25"/>
        <v>218066.15810157618</v>
      </c>
    </row>
    <row r="224" spans="5:13">
      <c r="E224">
        <v>221</v>
      </c>
      <c r="F224" s="77">
        <f t="shared" si="26"/>
        <v>1717.829193638845</v>
      </c>
      <c r="G224" s="77">
        <f t="shared" si="22"/>
        <v>754.05862658067394</v>
      </c>
      <c r="H224" s="77">
        <f t="shared" si="27"/>
        <v>963.77056705817108</v>
      </c>
      <c r="I224" s="77">
        <f t="shared" si="23"/>
        <v>241368.38080012746</v>
      </c>
      <c r="J224" s="77">
        <f t="shared" si="24"/>
        <v>139989.7001876962</v>
      </c>
      <c r="K224" s="77">
        <f t="shared" si="28"/>
        <v>180974.07037936174</v>
      </c>
      <c r="L224" s="75">
        <v>400000</v>
      </c>
      <c r="M224" s="75">
        <f t="shared" si="25"/>
        <v>219025.92962063826</v>
      </c>
    </row>
    <row r="225" spans="5:13">
      <c r="E225">
        <v>222</v>
      </c>
      <c r="F225" s="77">
        <f t="shared" si="26"/>
        <v>1717.829193638845</v>
      </c>
      <c r="G225" s="77">
        <f t="shared" si="22"/>
        <v>750.04291588459819</v>
      </c>
      <c r="H225" s="77">
        <f t="shared" si="27"/>
        <v>967.78627775424684</v>
      </c>
      <c r="I225" s="77">
        <f t="shared" si="23"/>
        <v>242118.42371601207</v>
      </c>
      <c r="J225" s="77">
        <f t="shared" si="24"/>
        <v>140957.48646545043</v>
      </c>
      <c r="K225" s="77">
        <f t="shared" si="28"/>
        <v>180010.29981230356</v>
      </c>
      <c r="L225" s="75">
        <v>400000</v>
      </c>
      <c r="M225" s="75">
        <f t="shared" si="25"/>
        <v>219989.70018769644</v>
      </c>
    </row>
    <row r="226" spans="5:13">
      <c r="E226">
        <v>223</v>
      </c>
      <c r="F226" s="77">
        <f t="shared" si="26"/>
        <v>1717.829193638845</v>
      </c>
      <c r="G226" s="77">
        <f t="shared" si="22"/>
        <v>746.01047306062219</v>
      </c>
      <c r="H226" s="77">
        <f t="shared" si="27"/>
        <v>971.81872057822284</v>
      </c>
      <c r="I226" s="77">
        <f t="shared" si="23"/>
        <v>242864.43418907269</v>
      </c>
      <c r="J226" s="77">
        <f t="shared" si="24"/>
        <v>141929.30518602865</v>
      </c>
      <c r="K226" s="77">
        <f t="shared" si="28"/>
        <v>179042.51353454933</v>
      </c>
      <c r="L226" s="75">
        <v>400000</v>
      </c>
      <c r="M226" s="75">
        <f t="shared" si="25"/>
        <v>220957.48646545067</v>
      </c>
    </row>
    <row r="227" spans="5:13">
      <c r="E227">
        <v>224</v>
      </c>
      <c r="F227" s="77">
        <f t="shared" si="26"/>
        <v>1717.829193638845</v>
      </c>
      <c r="G227" s="77">
        <f t="shared" si="22"/>
        <v>741.96122839154634</v>
      </c>
      <c r="H227" s="77">
        <f t="shared" si="27"/>
        <v>975.86796524729868</v>
      </c>
      <c r="I227" s="77">
        <f t="shared" si="23"/>
        <v>243606.39541746423</v>
      </c>
      <c r="J227" s="77">
        <f t="shared" si="24"/>
        <v>142905.17315127596</v>
      </c>
      <c r="K227" s="77">
        <f t="shared" si="28"/>
        <v>178070.69481397112</v>
      </c>
      <c r="L227" s="75">
        <v>400000</v>
      </c>
      <c r="M227" s="75">
        <f t="shared" si="25"/>
        <v>221929.30518602888</v>
      </c>
    </row>
    <row r="228" spans="5:13">
      <c r="E228">
        <v>225</v>
      </c>
      <c r="F228" s="77">
        <f t="shared" si="26"/>
        <v>1717.829193638845</v>
      </c>
      <c r="G228" s="77">
        <f t="shared" si="22"/>
        <v>737.89511186968252</v>
      </c>
      <c r="H228" s="77">
        <f t="shared" si="27"/>
        <v>979.9340817691625</v>
      </c>
      <c r="I228" s="77">
        <f t="shared" si="23"/>
        <v>244344.2905293339</v>
      </c>
      <c r="J228" s="77">
        <f t="shared" si="24"/>
        <v>143885.10723304513</v>
      </c>
      <c r="K228" s="77">
        <f t="shared" si="28"/>
        <v>177094.82684872381</v>
      </c>
      <c r="L228" s="75">
        <v>400000</v>
      </c>
      <c r="M228" s="75">
        <f t="shared" si="25"/>
        <v>222905.17315127619</v>
      </c>
    </row>
    <row r="229" spans="5:13">
      <c r="E229">
        <v>226</v>
      </c>
      <c r="F229" s="77">
        <f t="shared" si="26"/>
        <v>1717.829193638845</v>
      </c>
      <c r="G229" s="77">
        <f t="shared" si="22"/>
        <v>733.81205319564435</v>
      </c>
      <c r="H229" s="77">
        <f t="shared" si="27"/>
        <v>984.01714044320067</v>
      </c>
      <c r="I229" s="77">
        <f t="shared" si="23"/>
        <v>245078.10258252954</v>
      </c>
      <c r="J229" s="77">
        <f t="shared" si="24"/>
        <v>144869.12437348833</v>
      </c>
      <c r="K229" s="77">
        <f t="shared" si="28"/>
        <v>176114.89276695464</v>
      </c>
      <c r="L229" s="75">
        <v>400000</v>
      </c>
      <c r="M229" s="75">
        <f t="shared" si="25"/>
        <v>223885.10723304536</v>
      </c>
    </row>
    <row r="230" spans="5:13">
      <c r="E230">
        <v>227</v>
      </c>
      <c r="F230" s="77">
        <f t="shared" si="26"/>
        <v>1717.829193638845</v>
      </c>
      <c r="G230" s="77">
        <f t="shared" si="22"/>
        <v>729.71198177713097</v>
      </c>
      <c r="H230" s="77">
        <f t="shared" si="27"/>
        <v>988.11721186171405</v>
      </c>
      <c r="I230" s="77">
        <f t="shared" si="23"/>
        <v>245807.81456430667</v>
      </c>
      <c r="J230" s="77">
        <f t="shared" si="24"/>
        <v>145857.24158535004</v>
      </c>
      <c r="K230" s="77">
        <f t="shared" si="28"/>
        <v>175130.87562651144</v>
      </c>
      <c r="L230" s="75">
        <v>400000</v>
      </c>
      <c r="M230" s="75">
        <f t="shared" si="25"/>
        <v>224869.12437348856</v>
      </c>
    </row>
    <row r="231" spans="5:13">
      <c r="E231">
        <v>228</v>
      </c>
      <c r="F231" s="77">
        <f t="shared" si="26"/>
        <v>1717.829193638845</v>
      </c>
      <c r="G231" s="77">
        <f t="shared" si="22"/>
        <v>725.59482672770719</v>
      </c>
      <c r="H231" s="77">
        <f t="shared" si="27"/>
        <v>992.23436691113784</v>
      </c>
      <c r="I231" s="77">
        <f t="shared" si="23"/>
        <v>246533.40939103437</v>
      </c>
      <c r="J231" s="77">
        <f t="shared" si="24"/>
        <v>146849.47595226119</v>
      </c>
      <c r="K231" s="77">
        <f t="shared" si="28"/>
        <v>174142.75841464972</v>
      </c>
      <c r="L231" s="75">
        <v>400000</v>
      </c>
      <c r="M231" s="75">
        <f t="shared" si="25"/>
        <v>225857.24158535028</v>
      </c>
    </row>
    <row r="232" spans="5:13">
      <c r="E232">
        <v>229</v>
      </c>
      <c r="F232" s="77">
        <f t="shared" si="26"/>
        <v>1717.829193638845</v>
      </c>
      <c r="G232" s="77">
        <f t="shared" si="22"/>
        <v>721.46051686557746</v>
      </c>
      <c r="H232" s="77">
        <f t="shared" si="27"/>
        <v>996.36867677326757</v>
      </c>
      <c r="I232" s="77">
        <f t="shared" si="23"/>
        <v>247254.86990789993</v>
      </c>
      <c r="J232" s="77">
        <f t="shared" si="24"/>
        <v>147845.84462903446</v>
      </c>
      <c r="K232" s="77">
        <f t="shared" si="28"/>
        <v>173150.52404773858</v>
      </c>
      <c r="L232" s="75">
        <v>400000</v>
      </c>
      <c r="M232" s="75">
        <f t="shared" si="25"/>
        <v>226849.47595226142</v>
      </c>
    </row>
    <row r="233" spans="5:13">
      <c r="E233">
        <v>230</v>
      </c>
      <c r="F233" s="77">
        <f t="shared" si="26"/>
        <v>1717.829193638845</v>
      </c>
      <c r="G233" s="77">
        <f t="shared" si="22"/>
        <v>717.30898071235549</v>
      </c>
      <c r="H233" s="77">
        <f t="shared" si="27"/>
        <v>1000.5202129264895</v>
      </c>
      <c r="I233" s="77">
        <f t="shared" si="23"/>
        <v>247972.17888861228</v>
      </c>
      <c r="J233" s="77">
        <f t="shared" si="24"/>
        <v>148846.36484196095</v>
      </c>
      <c r="K233" s="77">
        <f t="shared" si="28"/>
        <v>172154.15537096531</v>
      </c>
      <c r="L233" s="75">
        <v>400000</v>
      </c>
      <c r="M233" s="75">
        <f t="shared" si="25"/>
        <v>227845.84462903469</v>
      </c>
    </row>
    <row r="234" spans="5:13">
      <c r="E234">
        <v>231</v>
      </c>
      <c r="F234" s="77">
        <f t="shared" si="26"/>
        <v>1717.829193638845</v>
      </c>
      <c r="G234" s="77">
        <f t="shared" si="22"/>
        <v>713.14014649182843</v>
      </c>
      <c r="H234" s="77">
        <f t="shared" si="27"/>
        <v>1004.6890471470166</v>
      </c>
      <c r="I234" s="77">
        <f t="shared" si="23"/>
        <v>248685.3190351041</v>
      </c>
      <c r="J234" s="77">
        <f t="shared" si="24"/>
        <v>149851.05388910798</v>
      </c>
      <c r="K234" s="77">
        <f t="shared" si="28"/>
        <v>171153.63515803881</v>
      </c>
      <c r="L234" s="75">
        <v>400000</v>
      </c>
      <c r="M234" s="75">
        <f t="shared" si="25"/>
        <v>228846.36484196119</v>
      </c>
    </row>
    <row r="235" spans="5:13">
      <c r="E235">
        <v>232</v>
      </c>
      <c r="F235" s="77">
        <f t="shared" si="26"/>
        <v>1717.829193638845</v>
      </c>
      <c r="G235" s="77">
        <f t="shared" si="22"/>
        <v>708.95394212871577</v>
      </c>
      <c r="H235" s="77">
        <f t="shared" si="27"/>
        <v>1008.8752515101293</v>
      </c>
      <c r="I235" s="77">
        <f t="shared" si="23"/>
        <v>249394.27297723282</v>
      </c>
      <c r="J235" s="77">
        <f t="shared" si="24"/>
        <v>150859.9291406181</v>
      </c>
      <c r="K235" s="77">
        <f t="shared" si="28"/>
        <v>170148.94611089179</v>
      </c>
      <c r="L235" s="75">
        <v>400000</v>
      </c>
      <c r="M235" s="75">
        <f t="shared" si="25"/>
        <v>229851.05388910821</v>
      </c>
    </row>
    <row r="236" spans="5:13">
      <c r="E236">
        <v>233</v>
      </c>
      <c r="F236" s="77">
        <f t="shared" si="26"/>
        <v>1717.829193638845</v>
      </c>
      <c r="G236" s="77">
        <f t="shared" si="22"/>
        <v>704.75029524742365</v>
      </c>
      <c r="H236" s="77">
        <f t="shared" si="27"/>
        <v>1013.0788983914214</v>
      </c>
      <c r="I236" s="77">
        <f t="shared" si="23"/>
        <v>250099.02327248023</v>
      </c>
      <c r="J236" s="77">
        <f t="shared" si="24"/>
        <v>151873.00803900952</v>
      </c>
      <c r="K236" s="77">
        <f t="shared" si="28"/>
        <v>169140.07085938167</v>
      </c>
      <c r="L236" s="75">
        <v>400000</v>
      </c>
      <c r="M236" s="75">
        <f t="shared" si="25"/>
        <v>230859.92914061833</v>
      </c>
    </row>
    <row r="237" spans="5:13">
      <c r="E237">
        <v>234</v>
      </c>
      <c r="F237" s="77">
        <f t="shared" si="26"/>
        <v>1717.829193638845</v>
      </c>
      <c r="G237" s="77">
        <f t="shared" si="22"/>
        <v>700.52913317079265</v>
      </c>
      <c r="H237" s="77">
        <f t="shared" si="27"/>
        <v>1017.3000604680524</v>
      </c>
      <c r="I237" s="77">
        <f t="shared" si="23"/>
        <v>250799.55240565102</v>
      </c>
      <c r="J237" s="77">
        <f t="shared" si="24"/>
        <v>152890.30809947758</v>
      </c>
      <c r="K237" s="77">
        <f t="shared" si="28"/>
        <v>168126.99196099024</v>
      </c>
      <c r="L237" s="75">
        <v>400000</v>
      </c>
      <c r="M237" s="75">
        <f t="shared" si="25"/>
        <v>231873.00803900976</v>
      </c>
    </row>
    <row r="238" spans="5:13">
      <c r="E238">
        <v>235</v>
      </c>
      <c r="F238" s="77">
        <f t="shared" si="26"/>
        <v>1717.829193638845</v>
      </c>
      <c r="G238" s="77">
        <f t="shared" si="22"/>
        <v>696.2903829188424</v>
      </c>
      <c r="H238" s="77">
        <f t="shared" si="27"/>
        <v>1021.5388107200026</v>
      </c>
      <c r="I238" s="77">
        <f t="shared" si="23"/>
        <v>251495.84278856986</v>
      </c>
      <c r="J238" s="77">
        <f t="shared" si="24"/>
        <v>153911.84691019758</v>
      </c>
      <c r="K238" s="77">
        <f t="shared" si="28"/>
        <v>167109.69190052219</v>
      </c>
      <c r="L238" s="75">
        <v>400000</v>
      </c>
      <c r="M238" s="75">
        <f t="shared" si="25"/>
        <v>232890.30809947781</v>
      </c>
    </row>
    <row r="239" spans="5:13">
      <c r="E239">
        <v>236</v>
      </c>
      <c r="F239" s="77">
        <f t="shared" si="26"/>
        <v>1717.829193638845</v>
      </c>
      <c r="G239" s="77">
        <f t="shared" si="22"/>
        <v>692.03397120750913</v>
      </c>
      <c r="H239" s="77">
        <f t="shared" si="27"/>
        <v>1025.7952224313358</v>
      </c>
      <c r="I239" s="77">
        <f t="shared" si="23"/>
        <v>252187.87675977737</v>
      </c>
      <c r="J239" s="77">
        <f t="shared" si="24"/>
        <v>154937.64213262891</v>
      </c>
      <c r="K239" s="77">
        <f t="shared" si="28"/>
        <v>166088.15308980219</v>
      </c>
      <c r="L239" s="75">
        <v>400000</v>
      </c>
      <c r="M239" s="75">
        <f t="shared" si="25"/>
        <v>233911.84691019781</v>
      </c>
    </row>
    <row r="240" spans="5:13">
      <c r="E240">
        <v>237</v>
      </c>
      <c r="F240" s="77">
        <f t="shared" si="26"/>
        <v>1717.829193638845</v>
      </c>
      <c r="G240" s="77">
        <f t="shared" si="22"/>
        <v>687.75982444737861</v>
      </c>
      <c r="H240" s="77">
        <f t="shared" si="27"/>
        <v>1030.0693691914664</v>
      </c>
      <c r="I240" s="77">
        <f t="shared" si="23"/>
        <v>252875.63658422476</v>
      </c>
      <c r="J240" s="77">
        <f t="shared" si="24"/>
        <v>155967.71150182039</v>
      </c>
      <c r="K240" s="77">
        <f t="shared" si="28"/>
        <v>165062.35786737085</v>
      </c>
      <c r="L240" s="75">
        <v>400000</v>
      </c>
      <c r="M240" s="75">
        <f t="shared" si="25"/>
        <v>234937.64213262915</v>
      </c>
    </row>
    <row r="241" spans="5:13">
      <c r="E241">
        <v>238</v>
      </c>
      <c r="F241" s="77">
        <f t="shared" si="26"/>
        <v>1717.829193638845</v>
      </c>
      <c r="G241" s="77">
        <f t="shared" si="22"/>
        <v>683.46786874241411</v>
      </c>
      <c r="H241" s="77">
        <f t="shared" si="27"/>
        <v>1034.3613248964309</v>
      </c>
      <c r="I241" s="77">
        <f t="shared" si="23"/>
        <v>253559.10445296718</v>
      </c>
      <c r="J241" s="77">
        <f t="shared" si="24"/>
        <v>157002.07282671682</v>
      </c>
      <c r="K241" s="77">
        <f t="shared" si="28"/>
        <v>164032.28849817938</v>
      </c>
      <c r="L241" s="75">
        <v>400000</v>
      </c>
      <c r="M241" s="75">
        <f t="shared" si="25"/>
        <v>235967.71150182062</v>
      </c>
    </row>
    <row r="242" spans="5:13">
      <c r="E242">
        <v>239</v>
      </c>
      <c r="F242" s="77">
        <f t="shared" si="26"/>
        <v>1717.829193638845</v>
      </c>
      <c r="G242" s="77">
        <f t="shared" si="22"/>
        <v>679.15802988867893</v>
      </c>
      <c r="H242" s="77">
        <f t="shared" si="27"/>
        <v>1038.6711637501662</v>
      </c>
      <c r="I242" s="77">
        <f t="shared" si="23"/>
        <v>254238.26248285585</v>
      </c>
      <c r="J242" s="77">
        <f t="shared" si="24"/>
        <v>158040.74399046699</v>
      </c>
      <c r="K242" s="77">
        <f t="shared" si="28"/>
        <v>162997.92717328295</v>
      </c>
      <c r="L242" s="75">
        <v>400000</v>
      </c>
      <c r="M242" s="75">
        <f t="shared" si="25"/>
        <v>237002.07282671705</v>
      </c>
    </row>
    <row r="243" spans="5:13">
      <c r="E243">
        <v>240</v>
      </c>
      <c r="F243" s="77">
        <f t="shared" si="26"/>
        <v>1717.829193638845</v>
      </c>
      <c r="G243" s="77">
        <f t="shared" si="22"/>
        <v>674.83023337305326</v>
      </c>
      <c r="H243" s="77">
        <f t="shared" si="27"/>
        <v>1042.9989602657918</v>
      </c>
      <c r="I243" s="77">
        <f t="shared" si="23"/>
        <v>254913.09271622889</v>
      </c>
      <c r="J243" s="77">
        <f t="shared" si="24"/>
        <v>159083.74295073279</v>
      </c>
      <c r="K243" s="77">
        <f t="shared" si="28"/>
        <v>161959.25600953278</v>
      </c>
      <c r="L243" s="75">
        <v>400000</v>
      </c>
      <c r="M243" s="75">
        <f t="shared" si="25"/>
        <v>238040.74399046722</v>
      </c>
    </row>
    <row r="244" spans="5:13">
      <c r="E244">
        <v>241</v>
      </c>
      <c r="F244" s="77">
        <f t="shared" si="26"/>
        <v>1717.829193638845</v>
      </c>
      <c r="G244" s="77">
        <f t="shared" si="22"/>
        <v>670.48440437194574</v>
      </c>
      <c r="H244" s="77">
        <f t="shared" si="27"/>
        <v>1047.3447892668992</v>
      </c>
      <c r="I244" s="77">
        <f t="shared" si="23"/>
        <v>255583.57712060082</v>
      </c>
      <c r="J244" s="77">
        <f t="shared" si="24"/>
        <v>160131.0877399997</v>
      </c>
      <c r="K244" s="77">
        <f t="shared" si="28"/>
        <v>160916.25704926698</v>
      </c>
      <c r="L244" s="75">
        <v>400000</v>
      </c>
      <c r="M244" s="75">
        <f t="shared" si="25"/>
        <v>239083.74295073302</v>
      </c>
    </row>
    <row r="245" spans="5:13">
      <c r="E245">
        <v>242</v>
      </c>
      <c r="F245" s="77">
        <f t="shared" si="26"/>
        <v>1717.829193638845</v>
      </c>
      <c r="G245" s="77">
        <f t="shared" si="22"/>
        <v>666.12046775000033</v>
      </c>
      <c r="H245" s="77">
        <f t="shared" si="27"/>
        <v>1051.7087258888446</v>
      </c>
      <c r="I245" s="77">
        <f t="shared" si="23"/>
        <v>256249.69758835083</v>
      </c>
      <c r="J245" s="77">
        <f t="shared" si="24"/>
        <v>161182.79646588853</v>
      </c>
      <c r="K245" s="77">
        <f t="shared" si="28"/>
        <v>159868.91226000007</v>
      </c>
      <c r="L245" s="75">
        <v>400000</v>
      </c>
      <c r="M245" s="75">
        <f t="shared" si="25"/>
        <v>240131.08773999993</v>
      </c>
    </row>
    <row r="246" spans="5:13">
      <c r="E246">
        <v>243</v>
      </c>
      <c r="F246" s="77">
        <f t="shared" si="26"/>
        <v>1717.829193638845</v>
      </c>
      <c r="G246" s="77">
        <f t="shared" si="22"/>
        <v>661.73834805879676</v>
      </c>
      <c r="H246" s="77">
        <f t="shared" si="27"/>
        <v>1056.0908455800482</v>
      </c>
      <c r="I246" s="77">
        <f t="shared" si="23"/>
        <v>256911.43593640963</v>
      </c>
      <c r="J246" s="77">
        <f t="shared" si="24"/>
        <v>162238.88731146857</v>
      </c>
      <c r="K246" s="77">
        <f t="shared" si="28"/>
        <v>158817.20353411124</v>
      </c>
      <c r="L246" s="75">
        <v>400000</v>
      </c>
      <c r="M246" s="75">
        <f t="shared" si="25"/>
        <v>241182.79646588876</v>
      </c>
    </row>
    <row r="247" spans="5:13">
      <c r="E247">
        <v>244</v>
      </c>
      <c r="F247" s="77">
        <f t="shared" si="26"/>
        <v>1717.829193638845</v>
      </c>
      <c r="G247" s="77">
        <f t="shared" si="22"/>
        <v>657.33796953554668</v>
      </c>
      <c r="H247" s="77">
        <f t="shared" si="27"/>
        <v>1060.4912241032985</v>
      </c>
      <c r="I247" s="77">
        <f t="shared" si="23"/>
        <v>257568.77390594519</v>
      </c>
      <c r="J247" s="77">
        <f t="shared" si="24"/>
        <v>163299.37853557186</v>
      </c>
      <c r="K247" s="77">
        <f t="shared" si="28"/>
        <v>157761.1126885312</v>
      </c>
      <c r="L247" s="75">
        <v>400000</v>
      </c>
      <c r="M247" s="75">
        <f t="shared" si="25"/>
        <v>242238.8873114688</v>
      </c>
    </row>
    <row r="248" spans="5:13">
      <c r="E248">
        <v>245</v>
      </c>
      <c r="F248" s="77">
        <f t="shared" si="26"/>
        <v>1717.829193638845</v>
      </c>
      <c r="G248" s="77">
        <f t="shared" si="22"/>
        <v>652.91925610178293</v>
      </c>
      <c r="H248" s="77">
        <f t="shared" si="27"/>
        <v>1064.909937537062</v>
      </c>
      <c r="I248" s="77">
        <f t="shared" si="23"/>
        <v>258221.69316204695</v>
      </c>
      <c r="J248" s="77">
        <f t="shared" si="24"/>
        <v>164364.28847310893</v>
      </c>
      <c r="K248" s="77">
        <f t="shared" si="28"/>
        <v>156700.62146442791</v>
      </c>
      <c r="L248" s="75">
        <v>400000</v>
      </c>
      <c r="M248" s="75">
        <f t="shared" si="25"/>
        <v>243299.37853557209</v>
      </c>
    </row>
    <row r="249" spans="5:13">
      <c r="E249">
        <v>246</v>
      </c>
      <c r="F249" s="77">
        <f t="shared" si="26"/>
        <v>1717.829193638845</v>
      </c>
      <c r="G249" s="77">
        <f t="shared" si="22"/>
        <v>648.48213136204515</v>
      </c>
      <c r="H249" s="77">
        <f t="shared" si="27"/>
        <v>1069.3470622768</v>
      </c>
      <c r="I249" s="77">
        <f t="shared" si="23"/>
        <v>258870.175293409</v>
      </c>
      <c r="J249" s="77">
        <f t="shared" si="24"/>
        <v>165433.63553538572</v>
      </c>
      <c r="K249" s="77">
        <f t="shared" si="28"/>
        <v>155635.71152689084</v>
      </c>
      <c r="L249" s="75">
        <v>400000</v>
      </c>
      <c r="M249" s="75">
        <f t="shared" si="25"/>
        <v>244364.28847310916</v>
      </c>
    </row>
    <row r="250" spans="5:13">
      <c r="E250">
        <v>247</v>
      </c>
      <c r="F250" s="77">
        <f t="shared" si="26"/>
        <v>1717.829193638845</v>
      </c>
      <c r="G250" s="77">
        <f t="shared" si="22"/>
        <v>644.02651860255855</v>
      </c>
      <c r="H250" s="77">
        <f t="shared" si="27"/>
        <v>1073.8026750362865</v>
      </c>
      <c r="I250" s="77">
        <f t="shared" si="23"/>
        <v>259514.20181201157</v>
      </c>
      <c r="J250" s="77">
        <f t="shared" si="24"/>
        <v>166507.438210422</v>
      </c>
      <c r="K250" s="77">
        <f t="shared" si="28"/>
        <v>154566.36446461405</v>
      </c>
      <c r="L250" s="75">
        <v>400000</v>
      </c>
      <c r="M250" s="75">
        <f t="shared" si="25"/>
        <v>245433.63553538595</v>
      </c>
    </row>
    <row r="251" spans="5:13">
      <c r="E251">
        <v>248</v>
      </c>
      <c r="F251" s="77">
        <f t="shared" si="26"/>
        <v>1717.829193638845</v>
      </c>
      <c r="G251" s="77">
        <f t="shared" si="22"/>
        <v>639.55234078990736</v>
      </c>
      <c r="H251" s="77">
        <f t="shared" si="27"/>
        <v>1078.2768528489378</v>
      </c>
      <c r="I251" s="77">
        <f t="shared" si="23"/>
        <v>260153.75415280147</v>
      </c>
      <c r="J251" s="77">
        <f t="shared" si="24"/>
        <v>167585.71506327094</v>
      </c>
      <c r="K251" s="77">
        <f t="shared" si="28"/>
        <v>153492.56178957777</v>
      </c>
      <c r="L251" s="75">
        <v>400000</v>
      </c>
      <c r="M251" s="75">
        <f t="shared" si="25"/>
        <v>246507.43821042223</v>
      </c>
    </row>
    <row r="252" spans="5:13">
      <c r="E252">
        <v>249</v>
      </c>
      <c r="F252" s="77">
        <f t="shared" si="26"/>
        <v>1717.829193638845</v>
      </c>
      <c r="G252" s="77">
        <f t="shared" si="22"/>
        <v>635.05952056970341</v>
      </c>
      <c r="H252" s="77">
        <f t="shared" si="27"/>
        <v>1082.7696730691416</v>
      </c>
      <c r="I252" s="77">
        <f t="shared" si="23"/>
        <v>260788.81367337119</v>
      </c>
      <c r="J252" s="77">
        <f t="shared" si="24"/>
        <v>168668.48473634009</v>
      </c>
      <c r="K252" s="77">
        <f t="shared" si="28"/>
        <v>152414.28493672883</v>
      </c>
      <c r="L252" s="75">
        <v>400000</v>
      </c>
      <c r="M252" s="75">
        <f t="shared" si="25"/>
        <v>247585.71506327117</v>
      </c>
    </row>
    <row r="253" spans="5:13">
      <c r="E253">
        <v>250</v>
      </c>
      <c r="F253" s="77">
        <f t="shared" si="26"/>
        <v>1717.829193638845</v>
      </c>
      <c r="G253" s="77">
        <f t="shared" si="22"/>
        <v>630.54798026524861</v>
      </c>
      <c r="H253" s="77">
        <f t="shared" si="27"/>
        <v>1087.2812133735965</v>
      </c>
      <c r="I253" s="77">
        <f t="shared" si="23"/>
        <v>261419.36165363644</v>
      </c>
      <c r="J253" s="77">
        <f t="shared" si="24"/>
        <v>169755.76594971368</v>
      </c>
      <c r="K253" s="77">
        <f t="shared" si="28"/>
        <v>151331.51526365968</v>
      </c>
      <c r="L253" s="75">
        <v>400000</v>
      </c>
      <c r="M253" s="75">
        <f t="shared" si="25"/>
        <v>248668.48473634032</v>
      </c>
    </row>
    <row r="254" spans="5:13">
      <c r="E254">
        <v>251</v>
      </c>
      <c r="F254" s="77">
        <f t="shared" si="26"/>
        <v>1717.829193638845</v>
      </c>
      <c r="G254" s="77">
        <f t="shared" si="22"/>
        <v>626.01764187619199</v>
      </c>
      <c r="H254" s="77">
        <f t="shared" si="27"/>
        <v>1091.8115517626529</v>
      </c>
      <c r="I254" s="77">
        <f t="shared" si="23"/>
        <v>262045.37929551263</v>
      </c>
      <c r="J254" s="77">
        <f t="shared" si="24"/>
        <v>170847.57750147633</v>
      </c>
      <c r="K254" s="77">
        <f t="shared" si="28"/>
        <v>150244.23405028609</v>
      </c>
      <c r="L254" s="75">
        <v>400000</v>
      </c>
      <c r="M254" s="75">
        <f t="shared" si="25"/>
        <v>249755.76594971391</v>
      </c>
    </row>
    <row r="255" spans="5:13">
      <c r="E255">
        <v>252</v>
      </c>
      <c r="F255" s="77">
        <f t="shared" si="26"/>
        <v>1717.829193638845</v>
      </c>
      <c r="G255" s="77">
        <f t="shared" si="22"/>
        <v>621.46842707718099</v>
      </c>
      <c r="H255" s="77">
        <f t="shared" si="27"/>
        <v>1096.3607665616641</v>
      </c>
      <c r="I255" s="77">
        <f t="shared" si="23"/>
        <v>262666.8477225898</v>
      </c>
      <c r="J255" s="77">
        <f t="shared" si="24"/>
        <v>171943.93826803801</v>
      </c>
      <c r="K255" s="77">
        <f t="shared" si="28"/>
        <v>149152.42249852343</v>
      </c>
      <c r="L255" s="75">
        <v>400000</v>
      </c>
      <c r="M255" s="75">
        <f t="shared" si="25"/>
        <v>250847.57750147657</v>
      </c>
    </row>
    <row r="256" spans="5:13">
      <c r="E256">
        <v>253</v>
      </c>
      <c r="F256" s="77">
        <f t="shared" si="26"/>
        <v>1717.829193638845</v>
      </c>
      <c r="G256" s="77">
        <f t="shared" si="22"/>
        <v>616.90025721650727</v>
      </c>
      <c r="H256" s="77">
        <f t="shared" si="27"/>
        <v>1100.9289364223378</v>
      </c>
      <c r="I256" s="77">
        <f t="shared" si="23"/>
        <v>263283.74797980633</v>
      </c>
      <c r="J256" s="77">
        <f t="shared" si="24"/>
        <v>173044.86720446034</v>
      </c>
      <c r="K256" s="77">
        <f t="shared" si="28"/>
        <v>148056.06173196176</v>
      </c>
      <c r="L256" s="75">
        <v>400000</v>
      </c>
      <c r="M256" s="75">
        <f t="shared" si="25"/>
        <v>251943.93826803824</v>
      </c>
    </row>
    <row r="257" spans="5:13">
      <c r="E257">
        <v>254</v>
      </c>
      <c r="F257" s="77">
        <f t="shared" si="26"/>
        <v>1717.829193638845</v>
      </c>
      <c r="G257" s="77">
        <f t="shared" si="22"/>
        <v>612.31305331474755</v>
      </c>
      <c r="H257" s="77">
        <f t="shared" si="27"/>
        <v>1105.5161403240975</v>
      </c>
      <c r="I257" s="77">
        <f t="shared" si="23"/>
        <v>263896.06103312108</v>
      </c>
      <c r="J257" s="77">
        <f t="shared" si="24"/>
        <v>174150.38334478444</v>
      </c>
      <c r="K257" s="77">
        <f t="shared" si="28"/>
        <v>146955.13279553942</v>
      </c>
      <c r="L257" s="75">
        <v>400000</v>
      </c>
      <c r="M257" s="75">
        <f t="shared" si="25"/>
        <v>253044.86720446058</v>
      </c>
    </row>
    <row r="258" spans="5:13">
      <c r="E258">
        <v>255</v>
      </c>
      <c r="F258" s="77">
        <f t="shared" si="26"/>
        <v>1717.829193638845</v>
      </c>
      <c r="G258" s="77">
        <f t="shared" si="22"/>
        <v>607.70673606339722</v>
      </c>
      <c r="H258" s="77">
        <f t="shared" si="27"/>
        <v>1110.1224575754477</v>
      </c>
      <c r="I258" s="77">
        <f t="shared" si="23"/>
        <v>264503.76776918449</v>
      </c>
      <c r="J258" s="77">
        <f t="shared" si="24"/>
        <v>175260.5058023599</v>
      </c>
      <c r="K258" s="77">
        <f t="shared" si="28"/>
        <v>145849.61665521533</v>
      </c>
      <c r="L258" s="75">
        <v>400000</v>
      </c>
      <c r="M258" s="75">
        <f t="shared" si="25"/>
        <v>254150.38334478467</v>
      </c>
    </row>
    <row r="259" spans="5:13">
      <c r="E259">
        <v>256</v>
      </c>
      <c r="F259" s="77">
        <f t="shared" si="26"/>
        <v>1717.829193638845</v>
      </c>
      <c r="G259" s="77">
        <f t="shared" ref="G259:G322" si="29">(B$5/B$7)*K259</f>
        <v>603.08122582349949</v>
      </c>
      <c r="H259" s="77">
        <f t="shared" si="27"/>
        <v>1114.7479678153454</v>
      </c>
      <c r="I259" s="77">
        <f t="shared" si="23"/>
        <v>265106.84899500798</v>
      </c>
      <c r="J259" s="77">
        <f t="shared" si="24"/>
        <v>176375.25377017524</v>
      </c>
      <c r="K259" s="77">
        <f t="shared" si="28"/>
        <v>144739.49419763987</v>
      </c>
      <c r="L259" s="75">
        <v>400000</v>
      </c>
      <c r="M259" s="75">
        <f t="shared" si="25"/>
        <v>255260.50580236013</v>
      </c>
    </row>
    <row r="260" spans="5:13">
      <c r="E260">
        <v>257</v>
      </c>
      <c r="F260" s="77">
        <f t="shared" si="26"/>
        <v>1717.829193638845</v>
      </c>
      <c r="G260" s="77">
        <f t="shared" si="29"/>
        <v>598.43644262426881</v>
      </c>
      <c r="H260" s="77">
        <f t="shared" si="27"/>
        <v>1119.3927510145763</v>
      </c>
      <c r="I260" s="77">
        <f t="shared" ref="I260:I323" si="30">I259+G260</f>
        <v>265705.28543763224</v>
      </c>
      <c r="J260" s="77">
        <f t="shared" ref="J260:J323" si="31">J259+H260</f>
        <v>177494.64652118983</v>
      </c>
      <c r="K260" s="77">
        <f t="shared" si="28"/>
        <v>143624.74622982452</v>
      </c>
      <c r="L260" s="75">
        <v>400000</v>
      </c>
      <c r="M260" s="75">
        <f t="shared" ref="M260:M323" si="32">L260-K260</f>
        <v>256375.25377017548</v>
      </c>
    </row>
    <row r="261" spans="5:13">
      <c r="E261">
        <v>258</v>
      </c>
      <c r="F261" s="77">
        <f t="shared" ref="F261:F324" si="33">F260</f>
        <v>1717.829193638845</v>
      </c>
      <c r="G261" s="77">
        <f t="shared" si="29"/>
        <v>593.772306161708</v>
      </c>
      <c r="H261" s="77">
        <f t="shared" ref="H261:H324" si="34">F261-G261</f>
        <v>1124.056887477137</v>
      </c>
      <c r="I261" s="77">
        <f t="shared" si="30"/>
        <v>266299.05774379394</v>
      </c>
      <c r="J261" s="77">
        <f t="shared" si="31"/>
        <v>178618.70340866697</v>
      </c>
      <c r="K261" s="77">
        <f t="shared" ref="K261:K324" si="35">K260-H260</f>
        <v>142505.35347880994</v>
      </c>
      <c r="L261" s="75">
        <v>400000</v>
      </c>
      <c r="M261" s="75">
        <f t="shared" si="32"/>
        <v>257494.64652119006</v>
      </c>
    </row>
    <row r="262" spans="5:13">
      <c r="E262">
        <v>259</v>
      </c>
      <c r="F262" s="77">
        <f t="shared" si="33"/>
        <v>1717.829193638845</v>
      </c>
      <c r="G262" s="77">
        <f t="shared" si="29"/>
        <v>589.08873579722001</v>
      </c>
      <c r="H262" s="77">
        <f t="shared" si="34"/>
        <v>1128.7404578416249</v>
      </c>
      <c r="I262" s="77">
        <f t="shared" si="30"/>
        <v>266888.14647959115</v>
      </c>
      <c r="J262" s="77">
        <f t="shared" si="31"/>
        <v>179747.44386650861</v>
      </c>
      <c r="K262" s="77">
        <f t="shared" si="35"/>
        <v>141381.29659133279</v>
      </c>
      <c r="L262" s="75">
        <v>400000</v>
      </c>
      <c r="M262" s="75">
        <f t="shared" si="32"/>
        <v>258618.70340866721</v>
      </c>
    </row>
    <row r="263" spans="5:13">
      <c r="E263">
        <v>260</v>
      </c>
      <c r="F263" s="77">
        <f t="shared" si="33"/>
        <v>1717.829193638845</v>
      </c>
      <c r="G263" s="77">
        <f t="shared" si="29"/>
        <v>584.38565055621314</v>
      </c>
      <c r="H263" s="77">
        <f t="shared" si="34"/>
        <v>1133.443543082632</v>
      </c>
      <c r="I263" s="77">
        <f t="shared" si="30"/>
        <v>267472.53213014733</v>
      </c>
      <c r="J263" s="77">
        <f t="shared" si="31"/>
        <v>180880.88740959123</v>
      </c>
      <c r="K263" s="77">
        <f t="shared" si="35"/>
        <v>140252.55613349116</v>
      </c>
      <c r="L263" s="75">
        <v>400000</v>
      </c>
      <c r="M263" s="75">
        <f t="shared" si="32"/>
        <v>259747.44386650884</v>
      </c>
    </row>
    <row r="264" spans="5:13">
      <c r="E264">
        <v>261</v>
      </c>
      <c r="F264" s="77">
        <f t="shared" si="33"/>
        <v>1717.829193638845</v>
      </c>
      <c r="G264" s="77">
        <f t="shared" si="29"/>
        <v>579.66296912670225</v>
      </c>
      <c r="H264" s="77">
        <f t="shared" si="34"/>
        <v>1138.1662245121429</v>
      </c>
      <c r="I264" s="77">
        <f t="shared" si="30"/>
        <v>268052.19509927405</v>
      </c>
      <c r="J264" s="77">
        <f t="shared" si="31"/>
        <v>182019.05363410339</v>
      </c>
      <c r="K264" s="77">
        <f t="shared" si="35"/>
        <v>139119.11259040853</v>
      </c>
      <c r="L264" s="75">
        <v>400000</v>
      </c>
      <c r="M264" s="75">
        <f t="shared" si="32"/>
        <v>260880.88740959147</v>
      </c>
    </row>
    <row r="265" spans="5:13">
      <c r="E265">
        <v>262</v>
      </c>
      <c r="F265" s="77">
        <f t="shared" si="33"/>
        <v>1717.829193638845</v>
      </c>
      <c r="G265" s="77">
        <f t="shared" si="29"/>
        <v>574.92060985790158</v>
      </c>
      <c r="H265" s="77">
        <f t="shared" si="34"/>
        <v>1142.9085837809434</v>
      </c>
      <c r="I265" s="77">
        <f t="shared" si="30"/>
        <v>268627.11570913193</v>
      </c>
      <c r="J265" s="77">
        <f t="shared" si="31"/>
        <v>183161.96221788434</v>
      </c>
      <c r="K265" s="77">
        <f t="shared" si="35"/>
        <v>137980.94636589638</v>
      </c>
      <c r="L265" s="75">
        <v>400000</v>
      </c>
      <c r="M265" s="75">
        <f t="shared" si="32"/>
        <v>262019.05363410362</v>
      </c>
    </row>
    <row r="266" spans="5:13">
      <c r="E266">
        <v>263</v>
      </c>
      <c r="F266" s="77">
        <f t="shared" si="33"/>
        <v>1717.829193638845</v>
      </c>
      <c r="G266" s="77">
        <f t="shared" si="29"/>
        <v>570.15849075881431</v>
      </c>
      <c r="H266" s="77">
        <f t="shared" si="34"/>
        <v>1147.6707028800306</v>
      </c>
      <c r="I266" s="77">
        <f t="shared" si="30"/>
        <v>269197.27419989073</v>
      </c>
      <c r="J266" s="77">
        <f t="shared" si="31"/>
        <v>184309.63292076439</v>
      </c>
      <c r="K266" s="77">
        <f t="shared" si="35"/>
        <v>136838.03778211543</v>
      </c>
      <c r="L266" s="75">
        <v>400000</v>
      </c>
      <c r="M266" s="75">
        <f t="shared" si="32"/>
        <v>263161.9622178846</v>
      </c>
    </row>
    <row r="267" spans="5:13">
      <c r="E267">
        <v>264</v>
      </c>
      <c r="F267" s="77">
        <f t="shared" si="33"/>
        <v>1717.829193638845</v>
      </c>
      <c r="G267" s="77">
        <f t="shared" si="29"/>
        <v>565.3765294968141</v>
      </c>
      <c r="H267" s="77">
        <f t="shared" si="34"/>
        <v>1152.4526641420309</v>
      </c>
      <c r="I267" s="77">
        <f t="shared" si="30"/>
        <v>269762.65072938753</v>
      </c>
      <c r="J267" s="77">
        <f t="shared" si="31"/>
        <v>185462.08558490642</v>
      </c>
      <c r="K267" s="77">
        <f t="shared" si="35"/>
        <v>135690.36707923538</v>
      </c>
      <c r="L267" s="75">
        <v>400000</v>
      </c>
      <c r="M267" s="75">
        <f t="shared" si="32"/>
        <v>264309.63292076462</v>
      </c>
    </row>
    <row r="268" spans="5:13">
      <c r="E268">
        <v>265</v>
      </c>
      <c r="F268" s="77">
        <f t="shared" si="33"/>
        <v>1717.829193638845</v>
      </c>
      <c r="G268" s="77">
        <f t="shared" si="29"/>
        <v>560.5746433962222</v>
      </c>
      <c r="H268" s="77">
        <f t="shared" si="34"/>
        <v>1157.2545502426228</v>
      </c>
      <c r="I268" s="77">
        <f t="shared" si="30"/>
        <v>270323.22537278378</v>
      </c>
      <c r="J268" s="77">
        <f t="shared" si="31"/>
        <v>186619.34013514905</v>
      </c>
      <c r="K268" s="77">
        <f t="shared" si="35"/>
        <v>134537.91441509334</v>
      </c>
      <c r="L268" s="75">
        <v>400000</v>
      </c>
      <c r="M268" s="75">
        <f t="shared" si="32"/>
        <v>265462.08558490663</v>
      </c>
    </row>
    <row r="269" spans="5:13">
      <c r="E269">
        <v>266</v>
      </c>
      <c r="F269" s="77">
        <f t="shared" si="33"/>
        <v>1717.829193638845</v>
      </c>
      <c r="G269" s="77">
        <f t="shared" si="29"/>
        <v>555.75274943687805</v>
      </c>
      <c r="H269" s="77">
        <f t="shared" si="34"/>
        <v>1162.076444201967</v>
      </c>
      <c r="I269" s="77">
        <f t="shared" si="30"/>
        <v>270878.97812222067</v>
      </c>
      <c r="J269" s="77">
        <f t="shared" si="31"/>
        <v>187781.416579351</v>
      </c>
      <c r="K269" s="77">
        <f t="shared" si="35"/>
        <v>133380.65986485072</v>
      </c>
      <c r="L269" s="75">
        <v>400000</v>
      </c>
      <c r="M269" s="75">
        <f t="shared" si="32"/>
        <v>266619.34013514931</v>
      </c>
    </row>
    <row r="270" spans="5:13">
      <c r="E270">
        <v>267</v>
      </c>
      <c r="F270" s="77">
        <f t="shared" si="33"/>
        <v>1717.829193638845</v>
      </c>
      <c r="G270" s="77">
        <f t="shared" si="29"/>
        <v>550.91076425270319</v>
      </c>
      <c r="H270" s="77">
        <f t="shared" si="34"/>
        <v>1166.9184293861417</v>
      </c>
      <c r="I270" s="77">
        <f t="shared" si="30"/>
        <v>271429.88888647337</v>
      </c>
      <c r="J270" s="77">
        <f t="shared" si="31"/>
        <v>188948.33500873714</v>
      </c>
      <c r="K270" s="77">
        <f t="shared" si="35"/>
        <v>132218.58342064876</v>
      </c>
      <c r="L270" s="75">
        <v>400000</v>
      </c>
      <c r="M270" s="75">
        <f t="shared" si="32"/>
        <v>267781.41657935124</v>
      </c>
    </row>
    <row r="271" spans="5:13">
      <c r="E271">
        <v>268</v>
      </c>
      <c r="F271" s="77">
        <f t="shared" si="33"/>
        <v>1717.829193638845</v>
      </c>
      <c r="G271" s="77">
        <f t="shared" si="29"/>
        <v>546.04860413026086</v>
      </c>
      <c r="H271" s="77">
        <f t="shared" si="34"/>
        <v>1171.7805895085842</v>
      </c>
      <c r="I271" s="77">
        <f t="shared" si="30"/>
        <v>271975.93749060365</v>
      </c>
      <c r="J271" s="77">
        <f t="shared" si="31"/>
        <v>190120.11559824573</v>
      </c>
      <c r="K271" s="77">
        <f t="shared" si="35"/>
        <v>131051.66499126262</v>
      </c>
      <c r="L271" s="75">
        <v>400000</v>
      </c>
      <c r="M271" s="75">
        <f t="shared" si="32"/>
        <v>268948.3350087374</v>
      </c>
    </row>
    <row r="272" spans="5:13">
      <c r="E272">
        <v>269</v>
      </c>
      <c r="F272" s="77">
        <f t="shared" si="33"/>
        <v>1717.829193638845</v>
      </c>
      <c r="G272" s="77">
        <f t="shared" si="29"/>
        <v>541.1661850073084</v>
      </c>
      <c r="H272" s="77">
        <f t="shared" si="34"/>
        <v>1176.6630086315367</v>
      </c>
      <c r="I272" s="77">
        <f t="shared" si="30"/>
        <v>272517.10367561097</v>
      </c>
      <c r="J272" s="77">
        <f t="shared" si="31"/>
        <v>191296.77860687725</v>
      </c>
      <c r="K272" s="77">
        <f t="shared" si="35"/>
        <v>129879.88440175403</v>
      </c>
      <c r="L272" s="75">
        <v>400000</v>
      </c>
      <c r="M272" s="75">
        <f t="shared" si="32"/>
        <v>270120.11559824599</v>
      </c>
    </row>
    <row r="273" spans="5:13">
      <c r="E273">
        <v>270</v>
      </c>
      <c r="F273" s="77">
        <f t="shared" si="33"/>
        <v>1717.829193638845</v>
      </c>
      <c r="G273" s="77">
        <f t="shared" si="29"/>
        <v>536.26342247134369</v>
      </c>
      <c r="H273" s="77">
        <f t="shared" si="34"/>
        <v>1181.5657711675012</v>
      </c>
      <c r="I273" s="77">
        <f t="shared" si="30"/>
        <v>273053.36709808232</v>
      </c>
      <c r="J273" s="77">
        <f t="shared" si="31"/>
        <v>192478.34437804477</v>
      </c>
      <c r="K273" s="77">
        <f t="shared" si="35"/>
        <v>128703.22139312248</v>
      </c>
      <c r="L273" s="75">
        <v>400000</v>
      </c>
      <c r="M273" s="75">
        <f t="shared" si="32"/>
        <v>271296.77860687755</v>
      </c>
    </row>
    <row r="274" spans="5:13">
      <c r="E274">
        <v>271</v>
      </c>
      <c r="F274" s="77">
        <f t="shared" si="33"/>
        <v>1717.829193638845</v>
      </c>
      <c r="G274" s="77">
        <f t="shared" si="29"/>
        <v>531.34023175814571</v>
      </c>
      <c r="H274" s="77">
        <f t="shared" si="34"/>
        <v>1186.4889618806992</v>
      </c>
      <c r="I274" s="77">
        <f t="shared" si="30"/>
        <v>273584.70732984046</v>
      </c>
      <c r="J274" s="77">
        <f t="shared" si="31"/>
        <v>193664.83333992548</v>
      </c>
      <c r="K274" s="77">
        <f t="shared" si="35"/>
        <v>127521.65562195498</v>
      </c>
      <c r="L274" s="75">
        <v>400000</v>
      </c>
      <c r="M274" s="75">
        <f t="shared" si="32"/>
        <v>272478.344378045</v>
      </c>
    </row>
    <row r="275" spans="5:13">
      <c r="E275">
        <v>272</v>
      </c>
      <c r="F275" s="77">
        <f t="shared" si="33"/>
        <v>1717.829193638845</v>
      </c>
      <c r="G275" s="77">
        <f t="shared" si="29"/>
        <v>526.39652775030959</v>
      </c>
      <c r="H275" s="77">
        <f t="shared" si="34"/>
        <v>1191.4326658885354</v>
      </c>
      <c r="I275" s="77">
        <f t="shared" si="30"/>
        <v>274111.10385759076</v>
      </c>
      <c r="J275" s="77">
        <f t="shared" si="31"/>
        <v>194856.26600581402</v>
      </c>
      <c r="K275" s="77">
        <f t="shared" si="35"/>
        <v>126335.16666007429</v>
      </c>
      <c r="L275" s="75">
        <v>400000</v>
      </c>
      <c r="M275" s="75">
        <f t="shared" si="32"/>
        <v>273664.83333992574</v>
      </c>
    </row>
    <row r="276" spans="5:13">
      <c r="E276">
        <v>273</v>
      </c>
      <c r="F276" s="77">
        <f t="shared" si="33"/>
        <v>1717.829193638845</v>
      </c>
      <c r="G276" s="77">
        <f t="shared" si="29"/>
        <v>521.43222497577392</v>
      </c>
      <c r="H276" s="77">
        <f t="shared" si="34"/>
        <v>1196.3969686630712</v>
      </c>
      <c r="I276" s="77">
        <f t="shared" si="30"/>
        <v>274632.53608256654</v>
      </c>
      <c r="J276" s="77">
        <f t="shared" si="31"/>
        <v>196052.66297447708</v>
      </c>
      <c r="K276" s="77">
        <f t="shared" si="35"/>
        <v>125143.73399418575</v>
      </c>
      <c r="L276" s="75">
        <v>400000</v>
      </c>
      <c r="M276" s="75">
        <f t="shared" si="32"/>
        <v>274856.26600581425</v>
      </c>
    </row>
    <row r="277" spans="5:13">
      <c r="E277">
        <v>274</v>
      </c>
      <c r="F277" s="77">
        <f t="shared" si="33"/>
        <v>1717.829193638845</v>
      </c>
      <c r="G277" s="77">
        <f t="shared" si="29"/>
        <v>516.44723760634452</v>
      </c>
      <c r="H277" s="77">
        <f t="shared" si="34"/>
        <v>1201.3819560325005</v>
      </c>
      <c r="I277" s="77">
        <f t="shared" si="30"/>
        <v>275148.98332017288</v>
      </c>
      <c r="J277" s="77">
        <f t="shared" si="31"/>
        <v>197254.04493050958</v>
      </c>
      <c r="K277" s="77">
        <f t="shared" si="35"/>
        <v>123947.33702552268</v>
      </c>
      <c r="L277" s="75">
        <v>400000</v>
      </c>
      <c r="M277" s="75">
        <f t="shared" si="32"/>
        <v>276052.66297447734</v>
      </c>
    </row>
    <row r="278" spans="5:13">
      <c r="E278">
        <v>275</v>
      </c>
      <c r="F278" s="77">
        <f t="shared" si="33"/>
        <v>1717.829193638845</v>
      </c>
      <c r="G278" s="77">
        <f t="shared" si="29"/>
        <v>511.44147945620904</v>
      </c>
      <c r="H278" s="77">
        <f t="shared" si="34"/>
        <v>1206.387714182636</v>
      </c>
      <c r="I278" s="77">
        <f t="shared" si="30"/>
        <v>275660.42479962908</v>
      </c>
      <c r="J278" s="77">
        <f t="shared" si="31"/>
        <v>198460.43264469222</v>
      </c>
      <c r="K278" s="77">
        <f t="shared" si="35"/>
        <v>122745.95506949017</v>
      </c>
      <c r="L278" s="75">
        <v>400000</v>
      </c>
      <c r="M278" s="75">
        <f t="shared" si="32"/>
        <v>277254.04493050982</v>
      </c>
    </row>
    <row r="279" spans="5:13">
      <c r="E279">
        <v>276</v>
      </c>
      <c r="F279" s="77">
        <f t="shared" si="33"/>
        <v>1717.829193638845</v>
      </c>
      <c r="G279" s="77">
        <f t="shared" si="29"/>
        <v>506.41486398044805</v>
      </c>
      <c r="H279" s="77">
        <f t="shared" si="34"/>
        <v>1211.414329658397</v>
      </c>
      <c r="I279" s="77">
        <f t="shared" si="30"/>
        <v>276166.83966360951</v>
      </c>
      <c r="J279" s="77">
        <f t="shared" si="31"/>
        <v>199671.84697435063</v>
      </c>
      <c r="K279" s="77">
        <f t="shared" si="35"/>
        <v>121539.56735530753</v>
      </c>
      <c r="L279" s="75">
        <v>400000</v>
      </c>
      <c r="M279" s="75">
        <f t="shared" si="32"/>
        <v>278460.43264469248</v>
      </c>
    </row>
    <row r="280" spans="5:13">
      <c r="E280">
        <v>277</v>
      </c>
      <c r="F280" s="77">
        <f t="shared" si="33"/>
        <v>1717.829193638845</v>
      </c>
      <c r="G280" s="77">
        <f t="shared" si="29"/>
        <v>501.36730427353808</v>
      </c>
      <c r="H280" s="77">
        <f t="shared" si="34"/>
        <v>1216.4618893653069</v>
      </c>
      <c r="I280" s="77">
        <f t="shared" si="30"/>
        <v>276668.20696788304</v>
      </c>
      <c r="J280" s="77">
        <f t="shared" si="31"/>
        <v>200888.30886371594</v>
      </c>
      <c r="K280" s="77">
        <f t="shared" si="35"/>
        <v>120328.15302564914</v>
      </c>
      <c r="L280" s="75">
        <v>400000</v>
      </c>
      <c r="M280" s="75">
        <f t="shared" si="32"/>
        <v>279671.84697435086</v>
      </c>
    </row>
    <row r="281" spans="5:13">
      <c r="E281">
        <v>278</v>
      </c>
      <c r="F281" s="77">
        <f t="shared" si="33"/>
        <v>1717.829193638845</v>
      </c>
      <c r="G281" s="77">
        <f t="shared" si="29"/>
        <v>496.29871306784929</v>
      </c>
      <c r="H281" s="77">
        <f t="shared" si="34"/>
        <v>1221.5304805709957</v>
      </c>
      <c r="I281" s="77">
        <f t="shared" si="30"/>
        <v>277164.50568095088</v>
      </c>
      <c r="J281" s="77">
        <f t="shared" si="31"/>
        <v>202109.83934428694</v>
      </c>
      <c r="K281" s="77">
        <f t="shared" si="35"/>
        <v>119111.69113628383</v>
      </c>
      <c r="L281" s="75">
        <v>400000</v>
      </c>
      <c r="M281" s="75">
        <f t="shared" si="32"/>
        <v>280888.3088637162</v>
      </c>
    </row>
    <row r="282" spans="5:13">
      <c r="E282">
        <v>279</v>
      </c>
      <c r="F282" s="77">
        <f t="shared" si="33"/>
        <v>1717.829193638845</v>
      </c>
      <c r="G282" s="77">
        <f t="shared" si="29"/>
        <v>491.20900273213681</v>
      </c>
      <c r="H282" s="77">
        <f t="shared" si="34"/>
        <v>1226.6201909067081</v>
      </c>
      <c r="I282" s="77">
        <f t="shared" si="30"/>
        <v>277655.71468368301</v>
      </c>
      <c r="J282" s="77">
        <f t="shared" si="31"/>
        <v>203336.45953519366</v>
      </c>
      <c r="K282" s="77">
        <f t="shared" si="35"/>
        <v>117890.16065571284</v>
      </c>
      <c r="L282" s="75">
        <v>400000</v>
      </c>
      <c r="M282" s="75">
        <f t="shared" si="32"/>
        <v>282109.83934428717</v>
      </c>
    </row>
    <row r="283" spans="5:13">
      <c r="E283">
        <v>280</v>
      </c>
      <c r="F283" s="77">
        <f t="shared" si="33"/>
        <v>1717.829193638845</v>
      </c>
      <c r="G283" s="77">
        <f t="shared" si="29"/>
        <v>486.09808527002559</v>
      </c>
      <c r="H283" s="77">
        <f t="shared" si="34"/>
        <v>1231.7311083688194</v>
      </c>
      <c r="I283" s="77">
        <f t="shared" si="30"/>
        <v>278141.81276895304</v>
      </c>
      <c r="J283" s="77">
        <f t="shared" si="31"/>
        <v>204568.19064356247</v>
      </c>
      <c r="K283" s="77">
        <f t="shared" si="35"/>
        <v>116663.54046480614</v>
      </c>
      <c r="L283" s="75">
        <v>400000</v>
      </c>
      <c r="M283" s="75">
        <f t="shared" si="32"/>
        <v>283336.45953519386</v>
      </c>
    </row>
    <row r="284" spans="5:13">
      <c r="E284">
        <v>281</v>
      </c>
      <c r="F284" s="77">
        <f t="shared" si="33"/>
        <v>1717.829193638845</v>
      </c>
      <c r="G284" s="77">
        <f t="shared" si="29"/>
        <v>480.96587231848878</v>
      </c>
      <c r="H284" s="77">
        <f t="shared" si="34"/>
        <v>1236.8633213203561</v>
      </c>
      <c r="I284" s="77">
        <f t="shared" si="30"/>
        <v>278622.77864127152</v>
      </c>
      <c r="J284" s="77">
        <f t="shared" si="31"/>
        <v>205805.05396488283</v>
      </c>
      <c r="K284" s="77">
        <f t="shared" si="35"/>
        <v>115431.80935643731</v>
      </c>
      <c r="L284" s="75">
        <v>400000</v>
      </c>
      <c r="M284" s="75">
        <f t="shared" si="32"/>
        <v>284568.1906435627</v>
      </c>
    </row>
    <row r="285" spans="5:13">
      <c r="E285">
        <v>282</v>
      </c>
      <c r="F285" s="77">
        <f t="shared" si="33"/>
        <v>1717.829193638845</v>
      </c>
      <c r="G285" s="77">
        <f t="shared" si="29"/>
        <v>475.81227514632064</v>
      </c>
      <c r="H285" s="77">
        <f t="shared" si="34"/>
        <v>1242.0169184925244</v>
      </c>
      <c r="I285" s="77">
        <f t="shared" si="30"/>
        <v>279098.59091641783</v>
      </c>
      <c r="J285" s="77">
        <f t="shared" si="31"/>
        <v>207047.07088337536</v>
      </c>
      <c r="K285" s="77">
        <f t="shared" si="35"/>
        <v>114194.94603511695</v>
      </c>
      <c r="L285" s="75">
        <v>400000</v>
      </c>
      <c r="M285" s="75">
        <f t="shared" si="32"/>
        <v>285805.05396488303</v>
      </c>
    </row>
    <row r="286" spans="5:13">
      <c r="E286">
        <v>283</v>
      </c>
      <c r="F286" s="77">
        <f t="shared" si="33"/>
        <v>1717.829193638845</v>
      </c>
      <c r="G286" s="77">
        <f t="shared" si="29"/>
        <v>470.63720465260184</v>
      </c>
      <c r="H286" s="77">
        <f t="shared" si="34"/>
        <v>1247.1919889862431</v>
      </c>
      <c r="I286" s="77">
        <f t="shared" si="30"/>
        <v>279569.22812107042</v>
      </c>
      <c r="J286" s="77">
        <f t="shared" si="31"/>
        <v>208294.26287236161</v>
      </c>
      <c r="K286" s="77">
        <f t="shared" si="35"/>
        <v>112952.92911662444</v>
      </c>
      <c r="L286" s="75">
        <v>400000</v>
      </c>
      <c r="M286" s="75">
        <f t="shared" si="32"/>
        <v>287047.07088337559</v>
      </c>
    </row>
    <row r="287" spans="5:13">
      <c r="E287">
        <v>284</v>
      </c>
      <c r="F287" s="77">
        <f t="shared" si="33"/>
        <v>1717.829193638845</v>
      </c>
      <c r="G287" s="77">
        <f t="shared" si="29"/>
        <v>465.44057136515909</v>
      </c>
      <c r="H287" s="77">
        <f t="shared" si="34"/>
        <v>1252.388622273686</v>
      </c>
      <c r="I287" s="77">
        <f t="shared" si="30"/>
        <v>280034.6686924356</v>
      </c>
      <c r="J287" s="77">
        <f t="shared" si="31"/>
        <v>209546.6514946353</v>
      </c>
      <c r="K287" s="77">
        <f t="shared" si="35"/>
        <v>111705.73712763819</v>
      </c>
      <c r="L287" s="75">
        <v>400000</v>
      </c>
      <c r="M287" s="75">
        <f t="shared" si="32"/>
        <v>288294.26287236181</v>
      </c>
    </row>
    <row r="288" spans="5:13">
      <c r="E288">
        <v>285</v>
      </c>
      <c r="F288" s="77">
        <f t="shared" si="33"/>
        <v>1717.829193638845</v>
      </c>
      <c r="G288" s="77">
        <f t="shared" si="29"/>
        <v>460.22228543901872</v>
      </c>
      <c r="H288" s="77">
        <f t="shared" si="34"/>
        <v>1257.6069081998262</v>
      </c>
      <c r="I288" s="77">
        <f t="shared" si="30"/>
        <v>280494.89097787463</v>
      </c>
      <c r="J288" s="77">
        <f t="shared" si="31"/>
        <v>210804.25840283511</v>
      </c>
      <c r="K288" s="77">
        <f t="shared" si="35"/>
        <v>110453.3485053645</v>
      </c>
      <c r="L288" s="75">
        <v>400000</v>
      </c>
      <c r="M288" s="75">
        <f t="shared" si="32"/>
        <v>289546.6514946355</v>
      </c>
    </row>
    <row r="289" spans="5:13">
      <c r="E289">
        <v>286</v>
      </c>
      <c r="F289" s="77">
        <f t="shared" si="33"/>
        <v>1717.829193638845</v>
      </c>
      <c r="G289" s="77">
        <f t="shared" si="29"/>
        <v>454.98225665485279</v>
      </c>
      <c r="H289" s="77">
        <f t="shared" si="34"/>
        <v>1262.8469369839922</v>
      </c>
      <c r="I289" s="77">
        <f t="shared" si="30"/>
        <v>280949.87323452946</v>
      </c>
      <c r="J289" s="77">
        <f t="shared" si="31"/>
        <v>212067.1053398191</v>
      </c>
      <c r="K289" s="77">
        <f t="shared" si="35"/>
        <v>109195.74159716467</v>
      </c>
      <c r="L289" s="75">
        <v>400000</v>
      </c>
      <c r="M289" s="75">
        <f t="shared" si="32"/>
        <v>290804.25840283534</v>
      </c>
    </row>
    <row r="290" spans="5:13">
      <c r="E290">
        <v>287</v>
      </c>
      <c r="F290" s="77">
        <f t="shared" si="33"/>
        <v>1717.829193638845</v>
      </c>
      <c r="G290" s="77">
        <f t="shared" si="29"/>
        <v>449.72039441741953</v>
      </c>
      <c r="H290" s="77">
        <f t="shared" si="34"/>
        <v>1268.1087992214254</v>
      </c>
      <c r="I290" s="77">
        <f t="shared" si="30"/>
        <v>281399.59362894687</v>
      </c>
      <c r="J290" s="77">
        <f t="shared" si="31"/>
        <v>213335.21413904053</v>
      </c>
      <c r="K290" s="77">
        <f t="shared" si="35"/>
        <v>107932.89466018068</v>
      </c>
      <c r="L290" s="75">
        <v>400000</v>
      </c>
      <c r="M290" s="75">
        <f t="shared" si="32"/>
        <v>292067.10533981933</v>
      </c>
    </row>
    <row r="291" spans="5:13">
      <c r="E291">
        <v>288</v>
      </c>
      <c r="F291" s="77">
        <f t="shared" si="33"/>
        <v>1717.829193638845</v>
      </c>
      <c r="G291" s="77">
        <f t="shared" si="29"/>
        <v>444.4366077539969</v>
      </c>
      <c r="H291" s="77">
        <f t="shared" si="34"/>
        <v>1273.3925858848481</v>
      </c>
      <c r="I291" s="77">
        <f t="shared" si="30"/>
        <v>281844.03023670084</v>
      </c>
      <c r="J291" s="77">
        <f t="shared" si="31"/>
        <v>214608.60672492537</v>
      </c>
      <c r="K291" s="77">
        <f t="shared" si="35"/>
        <v>106664.78586095925</v>
      </c>
      <c r="L291" s="75">
        <v>400000</v>
      </c>
      <c r="M291" s="75">
        <f t="shared" si="32"/>
        <v>293335.21413904073</v>
      </c>
    </row>
    <row r="292" spans="5:13">
      <c r="E292">
        <v>289</v>
      </c>
      <c r="F292" s="77">
        <f t="shared" si="33"/>
        <v>1717.829193638845</v>
      </c>
      <c r="G292" s="77">
        <f t="shared" si="29"/>
        <v>439.13080531280997</v>
      </c>
      <c r="H292" s="77">
        <f t="shared" si="34"/>
        <v>1278.698388326035</v>
      </c>
      <c r="I292" s="77">
        <f t="shared" si="30"/>
        <v>282283.16104201367</v>
      </c>
      <c r="J292" s="77">
        <f t="shared" si="31"/>
        <v>215887.30511325141</v>
      </c>
      <c r="K292" s="77">
        <f t="shared" si="35"/>
        <v>105391.3932750744</v>
      </c>
      <c r="L292" s="75">
        <v>400000</v>
      </c>
      <c r="M292" s="75">
        <f t="shared" si="32"/>
        <v>294608.60672492557</v>
      </c>
    </row>
    <row r="293" spans="5:13">
      <c r="E293">
        <v>290</v>
      </c>
      <c r="F293" s="77">
        <f t="shared" si="33"/>
        <v>1717.829193638845</v>
      </c>
      <c r="G293" s="77">
        <f t="shared" si="29"/>
        <v>433.80289536145148</v>
      </c>
      <c r="H293" s="77">
        <f t="shared" si="34"/>
        <v>1284.0262982773936</v>
      </c>
      <c r="I293" s="77">
        <f t="shared" si="30"/>
        <v>282716.96393737511</v>
      </c>
      <c r="J293" s="77">
        <f t="shared" si="31"/>
        <v>217171.33141152881</v>
      </c>
      <c r="K293" s="77">
        <f t="shared" si="35"/>
        <v>104112.69488674836</v>
      </c>
      <c r="L293" s="75">
        <v>400000</v>
      </c>
      <c r="M293" s="75">
        <f t="shared" si="32"/>
        <v>295887.30511325167</v>
      </c>
    </row>
    <row r="294" spans="5:13">
      <c r="E294">
        <v>291</v>
      </c>
      <c r="F294" s="77">
        <f t="shared" si="33"/>
        <v>1717.829193638845</v>
      </c>
      <c r="G294" s="77">
        <f t="shared" si="29"/>
        <v>428.45278578529565</v>
      </c>
      <c r="H294" s="77">
        <f t="shared" si="34"/>
        <v>1289.3764078535494</v>
      </c>
      <c r="I294" s="77">
        <f t="shared" si="30"/>
        <v>283145.41672316042</v>
      </c>
      <c r="J294" s="77">
        <f t="shared" si="31"/>
        <v>218460.70781938237</v>
      </c>
      <c r="K294" s="77">
        <f t="shared" si="35"/>
        <v>102828.66858847096</v>
      </c>
      <c r="L294" s="75">
        <v>400000</v>
      </c>
      <c r="M294" s="75">
        <f t="shared" si="32"/>
        <v>297171.33141152904</v>
      </c>
    </row>
    <row r="295" spans="5:13">
      <c r="E295">
        <v>292</v>
      </c>
      <c r="F295" s="77">
        <f t="shared" si="33"/>
        <v>1717.829193638845</v>
      </c>
      <c r="G295" s="77">
        <f t="shared" si="29"/>
        <v>423.08038408590591</v>
      </c>
      <c r="H295" s="77">
        <f t="shared" si="34"/>
        <v>1294.7488095529391</v>
      </c>
      <c r="I295" s="77">
        <f t="shared" si="30"/>
        <v>283568.49710724631</v>
      </c>
      <c r="J295" s="77">
        <f t="shared" si="31"/>
        <v>219755.4566289353</v>
      </c>
      <c r="K295" s="77">
        <f t="shared" si="35"/>
        <v>101539.29218061741</v>
      </c>
      <c r="L295" s="75">
        <v>400000</v>
      </c>
      <c r="M295" s="75">
        <f t="shared" si="32"/>
        <v>298460.7078193826</v>
      </c>
    </row>
    <row r="296" spans="5:13">
      <c r="E296">
        <v>293</v>
      </c>
      <c r="F296" s="77">
        <f t="shared" si="33"/>
        <v>1717.829193638845</v>
      </c>
      <c r="G296" s="77">
        <f t="shared" si="29"/>
        <v>417.68559737943531</v>
      </c>
      <c r="H296" s="77">
        <f t="shared" si="34"/>
        <v>1300.1435962594096</v>
      </c>
      <c r="I296" s="77">
        <f t="shared" si="30"/>
        <v>283986.18270462577</v>
      </c>
      <c r="J296" s="77">
        <f t="shared" si="31"/>
        <v>221055.60022519471</v>
      </c>
      <c r="K296" s="77">
        <f t="shared" si="35"/>
        <v>100244.54337106447</v>
      </c>
      <c r="L296" s="75">
        <v>400000</v>
      </c>
      <c r="M296" s="75">
        <f t="shared" si="32"/>
        <v>299755.45662893553</v>
      </c>
    </row>
    <row r="297" spans="5:13">
      <c r="E297">
        <v>294</v>
      </c>
      <c r="F297" s="77">
        <f t="shared" si="33"/>
        <v>1717.829193638845</v>
      </c>
      <c r="G297" s="77">
        <f t="shared" si="29"/>
        <v>412.2683323950211</v>
      </c>
      <c r="H297" s="77">
        <f t="shared" si="34"/>
        <v>1305.5608612438239</v>
      </c>
      <c r="I297" s="77">
        <f t="shared" si="30"/>
        <v>284398.45103702077</v>
      </c>
      <c r="J297" s="77">
        <f t="shared" si="31"/>
        <v>222361.16108643854</v>
      </c>
      <c r="K297" s="77">
        <f t="shared" si="35"/>
        <v>98944.399774805061</v>
      </c>
      <c r="L297" s="75">
        <v>400000</v>
      </c>
      <c r="M297" s="75">
        <f t="shared" si="32"/>
        <v>301055.60022519494</v>
      </c>
    </row>
    <row r="298" spans="5:13">
      <c r="E298">
        <v>295</v>
      </c>
      <c r="F298" s="77">
        <f t="shared" si="33"/>
        <v>1717.829193638845</v>
      </c>
      <c r="G298" s="77">
        <f t="shared" si="29"/>
        <v>406.82849547317181</v>
      </c>
      <c r="H298" s="77">
        <f t="shared" si="34"/>
        <v>1311.0006981656732</v>
      </c>
      <c r="I298" s="77">
        <f t="shared" si="30"/>
        <v>284805.27953249397</v>
      </c>
      <c r="J298" s="77">
        <f t="shared" si="31"/>
        <v>223672.16178460422</v>
      </c>
      <c r="K298" s="77">
        <f t="shared" si="35"/>
        <v>97638.838913561238</v>
      </c>
      <c r="L298" s="75">
        <v>400000</v>
      </c>
      <c r="M298" s="75">
        <f t="shared" si="32"/>
        <v>302361.16108643875</v>
      </c>
    </row>
    <row r="299" spans="5:13">
      <c r="E299">
        <v>296</v>
      </c>
      <c r="F299" s="77">
        <f t="shared" si="33"/>
        <v>1717.829193638845</v>
      </c>
      <c r="G299" s="77">
        <f t="shared" si="29"/>
        <v>401.36599256414814</v>
      </c>
      <c r="H299" s="77">
        <f t="shared" si="34"/>
        <v>1316.4632010746968</v>
      </c>
      <c r="I299" s="77">
        <f t="shared" si="30"/>
        <v>285206.64552505809</v>
      </c>
      <c r="J299" s="77">
        <f t="shared" si="31"/>
        <v>224988.62498567891</v>
      </c>
      <c r="K299" s="77">
        <f t="shared" si="35"/>
        <v>96327.838215395561</v>
      </c>
      <c r="L299" s="75">
        <v>400000</v>
      </c>
      <c r="M299" s="75">
        <f t="shared" si="32"/>
        <v>303672.16178460442</v>
      </c>
    </row>
    <row r="300" spans="5:13">
      <c r="E300">
        <v>297</v>
      </c>
      <c r="F300" s="77">
        <f t="shared" si="33"/>
        <v>1717.829193638845</v>
      </c>
      <c r="G300" s="77">
        <f t="shared" si="29"/>
        <v>395.88072922633694</v>
      </c>
      <c r="H300" s="77">
        <f t="shared" si="34"/>
        <v>1321.9484644125082</v>
      </c>
      <c r="I300" s="77">
        <f t="shared" si="30"/>
        <v>285602.52625428443</v>
      </c>
      <c r="J300" s="77">
        <f t="shared" si="31"/>
        <v>226310.57345009141</v>
      </c>
      <c r="K300" s="77">
        <f t="shared" si="35"/>
        <v>95011.37501432086</v>
      </c>
      <c r="L300" s="75">
        <v>400000</v>
      </c>
      <c r="M300" s="75">
        <f t="shared" si="32"/>
        <v>304988.62498567917</v>
      </c>
    </row>
    <row r="301" spans="5:13">
      <c r="E301">
        <v>298</v>
      </c>
      <c r="F301" s="77">
        <f t="shared" si="33"/>
        <v>1717.829193638845</v>
      </c>
      <c r="G301" s="77">
        <f t="shared" si="29"/>
        <v>390.37261062461812</v>
      </c>
      <c r="H301" s="77">
        <f t="shared" si="34"/>
        <v>1327.4565830142269</v>
      </c>
      <c r="I301" s="77">
        <f t="shared" si="30"/>
        <v>285992.89886490908</v>
      </c>
      <c r="J301" s="77">
        <f t="shared" si="31"/>
        <v>227638.03003310564</v>
      </c>
      <c r="K301" s="77">
        <f t="shared" si="35"/>
        <v>93689.426549908356</v>
      </c>
      <c r="L301" s="75">
        <v>400000</v>
      </c>
      <c r="M301" s="75">
        <f t="shared" si="32"/>
        <v>306310.57345009164</v>
      </c>
    </row>
    <row r="302" spans="5:13">
      <c r="E302">
        <v>299</v>
      </c>
      <c r="F302" s="77">
        <f t="shared" si="33"/>
        <v>1717.829193638845</v>
      </c>
      <c r="G302" s="77">
        <f t="shared" si="29"/>
        <v>384.84154152872554</v>
      </c>
      <c r="H302" s="77">
        <f t="shared" si="34"/>
        <v>1332.9876521101196</v>
      </c>
      <c r="I302" s="77">
        <f t="shared" si="30"/>
        <v>286377.74040643778</v>
      </c>
      <c r="J302" s="77">
        <f t="shared" si="31"/>
        <v>228971.01768521575</v>
      </c>
      <c r="K302" s="77">
        <f t="shared" si="35"/>
        <v>92361.969966894132</v>
      </c>
      <c r="L302" s="75">
        <v>400000</v>
      </c>
      <c r="M302" s="75">
        <f t="shared" si="32"/>
        <v>307638.03003310587</v>
      </c>
    </row>
    <row r="303" spans="5:13">
      <c r="E303">
        <v>300</v>
      </c>
      <c r="F303" s="77">
        <f t="shared" si="33"/>
        <v>1717.829193638845</v>
      </c>
      <c r="G303" s="77">
        <f t="shared" si="29"/>
        <v>379.28742631160003</v>
      </c>
      <c r="H303" s="77">
        <f t="shared" si="34"/>
        <v>1338.541767327245</v>
      </c>
      <c r="I303" s="77">
        <f t="shared" si="30"/>
        <v>286757.02783274936</v>
      </c>
      <c r="J303" s="77">
        <f t="shared" si="31"/>
        <v>230309.55945254298</v>
      </c>
      <c r="K303" s="77">
        <f t="shared" si="35"/>
        <v>91028.982314784007</v>
      </c>
      <c r="L303" s="75">
        <v>400000</v>
      </c>
      <c r="M303" s="75">
        <f t="shared" si="32"/>
        <v>308971.01768521598</v>
      </c>
    </row>
    <row r="304" spans="5:13">
      <c r="E304">
        <v>301</v>
      </c>
      <c r="F304" s="77">
        <f t="shared" si="33"/>
        <v>1717.829193638845</v>
      </c>
      <c r="G304" s="77">
        <f t="shared" si="29"/>
        <v>373.71016894773652</v>
      </c>
      <c r="H304" s="77">
        <f t="shared" si="34"/>
        <v>1344.1190246911085</v>
      </c>
      <c r="I304" s="77">
        <f t="shared" si="30"/>
        <v>287130.73800169711</v>
      </c>
      <c r="J304" s="77">
        <f t="shared" si="31"/>
        <v>231653.67847723409</v>
      </c>
      <c r="K304" s="77">
        <f t="shared" si="35"/>
        <v>89690.440547456761</v>
      </c>
      <c r="L304" s="75">
        <v>400000</v>
      </c>
      <c r="M304" s="75">
        <f t="shared" si="32"/>
        <v>310309.55945254327</v>
      </c>
    </row>
    <row r="305" spans="5:13">
      <c r="E305">
        <v>302</v>
      </c>
      <c r="F305" s="77">
        <f t="shared" si="33"/>
        <v>1717.829193638845</v>
      </c>
      <c r="G305" s="77">
        <f t="shared" si="29"/>
        <v>368.10967301152351</v>
      </c>
      <c r="H305" s="77">
        <f t="shared" si="34"/>
        <v>1349.7195206273216</v>
      </c>
      <c r="I305" s="77">
        <f t="shared" si="30"/>
        <v>287498.84767470864</v>
      </c>
      <c r="J305" s="77">
        <f t="shared" si="31"/>
        <v>233003.39799786141</v>
      </c>
      <c r="K305" s="77">
        <f t="shared" si="35"/>
        <v>88346.321522765647</v>
      </c>
      <c r="L305" s="75">
        <v>400000</v>
      </c>
      <c r="M305" s="75">
        <f t="shared" si="32"/>
        <v>311653.67847723432</v>
      </c>
    </row>
    <row r="306" spans="5:13">
      <c r="E306">
        <v>303</v>
      </c>
      <c r="F306" s="77">
        <f t="shared" si="33"/>
        <v>1717.829193638845</v>
      </c>
      <c r="G306" s="77">
        <f t="shared" si="29"/>
        <v>362.48584167557635</v>
      </c>
      <c r="H306" s="77">
        <f t="shared" si="34"/>
        <v>1355.3433519632686</v>
      </c>
      <c r="I306" s="77">
        <f t="shared" si="30"/>
        <v>287861.33351638424</v>
      </c>
      <c r="J306" s="77">
        <f t="shared" si="31"/>
        <v>234358.74134982468</v>
      </c>
      <c r="K306" s="77">
        <f t="shared" si="35"/>
        <v>86996.60200213833</v>
      </c>
      <c r="L306" s="75">
        <v>400000</v>
      </c>
      <c r="M306" s="75">
        <f t="shared" si="32"/>
        <v>313003.39799786167</v>
      </c>
    </row>
    <row r="307" spans="5:13">
      <c r="E307">
        <v>304</v>
      </c>
      <c r="F307" s="77">
        <f t="shared" si="33"/>
        <v>1717.829193638845</v>
      </c>
      <c r="G307" s="77">
        <f t="shared" si="29"/>
        <v>356.83857770906275</v>
      </c>
      <c r="H307" s="77">
        <f t="shared" si="34"/>
        <v>1360.9906159297823</v>
      </c>
      <c r="I307" s="77">
        <f t="shared" si="30"/>
        <v>288218.17209409329</v>
      </c>
      <c r="J307" s="77">
        <f t="shared" si="31"/>
        <v>235719.73196575444</v>
      </c>
      <c r="K307" s="77">
        <f t="shared" si="35"/>
        <v>85641.258650175063</v>
      </c>
      <c r="L307" s="75">
        <v>400000</v>
      </c>
      <c r="M307" s="75">
        <f t="shared" si="32"/>
        <v>314358.74134982494</v>
      </c>
    </row>
    <row r="308" spans="5:13">
      <c r="E308">
        <v>305</v>
      </c>
      <c r="F308" s="77">
        <f t="shared" si="33"/>
        <v>1717.829193638845</v>
      </c>
      <c r="G308" s="77">
        <f t="shared" si="29"/>
        <v>351.16778347602201</v>
      </c>
      <c r="H308" s="77">
        <f t="shared" si="34"/>
        <v>1366.6614101628229</v>
      </c>
      <c r="I308" s="77">
        <f t="shared" si="30"/>
        <v>288569.33987756929</v>
      </c>
      <c r="J308" s="77">
        <f t="shared" si="31"/>
        <v>237086.39337591728</v>
      </c>
      <c r="K308" s="77">
        <f t="shared" si="35"/>
        <v>84280.26803424528</v>
      </c>
      <c r="L308" s="75">
        <v>400000</v>
      </c>
      <c r="M308" s="75">
        <f t="shared" si="32"/>
        <v>315719.73196575471</v>
      </c>
    </row>
    <row r="309" spans="5:13">
      <c r="E309">
        <v>306</v>
      </c>
      <c r="F309" s="77">
        <f t="shared" si="33"/>
        <v>1717.829193638845</v>
      </c>
      <c r="G309" s="77">
        <f t="shared" si="29"/>
        <v>345.47336093367693</v>
      </c>
      <c r="H309" s="77">
        <f t="shared" si="34"/>
        <v>1372.355832705168</v>
      </c>
      <c r="I309" s="77">
        <f t="shared" si="30"/>
        <v>288914.81323850295</v>
      </c>
      <c r="J309" s="77">
        <f t="shared" si="31"/>
        <v>238458.74920862244</v>
      </c>
      <c r="K309" s="77">
        <f t="shared" si="35"/>
        <v>82913.606624082458</v>
      </c>
      <c r="L309" s="75">
        <v>400000</v>
      </c>
      <c r="M309" s="75">
        <f t="shared" si="32"/>
        <v>317086.39337591757</v>
      </c>
    </row>
    <row r="310" spans="5:13">
      <c r="E310">
        <v>307</v>
      </c>
      <c r="F310" s="77">
        <f t="shared" si="33"/>
        <v>1717.829193638845</v>
      </c>
      <c r="G310" s="77">
        <f t="shared" si="29"/>
        <v>339.7552116307387</v>
      </c>
      <c r="H310" s="77">
        <f t="shared" si="34"/>
        <v>1378.0739820081062</v>
      </c>
      <c r="I310" s="77">
        <f t="shared" si="30"/>
        <v>289254.56845013367</v>
      </c>
      <c r="J310" s="77">
        <f t="shared" si="31"/>
        <v>239836.82319063053</v>
      </c>
      <c r="K310" s="77">
        <f t="shared" si="35"/>
        <v>81541.250791377286</v>
      </c>
      <c r="L310" s="75">
        <v>400000</v>
      </c>
      <c r="M310" s="75">
        <f t="shared" si="32"/>
        <v>318458.74920862273</v>
      </c>
    </row>
    <row r="311" spans="5:13">
      <c r="E311">
        <v>308</v>
      </c>
      <c r="F311" s="77">
        <f t="shared" si="33"/>
        <v>1717.829193638845</v>
      </c>
      <c r="G311" s="77">
        <f t="shared" si="29"/>
        <v>334.01323670570491</v>
      </c>
      <c r="H311" s="77">
        <f t="shared" si="34"/>
        <v>1383.8159569331401</v>
      </c>
      <c r="I311" s="77">
        <f t="shared" si="30"/>
        <v>289588.58168683934</v>
      </c>
      <c r="J311" s="77">
        <f t="shared" si="31"/>
        <v>241220.63914756366</v>
      </c>
      <c r="K311" s="77">
        <f t="shared" si="35"/>
        <v>80163.176809369179</v>
      </c>
      <c r="L311" s="75">
        <v>400000</v>
      </c>
      <c r="M311" s="75">
        <f t="shared" si="32"/>
        <v>319836.82319063082</v>
      </c>
    </row>
    <row r="312" spans="5:13">
      <c r="E312">
        <v>309</v>
      </c>
      <c r="F312" s="77">
        <f t="shared" si="33"/>
        <v>1717.829193638845</v>
      </c>
      <c r="G312" s="77">
        <f t="shared" si="29"/>
        <v>328.24733688515016</v>
      </c>
      <c r="H312" s="77">
        <f t="shared" si="34"/>
        <v>1389.5818567536949</v>
      </c>
      <c r="I312" s="77">
        <f t="shared" si="30"/>
        <v>289916.82902372448</v>
      </c>
      <c r="J312" s="77">
        <f t="shared" si="31"/>
        <v>242610.22100431737</v>
      </c>
      <c r="K312" s="77">
        <f t="shared" si="35"/>
        <v>78779.360852436046</v>
      </c>
      <c r="L312" s="75">
        <v>400000</v>
      </c>
      <c r="M312" s="75">
        <f t="shared" si="32"/>
        <v>321220.63914756395</v>
      </c>
    </row>
    <row r="313" spans="5:13">
      <c r="E313">
        <v>310</v>
      </c>
      <c r="F313" s="77">
        <f t="shared" si="33"/>
        <v>1717.829193638845</v>
      </c>
      <c r="G313" s="77">
        <f t="shared" si="29"/>
        <v>322.45741248200983</v>
      </c>
      <c r="H313" s="77">
        <f t="shared" si="34"/>
        <v>1395.3717811568351</v>
      </c>
      <c r="I313" s="77">
        <f t="shared" si="30"/>
        <v>290239.28643620649</v>
      </c>
      <c r="J313" s="77">
        <f t="shared" si="31"/>
        <v>244005.5927854742</v>
      </c>
      <c r="K313" s="77">
        <f t="shared" si="35"/>
        <v>77389.778995682354</v>
      </c>
      <c r="L313" s="75">
        <v>400000</v>
      </c>
      <c r="M313" s="75">
        <f t="shared" si="32"/>
        <v>322610.22100431763</v>
      </c>
    </row>
    <row r="314" spans="5:13">
      <c r="E314">
        <v>311</v>
      </c>
      <c r="F314" s="77">
        <f t="shared" si="33"/>
        <v>1717.829193638845</v>
      </c>
      <c r="G314" s="77">
        <f t="shared" si="29"/>
        <v>316.6433633938563</v>
      </c>
      <c r="H314" s="77">
        <f t="shared" si="34"/>
        <v>1401.1858302449887</v>
      </c>
      <c r="I314" s="77">
        <f t="shared" si="30"/>
        <v>290555.92979960033</v>
      </c>
      <c r="J314" s="77">
        <f t="shared" si="31"/>
        <v>245406.7786157192</v>
      </c>
      <c r="K314" s="77">
        <f t="shared" si="35"/>
        <v>75994.40721452552</v>
      </c>
      <c r="L314" s="75">
        <v>400000</v>
      </c>
      <c r="M314" s="75">
        <f t="shared" si="32"/>
        <v>324005.5927854745</v>
      </c>
    </row>
    <row r="315" spans="5:13">
      <c r="E315">
        <v>312</v>
      </c>
      <c r="F315" s="77">
        <f t="shared" si="33"/>
        <v>1717.829193638845</v>
      </c>
      <c r="G315" s="77">
        <f t="shared" si="29"/>
        <v>310.8050891011689</v>
      </c>
      <c r="H315" s="77">
        <f t="shared" si="34"/>
        <v>1407.0241045376761</v>
      </c>
      <c r="I315" s="77">
        <f t="shared" si="30"/>
        <v>290866.73488870153</v>
      </c>
      <c r="J315" s="77">
        <f t="shared" si="31"/>
        <v>246813.80272025688</v>
      </c>
      <c r="K315" s="77">
        <f t="shared" si="35"/>
        <v>74593.221384280536</v>
      </c>
      <c r="L315" s="75">
        <v>400000</v>
      </c>
      <c r="M315" s="75">
        <f t="shared" si="32"/>
        <v>325406.77861571946</v>
      </c>
    </row>
    <row r="316" spans="5:13">
      <c r="E316">
        <v>313</v>
      </c>
      <c r="F316" s="77">
        <f t="shared" si="33"/>
        <v>1717.829193638845</v>
      </c>
      <c r="G316" s="77">
        <f t="shared" si="29"/>
        <v>304.94248866559525</v>
      </c>
      <c r="H316" s="77">
        <f t="shared" si="34"/>
        <v>1412.8867049732498</v>
      </c>
      <c r="I316" s="77">
        <f t="shared" si="30"/>
        <v>291171.6773773671</v>
      </c>
      <c r="J316" s="77">
        <f t="shared" si="31"/>
        <v>248226.68942523011</v>
      </c>
      <c r="K316" s="77">
        <f t="shared" si="35"/>
        <v>73186.197279742861</v>
      </c>
      <c r="L316" s="75">
        <v>400000</v>
      </c>
      <c r="M316" s="75">
        <f t="shared" si="32"/>
        <v>326813.80272025714</v>
      </c>
    </row>
    <row r="317" spans="5:13">
      <c r="E317">
        <v>314</v>
      </c>
      <c r="F317" s="77">
        <f t="shared" si="33"/>
        <v>1717.829193638845</v>
      </c>
      <c r="G317" s="77">
        <f t="shared" si="29"/>
        <v>299.0554607282067</v>
      </c>
      <c r="H317" s="77">
        <f t="shared" si="34"/>
        <v>1418.7737329106383</v>
      </c>
      <c r="I317" s="77">
        <f t="shared" si="30"/>
        <v>291470.73283809528</v>
      </c>
      <c r="J317" s="77">
        <f t="shared" si="31"/>
        <v>249645.46315814074</v>
      </c>
      <c r="K317" s="77">
        <f t="shared" si="35"/>
        <v>71773.31057476961</v>
      </c>
      <c r="L317" s="75">
        <v>400000</v>
      </c>
      <c r="M317" s="75">
        <f t="shared" si="32"/>
        <v>328226.68942523038</v>
      </c>
    </row>
    <row r="318" spans="5:13">
      <c r="E318">
        <v>315</v>
      </c>
      <c r="F318" s="77">
        <f t="shared" si="33"/>
        <v>1717.829193638845</v>
      </c>
      <c r="G318" s="77">
        <f t="shared" si="29"/>
        <v>293.14390350774573</v>
      </c>
      <c r="H318" s="77">
        <f t="shared" si="34"/>
        <v>1424.6852901310992</v>
      </c>
      <c r="I318" s="77">
        <f t="shared" si="30"/>
        <v>291763.87674160302</v>
      </c>
      <c r="J318" s="77">
        <f t="shared" si="31"/>
        <v>251070.14844827185</v>
      </c>
      <c r="K318" s="77">
        <f t="shared" si="35"/>
        <v>70354.536841858979</v>
      </c>
      <c r="L318" s="75">
        <v>400000</v>
      </c>
      <c r="M318" s="75">
        <f t="shared" si="32"/>
        <v>329645.46315814101</v>
      </c>
    </row>
    <row r="319" spans="5:13">
      <c r="E319">
        <v>316</v>
      </c>
      <c r="F319" s="77">
        <f t="shared" si="33"/>
        <v>1717.829193638845</v>
      </c>
      <c r="G319" s="77">
        <f t="shared" si="29"/>
        <v>287.20771479886616</v>
      </c>
      <c r="H319" s="77">
        <f t="shared" si="34"/>
        <v>1430.6214788399789</v>
      </c>
      <c r="I319" s="77">
        <f t="shared" si="30"/>
        <v>292051.08445640188</v>
      </c>
      <c r="J319" s="77">
        <f t="shared" si="31"/>
        <v>252500.76992711183</v>
      </c>
      <c r="K319" s="77">
        <f t="shared" si="35"/>
        <v>68929.851551727887</v>
      </c>
      <c r="L319" s="75">
        <v>400000</v>
      </c>
      <c r="M319" s="75">
        <f t="shared" si="32"/>
        <v>331070.14844827214</v>
      </c>
    </row>
    <row r="320" spans="5:13">
      <c r="E320">
        <v>317</v>
      </c>
      <c r="F320" s="77">
        <f t="shared" si="33"/>
        <v>1717.829193638845</v>
      </c>
      <c r="G320" s="77">
        <f t="shared" si="29"/>
        <v>281.24679197036625</v>
      </c>
      <c r="H320" s="77">
        <f t="shared" si="34"/>
        <v>1436.5824016684787</v>
      </c>
      <c r="I320" s="77">
        <f t="shared" si="30"/>
        <v>292332.33124837227</v>
      </c>
      <c r="J320" s="77">
        <f t="shared" si="31"/>
        <v>253937.35232878031</v>
      </c>
      <c r="K320" s="77">
        <f t="shared" si="35"/>
        <v>67499.230072887905</v>
      </c>
      <c r="L320" s="75">
        <v>400000</v>
      </c>
      <c r="M320" s="75">
        <f t="shared" si="32"/>
        <v>332500.76992711209</v>
      </c>
    </row>
    <row r="321" spans="5:13">
      <c r="E321">
        <v>318</v>
      </c>
      <c r="F321" s="77">
        <f t="shared" si="33"/>
        <v>1717.829193638845</v>
      </c>
      <c r="G321" s="77">
        <f t="shared" si="29"/>
        <v>275.26103196341427</v>
      </c>
      <c r="H321" s="77">
        <f t="shared" si="34"/>
        <v>1442.5681616754307</v>
      </c>
      <c r="I321" s="77">
        <f t="shared" si="30"/>
        <v>292607.59228033567</v>
      </c>
      <c r="J321" s="77">
        <f t="shared" si="31"/>
        <v>255379.92049045576</v>
      </c>
      <c r="K321" s="77">
        <f t="shared" si="35"/>
        <v>66062.647671219427</v>
      </c>
      <c r="L321" s="75">
        <v>400000</v>
      </c>
      <c r="M321" s="75">
        <f t="shared" si="32"/>
        <v>333937.35232878057</v>
      </c>
    </row>
    <row r="322" spans="5:13">
      <c r="E322">
        <v>319</v>
      </c>
      <c r="F322" s="77">
        <f t="shared" si="33"/>
        <v>1717.829193638845</v>
      </c>
      <c r="G322" s="77">
        <f t="shared" si="29"/>
        <v>269.25033128976668</v>
      </c>
      <c r="H322" s="77">
        <f t="shared" si="34"/>
        <v>1448.5788623490785</v>
      </c>
      <c r="I322" s="77">
        <f t="shared" si="30"/>
        <v>292876.84261162544</v>
      </c>
      <c r="J322" s="77">
        <f t="shared" si="31"/>
        <v>256828.49935280482</v>
      </c>
      <c r="K322" s="77">
        <f t="shared" si="35"/>
        <v>64620.079509543997</v>
      </c>
      <c r="L322" s="75">
        <v>400000</v>
      </c>
      <c r="M322" s="75">
        <f t="shared" si="32"/>
        <v>335379.92049045599</v>
      </c>
    </row>
    <row r="323" spans="5:13">
      <c r="E323">
        <v>320</v>
      </c>
      <c r="F323" s="77">
        <f t="shared" si="33"/>
        <v>1717.829193638845</v>
      </c>
      <c r="G323" s="77">
        <f t="shared" ref="G323:G363" si="36">(B$5/B$7)*K323</f>
        <v>263.21458602997882</v>
      </c>
      <c r="H323" s="77">
        <f t="shared" si="34"/>
        <v>1454.6146076088662</v>
      </c>
      <c r="I323" s="77">
        <f t="shared" si="30"/>
        <v>293140.05719765543</v>
      </c>
      <c r="J323" s="77">
        <f t="shared" si="31"/>
        <v>258283.1139604137</v>
      </c>
      <c r="K323" s="77">
        <f t="shared" si="35"/>
        <v>63171.500647194916</v>
      </c>
      <c r="L323" s="75">
        <v>400000</v>
      </c>
      <c r="M323" s="75">
        <f t="shared" si="32"/>
        <v>336828.49935280508</v>
      </c>
    </row>
    <row r="324" spans="5:13">
      <c r="E324">
        <v>321</v>
      </c>
      <c r="F324" s="77">
        <f t="shared" si="33"/>
        <v>1717.829193638845</v>
      </c>
      <c r="G324" s="77">
        <f t="shared" si="36"/>
        <v>257.15369183160857</v>
      </c>
      <c r="H324" s="77">
        <f t="shared" si="34"/>
        <v>1460.6755018072365</v>
      </c>
      <c r="I324" s="77">
        <f t="shared" ref="I324:I363" si="37">I323+G324</f>
        <v>293397.21088948706</v>
      </c>
      <c r="J324" s="77">
        <f t="shared" ref="J324:J363" si="38">J323+H324</f>
        <v>259743.78946222094</v>
      </c>
      <c r="K324" s="77">
        <f t="shared" si="35"/>
        <v>61716.886039586054</v>
      </c>
      <c r="L324" s="75">
        <v>400000</v>
      </c>
      <c r="M324" s="75">
        <f t="shared" ref="M324:M363" si="39">L324-K324</f>
        <v>338283.11396041396</v>
      </c>
    </row>
    <row r="325" spans="5:13">
      <c r="E325">
        <v>322</v>
      </c>
      <c r="F325" s="77">
        <f t="shared" ref="F325:F363" si="40">F324</f>
        <v>1717.829193638845</v>
      </c>
      <c r="G325" s="77">
        <f t="shared" si="36"/>
        <v>251.06754390741173</v>
      </c>
      <c r="H325" s="77">
        <f t="shared" ref="H325:H363" si="41">F325-G325</f>
        <v>1466.7616497314334</v>
      </c>
      <c r="I325" s="77">
        <f t="shared" si="37"/>
        <v>293648.2784333945</v>
      </c>
      <c r="J325" s="77">
        <f t="shared" si="38"/>
        <v>261210.55111195237</v>
      </c>
      <c r="K325" s="77">
        <f t="shared" ref="K325:K363" si="42">K324-H324</f>
        <v>60256.210537778818</v>
      </c>
      <c r="L325" s="75">
        <v>400000</v>
      </c>
      <c r="M325" s="75">
        <f t="shared" si="39"/>
        <v>339743.7894622212</v>
      </c>
    </row>
    <row r="326" spans="5:13">
      <c r="E326">
        <v>323</v>
      </c>
      <c r="F326" s="77">
        <f t="shared" si="40"/>
        <v>1717.829193638845</v>
      </c>
      <c r="G326" s="77">
        <f t="shared" si="36"/>
        <v>244.95603703353078</v>
      </c>
      <c r="H326" s="77">
        <f t="shared" si="41"/>
        <v>1472.8731566053143</v>
      </c>
      <c r="I326" s="77">
        <f t="shared" si="37"/>
        <v>293893.23447042803</v>
      </c>
      <c r="J326" s="77">
        <f t="shared" si="38"/>
        <v>262683.42426855769</v>
      </c>
      <c r="K326" s="77">
        <f t="shared" si="42"/>
        <v>58789.448888047387</v>
      </c>
      <c r="L326" s="75">
        <v>400000</v>
      </c>
      <c r="M326" s="75">
        <f t="shared" si="39"/>
        <v>341210.55111195263</v>
      </c>
    </row>
    <row r="327" spans="5:13">
      <c r="E327">
        <v>324</v>
      </c>
      <c r="F327" s="77">
        <f t="shared" si="40"/>
        <v>1717.829193638845</v>
      </c>
      <c r="G327" s="77">
        <f t="shared" si="36"/>
        <v>238.81906554767528</v>
      </c>
      <c r="H327" s="77">
        <f t="shared" si="41"/>
        <v>1479.0101280911697</v>
      </c>
      <c r="I327" s="77">
        <f t="shared" si="37"/>
        <v>294132.05353597569</v>
      </c>
      <c r="J327" s="77">
        <f t="shared" si="38"/>
        <v>264162.43439664884</v>
      </c>
      <c r="K327" s="77">
        <f t="shared" si="42"/>
        <v>57316.57573144207</v>
      </c>
      <c r="L327" s="75">
        <v>400000</v>
      </c>
      <c r="M327" s="75">
        <f t="shared" si="39"/>
        <v>342683.42426855792</v>
      </c>
    </row>
    <row r="328" spans="5:13">
      <c r="E328">
        <v>325</v>
      </c>
      <c r="F328" s="77">
        <f t="shared" si="40"/>
        <v>1717.829193638845</v>
      </c>
      <c r="G328" s="77">
        <f t="shared" si="36"/>
        <v>232.6565233472954</v>
      </c>
      <c r="H328" s="77">
        <f t="shared" si="41"/>
        <v>1485.1726702915496</v>
      </c>
      <c r="I328" s="77">
        <f t="shared" si="37"/>
        <v>294364.710059323</v>
      </c>
      <c r="J328" s="77">
        <f t="shared" si="38"/>
        <v>265647.6070669404</v>
      </c>
      <c r="K328" s="77">
        <f t="shared" si="42"/>
        <v>55837.5656033509</v>
      </c>
      <c r="L328" s="75">
        <v>400000</v>
      </c>
      <c r="M328" s="75">
        <f t="shared" si="39"/>
        <v>344162.43439664913</v>
      </c>
    </row>
    <row r="329" spans="5:13">
      <c r="E329">
        <v>326</v>
      </c>
      <c r="F329" s="77">
        <f t="shared" si="40"/>
        <v>1717.829193638845</v>
      </c>
      <c r="G329" s="77">
        <f t="shared" si="36"/>
        <v>226.46830388774731</v>
      </c>
      <c r="H329" s="77">
        <f t="shared" si="41"/>
        <v>1491.3608897510976</v>
      </c>
      <c r="I329" s="77">
        <f t="shared" si="37"/>
        <v>294591.17836321075</v>
      </c>
      <c r="J329" s="77">
        <f t="shared" si="38"/>
        <v>267138.96795669151</v>
      </c>
      <c r="K329" s="77">
        <f t="shared" si="42"/>
        <v>54352.392933059353</v>
      </c>
      <c r="L329" s="75">
        <v>400000</v>
      </c>
      <c r="M329" s="75">
        <f t="shared" si="39"/>
        <v>345647.60706694063</v>
      </c>
    </row>
    <row r="330" spans="5:13">
      <c r="E330">
        <v>327</v>
      </c>
      <c r="F330" s="77">
        <f t="shared" si="40"/>
        <v>1717.829193638845</v>
      </c>
      <c r="G330" s="77">
        <f t="shared" si="36"/>
        <v>220.25430018045105</v>
      </c>
      <c r="H330" s="77">
        <f t="shared" si="41"/>
        <v>1497.5748934583939</v>
      </c>
      <c r="I330" s="77">
        <f t="shared" si="37"/>
        <v>294811.43266339123</v>
      </c>
      <c r="J330" s="77">
        <f t="shared" si="38"/>
        <v>268636.54285014991</v>
      </c>
      <c r="K330" s="77">
        <f t="shared" si="42"/>
        <v>52861.032043308252</v>
      </c>
      <c r="L330" s="75">
        <v>400000</v>
      </c>
      <c r="M330" s="75">
        <f t="shared" si="39"/>
        <v>347138.96795669175</v>
      </c>
    </row>
    <row r="331" spans="5:13">
      <c r="E331">
        <v>328</v>
      </c>
      <c r="F331" s="77">
        <f t="shared" si="40"/>
        <v>1717.829193638845</v>
      </c>
      <c r="G331" s="77">
        <f t="shared" si="36"/>
        <v>214.01440479104107</v>
      </c>
      <c r="H331" s="77">
        <f t="shared" si="41"/>
        <v>1503.814788847804</v>
      </c>
      <c r="I331" s="77">
        <f t="shared" si="37"/>
        <v>295025.44706818229</v>
      </c>
      <c r="J331" s="77">
        <f t="shared" si="38"/>
        <v>270140.35763899772</v>
      </c>
      <c r="K331" s="77">
        <f t="shared" si="42"/>
        <v>51363.457149849855</v>
      </c>
      <c r="L331" s="75">
        <v>400000</v>
      </c>
      <c r="M331" s="75">
        <f t="shared" si="39"/>
        <v>348636.54285015014</v>
      </c>
    </row>
    <row r="332" spans="5:13">
      <c r="E332">
        <v>329</v>
      </c>
      <c r="F332" s="77">
        <f t="shared" si="40"/>
        <v>1717.829193638845</v>
      </c>
      <c r="G332" s="77">
        <f t="shared" si="36"/>
        <v>207.74850983750855</v>
      </c>
      <c r="H332" s="77">
        <f t="shared" si="41"/>
        <v>1510.0806838013364</v>
      </c>
      <c r="I332" s="77">
        <f t="shared" si="37"/>
        <v>295233.19557801977</v>
      </c>
      <c r="J332" s="77">
        <f t="shared" si="38"/>
        <v>271650.43832279905</v>
      </c>
      <c r="K332" s="77">
        <f t="shared" si="42"/>
        <v>49859.64236100205</v>
      </c>
      <c r="L332" s="75">
        <v>400000</v>
      </c>
      <c r="M332" s="75">
        <f t="shared" si="39"/>
        <v>350140.35763899796</v>
      </c>
    </row>
    <row r="333" spans="5:13">
      <c r="E333">
        <v>330</v>
      </c>
      <c r="F333" s="77">
        <f t="shared" si="40"/>
        <v>1717.829193638845</v>
      </c>
      <c r="G333" s="77">
        <f t="shared" si="36"/>
        <v>201.45650698833629</v>
      </c>
      <c r="H333" s="77">
        <f t="shared" si="41"/>
        <v>1516.3726866505087</v>
      </c>
      <c r="I333" s="77">
        <f t="shared" si="37"/>
        <v>295434.6520850081</v>
      </c>
      <c r="J333" s="77">
        <f t="shared" si="38"/>
        <v>273166.81100944954</v>
      </c>
      <c r="K333" s="77">
        <f t="shared" si="42"/>
        <v>48349.561677200712</v>
      </c>
      <c r="L333" s="75">
        <v>400000</v>
      </c>
      <c r="M333" s="75">
        <f t="shared" si="39"/>
        <v>351650.43832279928</v>
      </c>
    </row>
    <row r="334" spans="5:13">
      <c r="E334">
        <v>331</v>
      </c>
      <c r="F334" s="77">
        <f t="shared" si="40"/>
        <v>1717.829193638845</v>
      </c>
      <c r="G334" s="77">
        <f t="shared" si="36"/>
        <v>195.13828746062583</v>
      </c>
      <c r="H334" s="77">
        <f t="shared" si="41"/>
        <v>1522.6909061782192</v>
      </c>
      <c r="I334" s="77">
        <f t="shared" si="37"/>
        <v>295629.79037246871</v>
      </c>
      <c r="J334" s="77">
        <f t="shared" si="38"/>
        <v>274689.50191562774</v>
      </c>
      <c r="K334" s="77">
        <f t="shared" si="42"/>
        <v>46833.188990550203</v>
      </c>
      <c r="L334" s="75">
        <v>400000</v>
      </c>
      <c r="M334" s="75">
        <f t="shared" si="39"/>
        <v>353166.81100944977</v>
      </c>
    </row>
    <row r="335" spans="5:13">
      <c r="E335">
        <v>332</v>
      </c>
      <c r="F335" s="77">
        <f t="shared" si="40"/>
        <v>1717.829193638845</v>
      </c>
      <c r="G335" s="77">
        <f t="shared" si="36"/>
        <v>188.79374201821659</v>
      </c>
      <c r="H335" s="77">
        <f t="shared" si="41"/>
        <v>1529.0354516206285</v>
      </c>
      <c r="I335" s="77">
        <f t="shared" si="37"/>
        <v>295818.58411448693</v>
      </c>
      <c r="J335" s="77">
        <f t="shared" si="38"/>
        <v>276218.53736724838</v>
      </c>
      <c r="K335" s="77">
        <f t="shared" si="42"/>
        <v>45310.498084371982</v>
      </c>
      <c r="L335" s="75">
        <v>400000</v>
      </c>
      <c r="M335" s="75">
        <f t="shared" si="39"/>
        <v>354689.50191562803</v>
      </c>
    </row>
    <row r="336" spans="5:13">
      <c r="E336">
        <v>333</v>
      </c>
      <c r="F336" s="77">
        <f t="shared" si="40"/>
        <v>1717.829193638845</v>
      </c>
      <c r="G336" s="77">
        <f t="shared" si="36"/>
        <v>182.42276096979731</v>
      </c>
      <c r="H336" s="77">
        <f t="shared" si="41"/>
        <v>1535.4064326690477</v>
      </c>
      <c r="I336" s="77">
        <f t="shared" si="37"/>
        <v>296001.00687545672</v>
      </c>
      <c r="J336" s="77">
        <f t="shared" si="38"/>
        <v>277753.94379991741</v>
      </c>
      <c r="K336" s="77">
        <f t="shared" si="42"/>
        <v>43781.462632751354</v>
      </c>
      <c r="L336" s="75">
        <v>400000</v>
      </c>
      <c r="M336" s="75">
        <f t="shared" si="39"/>
        <v>356218.53736724867</v>
      </c>
    </row>
    <row r="337" spans="5:13">
      <c r="E337">
        <v>334</v>
      </c>
      <c r="F337" s="77">
        <f t="shared" si="40"/>
        <v>1717.829193638845</v>
      </c>
      <c r="G337" s="77">
        <f t="shared" si="36"/>
        <v>176.02523416700961</v>
      </c>
      <c r="H337" s="77">
        <f t="shared" si="41"/>
        <v>1541.8039594718355</v>
      </c>
      <c r="I337" s="77">
        <f t="shared" si="37"/>
        <v>296177.03210962372</v>
      </c>
      <c r="J337" s="77">
        <f t="shared" si="38"/>
        <v>279295.74775938923</v>
      </c>
      <c r="K337" s="77">
        <f t="shared" si="42"/>
        <v>42246.056200082305</v>
      </c>
      <c r="L337" s="75">
        <v>400000</v>
      </c>
      <c r="M337" s="75">
        <f t="shared" si="39"/>
        <v>357753.9437999177</v>
      </c>
    </row>
    <row r="338" spans="5:13">
      <c r="E338">
        <v>335</v>
      </c>
      <c r="F338" s="77">
        <f t="shared" si="40"/>
        <v>1717.829193638845</v>
      </c>
      <c r="G338" s="77">
        <f t="shared" si="36"/>
        <v>169.60105100254361</v>
      </c>
      <c r="H338" s="77">
        <f t="shared" si="41"/>
        <v>1548.2281426363015</v>
      </c>
      <c r="I338" s="77">
        <f t="shared" si="37"/>
        <v>296346.63316062628</v>
      </c>
      <c r="J338" s="77">
        <f t="shared" si="38"/>
        <v>280843.97590202553</v>
      </c>
      <c r="K338" s="77">
        <f t="shared" si="42"/>
        <v>40704.252240610469</v>
      </c>
      <c r="L338" s="75">
        <v>400000</v>
      </c>
      <c r="M338" s="75">
        <f t="shared" si="39"/>
        <v>359295.74775938952</v>
      </c>
    </row>
    <row r="339" spans="5:13">
      <c r="E339">
        <v>336</v>
      </c>
      <c r="F339" s="77">
        <f t="shared" si="40"/>
        <v>1717.829193638845</v>
      </c>
      <c r="G339" s="77">
        <f t="shared" si="36"/>
        <v>163.15010040822568</v>
      </c>
      <c r="H339" s="77">
        <f t="shared" si="41"/>
        <v>1554.6790932306194</v>
      </c>
      <c r="I339" s="77">
        <f t="shared" si="37"/>
        <v>296509.78326103452</v>
      </c>
      <c r="J339" s="77">
        <f t="shared" si="38"/>
        <v>282398.65499525616</v>
      </c>
      <c r="K339" s="77">
        <f t="shared" si="42"/>
        <v>39156.024097974165</v>
      </c>
      <c r="L339" s="75">
        <v>400000</v>
      </c>
      <c r="M339" s="75">
        <f t="shared" si="39"/>
        <v>360843.97590202582</v>
      </c>
    </row>
    <row r="340" spans="5:13">
      <c r="E340">
        <v>337</v>
      </c>
      <c r="F340" s="77">
        <f t="shared" si="40"/>
        <v>1717.829193638845</v>
      </c>
      <c r="G340" s="77">
        <f t="shared" si="36"/>
        <v>156.6722708530981</v>
      </c>
      <c r="H340" s="77">
        <f t="shared" si="41"/>
        <v>1561.1569227857469</v>
      </c>
      <c r="I340" s="77">
        <f t="shared" si="37"/>
        <v>296666.45553188759</v>
      </c>
      <c r="J340" s="77">
        <f t="shared" si="38"/>
        <v>283959.8119180419</v>
      </c>
      <c r="K340" s="77">
        <f t="shared" si="42"/>
        <v>37601.345004743547</v>
      </c>
      <c r="L340" s="75">
        <v>400000</v>
      </c>
      <c r="M340" s="75">
        <f t="shared" si="39"/>
        <v>362398.65499525645</v>
      </c>
    </row>
    <row r="341" spans="5:13">
      <c r="E341">
        <v>338</v>
      </c>
      <c r="F341" s="77">
        <f t="shared" si="40"/>
        <v>1717.829193638845</v>
      </c>
      <c r="G341" s="77">
        <f t="shared" si="36"/>
        <v>150.16745034149082</v>
      </c>
      <c r="H341" s="77">
        <f t="shared" si="41"/>
        <v>1567.6617432973542</v>
      </c>
      <c r="I341" s="77">
        <f t="shared" si="37"/>
        <v>296816.62298222911</v>
      </c>
      <c r="J341" s="77">
        <f t="shared" si="38"/>
        <v>285527.47366133926</v>
      </c>
      <c r="K341" s="77">
        <f t="shared" si="42"/>
        <v>36040.1880819578</v>
      </c>
      <c r="L341" s="75">
        <v>400000</v>
      </c>
      <c r="M341" s="75">
        <f t="shared" si="39"/>
        <v>363959.81191804219</v>
      </c>
    </row>
    <row r="342" spans="5:13">
      <c r="E342">
        <v>339</v>
      </c>
      <c r="F342" s="77">
        <f t="shared" si="40"/>
        <v>1717.829193638845</v>
      </c>
      <c r="G342" s="77">
        <f t="shared" si="36"/>
        <v>143.63552641108521</v>
      </c>
      <c r="H342" s="77">
        <f t="shared" si="41"/>
        <v>1574.1936672277598</v>
      </c>
      <c r="I342" s="77">
        <f t="shared" si="37"/>
        <v>296960.25850864017</v>
      </c>
      <c r="J342" s="77">
        <f t="shared" si="38"/>
        <v>287101.66732856701</v>
      </c>
      <c r="K342" s="77">
        <f t="shared" si="42"/>
        <v>34472.526338660449</v>
      </c>
      <c r="L342" s="75">
        <v>400000</v>
      </c>
      <c r="M342" s="75">
        <f t="shared" si="39"/>
        <v>365527.47366133955</v>
      </c>
    </row>
    <row r="343" spans="5:13">
      <c r="E343">
        <v>340</v>
      </c>
      <c r="F343" s="77">
        <f t="shared" si="40"/>
        <v>1717.829193638845</v>
      </c>
      <c r="G343" s="77">
        <f t="shared" si="36"/>
        <v>137.07638613096955</v>
      </c>
      <c r="H343" s="77">
        <f t="shared" si="41"/>
        <v>1580.7528075078756</v>
      </c>
      <c r="I343" s="77">
        <f t="shared" si="37"/>
        <v>297097.33489477116</v>
      </c>
      <c r="J343" s="77">
        <f t="shared" si="38"/>
        <v>288682.42013607488</v>
      </c>
      <c r="K343" s="77">
        <f t="shared" si="42"/>
        <v>32898.33267143269</v>
      </c>
      <c r="L343" s="75">
        <v>400000</v>
      </c>
      <c r="M343" s="75">
        <f t="shared" si="39"/>
        <v>367101.6673285673</v>
      </c>
    </row>
    <row r="344" spans="5:13">
      <c r="E344">
        <v>341</v>
      </c>
      <c r="F344" s="77">
        <f t="shared" si="40"/>
        <v>1717.829193638845</v>
      </c>
      <c r="G344" s="77">
        <f t="shared" si="36"/>
        <v>130.48991609968672</v>
      </c>
      <c r="H344" s="77">
        <f t="shared" si="41"/>
        <v>1587.3392775391583</v>
      </c>
      <c r="I344" s="77">
        <f t="shared" si="37"/>
        <v>297227.82481087086</v>
      </c>
      <c r="J344" s="77">
        <f t="shared" si="38"/>
        <v>290269.75941361405</v>
      </c>
      <c r="K344" s="77">
        <f t="shared" si="42"/>
        <v>31317.579863924813</v>
      </c>
      <c r="L344" s="75">
        <v>400000</v>
      </c>
      <c r="M344" s="75">
        <f t="shared" si="39"/>
        <v>368682.42013607518</v>
      </c>
    </row>
    <row r="345" spans="5:13">
      <c r="E345">
        <v>342</v>
      </c>
      <c r="F345" s="77">
        <f t="shared" si="40"/>
        <v>1717.829193638845</v>
      </c>
      <c r="G345" s="77">
        <f t="shared" si="36"/>
        <v>123.87600244327356</v>
      </c>
      <c r="H345" s="77">
        <f t="shared" si="41"/>
        <v>1593.9531911955714</v>
      </c>
      <c r="I345" s="77">
        <f t="shared" si="37"/>
        <v>297351.70081331412</v>
      </c>
      <c r="J345" s="77">
        <f t="shared" si="38"/>
        <v>291863.71260480961</v>
      </c>
      <c r="K345" s="77">
        <f t="shared" si="42"/>
        <v>29730.240586385655</v>
      </c>
      <c r="L345" s="75">
        <v>400000</v>
      </c>
      <c r="M345" s="75">
        <f t="shared" si="39"/>
        <v>370269.75941361435</v>
      </c>
    </row>
    <row r="346" spans="5:13">
      <c r="E346">
        <v>343</v>
      </c>
      <c r="F346" s="77">
        <f t="shared" si="40"/>
        <v>1717.829193638845</v>
      </c>
      <c r="G346" s="77">
        <f t="shared" si="36"/>
        <v>117.23453081329201</v>
      </c>
      <c r="H346" s="77">
        <f t="shared" si="41"/>
        <v>1600.5946628255531</v>
      </c>
      <c r="I346" s="77">
        <f t="shared" si="37"/>
        <v>297468.93534412741</v>
      </c>
      <c r="J346" s="77">
        <f t="shared" si="38"/>
        <v>293464.30726763519</v>
      </c>
      <c r="K346" s="77">
        <f t="shared" si="42"/>
        <v>28136.287395190084</v>
      </c>
      <c r="L346" s="75">
        <v>400000</v>
      </c>
      <c r="M346" s="75">
        <f t="shared" si="39"/>
        <v>371863.7126048099</v>
      </c>
    </row>
    <row r="347" spans="5:13">
      <c r="E347">
        <v>344</v>
      </c>
      <c r="F347" s="77">
        <f t="shared" si="40"/>
        <v>1717.829193638845</v>
      </c>
      <c r="G347" s="77">
        <f t="shared" si="36"/>
        <v>110.56538638485222</v>
      </c>
      <c r="H347" s="77">
        <f t="shared" si="41"/>
        <v>1607.2638072539928</v>
      </c>
      <c r="I347" s="77">
        <f t="shared" si="37"/>
        <v>297579.50073051226</v>
      </c>
      <c r="J347" s="77">
        <f t="shared" si="38"/>
        <v>295071.57107488916</v>
      </c>
      <c r="K347" s="77">
        <f t="shared" si="42"/>
        <v>26535.692732364532</v>
      </c>
      <c r="L347" s="75">
        <v>400000</v>
      </c>
      <c r="M347" s="75">
        <f t="shared" si="39"/>
        <v>373464.30726763548</v>
      </c>
    </row>
    <row r="348" spans="5:13">
      <c r="E348">
        <v>345</v>
      </c>
      <c r="F348" s="77">
        <f t="shared" si="40"/>
        <v>1717.829193638845</v>
      </c>
      <c r="G348" s="77">
        <f t="shared" si="36"/>
        <v>103.86845385462725</v>
      </c>
      <c r="H348" s="77">
        <f t="shared" si="41"/>
        <v>1613.9607397842178</v>
      </c>
      <c r="I348" s="77">
        <f t="shared" si="37"/>
        <v>297683.36918436689</v>
      </c>
      <c r="J348" s="77">
        <f t="shared" si="38"/>
        <v>296685.53181467339</v>
      </c>
      <c r="K348" s="77">
        <f t="shared" si="42"/>
        <v>24928.42892511054</v>
      </c>
      <c r="L348" s="75">
        <v>400000</v>
      </c>
      <c r="M348" s="75">
        <f t="shared" si="39"/>
        <v>375071.57107488945</v>
      </c>
    </row>
    <row r="349" spans="5:13">
      <c r="E349">
        <v>346</v>
      </c>
      <c r="F349" s="77">
        <f t="shared" si="40"/>
        <v>1717.829193638845</v>
      </c>
      <c r="G349" s="77">
        <f t="shared" si="36"/>
        <v>97.143617438859664</v>
      </c>
      <c r="H349" s="77">
        <f t="shared" si="41"/>
        <v>1620.6855761999855</v>
      </c>
      <c r="I349" s="77">
        <f t="shared" si="37"/>
        <v>297780.51280180574</v>
      </c>
      <c r="J349" s="77">
        <f t="shared" si="38"/>
        <v>298306.21739087335</v>
      </c>
      <c r="K349" s="77">
        <f t="shared" si="42"/>
        <v>23314.468185326321</v>
      </c>
      <c r="L349" s="75">
        <v>400000</v>
      </c>
      <c r="M349" s="75">
        <f t="shared" si="39"/>
        <v>376685.53181467368</v>
      </c>
    </row>
    <row r="350" spans="5:13">
      <c r="E350">
        <v>347</v>
      </c>
      <c r="F350" s="77">
        <f t="shared" si="40"/>
        <v>1717.829193638845</v>
      </c>
      <c r="G350" s="77">
        <f t="shared" si="36"/>
        <v>90.390760871359731</v>
      </c>
      <c r="H350" s="77">
        <f t="shared" si="41"/>
        <v>1627.4384327674852</v>
      </c>
      <c r="I350" s="77">
        <f t="shared" si="37"/>
        <v>297870.90356267709</v>
      </c>
      <c r="J350" s="77">
        <f t="shared" si="38"/>
        <v>299933.65582364082</v>
      </c>
      <c r="K350" s="77">
        <f t="shared" si="42"/>
        <v>21693.782609126334</v>
      </c>
      <c r="L350" s="75">
        <v>400000</v>
      </c>
      <c r="M350" s="75">
        <f t="shared" si="39"/>
        <v>378306.21739087364</v>
      </c>
    </row>
    <row r="351" spans="5:13">
      <c r="E351">
        <v>348</v>
      </c>
      <c r="F351" s="77">
        <f t="shared" si="40"/>
        <v>1717.829193638845</v>
      </c>
      <c r="G351" s="77">
        <f t="shared" si="36"/>
        <v>83.609767401495205</v>
      </c>
      <c r="H351" s="77">
        <f t="shared" si="41"/>
        <v>1634.2194262373498</v>
      </c>
      <c r="I351" s="77">
        <f t="shared" si="37"/>
        <v>297954.51333007857</v>
      </c>
      <c r="J351" s="77">
        <f t="shared" si="38"/>
        <v>301567.87524987815</v>
      </c>
      <c r="K351" s="77">
        <f t="shared" si="42"/>
        <v>20066.344176358849</v>
      </c>
      <c r="L351" s="75">
        <v>400000</v>
      </c>
      <c r="M351" s="75">
        <f t="shared" si="39"/>
        <v>379933.65582364117</v>
      </c>
    </row>
    <row r="352" spans="5:13">
      <c r="E352">
        <v>349</v>
      </c>
      <c r="F352" s="77">
        <f t="shared" si="40"/>
        <v>1717.829193638845</v>
      </c>
      <c r="G352" s="77">
        <f t="shared" si="36"/>
        <v>76.800519792172921</v>
      </c>
      <c r="H352" s="77">
        <f t="shared" si="41"/>
        <v>1641.0286738466721</v>
      </c>
      <c r="I352" s="77">
        <f t="shared" si="37"/>
        <v>298031.31384987076</v>
      </c>
      <c r="J352" s="77">
        <f t="shared" si="38"/>
        <v>303208.90392372484</v>
      </c>
      <c r="K352" s="77">
        <f t="shared" si="42"/>
        <v>18432.1247501215</v>
      </c>
      <c r="L352" s="75">
        <v>400000</v>
      </c>
      <c r="M352" s="75">
        <f t="shared" si="39"/>
        <v>381567.8752498785</v>
      </c>
    </row>
    <row r="353" spans="5:13">
      <c r="E353">
        <v>350</v>
      </c>
      <c r="F353" s="77">
        <f t="shared" si="40"/>
        <v>1717.829193638845</v>
      </c>
      <c r="G353" s="77">
        <f t="shared" si="36"/>
        <v>69.962900317811787</v>
      </c>
      <c r="H353" s="77">
        <f t="shared" si="41"/>
        <v>1647.8662933210333</v>
      </c>
      <c r="I353" s="77">
        <f t="shared" si="37"/>
        <v>298101.27675018855</v>
      </c>
      <c r="J353" s="77">
        <f t="shared" si="38"/>
        <v>304856.77021704585</v>
      </c>
      <c r="K353" s="77">
        <f t="shared" si="42"/>
        <v>16791.096076274829</v>
      </c>
      <c r="L353" s="75">
        <v>400000</v>
      </c>
      <c r="M353" s="75">
        <f t="shared" si="39"/>
        <v>383208.90392372519</v>
      </c>
    </row>
    <row r="354" spans="5:13">
      <c r="E354">
        <v>351</v>
      </c>
      <c r="F354" s="77">
        <f t="shared" si="40"/>
        <v>1717.829193638845</v>
      </c>
      <c r="G354" s="77">
        <f t="shared" si="36"/>
        <v>63.096790762307485</v>
      </c>
      <c r="H354" s="77">
        <f t="shared" si="41"/>
        <v>1654.7324028765374</v>
      </c>
      <c r="I354" s="77">
        <f t="shared" si="37"/>
        <v>298164.37354095088</v>
      </c>
      <c r="J354" s="77">
        <f t="shared" si="38"/>
        <v>306511.50261992239</v>
      </c>
      <c r="K354" s="77">
        <f t="shared" si="42"/>
        <v>15143.229782953797</v>
      </c>
      <c r="L354" s="75">
        <v>400000</v>
      </c>
      <c r="M354" s="75">
        <f t="shared" si="39"/>
        <v>384856.7702170462</v>
      </c>
    </row>
    <row r="355" spans="5:13">
      <c r="E355">
        <v>352</v>
      </c>
      <c r="F355" s="77">
        <f t="shared" si="40"/>
        <v>1717.829193638845</v>
      </c>
      <c r="G355" s="77">
        <f t="shared" si="36"/>
        <v>56.202072416988578</v>
      </c>
      <c r="H355" s="77">
        <f t="shared" si="41"/>
        <v>1661.6271212218564</v>
      </c>
      <c r="I355" s="77">
        <f t="shared" si="37"/>
        <v>298220.5756133679</v>
      </c>
      <c r="J355" s="77">
        <f t="shared" si="38"/>
        <v>308173.12974114425</v>
      </c>
      <c r="K355" s="77">
        <f t="shared" si="42"/>
        <v>13488.497380077259</v>
      </c>
      <c r="L355" s="75">
        <v>400000</v>
      </c>
      <c r="M355" s="75">
        <f t="shared" si="39"/>
        <v>386511.50261992274</v>
      </c>
    </row>
    <row r="356" spans="5:13">
      <c r="E356">
        <v>353</v>
      </c>
      <c r="F356" s="77">
        <f t="shared" si="40"/>
        <v>1717.829193638845</v>
      </c>
      <c r="G356" s="77">
        <f t="shared" si="36"/>
        <v>49.278626078564173</v>
      </c>
      <c r="H356" s="77">
        <f t="shared" si="41"/>
        <v>1668.5505675602808</v>
      </c>
      <c r="I356" s="77">
        <f t="shared" si="37"/>
        <v>298269.85423944646</v>
      </c>
      <c r="J356" s="77">
        <f t="shared" si="38"/>
        <v>309841.68030870456</v>
      </c>
      <c r="K356" s="77">
        <f t="shared" si="42"/>
        <v>11826.870258855402</v>
      </c>
      <c r="L356" s="75">
        <v>400000</v>
      </c>
      <c r="M356" s="75">
        <f t="shared" si="39"/>
        <v>388173.1297411446</v>
      </c>
    </row>
    <row r="357" spans="5:13">
      <c r="E357">
        <v>354</v>
      </c>
      <c r="F357" s="77">
        <f t="shared" si="40"/>
        <v>1717.829193638845</v>
      </c>
      <c r="G357" s="77">
        <f t="shared" si="36"/>
        <v>42.326332047063005</v>
      </c>
      <c r="H357" s="77">
        <f t="shared" si="41"/>
        <v>1675.502861591782</v>
      </c>
      <c r="I357" s="77">
        <f t="shared" si="37"/>
        <v>298312.18057149352</v>
      </c>
      <c r="J357" s="77">
        <f t="shared" si="38"/>
        <v>311517.18317029631</v>
      </c>
      <c r="K357" s="77">
        <f t="shared" si="42"/>
        <v>10158.319691295121</v>
      </c>
      <c r="L357" s="75">
        <v>400000</v>
      </c>
      <c r="M357" s="75">
        <f t="shared" si="39"/>
        <v>389841.6803087049</v>
      </c>
    </row>
    <row r="358" spans="5:13">
      <c r="E358">
        <v>355</v>
      </c>
      <c r="F358" s="77">
        <f t="shared" si="40"/>
        <v>1717.829193638845</v>
      </c>
      <c r="G358" s="77">
        <f t="shared" si="36"/>
        <v>35.345070123763911</v>
      </c>
      <c r="H358" s="77">
        <f t="shared" si="41"/>
        <v>1682.4841235150811</v>
      </c>
      <c r="I358" s="77">
        <f t="shared" si="37"/>
        <v>298347.52564161731</v>
      </c>
      <c r="J358" s="77">
        <f t="shared" si="38"/>
        <v>313199.66729381139</v>
      </c>
      <c r="K358" s="77">
        <f t="shared" si="42"/>
        <v>8482.816829703339</v>
      </c>
      <c r="L358" s="75">
        <v>400000</v>
      </c>
      <c r="M358" s="75">
        <f t="shared" si="39"/>
        <v>391517.18317029666</v>
      </c>
    </row>
    <row r="359" spans="5:13">
      <c r="E359">
        <v>356</v>
      </c>
      <c r="F359" s="77">
        <f t="shared" si="40"/>
        <v>1717.829193638845</v>
      </c>
      <c r="G359" s="77">
        <f t="shared" si="36"/>
        <v>28.334719609117737</v>
      </c>
      <c r="H359" s="77">
        <f t="shared" si="41"/>
        <v>1689.4944740297274</v>
      </c>
      <c r="I359" s="77">
        <f t="shared" si="37"/>
        <v>298375.86036122643</v>
      </c>
      <c r="J359" s="77">
        <f t="shared" si="38"/>
        <v>314889.16176784114</v>
      </c>
      <c r="K359" s="77">
        <f t="shared" si="42"/>
        <v>6800.3327061882574</v>
      </c>
      <c r="L359" s="75">
        <v>400000</v>
      </c>
      <c r="M359" s="75">
        <f t="shared" si="39"/>
        <v>393199.66729381174</v>
      </c>
    </row>
    <row r="360" spans="5:13">
      <c r="E360">
        <v>357</v>
      </c>
      <c r="F360" s="77">
        <f t="shared" si="40"/>
        <v>1717.829193638845</v>
      </c>
      <c r="G360" s="77">
        <f t="shared" si="36"/>
        <v>21.295159300660544</v>
      </c>
      <c r="H360" s="77">
        <f t="shared" si="41"/>
        <v>1696.5340343381845</v>
      </c>
      <c r="I360" s="77">
        <f t="shared" si="37"/>
        <v>298397.1555205271</v>
      </c>
      <c r="J360" s="77">
        <f t="shared" si="38"/>
        <v>316585.69580217934</v>
      </c>
      <c r="K360" s="77">
        <f t="shared" si="42"/>
        <v>5110.8382321585304</v>
      </c>
      <c r="L360" s="75">
        <v>400000</v>
      </c>
      <c r="M360" s="75">
        <f t="shared" si="39"/>
        <v>394889.16176784149</v>
      </c>
    </row>
    <row r="361" spans="5:13">
      <c r="E361">
        <v>358</v>
      </c>
      <c r="F361" s="77">
        <f t="shared" si="40"/>
        <v>1717.829193638845</v>
      </c>
      <c r="G361" s="77">
        <f t="shared" si="36"/>
        <v>14.226267490918108</v>
      </c>
      <c r="H361" s="77">
        <f t="shared" si="41"/>
        <v>1703.6029261479268</v>
      </c>
      <c r="I361" s="77">
        <f t="shared" si="37"/>
        <v>298411.38178801804</v>
      </c>
      <c r="J361" s="77">
        <f t="shared" si="38"/>
        <v>318289.29872832727</v>
      </c>
      <c r="K361" s="77">
        <f t="shared" si="42"/>
        <v>3414.304197820346</v>
      </c>
      <c r="L361" s="75">
        <v>400000</v>
      </c>
      <c r="M361" s="75">
        <f t="shared" si="39"/>
        <v>396585.69580217963</v>
      </c>
    </row>
    <row r="362" spans="5:13">
      <c r="E362">
        <v>359</v>
      </c>
      <c r="F362" s="77">
        <f t="shared" si="40"/>
        <v>1717.829193638845</v>
      </c>
      <c r="G362" s="77">
        <f t="shared" si="36"/>
        <v>7.1279219653017458</v>
      </c>
      <c r="H362" s="77">
        <f t="shared" si="41"/>
        <v>1710.7012716735433</v>
      </c>
      <c r="I362" s="77">
        <f t="shared" si="37"/>
        <v>298418.50970998337</v>
      </c>
      <c r="J362" s="77">
        <f t="shared" si="38"/>
        <v>320000.00000000081</v>
      </c>
      <c r="K362" s="77">
        <f t="shared" si="42"/>
        <v>1710.7012716724191</v>
      </c>
      <c r="L362" s="75">
        <v>400000</v>
      </c>
      <c r="M362" s="75">
        <f t="shared" si="39"/>
        <v>398289.29872832756</v>
      </c>
    </row>
    <row r="363" spans="5:13">
      <c r="E363">
        <v>360</v>
      </c>
      <c r="F363" s="77">
        <f t="shared" si="40"/>
        <v>1717.829193638845</v>
      </c>
      <c r="G363" s="77">
        <f t="shared" si="36"/>
        <v>-4.6838977141305807E-12</v>
      </c>
      <c r="H363" s="77">
        <f t="shared" si="41"/>
        <v>1717.8291936388498</v>
      </c>
      <c r="I363" s="77">
        <f t="shared" si="37"/>
        <v>298418.50970998337</v>
      </c>
      <c r="J363" s="77">
        <f t="shared" si="38"/>
        <v>321717.82919363969</v>
      </c>
      <c r="K363" s="77">
        <f t="shared" si="42"/>
        <v>-1.1241354513913393E-9</v>
      </c>
      <c r="L363" s="75">
        <v>400000</v>
      </c>
      <c r="M363" s="75">
        <f t="shared" si="39"/>
        <v>400000.00000000111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73EF-FC8C-DB4B-B0B9-D4E48FFF2C81}">
  <sheetPr>
    <tabColor theme="7"/>
  </sheetPr>
  <dimension ref="B3:E38"/>
  <sheetViews>
    <sheetView showGridLines="0" workbookViewId="0">
      <selection activeCell="M30" sqref="M30"/>
    </sheetView>
  </sheetViews>
  <sheetFormatPr defaultColWidth="10.77734375" defaultRowHeight="14.4"/>
  <cols>
    <col min="2" max="2" width="12.77734375" customWidth="1"/>
    <col min="3" max="3" width="18" customWidth="1"/>
    <col min="5" max="5" width="10.664062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3" spans="2:5">
      <c r="B3" s="116"/>
      <c r="C3" s="173" t="s">
        <v>360</v>
      </c>
      <c r="D3" s="173" t="s">
        <v>361</v>
      </c>
      <c r="E3" s="173" t="s">
        <v>362</v>
      </c>
    </row>
    <row r="4" spans="2:5">
      <c r="B4" s="4" t="s">
        <v>343</v>
      </c>
      <c r="C4" s="171">
        <v>25000</v>
      </c>
      <c r="D4" s="171">
        <v>21000</v>
      </c>
      <c r="E4" s="170">
        <f>C4/D4</f>
        <v>1.1904761904761905</v>
      </c>
    </row>
    <row r="5" spans="2:5">
      <c r="B5" s="4" t="s">
        <v>344</v>
      </c>
      <c r="C5" s="171">
        <v>22000</v>
      </c>
      <c r="D5" s="171">
        <v>15000</v>
      </c>
      <c r="E5" s="170">
        <f>C5/D5</f>
        <v>1.4666666666666666</v>
      </c>
    </row>
    <row r="12" spans="2:5" ht="15" customHeight="1"/>
    <row r="13" spans="2:5" ht="15" customHeight="1"/>
    <row r="14" spans="2:5" ht="15" customHeight="1"/>
    <row r="15" spans="2:5" ht="15" customHeight="1"/>
    <row r="16" spans="2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E3A9-86AB-7E41-A649-1393A93622FA}">
  <sheetPr>
    <tabColor theme="7"/>
  </sheetPr>
  <dimension ref="B2:J35"/>
  <sheetViews>
    <sheetView showGridLines="0" workbookViewId="0">
      <selection activeCell="J47" sqref="J47"/>
    </sheetView>
  </sheetViews>
  <sheetFormatPr defaultColWidth="10.77734375" defaultRowHeight="14.4"/>
  <cols>
    <col min="2" max="2" width="24.44140625" customWidth="1"/>
    <col min="3" max="3" width="18" customWidth="1"/>
    <col min="4" max="4" width="15.77734375" customWidth="1"/>
    <col min="5" max="5" width="17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2" spans="2:4">
      <c r="B2" s="211"/>
      <c r="C2" s="296" t="s">
        <v>531</v>
      </c>
      <c r="D2" s="296" t="s">
        <v>235</v>
      </c>
    </row>
    <row r="3" spans="2:4">
      <c r="B3" t="s">
        <v>325</v>
      </c>
      <c r="C3" s="84">
        <v>1200</v>
      </c>
      <c r="D3" s="84">
        <f>C3*12</f>
        <v>14400</v>
      </c>
    </row>
    <row r="4" spans="2:4">
      <c r="B4" t="s">
        <v>166</v>
      </c>
      <c r="C4" s="84">
        <v>600</v>
      </c>
      <c r="D4" s="84">
        <f>C4*12</f>
        <v>7200</v>
      </c>
    </row>
    <row r="5" spans="2:4">
      <c r="B5" t="s">
        <v>156</v>
      </c>
      <c r="C5" s="84">
        <v>600</v>
      </c>
      <c r="D5" s="84">
        <f>C5*12</f>
        <v>7200</v>
      </c>
    </row>
    <row r="6" spans="2:4">
      <c r="B6" t="s">
        <v>157</v>
      </c>
      <c r="C6" s="84">
        <v>0</v>
      </c>
      <c r="D6" s="84">
        <f>C6*12</f>
        <v>0</v>
      </c>
    </row>
    <row r="7" spans="2:4">
      <c r="B7" t="s">
        <v>23</v>
      </c>
      <c r="C7" s="84">
        <v>600</v>
      </c>
      <c r="D7" s="84">
        <f>C7*12</f>
        <v>7200</v>
      </c>
    </row>
    <row r="10" spans="2:4" ht="15" customHeight="1">
      <c r="B10" s="211"/>
      <c r="C10" s="296" t="s">
        <v>531</v>
      </c>
      <c r="D10" s="296" t="s">
        <v>235</v>
      </c>
    </row>
    <row r="11" spans="2:4" ht="15" customHeight="1">
      <c r="B11" t="s">
        <v>325</v>
      </c>
      <c r="C11" s="84">
        <v>1200</v>
      </c>
      <c r="D11" s="84">
        <f>C11*12</f>
        <v>14400</v>
      </c>
    </row>
    <row r="12" spans="2:4" ht="15" customHeight="1">
      <c r="B12" t="s">
        <v>166</v>
      </c>
      <c r="C12" s="84">
        <v>600</v>
      </c>
      <c r="D12" s="84">
        <f>C12*12</f>
        <v>7200</v>
      </c>
    </row>
    <row r="13" spans="2:4" ht="15" customHeight="1">
      <c r="B13" t="s">
        <v>156</v>
      </c>
      <c r="C13" s="84">
        <v>600</v>
      </c>
      <c r="D13" s="84">
        <f>C13*12</f>
        <v>7200</v>
      </c>
    </row>
    <row r="14" spans="2:4" ht="15" customHeight="1">
      <c r="B14" t="s">
        <v>157</v>
      </c>
      <c r="C14" s="84">
        <v>405</v>
      </c>
      <c r="D14" s="84">
        <f>C14*12</f>
        <v>4860</v>
      </c>
    </row>
    <row r="15" spans="2:4" ht="15" customHeight="1">
      <c r="B15" t="s">
        <v>23</v>
      </c>
      <c r="C15" s="84">
        <f>C13-C14</f>
        <v>195</v>
      </c>
      <c r="D15" s="84">
        <f>C15*12</f>
        <v>2340</v>
      </c>
    </row>
    <row r="16" spans="2:4" ht="15" customHeight="1"/>
    <row r="17" spans="2:5" ht="15" customHeight="1"/>
    <row r="18" spans="2:5" ht="15" customHeight="1">
      <c r="B18" s="211"/>
      <c r="C18" s="296" t="s">
        <v>531</v>
      </c>
      <c r="D18" s="296" t="s">
        <v>235</v>
      </c>
    </row>
    <row r="19" spans="2:5" ht="15" customHeight="1">
      <c r="B19" t="s">
        <v>325</v>
      </c>
      <c r="C19" s="84">
        <v>1200</v>
      </c>
      <c r="D19" s="84">
        <f>C19*12</f>
        <v>14400</v>
      </c>
    </row>
    <row r="20" spans="2:5" ht="15" customHeight="1">
      <c r="B20" t="s">
        <v>166</v>
      </c>
      <c r="C20" s="84">
        <v>600</v>
      </c>
      <c r="D20" s="84">
        <f>C20*12</f>
        <v>7200</v>
      </c>
    </row>
    <row r="21" spans="2:5" ht="15" customHeight="1">
      <c r="B21" t="s">
        <v>156</v>
      </c>
      <c r="C21" s="84">
        <v>600</v>
      </c>
      <c r="D21" s="84">
        <f>C21*12</f>
        <v>7200</v>
      </c>
    </row>
    <row r="22" spans="2:5" ht="15" customHeight="1">
      <c r="B22" t="s">
        <v>157</v>
      </c>
      <c r="C22" s="84">
        <v>532</v>
      </c>
      <c r="D22" s="84">
        <f>C22*12</f>
        <v>6384</v>
      </c>
    </row>
    <row r="23" spans="2:5" ht="15" customHeight="1">
      <c r="B23" t="s">
        <v>23</v>
      </c>
      <c r="C23" s="84">
        <f>C21-C22</f>
        <v>68</v>
      </c>
      <c r="D23" s="84">
        <f>C23*12</f>
        <v>816</v>
      </c>
    </row>
    <row r="24" spans="2:5" ht="15" customHeight="1"/>
    <row r="25" spans="2:5" ht="15" customHeight="1"/>
    <row r="26" spans="2:5" ht="15" customHeight="1"/>
    <row r="27" spans="2:5" ht="15" customHeight="1"/>
    <row r="28" spans="2:5" ht="15" customHeight="1">
      <c r="B28" s="296"/>
      <c r="C28" s="296" t="s">
        <v>533</v>
      </c>
      <c r="D28" s="296" t="s">
        <v>534</v>
      </c>
      <c r="E28" s="296" t="s">
        <v>535</v>
      </c>
    </row>
    <row r="29" spans="2:5" ht="15" customHeight="1">
      <c r="B29" t="s">
        <v>12</v>
      </c>
      <c r="C29" s="84">
        <v>100000</v>
      </c>
      <c r="D29" s="84">
        <v>100000</v>
      </c>
      <c r="E29" s="84">
        <v>100000</v>
      </c>
    </row>
    <row r="30" spans="2:5" ht="15" customHeight="1">
      <c r="B30" t="s">
        <v>15</v>
      </c>
      <c r="C30">
        <v>0</v>
      </c>
      <c r="D30">
        <v>80000</v>
      </c>
      <c r="E30">
        <v>80000</v>
      </c>
    </row>
    <row r="31" spans="2:5" ht="15" customHeight="1">
      <c r="B31" t="s">
        <v>18</v>
      </c>
      <c r="C31" s="85">
        <f>C29</f>
        <v>100000</v>
      </c>
      <c r="D31" s="85">
        <f>D29-D30</f>
        <v>20000</v>
      </c>
      <c r="E31" s="85">
        <f>E29-E30</f>
        <v>20000</v>
      </c>
    </row>
    <row r="32" spans="2:5" ht="15" customHeight="1">
      <c r="B32" t="s">
        <v>19</v>
      </c>
      <c r="C32" t="s">
        <v>20</v>
      </c>
      <c r="D32" s="244">
        <v>4.4999999999999998E-2</v>
      </c>
      <c r="E32" s="244">
        <v>7.0000000000000007E-2</v>
      </c>
    </row>
    <row r="33" spans="2:10" ht="15" customHeight="1">
      <c r="B33" t="s">
        <v>23</v>
      </c>
      <c r="C33" s="84">
        <v>7200</v>
      </c>
      <c r="D33" s="84">
        <v>2340</v>
      </c>
      <c r="E33" s="84">
        <v>816</v>
      </c>
    </row>
    <row r="34" spans="2:10" ht="15" customHeight="1">
      <c r="B34" t="s">
        <v>532</v>
      </c>
      <c r="C34" s="244">
        <v>7.1999999999999995E-2</v>
      </c>
      <c r="D34" s="244">
        <v>0.11700000000000001</v>
      </c>
      <c r="E34" s="244">
        <v>4.1000000000000002E-2</v>
      </c>
      <c r="J34" t="s">
        <v>536</v>
      </c>
    </row>
    <row r="35" spans="2:10" ht="18" customHeight="1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9BFD-AE4A-4446-A124-301452C887B6}">
  <sheetPr>
    <tabColor theme="7"/>
  </sheetPr>
  <dimension ref="A12:A38"/>
  <sheetViews>
    <sheetView showGridLines="0" workbookViewId="0">
      <selection activeCell="E48" sqref="E48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59C6-23FC-7E4E-A090-1CA8F7445658}">
  <sheetPr>
    <tabColor theme="7"/>
  </sheetPr>
  <dimension ref="A12:A38"/>
  <sheetViews>
    <sheetView showGridLines="0" workbookViewId="0">
      <selection activeCell="E48" sqref="E48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1718-B82A-3F42-9742-3013662FDFA6}">
  <sheetPr>
    <tabColor theme="7"/>
  </sheetPr>
  <dimension ref="A12:A38"/>
  <sheetViews>
    <sheetView showGridLines="0" workbookViewId="0">
      <selection activeCell="E48" sqref="E48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65B5-58C0-E04C-829B-2F33D6A236C9}">
  <sheetPr>
    <tabColor theme="7"/>
  </sheetPr>
  <dimension ref="A12:A38"/>
  <sheetViews>
    <sheetView showGridLines="0" workbookViewId="0">
      <selection activeCell="E48" sqref="E48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13F6-693D-9C4A-AB80-99B08861F0B2}">
  <sheetPr>
    <tabColor theme="7"/>
  </sheetPr>
  <dimension ref="A12:A38"/>
  <sheetViews>
    <sheetView showGridLines="0" workbookViewId="0">
      <selection activeCell="E48" sqref="E48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955B-A2F6-FE4C-8854-7A1E5D0659A1}">
  <sheetPr>
    <tabColor theme="7"/>
  </sheetPr>
  <dimension ref="A12:A38"/>
  <sheetViews>
    <sheetView showGridLines="0" workbookViewId="0">
      <selection activeCell="E48" sqref="E48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22CA-7C88-8F4A-A10F-F13343129F66}">
  <sheetPr>
    <tabColor theme="7"/>
  </sheetPr>
  <dimension ref="A12:A38"/>
  <sheetViews>
    <sheetView showGridLines="0" workbookViewId="0">
      <selection activeCell="E48" sqref="E48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DF91-67FB-3244-86C6-94BD96BB6DDE}">
  <sheetPr>
    <tabColor theme="5"/>
  </sheetPr>
  <dimension ref="A12:A38"/>
  <sheetViews>
    <sheetView showGridLines="0" workbookViewId="0">
      <selection activeCell="K39" sqref="K39"/>
    </sheetView>
  </sheetViews>
  <sheetFormatPr defaultColWidth="10.777343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6040-2D90-F84F-8328-F90BECD559B2}">
  <sheetPr>
    <tabColor theme="5"/>
  </sheetPr>
  <dimension ref="A12:A38"/>
  <sheetViews>
    <sheetView showGridLines="0" workbookViewId="0">
      <selection activeCell="K39" sqref="K39"/>
    </sheetView>
  </sheetViews>
  <sheetFormatPr defaultColWidth="11.5546875" defaultRowHeight="14.4"/>
  <cols>
    <col min="2" max="2" width="30.44140625" customWidth="1"/>
    <col min="3" max="3" width="18" customWidth="1"/>
    <col min="5" max="5" width="34.109375" customWidth="1"/>
    <col min="6" max="6" width="17.33203125" customWidth="1"/>
    <col min="7" max="7" width="3" customWidth="1"/>
    <col min="9" max="9" width="26.6640625" customWidth="1"/>
    <col min="10" max="10" width="22.109375" customWidth="1"/>
    <col min="12" max="12" width="19.77734375" bestFit="1" customWidth="1"/>
    <col min="13" max="13" width="21" customWidth="1"/>
    <col min="15" max="16" width="16.33203125" customWidth="1"/>
    <col min="17" max="17" width="5.44140625" customWidth="1"/>
    <col min="18" max="18" width="30.44140625" customWidth="1"/>
    <col min="19" max="19" width="10.77734375" customWidth="1"/>
  </cols>
  <sheetData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8" customHeight="1"/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94ED-5C25-FD4D-8EDD-5DFF1E2FFD36}">
  <dimension ref="B5:S67"/>
  <sheetViews>
    <sheetView topLeftCell="A39" zoomScaleNormal="130" workbookViewId="0">
      <selection activeCell="J57" sqref="J57"/>
    </sheetView>
  </sheetViews>
  <sheetFormatPr defaultColWidth="10.77734375" defaultRowHeight="14.4"/>
  <cols>
    <col min="3" max="3" width="15" customWidth="1"/>
    <col min="4" max="4" width="12.109375" customWidth="1"/>
    <col min="6" max="6" width="10.77734375" customWidth="1"/>
    <col min="8" max="8" width="13.44140625" customWidth="1"/>
    <col min="9" max="9" width="11.33203125" customWidth="1"/>
    <col min="10" max="10" width="11.77734375" bestFit="1" customWidth="1"/>
    <col min="12" max="12" width="16.77734375" bestFit="1" customWidth="1"/>
    <col min="14" max="14" width="14" bestFit="1" customWidth="1"/>
    <col min="15" max="15" width="14" customWidth="1"/>
  </cols>
  <sheetData>
    <row r="5" spans="2:19">
      <c r="B5" s="116"/>
      <c r="C5" s="116" t="s">
        <v>261</v>
      </c>
      <c r="D5" s="116" t="s">
        <v>262</v>
      </c>
      <c r="E5" s="116" t="s">
        <v>260</v>
      </c>
      <c r="J5" s="116"/>
      <c r="K5" s="116" t="s">
        <v>270</v>
      </c>
      <c r="L5" s="116" t="s">
        <v>269</v>
      </c>
    </row>
    <row r="6" spans="2:19">
      <c r="B6" t="s">
        <v>254</v>
      </c>
      <c r="C6" s="63">
        <v>60000</v>
      </c>
      <c r="J6" t="s">
        <v>254</v>
      </c>
      <c r="K6" s="63">
        <v>10000</v>
      </c>
      <c r="P6" s="116"/>
      <c r="Q6" s="116" t="s">
        <v>261</v>
      </c>
      <c r="R6" s="116" t="s">
        <v>19</v>
      </c>
      <c r="S6" s="116" t="s">
        <v>389</v>
      </c>
    </row>
    <row r="7" spans="2:19">
      <c r="B7" t="s">
        <v>255</v>
      </c>
      <c r="C7" s="63">
        <v>60000</v>
      </c>
      <c r="D7" s="63">
        <f>C7*E7</f>
        <v>3000</v>
      </c>
      <c r="E7" s="121">
        <v>0.05</v>
      </c>
      <c r="J7" t="s">
        <v>255</v>
      </c>
      <c r="K7" s="63">
        <f t="shared" ref="K7:K15" si="0">K6*(1+L7)</f>
        <v>11500</v>
      </c>
      <c r="L7" s="94">
        <v>0.15</v>
      </c>
      <c r="P7" t="s">
        <v>255</v>
      </c>
      <c r="Q7" s="63">
        <v>10000</v>
      </c>
    </row>
    <row r="8" spans="2:19">
      <c r="B8" t="s">
        <v>256</v>
      </c>
      <c r="C8" s="63">
        <v>60000</v>
      </c>
      <c r="D8" s="63">
        <f>C8*E8</f>
        <v>3000</v>
      </c>
      <c r="E8" s="121">
        <v>0.05</v>
      </c>
      <c r="J8" t="s">
        <v>256</v>
      </c>
      <c r="K8" s="63">
        <f t="shared" si="0"/>
        <v>13570</v>
      </c>
      <c r="L8" s="94">
        <v>0.18</v>
      </c>
      <c r="P8" t="s">
        <v>256</v>
      </c>
      <c r="Q8" s="63">
        <v>10000</v>
      </c>
      <c r="R8" s="121">
        <v>0.05</v>
      </c>
      <c r="S8" s="63">
        <f>Q8*R8</f>
        <v>500</v>
      </c>
    </row>
    <row r="9" spans="2:19">
      <c r="B9" t="s">
        <v>258</v>
      </c>
      <c r="C9" s="63">
        <v>60000</v>
      </c>
      <c r="D9" s="63">
        <f>C9*E9</f>
        <v>3000</v>
      </c>
      <c r="E9" s="121">
        <v>0.05</v>
      </c>
      <c r="J9" t="s">
        <v>258</v>
      </c>
      <c r="K9" s="63">
        <f t="shared" si="0"/>
        <v>11941.6</v>
      </c>
      <c r="L9" s="94">
        <v>-0.12</v>
      </c>
      <c r="P9" t="s">
        <v>388</v>
      </c>
      <c r="Q9" s="63">
        <v>10000</v>
      </c>
      <c r="R9" s="121">
        <v>0.05</v>
      </c>
      <c r="S9" s="63">
        <f>Q9*R9</f>
        <v>500</v>
      </c>
    </row>
    <row r="10" spans="2:19">
      <c r="B10" t="s">
        <v>257</v>
      </c>
      <c r="C10" s="63">
        <v>60000</v>
      </c>
      <c r="D10" s="63">
        <f>C10*E10</f>
        <v>3000</v>
      </c>
      <c r="E10" s="121">
        <v>0.05</v>
      </c>
      <c r="J10" t="s">
        <v>257</v>
      </c>
      <c r="K10" s="63">
        <f t="shared" si="0"/>
        <v>10866.856000000002</v>
      </c>
      <c r="L10" s="94">
        <v>-0.09</v>
      </c>
      <c r="P10" t="s">
        <v>257</v>
      </c>
      <c r="Q10" s="63">
        <v>10000</v>
      </c>
      <c r="R10" s="121">
        <v>0.05</v>
      </c>
      <c r="S10" s="63">
        <f>Q10*R10</f>
        <v>500</v>
      </c>
    </row>
    <row r="11" spans="2:19">
      <c r="B11" s="78"/>
      <c r="C11" s="120"/>
      <c r="D11" s="78"/>
      <c r="J11" t="s">
        <v>263</v>
      </c>
      <c r="K11" s="63">
        <f t="shared" si="0"/>
        <v>10323.513200000001</v>
      </c>
      <c r="L11" s="94">
        <v>-0.05</v>
      </c>
      <c r="P11" t="s">
        <v>263</v>
      </c>
      <c r="Q11" s="63">
        <v>10000</v>
      </c>
      <c r="R11" s="121">
        <v>0.05</v>
      </c>
      <c r="S11" s="63">
        <f>Q11*R11</f>
        <v>500</v>
      </c>
    </row>
    <row r="12" spans="2:19">
      <c r="B12" s="78"/>
      <c r="C12" s="78"/>
      <c r="D12" s="120"/>
      <c r="J12" t="s">
        <v>264</v>
      </c>
      <c r="K12" s="63">
        <f t="shared" si="0"/>
        <v>9084.6916160000019</v>
      </c>
      <c r="L12" s="94">
        <v>-0.12</v>
      </c>
    </row>
    <row r="13" spans="2:19">
      <c r="J13" t="s">
        <v>265</v>
      </c>
      <c r="K13" s="63">
        <f t="shared" si="0"/>
        <v>10901.629939200002</v>
      </c>
      <c r="L13" s="94">
        <v>0.2</v>
      </c>
    </row>
    <row r="14" spans="2:19">
      <c r="B14" s="116"/>
      <c r="C14" s="116" t="s">
        <v>261</v>
      </c>
      <c r="D14" s="116" t="s">
        <v>262</v>
      </c>
      <c r="E14" s="116" t="s">
        <v>260</v>
      </c>
      <c r="J14" t="s">
        <v>266</v>
      </c>
      <c r="K14" s="63">
        <f t="shared" si="0"/>
        <v>12536.874430080001</v>
      </c>
      <c r="L14" s="94">
        <v>0.15</v>
      </c>
    </row>
    <row r="15" spans="2:19">
      <c r="B15" t="s">
        <v>254</v>
      </c>
      <c r="C15" s="63">
        <v>10000</v>
      </c>
      <c r="D15">
        <v>500</v>
      </c>
      <c r="J15" t="s">
        <v>267</v>
      </c>
      <c r="K15" s="63">
        <f t="shared" si="0"/>
        <v>14041.299361689602</v>
      </c>
      <c r="L15" s="94">
        <v>0.12</v>
      </c>
    </row>
    <row r="16" spans="2:19">
      <c r="B16" t="s">
        <v>255</v>
      </c>
      <c r="C16" s="63">
        <f>C15+D15</f>
        <v>10500</v>
      </c>
      <c r="D16" s="63">
        <f>C16*E16</f>
        <v>525</v>
      </c>
      <c r="E16" s="121">
        <v>0.05</v>
      </c>
      <c r="J16" s="65" t="s">
        <v>232</v>
      </c>
      <c r="K16" s="125">
        <f>K15/K6-1</f>
        <v>0.40412993616896009</v>
      </c>
      <c r="L16" s="123"/>
    </row>
    <row r="17" spans="2:13">
      <c r="B17" t="s">
        <v>256</v>
      </c>
      <c r="C17" s="63">
        <f>C16+D16</f>
        <v>11025</v>
      </c>
      <c r="D17" s="63">
        <f>C17*E17</f>
        <v>551.25</v>
      </c>
      <c r="E17" s="121">
        <v>0.05</v>
      </c>
      <c r="J17" s="78" t="s">
        <v>259</v>
      </c>
      <c r="K17" s="124">
        <f>SUM(L7:L15)/9</f>
        <v>4.6666666666666662E-2</v>
      </c>
    </row>
    <row r="18" spans="2:13">
      <c r="B18" t="s">
        <v>258</v>
      </c>
      <c r="C18" s="63">
        <f>C17+D17</f>
        <v>11576.25</v>
      </c>
      <c r="D18" s="63">
        <f>C18*E18</f>
        <v>578.8125</v>
      </c>
      <c r="E18" s="121">
        <v>0.05</v>
      </c>
      <c r="J18" s="78" t="s">
        <v>224</v>
      </c>
      <c r="K18" s="124">
        <f>_xlfn.RRI(9, K6, K15)</f>
        <v>3.8433257685635214E-2</v>
      </c>
      <c r="M18" cm="1">
        <f t="array" ref="M18">SUM(L7:L15/9)</f>
        <v>4.6666666666666676E-2</v>
      </c>
    </row>
    <row r="19" spans="2:13">
      <c r="B19" t="s">
        <v>257</v>
      </c>
      <c r="C19" s="63">
        <f>C18+D18</f>
        <v>12155.0625</v>
      </c>
      <c r="D19" s="63">
        <f>C19*E19</f>
        <v>607.75312500000007</v>
      </c>
      <c r="E19" s="121">
        <v>0.05</v>
      </c>
    </row>
    <row r="20" spans="2:13">
      <c r="J20" s="116" t="s">
        <v>119</v>
      </c>
      <c r="K20" s="116" t="s">
        <v>246</v>
      </c>
      <c r="M20">
        <f>10000*K17*9</f>
        <v>4200</v>
      </c>
    </row>
    <row r="21" spans="2:13">
      <c r="J21" s="122" t="s">
        <v>254</v>
      </c>
      <c r="K21">
        <v>0.09</v>
      </c>
      <c r="M21" s="85">
        <f>10000*(1+K18)^9</f>
        <v>14041.299361689616</v>
      </c>
    </row>
    <row r="22" spans="2:13">
      <c r="J22" t="s">
        <v>255</v>
      </c>
      <c r="K22">
        <v>0.12</v>
      </c>
    </row>
    <row r="23" spans="2:13">
      <c r="J23" t="s">
        <v>256</v>
      </c>
      <c r="K23">
        <v>-0.06</v>
      </c>
    </row>
    <row r="24" spans="2:13">
      <c r="J24" t="s">
        <v>258</v>
      </c>
      <c r="K24">
        <v>0.01</v>
      </c>
    </row>
    <row r="25" spans="2:13">
      <c r="J25" t="s">
        <v>257</v>
      </c>
      <c r="K25">
        <v>-0.04</v>
      </c>
    </row>
    <row r="26" spans="2:13">
      <c r="E26" s="115" t="s">
        <v>253</v>
      </c>
      <c r="J26" t="s">
        <v>263</v>
      </c>
      <c r="K26">
        <v>-0.08</v>
      </c>
    </row>
    <row r="27" spans="2:13">
      <c r="J27" t="s">
        <v>264</v>
      </c>
      <c r="K27">
        <v>0.08</v>
      </c>
    </row>
    <row r="28" spans="2:13">
      <c r="J28" t="s">
        <v>265</v>
      </c>
      <c r="K28">
        <v>0.1</v>
      </c>
    </row>
    <row r="29" spans="2:13">
      <c r="J29" t="s">
        <v>266</v>
      </c>
      <c r="K29">
        <v>7.0000000000000007E-2</v>
      </c>
    </row>
    <row r="30" spans="2:13">
      <c r="J30" t="s">
        <v>267</v>
      </c>
      <c r="K30" t="s">
        <v>268</v>
      </c>
    </row>
    <row r="33" spans="2:9">
      <c r="B33" s="356" t="s">
        <v>271</v>
      </c>
      <c r="C33" s="356"/>
      <c r="E33" s="347"/>
      <c r="F33" s="347"/>
      <c r="G33" s="356" t="s">
        <v>271</v>
      </c>
      <c r="H33" s="356"/>
      <c r="I33" s="356"/>
    </row>
    <row r="34" spans="2:9">
      <c r="B34" s="127" t="s">
        <v>119</v>
      </c>
      <c r="C34" s="127" t="s">
        <v>273</v>
      </c>
      <c r="E34" s="78"/>
      <c r="F34" s="78"/>
      <c r="G34" s="127" t="s">
        <v>119</v>
      </c>
      <c r="H34" s="127" t="s">
        <v>273</v>
      </c>
      <c r="I34" s="129" t="s">
        <v>232</v>
      </c>
    </row>
    <row r="35" spans="2:9">
      <c r="B35" t="s">
        <v>254</v>
      </c>
      <c r="C35" s="63">
        <v>1000</v>
      </c>
      <c r="F35" s="126"/>
      <c r="G35" t="s">
        <v>254</v>
      </c>
      <c r="H35" s="63">
        <v>1000</v>
      </c>
    </row>
    <row r="36" spans="2:9">
      <c r="B36" t="s">
        <v>255</v>
      </c>
      <c r="C36" s="63">
        <v>1200</v>
      </c>
      <c r="D36" s="94"/>
      <c r="G36" t="s">
        <v>255</v>
      </c>
      <c r="H36" s="63">
        <v>1200</v>
      </c>
      <c r="I36" s="94">
        <f>H36/H35-1</f>
        <v>0.19999999999999996</v>
      </c>
    </row>
    <row r="37" spans="2:9">
      <c r="B37" t="s">
        <v>256</v>
      </c>
      <c r="C37" s="63">
        <v>1250</v>
      </c>
      <c r="D37" s="94"/>
      <c r="G37" t="s">
        <v>256</v>
      </c>
      <c r="H37" s="63">
        <v>1250</v>
      </c>
      <c r="I37" s="94">
        <f t="shared" ref="I37:I45" si="1">H37/H36-1</f>
        <v>4.1666666666666741E-2</v>
      </c>
    </row>
    <row r="38" spans="2:9">
      <c r="B38" t="s">
        <v>258</v>
      </c>
      <c r="C38" s="63">
        <v>1400</v>
      </c>
      <c r="D38" s="94"/>
      <c r="G38" t="s">
        <v>258</v>
      </c>
      <c r="H38" s="63">
        <v>1400</v>
      </c>
      <c r="I38" s="94">
        <f t="shared" si="1"/>
        <v>0.12000000000000011</v>
      </c>
    </row>
    <row r="39" spans="2:9">
      <c r="B39" t="s">
        <v>257</v>
      </c>
      <c r="C39" s="63">
        <v>1300</v>
      </c>
      <c r="D39" s="94"/>
      <c r="G39" t="s">
        <v>257</v>
      </c>
      <c r="H39" s="63">
        <v>1300</v>
      </c>
      <c r="I39" s="94">
        <f t="shared" si="1"/>
        <v>-7.1428571428571397E-2</v>
      </c>
    </row>
    <row r="40" spans="2:9">
      <c r="B40" t="s">
        <v>263</v>
      </c>
      <c r="C40" s="63">
        <v>1150</v>
      </c>
      <c r="D40" s="94"/>
      <c r="G40" t="s">
        <v>263</v>
      </c>
      <c r="H40" s="63">
        <v>1150</v>
      </c>
      <c r="I40" s="94">
        <f t="shared" si="1"/>
        <v>-0.11538461538461542</v>
      </c>
    </row>
    <row r="41" spans="2:9">
      <c r="B41" t="s">
        <v>264</v>
      </c>
      <c r="C41" s="63">
        <v>1600</v>
      </c>
      <c r="D41" s="94"/>
      <c r="G41" t="s">
        <v>264</v>
      </c>
      <c r="H41" s="63">
        <v>1600</v>
      </c>
      <c r="I41" s="94">
        <f t="shared" si="1"/>
        <v>0.39130434782608692</v>
      </c>
    </row>
    <row r="42" spans="2:9">
      <c r="B42" t="s">
        <v>265</v>
      </c>
      <c r="C42" s="63">
        <v>1800</v>
      </c>
      <c r="D42" s="94"/>
      <c r="G42" t="s">
        <v>265</v>
      </c>
      <c r="H42" s="63">
        <v>1800</v>
      </c>
      <c r="I42" s="94">
        <f t="shared" si="1"/>
        <v>0.125</v>
      </c>
    </row>
    <row r="43" spans="2:9">
      <c r="B43" t="s">
        <v>266</v>
      </c>
      <c r="C43" s="63">
        <v>2000</v>
      </c>
      <c r="D43" s="94"/>
      <c r="G43" t="s">
        <v>266</v>
      </c>
      <c r="H43" s="63">
        <v>2000</v>
      </c>
      <c r="I43" s="94">
        <f t="shared" si="1"/>
        <v>0.11111111111111116</v>
      </c>
    </row>
    <row r="44" spans="2:9">
      <c r="B44" t="s">
        <v>267</v>
      </c>
      <c r="C44" s="63">
        <v>2100</v>
      </c>
      <c r="D44" s="94"/>
      <c r="G44" t="s">
        <v>267</v>
      </c>
      <c r="H44" s="63">
        <v>2100</v>
      </c>
      <c r="I44" s="94">
        <f t="shared" si="1"/>
        <v>5.0000000000000044E-2</v>
      </c>
    </row>
    <row r="45" spans="2:9">
      <c r="B45" t="s">
        <v>272</v>
      </c>
      <c r="C45" s="63">
        <v>2400</v>
      </c>
      <c r="D45" s="94"/>
      <c r="G45" t="s">
        <v>272</v>
      </c>
      <c r="H45" s="63">
        <v>2400</v>
      </c>
      <c r="I45" s="94">
        <f t="shared" si="1"/>
        <v>0.14285714285714279</v>
      </c>
    </row>
    <row r="46" spans="2:9">
      <c r="B46" s="78"/>
      <c r="C46" s="128"/>
      <c r="D46" s="94"/>
      <c r="G46" s="65" t="s">
        <v>232</v>
      </c>
      <c r="H46" s="71">
        <f>H45/H35-1</f>
        <v>1.4</v>
      </c>
      <c r="I46" s="71"/>
    </row>
    <row r="47" spans="2:9">
      <c r="B47" s="78"/>
      <c r="C47" s="124"/>
      <c r="G47" s="78" t="s">
        <v>259</v>
      </c>
      <c r="H47" s="124">
        <f>SUM(I36:I45)/COUNT(I36:I45)</f>
        <v>9.9512608164782093E-2</v>
      </c>
    </row>
    <row r="48" spans="2:9">
      <c r="B48" s="78"/>
      <c r="C48" s="124"/>
      <c r="G48" s="78" t="s">
        <v>224</v>
      </c>
      <c r="H48" s="124">
        <f>_xlfn.RRI(10, H35, H45)</f>
        <v>9.1493425617896973E-2</v>
      </c>
    </row>
    <row r="52" spans="2:9">
      <c r="B52" s="356" t="s">
        <v>274</v>
      </c>
      <c r="C52" s="356"/>
      <c r="G52" s="356" t="s">
        <v>274</v>
      </c>
      <c r="H52" s="356"/>
      <c r="I52" s="356"/>
    </row>
    <row r="53" spans="2:9">
      <c r="B53" s="127" t="s">
        <v>119</v>
      </c>
      <c r="C53" s="127" t="s">
        <v>273</v>
      </c>
      <c r="G53" s="127" t="s">
        <v>119</v>
      </c>
      <c r="H53" s="127" t="s">
        <v>273</v>
      </c>
      <c r="I53" s="129" t="s">
        <v>232</v>
      </c>
    </row>
    <row r="54" spans="2:9">
      <c r="B54" t="s">
        <v>254</v>
      </c>
      <c r="C54" s="63">
        <v>1000</v>
      </c>
      <c r="G54" t="s">
        <v>254</v>
      </c>
      <c r="H54" s="63">
        <v>1000</v>
      </c>
    </row>
    <row r="55" spans="2:9">
      <c r="B55" t="s">
        <v>255</v>
      </c>
      <c r="C55" s="63">
        <v>1200</v>
      </c>
      <c r="D55" s="94"/>
      <c r="G55" t="s">
        <v>255</v>
      </c>
      <c r="H55" s="63">
        <v>1200</v>
      </c>
      <c r="I55" s="94">
        <f>H55/H54-1</f>
        <v>0.19999999999999996</v>
      </c>
    </row>
    <row r="56" spans="2:9">
      <c r="B56" t="s">
        <v>256</v>
      </c>
      <c r="C56" s="63">
        <v>1250</v>
      </c>
      <c r="D56" s="94"/>
      <c r="G56" t="s">
        <v>256</v>
      </c>
      <c r="H56" s="63">
        <v>1250</v>
      </c>
      <c r="I56" s="94">
        <f t="shared" ref="I56:I61" si="2">H56/H55-1</f>
        <v>4.1666666666666741E-2</v>
      </c>
    </row>
    <row r="57" spans="2:9">
      <c r="B57" t="s">
        <v>258</v>
      </c>
      <c r="C57" s="63">
        <v>1400</v>
      </c>
      <c r="D57" s="94"/>
      <c r="G57" t="s">
        <v>258</v>
      </c>
      <c r="H57" s="63">
        <v>1400</v>
      </c>
      <c r="I57" s="94">
        <f t="shared" si="2"/>
        <v>0.12000000000000011</v>
      </c>
    </row>
    <row r="58" spans="2:9">
      <c r="B58" t="s">
        <v>257</v>
      </c>
      <c r="C58" s="63">
        <v>1300</v>
      </c>
      <c r="D58" s="94"/>
      <c r="G58" t="s">
        <v>257</v>
      </c>
      <c r="H58" s="63">
        <v>1300</v>
      </c>
      <c r="I58" s="94">
        <f t="shared" si="2"/>
        <v>-7.1428571428571397E-2</v>
      </c>
    </row>
    <row r="59" spans="2:9">
      <c r="B59" t="s">
        <v>263</v>
      </c>
      <c r="C59" s="63">
        <v>1450</v>
      </c>
      <c r="D59" s="94"/>
      <c r="G59" t="s">
        <v>263</v>
      </c>
      <c r="H59" s="63">
        <v>1450</v>
      </c>
      <c r="I59" s="94">
        <f t="shared" si="2"/>
        <v>0.11538461538461542</v>
      </c>
    </row>
    <row r="60" spans="2:9">
      <c r="B60" t="s">
        <v>264</v>
      </c>
      <c r="C60" s="63">
        <v>1600</v>
      </c>
      <c r="D60" s="94"/>
      <c r="G60" t="s">
        <v>264</v>
      </c>
      <c r="H60" s="63">
        <v>1600</v>
      </c>
      <c r="I60" s="94">
        <f t="shared" si="2"/>
        <v>0.10344827586206895</v>
      </c>
    </row>
    <row r="61" spans="2:9">
      <c r="B61" t="s">
        <v>265</v>
      </c>
      <c r="C61" s="63">
        <v>1900</v>
      </c>
      <c r="D61" s="94"/>
      <c r="G61" t="s">
        <v>265</v>
      </c>
      <c r="H61" s="63">
        <v>1900</v>
      </c>
      <c r="I61" s="94">
        <f t="shared" si="2"/>
        <v>0.1875</v>
      </c>
    </row>
    <row r="62" spans="2:9">
      <c r="B62" s="78"/>
      <c r="C62" s="128"/>
      <c r="D62" s="94"/>
      <c r="G62" s="65" t="s">
        <v>232</v>
      </c>
      <c r="H62" s="71">
        <f>H61/H54-1</f>
        <v>0.89999999999999991</v>
      </c>
      <c r="I62" s="71"/>
    </row>
    <row r="63" spans="2:9">
      <c r="B63" s="78"/>
      <c r="C63" s="124"/>
      <c r="G63" s="78" t="s">
        <v>259</v>
      </c>
      <c r="H63" s="124">
        <f>SUM(I55:I61)/COUNT(I55:I61)</f>
        <v>9.9510140926397109E-2</v>
      </c>
    </row>
    <row r="64" spans="2:9">
      <c r="B64" s="78"/>
      <c r="C64" s="124"/>
      <c r="G64" s="78" t="s">
        <v>224</v>
      </c>
      <c r="H64" s="124">
        <f>_xlfn.RRI(7, H54, H61)</f>
        <v>9.6028741644687665E-2</v>
      </c>
    </row>
    <row r="67" spans="14:15">
      <c r="N67" s="63"/>
      <c r="O67" s="63"/>
    </row>
  </sheetData>
  <mergeCells count="5">
    <mergeCell ref="B33:C33"/>
    <mergeCell ref="E33:F33"/>
    <mergeCell ref="B52:C52"/>
    <mergeCell ref="G52:I52"/>
    <mergeCell ref="G33:I33"/>
  </mergeCells>
  <phoneticPr fontId="20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0423-451A-8B46-94D3-D71D44D0EA94}">
  <sheetPr>
    <tabColor theme="0" tint="-0.14999847407452621"/>
  </sheetPr>
  <dimension ref="B3:AX62"/>
  <sheetViews>
    <sheetView topLeftCell="A29" workbookViewId="0">
      <selection activeCell="O53" sqref="O53"/>
    </sheetView>
  </sheetViews>
  <sheetFormatPr defaultColWidth="11.5546875" defaultRowHeight="14.4"/>
  <cols>
    <col min="1" max="1" width="10.77734375"/>
    <col min="2" max="2" width="32.44140625" bestFit="1" customWidth="1"/>
    <col min="3" max="3" width="18.33203125" customWidth="1"/>
    <col min="4" max="4" width="17" customWidth="1"/>
    <col min="5" max="5" width="20.33203125" bestFit="1" customWidth="1"/>
    <col min="6" max="6" width="16.6640625" customWidth="1"/>
    <col min="7" max="7" width="14" customWidth="1"/>
    <col min="8" max="8" width="12.6640625" bestFit="1" customWidth="1"/>
    <col min="9" max="10" width="13.109375" bestFit="1" customWidth="1"/>
    <col min="11" max="15" width="12.6640625" bestFit="1" customWidth="1"/>
    <col min="16" max="16" width="11.44140625" customWidth="1"/>
    <col min="17" max="33" width="12.6640625" bestFit="1" customWidth="1"/>
    <col min="34" max="50" width="10.77734375"/>
  </cols>
  <sheetData>
    <row r="3" spans="2:9">
      <c r="B3" s="103" t="s">
        <v>213</v>
      </c>
      <c r="C3" s="103" t="s">
        <v>197</v>
      </c>
      <c r="E3" s="89" t="s">
        <v>223</v>
      </c>
      <c r="F3" s="89" t="str">
        <f>C3</f>
        <v xml:space="preserve">457 Main St. </v>
      </c>
      <c r="H3" s="89" t="s">
        <v>237</v>
      </c>
      <c r="I3" s="89" t="str">
        <f>F3</f>
        <v xml:space="preserve">457 Main St. </v>
      </c>
    </row>
    <row r="4" spans="2:9">
      <c r="B4" t="s">
        <v>243</v>
      </c>
      <c r="C4" s="112">
        <v>28800</v>
      </c>
      <c r="E4" t="s">
        <v>12</v>
      </c>
      <c r="F4" s="104">
        <v>400000</v>
      </c>
      <c r="H4" t="s">
        <v>225</v>
      </c>
      <c r="I4" s="75">
        <f>F4*F5+F16</f>
        <v>106000</v>
      </c>
    </row>
    <row r="5" spans="2:9">
      <c r="B5" t="s">
        <v>244</v>
      </c>
      <c r="C5" s="112">
        <v>0</v>
      </c>
      <c r="E5" t="s">
        <v>133</v>
      </c>
      <c r="F5" s="105">
        <v>0.25</v>
      </c>
      <c r="H5" t="s">
        <v>124</v>
      </c>
      <c r="I5" s="64">
        <f>AG58/(1+C12)^AG23</f>
        <v>73760.018249100875</v>
      </c>
    </row>
    <row r="6" spans="2:9">
      <c r="B6" t="s">
        <v>215</v>
      </c>
      <c r="C6" s="108">
        <v>0.02</v>
      </c>
      <c r="E6" t="s">
        <v>134</v>
      </c>
      <c r="F6" s="75">
        <v>91500</v>
      </c>
      <c r="H6" t="s">
        <v>125</v>
      </c>
      <c r="I6" s="64">
        <f>SUM(C45:AG45)</f>
        <v>-11520.216066438206</v>
      </c>
    </row>
    <row r="7" spans="2:9">
      <c r="B7" t="s">
        <v>214</v>
      </c>
      <c r="C7" s="108">
        <v>0.01</v>
      </c>
      <c r="E7" t="s">
        <v>135</v>
      </c>
      <c r="F7" s="106">
        <v>0.04</v>
      </c>
      <c r="H7" t="s">
        <v>126</v>
      </c>
      <c r="I7" s="94">
        <f>XIRR(C44:AG44, C22:AG22)</f>
        <v>7.1210399270057706E-2</v>
      </c>
    </row>
    <row r="8" spans="2:9">
      <c r="B8" t="s">
        <v>217</v>
      </c>
      <c r="C8" s="108">
        <v>0</v>
      </c>
      <c r="E8" t="s">
        <v>136</v>
      </c>
      <c r="F8" s="107">
        <v>30</v>
      </c>
      <c r="H8" t="s">
        <v>224</v>
      </c>
      <c r="I8" s="94">
        <f xml:space="preserve"> _xlfn.RRI(F8, I4,AG58)</f>
        <v>6.7024178388785716E-2</v>
      </c>
    </row>
    <row r="9" spans="2:9">
      <c r="B9" t="s">
        <v>218</v>
      </c>
      <c r="C9" s="108">
        <v>0.05</v>
      </c>
      <c r="E9" t="s">
        <v>137</v>
      </c>
      <c r="F9" s="107">
        <v>12</v>
      </c>
    </row>
    <row r="10" spans="2:9">
      <c r="B10" t="s">
        <v>219</v>
      </c>
      <c r="C10" s="108">
        <v>0.05</v>
      </c>
      <c r="E10" t="s">
        <v>138</v>
      </c>
      <c r="F10">
        <v>360</v>
      </c>
    </row>
    <row r="11" spans="2:9">
      <c r="B11" t="s">
        <v>220</v>
      </c>
      <c r="C11" s="108">
        <v>0.33</v>
      </c>
      <c r="E11" t="s">
        <v>221</v>
      </c>
      <c r="F11" s="75">
        <f>'Mortgage Calculator_IP'!B8</f>
        <v>1432.2458863963786</v>
      </c>
    </row>
    <row r="12" spans="2:9">
      <c r="B12" t="s">
        <v>123</v>
      </c>
      <c r="C12" s="108">
        <v>0.08</v>
      </c>
      <c r="E12" t="s">
        <v>203</v>
      </c>
      <c r="F12" s="113">
        <v>0</v>
      </c>
    </row>
    <row r="13" spans="2:9">
      <c r="B13" t="s">
        <v>227</v>
      </c>
      <c r="C13" s="108">
        <v>0.01</v>
      </c>
      <c r="E13" t="s">
        <v>222</v>
      </c>
      <c r="F13" s="113">
        <f>SUM(F11:F12)</f>
        <v>1432.2458863963786</v>
      </c>
    </row>
    <row r="14" spans="2:9">
      <c r="B14" t="s">
        <v>234</v>
      </c>
      <c r="C14" s="105">
        <f>5.8%</f>
        <v>5.7999999999999996E-2</v>
      </c>
      <c r="E14" t="s">
        <v>140</v>
      </c>
      <c r="F14" s="75">
        <f>F13*F10</f>
        <v>515608.51910269633</v>
      </c>
    </row>
    <row r="15" spans="2:9">
      <c r="B15" t="s">
        <v>239</v>
      </c>
      <c r="C15" s="112">
        <v>122000</v>
      </c>
      <c r="E15" t="s">
        <v>204</v>
      </c>
      <c r="F15" s="113">
        <f>F14-F6</f>
        <v>424108.51910269633</v>
      </c>
    </row>
    <row r="16" spans="2:9">
      <c r="B16" t="s">
        <v>245</v>
      </c>
      <c r="C16" s="105">
        <v>0.09</v>
      </c>
      <c r="E16" t="s">
        <v>202</v>
      </c>
      <c r="F16" s="104">
        <v>6000</v>
      </c>
    </row>
    <row r="17" spans="2:50">
      <c r="E17" t="s">
        <v>34</v>
      </c>
      <c r="F17" s="95">
        <f>((SUM(F11:F12)*12)/F6)</f>
        <v>0.18783552608477097</v>
      </c>
    </row>
    <row r="18" spans="2:50">
      <c r="E18" t="s">
        <v>240</v>
      </c>
      <c r="F18" s="95">
        <f>C38/F4</f>
        <v>5.3493999999999993E-2</v>
      </c>
    </row>
    <row r="19" spans="2:50">
      <c r="E19" t="s">
        <v>207</v>
      </c>
      <c r="F19" s="64">
        <f>C38/F17</f>
        <v>113916.68256804184</v>
      </c>
    </row>
    <row r="22" spans="2:50">
      <c r="B22" t="s">
        <v>238</v>
      </c>
      <c r="C22" s="69">
        <v>44562</v>
      </c>
      <c r="D22" s="69">
        <v>44927</v>
      </c>
      <c r="E22" s="69">
        <v>45292</v>
      </c>
      <c r="F22" s="69">
        <v>45658</v>
      </c>
      <c r="G22" s="69">
        <v>46023</v>
      </c>
      <c r="H22" s="69">
        <v>46388</v>
      </c>
      <c r="I22" s="69">
        <v>46753</v>
      </c>
      <c r="J22" s="69">
        <v>47119</v>
      </c>
      <c r="K22" s="69">
        <v>47484</v>
      </c>
      <c r="L22" s="69">
        <v>47849</v>
      </c>
      <c r="M22" s="69">
        <v>48214</v>
      </c>
      <c r="N22" s="69">
        <v>48580</v>
      </c>
      <c r="O22" s="69">
        <v>48945</v>
      </c>
      <c r="P22" s="69">
        <v>49310</v>
      </c>
      <c r="Q22" s="69">
        <v>49675</v>
      </c>
      <c r="R22" s="69">
        <v>50041</v>
      </c>
      <c r="S22" s="69">
        <v>50406</v>
      </c>
      <c r="T22" s="69">
        <v>50771</v>
      </c>
      <c r="U22" s="69">
        <v>51136</v>
      </c>
      <c r="V22" s="69">
        <v>51502</v>
      </c>
      <c r="W22" s="69">
        <v>51867</v>
      </c>
      <c r="X22" s="69">
        <v>52232</v>
      </c>
      <c r="Y22" s="69">
        <v>52597</v>
      </c>
      <c r="Z22" s="69">
        <v>52963</v>
      </c>
      <c r="AA22" s="69">
        <v>53328</v>
      </c>
      <c r="AB22" s="69">
        <v>53693</v>
      </c>
      <c r="AC22" s="69">
        <v>54058</v>
      </c>
      <c r="AD22" s="69">
        <v>54424</v>
      </c>
      <c r="AE22" s="69">
        <v>54789</v>
      </c>
      <c r="AF22" s="69">
        <v>55154</v>
      </c>
      <c r="AG22" s="69">
        <v>55519</v>
      </c>
      <c r="AH22" s="69"/>
      <c r="AI22" s="69"/>
      <c r="AJ22" s="69"/>
      <c r="AK22" s="69"/>
      <c r="AL22" s="69"/>
      <c r="AM22" s="69"/>
      <c r="AN22" s="69"/>
    </row>
    <row r="23" spans="2:50">
      <c r="B23" s="88" t="s">
        <v>163</v>
      </c>
      <c r="C23" s="88">
        <v>0</v>
      </c>
      <c r="D23" s="88">
        <v>1</v>
      </c>
      <c r="E23" s="88">
        <v>2</v>
      </c>
      <c r="F23" s="88">
        <v>3</v>
      </c>
      <c r="G23" s="88">
        <v>4</v>
      </c>
      <c r="H23" s="88">
        <v>5</v>
      </c>
      <c r="I23" s="88">
        <v>6</v>
      </c>
      <c r="J23" s="88">
        <v>7</v>
      </c>
      <c r="K23" s="88">
        <v>8</v>
      </c>
      <c r="L23" s="88">
        <v>9</v>
      </c>
      <c r="M23" s="88">
        <v>10</v>
      </c>
      <c r="N23" s="88">
        <v>11</v>
      </c>
      <c r="O23" s="88">
        <v>12</v>
      </c>
      <c r="P23" s="88">
        <v>13</v>
      </c>
      <c r="Q23" s="88">
        <v>14</v>
      </c>
      <c r="R23" s="88">
        <v>15</v>
      </c>
      <c r="S23" s="88">
        <v>16</v>
      </c>
      <c r="T23" s="88">
        <v>17</v>
      </c>
      <c r="U23" s="88">
        <v>18</v>
      </c>
      <c r="V23" s="88">
        <v>19</v>
      </c>
      <c r="W23" s="88">
        <v>20</v>
      </c>
      <c r="X23" s="88">
        <v>21</v>
      </c>
      <c r="Y23" s="88">
        <v>22</v>
      </c>
      <c r="Z23" s="88">
        <v>23</v>
      </c>
      <c r="AA23" s="88">
        <v>24</v>
      </c>
      <c r="AB23" s="88">
        <v>25</v>
      </c>
      <c r="AC23" s="88">
        <v>26</v>
      </c>
      <c r="AD23" s="88">
        <v>27</v>
      </c>
      <c r="AE23" s="88">
        <v>28</v>
      </c>
      <c r="AF23" s="88">
        <v>29</v>
      </c>
      <c r="AG23" s="88">
        <v>30</v>
      </c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</row>
    <row r="24" spans="2:50">
      <c r="B24" t="s">
        <v>105</v>
      </c>
      <c r="C24" s="63">
        <f>C4</f>
        <v>28800</v>
      </c>
      <c r="D24" s="64">
        <f>$C24*(1+$C$6)^D$23</f>
        <v>29376</v>
      </c>
      <c r="E24" s="64">
        <f t="shared" ref="E24:AG24" si="0">$C24*(1+$C$6)^E23</f>
        <v>29963.52</v>
      </c>
      <c r="F24" s="64">
        <f t="shared" si="0"/>
        <v>30562.790399999998</v>
      </c>
      <c r="G24" s="64">
        <f t="shared" si="0"/>
        <v>31174.046208</v>
      </c>
      <c r="H24" s="64">
        <f t="shared" si="0"/>
        <v>31797.527132160001</v>
      </c>
      <c r="I24" s="64">
        <f t="shared" si="0"/>
        <v>32433.477674803202</v>
      </c>
      <c r="J24" s="64">
        <f t="shared" si="0"/>
        <v>33082.147228299262</v>
      </c>
      <c r="K24" s="64">
        <f t="shared" si="0"/>
        <v>33743.79017286525</v>
      </c>
      <c r="L24" s="64">
        <f t="shared" si="0"/>
        <v>34418.665976322554</v>
      </c>
      <c r="M24" s="64">
        <f t="shared" si="0"/>
        <v>35107.039295849005</v>
      </c>
      <c r="N24" s="64">
        <f t="shared" si="0"/>
        <v>35809.180081765975</v>
      </c>
      <c r="O24" s="64">
        <f t="shared" si="0"/>
        <v>36525.363683401301</v>
      </c>
      <c r="P24" s="64">
        <f t="shared" si="0"/>
        <v>37255.870957069325</v>
      </c>
      <c r="Q24" s="64">
        <f t="shared" si="0"/>
        <v>38000.98837621072</v>
      </c>
      <c r="R24" s="64">
        <f t="shared" si="0"/>
        <v>38761.008143734922</v>
      </c>
      <c r="S24" s="64">
        <f t="shared" si="0"/>
        <v>39536.228306609628</v>
      </c>
      <c r="T24" s="64">
        <f t="shared" si="0"/>
        <v>40326.952872741822</v>
      </c>
      <c r="U24" s="64">
        <f t="shared" si="0"/>
        <v>41133.491930196651</v>
      </c>
      <c r="V24" s="64">
        <f t="shared" si="0"/>
        <v>41956.161768800586</v>
      </c>
      <c r="W24" s="64">
        <f t="shared" si="0"/>
        <v>42795.2850041766</v>
      </c>
      <c r="X24" s="64">
        <f t="shared" si="0"/>
        <v>43651.190704260131</v>
      </c>
      <c r="Y24" s="64">
        <f t="shared" si="0"/>
        <v>44524.214518345339</v>
      </c>
      <c r="Z24" s="64">
        <f t="shared" si="0"/>
        <v>45414.698808712237</v>
      </c>
      <c r="AA24" s="64">
        <f t="shared" si="0"/>
        <v>46322.992784886483</v>
      </c>
      <c r="AB24" s="64">
        <f t="shared" si="0"/>
        <v>47249.452640584212</v>
      </c>
      <c r="AC24" s="64">
        <f t="shared" si="0"/>
        <v>48194.4416933959</v>
      </c>
      <c r="AD24" s="64">
        <f t="shared" si="0"/>
        <v>49158.33052726381</v>
      </c>
      <c r="AE24" s="64">
        <f t="shared" si="0"/>
        <v>50141.4971378091</v>
      </c>
      <c r="AF24" s="64">
        <f t="shared" si="0"/>
        <v>51144.327080565272</v>
      </c>
      <c r="AG24" s="64">
        <f t="shared" si="0"/>
        <v>52167.213622176583</v>
      </c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</row>
    <row r="25" spans="2:50">
      <c r="B25" t="s">
        <v>107</v>
      </c>
      <c r="C25" s="63">
        <f>C5</f>
        <v>0</v>
      </c>
      <c r="D25" s="64">
        <f>$C25*(1+$C$6)^D$23</f>
        <v>0</v>
      </c>
      <c r="E25" s="64">
        <f t="shared" ref="E25:AG25" si="1">$C25*(1+$C$6)^E$23</f>
        <v>0</v>
      </c>
      <c r="F25" s="64">
        <f t="shared" si="1"/>
        <v>0</v>
      </c>
      <c r="G25" s="64">
        <f t="shared" si="1"/>
        <v>0</v>
      </c>
      <c r="H25" s="64">
        <f t="shared" si="1"/>
        <v>0</v>
      </c>
      <c r="I25" s="64">
        <f t="shared" si="1"/>
        <v>0</v>
      </c>
      <c r="J25" s="64">
        <f t="shared" si="1"/>
        <v>0</v>
      </c>
      <c r="K25" s="64">
        <f t="shared" si="1"/>
        <v>0</v>
      </c>
      <c r="L25" s="64">
        <f t="shared" si="1"/>
        <v>0</v>
      </c>
      <c r="M25" s="64">
        <f t="shared" si="1"/>
        <v>0</v>
      </c>
      <c r="N25" s="64">
        <f t="shared" si="1"/>
        <v>0</v>
      </c>
      <c r="O25" s="64">
        <f t="shared" si="1"/>
        <v>0</v>
      </c>
      <c r="P25" s="64">
        <f t="shared" si="1"/>
        <v>0</v>
      </c>
      <c r="Q25" s="64">
        <f t="shared" si="1"/>
        <v>0</v>
      </c>
      <c r="R25" s="64">
        <f t="shared" si="1"/>
        <v>0</v>
      </c>
      <c r="S25" s="64">
        <f t="shared" si="1"/>
        <v>0</v>
      </c>
      <c r="T25" s="64">
        <f t="shared" si="1"/>
        <v>0</v>
      </c>
      <c r="U25" s="64">
        <f t="shared" si="1"/>
        <v>0</v>
      </c>
      <c r="V25" s="64">
        <f t="shared" si="1"/>
        <v>0</v>
      </c>
      <c r="W25" s="64">
        <f t="shared" si="1"/>
        <v>0</v>
      </c>
      <c r="X25" s="64">
        <f t="shared" si="1"/>
        <v>0</v>
      </c>
      <c r="Y25" s="64">
        <f t="shared" si="1"/>
        <v>0</v>
      </c>
      <c r="Z25" s="64">
        <f t="shared" si="1"/>
        <v>0</v>
      </c>
      <c r="AA25" s="64">
        <f t="shared" si="1"/>
        <v>0</v>
      </c>
      <c r="AB25" s="64">
        <f t="shared" si="1"/>
        <v>0</v>
      </c>
      <c r="AC25" s="64">
        <f t="shared" si="1"/>
        <v>0</v>
      </c>
      <c r="AD25" s="64">
        <f t="shared" si="1"/>
        <v>0</v>
      </c>
      <c r="AE25" s="64">
        <f t="shared" si="1"/>
        <v>0</v>
      </c>
      <c r="AF25" s="64">
        <f t="shared" si="1"/>
        <v>0</v>
      </c>
      <c r="AG25" s="64">
        <f t="shared" si="1"/>
        <v>0</v>
      </c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</row>
    <row r="26" spans="2:50">
      <c r="B26" t="s">
        <v>154</v>
      </c>
      <c r="C26" s="63">
        <f>-(C24*$C$16)</f>
        <v>-2592</v>
      </c>
      <c r="D26" s="63">
        <f t="shared" ref="D26:AG26" si="2">-(D24*$C$16)</f>
        <v>-2643.8399999999997</v>
      </c>
      <c r="E26" s="63">
        <f t="shared" si="2"/>
        <v>-2696.7168000000001</v>
      </c>
      <c r="F26" s="63">
        <f t="shared" si="2"/>
        <v>-2750.6511359999995</v>
      </c>
      <c r="G26" s="63">
        <f t="shared" si="2"/>
        <v>-2805.6641587199997</v>
      </c>
      <c r="H26" s="63">
        <f t="shared" si="2"/>
        <v>-2861.7774418944</v>
      </c>
      <c r="I26" s="63">
        <f t="shared" si="2"/>
        <v>-2919.012990732288</v>
      </c>
      <c r="J26" s="63">
        <f t="shared" si="2"/>
        <v>-2977.3932505469334</v>
      </c>
      <c r="K26" s="63">
        <f t="shared" si="2"/>
        <v>-3036.9411155578723</v>
      </c>
      <c r="L26" s="63">
        <f t="shared" si="2"/>
        <v>-3097.6799378690298</v>
      </c>
      <c r="M26" s="63">
        <f t="shared" si="2"/>
        <v>-3159.6335366264102</v>
      </c>
      <c r="N26" s="63">
        <f t="shared" si="2"/>
        <v>-3222.8262073589376</v>
      </c>
      <c r="O26" s="63">
        <f t="shared" si="2"/>
        <v>-3287.2827315061172</v>
      </c>
      <c r="P26" s="63">
        <f t="shared" si="2"/>
        <v>-3353.0283861362391</v>
      </c>
      <c r="Q26" s="63">
        <f t="shared" si="2"/>
        <v>-3420.0889538589645</v>
      </c>
      <c r="R26" s="63">
        <f t="shared" si="2"/>
        <v>-3488.4907329361426</v>
      </c>
      <c r="S26" s="63">
        <f t="shared" si="2"/>
        <v>-3558.2605475948662</v>
      </c>
      <c r="T26" s="63">
        <f t="shared" si="2"/>
        <v>-3629.425758546764</v>
      </c>
      <c r="U26" s="63">
        <f t="shared" si="2"/>
        <v>-3702.0142737176984</v>
      </c>
      <c r="V26" s="63">
        <f t="shared" si="2"/>
        <v>-3776.0545591920527</v>
      </c>
      <c r="W26" s="63">
        <f t="shared" si="2"/>
        <v>-3851.5756503758939</v>
      </c>
      <c r="X26" s="63">
        <f t="shared" si="2"/>
        <v>-3928.6071633834117</v>
      </c>
      <c r="Y26" s="63">
        <f t="shared" si="2"/>
        <v>-4007.1793066510804</v>
      </c>
      <c r="Z26" s="63">
        <f t="shared" si="2"/>
        <v>-4087.322892784101</v>
      </c>
      <c r="AA26" s="63">
        <f t="shared" si="2"/>
        <v>-4169.0693506397829</v>
      </c>
      <c r="AB26" s="63">
        <f t="shared" si="2"/>
        <v>-4252.4507376525789</v>
      </c>
      <c r="AC26" s="63">
        <f t="shared" si="2"/>
        <v>-4337.4997524056307</v>
      </c>
      <c r="AD26" s="63">
        <f t="shared" si="2"/>
        <v>-4424.2497474537431</v>
      </c>
      <c r="AE26" s="63">
        <f t="shared" si="2"/>
        <v>-4512.7347424028185</v>
      </c>
      <c r="AF26" s="63">
        <f t="shared" si="2"/>
        <v>-4602.9894372508743</v>
      </c>
      <c r="AG26" s="63">
        <f t="shared" si="2"/>
        <v>-4695.0492259958919</v>
      </c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</row>
    <row r="27" spans="2:50">
      <c r="B27" s="86" t="s">
        <v>164</v>
      </c>
      <c r="C27" s="109">
        <f>SUM(C24:C26)</f>
        <v>26208</v>
      </c>
      <c r="D27" s="109">
        <f t="shared" ref="D27:AG27" si="3">SUM(D24:D26)</f>
        <v>26732.16</v>
      </c>
      <c r="E27" s="109">
        <f t="shared" si="3"/>
        <v>27266.803200000002</v>
      </c>
      <c r="F27" s="109">
        <f t="shared" si="3"/>
        <v>27812.139263999998</v>
      </c>
      <c r="G27" s="109">
        <f t="shared" si="3"/>
        <v>28368.382049280001</v>
      </c>
      <c r="H27" s="109">
        <f t="shared" si="3"/>
        <v>28935.749690265602</v>
      </c>
      <c r="I27" s="109">
        <f t="shared" si="3"/>
        <v>29514.464684070914</v>
      </c>
      <c r="J27" s="109">
        <f t="shared" si="3"/>
        <v>30104.753977752327</v>
      </c>
      <c r="K27" s="109">
        <f t="shared" si="3"/>
        <v>30706.84905730738</v>
      </c>
      <c r="L27" s="109">
        <f t="shared" si="3"/>
        <v>31320.986038453524</v>
      </c>
      <c r="M27" s="109">
        <f t="shared" si="3"/>
        <v>31947.405759222594</v>
      </c>
      <c r="N27" s="109">
        <f t="shared" si="3"/>
        <v>32586.353874407039</v>
      </c>
      <c r="O27" s="109">
        <f t="shared" si="3"/>
        <v>33238.080951895186</v>
      </c>
      <c r="P27" s="109">
        <f t="shared" si="3"/>
        <v>33902.842570933084</v>
      </c>
      <c r="Q27" s="109">
        <f t="shared" si="3"/>
        <v>34580.899422351758</v>
      </c>
      <c r="R27" s="109">
        <f t="shared" si="3"/>
        <v>35272.517410798777</v>
      </c>
      <c r="S27" s="109">
        <f t="shared" si="3"/>
        <v>35977.967759014762</v>
      </c>
      <c r="T27" s="109">
        <f t="shared" si="3"/>
        <v>36697.527114195058</v>
      </c>
      <c r="U27" s="109">
        <f t="shared" si="3"/>
        <v>37431.47765647895</v>
      </c>
      <c r="V27" s="109">
        <f t="shared" si="3"/>
        <v>38180.107209608534</v>
      </c>
      <c r="W27" s="109">
        <f t="shared" si="3"/>
        <v>38943.709353800703</v>
      </c>
      <c r="X27" s="109">
        <f t="shared" si="3"/>
        <v>39722.583540876716</v>
      </c>
      <c r="Y27" s="109">
        <f t="shared" si="3"/>
        <v>40517.035211694259</v>
      </c>
      <c r="Z27" s="109">
        <f t="shared" si="3"/>
        <v>41327.375915928133</v>
      </c>
      <c r="AA27" s="109">
        <f t="shared" si="3"/>
        <v>42153.923434246703</v>
      </c>
      <c r="AB27" s="109">
        <f t="shared" si="3"/>
        <v>42997.001902931632</v>
      </c>
      <c r="AC27" s="109">
        <f t="shared" si="3"/>
        <v>43856.941940990269</v>
      </c>
      <c r="AD27" s="109">
        <f t="shared" si="3"/>
        <v>44734.080779810065</v>
      </c>
      <c r="AE27" s="109">
        <f t="shared" si="3"/>
        <v>45628.76239540628</v>
      </c>
      <c r="AF27" s="109">
        <f t="shared" si="3"/>
        <v>46541.3376433144</v>
      </c>
      <c r="AG27" s="109">
        <f t="shared" si="3"/>
        <v>47472.164396180691</v>
      </c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</row>
    <row r="29" spans="2:50">
      <c r="B29" s="87" t="s">
        <v>162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</row>
    <row r="30" spans="2:50">
      <c r="B30" t="s">
        <v>209</v>
      </c>
      <c r="C30" s="63">
        <f t="shared" ref="C30:AG30" si="4">C27*$C8</f>
        <v>0</v>
      </c>
      <c r="D30" s="63">
        <f t="shared" si="4"/>
        <v>0</v>
      </c>
      <c r="E30" s="63">
        <f t="shared" si="4"/>
        <v>0</v>
      </c>
      <c r="F30" s="63">
        <f t="shared" si="4"/>
        <v>0</v>
      </c>
      <c r="G30" s="63">
        <f t="shared" si="4"/>
        <v>0</v>
      </c>
      <c r="H30" s="63">
        <f t="shared" si="4"/>
        <v>0</v>
      </c>
      <c r="I30" s="63">
        <f t="shared" si="4"/>
        <v>0</v>
      </c>
      <c r="J30" s="63">
        <f t="shared" si="4"/>
        <v>0</v>
      </c>
      <c r="K30" s="63">
        <f t="shared" si="4"/>
        <v>0</v>
      </c>
      <c r="L30" s="63">
        <f t="shared" si="4"/>
        <v>0</v>
      </c>
      <c r="M30" s="63">
        <f t="shared" si="4"/>
        <v>0</v>
      </c>
      <c r="N30" s="63">
        <f t="shared" si="4"/>
        <v>0</v>
      </c>
      <c r="O30" s="63">
        <f t="shared" si="4"/>
        <v>0</v>
      </c>
      <c r="P30" s="63">
        <f t="shared" si="4"/>
        <v>0</v>
      </c>
      <c r="Q30" s="63">
        <f t="shared" si="4"/>
        <v>0</v>
      </c>
      <c r="R30" s="63">
        <f t="shared" si="4"/>
        <v>0</v>
      </c>
      <c r="S30" s="63">
        <f t="shared" si="4"/>
        <v>0</v>
      </c>
      <c r="T30" s="63">
        <f t="shared" si="4"/>
        <v>0</v>
      </c>
      <c r="U30" s="63">
        <f t="shared" si="4"/>
        <v>0</v>
      </c>
      <c r="V30" s="63">
        <f t="shared" si="4"/>
        <v>0</v>
      </c>
      <c r="W30" s="63">
        <f t="shared" si="4"/>
        <v>0</v>
      </c>
      <c r="X30" s="63">
        <f t="shared" si="4"/>
        <v>0</v>
      </c>
      <c r="Y30" s="63">
        <f t="shared" si="4"/>
        <v>0</v>
      </c>
      <c r="Z30" s="63">
        <f t="shared" si="4"/>
        <v>0</v>
      </c>
      <c r="AA30" s="63">
        <f t="shared" si="4"/>
        <v>0</v>
      </c>
      <c r="AB30" s="63">
        <f t="shared" si="4"/>
        <v>0</v>
      </c>
      <c r="AC30" s="63">
        <f t="shared" si="4"/>
        <v>0</v>
      </c>
      <c r="AD30" s="63">
        <f t="shared" si="4"/>
        <v>0</v>
      </c>
      <c r="AE30" s="63">
        <f t="shared" si="4"/>
        <v>0</v>
      </c>
      <c r="AF30" s="63">
        <f t="shared" si="4"/>
        <v>0</v>
      </c>
      <c r="AG30" s="63">
        <f t="shared" si="4"/>
        <v>0</v>
      </c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</row>
    <row r="31" spans="2:50">
      <c r="B31" t="s">
        <v>210</v>
      </c>
      <c r="C31" s="63">
        <f t="shared" ref="C31:AG31" si="5">C$27*$C9</f>
        <v>1310.4000000000001</v>
      </c>
      <c r="D31" s="63">
        <f t="shared" si="5"/>
        <v>1336.6080000000002</v>
      </c>
      <c r="E31" s="63">
        <f t="shared" si="5"/>
        <v>1363.3401600000002</v>
      </c>
      <c r="F31" s="63">
        <f t="shared" si="5"/>
        <v>1390.6069631999999</v>
      </c>
      <c r="G31" s="63">
        <f t="shared" si="5"/>
        <v>1418.4191024640002</v>
      </c>
      <c r="H31" s="63">
        <f t="shared" si="5"/>
        <v>1446.7874845132801</v>
      </c>
      <c r="I31" s="63">
        <f t="shared" si="5"/>
        <v>1475.7232342035459</v>
      </c>
      <c r="J31" s="63">
        <f t="shared" si="5"/>
        <v>1505.2376988876165</v>
      </c>
      <c r="K31" s="63">
        <f t="shared" si="5"/>
        <v>1535.3424528653691</v>
      </c>
      <c r="L31" s="63">
        <f t="shared" si="5"/>
        <v>1566.0493019226762</v>
      </c>
      <c r="M31" s="63">
        <f t="shared" si="5"/>
        <v>1597.3702879611299</v>
      </c>
      <c r="N31" s="63">
        <f t="shared" si="5"/>
        <v>1629.3176937203521</v>
      </c>
      <c r="O31" s="63">
        <f t="shared" si="5"/>
        <v>1661.9040475947595</v>
      </c>
      <c r="P31" s="63">
        <f t="shared" si="5"/>
        <v>1695.1421285466542</v>
      </c>
      <c r="Q31" s="63">
        <f t="shared" si="5"/>
        <v>1729.0449711175879</v>
      </c>
      <c r="R31" s="63">
        <f t="shared" si="5"/>
        <v>1763.6258705399389</v>
      </c>
      <c r="S31" s="63">
        <f t="shared" si="5"/>
        <v>1798.8983879507382</v>
      </c>
      <c r="T31" s="63">
        <f t="shared" si="5"/>
        <v>1834.8763557097529</v>
      </c>
      <c r="U31" s="63">
        <f t="shared" si="5"/>
        <v>1871.5738828239475</v>
      </c>
      <c r="V31" s="63">
        <f t="shared" si="5"/>
        <v>1909.0053604804268</v>
      </c>
      <c r="W31" s="63">
        <f t="shared" si="5"/>
        <v>1947.1854676900352</v>
      </c>
      <c r="X31" s="63">
        <f t="shared" si="5"/>
        <v>1986.1291770438359</v>
      </c>
      <c r="Y31" s="63">
        <f t="shared" si="5"/>
        <v>2025.851760584713</v>
      </c>
      <c r="Z31" s="63">
        <f t="shared" si="5"/>
        <v>2066.3687957964066</v>
      </c>
      <c r="AA31" s="63">
        <f t="shared" si="5"/>
        <v>2107.6961717123354</v>
      </c>
      <c r="AB31" s="63">
        <f t="shared" si="5"/>
        <v>2149.8500951465817</v>
      </c>
      <c r="AC31" s="63">
        <f t="shared" si="5"/>
        <v>2192.8470970495136</v>
      </c>
      <c r="AD31" s="63">
        <f t="shared" si="5"/>
        <v>2236.7040389905032</v>
      </c>
      <c r="AE31" s="63">
        <f t="shared" si="5"/>
        <v>2281.4381197703142</v>
      </c>
      <c r="AF31" s="63">
        <f t="shared" si="5"/>
        <v>2327.06688216572</v>
      </c>
      <c r="AG31" s="63">
        <f t="shared" si="5"/>
        <v>2373.6082198090348</v>
      </c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</row>
    <row r="32" spans="2:50">
      <c r="B32" t="s">
        <v>211</v>
      </c>
      <c r="C32" s="63">
        <v>800</v>
      </c>
      <c r="D32" s="63">
        <f t="shared" ref="D32:M35" si="6">$C32*(1+$C$7)^D$23</f>
        <v>808</v>
      </c>
      <c r="E32" s="63">
        <f t="shared" si="6"/>
        <v>816.08</v>
      </c>
      <c r="F32" s="63">
        <f t="shared" si="6"/>
        <v>824.24079999999992</v>
      </c>
      <c r="G32" s="63">
        <f t="shared" si="6"/>
        <v>832.48320799999999</v>
      </c>
      <c r="H32" s="63">
        <f t="shared" si="6"/>
        <v>840.80804007999996</v>
      </c>
      <c r="I32" s="63">
        <f t="shared" si="6"/>
        <v>849.2161204808001</v>
      </c>
      <c r="J32" s="63">
        <f t="shared" si="6"/>
        <v>857.70828168560786</v>
      </c>
      <c r="K32" s="63">
        <f t="shared" si="6"/>
        <v>866.28536450246418</v>
      </c>
      <c r="L32" s="63">
        <f t="shared" si="6"/>
        <v>874.94821814748889</v>
      </c>
      <c r="M32" s="63">
        <f t="shared" si="6"/>
        <v>883.69770032896383</v>
      </c>
      <c r="N32" s="63">
        <f t="shared" ref="N32:W35" si="7">$C32*(1+$C$7)^N$23</f>
        <v>892.5346773322533</v>
      </c>
      <c r="O32" s="63">
        <f t="shared" si="7"/>
        <v>901.46002410557583</v>
      </c>
      <c r="P32" s="63">
        <f t="shared" si="7"/>
        <v>910.47462434663157</v>
      </c>
      <c r="Q32" s="63">
        <f t="shared" si="7"/>
        <v>919.57937059009805</v>
      </c>
      <c r="R32" s="63">
        <f t="shared" si="7"/>
        <v>928.77516429599871</v>
      </c>
      <c r="S32" s="63">
        <f t="shared" si="7"/>
        <v>938.06291593895901</v>
      </c>
      <c r="T32" s="63">
        <f t="shared" si="7"/>
        <v>947.44354509834864</v>
      </c>
      <c r="U32" s="63">
        <f t="shared" si="7"/>
        <v>956.91798054933224</v>
      </c>
      <c r="V32" s="63">
        <f t="shared" si="7"/>
        <v>966.48716035482528</v>
      </c>
      <c r="W32" s="63">
        <f t="shared" si="7"/>
        <v>976.15203195837364</v>
      </c>
      <c r="X32" s="63">
        <f t="shared" ref="X32:AG35" si="8">$C32*(1+$C$7)^X$23</f>
        <v>985.91355227795725</v>
      </c>
      <c r="Y32" s="63">
        <f t="shared" si="8"/>
        <v>995.77268780073712</v>
      </c>
      <c r="Z32" s="63">
        <f t="shared" si="8"/>
        <v>1005.7304146787443</v>
      </c>
      <c r="AA32" s="63">
        <f t="shared" si="8"/>
        <v>1015.787718825532</v>
      </c>
      <c r="AB32" s="63">
        <f t="shared" si="8"/>
        <v>1025.9455960137875</v>
      </c>
      <c r="AC32" s="63">
        <f t="shared" si="8"/>
        <v>1036.2050519739253</v>
      </c>
      <c r="AD32" s="63">
        <f t="shared" si="8"/>
        <v>1046.5671024936642</v>
      </c>
      <c r="AE32" s="63">
        <f t="shared" si="8"/>
        <v>1057.0327735186008</v>
      </c>
      <c r="AF32" s="63">
        <f t="shared" si="8"/>
        <v>1067.6031012537869</v>
      </c>
      <c r="AG32" s="63">
        <f t="shared" si="8"/>
        <v>1078.279132266325</v>
      </c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</row>
    <row r="33" spans="2:50">
      <c r="B33" t="s">
        <v>212</v>
      </c>
      <c r="C33" s="63">
        <v>0</v>
      </c>
      <c r="D33" s="63">
        <f t="shared" si="6"/>
        <v>0</v>
      </c>
      <c r="E33" s="63">
        <f t="shared" si="6"/>
        <v>0</v>
      </c>
      <c r="F33" s="63">
        <f t="shared" si="6"/>
        <v>0</v>
      </c>
      <c r="G33" s="63">
        <f t="shared" si="6"/>
        <v>0</v>
      </c>
      <c r="H33" s="63">
        <f t="shared" si="6"/>
        <v>0</v>
      </c>
      <c r="I33" s="63">
        <f t="shared" si="6"/>
        <v>0</v>
      </c>
      <c r="J33" s="63">
        <f t="shared" si="6"/>
        <v>0</v>
      </c>
      <c r="K33" s="63">
        <f t="shared" si="6"/>
        <v>0</v>
      </c>
      <c r="L33" s="63">
        <f t="shared" si="6"/>
        <v>0</v>
      </c>
      <c r="M33" s="63">
        <f t="shared" si="6"/>
        <v>0</v>
      </c>
      <c r="N33" s="63">
        <f t="shared" si="7"/>
        <v>0</v>
      </c>
      <c r="O33" s="63">
        <f t="shared" si="7"/>
        <v>0</v>
      </c>
      <c r="P33" s="63">
        <f t="shared" si="7"/>
        <v>0</v>
      </c>
      <c r="Q33" s="63">
        <f t="shared" si="7"/>
        <v>0</v>
      </c>
      <c r="R33" s="63">
        <f t="shared" si="7"/>
        <v>0</v>
      </c>
      <c r="S33" s="63">
        <f t="shared" si="7"/>
        <v>0</v>
      </c>
      <c r="T33" s="63">
        <f t="shared" si="7"/>
        <v>0</v>
      </c>
      <c r="U33" s="63">
        <f t="shared" si="7"/>
        <v>0</v>
      </c>
      <c r="V33" s="63">
        <f t="shared" si="7"/>
        <v>0</v>
      </c>
      <c r="W33" s="63">
        <f t="shared" si="7"/>
        <v>0</v>
      </c>
      <c r="X33" s="63">
        <f t="shared" si="8"/>
        <v>0</v>
      </c>
      <c r="Y33" s="63">
        <f t="shared" si="8"/>
        <v>0</v>
      </c>
      <c r="Z33" s="63">
        <f t="shared" si="8"/>
        <v>0</v>
      </c>
      <c r="AA33" s="63">
        <f t="shared" si="8"/>
        <v>0</v>
      </c>
      <c r="AB33" s="63">
        <f t="shared" si="8"/>
        <v>0</v>
      </c>
      <c r="AC33" s="63">
        <f t="shared" si="8"/>
        <v>0</v>
      </c>
      <c r="AD33" s="63">
        <f t="shared" si="8"/>
        <v>0</v>
      </c>
      <c r="AE33" s="63">
        <f t="shared" si="8"/>
        <v>0</v>
      </c>
      <c r="AF33" s="63">
        <f t="shared" si="8"/>
        <v>0</v>
      </c>
      <c r="AG33" s="63">
        <f t="shared" si="8"/>
        <v>0</v>
      </c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</row>
    <row r="34" spans="2:50">
      <c r="B34" t="s">
        <v>216</v>
      </c>
      <c r="C34" s="63">
        <v>1500</v>
      </c>
      <c r="D34" s="63">
        <f t="shared" si="6"/>
        <v>1515</v>
      </c>
      <c r="E34" s="63">
        <f t="shared" si="6"/>
        <v>1530.15</v>
      </c>
      <c r="F34" s="63">
        <f t="shared" si="6"/>
        <v>1545.4514999999999</v>
      </c>
      <c r="G34" s="63">
        <f t="shared" si="6"/>
        <v>1560.906015</v>
      </c>
      <c r="H34" s="63">
        <f t="shared" si="6"/>
        <v>1576.5150751499998</v>
      </c>
      <c r="I34" s="63">
        <f t="shared" si="6"/>
        <v>1592.2802259015002</v>
      </c>
      <c r="J34" s="63">
        <f t="shared" si="6"/>
        <v>1608.2030281605148</v>
      </c>
      <c r="K34" s="63">
        <f t="shared" si="6"/>
        <v>1624.2850584421203</v>
      </c>
      <c r="L34" s="63">
        <f t="shared" si="6"/>
        <v>1640.5279090265417</v>
      </c>
      <c r="M34" s="63">
        <f t="shared" si="6"/>
        <v>1656.9331881168071</v>
      </c>
      <c r="N34" s="63">
        <f t="shared" si="7"/>
        <v>1673.5025199979748</v>
      </c>
      <c r="O34" s="63">
        <f t="shared" si="7"/>
        <v>1690.2375451979547</v>
      </c>
      <c r="P34" s="63">
        <f t="shared" si="7"/>
        <v>1707.1399206499343</v>
      </c>
      <c r="Q34" s="63">
        <f t="shared" si="7"/>
        <v>1724.2113198564339</v>
      </c>
      <c r="R34" s="63">
        <f t="shared" si="7"/>
        <v>1741.4534330549977</v>
      </c>
      <c r="S34" s="63">
        <f t="shared" si="7"/>
        <v>1758.8679673855481</v>
      </c>
      <c r="T34" s="63">
        <f t="shared" si="7"/>
        <v>1776.4566470594038</v>
      </c>
      <c r="U34" s="63">
        <f t="shared" si="7"/>
        <v>1794.2212135299978</v>
      </c>
      <c r="V34" s="63">
        <f t="shared" si="7"/>
        <v>1812.1634256652974</v>
      </c>
      <c r="W34" s="63">
        <f t="shared" si="7"/>
        <v>1830.2850599219505</v>
      </c>
      <c r="X34" s="63">
        <f t="shared" si="8"/>
        <v>1848.58791052117</v>
      </c>
      <c r="Y34" s="63">
        <f t="shared" si="8"/>
        <v>1867.073789626382</v>
      </c>
      <c r="Z34" s="63">
        <f t="shared" si="8"/>
        <v>1885.7445275226455</v>
      </c>
      <c r="AA34" s="63">
        <f t="shared" si="8"/>
        <v>1904.6019727978726</v>
      </c>
      <c r="AB34" s="63">
        <f t="shared" si="8"/>
        <v>1923.6479925258514</v>
      </c>
      <c r="AC34" s="63">
        <f t="shared" si="8"/>
        <v>1942.8844724511098</v>
      </c>
      <c r="AD34" s="63">
        <f t="shared" si="8"/>
        <v>1962.3133171756203</v>
      </c>
      <c r="AE34" s="63">
        <f t="shared" si="8"/>
        <v>1981.9364503473766</v>
      </c>
      <c r="AF34" s="63">
        <f t="shared" si="8"/>
        <v>2001.7558148508506</v>
      </c>
      <c r="AG34" s="63">
        <f t="shared" si="8"/>
        <v>2021.7733729993595</v>
      </c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</row>
    <row r="35" spans="2:50">
      <c r="B35" t="s">
        <v>98</v>
      </c>
      <c r="C35" s="63">
        <v>1200</v>
      </c>
      <c r="D35" s="63">
        <f t="shared" si="6"/>
        <v>1212</v>
      </c>
      <c r="E35" s="63">
        <f t="shared" si="6"/>
        <v>1224.1200000000001</v>
      </c>
      <c r="F35" s="63">
        <f t="shared" si="6"/>
        <v>1236.3611999999998</v>
      </c>
      <c r="G35" s="63">
        <f t="shared" si="6"/>
        <v>1248.7248119999999</v>
      </c>
      <c r="H35" s="63">
        <f t="shared" si="6"/>
        <v>1261.2120601199999</v>
      </c>
      <c r="I35" s="63">
        <f t="shared" si="6"/>
        <v>1273.8241807212003</v>
      </c>
      <c r="J35" s="63">
        <f t="shared" si="6"/>
        <v>1286.5624225284118</v>
      </c>
      <c r="K35" s="63">
        <f t="shared" si="6"/>
        <v>1299.4280467536962</v>
      </c>
      <c r="L35" s="63">
        <f t="shared" si="6"/>
        <v>1312.4223272212334</v>
      </c>
      <c r="M35" s="63">
        <f t="shared" si="6"/>
        <v>1325.5465504934457</v>
      </c>
      <c r="N35" s="63">
        <f t="shared" si="7"/>
        <v>1338.8020159983798</v>
      </c>
      <c r="O35" s="63">
        <f t="shared" si="7"/>
        <v>1352.1900361583637</v>
      </c>
      <c r="P35" s="63">
        <f t="shared" si="7"/>
        <v>1365.7119365199474</v>
      </c>
      <c r="Q35" s="63">
        <f t="shared" si="7"/>
        <v>1379.369055885147</v>
      </c>
      <c r="R35" s="63">
        <f t="shared" si="7"/>
        <v>1393.1627464439982</v>
      </c>
      <c r="S35" s="63">
        <f t="shared" si="7"/>
        <v>1407.0943739084385</v>
      </c>
      <c r="T35" s="63">
        <f t="shared" si="7"/>
        <v>1421.1653176475229</v>
      </c>
      <c r="U35" s="63">
        <f t="shared" si="7"/>
        <v>1435.3769708239984</v>
      </c>
      <c r="V35" s="63">
        <f t="shared" si="7"/>
        <v>1449.7307405322379</v>
      </c>
      <c r="W35" s="63">
        <f t="shared" si="7"/>
        <v>1464.2280479375604</v>
      </c>
      <c r="X35" s="63">
        <f t="shared" si="8"/>
        <v>1478.870328416936</v>
      </c>
      <c r="Y35" s="63">
        <f t="shared" si="8"/>
        <v>1493.6590317011057</v>
      </c>
      <c r="Z35" s="63">
        <f t="shared" si="8"/>
        <v>1508.5956220181165</v>
      </c>
      <c r="AA35" s="63">
        <f t="shared" si="8"/>
        <v>1523.681578238298</v>
      </c>
      <c r="AB35" s="63">
        <f t="shared" si="8"/>
        <v>1538.918394020681</v>
      </c>
      <c r="AC35" s="63">
        <f t="shared" si="8"/>
        <v>1554.3075779608878</v>
      </c>
      <c r="AD35" s="63">
        <f t="shared" si="8"/>
        <v>1569.8506537404962</v>
      </c>
      <c r="AE35" s="63">
        <f t="shared" si="8"/>
        <v>1585.5491602779014</v>
      </c>
      <c r="AF35" s="63">
        <f t="shared" si="8"/>
        <v>1601.4046518806804</v>
      </c>
      <c r="AG35" s="63">
        <f t="shared" si="8"/>
        <v>1617.4186983994875</v>
      </c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</row>
    <row r="36" spans="2:50">
      <c r="B36" s="86" t="s">
        <v>155</v>
      </c>
      <c r="C36" s="101">
        <f t="shared" ref="C36:AG36" si="9">SUM(C30:C35)</f>
        <v>4810.3999999999996</v>
      </c>
      <c r="D36" s="101">
        <f t="shared" si="9"/>
        <v>4871.6080000000002</v>
      </c>
      <c r="E36" s="101">
        <f t="shared" si="9"/>
        <v>4933.6901600000001</v>
      </c>
      <c r="F36" s="101">
        <f t="shared" si="9"/>
        <v>4996.6604631999999</v>
      </c>
      <c r="G36" s="101">
        <f t="shared" si="9"/>
        <v>5060.533137464</v>
      </c>
      <c r="H36" s="101">
        <f t="shared" si="9"/>
        <v>5125.3226598632791</v>
      </c>
      <c r="I36" s="101">
        <f t="shared" si="9"/>
        <v>5191.0437613070462</v>
      </c>
      <c r="J36" s="101">
        <f t="shared" si="9"/>
        <v>5257.7114312621507</v>
      </c>
      <c r="K36" s="101">
        <f t="shared" si="9"/>
        <v>5325.3409225636497</v>
      </c>
      <c r="L36" s="101">
        <f t="shared" si="9"/>
        <v>5393.9477563179407</v>
      </c>
      <c r="M36" s="101">
        <f t="shared" si="9"/>
        <v>5463.5477269003459</v>
      </c>
      <c r="N36" s="101">
        <f t="shared" si="9"/>
        <v>5534.1569070489595</v>
      </c>
      <c r="O36" s="101">
        <f t="shared" si="9"/>
        <v>5605.7916530566536</v>
      </c>
      <c r="P36" s="101">
        <f t="shared" si="9"/>
        <v>5678.4686100631679</v>
      </c>
      <c r="Q36" s="101">
        <f t="shared" si="9"/>
        <v>5752.2047174492664</v>
      </c>
      <c r="R36" s="101">
        <f t="shared" si="9"/>
        <v>5827.0172143349328</v>
      </c>
      <c r="S36" s="101">
        <f t="shared" si="9"/>
        <v>5902.9236451836841</v>
      </c>
      <c r="T36" s="101">
        <f t="shared" si="9"/>
        <v>5979.9418655150284</v>
      </c>
      <c r="U36" s="101">
        <f t="shared" si="9"/>
        <v>6058.0900477272753</v>
      </c>
      <c r="V36" s="101">
        <f t="shared" si="9"/>
        <v>6137.3866870327874</v>
      </c>
      <c r="W36" s="101">
        <f t="shared" si="9"/>
        <v>6217.8506075079204</v>
      </c>
      <c r="X36" s="101">
        <f t="shared" si="9"/>
        <v>6299.5009682598993</v>
      </c>
      <c r="Y36" s="101">
        <f t="shared" si="9"/>
        <v>6382.3572697129384</v>
      </c>
      <c r="Z36" s="101">
        <f t="shared" si="9"/>
        <v>6466.4393600159128</v>
      </c>
      <c r="AA36" s="101">
        <f t="shared" si="9"/>
        <v>6551.7674415740385</v>
      </c>
      <c r="AB36" s="101">
        <f t="shared" si="9"/>
        <v>6638.3620777069018</v>
      </c>
      <c r="AC36" s="101">
        <f t="shared" si="9"/>
        <v>6726.2441994354367</v>
      </c>
      <c r="AD36" s="101">
        <f t="shared" si="9"/>
        <v>6815.4351124002842</v>
      </c>
      <c r="AE36" s="101">
        <f t="shared" si="9"/>
        <v>6905.9565039141935</v>
      </c>
      <c r="AF36" s="101">
        <f t="shared" si="9"/>
        <v>6997.8304501510374</v>
      </c>
      <c r="AG36" s="101">
        <f t="shared" si="9"/>
        <v>7091.079423474207</v>
      </c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</row>
    <row r="38" spans="2:50">
      <c r="B38" s="86" t="s">
        <v>156</v>
      </c>
      <c r="C38" s="109">
        <f t="shared" ref="C38:AG38" si="10">C27-C36</f>
        <v>21397.599999999999</v>
      </c>
      <c r="D38" s="109">
        <f t="shared" si="10"/>
        <v>21860.552</v>
      </c>
      <c r="E38" s="109">
        <f t="shared" si="10"/>
        <v>22333.113040000004</v>
      </c>
      <c r="F38" s="109">
        <f t="shared" si="10"/>
        <v>22815.478800799996</v>
      </c>
      <c r="G38" s="109">
        <f t="shared" si="10"/>
        <v>23307.848911816</v>
      </c>
      <c r="H38" s="109">
        <f t="shared" si="10"/>
        <v>23810.427030402323</v>
      </c>
      <c r="I38" s="109">
        <f t="shared" si="10"/>
        <v>24323.420922763868</v>
      </c>
      <c r="J38" s="109">
        <f t="shared" si="10"/>
        <v>24847.042546490178</v>
      </c>
      <c r="K38" s="109">
        <f t="shared" si="10"/>
        <v>25381.50813474373</v>
      </c>
      <c r="L38" s="109">
        <f t="shared" si="10"/>
        <v>25927.038282135582</v>
      </c>
      <c r="M38" s="109">
        <f t="shared" si="10"/>
        <v>26483.858032322249</v>
      </c>
      <c r="N38" s="109">
        <f t="shared" si="10"/>
        <v>27052.196967358079</v>
      </c>
      <c r="O38" s="109">
        <f t="shared" si="10"/>
        <v>27632.289298838532</v>
      </c>
      <c r="P38" s="109">
        <f t="shared" si="10"/>
        <v>28224.373960869918</v>
      </c>
      <c r="Q38" s="109">
        <f t="shared" si="10"/>
        <v>28828.694704902493</v>
      </c>
      <c r="R38" s="109">
        <f t="shared" si="10"/>
        <v>29445.500196463843</v>
      </c>
      <c r="S38" s="109">
        <f t="shared" si="10"/>
        <v>30075.044113831078</v>
      </c>
      <c r="T38" s="109">
        <f t="shared" si="10"/>
        <v>30717.585248680029</v>
      </c>
      <c r="U38" s="109">
        <f t="shared" si="10"/>
        <v>31373.387608751676</v>
      </c>
      <c r="V38" s="109">
        <f t="shared" si="10"/>
        <v>32042.720522575746</v>
      </c>
      <c r="W38" s="109">
        <f t="shared" si="10"/>
        <v>32725.858746292783</v>
      </c>
      <c r="X38" s="109">
        <f t="shared" si="10"/>
        <v>33423.082572616819</v>
      </c>
      <c r="Y38" s="109">
        <f t="shared" si="10"/>
        <v>34134.677941981325</v>
      </c>
      <c r="Z38" s="109">
        <f t="shared" si="10"/>
        <v>34860.936555912223</v>
      </c>
      <c r="AA38" s="109">
        <f t="shared" si="10"/>
        <v>35602.155992672662</v>
      </c>
      <c r="AB38" s="109">
        <f t="shared" si="10"/>
        <v>36358.639825224731</v>
      </c>
      <c r="AC38" s="109">
        <f t="shared" si="10"/>
        <v>37130.697741554832</v>
      </c>
      <c r="AD38" s="109">
        <f t="shared" si="10"/>
        <v>37918.645667409779</v>
      </c>
      <c r="AE38" s="109">
        <f t="shared" si="10"/>
        <v>38722.805891492084</v>
      </c>
      <c r="AF38" s="109">
        <f t="shared" si="10"/>
        <v>39543.507193163365</v>
      </c>
      <c r="AG38" s="109">
        <f t="shared" si="10"/>
        <v>40381.084972706485</v>
      </c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</row>
    <row r="39" spans="2:50"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</row>
    <row r="40" spans="2:50">
      <c r="B40" t="s">
        <v>236</v>
      </c>
      <c r="C40" s="75">
        <f>(F4*F5)+F16</f>
        <v>106000</v>
      </c>
    </row>
    <row r="41" spans="2:50" ht="13.05" customHeight="1">
      <c r="B41" t="s">
        <v>157</v>
      </c>
      <c r="C41" s="63">
        <f>($F$13*$F$9)</f>
        <v>17186.950636756545</v>
      </c>
      <c r="D41" s="63">
        <f t="shared" ref="D41:AG41" si="11">($F$13*$F$9)</f>
        <v>17186.950636756545</v>
      </c>
      <c r="E41" s="63">
        <f t="shared" si="11"/>
        <v>17186.950636756545</v>
      </c>
      <c r="F41" s="63">
        <f t="shared" si="11"/>
        <v>17186.950636756545</v>
      </c>
      <c r="G41" s="63">
        <f t="shared" si="11"/>
        <v>17186.950636756545</v>
      </c>
      <c r="H41" s="63">
        <f t="shared" si="11"/>
        <v>17186.950636756545</v>
      </c>
      <c r="I41" s="63">
        <f t="shared" si="11"/>
        <v>17186.950636756545</v>
      </c>
      <c r="J41" s="63">
        <f t="shared" si="11"/>
        <v>17186.950636756545</v>
      </c>
      <c r="K41" s="63">
        <f t="shared" si="11"/>
        <v>17186.950636756545</v>
      </c>
      <c r="L41" s="63">
        <f t="shared" si="11"/>
        <v>17186.950636756545</v>
      </c>
      <c r="M41" s="63">
        <f t="shared" si="11"/>
        <v>17186.950636756545</v>
      </c>
      <c r="N41" s="63">
        <f t="shared" si="11"/>
        <v>17186.950636756545</v>
      </c>
      <c r="O41" s="63">
        <f t="shared" si="11"/>
        <v>17186.950636756545</v>
      </c>
      <c r="P41" s="63">
        <f t="shared" si="11"/>
        <v>17186.950636756545</v>
      </c>
      <c r="Q41" s="63">
        <f t="shared" si="11"/>
        <v>17186.950636756545</v>
      </c>
      <c r="R41" s="63">
        <f t="shared" si="11"/>
        <v>17186.950636756545</v>
      </c>
      <c r="S41" s="63">
        <f t="shared" si="11"/>
        <v>17186.950636756545</v>
      </c>
      <c r="T41" s="63">
        <f t="shared" si="11"/>
        <v>17186.950636756545</v>
      </c>
      <c r="U41" s="63">
        <f t="shared" si="11"/>
        <v>17186.950636756545</v>
      </c>
      <c r="V41" s="63">
        <f t="shared" si="11"/>
        <v>17186.950636756545</v>
      </c>
      <c r="W41" s="63">
        <f t="shared" si="11"/>
        <v>17186.950636756545</v>
      </c>
      <c r="X41" s="63">
        <f t="shared" si="11"/>
        <v>17186.950636756545</v>
      </c>
      <c r="Y41" s="63">
        <f t="shared" si="11"/>
        <v>17186.950636756545</v>
      </c>
      <c r="Z41" s="63">
        <f t="shared" si="11"/>
        <v>17186.950636756545</v>
      </c>
      <c r="AA41" s="63">
        <f t="shared" si="11"/>
        <v>17186.950636756545</v>
      </c>
      <c r="AB41" s="63">
        <f t="shared" si="11"/>
        <v>17186.950636756545</v>
      </c>
      <c r="AC41" s="63">
        <f t="shared" si="11"/>
        <v>17186.950636756545</v>
      </c>
      <c r="AD41" s="63">
        <f t="shared" si="11"/>
        <v>17186.950636756545</v>
      </c>
      <c r="AE41" s="63">
        <f t="shared" si="11"/>
        <v>17186.950636756545</v>
      </c>
      <c r="AF41" s="63">
        <f t="shared" si="11"/>
        <v>17186.950636756545</v>
      </c>
      <c r="AG41" s="63">
        <f t="shared" si="11"/>
        <v>17186.950636756545</v>
      </c>
    </row>
    <row r="42" spans="2:50">
      <c r="B42" t="s">
        <v>158</v>
      </c>
      <c r="C42" s="63">
        <f t="shared" ref="C42:AG42" si="12">C27*$C10</f>
        <v>1310.4000000000001</v>
      </c>
      <c r="D42" s="63">
        <f t="shared" si="12"/>
        <v>1336.6080000000002</v>
      </c>
      <c r="E42" s="63">
        <f t="shared" si="12"/>
        <v>1363.3401600000002</v>
      </c>
      <c r="F42" s="63">
        <f t="shared" si="12"/>
        <v>1390.6069631999999</v>
      </c>
      <c r="G42" s="63">
        <f t="shared" si="12"/>
        <v>1418.4191024640002</v>
      </c>
      <c r="H42" s="63">
        <f t="shared" si="12"/>
        <v>1446.7874845132801</v>
      </c>
      <c r="I42" s="63">
        <f t="shared" si="12"/>
        <v>1475.7232342035459</v>
      </c>
      <c r="J42" s="63">
        <f t="shared" si="12"/>
        <v>1505.2376988876165</v>
      </c>
      <c r="K42" s="63">
        <f t="shared" si="12"/>
        <v>1535.3424528653691</v>
      </c>
      <c r="L42" s="63">
        <f t="shared" si="12"/>
        <v>1566.0493019226762</v>
      </c>
      <c r="M42" s="63">
        <f t="shared" si="12"/>
        <v>1597.3702879611299</v>
      </c>
      <c r="N42" s="63">
        <f t="shared" si="12"/>
        <v>1629.3176937203521</v>
      </c>
      <c r="O42" s="63">
        <f t="shared" si="12"/>
        <v>1661.9040475947595</v>
      </c>
      <c r="P42" s="63">
        <f t="shared" si="12"/>
        <v>1695.1421285466542</v>
      </c>
      <c r="Q42" s="63">
        <f t="shared" si="12"/>
        <v>1729.0449711175879</v>
      </c>
      <c r="R42" s="63">
        <f t="shared" si="12"/>
        <v>1763.6258705399389</v>
      </c>
      <c r="S42" s="63">
        <f t="shared" si="12"/>
        <v>1798.8983879507382</v>
      </c>
      <c r="T42" s="63">
        <f t="shared" si="12"/>
        <v>1834.8763557097529</v>
      </c>
      <c r="U42" s="63">
        <f t="shared" si="12"/>
        <v>1871.5738828239475</v>
      </c>
      <c r="V42" s="63">
        <f t="shared" si="12"/>
        <v>1909.0053604804268</v>
      </c>
      <c r="W42" s="63">
        <f t="shared" si="12"/>
        <v>1947.1854676900352</v>
      </c>
      <c r="X42" s="63">
        <f t="shared" si="12"/>
        <v>1986.1291770438359</v>
      </c>
      <c r="Y42" s="63">
        <f t="shared" si="12"/>
        <v>2025.851760584713</v>
      </c>
      <c r="Z42" s="63">
        <f t="shared" si="12"/>
        <v>2066.3687957964066</v>
      </c>
      <c r="AA42" s="63">
        <f t="shared" si="12"/>
        <v>2107.6961717123354</v>
      </c>
      <c r="AB42" s="63">
        <f t="shared" si="12"/>
        <v>2149.8500951465817</v>
      </c>
      <c r="AC42" s="63">
        <f t="shared" si="12"/>
        <v>2192.8470970495136</v>
      </c>
      <c r="AD42" s="63">
        <f t="shared" si="12"/>
        <v>2236.7040389905032</v>
      </c>
      <c r="AE42" s="63">
        <f t="shared" si="12"/>
        <v>2281.4381197703142</v>
      </c>
      <c r="AF42" s="63">
        <f t="shared" si="12"/>
        <v>2327.06688216572</v>
      </c>
      <c r="AG42" s="63">
        <f t="shared" si="12"/>
        <v>2373.6082198090348</v>
      </c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</row>
    <row r="43" spans="2:50"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</row>
    <row r="44" spans="2:50">
      <c r="B44" s="102" t="s">
        <v>159</v>
      </c>
      <c r="C44" s="110">
        <f>C38-SUM(C40:C42)</f>
        <v>-103099.75063675654</v>
      </c>
      <c r="D44" s="110">
        <f t="shared" ref="D44:AG44" si="13">D38-SUM(D40:D42)</f>
        <v>3336.993363243455</v>
      </c>
      <c r="E44" s="110">
        <f t="shared" si="13"/>
        <v>3782.8222432434595</v>
      </c>
      <c r="F44" s="110">
        <f t="shared" si="13"/>
        <v>4237.9212008434515</v>
      </c>
      <c r="G44" s="110">
        <f t="shared" si="13"/>
        <v>4702.4791725954565</v>
      </c>
      <c r="H44" s="110">
        <f t="shared" si="13"/>
        <v>5176.6889091324992</v>
      </c>
      <c r="I44" s="110">
        <f t="shared" si="13"/>
        <v>5660.7470518037771</v>
      </c>
      <c r="J44" s="110">
        <f t="shared" si="13"/>
        <v>6154.8542108460169</v>
      </c>
      <c r="K44" s="110">
        <f t="shared" si="13"/>
        <v>6659.2150451218149</v>
      </c>
      <c r="L44" s="110">
        <f t="shared" si="13"/>
        <v>7174.0383434563591</v>
      </c>
      <c r="M44" s="110">
        <f t="shared" si="13"/>
        <v>7699.537107604574</v>
      </c>
      <c r="N44" s="110">
        <f t="shared" si="13"/>
        <v>8235.9286368811809</v>
      </c>
      <c r="O44" s="110">
        <f t="shared" si="13"/>
        <v>8783.4346144872288</v>
      </c>
      <c r="P44" s="110">
        <f t="shared" si="13"/>
        <v>9342.2811955667203</v>
      </c>
      <c r="Q44" s="110">
        <f t="shared" si="13"/>
        <v>9912.6990970283623</v>
      </c>
      <c r="R44" s="110">
        <f t="shared" si="13"/>
        <v>10494.923689167361</v>
      </c>
      <c r="S44" s="110">
        <f t="shared" si="13"/>
        <v>11089.195089123794</v>
      </c>
      <c r="T44" s="110">
        <f t="shared" si="13"/>
        <v>11695.758256213732</v>
      </c>
      <c r="U44" s="110">
        <f t="shared" si="13"/>
        <v>12314.863089171184</v>
      </c>
      <c r="V44" s="110">
        <f t="shared" si="13"/>
        <v>12946.764525338775</v>
      </c>
      <c r="W44" s="110">
        <f t="shared" si="13"/>
        <v>13591.722641846201</v>
      </c>
      <c r="X44" s="110">
        <f t="shared" si="13"/>
        <v>14250.002758816438</v>
      </c>
      <c r="Y44" s="110">
        <f t="shared" si="13"/>
        <v>14921.875544640068</v>
      </c>
      <c r="Z44" s="110">
        <f t="shared" si="13"/>
        <v>15607.617123359272</v>
      </c>
      <c r="AA44" s="110">
        <f t="shared" si="13"/>
        <v>16307.509184203784</v>
      </c>
      <c r="AB44" s="110">
        <f t="shared" si="13"/>
        <v>17021.839093321603</v>
      </c>
      <c r="AC44" s="110">
        <f t="shared" si="13"/>
        <v>17750.900007748773</v>
      </c>
      <c r="AD44" s="110">
        <f t="shared" si="13"/>
        <v>18494.990991662729</v>
      </c>
      <c r="AE44" s="110">
        <f t="shared" si="13"/>
        <v>19254.417134965224</v>
      </c>
      <c r="AF44" s="110">
        <f t="shared" si="13"/>
        <v>20029.4896742411</v>
      </c>
      <c r="AG44" s="110">
        <f t="shared" si="13"/>
        <v>20820.526116140907</v>
      </c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</row>
    <row r="45" spans="2:50">
      <c r="B45" s="103" t="s">
        <v>130</v>
      </c>
      <c r="C45" s="111">
        <f t="shared" ref="C45:AG45" si="14">C44/(1+$C$12)^C23</f>
        <v>-103099.75063675654</v>
      </c>
      <c r="D45" s="111">
        <f t="shared" si="14"/>
        <v>3089.8086696698656</v>
      </c>
      <c r="E45" s="111">
        <f t="shared" si="14"/>
        <v>3243.1603594336925</v>
      </c>
      <c r="F45" s="111">
        <f t="shared" si="14"/>
        <v>3364.1984841324452</v>
      </c>
      <c r="G45" s="111">
        <f t="shared" si="14"/>
        <v>3456.4625740112256</v>
      </c>
      <c r="H45" s="111">
        <f t="shared" si="14"/>
        <v>3523.1674878265676</v>
      </c>
      <c r="I45" s="111">
        <f t="shared" si="14"/>
        <v>3567.2308575148204</v>
      </c>
      <c r="J45" s="111">
        <f t="shared" si="14"/>
        <v>3591.2983162673513</v>
      </c>
      <c r="K45" s="111">
        <f t="shared" si="14"/>
        <v>3597.7666840867373</v>
      </c>
      <c r="L45" s="111">
        <f t="shared" si="14"/>
        <v>3588.8052714755268</v>
      </c>
      <c r="M45" s="111">
        <f t="shared" si="14"/>
        <v>3566.3754495088233</v>
      </c>
      <c r="N45" s="111">
        <f t="shared" si="14"/>
        <v>3532.2486230866048</v>
      </c>
      <c r="O45" s="111">
        <f t="shared" si="14"/>
        <v>3488.0227335803265</v>
      </c>
      <c r="P45" s="111">
        <f t="shared" si="14"/>
        <v>3435.1374073141346</v>
      </c>
      <c r="Q45" s="111">
        <f t="shared" si="14"/>
        <v>3374.8878572939439</v>
      </c>
      <c r="R45" s="111">
        <f t="shared" si="14"/>
        <v>3308.4376372600268</v>
      </c>
      <c r="S45" s="111">
        <f t="shared" si="14"/>
        <v>3236.8303394395916</v>
      </c>
      <c r="T45" s="111">
        <f t="shared" si="14"/>
        <v>3161.0003202655189</v>
      </c>
      <c r="U45" s="111">
        <f t="shared" si="14"/>
        <v>3081.7825317626807</v>
      </c>
      <c r="V45" s="111">
        <f t="shared" si="14"/>
        <v>2999.9215302413741</v>
      </c>
      <c r="W45" s="111">
        <f t="shared" si="14"/>
        <v>2916.0797283412303</v>
      </c>
      <c r="X45" s="111">
        <f t="shared" si="14"/>
        <v>2830.8449513027099</v>
      </c>
      <c r="Y45" s="111">
        <f t="shared" si="14"/>
        <v>2744.7373535742076</v>
      </c>
      <c r="Z45" s="111">
        <f t="shared" si="14"/>
        <v>2658.215747460998</v>
      </c>
      <c r="AA45" s="111">
        <f t="shared" si="14"/>
        <v>2571.6833914595745</v>
      </c>
      <c r="AB45" s="111">
        <f t="shared" si="14"/>
        <v>2485.4932821715474</v>
      </c>
      <c r="AC45" s="111">
        <f t="shared" si="14"/>
        <v>2399.9529902315703</v>
      </c>
      <c r="AD45" s="111">
        <f t="shared" si="14"/>
        <v>2315.3290774912552</v>
      </c>
      <c r="AE45" s="111">
        <f t="shared" si="14"/>
        <v>2231.8511297557893</v>
      </c>
      <c r="AF45" s="111">
        <f t="shared" si="14"/>
        <v>2149.7154366526574</v>
      </c>
      <c r="AG45" s="111">
        <f t="shared" si="14"/>
        <v>2069.0883477055563</v>
      </c>
    </row>
    <row r="46" spans="2:50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</row>
    <row r="47" spans="2:50">
      <c r="B47" t="s">
        <v>116</v>
      </c>
      <c r="C47" s="63">
        <f t="shared" ref="C47:AG47" si="15">C44*$C$11</f>
        <v>-34022.917710129659</v>
      </c>
      <c r="D47" s="63">
        <f t="shared" si="15"/>
        <v>1101.2078098703403</v>
      </c>
      <c r="E47" s="63">
        <f t="shared" si="15"/>
        <v>1248.3313402703418</v>
      </c>
      <c r="F47" s="63">
        <f t="shared" si="15"/>
        <v>1398.5139962783392</v>
      </c>
      <c r="G47" s="63">
        <f t="shared" si="15"/>
        <v>1551.8181269565007</v>
      </c>
      <c r="H47" s="63">
        <f t="shared" si="15"/>
        <v>1708.3073400137248</v>
      </c>
      <c r="I47" s="63">
        <f t="shared" si="15"/>
        <v>1868.0465270952466</v>
      </c>
      <c r="J47" s="63">
        <f t="shared" si="15"/>
        <v>2031.1018895791856</v>
      </c>
      <c r="K47" s="63">
        <f t="shared" si="15"/>
        <v>2197.5409648901991</v>
      </c>
      <c r="L47" s="63">
        <f t="shared" si="15"/>
        <v>2367.4326533405988</v>
      </c>
      <c r="M47" s="63">
        <f t="shared" si="15"/>
        <v>2540.8472455095093</v>
      </c>
      <c r="N47" s="63">
        <f t="shared" si="15"/>
        <v>2717.8564501707897</v>
      </c>
      <c r="O47" s="63">
        <f t="shared" si="15"/>
        <v>2898.5334227807857</v>
      </c>
      <c r="P47" s="63">
        <f t="shared" si="15"/>
        <v>3082.9527945370178</v>
      </c>
      <c r="Q47" s="63">
        <f t="shared" si="15"/>
        <v>3271.1907020193598</v>
      </c>
      <c r="R47" s="63">
        <f t="shared" si="15"/>
        <v>3463.3248174252294</v>
      </c>
      <c r="S47" s="63">
        <f t="shared" si="15"/>
        <v>3659.4343794108522</v>
      </c>
      <c r="T47" s="63">
        <f t="shared" si="15"/>
        <v>3859.6002245505319</v>
      </c>
      <c r="U47" s="63">
        <f t="shared" si="15"/>
        <v>4063.904819426491</v>
      </c>
      <c r="V47" s="63">
        <f t="shared" si="15"/>
        <v>4272.4322933617959</v>
      </c>
      <c r="W47" s="63">
        <f t="shared" si="15"/>
        <v>4485.2684718092469</v>
      </c>
      <c r="X47" s="63">
        <f t="shared" si="15"/>
        <v>4702.5009104094243</v>
      </c>
      <c r="Y47" s="63">
        <f t="shared" si="15"/>
        <v>4924.2189297312225</v>
      </c>
      <c r="Z47" s="63">
        <f t="shared" si="15"/>
        <v>5150.5136507085599</v>
      </c>
      <c r="AA47" s="63">
        <f t="shared" si="15"/>
        <v>5381.4780307872488</v>
      </c>
      <c r="AB47" s="63">
        <f t="shared" si="15"/>
        <v>5617.206900796129</v>
      </c>
      <c r="AC47" s="63">
        <f t="shared" si="15"/>
        <v>5857.7970025570949</v>
      </c>
      <c r="AD47" s="63">
        <f t="shared" si="15"/>
        <v>6103.3470272487011</v>
      </c>
      <c r="AE47" s="63">
        <f t="shared" si="15"/>
        <v>6353.9576545385244</v>
      </c>
      <c r="AF47" s="63">
        <f t="shared" si="15"/>
        <v>6609.7315924995637</v>
      </c>
      <c r="AG47" s="63">
        <f t="shared" si="15"/>
        <v>6870.7736183264997</v>
      </c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</row>
    <row r="48" spans="2:50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</row>
    <row r="49" spans="2:50">
      <c r="B49" s="86" t="s">
        <v>160</v>
      </c>
      <c r="C49" s="109">
        <f t="shared" ref="C49:H49" si="16">C44-C47</f>
        <v>-69076.83292662687</v>
      </c>
      <c r="D49" s="109">
        <f t="shared" si="16"/>
        <v>2235.7855533731145</v>
      </c>
      <c r="E49" s="109">
        <f t="shared" si="16"/>
        <v>2534.490902973118</v>
      </c>
      <c r="F49" s="109">
        <f t="shared" si="16"/>
        <v>2839.4072045651124</v>
      </c>
      <c r="G49" s="109">
        <f t="shared" si="16"/>
        <v>3150.6610456389558</v>
      </c>
      <c r="H49" s="109">
        <f t="shared" si="16"/>
        <v>3468.3815691187747</v>
      </c>
      <c r="I49" s="109">
        <f t="shared" ref="I49:O49" si="17">I44-I47</f>
        <v>3792.7005247085308</v>
      </c>
      <c r="J49" s="109">
        <f t="shared" si="17"/>
        <v>4123.7523212668311</v>
      </c>
      <c r="K49" s="109">
        <f t="shared" si="17"/>
        <v>4461.6740802316162</v>
      </c>
      <c r="L49" s="109">
        <f t="shared" si="17"/>
        <v>4806.6056901157608</v>
      </c>
      <c r="M49" s="109">
        <f t="shared" si="17"/>
        <v>5158.6898620950651</v>
      </c>
      <c r="N49" s="109">
        <f t="shared" si="17"/>
        <v>5518.0721867103912</v>
      </c>
      <c r="O49" s="109">
        <f t="shared" si="17"/>
        <v>5884.9011917064436</v>
      </c>
      <c r="P49" s="109">
        <f t="shared" ref="P49:AG49" si="18">P44-P47</f>
        <v>6259.3284010297029</v>
      </c>
      <c r="Q49" s="109">
        <f t="shared" si="18"/>
        <v>6641.5083950090029</v>
      </c>
      <c r="R49" s="109">
        <f t="shared" si="18"/>
        <v>7031.5988717421315</v>
      </c>
      <c r="S49" s="109">
        <f t="shared" si="18"/>
        <v>7429.7607097129421</v>
      </c>
      <c r="T49" s="109">
        <f t="shared" si="18"/>
        <v>7836.1580316632007</v>
      </c>
      <c r="U49" s="109">
        <f t="shared" si="18"/>
        <v>8250.9582697446931</v>
      </c>
      <c r="V49" s="109">
        <f t="shared" si="18"/>
        <v>8674.3322319769795</v>
      </c>
      <c r="W49" s="109">
        <f t="shared" si="18"/>
        <v>9106.4541700369555</v>
      </c>
      <c r="X49" s="109">
        <f t="shared" si="18"/>
        <v>9547.5018484070133</v>
      </c>
      <c r="Y49" s="109">
        <f t="shared" si="18"/>
        <v>9997.6566149088467</v>
      </c>
      <c r="Z49" s="109">
        <f t="shared" si="18"/>
        <v>10457.103472650713</v>
      </c>
      <c r="AA49" s="109">
        <f t="shared" si="18"/>
        <v>10926.031153416534</v>
      </c>
      <c r="AB49" s="109">
        <f t="shared" si="18"/>
        <v>11404.632192525474</v>
      </c>
      <c r="AC49" s="109">
        <f t="shared" si="18"/>
        <v>11893.103005191679</v>
      </c>
      <c r="AD49" s="109">
        <f t="shared" si="18"/>
        <v>12391.643964414028</v>
      </c>
      <c r="AE49" s="109">
        <f t="shared" si="18"/>
        <v>12900.4594804267</v>
      </c>
      <c r="AF49" s="109">
        <f t="shared" si="18"/>
        <v>13419.758081741536</v>
      </c>
      <c r="AG49" s="109">
        <f t="shared" si="18"/>
        <v>13949.752497814407</v>
      </c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</row>
    <row r="51" spans="2:50">
      <c r="B51" t="s">
        <v>226</v>
      </c>
      <c r="C51" s="75">
        <f>IF(C15&gt;F4, C15, F4)</f>
        <v>400000</v>
      </c>
      <c r="D51" s="75">
        <f t="shared" ref="D51:AG51" si="19">$C51*(1+$C$13)^D$23</f>
        <v>404000</v>
      </c>
      <c r="E51" s="75">
        <f t="shared" si="19"/>
        <v>408040</v>
      </c>
      <c r="F51" s="75">
        <f t="shared" si="19"/>
        <v>412120.39999999997</v>
      </c>
      <c r="G51" s="75">
        <f t="shared" si="19"/>
        <v>416241.60399999999</v>
      </c>
      <c r="H51" s="75">
        <f t="shared" si="19"/>
        <v>420404.02003999997</v>
      </c>
      <c r="I51" s="75">
        <f t="shared" si="19"/>
        <v>424608.06024040008</v>
      </c>
      <c r="J51" s="75">
        <f t="shared" si="19"/>
        <v>428854.14084280393</v>
      </c>
      <c r="K51" s="75">
        <f t="shared" si="19"/>
        <v>433142.68225123209</v>
      </c>
      <c r="L51" s="75">
        <f t="shared" si="19"/>
        <v>437474.10907374445</v>
      </c>
      <c r="M51" s="75">
        <f t="shared" si="19"/>
        <v>441848.8501644819</v>
      </c>
      <c r="N51" s="75">
        <f t="shared" si="19"/>
        <v>446267.3386661266</v>
      </c>
      <c r="O51" s="75">
        <f t="shared" si="19"/>
        <v>450730.01205278793</v>
      </c>
      <c r="P51" s="75">
        <f t="shared" si="19"/>
        <v>455237.31217331579</v>
      </c>
      <c r="Q51" s="75">
        <f t="shared" si="19"/>
        <v>459789.68529504904</v>
      </c>
      <c r="R51" s="75">
        <f t="shared" si="19"/>
        <v>464387.58214799938</v>
      </c>
      <c r="S51" s="75">
        <f t="shared" si="19"/>
        <v>469031.4579694795</v>
      </c>
      <c r="T51" s="75">
        <f t="shared" si="19"/>
        <v>473721.77254917432</v>
      </c>
      <c r="U51" s="75">
        <f t="shared" si="19"/>
        <v>478458.99027466611</v>
      </c>
      <c r="V51" s="75">
        <f t="shared" si="19"/>
        <v>483243.58017741266</v>
      </c>
      <c r="W51" s="75">
        <f t="shared" si="19"/>
        <v>488076.01597918681</v>
      </c>
      <c r="X51" s="75">
        <f t="shared" si="19"/>
        <v>492956.77613897866</v>
      </c>
      <c r="Y51" s="75">
        <f t="shared" si="19"/>
        <v>497886.34390036855</v>
      </c>
      <c r="Z51" s="75">
        <f t="shared" si="19"/>
        <v>502865.20733937214</v>
      </c>
      <c r="AA51" s="75">
        <f t="shared" si="19"/>
        <v>507893.859412766</v>
      </c>
      <c r="AB51" s="75">
        <f t="shared" si="19"/>
        <v>512972.79800689372</v>
      </c>
      <c r="AC51" s="75">
        <f t="shared" si="19"/>
        <v>518102.5259869626</v>
      </c>
      <c r="AD51" s="75">
        <f t="shared" si="19"/>
        <v>523283.55124683207</v>
      </c>
      <c r="AE51" s="75">
        <f t="shared" si="19"/>
        <v>528516.38675930048</v>
      </c>
      <c r="AF51" s="75">
        <f t="shared" si="19"/>
        <v>533801.55062689353</v>
      </c>
      <c r="AG51" s="75">
        <f t="shared" si="19"/>
        <v>539139.56613316247</v>
      </c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</row>
    <row r="52" spans="2:50">
      <c r="B52" t="s">
        <v>228</v>
      </c>
      <c r="C52" s="75">
        <f>'Mortgage Calculator_IP'!P8</f>
        <v>295165.25241193373</v>
      </c>
      <c r="D52" s="75">
        <f>'Mortgage Calculator_IP'!Q8</f>
        <v>289685.16803581209</v>
      </c>
      <c r="E52" s="75">
        <f>'Mortgage Calculator_IP'!R8</f>
        <v>283981.81656687654</v>
      </c>
      <c r="F52" s="75">
        <f>'Mortgage Calculator_IP'!S8</f>
        <v>278046.10175928264</v>
      </c>
      <c r="G52" s="75">
        <f>'Mortgage Calculator_IP'!T8</f>
        <v>271868.55677209568</v>
      </c>
      <c r="H52" s="75">
        <f>'Mortgage Calculator_IP'!U8</f>
        <v>265439.32907067431</v>
      </c>
      <c r="I52" s="75">
        <f>'Mortgage Calculator_IP'!V8</f>
        <v>258748.16471291432</v>
      </c>
      <c r="J52" s="75">
        <f>'Mortgage Calculator_IP'!W8</f>
        <v>251784.39199528928</v>
      </c>
      <c r="K52" s="75">
        <f>'Mortgage Calculator_IP'!X8</f>
        <v>244536.9044326054</v>
      </c>
      <c r="L52" s="75">
        <f>'Mortgage Calculator_IP'!Y8</f>
        <v>236994.1430443259</v>
      </c>
      <c r="M52" s="75">
        <f>'Mortgage Calculator_IP'!Z8</f>
        <v>229144.077919212</v>
      </c>
      <c r="N52" s="75">
        <f>'Mortgage Calculator_IP'!AA8</f>
        <v>220974.18902888018</v>
      </c>
      <c r="O52" s="75">
        <f>'Mortgage Calculator_IP'!AB8</f>
        <v>212471.44625967296</v>
      </c>
      <c r="P52" s="75">
        <f>'Mortgage Calculator_IP'!AC8</f>
        <v>203622.28863099811</v>
      </c>
      <c r="Q52" s="75">
        <f>'Mortgage Calculator_IP'!AD8</f>
        <v>194412.60266699069</v>
      </c>
      <c r="R52" s="75">
        <f>'Mortgage Calculator_IP'!AE8</f>
        <v>184827.69988700282</v>
      </c>
      <c r="S52" s="75">
        <f>'Mortgage Calculator_IP'!AF8</f>
        <v>174852.29337902204</v>
      </c>
      <c r="T52" s="75">
        <f>'Mortgage Calculator_IP'!AG8</f>
        <v>164470.47341865403</v>
      </c>
      <c r="U52" s="75">
        <f>'Mortgage Calculator_IP'!AH8</f>
        <v>153665.68209478515</v>
      </c>
      <c r="V52" s="75">
        <f>'Mortgage Calculator_IP'!AI8</f>
        <v>142420.68690145551</v>
      </c>
      <c r="W52" s="75">
        <f>'Mortgage Calculator_IP'!AJ8</f>
        <v>130717.55325382399</v>
      </c>
      <c r="X52" s="75">
        <f>'Mortgage Calculator_IP'!AK8</f>
        <v>118537.61588439147</v>
      </c>
      <c r="Y52" s="75">
        <f>'Mortgage Calculator_IP'!AL8</f>
        <v>105861.44907386189</v>
      </c>
      <c r="Z52" s="75">
        <f>'Mortgage Calculator_IP'!AM8</f>
        <v>92668.835669162712</v>
      </c>
      <c r="AA52" s="75">
        <f>'Mortgage Calculator_IP'!AN8</f>
        <v>78938.734839211756</v>
      </c>
      <c r="AB52" s="75">
        <f>'Mortgage Calculator_IP'!AO8</f>
        <v>64649.248517004336</v>
      </c>
      <c r="AC52" s="75">
        <f>'Mortgage Calculator_IP'!AP8</f>
        <v>49777.586474498959</v>
      </c>
      <c r="AD52" s="75">
        <f>'Mortgage Calculator_IP'!AQ8</f>
        <v>34300.029974600227</v>
      </c>
      <c r="AE52" s="75">
        <f>'Mortgage Calculator_IP'!AR8</f>
        <v>18191.893942267401</v>
      </c>
      <c r="AF52" s="75">
        <f>'Mortgage Calculator_IP'!AS8</f>
        <v>1427.4875944154871</v>
      </c>
      <c r="AG52" s="75">
        <f>'Mortgage Calculator_IP'!AT8</f>
        <v>0</v>
      </c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</row>
    <row r="53" spans="2:50">
      <c r="B53" t="s">
        <v>229</v>
      </c>
      <c r="C53" s="75">
        <f t="shared" ref="C53:H53" si="20">C51-C52</f>
        <v>104834.74758806627</v>
      </c>
      <c r="D53" s="75">
        <f t="shared" si="20"/>
        <v>114314.83196418791</v>
      </c>
      <c r="E53" s="75">
        <f t="shared" si="20"/>
        <v>124058.18343312346</v>
      </c>
      <c r="F53" s="75">
        <f t="shared" si="20"/>
        <v>134074.29824071733</v>
      </c>
      <c r="G53" s="75">
        <f t="shared" si="20"/>
        <v>144373.04722790432</v>
      </c>
      <c r="H53" s="75">
        <f t="shared" si="20"/>
        <v>154964.69096932566</v>
      </c>
      <c r="I53" s="75">
        <f t="shared" ref="I53:O53" si="21">I51-I52</f>
        <v>165859.89552748576</v>
      </c>
      <c r="J53" s="75">
        <f t="shared" si="21"/>
        <v>177069.74884751465</v>
      </c>
      <c r="K53" s="75">
        <f t="shared" si="21"/>
        <v>188605.7778186267</v>
      </c>
      <c r="L53" s="75">
        <f t="shared" si="21"/>
        <v>200479.96602941855</v>
      </c>
      <c r="M53" s="75">
        <f t="shared" si="21"/>
        <v>212704.77224526991</v>
      </c>
      <c r="N53" s="75">
        <f t="shared" si="21"/>
        <v>225293.14963724642</v>
      </c>
      <c r="O53" s="75">
        <f t="shared" si="21"/>
        <v>238258.56579311498</v>
      </c>
      <c r="P53" s="75">
        <f t="shared" ref="P53:AG53" si="22">P51-P52</f>
        <v>251615.02354231768</v>
      </c>
      <c r="Q53" s="75">
        <f t="shared" si="22"/>
        <v>265377.08262805839</v>
      </c>
      <c r="R53" s="75">
        <f t="shared" si="22"/>
        <v>279559.88226099656</v>
      </c>
      <c r="S53" s="75">
        <f t="shared" si="22"/>
        <v>294179.16459045745</v>
      </c>
      <c r="T53" s="75">
        <f t="shared" si="22"/>
        <v>309251.29913052032</v>
      </c>
      <c r="U53" s="75">
        <f t="shared" si="22"/>
        <v>324793.30817988096</v>
      </c>
      <c r="V53" s="75">
        <f t="shared" si="22"/>
        <v>340822.89327595715</v>
      </c>
      <c r="W53" s="75">
        <f t="shared" si="22"/>
        <v>357358.4627253628</v>
      </c>
      <c r="X53" s="75">
        <f t="shared" si="22"/>
        <v>374419.16025458719</v>
      </c>
      <c r="Y53" s="75">
        <f t="shared" si="22"/>
        <v>392024.89482650667</v>
      </c>
      <c r="Z53" s="75">
        <f t="shared" si="22"/>
        <v>410196.37167020945</v>
      </c>
      <c r="AA53" s="75">
        <f t="shared" si="22"/>
        <v>428955.12457355426</v>
      </c>
      <c r="AB53" s="75">
        <f t="shared" si="22"/>
        <v>448323.54948988941</v>
      </c>
      <c r="AC53" s="75">
        <f t="shared" si="22"/>
        <v>468324.93951246364</v>
      </c>
      <c r="AD53" s="75">
        <f t="shared" si="22"/>
        <v>488983.52127223182</v>
      </c>
      <c r="AE53" s="75">
        <f t="shared" si="22"/>
        <v>510324.49281703308</v>
      </c>
      <c r="AF53" s="75">
        <f t="shared" si="22"/>
        <v>532374.06303247809</v>
      </c>
      <c r="AG53" s="75">
        <f t="shared" si="22"/>
        <v>539139.56613316247</v>
      </c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</row>
    <row r="54" spans="2:50">
      <c r="B54" t="s">
        <v>231</v>
      </c>
      <c r="C54" s="75">
        <f t="shared" ref="C54:H54" si="23">C53-$I$4</f>
        <v>-1165.2524119337322</v>
      </c>
      <c r="D54" s="75">
        <f t="shared" si="23"/>
        <v>8314.8319641879061</v>
      </c>
      <c r="E54" s="75">
        <f t="shared" si="23"/>
        <v>18058.183433123457</v>
      </c>
      <c r="F54" s="75">
        <f t="shared" si="23"/>
        <v>28074.298240717326</v>
      </c>
      <c r="G54" s="75">
        <f t="shared" si="23"/>
        <v>38373.047227904317</v>
      </c>
      <c r="H54" s="75">
        <f t="shared" si="23"/>
        <v>48964.69096932566</v>
      </c>
      <c r="I54" s="75">
        <f t="shared" ref="I54:O54" si="24">I53-$I$4</f>
        <v>59859.895527485758</v>
      </c>
      <c r="J54" s="75">
        <f t="shared" si="24"/>
        <v>71069.748847514653</v>
      </c>
      <c r="K54" s="75">
        <f t="shared" si="24"/>
        <v>82605.777818626695</v>
      </c>
      <c r="L54" s="75">
        <f t="shared" si="24"/>
        <v>94479.966029418545</v>
      </c>
      <c r="M54" s="75">
        <f t="shared" si="24"/>
        <v>106704.77224526991</v>
      </c>
      <c r="N54" s="75">
        <f t="shared" si="24"/>
        <v>119293.14963724642</v>
      </c>
      <c r="O54" s="75">
        <f t="shared" si="24"/>
        <v>132258.56579311498</v>
      </c>
      <c r="P54" s="75">
        <f t="shared" ref="P54:AG54" si="25">P53-$I$4</f>
        <v>145615.02354231768</v>
      </c>
      <c r="Q54" s="75">
        <f t="shared" si="25"/>
        <v>159377.08262805839</v>
      </c>
      <c r="R54" s="75">
        <f t="shared" si="25"/>
        <v>173559.88226099656</v>
      </c>
      <c r="S54" s="75">
        <f t="shared" si="25"/>
        <v>188179.16459045745</v>
      </c>
      <c r="T54" s="75">
        <f t="shared" si="25"/>
        <v>203251.29913052032</v>
      </c>
      <c r="U54" s="75">
        <f t="shared" si="25"/>
        <v>218793.30817988096</v>
      </c>
      <c r="V54" s="75">
        <f t="shared" si="25"/>
        <v>234822.89327595715</v>
      </c>
      <c r="W54" s="75">
        <f t="shared" si="25"/>
        <v>251358.4627253628</v>
      </c>
      <c r="X54" s="75">
        <f t="shared" si="25"/>
        <v>268419.16025458719</v>
      </c>
      <c r="Y54" s="75">
        <f t="shared" si="25"/>
        <v>286024.89482650667</v>
      </c>
      <c r="Z54" s="75">
        <f t="shared" si="25"/>
        <v>304196.37167020945</v>
      </c>
      <c r="AA54" s="75">
        <f t="shared" si="25"/>
        <v>322955.12457355426</v>
      </c>
      <c r="AB54" s="75">
        <f t="shared" si="25"/>
        <v>342323.54948988941</v>
      </c>
      <c r="AC54" s="75">
        <f t="shared" si="25"/>
        <v>362324.93951246364</v>
      </c>
      <c r="AD54" s="75">
        <f t="shared" si="25"/>
        <v>382983.52127223182</v>
      </c>
      <c r="AE54" s="75">
        <f t="shared" si="25"/>
        <v>404324.49281703308</v>
      </c>
      <c r="AF54" s="75">
        <f t="shared" si="25"/>
        <v>426374.06303247809</v>
      </c>
      <c r="AG54" s="75">
        <f t="shared" si="25"/>
        <v>433139.56613316247</v>
      </c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</row>
    <row r="55" spans="2:50"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</row>
    <row r="56" spans="2:50">
      <c r="B56" t="s">
        <v>230</v>
      </c>
      <c r="C56" s="75">
        <f>C44</f>
        <v>-103099.75063675654</v>
      </c>
      <c r="D56" s="75">
        <f t="shared" ref="D56:AG56" si="26">C56+D44</f>
        <v>-99762.757273513082</v>
      </c>
      <c r="E56" s="75">
        <f t="shared" si="26"/>
        <v>-95979.935030269626</v>
      </c>
      <c r="F56" s="75">
        <f t="shared" si="26"/>
        <v>-91742.013829426171</v>
      </c>
      <c r="G56" s="75">
        <f t="shared" si="26"/>
        <v>-87039.534656830714</v>
      </c>
      <c r="H56" s="75">
        <f t="shared" si="26"/>
        <v>-81862.845747698215</v>
      </c>
      <c r="I56" s="75">
        <f t="shared" si="26"/>
        <v>-76202.098695894441</v>
      </c>
      <c r="J56" s="75">
        <f t="shared" si="26"/>
        <v>-70047.244485048432</v>
      </c>
      <c r="K56" s="75">
        <f t="shared" si="26"/>
        <v>-63388.029439926613</v>
      </c>
      <c r="L56" s="75">
        <f t="shared" si="26"/>
        <v>-56213.991096470258</v>
      </c>
      <c r="M56" s="75">
        <f t="shared" si="26"/>
        <v>-48514.453988865687</v>
      </c>
      <c r="N56" s="75">
        <f t="shared" si="26"/>
        <v>-40278.525351984506</v>
      </c>
      <c r="O56" s="75">
        <f t="shared" si="26"/>
        <v>-31495.090737497278</v>
      </c>
      <c r="P56" s="75">
        <f t="shared" si="26"/>
        <v>-22152.809541930557</v>
      </c>
      <c r="Q56" s="75">
        <f t="shared" si="26"/>
        <v>-12240.110444902195</v>
      </c>
      <c r="R56" s="75">
        <f t="shared" si="26"/>
        <v>-1745.1867557348342</v>
      </c>
      <c r="S56" s="75">
        <f t="shared" si="26"/>
        <v>9344.0083333889597</v>
      </c>
      <c r="T56" s="75">
        <f t="shared" si="26"/>
        <v>21039.766589602692</v>
      </c>
      <c r="U56" s="75">
        <f t="shared" si="26"/>
        <v>33354.629678773876</v>
      </c>
      <c r="V56" s="75">
        <f t="shared" si="26"/>
        <v>46301.39420411265</v>
      </c>
      <c r="W56" s="75">
        <f t="shared" si="26"/>
        <v>59893.116845958852</v>
      </c>
      <c r="X56" s="75">
        <f t="shared" si="26"/>
        <v>74143.119604775289</v>
      </c>
      <c r="Y56" s="75">
        <f t="shared" si="26"/>
        <v>89064.995149415365</v>
      </c>
      <c r="Z56" s="75">
        <f t="shared" si="26"/>
        <v>104672.61227277464</v>
      </c>
      <c r="AA56" s="75">
        <f t="shared" si="26"/>
        <v>120980.12145697842</v>
      </c>
      <c r="AB56" s="75">
        <f t="shared" si="26"/>
        <v>138001.96055030002</v>
      </c>
      <c r="AC56" s="75">
        <f t="shared" si="26"/>
        <v>155752.86055804879</v>
      </c>
      <c r="AD56" s="75">
        <f t="shared" si="26"/>
        <v>174247.85154971151</v>
      </c>
      <c r="AE56" s="75">
        <f t="shared" si="26"/>
        <v>193502.26868467673</v>
      </c>
      <c r="AF56" s="75">
        <f t="shared" si="26"/>
        <v>213531.75835891784</v>
      </c>
      <c r="AG56" s="75">
        <f t="shared" si="26"/>
        <v>234352.28447505875</v>
      </c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</row>
    <row r="57" spans="2:50">
      <c r="B57" t="s">
        <v>358</v>
      </c>
      <c r="C57" s="98">
        <f t="shared" ref="C57:AG57" si="27">(C51-C52) - (C51*$C$14)</f>
        <v>81634.747588066268</v>
      </c>
      <c r="D57" s="98">
        <f t="shared" si="27"/>
        <v>90882.831964187906</v>
      </c>
      <c r="E57" s="98">
        <f t="shared" si="27"/>
        <v>100391.86343312345</v>
      </c>
      <c r="F57" s="98">
        <f t="shared" si="27"/>
        <v>110171.31504071734</v>
      </c>
      <c r="G57" s="98">
        <f t="shared" si="27"/>
        <v>120231.03419590431</v>
      </c>
      <c r="H57" s="98">
        <f t="shared" si="27"/>
        <v>130581.25780700566</v>
      </c>
      <c r="I57" s="98">
        <f t="shared" si="27"/>
        <v>141232.62803354254</v>
      </c>
      <c r="J57" s="98">
        <f t="shared" si="27"/>
        <v>152196.20867863201</v>
      </c>
      <c r="K57" s="98">
        <f t="shared" si="27"/>
        <v>163483.50224805524</v>
      </c>
      <c r="L57" s="98">
        <f t="shared" si="27"/>
        <v>175106.46770314136</v>
      </c>
      <c r="M57" s="98">
        <f t="shared" si="27"/>
        <v>187077.53893572997</v>
      </c>
      <c r="N57" s="98">
        <f t="shared" si="27"/>
        <v>199409.64399461108</v>
      </c>
      <c r="O57" s="98">
        <f t="shared" si="27"/>
        <v>212116.22509405328</v>
      </c>
      <c r="P57" s="98">
        <f t="shared" si="27"/>
        <v>225211.25943626536</v>
      </c>
      <c r="Q57" s="98">
        <f t="shared" si="27"/>
        <v>238709.28088094553</v>
      </c>
      <c r="R57" s="98">
        <f t="shared" si="27"/>
        <v>252625.4024964126</v>
      </c>
      <c r="S57" s="98">
        <f t="shared" si="27"/>
        <v>266975.34002822766</v>
      </c>
      <c r="T57" s="98">
        <f t="shared" si="27"/>
        <v>281775.43632266822</v>
      </c>
      <c r="U57" s="98">
        <f t="shared" si="27"/>
        <v>297042.68674395035</v>
      </c>
      <c r="V57" s="98">
        <f t="shared" si="27"/>
        <v>312794.76562566723</v>
      </c>
      <c r="W57" s="98">
        <f t="shared" si="27"/>
        <v>329050.05379856995</v>
      </c>
      <c r="X57" s="98">
        <f t="shared" si="27"/>
        <v>345827.6672385264</v>
      </c>
      <c r="Y57" s="98">
        <f t="shared" si="27"/>
        <v>363147.48688028532</v>
      </c>
      <c r="Z57" s="98">
        <f t="shared" si="27"/>
        <v>381030.18964452588</v>
      </c>
      <c r="AA57" s="98">
        <f t="shared" si="27"/>
        <v>399497.28072761383</v>
      </c>
      <c r="AB57" s="98">
        <f t="shared" si="27"/>
        <v>418571.12720548955</v>
      </c>
      <c r="AC57" s="98">
        <f t="shared" si="27"/>
        <v>438274.99300521979</v>
      </c>
      <c r="AD57" s="98">
        <f t="shared" si="27"/>
        <v>458633.07529991557</v>
      </c>
      <c r="AE57" s="98">
        <f t="shared" si="27"/>
        <v>479670.54238499363</v>
      </c>
      <c r="AF57" s="98">
        <f t="shared" si="27"/>
        <v>501413.57309611829</v>
      </c>
      <c r="AG57" s="98">
        <f t="shared" si="27"/>
        <v>507869.47129743907</v>
      </c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</row>
    <row r="58" spans="2:50">
      <c r="B58" t="s">
        <v>359</v>
      </c>
      <c r="C58" s="75">
        <f>SUM(C56:C57)</f>
        <v>-21465.003048690269</v>
      </c>
      <c r="D58" s="75">
        <f t="shared" ref="D58:AG58" si="28">SUM(D56:D57)</f>
        <v>-8879.9253093251755</v>
      </c>
      <c r="E58" s="75">
        <f t="shared" si="28"/>
        <v>4411.9284028538241</v>
      </c>
      <c r="F58" s="75">
        <f t="shared" si="28"/>
        <v>18429.301211291167</v>
      </c>
      <c r="G58" s="75">
        <f t="shared" si="28"/>
        <v>33191.4995390736</v>
      </c>
      <c r="H58" s="75">
        <f t="shared" si="28"/>
        <v>48718.412059307448</v>
      </c>
      <c r="I58" s="75">
        <f t="shared" si="28"/>
        <v>65030.529337648099</v>
      </c>
      <c r="J58" s="75">
        <f t="shared" si="28"/>
        <v>82148.964193583583</v>
      </c>
      <c r="K58" s="75">
        <f t="shared" si="28"/>
        <v>100095.47280812863</v>
      </c>
      <c r="L58" s="75">
        <f t="shared" si="28"/>
        <v>118892.4766066711</v>
      </c>
      <c r="M58" s="75">
        <f t="shared" si="28"/>
        <v>138563.08494686428</v>
      </c>
      <c r="N58" s="75">
        <f t="shared" si="28"/>
        <v>159131.11864262656</v>
      </c>
      <c r="O58" s="75">
        <f t="shared" si="28"/>
        <v>180621.13435655599</v>
      </c>
      <c r="P58" s="75">
        <f t="shared" si="28"/>
        <v>203058.4498943348</v>
      </c>
      <c r="Q58" s="75">
        <f t="shared" si="28"/>
        <v>226469.17043604335</v>
      </c>
      <c r="R58" s="75">
        <f t="shared" si="28"/>
        <v>250880.21574067776</v>
      </c>
      <c r="S58" s="75">
        <f t="shared" si="28"/>
        <v>276319.3483616166</v>
      </c>
      <c r="T58" s="75">
        <f t="shared" si="28"/>
        <v>302815.20291227091</v>
      </c>
      <c r="U58" s="75">
        <f t="shared" si="28"/>
        <v>330397.31642272422</v>
      </c>
      <c r="V58" s="75">
        <f t="shared" si="28"/>
        <v>359096.15982977988</v>
      </c>
      <c r="W58" s="75">
        <f t="shared" si="28"/>
        <v>388943.17064452881</v>
      </c>
      <c r="X58" s="75">
        <f t="shared" si="28"/>
        <v>419970.78684330167</v>
      </c>
      <c r="Y58" s="75">
        <f t="shared" si="28"/>
        <v>452212.48202970065</v>
      </c>
      <c r="Z58" s="75">
        <f t="shared" si="28"/>
        <v>485702.8019173005</v>
      </c>
      <c r="AA58" s="75">
        <f t="shared" si="28"/>
        <v>520477.40218459227</v>
      </c>
      <c r="AB58" s="75">
        <f t="shared" si="28"/>
        <v>556573.08775578951</v>
      </c>
      <c r="AC58" s="75">
        <f t="shared" si="28"/>
        <v>594027.85356326855</v>
      </c>
      <c r="AD58" s="75">
        <f t="shared" si="28"/>
        <v>632880.92684962705</v>
      </c>
      <c r="AE58" s="75">
        <f t="shared" si="28"/>
        <v>673172.81106967037</v>
      </c>
      <c r="AF58" s="75">
        <f t="shared" si="28"/>
        <v>714945.33145503607</v>
      </c>
      <c r="AG58" s="75">
        <f t="shared" si="28"/>
        <v>742221.75577249785</v>
      </c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</row>
    <row r="59" spans="2:50"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</row>
    <row r="60" spans="2:50">
      <c r="B60" t="s">
        <v>241</v>
      </c>
      <c r="C60" s="94">
        <f t="shared" ref="C60:AG60" si="29">(C44+C40)/$C$40</f>
        <v>2.7360843049466635E-2</v>
      </c>
      <c r="D60" s="94">
        <f t="shared" si="29"/>
        <v>3.1481069464560897E-2</v>
      </c>
      <c r="E60" s="94">
        <f t="shared" si="29"/>
        <v>3.5687002294749616E-2</v>
      </c>
      <c r="F60" s="94">
        <f t="shared" si="29"/>
        <v>3.998038868720237E-2</v>
      </c>
      <c r="G60" s="94">
        <f t="shared" si="29"/>
        <v>4.4363011062221284E-2</v>
      </c>
      <c r="H60" s="94">
        <f t="shared" si="29"/>
        <v>4.8836687822004711E-2</v>
      </c>
      <c r="I60" s="94">
        <f t="shared" si="29"/>
        <v>5.3403274073620541E-2</v>
      </c>
      <c r="J60" s="94">
        <f t="shared" si="29"/>
        <v>5.8064662366471856E-2</v>
      </c>
      <c r="K60" s="94">
        <f t="shared" si="29"/>
        <v>6.2822783444545421E-2</v>
      </c>
      <c r="L60" s="94">
        <f t="shared" si="29"/>
        <v>6.7679607013739235E-2</v>
      </c>
      <c r="M60" s="94">
        <f t="shared" si="29"/>
        <v>7.2637142524571457E-2</v>
      </c>
      <c r="N60" s="94">
        <f t="shared" si="29"/>
        <v>7.7697439970577181E-2</v>
      </c>
      <c r="O60" s="94">
        <f t="shared" si="29"/>
        <v>8.286259070270971E-2</v>
      </c>
      <c r="P60" s="94">
        <f t="shared" si="29"/>
        <v>8.8134728260063397E-2</v>
      </c>
      <c r="Q60" s="94">
        <f t="shared" si="29"/>
        <v>9.3516029217248706E-2</v>
      </c>
      <c r="R60" s="94">
        <f t="shared" si="29"/>
        <v>9.9008714048748683E-2</v>
      </c>
      <c r="S60" s="94">
        <f t="shared" si="29"/>
        <v>0.10461504801060183</v>
      </c>
      <c r="T60" s="94">
        <f t="shared" si="29"/>
        <v>0.11033734203975219</v>
      </c>
      <c r="U60" s="94">
        <f t="shared" si="29"/>
        <v>0.11617795367142626</v>
      </c>
      <c r="V60" s="94">
        <f t="shared" si="29"/>
        <v>0.1221392879748941</v>
      </c>
      <c r="W60" s="94">
        <f t="shared" si="29"/>
        <v>0.12822379850798304</v>
      </c>
      <c r="X60" s="94">
        <f t="shared" si="29"/>
        <v>0.13443398829072112</v>
      </c>
      <c r="Y60" s="94">
        <f t="shared" si="29"/>
        <v>0.1407724107984912</v>
      </c>
      <c r="Z60" s="94">
        <f t="shared" si="29"/>
        <v>0.14724167097508747</v>
      </c>
      <c r="AA60" s="94">
        <f t="shared" si="29"/>
        <v>0.15384442626607342</v>
      </c>
      <c r="AB60" s="94">
        <f t="shared" si="29"/>
        <v>0.1605833876728453</v>
      </c>
      <c r="AC60" s="94">
        <f t="shared" si="29"/>
        <v>0.16746132082781862</v>
      </c>
      <c r="AD60" s="94">
        <f t="shared" si="29"/>
        <v>0.17448104709115783</v>
      </c>
      <c r="AE60" s="94">
        <f t="shared" si="29"/>
        <v>0.18164544466948324</v>
      </c>
      <c r="AF60" s="94">
        <f t="shared" si="29"/>
        <v>0.18895744975699152</v>
      </c>
      <c r="AG60" s="94">
        <f t="shared" si="29"/>
        <v>0.19642005769944251</v>
      </c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</row>
    <row r="61" spans="2:50">
      <c r="B61" t="s">
        <v>242</v>
      </c>
      <c r="C61" s="94">
        <f>C58/$I$4</f>
        <v>-0.20250002876122894</v>
      </c>
      <c r="D61" s="94">
        <f t="shared" ref="D61:AG61" si="30">D58/$I$4</f>
        <v>-8.3772880276652598E-2</v>
      </c>
      <c r="E61" s="94">
        <f t="shared" si="30"/>
        <v>4.1621966064658719E-2</v>
      </c>
      <c r="F61" s="94">
        <f t="shared" si="30"/>
        <v>0.17386133218199215</v>
      </c>
      <c r="G61" s="94">
        <f t="shared" si="30"/>
        <v>0.31312735414220377</v>
      </c>
      <c r="H61" s="94">
        <f t="shared" si="30"/>
        <v>0.45960766093686273</v>
      </c>
      <c r="I61" s="94">
        <f t="shared" si="30"/>
        <v>0.61349555978913306</v>
      </c>
      <c r="J61" s="94">
        <f t="shared" si="30"/>
        <v>0.77499022824135455</v>
      </c>
      <c r="K61" s="94">
        <f t="shared" si="30"/>
        <v>0.94429691328423238</v>
      </c>
      <c r="L61" s="94">
        <f t="shared" si="30"/>
        <v>1.1216271377987839</v>
      </c>
      <c r="M61" s="94">
        <f t="shared" si="30"/>
        <v>1.3071989145930594</v>
      </c>
      <c r="N61" s="94">
        <f t="shared" si="30"/>
        <v>1.5012369683266658</v>
      </c>
      <c r="O61" s="94">
        <f t="shared" si="30"/>
        <v>1.7039729656278868</v>
      </c>
      <c r="P61" s="94">
        <f t="shared" si="30"/>
        <v>1.9156457537201397</v>
      </c>
      <c r="Q61" s="94">
        <f t="shared" si="30"/>
        <v>2.1365016078872014</v>
      </c>
      <c r="R61" s="94">
        <f t="shared" si="30"/>
        <v>2.3667944881196012</v>
      </c>
      <c r="S61" s="94">
        <f t="shared" si="30"/>
        <v>2.6067863052982698</v>
      </c>
      <c r="T61" s="94">
        <f t="shared" si="30"/>
        <v>2.8567471972855745</v>
      </c>
      <c r="U61" s="94">
        <f t="shared" si="30"/>
        <v>3.1169558153087191</v>
      </c>
      <c r="V61" s="94">
        <f t="shared" si="30"/>
        <v>3.3876996210356594</v>
      </c>
      <c r="W61" s="94">
        <f t="shared" si="30"/>
        <v>3.669275194759706</v>
      </c>
      <c r="X61" s="94">
        <f t="shared" si="30"/>
        <v>3.9619885551254876</v>
      </c>
      <c r="Y61" s="94">
        <f t="shared" si="30"/>
        <v>4.2661554908462325</v>
      </c>
      <c r="Z61" s="94">
        <f t="shared" si="30"/>
        <v>4.5821019048801936</v>
      </c>
      <c r="AA61" s="94">
        <f t="shared" si="30"/>
        <v>4.9101641715527569</v>
      </c>
      <c r="AB61" s="94">
        <f t="shared" si="30"/>
        <v>5.2506895071300894</v>
      </c>
      <c r="AC61" s="94">
        <f t="shared" si="30"/>
        <v>5.6040363543704581</v>
      </c>
      <c r="AD61" s="94">
        <f t="shared" si="30"/>
        <v>5.9705747816002548</v>
      </c>
      <c r="AE61" s="94">
        <f t="shared" si="30"/>
        <v>6.3506868968836825</v>
      </c>
      <c r="AF61" s="94">
        <f t="shared" si="30"/>
        <v>6.744767277877699</v>
      </c>
      <c r="AG61" s="94">
        <f t="shared" si="30"/>
        <v>7.0020920355896026</v>
      </c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</row>
    <row r="62" spans="2:50">
      <c r="B62" t="s">
        <v>233</v>
      </c>
      <c r="C62" s="94"/>
      <c r="D62" s="130">
        <f t="shared" ref="D62:AG62" si="31">D61/D23</f>
        <v>-8.3772880276652598E-2</v>
      </c>
      <c r="E62" s="94">
        <f t="shared" si="31"/>
        <v>2.081098303232936E-2</v>
      </c>
      <c r="F62" s="94">
        <f t="shared" si="31"/>
        <v>5.7953777393997381E-2</v>
      </c>
      <c r="G62" s="94">
        <f t="shared" si="31"/>
        <v>7.8281838535550943E-2</v>
      </c>
      <c r="H62" s="94">
        <f t="shared" si="31"/>
        <v>9.1921532187372548E-2</v>
      </c>
      <c r="I62" s="94">
        <f t="shared" si="31"/>
        <v>0.10224925996485551</v>
      </c>
      <c r="J62" s="94">
        <f t="shared" si="31"/>
        <v>0.11071288974876493</v>
      </c>
      <c r="K62" s="94">
        <f t="shared" si="31"/>
        <v>0.11803711416052905</v>
      </c>
      <c r="L62" s="94">
        <f t="shared" si="31"/>
        <v>0.12462523753319821</v>
      </c>
      <c r="M62" s="94">
        <f t="shared" si="31"/>
        <v>0.13071989145930593</v>
      </c>
      <c r="N62" s="94">
        <f t="shared" si="31"/>
        <v>0.13647608802969688</v>
      </c>
      <c r="O62" s="94">
        <f t="shared" si="31"/>
        <v>0.14199774713565724</v>
      </c>
      <c r="P62" s="94">
        <f t="shared" si="31"/>
        <v>0.14735736567077998</v>
      </c>
      <c r="Q62" s="94">
        <f t="shared" si="31"/>
        <v>0.15260725770622868</v>
      </c>
      <c r="R62" s="94">
        <f t="shared" si="31"/>
        <v>0.15778629920797341</v>
      </c>
      <c r="S62" s="94">
        <f t="shared" si="31"/>
        <v>0.16292414408114186</v>
      </c>
      <c r="T62" s="94">
        <f t="shared" si="31"/>
        <v>0.16804395278150439</v>
      </c>
      <c r="U62" s="94">
        <f t="shared" si="31"/>
        <v>0.17316421196159551</v>
      </c>
      <c r="V62" s="94">
        <f t="shared" si="31"/>
        <v>0.17829998005450839</v>
      </c>
      <c r="W62" s="94">
        <f t="shared" si="31"/>
        <v>0.18346375973798529</v>
      </c>
      <c r="X62" s="94">
        <f t="shared" si="31"/>
        <v>0.18866612167264227</v>
      </c>
      <c r="Y62" s="94">
        <f t="shared" si="31"/>
        <v>0.19391615867482875</v>
      </c>
      <c r="Z62" s="94">
        <f t="shared" si="31"/>
        <v>0.19922182195131277</v>
      </c>
      <c r="AA62" s="94">
        <f t="shared" si="31"/>
        <v>0.20459017381469821</v>
      </c>
      <c r="AB62" s="94">
        <f t="shared" si="31"/>
        <v>0.21002758028520357</v>
      </c>
      <c r="AC62" s="94">
        <f t="shared" si="31"/>
        <v>0.21553985978347917</v>
      </c>
      <c r="AD62" s="94">
        <f t="shared" si="31"/>
        <v>0.22113239931852796</v>
      </c>
      <c r="AE62" s="94">
        <f t="shared" si="31"/>
        <v>0.22681024631727437</v>
      </c>
      <c r="AF62" s="94">
        <f t="shared" si="31"/>
        <v>0.23257818199578273</v>
      </c>
      <c r="AG62" s="94">
        <f t="shared" si="31"/>
        <v>0.23340306785298676</v>
      </c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41B3-5987-0E4F-9C41-F9C109A8EAD0}">
  <sheetPr>
    <tabColor theme="7"/>
  </sheetPr>
  <dimension ref="A1:AT362"/>
  <sheetViews>
    <sheetView topLeftCell="C3" workbookViewId="0">
      <selection activeCell="Q38" sqref="Q38"/>
    </sheetView>
  </sheetViews>
  <sheetFormatPr defaultColWidth="10.77734375" defaultRowHeight="14.4"/>
  <cols>
    <col min="1" max="1" width="19.6640625" bestFit="1" customWidth="1"/>
    <col min="2" max="2" width="15" bestFit="1" customWidth="1"/>
    <col min="5" max="5" width="14.33203125" bestFit="1" customWidth="1"/>
    <col min="6" max="6" width="10.109375" bestFit="1" customWidth="1"/>
    <col min="8" max="8" width="13" bestFit="1" customWidth="1"/>
    <col min="9" max="9" width="14.77734375" bestFit="1" customWidth="1"/>
    <col min="10" max="10" width="15.77734375" bestFit="1" customWidth="1"/>
    <col min="11" max="11" width="16.44140625" bestFit="1" customWidth="1"/>
    <col min="15" max="15" width="15.77734375" bestFit="1" customWidth="1"/>
    <col min="16" max="16" width="14.77734375" bestFit="1" customWidth="1"/>
    <col min="17" max="18" width="15.77734375" bestFit="1" customWidth="1"/>
  </cols>
  <sheetData>
    <row r="1" spans="1:46">
      <c r="A1" s="78" t="s">
        <v>12</v>
      </c>
      <c r="B1" s="79">
        <v>200000</v>
      </c>
      <c r="E1" s="67" t="s">
        <v>142</v>
      </c>
      <c r="F1" s="67" t="s">
        <v>143</v>
      </c>
      <c r="G1" s="67" t="s">
        <v>144</v>
      </c>
      <c r="H1" s="67" t="s">
        <v>145</v>
      </c>
      <c r="I1" s="67" t="s">
        <v>147</v>
      </c>
      <c r="J1" s="67" t="s">
        <v>148</v>
      </c>
      <c r="K1" s="67" t="s">
        <v>146</v>
      </c>
      <c r="L1" s="67" t="s">
        <v>149</v>
      </c>
      <c r="M1" s="67" t="s">
        <v>150</v>
      </c>
    </row>
    <row r="2" spans="1:46">
      <c r="A2" s="78" t="s">
        <v>133</v>
      </c>
      <c r="B2" s="80">
        <v>0.2</v>
      </c>
      <c r="E2">
        <v>0</v>
      </c>
      <c r="F2" s="77">
        <f>B8</f>
        <v>763.86447274473517</v>
      </c>
      <c r="G2" s="77">
        <f t="shared" ref="G2:G65" si="0">(B$4/B$6)*K2</f>
        <v>533.33333333333337</v>
      </c>
      <c r="H2" s="77">
        <f>F2-G2</f>
        <v>230.5311394114018</v>
      </c>
      <c r="I2" s="77">
        <f>G2</f>
        <v>533.33333333333337</v>
      </c>
      <c r="J2" s="77">
        <f>H2</f>
        <v>230.5311394114018</v>
      </c>
      <c r="K2" s="75">
        <f>B3</f>
        <v>160000</v>
      </c>
      <c r="L2" s="75">
        <v>400000</v>
      </c>
      <c r="M2" s="75">
        <f>L2-K2</f>
        <v>240000</v>
      </c>
    </row>
    <row r="3" spans="1:46" ht="13.95" customHeight="1">
      <c r="A3" s="78" t="s">
        <v>134</v>
      </c>
      <c r="B3" s="75">
        <f>(1-B2)*B1</f>
        <v>160000</v>
      </c>
      <c r="E3">
        <v>1</v>
      </c>
      <c r="F3" s="77">
        <f>F2</f>
        <v>763.86447274473517</v>
      </c>
      <c r="G3" s="77">
        <f t="shared" si="0"/>
        <v>532.56489620196203</v>
      </c>
      <c r="H3" s="77">
        <f>F3-G3</f>
        <v>231.29957654277314</v>
      </c>
      <c r="I3" s="77">
        <f t="shared" ref="I3:J18" si="1">I2+G3</f>
        <v>1065.8982295352953</v>
      </c>
      <c r="J3" s="77">
        <f t="shared" si="1"/>
        <v>461.83071595417493</v>
      </c>
      <c r="K3" s="77">
        <f>K2-H2</f>
        <v>159769.46886058859</v>
      </c>
      <c r="L3" s="75">
        <v>400000</v>
      </c>
      <c r="M3" s="75">
        <f t="shared" ref="M3:M66" si="2">L3-K3</f>
        <v>240230.53113941141</v>
      </c>
    </row>
    <row r="4" spans="1:46">
      <c r="A4" s="78" t="s">
        <v>135</v>
      </c>
      <c r="B4" s="92">
        <f>'Final Proforma'!F7</f>
        <v>0.04</v>
      </c>
      <c r="E4">
        <v>2</v>
      </c>
      <c r="F4" s="77">
        <f t="shared" ref="F4:F67" si="3">F3</f>
        <v>763.86447274473517</v>
      </c>
      <c r="G4" s="77">
        <f t="shared" si="0"/>
        <v>531.79389761348602</v>
      </c>
      <c r="H4" s="77">
        <f t="shared" ref="H4:H67" si="4">F4-G4</f>
        <v>232.07057513124914</v>
      </c>
      <c r="I4" s="77">
        <f t="shared" si="1"/>
        <v>1597.6921271487813</v>
      </c>
      <c r="J4" s="77">
        <f t="shared" si="1"/>
        <v>693.90129108542408</v>
      </c>
      <c r="K4" s="77">
        <f t="shared" ref="K4:K67" si="5">K3-H3</f>
        <v>159538.16928404581</v>
      </c>
      <c r="L4" s="75">
        <v>400000</v>
      </c>
      <c r="M4" s="75">
        <f t="shared" si="2"/>
        <v>240461.83071595419</v>
      </c>
      <c r="O4" t="s">
        <v>235</v>
      </c>
      <c r="P4">
        <v>1</v>
      </c>
      <c r="Q4">
        <v>2</v>
      </c>
      <c r="R4">
        <v>3</v>
      </c>
      <c r="S4">
        <v>4</v>
      </c>
      <c r="T4">
        <v>5</v>
      </c>
      <c r="U4">
        <v>6</v>
      </c>
      <c r="V4">
        <v>7</v>
      </c>
      <c r="W4">
        <v>8</v>
      </c>
      <c r="X4">
        <v>9</v>
      </c>
      <c r="Y4">
        <v>10</v>
      </c>
      <c r="Z4">
        <v>11</v>
      </c>
      <c r="AA4">
        <v>12</v>
      </c>
      <c r="AB4">
        <v>13</v>
      </c>
      <c r="AC4">
        <v>14</v>
      </c>
      <c r="AD4">
        <v>15</v>
      </c>
      <c r="AE4">
        <v>16</v>
      </c>
      <c r="AF4">
        <v>17</v>
      </c>
      <c r="AG4">
        <v>18</v>
      </c>
      <c r="AH4">
        <v>19</v>
      </c>
      <c r="AI4">
        <v>20</v>
      </c>
      <c r="AJ4">
        <v>21</v>
      </c>
      <c r="AK4">
        <v>22</v>
      </c>
      <c r="AL4">
        <v>23</v>
      </c>
      <c r="AM4">
        <v>24</v>
      </c>
      <c r="AN4">
        <v>25</v>
      </c>
      <c r="AO4">
        <v>26</v>
      </c>
      <c r="AP4">
        <v>27</v>
      </c>
      <c r="AQ4">
        <v>28</v>
      </c>
      <c r="AR4">
        <v>29</v>
      </c>
      <c r="AS4">
        <v>30</v>
      </c>
    </row>
    <row r="5" spans="1:46">
      <c r="A5" s="78" t="s">
        <v>136</v>
      </c>
      <c r="B5" s="97">
        <f>'Final Proforma'!F8</f>
        <v>30</v>
      </c>
      <c r="E5">
        <v>3</v>
      </c>
      <c r="F5" s="77">
        <f t="shared" si="3"/>
        <v>763.86447274473517</v>
      </c>
      <c r="G5" s="77">
        <f t="shared" si="0"/>
        <v>531.0203290297153</v>
      </c>
      <c r="H5" s="77">
        <f t="shared" si="4"/>
        <v>232.84414371501987</v>
      </c>
      <c r="I5" s="77">
        <f t="shared" si="1"/>
        <v>2128.7124561784967</v>
      </c>
      <c r="J5" s="77">
        <f t="shared" si="1"/>
        <v>926.74543480044395</v>
      </c>
      <c r="K5" s="77">
        <f t="shared" si="5"/>
        <v>159306.09870891456</v>
      </c>
      <c r="L5" s="75">
        <v>400000</v>
      </c>
      <c r="M5" s="75">
        <f t="shared" si="2"/>
        <v>240693.90129108544</v>
      </c>
      <c r="O5" t="s">
        <v>147</v>
      </c>
      <c r="P5" s="77">
        <f>P14</f>
        <v>6348.7153797335304</v>
      </c>
      <c r="Q5" s="77">
        <f>P15</f>
        <v>12582.635013181218</v>
      </c>
      <c r="R5" s="77">
        <f>P16</f>
        <v>18697.081944518744</v>
      </c>
      <c r="S5" s="77">
        <f>P17</f>
        <v>24687.188671525349</v>
      </c>
      <c r="T5" s="77">
        <f>P18</f>
        <v>30547.889382429636</v>
      </c>
      <c r="U5" s="77">
        <f>P19</f>
        <v>36273.911876472484</v>
      </c>
      <c r="V5" s="77">
        <f>P20</f>
        <v>41859.769155301263</v>
      </c>
      <c r="W5" s="77">
        <f>P21</f>
        <v>47299.750671784481</v>
      </c>
      <c r="X5" s="77">
        <f>P22</f>
        <v>52587.913222289593</v>
      </c>
      <c r="Y5" s="77">
        <f>P23</f>
        <v>57718.071467898139</v>
      </c>
      <c r="Z5" s="77">
        <f>P24</f>
        <v>62683.788069440656</v>
      </c>
      <c r="AA5" s="77">
        <f>P25</f>
        <v>67478.363420617665</v>
      </c>
      <c r="AB5" s="77">
        <f>P26</f>
        <v>72094.824962832019</v>
      </c>
      <c r="AC5" s="77">
        <f>P27</f>
        <v>76525.916064691279</v>
      </c>
      <c r="AD5" s="77">
        <f>P28</f>
        <v>80764.084448443624</v>
      </c>
      <c r="AE5" s="77">
        <f>P29</f>
        <v>84801.470144889143</v>
      </c>
      <c r="AF5" s="77">
        <f>P30</f>
        <v>88629.892957555378</v>
      </c>
      <c r="AG5" s="77">
        <f>P31</f>
        <v>92240.839416144183</v>
      </c>
      <c r="AH5" s="77">
        <f>P32</f>
        <v>95625.449198441827</v>
      </c>
      <c r="AI5" s="77">
        <f>P33</f>
        <v>98774.5009990369</v>
      </c>
      <c r="AJ5" s="77">
        <f>P34</f>
        <v>101678.39782230777</v>
      </c>
      <c r="AK5" s="77">
        <f>P35</f>
        <v>104327.1516762238</v>
      </c>
      <c r="AL5" s="77">
        <f>P36</f>
        <v>106710.36764254833</v>
      </c>
      <c r="AM5" s="77">
        <f>P37</f>
        <v>108817.22729803721</v>
      </c>
      <c r="AN5" s="77">
        <f>P38</f>
        <v>110636.47146019137</v>
      </c>
      <c r="AO5" s="77">
        <f>P39</f>
        <v>112156.38223004474</v>
      </c>
      <c r="AP5" s="77">
        <f>P40</f>
        <v>113364.76430334756</v>
      </c>
      <c r="AQ5" s="77">
        <f>P41</f>
        <v>114248.92552033855</v>
      </c>
      <c r="AR5" s="77">
        <f>P42</f>
        <v>114795.6566230848</v>
      </c>
      <c r="AS5" s="77">
        <f>P43</f>
        <v>114991.21018810441</v>
      </c>
    </row>
    <row r="6" spans="1:46">
      <c r="A6" s="78" t="s">
        <v>137</v>
      </c>
      <c r="B6" s="97">
        <f>'Final Proforma'!F9</f>
        <v>12</v>
      </c>
      <c r="E6">
        <v>4</v>
      </c>
      <c r="F6" s="77">
        <f t="shared" si="3"/>
        <v>763.86447274473517</v>
      </c>
      <c r="G6" s="77">
        <f t="shared" si="0"/>
        <v>530.24418188399852</v>
      </c>
      <c r="H6" s="77">
        <f t="shared" si="4"/>
        <v>233.62029086073665</v>
      </c>
      <c r="I6" s="77">
        <f t="shared" si="1"/>
        <v>2658.9566380624951</v>
      </c>
      <c r="J6" s="77">
        <f t="shared" si="1"/>
        <v>1160.3657256611805</v>
      </c>
      <c r="K6" s="77">
        <f t="shared" si="5"/>
        <v>159073.25456519955</v>
      </c>
      <c r="L6" s="75">
        <v>400000</v>
      </c>
      <c r="M6" s="75">
        <f t="shared" si="2"/>
        <v>240926.74543480045</v>
      </c>
      <c r="O6" t="s">
        <v>148</v>
      </c>
      <c r="P6" s="77">
        <f>Q14</f>
        <v>2817.6582932032911</v>
      </c>
      <c r="Q6" s="77">
        <f>Q15</f>
        <v>5750.112332692428</v>
      </c>
      <c r="R6" s="77">
        <f>Q16</f>
        <v>8802.0390742917207</v>
      </c>
      <c r="S6" s="77">
        <f>Q17</f>
        <v>11978.306020221935</v>
      </c>
      <c r="T6" s="77">
        <f>Q18</f>
        <v>15283.978982254472</v>
      </c>
      <c r="U6" s="77">
        <f>Q19</f>
        <v>18724.330161148453</v>
      </c>
      <c r="V6" s="77">
        <f>Q20</f>
        <v>22304.846555256489</v>
      </c>
      <c r="W6" s="77">
        <f>Q21</f>
        <v>26031.238711710084</v>
      </c>
      <c r="X6" s="77">
        <f>Q22</f>
        <v>29909.449834141808</v>
      </c>
      <c r="Y6" s="77">
        <f>Q23</f>
        <v>33945.665261470087</v>
      </c>
      <c r="Z6" s="77">
        <f>Q24</f>
        <v>38146.322332864373</v>
      </c>
      <c r="AA6" s="77">
        <f>Q25</f>
        <v>42518.120654624188</v>
      </c>
      <c r="AB6" s="77">
        <f>Q26</f>
        <v>47068.032785346652</v>
      </c>
      <c r="AC6" s="77">
        <f>Q27</f>
        <v>51803.315356424224</v>
      </c>
      <c r="AD6" s="77">
        <f>Q28</f>
        <v>56731.520645608682</v>
      </c>
      <c r="AE6" s="77">
        <f>Q29</f>
        <v>61860.508622099973</v>
      </c>
      <c r="AF6" s="77">
        <f>Q30</f>
        <v>67198.45948237057</v>
      </c>
      <c r="AG6" s="77">
        <f>Q31</f>
        <v>72753.886696718604</v>
      </c>
      <c r="AH6" s="77">
        <f>Q32</f>
        <v>78535.65058735777</v>
      </c>
      <c r="AI6" s="77">
        <f>Q33</f>
        <v>84552.972459699493</v>
      </c>
      <c r="AJ6" s="77">
        <f>Q34</f>
        <v>90815.449309365402</v>
      </c>
      <c r="AK6" s="77">
        <f>Q35</f>
        <v>97333.069128386182</v>
      </c>
      <c r="AL6" s="77">
        <f>Q36</f>
        <v>104116.22683499845</v>
      </c>
      <c r="AM6" s="77">
        <f>Q37</f>
        <v>111175.7408524464</v>
      </c>
      <c r="AN6" s="77">
        <f>Q38</f>
        <v>118522.87036322903</v>
      </c>
      <c r="AO6" s="77">
        <f>Q39</f>
        <v>126169.33326631246</v>
      </c>
      <c r="AP6" s="77">
        <f>Q40</f>
        <v>134127.32486594646</v>
      </c>
      <c r="AQ6" s="77">
        <f>Q41</f>
        <v>142409.53732189225</v>
      </c>
      <c r="AR6" s="77">
        <f>Q42</f>
        <v>151029.17989208282</v>
      </c>
      <c r="AS6" s="77">
        <f>Q43</f>
        <v>160000.00000000012</v>
      </c>
      <c r="AT6" s="77"/>
    </row>
    <row r="7" spans="1:46">
      <c r="A7" s="78" t="s">
        <v>138</v>
      </c>
      <c r="B7">
        <f>B6*B5</f>
        <v>360</v>
      </c>
      <c r="E7">
        <v>5</v>
      </c>
      <c r="F7" s="77">
        <f t="shared" si="3"/>
        <v>763.86447274473517</v>
      </c>
      <c r="G7" s="77">
        <f t="shared" si="0"/>
        <v>529.46544758112941</v>
      </c>
      <c r="H7" s="77">
        <f t="shared" si="4"/>
        <v>234.39902516360576</v>
      </c>
      <c r="I7" s="77">
        <f t="shared" si="1"/>
        <v>3188.4220856436245</v>
      </c>
      <c r="J7" s="77">
        <f t="shared" si="1"/>
        <v>1394.7647508247862</v>
      </c>
      <c r="K7" s="77">
        <f t="shared" si="5"/>
        <v>158839.63427433881</v>
      </c>
      <c r="L7" s="75">
        <v>400000</v>
      </c>
      <c r="M7" s="75">
        <f t="shared" si="2"/>
        <v>241160.36572566119</v>
      </c>
      <c r="O7" t="s">
        <v>151</v>
      </c>
      <c r="P7" s="77">
        <f>S14</f>
        <v>2817.6582932032911</v>
      </c>
      <c r="Q7" s="77">
        <f t="shared" ref="Q7:AS7" si="6">Q6-P6</f>
        <v>2932.4540394891369</v>
      </c>
      <c r="R7" s="77">
        <f t="shared" si="6"/>
        <v>3051.9267415992927</v>
      </c>
      <c r="S7" s="77">
        <f t="shared" si="6"/>
        <v>3176.2669459302142</v>
      </c>
      <c r="T7" s="77">
        <f t="shared" si="6"/>
        <v>3305.6729620325368</v>
      </c>
      <c r="U7" s="77">
        <f t="shared" si="6"/>
        <v>3440.3511788939813</v>
      </c>
      <c r="V7" s="77">
        <f t="shared" si="6"/>
        <v>3580.5163941080355</v>
      </c>
      <c r="W7" s="77">
        <f t="shared" si="6"/>
        <v>3726.3921564535958</v>
      </c>
      <c r="X7" s="77">
        <f t="shared" si="6"/>
        <v>3878.2111224317232</v>
      </c>
      <c r="Y7" s="77">
        <f t="shared" si="6"/>
        <v>4036.2154273282795</v>
      </c>
      <c r="Z7" s="77">
        <f t="shared" si="6"/>
        <v>4200.6570713942856</v>
      </c>
      <c r="AA7" s="77">
        <f t="shared" si="6"/>
        <v>4371.7983217598157</v>
      </c>
      <c r="AB7" s="77">
        <f t="shared" si="6"/>
        <v>4549.9121307224632</v>
      </c>
      <c r="AC7" s="77">
        <f t="shared" si="6"/>
        <v>4735.2825710775724</v>
      </c>
      <c r="AD7" s="77">
        <f t="shared" si="6"/>
        <v>4928.2052891844578</v>
      </c>
      <c r="AE7" s="77">
        <f t="shared" si="6"/>
        <v>5128.9879764912912</v>
      </c>
      <c r="AF7" s="77">
        <f t="shared" si="6"/>
        <v>5337.9508602705973</v>
      </c>
      <c r="AG7" s="77">
        <f t="shared" si="6"/>
        <v>5555.4272143480339</v>
      </c>
      <c r="AH7" s="77">
        <f t="shared" si="6"/>
        <v>5781.7638906391658</v>
      </c>
      <c r="AI7" s="77">
        <f t="shared" si="6"/>
        <v>6017.3218723417231</v>
      </c>
      <c r="AJ7" s="77">
        <f t="shared" si="6"/>
        <v>6262.476849665909</v>
      </c>
      <c r="AK7" s="77">
        <f t="shared" si="6"/>
        <v>6517.6198190207797</v>
      </c>
      <c r="AL7" s="77">
        <f t="shared" si="6"/>
        <v>6783.15770661227</v>
      </c>
      <c r="AM7" s="77">
        <f t="shared" si="6"/>
        <v>7059.5140174479457</v>
      </c>
      <c r="AN7" s="77">
        <f t="shared" si="6"/>
        <v>7347.1295107826299</v>
      </c>
      <c r="AO7" s="77">
        <f t="shared" si="6"/>
        <v>7646.462903083433</v>
      </c>
      <c r="AP7" s="77">
        <f t="shared" si="6"/>
        <v>7957.9915996339987</v>
      </c>
      <c r="AQ7" s="77">
        <f t="shared" si="6"/>
        <v>8282.212455945788</v>
      </c>
      <c r="AR7" s="77">
        <f t="shared" si="6"/>
        <v>8619.6425701905682</v>
      </c>
      <c r="AS7" s="77">
        <f t="shared" si="6"/>
        <v>8970.8201079173014</v>
      </c>
    </row>
    <row r="8" spans="1:46">
      <c r="A8" s="78" t="s">
        <v>139</v>
      </c>
      <c r="B8" s="77">
        <f>-PMT(B4/B6, B7, B3, 0)</f>
        <v>763.86447274473517</v>
      </c>
      <c r="E8">
        <v>6</v>
      </c>
      <c r="F8" s="77">
        <f t="shared" si="3"/>
        <v>763.86447274473517</v>
      </c>
      <c r="G8" s="77">
        <f t="shared" si="0"/>
        <v>528.68411749725067</v>
      </c>
      <c r="H8" s="77">
        <f t="shared" si="4"/>
        <v>235.1803552474845</v>
      </c>
      <c r="I8" s="77">
        <f t="shared" si="1"/>
        <v>3717.1062031408751</v>
      </c>
      <c r="J8" s="77">
        <f t="shared" si="1"/>
        <v>1629.9451060722708</v>
      </c>
      <c r="K8" s="77">
        <f t="shared" si="5"/>
        <v>158605.2352491752</v>
      </c>
      <c r="L8" s="75">
        <v>400000</v>
      </c>
      <c r="M8" s="75">
        <f t="shared" si="2"/>
        <v>241394.7647508248</v>
      </c>
      <c r="O8" t="s">
        <v>146</v>
      </c>
      <c r="P8" s="77">
        <f>R14</f>
        <v>157421.4679530313</v>
      </c>
      <c r="Q8" s="77">
        <f>R15</f>
        <v>154498.7562857664</v>
      </c>
      <c r="R8" s="77">
        <f>R16</f>
        <v>151456.96883566739</v>
      </c>
      <c r="S8" s="77">
        <f>R17</f>
        <v>148291.25427161733</v>
      </c>
      <c r="T8" s="77">
        <f>R18</f>
        <v>144996.56361178425</v>
      </c>
      <c r="U8" s="77">
        <f>R19</f>
        <v>141567.64217102612</v>
      </c>
      <c r="V8" s="77">
        <f>R20</f>
        <v>137999.02118022076</v>
      </c>
      <c r="W8" s="77">
        <f>R21</f>
        <v>134285.00906415409</v>
      </c>
      <c r="X8" s="77">
        <f>R22</f>
        <v>130419.68236405602</v>
      </c>
      <c r="Y8" s="77">
        <f>R23</f>
        <v>126396.87629030689</v>
      </c>
      <c r="Z8" s="77">
        <f>R24</f>
        <v>122210.17489024611</v>
      </c>
      <c r="AA8" s="77">
        <f>R25</f>
        <v>117852.90081540243</v>
      </c>
      <c r="AB8" s="77">
        <f>R26</f>
        <v>113318.10467182523</v>
      </c>
      <c r="AC8" s="77">
        <f>R27</f>
        <v>108598.55393653199</v>
      </c>
      <c r="AD8" s="77">
        <f>R28</f>
        <v>103686.72142239466</v>
      </c>
      <c r="AE8" s="77">
        <f>R29</f>
        <v>98574.773273067796</v>
      </c>
      <c r="AF8" s="77">
        <f>R30</f>
        <v>93254.556468811381</v>
      </c>
      <c r="AG8" s="77">
        <f>R31</f>
        <v>87717.585823281785</v>
      </c>
      <c r="AH8" s="77">
        <f>R32</f>
        <v>81955.030450551727</v>
      </c>
      <c r="AI8" s="77">
        <f>R33</f>
        <v>75957.699680775913</v>
      </c>
      <c r="AJ8" s="77">
        <f>R34</f>
        <v>69716.028402039126</v>
      </c>
      <c r="AK8" s="77">
        <f>R35</f>
        <v>63220.061805008445</v>
      </c>
      <c r="AL8" s="77">
        <f>R36</f>
        <v>56459.439506059316</v>
      </c>
      <c r="AM8" s="77">
        <f>R37</f>
        <v>49423.379023553047</v>
      </c>
      <c r="AN8" s="77">
        <f>R38</f>
        <v>42100.658580912517</v>
      </c>
      <c r="AO8" s="77">
        <f>R39</f>
        <v>34479.599209068539</v>
      </c>
      <c r="AP8" s="77">
        <f>R40</f>
        <v>26548.046119732317</v>
      </c>
      <c r="AQ8" s="77">
        <f>R41</f>
        <v>18293.349319786314</v>
      </c>
      <c r="AR8" s="77">
        <f>R42</f>
        <v>9702.3434358754585</v>
      </c>
      <c r="AS8" s="77">
        <f>R43</f>
        <v>761.32671702108553</v>
      </c>
    </row>
    <row r="9" spans="1:46">
      <c r="A9" s="78" t="s">
        <v>140</v>
      </c>
      <c r="B9" s="77">
        <f>B8*B7</f>
        <v>274991.21018810465</v>
      </c>
      <c r="E9">
        <v>7</v>
      </c>
      <c r="F9" s="77">
        <f t="shared" si="3"/>
        <v>763.86447274473517</v>
      </c>
      <c r="G9" s="77">
        <f t="shared" si="0"/>
        <v>527.90018297975905</v>
      </c>
      <c r="H9" s="77">
        <f t="shared" si="4"/>
        <v>235.96428976497612</v>
      </c>
      <c r="I9" s="77">
        <f t="shared" si="1"/>
        <v>4245.0063861206345</v>
      </c>
      <c r="J9" s="77">
        <f t="shared" si="1"/>
        <v>1865.9093958372468</v>
      </c>
      <c r="K9" s="77">
        <f t="shared" si="5"/>
        <v>158370.05489392771</v>
      </c>
      <c r="L9" s="75">
        <v>400000</v>
      </c>
      <c r="M9" s="75">
        <f t="shared" si="2"/>
        <v>241629.94510607229</v>
      </c>
    </row>
    <row r="10" spans="1:46">
      <c r="A10" s="78" t="s">
        <v>141</v>
      </c>
      <c r="B10" s="82">
        <f>B9-B3</f>
        <v>114991.21018810465</v>
      </c>
      <c r="E10">
        <v>8</v>
      </c>
      <c r="F10" s="77">
        <f t="shared" si="3"/>
        <v>763.86447274473517</v>
      </c>
      <c r="G10" s="77">
        <f t="shared" si="0"/>
        <v>527.11363534720908</v>
      </c>
      <c r="H10" s="77">
        <f t="shared" si="4"/>
        <v>236.75083739752608</v>
      </c>
      <c r="I10" s="77">
        <f t="shared" si="1"/>
        <v>4772.1200214678438</v>
      </c>
      <c r="J10" s="77">
        <f t="shared" si="1"/>
        <v>2102.6602332347729</v>
      </c>
      <c r="K10" s="77">
        <f t="shared" si="5"/>
        <v>158134.09060416272</v>
      </c>
      <c r="L10" s="75">
        <v>400000</v>
      </c>
      <c r="M10" s="75">
        <f t="shared" si="2"/>
        <v>241865.90939583728</v>
      </c>
    </row>
    <row r="11" spans="1:46">
      <c r="E11">
        <v>9</v>
      </c>
      <c r="F11" s="77">
        <f t="shared" si="3"/>
        <v>763.86447274473517</v>
      </c>
      <c r="G11" s="77">
        <f t="shared" si="0"/>
        <v>526.32446588921732</v>
      </c>
      <c r="H11" s="77">
        <f t="shared" si="4"/>
        <v>237.54000685551784</v>
      </c>
      <c r="I11" s="77">
        <f t="shared" si="1"/>
        <v>5298.444487357061</v>
      </c>
      <c r="J11" s="77">
        <f t="shared" si="1"/>
        <v>2340.2002400902907</v>
      </c>
      <c r="K11" s="77">
        <f t="shared" si="5"/>
        <v>157897.33976676519</v>
      </c>
      <c r="L11" s="75">
        <v>400000</v>
      </c>
      <c r="M11" s="75">
        <f t="shared" si="2"/>
        <v>242102.66023323481</v>
      </c>
    </row>
    <row r="12" spans="1:46">
      <c r="E12">
        <v>10</v>
      </c>
      <c r="F12" s="77">
        <f t="shared" si="3"/>
        <v>763.86447274473517</v>
      </c>
      <c r="G12" s="77">
        <f t="shared" si="0"/>
        <v>525.53266586636551</v>
      </c>
      <c r="H12" s="77">
        <f t="shared" si="4"/>
        <v>238.33180687836966</v>
      </c>
      <c r="I12" s="77">
        <f t="shared" si="1"/>
        <v>5823.9771532234263</v>
      </c>
      <c r="J12" s="77">
        <f t="shared" si="1"/>
        <v>2578.5320469686603</v>
      </c>
      <c r="K12" s="77">
        <f t="shared" si="5"/>
        <v>157659.79975990966</v>
      </c>
      <c r="L12" s="75">
        <v>400000</v>
      </c>
      <c r="M12" s="75">
        <f t="shared" si="2"/>
        <v>242340.20024009034</v>
      </c>
    </row>
    <row r="13" spans="1:46">
      <c r="B13" s="77"/>
      <c r="E13">
        <v>11</v>
      </c>
      <c r="F13" s="77">
        <f t="shared" si="3"/>
        <v>763.86447274473517</v>
      </c>
      <c r="G13" s="77">
        <f t="shared" si="0"/>
        <v>524.73822651010437</v>
      </c>
      <c r="H13" s="77">
        <f t="shared" si="4"/>
        <v>239.1262462346308</v>
      </c>
      <c r="I13" s="77">
        <f t="shared" si="1"/>
        <v>6348.7153797335304</v>
      </c>
      <c r="J13" s="77">
        <f t="shared" si="1"/>
        <v>2817.6582932032911</v>
      </c>
      <c r="K13" s="77">
        <f t="shared" si="5"/>
        <v>157421.4679530313</v>
      </c>
      <c r="L13" s="75">
        <v>400000</v>
      </c>
      <c r="M13" s="75">
        <f t="shared" si="2"/>
        <v>242578.5320469687</v>
      </c>
      <c r="O13" s="83" t="s">
        <v>119</v>
      </c>
      <c r="P13" t="s">
        <v>147</v>
      </c>
      <c r="Q13" t="s">
        <v>148</v>
      </c>
      <c r="R13" t="s">
        <v>148</v>
      </c>
      <c r="S13" t="s">
        <v>151</v>
      </c>
    </row>
    <row r="14" spans="1:46">
      <c r="E14">
        <v>12</v>
      </c>
      <c r="F14" s="77">
        <f t="shared" si="3"/>
        <v>763.86447274473517</v>
      </c>
      <c r="G14" s="77">
        <f t="shared" si="0"/>
        <v>523.94113902265553</v>
      </c>
      <c r="H14" s="77">
        <f t="shared" si="4"/>
        <v>239.92333372207963</v>
      </c>
      <c r="I14" s="77">
        <f t="shared" si="1"/>
        <v>6872.6565187561864</v>
      </c>
      <c r="J14" s="77">
        <f t="shared" si="1"/>
        <v>3057.581626925371</v>
      </c>
      <c r="K14" s="77">
        <f t="shared" si="5"/>
        <v>157182.34170679667</v>
      </c>
      <c r="L14" s="75">
        <v>400000</v>
      </c>
      <c r="M14" s="75">
        <f t="shared" si="2"/>
        <v>242817.65829320333</v>
      </c>
      <c r="O14">
        <v>1</v>
      </c>
      <c r="P14" s="77">
        <f>I13</f>
        <v>6348.7153797335304</v>
      </c>
      <c r="Q14" s="77">
        <f>J13</f>
        <v>2817.6582932032911</v>
      </c>
      <c r="R14" s="77">
        <f>K13</f>
        <v>157421.4679530313</v>
      </c>
      <c r="S14" s="77">
        <f>Q14</f>
        <v>2817.6582932032911</v>
      </c>
    </row>
    <row r="15" spans="1:46">
      <c r="E15">
        <v>13</v>
      </c>
      <c r="F15" s="77">
        <f t="shared" si="3"/>
        <v>763.86447274473517</v>
      </c>
      <c r="G15" s="77">
        <f t="shared" si="0"/>
        <v>523.14139457691533</v>
      </c>
      <c r="H15" s="77">
        <f t="shared" si="4"/>
        <v>240.72307816781984</v>
      </c>
      <c r="I15" s="77">
        <f t="shared" si="1"/>
        <v>7395.7979133331019</v>
      </c>
      <c r="J15" s="77">
        <f t="shared" si="1"/>
        <v>3298.3047050931909</v>
      </c>
      <c r="K15" s="77">
        <f t="shared" si="5"/>
        <v>156942.41837307459</v>
      </c>
      <c r="L15" s="75">
        <v>400000</v>
      </c>
      <c r="M15" s="75">
        <f t="shared" si="2"/>
        <v>243057.58162692541</v>
      </c>
      <c r="O15">
        <v>2</v>
      </c>
      <c r="P15" s="77">
        <f>I25</f>
        <v>12582.635013181218</v>
      </c>
      <c r="Q15" s="77">
        <f>J25</f>
        <v>5750.112332692428</v>
      </c>
      <c r="R15" s="77">
        <f>K25</f>
        <v>154498.7562857664</v>
      </c>
      <c r="S15" s="77">
        <f t="shared" ref="S15:S43" si="7">Q15-Q14</f>
        <v>2932.4540394891369</v>
      </c>
    </row>
    <row r="16" spans="1:46">
      <c r="E16">
        <v>14</v>
      </c>
      <c r="F16" s="77">
        <f t="shared" si="3"/>
        <v>763.86447274473517</v>
      </c>
      <c r="G16" s="77">
        <f t="shared" si="0"/>
        <v>522.33898431635589</v>
      </c>
      <c r="H16" s="77">
        <f t="shared" si="4"/>
        <v>241.52548842837928</v>
      </c>
      <c r="I16" s="77">
        <f t="shared" si="1"/>
        <v>7918.1368976494578</v>
      </c>
      <c r="J16" s="77">
        <f t="shared" si="1"/>
        <v>3539.8301935215704</v>
      </c>
      <c r="K16" s="77">
        <f t="shared" si="5"/>
        <v>156701.69529490676</v>
      </c>
      <c r="L16" s="75">
        <v>400000</v>
      </c>
      <c r="M16" s="75">
        <f t="shared" si="2"/>
        <v>243298.30470509324</v>
      </c>
      <c r="O16">
        <v>3</v>
      </c>
      <c r="P16" s="77">
        <f>I37</f>
        <v>18697.081944518744</v>
      </c>
      <c r="Q16" s="77">
        <f>J37</f>
        <v>8802.0390742917207</v>
      </c>
      <c r="R16" s="77">
        <f>K37</f>
        <v>151456.96883566739</v>
      </c>
      <c r="S16" s="77">
        <f t="shared" si="7"/>
        <v>3051.9267415992927</v>
      </c>
    </row>
    <row r="17" spans="1:21">
      <c r="E17">
        <v>15</v>
      </c>
      <c r="F17" s="77">
        <f t="shared" si="3"/>
        <v>763.86447274473517</v>
      </c>
      <c r="G17" s="77">
        <f t="shared" si="0"/>
        <v>521.53389935492794</v>
      </c>
      <c r="H17" s="77">
        <f t="shared" si="4"/>
        <v>242.33057338980723</v>
      </c>
      <c r="I17" s="77">
        <f t="shared" si="1"/>
        <v>8439.6707970043863</v>
      </c>
      <c r="J17" s="77">
        <f t="shared" si="1"/>
        <v>3782.1607669113778</v>
      </c>
      <c r="K17" s="77">
        <f t="shared" si="5"/>
        <v>156460.16980647837</v>
      </c>
      <c r="L17" s="75">
        <v>400000</v>
      </c>
      <c r="M17" s="75">
        <f t="shared" si="2"/>
        <v>243539.83019352163</v>
      </c>
      <c r="O17">
        <v>4</v>
      </c>
      <c r="P17" s="77">
        <f>I49</f>
        <v>24687.188671525349</v>
      </c>
      <c r="Q17" s="77">
        <f>J49</f>
        <v>11978.306020221935</v>
      </c>
      <c r="R17" s="77">
        <f>K49</f>
        <v>148291.25427161733</v>
      </c>
      <c r="S17" s="77">
        <f t="shared" si="7"/>
        <v>3176.2669459302142</v>
      </c>
    </row>
    <row r="18" spans="1:21">
      <c r="A18" s="76">
        <f>B4/12</f>
        <v>3.3333333333333335E-3</v>
      </c>
      <c r="E18">
        <v>16</v>
      </c>
      <c r="F18" s="77">
        <f t="shared" si="3"/>
        <v>763.86447274473517</v>
      </c>
      <c r="G18" s="77">
        <f t="shared" si="0"/>
        <v>520.7261307769619</v>
      </c>
      <c r="H18" s="77">
        <f t="shared" si="4"/>
        <v>243.13834196777327</v>
      </c>
      <c r="I18" s="77">
        <f t="shared" si="1"/>
        <v>8960.3969277813485</v>
      </c>
      <c r="J18" s="77">
        <f t="shared" si="1"/>
        <v>4025.2991088791509</v>
      </c>
      <c r="K18" s="77">
        <f t="shared" si="5"/>
        <v>156217.83923308857</v>
      </c>
      <c r="L18" s="75">
        <v>400000</v>
      </c>
      <c r="M18" s="75">
        <f t="shared" si="2"/>
        <v>243782.16076691143</v>
      </c>
      <c r="O18">
        <v>5</v>
      </c>
      <c r="P18" s="77">
        <f>I61</f>
        <v>30547.889382429636</v>
      </c>
      <c r="Q18" s="77">
        <f>J61</f>
        <v>15283.978982254472</v>
      </c>
      <c r="R18" s="77">
        <f>K61</f>
        <v>144996.56361178425</v>
      </c>
      <c r="S18" s="77">
        <f t="shared" si="7"/>
        <v>3305.6729620325368</v>
      </c>
    </row>
    <row r="19" spans="1:21">
      <c r="B19">
        <f>319615.33*A18</f>
        <v>1065.3844333333334</v>
      </c>
      <c r="E19">
        <v>17</v>
      </c>
      <c r="F19" s="77">
        <f t="shared" si="3"/>
        <v>763.86447274473517</v>
      </c>
      <c r="G19" s="77">
        <f t="shared" si="0"/>
        <v>519.9156696370693</v>
      </c>
      <c r="H19" s="77">
        <f t="shared" si="4"/>
        <v>243.94880310766587</v>
      </c>
      <c r="I19" s="77">
        <f t="shared" ref="I19:J34" si="8">I18+G19</f>
        <v>9480.3125974184186</v>
      </c>
      <c r="J19" s="77">
        <f t="shared" si="8"/>
        <v>4269.2479119868167</v>
      </c>
      <c r="K19" s="77">
        <f t="shared" si="5"/>
        <v>155974.7008911208</v>
      </c>
      <c r="L19" s="75">
        <v>400000</v>
      </c>
      <c r="M19" s="75">
        <f t="shared" si="2"/>
        <v>244025.2991088792</v>
      </c>
      <c r="O19">
        <v>6</v>
      </c>
      <c r="P19" s="77">
        <f>I73</f>
        <v>36273.911876472484</v>
      </c>
      <c r="Q19" s="77">
        <f>J73</f>
        <v>18724.330161148453</v>
      </c>
      <c r="R19" s="77">
        <f>K73</f>
        <v>141567.64217102612</v>
      </c>
      <c r="S19" s="77">
        <f t="shared" si="7"/>
        <v>3440.3511788939813</v>
      </c>
    </row>
    <row r="20" spans="1:21">
      <c r="B20" s="77">
        <f>A18*B3</f>
        <v>533.33333333333337</v>
      </c>
      <c r="E20">
        <v>18</v>
      </c>
      <c r="F20" s="77">
        <f t="shared" si="3"/>
        <v>763.86447274473517</v>
      </c>
      <c r="G20" s="77">
        <f t="shared" si="0"/>
        <v>519.1025069600438</v>
      </c>
      <c r="H20" s="77">
        <f t="shared" si="4"/>
        <v>244.76196578469137</v>
      </c>
      <c r="I20" s="77">
        <f t="shared" si="8"/>
        <v>9999.4151043784623</v>
      </c>
      <c r="J20" s="77">
        <f t="shared" si="8"/>
        <v>4514.0098777715084</v>
      </c>
      <c r="K20" s="77">
        <f t="shared" si="5"/>
        <v>155730.75208801313</v>
      </c>
      <c r="L20" s="75">
        <v>400000</v>
      </c>
      <c r="M20" s="75">
        <f t="shared" si="2"/>
        <v>244269.24791198687</v>
      </c>
      <c r="O20">
        <v>7</v>
      </c>
      <c r="P20" s="77">
        <f>I85</f>
        <v>41859.769155301263</v>
      </c>
      <c r="Q20" s="77">
        <f>J85</f>
        <v>22304.846555256489</v>
      </c>
      <c r="R20" s="77">
        <f>K85</f>
        <v>137999.02118022076</v>
      </c>
      <c r="S20" s="77">
        <f t="shared" si="7"/>
        <v>3580.5163941080355</v>
      </c>
    </row>
    <row r="21" spans="1:21">
      <c r="E21">
        <v>19</v>
      </c>
      <c r="F21" s="77">
        <f t="shared" si="3"/>
        <v>763.86447274473517</v>
      </c>
      <c r="G21" s="77">
        <f t="shared" si="0"/>
        <v>518.28663374076154</v>
      </c>
      <c r="H21" s="77">
        <f t="shared" si="4"/>
        <v>245.57783900397362</v>
      </c>
      <c r="I21" s="77">
        <f t="shared" si="8"/>
        <v>10517.701738119224</v>
      </c>
      <c r="J21" s="77">
        <f t="shared" si="8"/>
        <v>4759.5877167754825</v>
      </c>
      <c r="K21" s="77">
        <f t="shared" si="5"/>
        <v>155485.99012222845</v>
      </c>
      <c r="L21" s="75">
        <v>400000</v>
      </c>
      <c r="M21" s="75">
        <f t="shared" si="2"/>
        <v>244514.00987777155</v>
      </c>
      <c r="O21">
        <v>8</v>
      </c>
      <c r="P21" s="77">
        <f>I97</f>
        <v>47299.750671784481</v>
      </c>
      <c r="Q21" s="77">
        <f>J97</f>
        <v>26031.238711710084</v>
      </c>
      <c r="R21" s="77">
        <f>K97</f>
        <v>134285.00906415409</v>
      </c>
      <c r="S21" s="77">
        <f t="shared" si="7"/>
        <v>3726.3921564535958</v>
      </c>
    </row>
    <row r="22" spans="1:21">
      <c r="E22">
        <v>20</v>
      </c>
      <c r="F22" s="77">
        <f t="shared" si="3"/>
        <v>763.86447274473517</v>
      </c>
      <c r="G22" s="77">
        <f t="shared" si="0"/>
        <v>517.46804094408162</v>
      </c>
      <c r="H22" s="77">
        <f t="shared" si="4"/>
        <v>246.39643180065354</v>
      </c>
      <c r="I22" s="77">
        <f t="shared" si="8"/>
        <v>11035.169779063304</v>
      </c>
      <c r="J22" s="77">
        <f t="shared" si="8"/>
        <v>5005.9841485761362</v>
      </c>
      <c r="K22" s="77">
        <f t="shared" si="5"/>
        <v>155240.41228322449</v>
      </c>
      <c r="L22" s="75">
        <v>400000</v>
      </c>
      <c r="M22" s="75">
        <f t="shared" si="2"/>
        <v>244759.58771677551</v>
      </c>
      <c r="O22">
        <v>9</v>
      </c>
      <c r="P22" s="77">
        <f>I109</f>
        <v>52587.913222289593</v>
      </c>
      <c r="Q22" s="77">
        <f>J109</f>
        <v>29909.449834141808</v>
      </c>
      <c r="R22" s="77">
        <f>K109</f>
        <v>130419.68236405602</v>
      </c>
      <c r="S22" s="77">
        <f t="shared" si="7"/>
        <v>3878.2111224317232</v>
      </c>
    </row>
    <row r="23" spans="1:21">
      <c r="E23">
        <v>21</v>
      </c>
      <c r="F23" s="77">
        <f t="shared" si="3"/>
        <v>763.86447274473517</v>
      </c>
      <c r="G23" s="77">
        <f t="shared" si="0"/>
        <v>516.64671950474622</v>
      </c>
      <c r="H23" s="77">
        <f t="shared" si="4"/>
        <v>247.21775323998895</v>
      </c>
      <c r="I23" s="77">
        <f t="shared" si="8"/>
        <v>11551.816498568051</v>
      </c>
      <c r="J23" s="77">
        <f t="shared" si="8"/>
        <v>5253.2019018161254</v>
      </c>
      <c r="K23" s="77">
        <f t="shared" si="5"/>
        <v>154994.01585142384</v>
      </c>
      <c r="L23" s="75">
        <v>400000</v>
      </c>
      <c r="M23" s="75">
        <f t="shared" si="2"/>
        <v>245005.98414857616</v>
      </c>
      <c r="O23">
        <v>10</v>
      </c>
      <c r="P23" s="77">
        <f>I121</f>
        <v>57718.071467898139</v>
      </c>
      <c r="Q23" s="77">
        <f>J121</f>
        <v>33945.665261470087</v>
      </c>
      <c r="R23" s="77">
        <f>K121</f>
        <v>126396.87629030689</v>
      </c>
      <c r="S23" s="77">
        <f t="shared" si="7"/>
        <v>4036.2154273282795</v>
      </c>
    </row>
    <row r="24" spans="1:21">
      <c r="E24">
        <v>22</v>
      </c>
      <c r="F24" s="77">
        <f t="shared" si="3"/>
        <v>763.86447274473517</v>
      </c>
      <c r="G24" s="77">
        <f t="shared" si="0"/>
        <v>515.82266032727955</v>
      </c>
      <c r="H24" s="77">
        <f t="shared" si="4"/>
        <v>248.04181241745562</v>
      </c>
      <c r="I24" s="77">
        <f t="shared" si="8"/>
        <v>12067.63915889533</v>
      </c>
      <c r="J24" s="77">
        <f t="shared" si="8"/>
        <v>5501.2437142335812</v>
      </c>
      <c r="K24" s="77">
        <f t="shared" si="5"/>
        <v>154746.79809818385</v>
      </c>
      <c r="L24" s="75">
        <v>400000</v>
      </c>
      <c r="M24" s="75">
        <f t="shared" si="2"/>
        <v>245253.20190181615</v>
      </c>
      <c r="O24">
        <v>11</v>
      </c>
      <c r="P24" s="77">
        <f>I133</f>
        <v>62683.788069440656</v>
      </c>
      <c r="Q24" s="77">
        <f>J133</f>
        <v>38146.322332864373</v>
      </c>
      <c r="R24" s="77">
        <f>K133</f>
        <v>122210.17489024611</v>
      </c>
      <c r="S24" s="77">
        <f t="shared" si="7"/>
        <v>4200.6570713942856</v>
      </c>
    </row>
    <row r="25" spans="1:21">
      <c r="A25">
        <v>1719</v>
      </c>
      <c r="E25">
        <v>23</v>
      </c>
      <c r="F25" s="77">
        <f t="shared" si="3"/>
        <v>763.86447274473517</v>
      </c>
      <c r="G25" s="77">
        <f t="shared" si="0"/>
        <v>514.99585428588807</v>
      </c>
      <c r="H25" s="77">
        <f t="shared" si="4"/>
        <v>248.8686184588471</v>
      </c>
      <c r="I25" s="77">
        <f t="shared" si="8"/>
        <v>12582.635013181218</v>
      </c>
      <c r="J25" s="77">
        <f t="shared" si="8"/>
        <v>5750.112332692428</v>
      </c>
      <c r="K25" s="77">
        <f t="shared" si="5"/>
        <v>154498.7562857664</v>
      </c>
      <c r="L25" s="75">
        <v>400000</v>
      </c>
      <c r="M25" s="75">
        <f t="shared" si="2"/>
        <v>245501.2437142336</v>
      </c>
      <c r="O25">
        <v>12</v>
      </c>
      <c r="P25" s="77">
        <f>I145</f>
        <v>67478.363420617665</v>
      </c>
      <c r="Q25" s="77">
        <f>J145</f>
        <v>42518.120654624188</v>
      </c>
      <c r="R25" s="77">
        <f>K145</f>
        <v>117852.90081540243</v>
      </c>
      <c r="S25" s="77">
        <f t="shared" si="7"/>
        <v>4371.7983217598157</v>
      </c>
    </row>
    <row r="26" spans="1:21">
      <c r="A26">
        <v>1528</v>
      </c>
      <c r="E26">
        <v>24</v>
      </c>
      <c r="F26" s="77">
        <f t="shared" si="3"/>
        <v>763.86447274473517</v>
      </c>
      <c r="G26" s="77">
        <f t="shared" si="0"/>
        <v>514.16629222435847</v>
      </c>
      <c r="H26" s="77">
        <f t="shared" si="4"/>
        <v>249.6981805203767</v>
      </c>
      <c r="I26" s="77">
        <f t="shared" si="8"/>
        <v>13096.801305405575</v>
      </c>
      <c r="J26" s="77">
        <f t="shared" si="8"/>
        <v>5999.8105132128048</v>
      </c>
      <c r="K26" s="77">
        <f t="shared" si="5"/>
        <v>154249.88766730754</v>
      </c>
      <c r="L26" s="75">
        <v>400000</v>
      </c>
      <c r="M26" s="75">
        <f t="shared" si="2"/>
        <v>245750.11233269246</v>
      </c>
      <c r="O26">
        <v>13</v>
      </c>
      <c r="P26" s="77">
        <f>I157</f>
        <v>72094.824962832019</v>
      </c>
      <c r="Q26" s="77">
        <f>J157</f>
        <v>47068.032785346652</v>
      </c>
      <c r="R26" s="77">
        <f>K157</f>
        <v>113318.10467182523</v>
      </c>
      <c r="S26" s="77">
        <f t="shared" si="7"/>
        <v>4549.9121307224632</v>
      </c>
    </row>
    <row r="27" spans="1:21">
      <c r="A27">
        <f>A25-A26</f>
        <v>191</v>
      </c>
      <c r="B27" t="s">
        <v>370</v>
      </c>
      <c r="E27">
        <v>25</v>
      </c>
      <c r="F27" s="77">
        <f t="shared" si="3"/>
        <v>763.86447274473517</v>
      </c>
      <c r="G27" s="77">
        <f t="shared" si="0"/>
        <v>513.33396495595719</v>
      </c>
      <c r="H27" s="77">
        <f t="shared" si="4"/>
        <v>250.53050778877798</v>
      </c>
      <c r="I27" s="77">
        <f t="shared" si="8"/>
        <v>13610.135270361532</v>
      </c>
      <c r="J27" s="77">
        <f t="shared" si="8"/>
        <v>6250.3410210015827</v>
      </c>
      <c r="K27" s="77">
        <f t="shared" si="5"/>
        <v>154000.18948678716</v>
      </c>
      <c r="L27" s="75">
        <v>400000</v>
      </c>
      <c r="M27" s="75">
        <f t="shared" si="2"/>
        <v>245999.81051321284</v>
      </c>
      <c r="O27">
        <v>14</v>
      </c>
      <c r="P27" s="77">
        <f>I169</f>
        <v>76525.916064691279</v>
      </c>
      <c r="Q27" s="77">
        <f>J169</f>
        <v>51803.315356424224</v>
      </c>
      <c r="R27" s="77">
        <f>K169</f>
        <v>108598.55393653199</v>
      </c>
      <c r="S27" s="77">
        <f t="shared" si="7"/>
        <v>4735.2825710775724</v>
      </c>
    </row>
    <row r="28" spans="1:21">
      <c r="E28">
        <v>26</v>
      </c>
      <c r="F28" s="77">
        <f t="shared" si="3"/>
        <v>763.86447274473517</v>
      </c>
      <c r="G28" s="77">
        <f t="shared" si="0"/>
        <v>512.49886326332796</v>
      </c>
      <c r="H28" s="77">
        <f t="shared" si="4"/>
        <v>251.3656094814072</v>
      </c>
      <c r="I28" s="77">
        <f t="shared" si="8"/>
        <v>14122.634133624861</v>
      </c>
      <c r="J28" s="77">
        <f t="shared" si="8"/>
        <v>6501.7066304829896</v>
      </c>
      <c r="K28" s="77">
        <f t="shared" si="5"/>
        <v>153749.65897899837</v>
      </c>
      <c r="L28" s="75">
        <v>400000</v>
      </c>
      <c r="M28" s="75">
        <f t="shared" si="2"/>
        <v>246250.34102100163</v>
      </c>
      <c r="O28">
        <v>15</v>
      </c>
      <c r="P28" s="77">
        <f>I181</f>
        <v>80764.084448443624</v>
      </c>
      <c r="Q28" s="77">
        <f>J181</f>
        <v>56731.520645608682</v>
      </c>
      <c r="R28" s="77">
        <f>K181</f>
        <v>103686.72142239466</v>
      </c>
      <c r="S28" s="77">
        <f t="shared" si="7"/>
        <v>4928.2052891844578</v>
      </c>
    </row>
    <row r="29" spans="1:21">
      <c r="E29">
        <v>27</v>
      </c>
      <c r="F29" s="77">
        <f t="shared" si="3"/>
        <v>763.86447274473517</v>
      </c>
      <c r="G29" s="77">
        <f t="shared" si="0"/>
        <v>511.66097789838989</v>
      </c>
      <c r="H29" s="77">
        <f t="shared" si="4"/>
        <v>252.20349484634528</v>
      </c>
      <c r="I29" s="77">
        <f t="shared" si="8"/>
        <v>14634.29511152325</v>
      </c>
      <c r="J29" s="77">
        <f t="shared" si="8"/>
        <v>6753.9101253293347</v>
      </c>
      <c r="K29" s="77">
        <f t="shared" si="5"/>
        <v>153498.29336951696</v>
      </c>
      <c r="L29" s="75">
        <v>400000</v>
      </c>
      <c r="M29" s="75">
        <f t="shared" si="2"/>
        <v>246501.70663048304</v>
      </c>
      <c r="O29">
        <v>16</v>
      </c>
      <c r="P29" s="77">
        <f>I193</f>
        <v>84801.470144889143</v>
      </c>
      <c r="Q29" s="77">
        <f>J193</f>
        <v>61860.508622099973</v>
      </c>
      <c r="R29" s="77">
        <f>K193</f>
        <v>98574.773273067796</v>
      </c>
      <c r="S29" s="77">
        <f t="shared" si="7"/>
        <v>5128.9879764912912</v>
      </c>
    </row>
    <row r="30" spans="1:21">
      <c r="E30">
        <v>28</v>
      </c>
      <c r="F30" s="77">
        <f t="shared" si="3"/>
        <v>763.86447274473517</v>
      </c>
      <c r="G30" s="77">
        <f t="shared" si="0"/>
        <v>510.82029958223541</v>
      </c>
      <c r="H30" s="77">
        <f t="shared" si="4"/>
        <v>253.04417316249976</v>
      </c>
      <c r="I30" s="77">
        <f t="shared" si="8"/>
        <v>15145.115411105486</v>
      </c>
      <c r="J30" s="77">
        <f t="shared" si="8"/>
        <v>7006.9542984918344</v>
      </c>
      <c r="K30" s="77">
        <f t="shared" si="5"/>
        <v>153246.08987467061</v>
      </c>
      <c r="L30" s="75">
        <v>400000</v>
      </c>
      <c r="M30" s="75">
        <f t="shared" si="2"/>
        <v>246753.91012532939</v>
      </c>
      <c r="O30">
        <v>17</v>
      </c>
      <c r="P30" s="77">
        <f>I205</f>
        <v>88629.892957555378</v>
      </c>
      <c r="Q30" s="77">
        <f>J205</f>
        <v>67198.45948237057</v>
      </c>
      <c r="R30" s="77">
        <f>K205</f>
        <v>93254.556468811381</v>
      </c>
      <c r="S30" s="77">
        <f t="shared" si="7"/>
        <v>5337.9508602705973</v>
      </c>
    </row>
    <row r="31" spans="1:21">
      <c r="E31">
        <v>29</v>
      </c>
      <c r="F31" s="77">
        <f t="shared" si="3"/>
        <v>763.86447274473517</v>
      </c>
      <c r="G31" s="77">
        <f t="shared" si="0"/>
        <v>509.9768190050271</v>
      </c>
      <c r="H31" s="77">
        <f t="shared" si="4"/>
        <v>253.88765373970807</v>
      </c>
      <c r="I31" s="77">
        <f t="shared" si="8"/>
        <v>15655.092230110513</v>
      </c>
      <c r="J31" s="77">
        <f t="shared" si="8"/>
        <v>7260.8419522315426</v>
      </c>
      <c r="K31" s="77">
        <f t="shared" si="5"/>
        <v>152993.04570150812</v>
      </c>
      <c r="L31" s="75">
        <v>400000</v>
      </c>
      <c r="M31" s="75">
        <f t="shared" si="2"/>
        <v>247006.95429849188</v>
      </c>
      <c r="O31">
        <v>18</v>
      </c>
      <c r="P31" s="77">
        <f>I217</f>
        <v>92240.839416144183</v>
      </c>
      <c r="Q31" s="77">
        <f>J217</f>
        <v>72753.886696718604</v>
      </c>
      <c r="R31" s="77">
        <f>K217</f>
        <v>87717.585823281785</v>
      </c>
      <c r="S31" s="77">
        <f t="shared" si="7"/>
        <v>5555.4272143480339</v>
      </c>
      <c r="U31">
        <v>400000</v>
      </c>
    </row>
    <row r="32" spans="1:21">
      <c r="E32">
        <v>30</v>
      </c>
      <c r="F32" s="77">
        <f t="shared" si="3"/>
        <v>763.86447274473517</v>
      </c>
      <c r="G32" s="77">
        <f t="shared" si="0"/>
        <v>509.13052682589472</v>
      </c>
      <c r="H32" s="77">
        <f t="shared" si="4"/>
        <v>254.73394591884045</v>
      </c>
      <c r="I32" s="77">
        <f t="shared" si="8"/>
        <v>16164.222756936408</v>
      </c>
      <c r="J32" s="77">
        <f t="shared" si="8"/>
        <v>7515.5758981503832</v>
      </c>
      <c r="K32" s="77">
        <f t="shared" si="5"/>
        <v>152739.1580477684</v>
      </c>
      <c r="L32" s="75">
        <v>400000</v>
      </c>
      <c r="M32" s="75">
        <f t="shared" si="2"/>
        <v>247260.8419522316</v>
      </c>
      <c r="O32">
        <v>19</v>
      </c>
      <c r="P32" s="77">
        <f>I229</f>
        <v>95625.449198441827</v>
      </c>
      <c r="Q32" s="77">
        <f>J229</f>
        <v>78535.65058735777</v>
      </c>
      <c r="R32" s="77">
        <f>K229</f>
        <v>81955.030450551727</v>
      </c>
      <c r="S32" s="77">
        <f t="shared" si="7"/>
        <v>5781.7638906391658</v>
      </c>
      <c r="U32">
        <v>290000</v>
      </c>
    </row>
    <row r="33" spans="5:21">
      <c r="E33">
        <v>31</v>
      </c>
      <c r="F33" s="77">
        <f t="shared" si="3"/>
        <v>763.86447274473517</v>
      </c>
      <c r="G33" s="77">
        <f t="shared" si="0"/>
        <v>508.28141367283189</v>
      </c>
      <c r="H33" s="77">
        <f t="shared" si="4"/>
        <v>255.58305907190328</v>
      </c>
      <c r="I33" s="77">
        <f t="shared" si="8"/>
        <v>16672.504170609238</v>
      </c>
      <c r="J33" s="77">
        <f t="shared" si="8"/>
        <v>7771.1589572222865</v>
      </c>
      <c r="K33" s="77">
        <f t="shared" si="5"/>
        <v>152484.42410184955</v>
      </c>
      <c r="L33" s="75">
        <v>400000</v>
      </c>
      <c r="M33" s="75">
        <f t="shared" si="2"/>
        <v>247515.57589815045</v>
      </c>
      <c r="O33">
        <v>20</v>
      </c>
      <c r="P33" s="77">
        <f>I241</f>
        <v>98774.5009990369</v>
      </c>
      <c r="Q33" s="77">
        <f>J241</f>
        <v>84552.972459699493</v>
      </c>
      <c r="R33" s="77">
        <f>K241</f>
        <v>75957.699680775913</v>
      </c>
      <c r="S33" s="77">
        <f t="shared" si="7"/>
        <v>6017.3218723417231</v>
      </c>
      <c r="U33">
        <f>U32/U31</f>
        <v>0.72499999999999998</v>
      </c>
    </row>
    <row r="34" spans="5:21">
      <c r="E34">
        <v>32</v>
      </c>
      <c r="F34" s="77">
        <f t="shared" si="3"/>
        <v>763.86447274473517</v>
      </c>
      <c r="G34" s="77">
        <f t="shared" si="0"/>
        <v>507.42947014259215</v>
      </c>
      <c r="H34" s="77">
        <f t="shared" si="4"/>
        <v>256.43500260214302</v>
      </c>
      <c r="I34" s="77">
        <f t="shared" si="8"/>
        <v>17179.933640751831</v>
      </c>
      <c r="J34" s="77">
        <f t="shared" si="8"/>
        <v>8027.5939598244295</v>
      </c>
      <c r="K34" s="77">
        <f t="shared" si="5"/>
        <v>152228.84104277764</v>
      </c>
      <c r="L34" s="75">
        <v>400000</v>
      </c>
      <c r="M34" s="75">
        <f t="shared" si="2"/>
        <v>247771.15895722236</v>
      </c>
      <c r="O34">
        <v>21</v>
      </c>
      <c r="P34" s="77">
        <f>I253</f>
        <v>101678.39782230777</v>
      </c>
      <c r="Q34" s="77">
        <f>J253</f>
        <v>90815.449309365402</v>
      </c>
      <c r="R34" s="77">
        <f>K253</f>
        <v>69716.028402039126</v>
      </c>
      <c r="S34" s="77">
        <f t="shared" si="7"/>
        <v>6262.476849665909</v>
      </c>
    </row>
    <row r="35" spans="5:21">
      <c r="E35">
        <v>33</v>
      </c>
      <c r="F35" s="77">
        <f t="shared" si="3"/>
        <v>763.86447274473517</v>
      </c>
      <c r="G35" s="77">
        <f t="shared" si="0"/>
        <v>506.57468680058503</v>
      </c>
      <c r="H35" s="77">
        <f t="shared" si="4"/>
        <v>257.28978594415014</v>
      </c>
      <c r="I35" s="77">
        <f t="shared" ref="I35:J50" si="9">I34+G35</f>
        <v>17686.508327552416</v>
      </c>
      <c r="J35" s="77">
        <f t="shared" si="9"/>
        <v>8284.8837457685804</v>
      </c>
      <c r="K35" s="77">
        <f t="shared" si="5"/>
        <v>151972.4060401755</v>
      </c>
      <c r="L35" s="75">
        <v>400000</v>
      </c>
      <c r="M35" s="75">
        <f t="shared" si="2"/>
        <v>248027.5939598245</v>
      </c>
      <c r="O35">
        <v>22</v>
      </c>
      <c r="P35" s="77">
        <f>I265</f>
        <v>104327.1516762238</v>
      </c>
      <c r="Q35" s="77">
        <f>J265</f>
        <v>97333.069128386182</v>
      </c>
      <c r="R35" s="77">
        <f>K265</f>
        <v>63220.061805008445</v>
      </c>
      <c r="S35" s="77">
        <f t="shared" si="7"/>
        <v>6517.6198190207797</v>
      </c>
    </row>
    <row r="36" spans="5:21">
      <c r="E36">
        <v>34</v>
      </c>
      <c r="F36" s="77">
        <f t="shared" si="3"/>
        <v>763.86447274473517</v>
      </c>
      <c r="G36" s="77">
        <f t="shared" si="0"/>
        <v>505.71705418077119</v>
      </c>
      <c r="H36" s="77">
        <f t="shared" si="4"/>
        <v>258.14741856396398</v>
      </c>
      <c r="I36" s="77">
        <f t="shared" si="9"/>
        <v>18192.225381733188</v>
      </c>
      <c r="J36" s="77">
        <f t="shared" si="9"/>
        <v>8543.031164332544</v>
      </c>
      <c r="K36" s="77">
        <f t="shared" si="5"/>
        <v>151715.11625423134</v>
      </c>
      <c r="L36" s="75">
        <v>400000</v>
      </c>
      <c r="M36" s="75">
        <f t="shared" si="2"/>
        <v>248284.88374576866</v>
      </c>
      <c r="O36">
        <v>23</v>
      </c>
      <c r="P36" s="77">
        <f>I277</f>
        <v>106710.36764254833</v>
      </c>
      <c r="Q36" s="77">
        <f>J277</f>
        <v>104116.22683499845</v>
      </c>
      <c r="R36" s="77">
        <f>K277</f>
        <v>56459.439506059316</v>
      </c>
      <c r="S36" s="77">
        <f t="shared" si="7"/>
        <v>6783.15770661227</v>
      </c>
    </row>
    <row r="37" spans="5:21">
      <c r="E37">
        <v>35</v>
      </c>
      <c r="F37" s="77">
        <f t="shared" si="3"/>
        <v>763.86447274473517</v>
      </c>
      <c r="G37" s="77">
        <f t="shared" si="0"/>
        <v>504.85656278555797</v>
      </c>
      <c r="H37" s="77">
        <f t="shared" si="4"/>
        <v>259.0079099591772</v>
      </c>
      <c r="I37" s="77">
        <f t="shared" si="9"/>
        <v>18697.081944518744</v>
      </c>
      <c r="J37" s="77">
        <f t="shared" si="9"/>
        <v>8802.0390742917207</v>
      </c>
      <c r="K37" s="77">
        <f t="shared" si="5"/>
        <v>151456.96883566739</v>
      </c>
      <c r="L37" s="75">
        <v>400000</v>
      </c>
      <c r="M37" s="75">
        <f t="shared" si="2"/>
        <v>248543.03116433261</v>
      </c>
      <c r="O37">
        <v>24</v>
      </c>
      <c r="P37" s="77">
        <f>I289</f>
        <v>108817.22729803721</v>
      </c>
      <c r="Q37" s="77">
        <f>J289</f>
        <v>111175.7408524464</v>
      </c>
      <c r="R37" s="77">
        <f>K289</f>
        <v>49423.379023553047</v>
      </c>
      <c r="S37" s="77">
        <f t="shared" si="7"/>
        <v>7059.5140174479457</v>
      </c>
    </row>
    <row r="38" spans="5:21">
      <c r="E38">
        <v>36</v>
      </c>
      <c r="F38" s="77">
        <f t="shared" si="3"/>
        <v>763.86447274473517</v>
      </c>
      <c r="G38" s="77">
        <f t="shared" si="0"/>
        <v>503.99320308569406</v>
      </c>
      <c r="H38" s="77">
        <f t="shared" si="4"/>
        <v>259.8712696590411</v>
      </c>
      <c r="I38" s="77">
        <f t="shared" si="9"/>
        <v>19201.075147604439</v>
      </c>
      <c r="J38" s="77">
        <f t="shared" si="9"/>
        <v>9061.9103439507617</v>
      </c>
      <c r="K38" s="77">
        <f t="shared" si="5"/>
        <v>151197.9609257082</v>
      </c>
      <c r="L38" s="75">
        <v>400000</v>
      </c>
      <c r="M38" s="75">
        <f t="shared" si="2"/>
        <v>248802.0390742918</v>
      </c>
      <c r="O38">
        <v>25</v>
      </c>
      <c r="P38" s="77">
        <f>I301</f>
        <v>110636.47146019137</v>
      </c>
      <c r="Q38" s="77">
        <f>J301</f>
        <v>118522.87036322903</v>
      </c>
      <c r="R38" s="77">
        <f>K301</f>
        <v>42100.658580912517</v>
      </c>
      <c r="S38" s="77">
        <f t="shared" si="7"/>
        <v>7347.1295107826299</v>
      </c>
    </row>
    <row r="39" spans="5:21">
      <c r="E39">
        <v>37</v>
      </c>
      <c r="F39" s="77">
        <f t="shared" si="3"/>
        <v>763.86447274473517</v>
      </c>
      <c r="G39" s="77">
        <f t="shared" si="0"/>
        <v>503.12696552016388</v>
      </c>
      <c r="H39" s="77">
        <f t="shared" si="4"/>
        <v>260.73750722457129</v>
      </c>
      <c r="I39" s="77">
        <f t="shared" si="9"/>
        <v>19704.202113124604</v>
      </c>
      <c r="J39" s="77">
        <f t="shared" si="9"/>
        <v>9322.6478511753321</v>
      </c>
      <c r="K39" s="77">
        <f t="shared" si="5"/>
        <v>150938.08965604915</v>
      </c>
      <c r="L39" s="75">
        <v>400000</v>
      </c>
      <c r="M39" s="75">
        <f t="shared" si="2"/>
        <v>249061.91034395085</v>
      </c>
      <c r="O39">
        <v>26</v>
      </c>
      <c r="P39" s="77">
        <f>I313</f>
        <v>112156.38223004474</v>
      </c>
      <c r="Q39" s="77">
        <f>J313</f>
        <v>126169.33326631246</v>
      </c>
      <c r="R39" s="77">
        <f>K313</f>
        <v>34479.599209068539</v>
      </c>
      <c r="S39" s="77">
        <f t="shared" si="7"/>
        <v>7646.462903083433</v>
      </c>
    </row>
    <row r="40" spans="5:21">
      <c r="E40">
        <v>38</v>
      </c>
      <c r="F40" s="77">
        <f t="shared" si="3"/>
        <v>763.86447274473517</v>
      </c>
      <c r="G40" s="77">
        <f t="shared" si="0"/>
        <v>502.25784049608194</v>
      </c>
      <c r="H40" s="77">
        <f t="shared" si="4"/>
        <v>261.60663224865323</v>
      </c>
      <c r="I40" s="77">
        <f t="shared" si="9"/>
        <v>20206.459953620684</v>
      </c>
      <c r="J40" s="77">
        <f t="shared" si="9"/>
        <v>9584.2544834239852</v>
      </c>
      <c r="K40" s="77">
        <f t="shared" si="5"/>
        <v>150677.35214882458</v>
      </c>
      <c r="L40" s="75">
        <v>400000</v>
      </c>
      <c r="M40" s="75">
        <f t="shared" si="2"/>
        <v>249322.64785117542</v>
      </c>
      <c r="O40">
        <v>27</v>
      </c>
      <c r="P40" s="77">
        <f>I325</f>
        <v>113364.76430334756</v>
      </c>
      <c r="Q40" s="77">
        <f>J325</f>
        <v>134127.32486594646</v>
      </c>
      <c r="R40" s="77">
        <f>K325</f>
        <v>26548.046119732317</v>
      </c>
      <c r="S40" s="77">
        <f t="shared" si="7"/>
        <v>7957.9915996339987</v>
      </c>
    </row>
    <row r="41" spans="5:21">
      <c r="E41">
        <v>39</v>
      </c>
      <c r="F41" s="77">
        <f t="shared" si="3"/>
        <v>763.86447274473517</v>
      </c>
      <c r="G41" s="77">
        <f t="shared" si="0"/>
        <v>501.38581838858647</v>
      </c>
      <c r="H41" s="77">
        <f t="shared" si="4"/>
        <v>262.4786543561487</v>
      </c>
      <c r="I41" s="77">
        <f t="shared" si="9"/>
        <v>20707.84577200927</v>
      </c>
      <c r="J41" s="77">
        <f t="shared" si="9"/>
        <v>9846.7331377801347</v>
      </c>
      <c r="K41" s="77">
        <f t="shared" si="5"/>
        <v>150415.74551657593</v>
      </c>
      <c r="L41" s="75">
        <v>400000</v>
      </c>
      <c r="M41" s="75">
        <f t="shared" si="2"/>
        <v>249584.25448342407</v>
      </c>
      <c r="O41">
        <v>28</v>
      </c>
      <c r="P41" s="77">
        <f>I337</f>
        <v>114248.92552033855</v>
      </c>
      <c r="Q41" s="77">
        <f>J337</f>
        <v>142409.53732189225</v>
      </c>
      <c r="R41" s="77">
        <f>K337</f>
        <v>18293.349319786314</v>
      </c>
      <c r="S41" s="77">
        <f t="shared" si="7"/>
        <v>8282.212455945788</v>
      </c>
    </row>
    <row r="42" spans="5:21">
      <c r="E42">
        <v>40</v>
      </c>
      <c r="F42" s="77">
        <f t="shared" si="3"/>
        <v>763.86447274473517</v>
      </c>
      <c r="G42" s="77">
        <f t="shared" si="0"/>
        <v>500.51088954073265</v>
      </c>
      <c r="H42" s="77">
        <f t="shared" si="4"/>
        <v>263.35358320400252</v>
      </c>
      <c r="I42" s="77">
        <f t="shared" si="9"/>
        <v>21208.356661550002</v>
      </c>
      <c r="J42" s="77">
        <f t="shared" si="9"/>
        <v>10110.086720984138</v>
      </c>
      <c r="K42" s="77">
        <f t="shared" si="5"/>
        <v>150153.26686221978</v>
      </c>
      <c r="L42" s="75">
        <v>400000</v>
      </c>
      <c r="M42" s="75">
        <f t="shared" si="2"/>
        <v>249846.73313778022</v>
      </c>
      <c r="O42">
        <v>29</v>
      </c>
      <c r="P42" s="77">
        <f>I349</f>
        <v>114795.6566230848</v>
      </c>
      <c r="Q42" s="77">
        <f>J349</f>
        <v>151029.17989208282</v>
      </c>
      <c r="R42" s="77">
        <f>K349</f>
        <v>9702.3434358754585</v>
      </c>
      <c r="S42" s="77">
        <f t="shared" si="7"/>
        <v>8619.6425701905682</v>
      </c>
    </row>
    <row r="43" spans="5:21">
      <c r="E43">
        <v>41</v>
      </c>
      <c r="F43" s="77">
        <f t="shared" si="3"/>
        <v>763.86447274473517</v>
      </c>
      <c r="G43" s="77">
        <f t="shared" si="0"/>
        <v>499.63304426338595</v>
      </c>
      <c r="H43" s="77">
        <f t="shared" si="4"/>
        <v>264.23142848134921</v>
      </c>
      <c r="I43" s="77">
        <f t="shared" si="9"/>
        <v>21707.989705813387</v>
      </c>
      <c r="J43" s="77">
        <f t="shared" si="9"/>
        <v>10374.318149465487</v>
      </c>
      <c r="K43" s="77">
        <f t="shared" si="5"/>
        <v>149889.91327901577</v>
      </c>
      <c r="L43" s="75">
        <v>400000</v>
      </c>
      <c r="M43" s="75">
        <f t="shared" si="2"/>
        <v>250110.08672098423</v>
      </c>
      <c r="O43">
        <v>30</v>
      </c>
      <c r="P43" s="77">
        <f>I361</f>
        <v>114991.21018810441</v>
      </c>
      <c r="Q43" s="77">
        <f>J361</f>
        <v>160000.00000000012</v>
      </c>
      <c r="R43" s="77">
        <f>K361</f>
        <v>761.32671702108553</v>
      </c>
      <c r="S43" s="77">
        <f t="shared" si="7"/>
        <v>8970.8201079173014</v>
      </c>
    </row>
    <row r="44" spans="5:21">
      <c r="E44">
        <v>42</v>
      </c>
      <c r="F44" s="77">
        <f t="shared" si="3"/>
        <v>763.86447274473517</v>
      </c>
      <c r="G44" s="77">
        <f t="shared" si="0"/>
        <v>498.75227283511481</v>
      </c>
      <c r="H44" s="77">
        <f t="shared" si="4"/>
        <v>265.11219990962036</v>
      </c>
      <c r="I44" s="77">
        <f t="shared" si="9"/>
        <v>22206.741978648501</v>
      </c>
      <c r="J44" s="77">
        <f t="shared" si="9"/>
        <v>10639.430349375107</v>
      </c>
      <c r="K44" s="77">
        <f t="shared" si="5"/>
        <v>149625.68185053443</v>
      </c>
      <c r="L44" s="75">
        <v>400000</v>
      </c>
      <c r="M44" s="75">
        <f t="shared" si="2"/>
        <v>250374.31814946557</v>
      </c>
    </row>
    <row r="45" spans="5:21">
      <c r="E45">
        <v>43</v>
      </c>
      <c r="F45" s="77">
        <f t="shared" si="3"/>
        <v>763.86447274473517</v>
      </c>
      <c r="G45" s="77">
        <f t="shared" si="0"/>
        <v>497.86856550208279</v>
      </c>
      <c r="H45" s="77">
        <f t="shared" si="4"/>
        <v>265.99590724265238</v>
      </c>
      <c r="I45" s="77">
        <f t="shared" si="9"/>
        <v>22704.610544150582</v>
      </c>
      <c r="J45" s="77">
        <f t="shared" si="9"/>
        <v>10905.426256617759</v>
      </c>
      <c r="K45" s="77">
        <f t="shared" si="5"/>
        <v>149360.56965062482</v>
      </c>
      <c r="L45" s="75">
        <v>400000</v>
      </c>
      <c r="M45" s="75">
        <f t="shared" si="2"/>
        <v>250639.43034937518</v>
      </c>
    </row>
    <row r="46" spans="5:21">
      <c r="E46">
        <v>44</v>
      </c>
      <c r="F46" s="77">
        <f t="shared" si="3"/>
        <v>763.86447274473517</v>
      </c>
      <c r="G46" s="77">
        <f t="shared" si="0"/>
        <v>496.98191247794063</v>
      </c>
      <c r="H46" s="77">
        <f t="shared" si="4"/>
        <v>266.88256026679454</v>
      </c>
      <c r="I46" s="77">
        <f t="shared" si="9"/>
        <v>23201.592456628525</v>
      </c>
      <c r="J46" s="77">
        <f t="shared" si="9"/>
        <v>11172.308816884553</v>
      </c>
      <c r="K46" s="77">
        <f t="shared" si="5"/>
        <v>149094.57374338218</v>
      </c>
      <c r="L46" s="75">
        <v>400000</v>
      </c>
      <c r="M46" s="75">
        <f t="shared" si="2"/>
        <v>250905.42625661782</v>
      </c>
    </row>
    <row r="47" spans="5:21">
      <c r="E47">
        <v>45</v>
      </c>
      <c r="F47" s="77">
        <f t="shared" si="3"/>
        <v>763.86447274473517</v>
      </c>
      <c r="G47" s="77">
        <f t="shared" si="0"/>
        <v>496.09230394371798</v>
      </c>
      <c r="H47" s="77">
        <f t="shared" si="4"/>
        <v>267.77216880101719</v>
      </c>
      <c r="I47" s="77">
        <f t="shared" si="9"/>
        <v>23697.684760572243</v>
      </c>
      <c r="J47" s="77">
        <f t="shared" si="9"/>
        <v>11440.08098568557</v>
      </c>
      <c r="K47" s="77">
        <f t="shared" si="5"/>
        <v>148827.69118311538</v>
      </c>
      <c r="L47" s="75">
        <v>400000</v>
      </c>
      <c r="M47" s="75">
        <f t="shared" si="2"/>
        <v>251172.30881688462</v>
      </c>
    </row>
    <row r="48" spans="5:21">
      <c r="E48">
        <v>46</v>
      </c>
      <c r="F48" s="77">
        <f t="shared" si="3"/>
        <v>763.86447274473517</v>
      </c>
      <c r="G48" s="77">
        <f t="shared" si="0"/>
        <v>495.19973004771458</v>
      </c>
      <c r="H48" s="77">
        <f t="shared" si="4"/>
        <v>268.66474269702059</v>
      </c>
      <c r="I48" s="77">
        <f t="shared" si="9"/>
        <v>24192.884490619959</v>
      </c>
      <c r="J48" s="77">
        <f t="shared" si="9"/>
        <v>11708.745728382592</v>
      </c>
      <c r="K48" s="77">
        <f t="shared" si="5"/>
        <v>148559.91901431436</v>
      </c>
      <c r="L48" s="75">
        <v>400000</v>
      </c>
      <c r="M48" s="75">
        <f t="shared" si="2"/>
        <v>251440.08098568564</v>
      </c>
    </row>
    <row r="49" spans="5:13">
      <c r="E49">
        <v>47</v>
      </c>
      <c r="F49" s="77">
        <f t="shared" si="3"/>
        <v>763.86447274473517</v>
      </c>
      <c r="G49" s="77">
        <f t="shared" si="0"/>
        <v>494.30418090539115</v>
      </c>
      <c r="H49" s="77">
        <f t="shared" si="4"/>
        <v>269.56029183934402</v>
      </c>
      <c r="I49" s="77">
        <f t="shared" si="9"/>
        <v>24687.188671525349</v>
      </c>
      <c r="J49" s="77">
        <f t="shared" si="9"/>
        <v>11978.306020221935</v>
      </c>
      <c r="K49" s="77">
        <f t="shared" si="5"/>
        <v>148291.25427161733</v>
      </c>
      <c r="L49" s="75">
        <v>400000</v>
      </c>
      <c r="M49" s="75">
        <f t="shared" si="2"/>
        <v>251708.74572838267</v>
      </c>
    </row>
    <row r="50" spans="5:13">
      <c r="E50">
        <v>48</v>
      </c>
      <c r="F50" s="77">
        <f t="shared" si="3"/>
        <v>763.86447274473517</v>
      </c>
      <c r="G50" s="77">
        <f t="shared" si="0"/>
        <v>493.40564659925997</v>
      </c>
      <c r="H50" s="77">
        <f t="shared" si="4"/>
        <v>270.4588261454752</v>
      </c>
      <c r="I50" s="77">
        <f t="shared" si="9"/>
        <v>25180.594318124611</v>
      </c>
      <c r="J50" s="77">
        <f t="shared" si="9"/>
        <v>12248.76484636741</v>
      </c>
      <c r="K50" s="77">
        <f t="shared" si="5"/>
        <v>148021.69397977798</v>
      </c>
      <c r="L50" s="75">
        <v>400000</v>
      </c>
      <c r="M50" s="75">
        <f t="shared" si="2"/>
        <v>251978.30602022202</v>
      </c>
    </row>
    <row r="51" spans="5:13">
      <c r="E51">
        <v>49</v>
      </c>
      <c r="F51" s="77">
        <f t="shared" si="3"/>
        <v>763.86447274473517</v>
      </c>
      <c r="G51" s="77">
        <f t="shared" si="0"/>
        <v>492.50411717877506</v>
      </c>
      <c r="H51" s="77">
        <f t="shared" si="4"/>
        <v>271.36035556596011</v>
      </c>
      <c r="I51" s="77">
        <f t="shared" ref="I51:J66" si="10">I50+G51</f>
        <v>25673.098435303385</v>
      </c>
      <c r="J51" s="77">
        <f t="shared" si="10"/>
        <v>12520.12520193337</v>
      </c>
      <c r="K51" s="77">
        <f t="shared" si="5"/>
        <v>147751.2351536325</v>
      </c>
      <c r="L51" s="75">
        <v>400000</v>
      </c>
      <c r="M51" s="75">
        <f t="shared" si="2"/>
        <v>252248.7648463675</v>
      </c>
    </row>
    <row r="52" spans="5:13">
      <c r="E52">
        <v>50</v>
      </c>
      <c r="F52" s="77">
        <f t="shared" si="3"/>
        <v>763.86447274473517</v>
      </c>
      <c r="G52" s="77">
        <f t="shared" si="0"/>
        <v>491.59958266022181</v>
      </c>
      <c r="H52" s="77">
        <f t="shared" si="4"/>
        <v>272.26489008451335</v>
      </c>
      <c r="I52" s="77">
        <f t="shared" si="10"/>
        <v>26164.698017963608</v>
      </c>
      <c r="J52" s="77">
        <f t="shared" si="10"/>
        <v>12792.390092017882</v>
      </c>
      <c r="K52" s="77">
        <f t="shared" si="5"/>
        <v>147479.87479806654</v>
      </c>
      <c r="L52" s="75">
        <v>400000</v>
      </c>
      <c r="M52" s="75">
        <f t="shared" si="2"/>
        <v>252520.12520193346</v>
      </c>
    </row>
    <row r="53" spans="5:13">
      <c r="E53">
        <v>51</v>
      </c>
      <c r="F53" s="77">
        <f t="shared" si="3"/>
        <v>763.86447274473517</v>
      </c>
      <c r="G53" s="77">
        <f t="shared" si="0"/>
        <v>490.69203302660679</v>
      </c>
      <c r="H53" s="77">
        <f t="shared" si="4"/>
        <v>273.17243971812837</v>
      </c>
      <c r="I53" s="77">
        <f t="shared" si="10"/>
        <v>26655.390050990216</v>
      </c>
      <c r="J53" s="77">
        <f t="shared" si="10"/>
        <v>13065.56253173601</v>
      </c>
      <c r="K53" s="77">
        <f t="shared" si="5"/>
        <v>147207.60990798203</v>
      </c>
      <c r="L53" s="75">
        <v>400000</v>
      </c>
      <c r="M53" s="75">
        <f t="shared" si="2"/>
        <v>252792.39009201797</v>
      </c>
    </row>
    <row r="54" spans="5:13">
      <c r="E54">
        <v>52</v>
      </c>
      <c r="F54" s="77">
        <f t="shared" si="3"/>
        <v>763.86447274473517</v>
      </c>
      <c r="G54" s="77">
        <f t="shared" si="0"/>
        <v>489.78145822754635</v>
      </c>
      <c r="H54" s="77">
        <f t="shared" si="4"/>
        <v>274.08301451718881</v>
      </c>
      <c r="I54" s="77">
        <f t="shared" si="10"/>
        <v>27145.171509217762</v>
      </c>
      <c r="J54" s="77">
        <f t="shared" si="10"/>
        <v>13339.645546253199</v>
      </c>
      <c r="K54" s="77">
        <f t="shared" si="5"/>
        <v>146934.4374682639</v>
      </c>
      <c r="L54" s="75">
        <v>400000</v>
      </c>
      <c r="M54" s="75">
        <f t="shared" si="2"/>
        <v>253065.5625317361</v>
      </c>
    </row>
    <row r="55" spans="5:13">
      <c r="E55">
        <v>53</v>
      </c>
      <c r="F55" s="77">
        <f t="shared" si="3"/>
        <v>763.86447274473517</v>
      </c>
      <c r="G55" s="77">
        <f t="shared" si="0"/>
        <v>488.86784817915577</v>
      </c>
      <c r="H55" s="77">
        <f t="shared" si="4"/>
        <v>274.9966245655794</v>
      </c>
      <c r="I55" s="77">
        <f t="shared" si="10"/>
        <v>27634.03935739692</v>
      </c>
      <c r="J55" s="77">
        <f t="shared" si="10"/>
        <v>13614.642170818779</v>
      </c>
      <c r="K55" s="77">
        <f t="shared" si="5"/>
        <v>146660.35445374672</v>
      </c>
      <c r="L55" s="75">
        <v>400000</v>
      </c>
      <c r="M55" s="75">
        <f t="shared" si="2"/>
        <v>253339.64554625328</v>
      </c>
    </row>
    <row r="56" spans="5:13">
      <c r="E56">
        <v>54</v>
      </c>
      <c r="F56" s="77">
        <f t="shared" si="3"/>
        <v>763.86447274473517</v>
      </c>
      <c r="G56" s="77">
        <f t="shared" si="0"/>
        <v>487.95119276393723</v>
      </c>
      <c r="H56" s="77">
        <f t="shared" si="4"/>
        <v>275.91327998079794</v>
      </c>
      <c r="I56" s="77">
        <f t="shared" si="10"/>
        <v>28121.990550160855</v>
      </c>
      <c r="J56" s="77">
        <f t="shared" si="10"/>
        <v>13890.555450799577</v>
      </c>
      <c r="K56" s="77">
        <f t="shared" si="5"/>
        <v>146385.35782918116</v>
      </c>
      <c r="L56" s="75">
        <v>400000</v>
      </c>
      <c r="M56" s="75">
        <f t="shared" si="2"/>
        <v>253614.64217081884</v>
      </c>
    </row>
    <row r="57" spans="5:13">
      <c r="E57">
        <v>55</v>
      </c>
      <c r="F57" s="77">
        <f t="shared" si="3"/>
        <v>763.86447274473517</v>
      </c>
      <c r="G57" s="77">
        <f t="shared" si="0"/>
        <v>487.03148183066787</v>
      </c>
      <c r="H57" s="77">
        <f t="shared" si="4"/>
        <v>276.8329909140673</v>
      </c>
      <c r="I57" s="77">
        <f t="shared" si="10"/>
        <v>28609.022031991524</v>
      </c>
      <c r="J57" s="77">
        <f t="shared" si="10"/>
        <v>14167.388441713643</v>
      </c>
      <c r="K57" s="77">
        <f t="shared" si="5"/>
        <v>146109.44454920036</v>
      </c>
      <c r="L57" s="75">
        <v>400000</v>
      </c>
      <c r="M57" s="75">
        <f t="shared" si="2"/>
        <v>253890.55545079964</v>
      </c>
    </row>
    <row r="58" spans="5:13">
      <c r="E58">
        <v>56</v>
      </c>
      <c r="F58" s="77">
        <f t="shared" si="3"/>
        <v>763.86447274473517</v>
      </c>
      <c r="G58" s="77">
        <f t="shared" si="0"/>
        <v>486.10870519428767</v>
      </c>
      <c r="H58" s="77">
        <f t="shared" si="4"/>
        <v>277.7557675504475</v>
      </c>
      <c r="I58" s="77">
        <f t="shared" si="10"/>
        <v>29095.130737185813</v>
      </c>
      <c r="J58" s="77">
        <f t="shared" si="10"/>
        <v>14445.14420926409</v>
      </c>
      <c r="K58" s="77">
        <f t="shared" si="5"/>
        <v>145832.6115582863</v>
      </c>
      <c r="L58" s="75">
        <v>400000</v>
      </c>
      <c r="M58" s="75">
        <f t="shared" si="2"/>
        <v>254167.3884417137</v>
      </c>
    </row>
    <row r="59" spans="5:13">
      <c r="E59">
        <v>57</v>
      </c>
      <c r="F59" s="77">
        <f t="shared" si="3"/>
        <v>763.86447274473517</v>
      </c>
      <c r="G59" s="77">
        <f t="shared" si="0"/>
        <v>485.18285263578622</v>
      </c>
      <c r="H59" s="77">
        <f t="shared" si="4"/>
        <v>278.68162010894895</v>
      </c>
      <c r="I59" s="77">
        <f t="shared" si="10"/>
        <v>29580.313589821599</v>
      </c>
      <c r="J59" s="77">
        <f t="shared" si="10"/>
        <v>14723.82582937304</v>
      </c>
      <c r="K59" s="77">
        <f t="shared" si="5"/>
        <v>145554.85579073586</v>
      </c>
      <c r="L59" s="75">
        <v>400000</v>
      </c>
      <c r="M59" s="75">
        <f t="shared" si="2"/>
        <v>254445.14420926414</v>
      </c>
    </row>
    <row r="60" spans="5:13">
      <c r="E60">
        <v>58</v>
      </c>
      <c r="F60" s="77">
        <f t="shared" si="3"/>
        <v>763.86447274473517</v>
      </c>
      <c r="G60" s="77">
        <f t="shared" si="0"/>
        <v>484.25391390208972</v>
      </c>
      <c r="H60" s="77">
        <f t="shared" si="4"/>
        <v>279.61055884264545</v>
      </c>
      <c r="I60" s="77">
        <f t="shared" si="10"/>
        <v>30064.567503723687</v>
      </c>
      <c r="J60" s="77">
        <f t="shared" si="10"/>
        <v>15003.436388215685</v>
      </c>
      <c r="K60" s="77">
        <f t="shared" si="5"/>
        <v>145276.17417062691</v>
      </c>
      <c r="L60" s="75">
        <v>400000</v>
      </c>
      <c r="M60" s="75">
        <f t="shared" si="2"/>
        <v>254723.82582937309</v>
      </c>
    </row>
    <row r="61" spans="5:13">
      <c r="E61">
        <v>59</v>
      </c>
      <c r="F61" s="77">
        <f t="shared" si="3"/>
        <v>763.86447274473517</v>
      </c>
      <c r="G61" s="77">
        <f t="shared" si="0"/>
        <v>483.32187870594754</v>
      </c>
      <c r="H61" s="77">
        <f t="shared" si="4"/>
        <v>280.54259403878763</v>
      </c>
      <c r="I61" s="77">
        <f t="shared" si="10"/>
        <v>30547.889382429636</v>
      </c>
      <c r="J61" s="77">
        <f t="shared" si="10"/>
        <v>15283.978982254472</v>
      </c>
      <c r="K61" s="77">
        <f t="shared" si="5"/>
        <v>144996.56361178425</v>
      </c>
      <c r="L61" s="75">
        <v>400000</v>
      </c>
      <c r="M61" s="75">
        <f t="shared" si="2"/>
        <v>255003.43638821575</v>
      </c>
    </row>
    <row r="62" spans="5:13">
      <c r="E62">
        <v>60</v>
      </c>
      <c r="F62" s="77">
        <f t="shared" si="3"/>
        <v>763.86447274473517</v>
      </c>
      <c r="G62" s="77">
        <f t="shared" si="0"/>
        <v>482.3867367258182</v>
      </c>
      <c r="H62" s="77">
        <f t="shared" si="4"/>
        <v>281.47773601891697</v>
      </c>
      <c r="I62" s="77">
        <f t="shared" si="10"/>
        <v>31030.276119155453</v>
      </c>
      <c r="J62" s="77">
        <f t="shared" si="10"/>
        <v>15565.456718273388</v>
      </c>
      <c r="K62" s="77">
        <f t="shared" si="5"/>
        <v>144716.02101774546</v>
      </c>
      <c r="L62" s="75">
        <v>400000</v>
      </c>
      <c r="M62" s="75">
        <f t="shared" si="2"/>
        <v>255283.97898225454</v>
      </c>
    </row>
    <row r="63" spans="5:13">
      <c r="E63">
        <v>61</v>
      </c>
      <c r="F63" s="77">
        <f t="shared" si="3"/>
        <v>763.86447274473517</v>
      </c>
      <c r="G63" s="77">
        <f t="shared" si="0"/>
        <v>481.44847760575516</v>
      </c>
      <c r="H63" s="77">
        <f t="shared" si="4"/>
        <v>282.41599513898001</v>
      </c>
      <c r="I63" s="77">
        <f t="shared" si="10"/>
        <v>31511.724596761207</v>
      </c>
      <c r="J63" s="77">
        <f t="shared" si="10"/>
        <v>15847.872713412367</v>
      </c>
      <c r="K63" s="77">
        <f t="shared" si="5"/>
        <v>144434.54328172654</v>
      </c>
      <c r="L63" s="75">
        <v>400000</v>
      </c>
      <c r="M63" s="75">
        <f t="shared" si="2"/>
        <v>255565.45671827346</v>
      </c>
    </row>
    <row r="64" spans="5:13">
      <c r="E64">
        <v>62</v>
      </c>
      <c r="F64" s="77">
        <f t="shared" si="3"/>
        <v>763.86447274473517</v>
      </c>
      <c r="G64" s="77">
        <f t="shared" si="0"/>
        <v>480.50709095529186</v>
      </c>
      <c r="H64" s="77">
        <f t="shared" si="4"/>
        <v>283.35738178944331</v>
      </c>
      <c r="I64" s="77">
        <f t="shared" si="10"/>
        <v>31992.231687716499</v>
      </c>
      <c r="J64" s="77">
        <f t="shared" si="10"/>
        <v>16131.23009520181</v>
      </c>
      <c r="K64" s="77">
        <f t="shared" si="5"/>
        <v>144152.12728658755</v>
      </c>
      <c r="L64" s="75">
        <v>400000</v>
      </c>
      <c r="M64" s="75">
        <f t="shared" si="2"/>
        <v>255847.87271341245</v>
      </c>
    </row>
    <row r="65" spans="5:13">
      <c r="E65">
        <v>63</v>
      </c>
      <c r="F65" s="77">
        <f t="shared" si="3"/>
        <v>763.86447274473517</v>
      </c>
      <c r="G65" s="77">
        <f t="shared" si="0"/>
        <v>479.56256634932703</v>
      </c>
      <c r="H65" s="77">
        <f t="shared" si="4"/>
        <v>284.30190639540814</v>
      </c>
      <c r="I65" s="77">
        <f t="shared" si="10"/>
        <v>32471.794254065826</v>
      </c>
      <c r="J65" s="77">
        <f t="shared" si="10"/>
        <v>16415.532001597217</v>
      </c>
      <c r="K65" s="77">
        <f t="shared" si="5"/>
        <v>143868.7699047981</v>
      </c>
      <c r="L65" s="75">
        <v>400000</v>
      </c>
      <c r="M65" s="75">
        <f t="shared" si="2"/>
        <v>256131.2300952019</v>
      </c>
    </row>
    <row r="66" spans="5:13">
      <c r="E66">
        <v>64</v>
      </c>
      <c r="F66" s="77">
        <f t="shared" si="3"/>
        <v>763.86447274473517</v>
      </c>
      <c r="G66" s="77">
        <f t="shared" ref="G66:G129" si="11">(B$4/B$6)*K66</f>
        <v>478.61489332800898</v>
      </c>
      <c r="H66" s="77">
        <f t="shared" si="4"/>
        <v>285.24957941672619</v>
      </c>
      <c r="I66" s="77">
        <f t="shared" si="10"/>
        <v>32950.409147393832</v>
      </c>
      <c r="J66" s="77">
        <f t="shared" si="10"/>
        <v>16700.781581013944</v>
      </c>
      <c r="K66" s="77">
        <f t="shared" si="5"/>
        <v>143584.46799840269</v>
      </c>
      <c r="L66" s="75">
        <v>400000</v>
      </c>
      <c r="M66" s="75">
        <f t="shared" si="2"/>
        <v>256415.53200159731</v>
      </c>
    </row>
    <row r="67" spans="5:13">
      <c r="E67">
        <v>65</v>
      </c>
      <c r="F67" s="77">
        <f t="shared" si="3"/>
        <v>763.86447274473517</v>
      </c>
      <c r="G67" s="77">
        <f t="shared" si="11"/>
        <v>477.6640613966199</v>
      </c>
      <c r="H67" s="77">
        <f t="shared" si="4"/>
        <v>286.20041134811527</v>
      </c>
      <c r="I67" s="77">
        <f t="shared" ref="I67:J82" si="12">I66+G67</f>
        <v>33428.073208790454</v>
      </c>
      <c r="J67" s="77">
        <f t="shared" si="12"/>
        <v>16986.98199236206</v>
      </c>
      <c r="K67" s="77">
        <f t="shared" si="5"/>
        <v>143299.21841898595</v>
      </c>
      <c r="L67" s="75">
        <v>400000</v>
      </c>
      <c r="M67" s="75">
        <f t="shared" ref="M67:M130" si="13">L67-K67</f>
        <v>256700.78158101405</v>
      </c>
    </row>
    <row r="68" spans="5:13">
      <c r="E68">
        <v>66</v>
      </c>
      <c r="F68" s="77">
        <f t="shared" ref="F68:F131" si="14">F67</f>
        <v>763.86447274473517</v>
      </c>
      <c r="G68" s="77">
        <f t="shared" si="11"/>
        <v>476.71006002545954</v>
      </c>
      <c r="H68" s="77">
        <f t="shared" ref="H68:H131" si="15">F68-G68</f>
        <v>287.15441271927563</v>
      </c>
      <c r="I68" s="77">
        <f t="shared" si="12"/>
        <v>33904.783268815911</v>
      </c>
      <c r="J68" s="77">
        <f t="shared" si="12"/>
        <v>17274.136405081335</v>
      </c>
      <c r="K68" s="77">
        <f t="shared" ref="K68:K131" si="16">K67-H67</f>
        <v>143013.01800763785</v>
      </c>
      <c r="L68" s="75">
        <v>400000</v>
      </c>
      <c r="M68" s="75">
        <f t="shared" si="13"/>
        <v>256986.98199236215</v>
      </c>
    </row>
    <row r="69" spans="5:13">
      <c r="E69">
        <v>67</v>
      </c>
      <c r="F69" s="77">
        <f t="shared" si="14"/>
        <v>763.86447274473517</v>
      </c>
      <c r="G69" s="77">
        <f t="shared" si="11"/>
        <v>475.75287864972859</v>
      </c>
      <c r="H69" s="77">
        <f t="shared" si="15"/>
        <v>288.11159409500658</v>
      </c>
      <c r="I69" s="77">
        <f t="shared" si="12"/>
        <v>34380.536147465638</v>
      </c>
      <c r="J69" s="77">
        <f t="shared" si="12"/>
        <v>17562.247999176343</v>
      </c>
      <c r="K69" s="77">
        <f t="shared" si="16"/>
        <v>142725.86359491857</v>
      </c>
      <c r="L69" s="75">
        <v>400000</v>
      </c>
      <c r="M69" s="75">
        <f t="shared" si="13"/>
        <v>257274.13640508143</v>
      </c>
    </row>
    <row r="70" spans="5:13">
      <c r="E70">
        <v>68</v>
      </c>
      <c r="F70" s="77">
        <f t="shared" si="14"/>
        <v>763.86447274473517</v>
      </c>
      <c r="G70" s="77">
        <f t="shared" si="11"/>
        <v>474.79250666941192</v>
      </c>
      <c r="H70" s="77">
        <f t="shared" si="15"/>
        <v>289.07196607532325</v>
      </c>
      <c r="I70" s="77">
        <f t="shared" si="12"/>
        <v>34855.328654135054</v>
      </c>
      <c r="J70" s="77">
        <f t="shared" si="12"/>
        <v>17851.319965251667</v>
      </c>
      <c r="K70" s="77">
        <f t="shared" si="16"/>
        <v>142437.75200082356</v>
      </c>
      <c r="L70" s="75">
        <v>400000</v>
      </c>
      <c r="M70" s="75">
        <f t="shared" si="13"/>
        <v>257562.24799917644</v>
      </c>
    </row>
    <row r="71" spans="5:13">
      <c r="E71">
        <v>69</v>
      </c>
      <c r="F71" s="77">
        <f t="shared" si="14"/>
        <v>763.86447274473517</v>
      </c>
      <c r="G71" s="77">
        <f t="shared" si="11"/>
        <v>473.82893344916084</v>
      </c>
      <c r="H71" s="77">
        <f t="shared" si="15"/>
        <v>290.03553929557432</v>
      </c>
      <c r="I71" s="77">
        <f t="shared" si="12"/>
        <v>35329.157587584217</v>
      </c>
      <c r="J71" s="77">
        <f t="shared" si="12"/>
        <v>18141.355504547242</v>
      </c>
      <c r="K71" s="77">
        <f t="shared" si="16"/>
        <v>142148.68003474825</v>
      </c>
      <c r="L71" s="75">
        <v>400000</v>
      </c>
      <c r="M71" s="75">
        <f t="shared" si="13"/>
        <v>257851.31996525175</v>
      </c>
    </row>
    <row r="72" spans="5:13">
      <c r="E72">
        <v>70</v>
      </c>
      <c r="F72" s="77">
        <f t="shared" si="14"/>
        <v>763.86447274473517</v>
      </c>
      <c r="G72" s="77">
        <f t="shared" si="11"/>
        <v>472.86214831817557</v>
      </c>
      <c r="H72" s="77">
        <f t="shared" si="15"/>
        <v>291.0023244265596</v>
      </c>
      <c r="I72" s="77">
        <f t="shared" si="12"/>
        <v>35802.019735902395</v>
      </c>
      <c r="J72" s="77">
        <f t="shared" si="12"/>
        <v>18432.357828973803</v>
      </c>
      <c r="K72" s="77">
        <f t="shared" si="16"/>
        <v>141858.64449545267</v>
      </c>
      <c r="L72" s="75">
        <v>400000</v>
      </c>
      <c r="M72" s="75">
        <f t="shared" si="13"/>
        <v>258141.35550454733</v>
      </c>
    </row>
    <row r="73" spans="5:13">
      <c r="E73">
        <v>71</v>
      </c>
      <c r="F73" s="77">
        <f t="shared" si="14"/>
        <v>763.86447274473517</v>
      </c>
      <c r="G73" s="77">
        <f t="shared" si="11"/>
        <v>471.89214057008712</v>
      </c>
      <c r="H73" s="77">
        <f t="shared" si="15"/>
        <v>291.97233217464805</v>
      </c>
      <c r="I73" s="77">
        <f t="shared" si="12"/>
        <v>36273.911876472484</v>
      </c>
      <c r="J73" s="77">
        <f t="shared" si="12"/>
        <v>18724.330161148453</v>
      </c>
      <c r="K73" s="77">
        <f t="shared" si="16"/>
        <v>141567.64217102612</v>
      </c>
      <c r="L73" s="75">
        <v>400000</v>
      </c>
      <c r="M73" s="75">
        <f t="shared" si="13"/>
        <v>258432.35782897388</v>
      </c>
    </row>
    <row r="74" spans="5:13">
      <c r="E74">
        <v>72</v>
      </c>
      <c r="F74" s="77">
        <f t="shared" si="14"/>
        <v>763.86447274473517</v>
      </c>
      <c r="G74" s="77">
        <f t="shared" si="11"/>
        <v>470.91889946283823</v>
      </c>
      <c r="H74" s="77">
        <f t="shared" si="15"/>
        <v>292.94557328189694</v>
      </c>
      <c r="I74" s="77">
        <f t="shared" si="12"/>
        <v>36744.830775935319</v>
      </c>
      <c r="J74" s="77">
        <f t="shared" si="12"/>
        <v>19017.27573443035</v>
      </c>
      <c r="K74" s="77">
        <f t="shared" si="16"/>
        <v>141275.66983885146</v>
      </c>
      <c r="L74" s="75">
        <v>400000</v>
      </c>
      <c r="M74" s="75">
        <f t="shared" si="13"/>
        <v>258724.33016114854</v>
      </c>
    </row>
    <row r="75" spans="5:13">
      <c r="E75">
        <v>73</v>
      </c>
      <c r="F75" s="77">
        <f t="shared" si="14"/>
        <v>763.86447274473517</v>
      </c>
      <c r="G75" s="77">
        <f t="shared" si="11"/>
        <v>469.9424142185652</v>
      </c>
      <c r="H75" s="77">
        <f t="shared" si="15"/>
        <v>293.92205852616996</v>
      </c>
      <c r="I75" s="77">
        <f t="shared" si="12"/>
        <v>37214.773190153886</v>
      </c>
      <c r="J75" s="77">
        <f t="shared" si="12"/>
        <v>19311.197792956518</v>
      </c>
      <c r="K75" s="77">
        <f t="shared" si="16"/>
        <v>140982.72426556956</v>
      </c>
      <c r="L75" s="75">
        <v>400000</v>
      </c>
      <c r="M75" s="75">
        <f t="shared" si="13"/>
        <v>259017.27573443044</v>
      </c>
    </row>
    <row r="76" spans="5:13">
      <c r="E76">
        <v>74</v>
      </c>
      <c r="F76" s="77">
        <f t="shared" si="14"/>
        <v>763.86447274473517</v>
      </c>
      <c r="G76" s="77">
        <f t="shared" si="11"/>
        <v>468.96267402347803</v>
      </c>
      <c r="H76" s="77">
        <f t="shared" si="15"/>
        <v>294.90179872125714</v>
      </c>
      <c r="I76" s="77">
        <f t="shared" si="12"/>
        <v>37683.735864177361</v>
      </c>
      <c r="J76" s="77">
        <f t="shared" si="12"/>
        <v>19606.099591677776</v>
      </c>
      <c r="K76" s="77">
        <f t="shared" si="16"/>
        <v>140688.80220704339</v>
      </c>
      <c r="L76" s="75">
        <v>400000</v>
      </c>
      <c r="M76" s="75">
        <f t="shared" si="13"/>
        <v>259311.19779295661</v>
      </c>
    </row>
    <row r="77" spans="5:13">
      <c r="E77">
        <v>75</v>
      </c>
      <c r="F77" s="77">
        <f t="shared" si="14"/>
        <v>763.86447274473517</v>
      </c>
      <c r="G77" s="77">
        <f t="shared" si="11"/>
        <v>467.9796680277405</v>
      </c>
      <c r="H77" s="77">
        <f t="shared" si="15"/>
        <v>295.88480471699467</v>
      </c>
      <c r="I77" s="77">
        <f t="shared" si="12"/>
        <v>38151.715532205104</v>
      </c>
      <c r="J77" s="77">
        <f t="shared" si="12"/>
        <v>19901.984396394771</v>
      </c>
      <c r="K77" s="77">
        <f t="shared" si="16"/>
        <v>140393.90040832214</v>
      </c>
      <c r="L77" s="75">
        <v>400000</v>
      </c>
      <c r="M77" s="75">
        <f t="shared" si="13"/>
        <v>259606.09959167786</v>
      </c>
    </row>
    <row r="78" spans="5:13">
      <c r="E78">
        <v>76</v>
      </c>
      <c r="F78" s="77">
        <f t="shared" si="14"/>
        <v>763.86447274473517</v>
      </c>
      <c r="G78" s="77">
        <f t="shared" si="11"/>
        <v>466.99338534535048</v>
      </c>
      <c r="H78" s="77">
        <f t="shared" si="15"/>
        <v>296.87108739938469</v>
      </c>
      <c r="I78" s="77">
        <f t="shared" si="12"/>
        <v>38618.708917550452</v>
      </c>
      <c r="J78" s="77">
        <f t="shared" si="12"/>
        <v>20198.855483794156</v>
      </c>
      <c r="K78" s="77">
        <f t="shared" si="16"/>
        <v>140098.01560360513</v>
      </c>
      <c r="L78" s="75">
        <v>400000</v>
      </c>
      <c r="M78" s="75">
        <f t="shared" si="13"/>
        <v>259901.98439639487</v>
      </c>
    </row>
    <row r="79" spans="5:13">
      <c r="E79">
        <v>77</v>
      </c>
      <c r="F79" s="77">
        <f t="shared" si="14"/>
        <v>763.86447274473517</v>
      </c>
      <c r="G79" s="77">
        <f t="shared" si="11"/>
        <v>466.00381505401913</v>
      </c>
      <c r="H79" s="77">
        <f t="shared" si="15"/>
        <v>297.86065769071604</v>
      </c>
      <c r="I79" s="77">
        <f t="shared" si="12"/>
        <v>39084.712732604472</v>
      </c>
      <c r="J79" s="77">
        <f t="shared" si="12"/>
        <v>20496.716141484871</v>
      </c>
      <c r="K79" s="77">
        <f t="shared" si="16"/>
        <v>139801.14451620574</v>
      </c>
      <c r="L79" s="75">
        <v>400000</v>
      </c>
      <c r="M79" s="75">
        <f t="shared" si="13"/>
        <v>260198.85548379426</v>
      </c>
    </row>
    <row r="80" spans="5:13">
      <c r="E80">
        <v>78</v>
      </c>
      <c r="F80" s="77">
        <f t="shared" si="14"/>
        <v>763.86447274473517</v>
      </c>
      <c r="G80" s="77">
        <f t="shared" si="11"/>
        <v>465.01094619505011</v>
      </c>
      <c r="H80" s="77">
        <f t="shared" si="15"/>
        <v>298.85352654968506</v>
      </c>
      <c r="I80" s="77">
        <f t="shared" si="12"/>
        <v>39549.723678799521</v>
      </c>
      <c r="J80" s="77">
        <f t="shared" si="12"/>
        <v>20795.569668034557</v>
      </c>
      <c r="K80" s="77">
        <f t="shared" si="16"/>
        <v>139503.28385851503</v>
      </c>
      <c r="L80" s="75">
        <v>400000</v>
      </c>
      <c r="M80" s="75">
        <f t="shared" si="13"/>
        <v>260496.71614148497</v>
      </c>
    </row>
    <row r="81" spans="5:13">
      <c r="E81">
        <v>79</v>
      </c>
      <c r="F81" s="77">
        <f t="shared" si="14"/>
        <v>763.86447274473517</v>
      </c>
      <c r="G81" s="77">
        <f t="shared" si="11"/>
        <v>464.0147677732179</v>
      </c>
      <c r="H81" s="77">
        <f t="shared" si="15"/>
        <v>299.84970497151727</v>
      </c>
      <c r="I81" s="77">
        <f t="shared" si="12"/>
        <v>40013.738446572737</v>
      </c>
      <c r="J81" s="77">
        <f t="shared" si="12"/>
        <v>21095.419373006076</v>
      </c>
      <c r="K81" s="77">
        <f t="shared" si="16"/>
        <v>139204.43033196536</v>
      </c>
      <c r="L81" s="75">
        <v>400000</v>
      </c>
      <c r="M81" s="75">
        <f t="shared" si="13"/>
        <v>260795.56966803464</v>
      </c>
    </row>
    <row r="82" spans="5:13">
      <c r="E82">
        <v>80</v>
      </c>
      <c r="F82" s="77">
        <f t="shared" si="14"/>
        <v>763.86447274473517</v>
      </c>
      <c r="G82" s="77">
        <f t="shared" si="11"/>
        <v>463.01526875664621</v>
      </c>
      <c r="H82" s="77">
        <f t="shared" si="15"/>
        <v>300.84920398808896</v>
      </c>
      <c r="I82" s="77">
        <f t="shared" si="12"/>
        <v>40476.753715329382</v>
      </c>
      <c r="J82" s="77">
        <f t="shared" si="12"/>
        <v>21396.268576994164</v>
      </c>
      <c r="K82" s="77">
        <f t="shared" si="16"/>
        <v>138904.58062699385</v>
      </c>
      <c r="L82" s="75">
        <v>400000</v>
      </c>
      <c r="M82" s="75">
        <f t="shared" si="13"/>
        <v>261095.41937300615</v>
      </c>
    </row>
    <row r="83" spans="5:13">
      <c r="E83">
        <v>81</v>
      </c>
      <c r="F83" s="77">
        <f t="shared" si="14"/>
        <v>763.86447274473517</v>
      </c>
      <c r="G83" s="77">
        <f t="shared" si="11"/>
        <v>462.0124380766859</v>
      </c>
      <c r="H83" s="77">
        <f t="shared" si="15"/>
        <v>301.85203466804927</v>
      </c>
      <c r="I83" s="77">
        <f t="shared" ref="I83:J98" si="17">I82+G83</f>
        <v>40938.766153406068</v>
      </c>
      <c r="J83" s="77">
        <f t="shared" si="17"/>
        <v>21698.120611662212</v>
      </c>
      <c r="K83" s="77">
        <f t="shared" si="16"/>
        <v>138603.73142300575</v>
      </c>
      <c r="L83" s="75">
        <v>400000</v>
      </c>
      <c r="M83" s="75">
        <f t="shared" si="13"/>
        <v>261396.26857699425</v>
      </c>
    </row>
    <row r="84" spans="5:13">
      <c r="E84">
        <v>82</v>
      </c>
      <c r="F84" s="77">
        <f t="shared" si="14"/>
        <v>763.86447274473517</v>
      </c>
      <c r="G84" s="77">
        <f t="shared" si="11"/>
        <v>461.00626462779235</v>
      </c>
      <c r="H84" s="77">
        <f t="shared" si="15"/>
        <v>302.85820811694282</v>
      </c>
      <c r="I84" s="77">
        <f t="shared" si="17"/>
        <v>41399.772418033863</v>
      </c>
      <c r="J84" s="77">
        <f t="shared" si="17"/>
        <v>22000.978819779157</v>
      </c>
      <c r="K84" s="77">
        <f t="shared" si="16"/>
        <v>138301.87938833769</v>
      </c>
      <c r="L84" s="75">
        <v>400000</v>
      </c>
      <c r="M84" s="75">
        <f t="shared" si="13"/>
        <v>261698.12061166231</v>
      </c>
    </row>
    <row r="85" spans="5:13">
      <c r="E85">
        <v>83</v>
      </c>
      <c r="F85" s="77">
        <f t="shared" si="14"/>
        <v>763.86447274473517</v>
      </c>
      <c r="G85" s="77">
        <f t="shared" si="11"/>
        <v>459.99673726740258</v>
      </c>
      <c r="H85" s="77">
        <f t="shared" si="15"/>
        <v>303.86773547733259</v>
      </c>
      <c r="I85" s="77">
        <f t="shared" si="17"/>
        <v>41859.769155301263</v>
      </c>
      <c r="J85" s="77">
        <f t="shared" si="17"/>
        <v>22304.846555256489</v>
      </c>
      <c r="K85" s="77">
        <f t="shared" si="16"/>
        <v>137999.02118022076</v>
      </c>
      <c r="L85" s="75">
        <v>400000</v>
      </c>
      <c r="M85" s="75">
        <f t="shared" si="13"/>
        <v>262000.97881977924</v>
      </c>
    </row>
    <row r="86" spans="5:13">
      <c r="E86">
        <v>84</v>
      </c>
      <c r="F86" s="77">
        <f t="shared" si="14"/>
        <v>763.86447274473517</v>
      </c>
      <c r="G86" s="77">
        <f t="shared" si="11"/>
        <v>458.98384481581144</v>
      </c>
      <c r="H86" s="77">
        <f t="shared" si="15"/>
        <v>304.88062792892373</v>
      </c>
      <c r="I86" s="77">
        <f t="shared" si="17"/>
        <v>42318.753000117074</v>
      </c>
      <c r="J86" s="77">
        <f t="shared" si="17"/>
        <v>22609.727183185412</v>
      </c>
      <c r="K86" s="77">
        <f t="shared" si="16"/>
        <v>137695.15344474342</v>
      </c>
      <c r="L86" s="75">
        <v>400000</v>
      </c>
      <c r="M86" s="75">
        <f t="shared" si="13"/>
        <v>262304.84655525658</v>
      </c>
    </row>
    <row r="87" spans="5:13">
      <c r="E87">
        <v>85</v>
      </c>
      <c r="F87" s="77">
        <f t="shared" si="14"/>
        <v>763.86447274473517</v>
      </c>
      <c r="G87" s="77">
        <f t="shared" si="11"/>
        <v>457.96757605604842</v>
      </c>
      <c r="H87" s="77">
        <f t="shared" si="15"/>
        <v>305.89689668868675</v>
      </c>
      <c r="I87" s="77">
        <f t="shared" si="17"/>
        <v>42776.720576173124</v>
      </c>
      <c r="J87" s="77">
        <f t="shared" si="17"/>
        <v>22915.624079874098</v>
      </c>
      <c r="K87" s="77">
        <f t="shared" si="16"/>
        <v>137390.27281681451</v>
      </c>
      <c r="L87" s="75">
        <v>400000</v>
      </c>
      <c r="M87" s="75">
        <f t="shared" si="13"/>
        <v>262609.72718318552</v>
      </c>
    </row>
    <row r="88" spans="5:13">
      <c r="E88">
        <v>86</v>
      </c>
      <c r="F88" s="77">
        <f t="shared" si="14"/>
        <v>763.86447274473517</v>
      </c>
      <c r="G88" s="77">
        <f t="shared" si="11"/>
        <v>456.94791973375283</v>
      </c>
      <c r="H88" s="77">
        <f t="shared" si="15"/>
        <v>306.91655301098234</v>
      </c>
      <c r="I88" s="77">
        <f t="shared" si="17"/>
        <v>43233.668495906873</v>
      </c>
      <c r="J88" s="77">
        <f t="shared" si="17"/>
        <v>23222.54063288508</v>
      </c>
      <c r="K88" s="77">
        <f t="shared" si="16"/>
        <v>137084.37592012584</v>
      </c>
      <c r="L88" s="75">
        <v>400000</v>
      </c>
      <c r="M88" s="75">
        <f t="shared" si="13"/>
        <v>262915.62407987413</v>
      </c>
    </row>
    <row r="89" spans="5:13">
      <c r="E89">
        <v>87</v>
      </c>
      <c r="F89" s="77">
        <f t="shared" si="14"/>
        <v>763.86447274473517</v>
      </c>
      <c r="G89" s="77">
        <f t="shared" si="11"/>
        <v>455.92486455704955</v>
      </c>
      <c r="H89" s="77">
        <f t="shared" si="15"/>
        <v>307.93960818768562</v>
      </c>
      <c r="I89" s="77">
        <f t="shared" si="17"/>
        <v>43689.593360463921</v>
      </c>
      <c r="J89" s="77">
        <f t="shared" si="17"/>
        <v>23530.480241072764</v>
      </c>
      <c r="K89" s="77">
        <f t="shared" si="16"/>
        <v>136777.45936711485</v>
      </c>
      <c r="L89" s="75">
        <v>400000</v>
      </c>
      <c r="M89" s="75">
        <f t="shared" si="13"/>
        <v>263222.54063288518</v>
      </c>
    </row>
    <row r="90" spans="5:13">
      <c r="E90">
        <v>88</v>
      </c>
      <c r="F90" s="77">
        <f t="shared" si="14"/>
        <v>763.86447274473517</v>
      </c>
      <c r="G90" s="77">
        <f t="shared" si="11"/>
        <v>454.89839919642395</v>
      </c>
      <c r="H90" s="77">
        <f t="shared" si="15"/>
        <v>308.96607354831121</v>
      </c>
      <c r="I90" s="77">
        <f t="shared" si="17"/>
        <v>44144.491759660348</v>
      </c>
      <c r="J90" s="77">
        <f t="shared" si="17"/>
        <v>23839.446314621076</v>
      </c>
      <c r="K90" s="77">
        <f t="shared" si="16"/>
        <v>136469.51975892717</v>
      </c>
      <c r="L90" s="75">
        <v>400000</v>
      </c>
      <c r="M90" s="75">
        <f t="shared" si="13"/>
        <v>263530.48024107283</v>
      </c>
    </row>
    <row r="91" spans="5:13">
      <c r="E91">
        <v>89</v>
      </c>
      <c r="F91" s="77">
        <f t="shared" si="14"/>
        <v>763.86447274473517</v>
      </c>
      <c r="G91" s="77">
        <f t="shared" si="11"/>
        <v>453.86851228459625</v>
      </c>
      <c r="H91" s="77">
        <f t="shared" si="15"/>
        <v>309.99596046013892</v>
      </c>
      <c r="I91" s="77">
        <f t="shared" si="17"/>
        <v>44598.360271944941</v>
      </c>
      <c r="J91" s="77">
        <f t="shared" si="17"/>
        <v>24149.442275081215</v>
      </c>
      <c r="K91" s="77">
        <f t="shared" si="16"/>
        <v>136160.55368537887</v>
      </c>
      <c r="L91" s="75">
        <v>400000</v>
      </c>
      <c r="M91" s="75">
        <f t="shared" si="13"/>
        <v>263839.44631462113</v>
      </c>
    </row>
    <row r="92" spans="5:13">
      <c r="E92">
        <v>90</v>
      </c>
      <c r="F92" s="77">
        <f t="shared" si="14"/>
        <v>763.86447274473517</v>
      </c>
      <c r="G92" s="77">
        <f t="shared" si="11"/>
        <v>452.83519241639578</v>
      </c>
      <c r="H92" s="77">
        <f t="shared" si="15"/>
        <v>311.02928032833938</v>
      </c>
      <c r="I92" s="77">
        <f t="shared" si="17"/>
        <v>45051.195464361335</v>
      </c>
      <c r="J92" s="77">
        <f t="shared" si="17"/>
        <v>24460.471555409556</v>
      </c>
      <c r="K92" s="77">
        <f t="shared" si="16"/>
        <v>135850.55772491873</v>
      </c>
      <c r="L92" s="75">
        <v>400000</v>
      </c>
      <c r="M92" s="75">
        <f t="shared" si="13"/>
        <v>264149.4422750813</v>
      </c>
    </row>
    <row r="93" spans="5:13">
      <c r="E93">
        <v>91</v>
      </c>
      <c r="F93" s="77">
        <f t="shared" si="14"/>
        <v>763.86447274473517</v>
      </c>
      <c r="G93" s="77">
        <f t="shared" si="11"/>
        <v>451.79842814863468</v>
      </c>
      <c r="H93" s="77">
        <f t="shared" si="15"/>
        <v>312.06604459610048</v>
      </c>
      <c r="I93" s="77">
        <f t="shared" si="17"/>
        <v>45502.99389250997</v>
      </c>
      <c r="J93" s="77">
        <f t="shared" si="17"/>
        <v>24772.537600005657</v>
      </c>
      <c r="K93" s="77">
        <f t="shared" si="16"/>
        <v>135539.5284445904</v>
      </c>
      <c r="L93" s="75">
        <v>400000</v>
      </c>
      <c r="M93" s="75">
        <f t="shared" si="13"/>
        <v>264460.4715554096</v>
      </c>
    </row>
    <row r="94" spans="5:13">
      <c r="E94">
        <v>92</v>
      </c>
      <c r="F94" s="77">
        <f t="shared" si="14"/>
        <v>763.86447274473517</v>
      </c>
      <c r="G94" s="77">
        <f t="shared" si="11"/>
        <v>450.75820799998098</v>
      </c>
      <c r="H94" s="77">
        <f t="shared" si="15"/>
        <v>313.10626474475418</v>
      </c>
      <c r="I94" s="77">
        <f t="shared" si="17"/>
        <v>45953.752100509948</v>
      </c>
      <c r="J94" s="77">
        <f t="shared" si="17"/>
        <v>25085.643864750411</v>
      </c>
      <c r="K94" s="77">
        <f t="shared" si="16"/>
        <v>135227.46239999429</v>
      </c>
      <c r="L94" s="75">
        <v>400000</v>
      </c>
      <c r="M94" s="75">
        <f t="shared" si="13"/>
        <v>264772.53760000574</v>
      </c>
    </row>
    <row r="95" spans="5:13">
      <c r="E95">
        <v>93</v>
      </c>
      <c r="F95" s="77">
        <f t="shared" si="14"/>
        <v>763.86447274473517</v>
      </c>
      <c r="G95" s="77">
        <f t="shared" si="11"/>
        <v>449.71452045083186</v>
      </c>
      <c r="H95" s="77">
        <f t="shared" si="15"/>
        <v>314.14995229390331</v>
      </c>
      <c r="I95" s="77">
        <f t="shared" si="17"/>
        <v>46403.466620960782</v>
      </c>
      <c r="J95" s="77">
        <f t="shared" si="17"/>
        <v>25399.793817044316</v>
      </c>
      <c r="K95" s="77">
        <f t="shared" si="16"/>
        <v>134914.35613524955</v>
      </c>
      <c r="L95" s="75">
        <v>400000</v>
      </c>
      <c r="M95" s="75">
        <f t="shared" si="13"/>
        <v>265085.64386475045</v>
      </c>
    </row>
    <row r="96" spans="5:13">
      <c r="E96">
        <v>94</v>
      </c>
      <c r="F96" s="77">
        <f t="shared" si="14"/>
        <v>763.86447274473517</v>
      </c>
      <c r="G96" s="77">
        <f t="shared" si="11"/>
        <v>448.6673539431855</v>
      </c>
      <c r="H96" s="77">
        <f t="shared" si="15"/>
        <v>315.19711880154966</v>
      </c>
      <c r="I96" s="77">
        <f t="shared" si="17"/>
        <v>46852.133974903969</v>
      </c>
      <c r="J96" s="77">
        <f t="shared" si="17"/>
        <v>25714.990935845864</v>
      </c>
      <c r="K96" s="77">
        <f t="shared" si="16"/>
        <v>134600.20618295565</v>
      </c>
      <c r="L96" s="75">
        <v>400000</v>
      </c>
      <c r="M96" s="75">
        <f t="shared" si="13"/>
        <v>265399.79381704435</v>
      </c>
    </row>
    <row r="97" spans="5:13">
      <c r="E97">
        <v>95</v>
      </c>
      <c r="F97" s="77">
        <f t="shared" si="14"/>
        <v>763.86447274473517</v>
      </c>
      <c r="G97" s="77">
        <f t="shared" si="11"/>
        <v>447.61669688051364</v>
      </c>
      <c r="H97" s="77">
        <f t="shared" si="15"/>
        <v>316.24777586422152</v>
      </c>
      <c r="I97" s="77">
        <f t="shared" si="17"/>
        <v>47299.750671784481</v>
      </c>
      <c r="J97" s="77">
        <f t="shared" si="17"/>
        <v>26031.238711710084</v>
      </c>
      <c r="K97" s="77">
        <f t="shared" si="16"/>
        <v>134285.00906415409</v>
      </c>
      <c r="L97" s="75">
        <v>400000</v>
      </c>
      <c r="M97" s="75">
        <f t="shared" si="13"/>
        <v>265714.99093584588</v>
      </c>
    </row>
    <row r="98" spans="5:13">
      <c r="E98">
        <v>96</v>
      </c>
      <c r="F98" s="77">
        <f t="shared" si="14"/>
        <v>763.86447274473517</v>
      </c>
      <c r="G98" s="77">
        <f t="shared" si="11"/>
        <v>446.56253762763288</v>
      </c>
      <c r="H98" s="77">
        <f t="shared" si="15"/>
        <v>317.30193511710229</v>
      </c>
      <c r="I98" s="77">
        <f t="shared" si="17"/>
        <v>47746.31320941211</v>
      </c>
      <c r="J98" s="77">
        <f t="shared" si="17"/>
        <v>26348.540646827187</v>
      </c>
      <c r="K98" s="77">
        <f t="shared" si="16"/>
        <v>133968.76128828985</v>
      </c>
      <c r="L98" s="75">
        <v>400000</v>
      </c>
      <c r="M98" s="75">
        <f t="shared" si="13"/>
        <v>266031.23871171015</v>
      </c>
    </row>
    <row r="99" spans="5:13">
      <c r="E99">
        <v>97</v>
      </c>
      <c r="F99" s="77">
        <f t="shared" si="14"/>
        <v>763.86447274473517</v>
      </c>
      <c r="G99" s="77">
        <f t="shared" si="11"/>
        <v>445.50486451057583</v>
      </c>
      <c r="H99" s="77">
        <f t="shared" si="15"/>
        <v>318.35960823415934</v>
      </c>
      <c r="I99" s="77">
        <f t="shared" ref="I99:J114" si="18">I98+G99</f>
        <v>48191.818073922688</v>
      </c>
      <c r="J99" s="77">
        <f t="shared" si="18"/>
        <v>26666.900255061348</v>
      </c>
      <c r="K99" s="77">
        <f t="shared" si="16"/>
        <v>133651.45935317274</v>
      </c>
      <c r="L99" s="75">
        <v>400000</v>
      </c>
      <c r="M99" s="75">
        <f t="shared" si="13"/>
        <v>266348.54064682726</v>
      </c>
    </row>
    <row r="100" spans="5:13">
      <c r="E100">
        <v>98</v>
      </c>
      <c r="F100" s="77">
        <f t="shared" si="14"/>
        <v>763.86447274473517</v>
      </c>
      <c r="G100" s="77">
        <f t="shared" si="11"/>
        <v>444.44366581646193</v>
      </c>
      <c r="H100" s="77">
        <f t="shared" si="15"/>
        <v>319.42080692827324</v>
      </c>
      <c r="I100" s="77">
        <f t="shared" si="18"/>
        <v>48636.261739739151</v>
      </c>
      <c r="J100" s="77">
        <f t="shared" si="18"/>
        <v>26986.32106198962</v>
      </c>
      <c r="K100" s="77">
        <f t="shared" si="16"/>
        <v>133333.09974493858</v>
      </c>
      <c r="L100" s="75">
        <v>400000</v>
      </c>
      <c r="M100" s="75">
        <f t="shared" si="13"/>
        <v>266666.90025506145</v>
      </c>
    </row>
    <row r="101" spans="5:13">
      <c r="E101">
        <v>99</v>
      </c>
      <c r="F101" s="77">
        <f t="shared" si="14"/>
        <v>763.86447274473517</v>
      </c>
      <c r="G101" s="77">
        <f t="shared" si="11"/>
        <v>443.37892979336772</v>
      </c>
      <c r="H101" s="77">
        <f t="shared" si="15"/>
        <v>320.48554295136745</v>
      </c>
      <c r="I101" s="77">
        <f t="shared" si="18"/>
        <v>49079.64066953252</v>
      </c>
      <c r="J101" s="77">
        <f t="shared" si="18"/>
        <v>27306.806604940986</v>
      </c>
      <c r="K101" s="77">
        <f t="shared" si="16"/>
        <v>133013.6789380103</v>
      </c>
      <c r="L101" s="75">
        <v>400000</v>
      </c>
      <c r="M101" s="75">
        <f t="shared" si="13"/>
        <v>266986.3210619897</v>
      </c>
    </row>
    <row r="102" spans="5:13">
      <c r="E102">
        <v>100</v>
      </c>
      <c r="F102" s="77">
        <f t="shared" si="14"/>
        <v>763.86447274473517</v>
      </c>
      <c r="G102" s="77">
        <f t="shared" si="11"/>
        <v>442.31064465019654</v>
      </c>
      <c r="H102" s="77">
        <f t="shared" si="15"/>
        <v>321.55382809453863</v>
      </c>
      <c r="I102" s="77">
        <f t="shared" si="18"/>
        <v>49521.951314182719</v>
      </c>
      <c r="J102" s="77">
        <f t="shared" si="18"/>
        <v>27628.360433035527</v>
      </c>
      <c r="K102" s="77">
        <f t="shared" si="16"/>
        <v>132693.19339505894</v>
      </c>
      <c r="L102" s="75">
        <v>400000</v>
      </c>
      <c r="M102" s="75">
        <f t="shared" si="13"/>
        <v>267306.80660494103</v>
      </c>
    </row>
    <row r="103" spans="5:13">
      <c r="E103">
        <v>101</v>
      </c>
      <c r="F103" s="77">
        <f t="shared" si="14"/>
        <v>763.86447274473517</v>
      </c>
      <c r="G103" s="77">
        <f t="shared" si="11"/>
        <v>441.23879855654809</v>
      </c>
      <c r="H103" s="77">
        <f t="shared" si="15"/>
        <v>322.62567418818708</v>
      </c>
      <c r="I103" s="77">
        <f t="shared" si="18"/>
        <v>49963.19011273927</v>
      </c>
      <c r="J103" s="77">
        <f t="shared" si="18"/>
        <v>27950.986107223714</v>
      </c>
      <c r="K103" s="77">
        <f t="shared" si="16"/>
        <v>132371.63956696441</v>
      </c>
      <c r="L103" s="75">
        <v>400000</v>
      </c>
      <c r="M103" s="75">
        <f t="shared" si="13"/>
        <v>267628.36043303559</v>
      </c>
    </row>
    <row r="104" spans="5:13">
      <c r="E104">
        <v>102</v>
      </c>
      <c r="F104" s="77">
        <f t="shared" si="14"/>
        <v>763.86447274473517</v>
      </c>
      <c r="G104" s="77">
        <f t="shared" si="11"/>
        <v>440.16337964258742</v>
      </c>
      <c r="H104" s="77">
        <f t="shared" si="15"/>
        <v>323.70109310214775</v>
      </c>
      <c r="I104" s="77">
        <f t="shared" si="18"/>
        <v>50403.353492381859</v>
      </c>
      <c r="J104" s="77">
        <f t="shared" si="18"/>
        <v>28274.687200325861</v>
      </c>
      <c r="K104" s="77">
        <f t="shared" si="16"/>
        <v>132049.01389277622</v>
      </c>
      <c r="L104" s="75">
        <v>400000</v>
      </c>
      <c r="M104" s="75">
        <f t="shared" si="13"/>
        <v>267950.98610722378</v>
      </c>
    </row>
    <row r="105" spans="5:13">
      <c r="E105">
        <v>103</v>
      </c>
      <c r="F105" s="77">
        <f t="shared" si="14"/>
        <v>763.86447274473517</v>
      </c>
      <c r="G105" s="77">
        <f t="shared" si="11"/>
        <v>439.08437599891363</v>
      </c>
      <c r="H105" s="77">
        <f t="shared" si="15"/>
        <v>324.78009674582154</v>
      </c>
      <c r="I105" s="77">
        <f t="shared" si="18"/>
        <v>50842.437868380774</v>
      </c>
      <c r="J105" s="77">
        <f t="shared" si="18"/>
        <v>28599.467297071682</v>
      </c>
      <c r="K105" s="77">
        <f t="shared" si="16"/>
        <v>131725.31279967408</v>
      </c>
      <c r="L105" s="75">
        <v>400000</v>
      </c>
      <c r="M105" s="75">
        <f t="shared" si="13"/>
        <v>268274.68720032589</v>
      </c>
    </row>
    <row r="106" spans="5:13">
      <c r="E106">
        <v>104</v>
      </c>
      <c r="F106" s="77">
        <f t="shared" si="14"/>
        <v>763.86447274473517</v>
      </c>
      <c r="G106" s="77">
        <f t="shared" si="11"/>
        <v>438.0017756764276</v>
      </c>
      <c r="H106" s="77">
        <f t="shared" si="15"/>
        <v>325.86269706830757</v>
      </c>
      <c r="I106" s="77">
        <f t="shared" si="18"/>
        <v>51280.439644057202</v>
      </c>
      <c r="J106" s="77">
        <f t="shared" si="18"/>
        <v>28925.329994139989</v>
      </c>
      <c r="K106" s="77">
        <f t="shared" si="16"/>
        <v>131400.53270292826</v>
      </c>
      <c r="L106" s="75">
        <v>400000</v>
      </c>
      <c r="M106" s="75">
        <f t="shared" si="13"/>
        <v>268599.46729707171</v>
      </c>
    </row>
    <row r="107" spans="5:13">
      <c r="E107">
        <v>105</v>
      </c>
      <c r="F107" s="77">
        <f t="shared" si="14"/>
        <v>763.86447274473517</v>
      </c>
      <c r="G107" s="77">
        <f t="shared" si="11"/>
        <v>436.9155666861999</v>
      </c>
      <c r="H107" s="77">
        <f t="shared" si="15"/>
        <v>326.94890605853527</v>
      </c>
      <c r="I107" s="77">
        <f t="shared" si="18"/>
        <v>51717.355210743401</v>
      </c>
      <c r="J107" s="77">
        <f t="shared" si="18"/>
        <v>29252.278900198526</v>
      </c>
      <c r="K107" s="77">
        <f t="shared" si="16"/>
        <v>131074.67000585995</v>
      </c>
      <c r="L107" s="75">
        <v>400000</v>
      </c>
      <c r="M107" s="75">
        <f t="shared" si="13"/>
        <v>268925.32999414008</v>
      </c>
    </row>
    <row r="108" spans="5:13">
      <c r="E108">
        <v>106</v>
      </c>
      <c r="F108" s="77">
        <f t="shared" si="14"/>
        <v>763.86447274473517</v>
      </c>
      <c r="G108" s="77">
        <f t="shared" si="11"/>
        <v>435.82573699933812</v>
      </c>
      <c r="H108" s="77">
        <f t="shared" si="15"/>
        <v>328.03873574539705</v>
      </c>
      <c r="I108" s="77">
        <f t="shared" si="18"/>
        <v>52153.180947742738</v>
      </c>
      <c r="J108" s="77">
        <f t="shared" si="18"/>
        <v>29580.317635943924</v>
      </c>
      <c r="K108" s="77">
        <f t="shared" si="16"/>
        <v>130747.72109980142</v>
      </c>
      <c r="L108" s="75">
        <v>400000</v>
      </c>
      <c r="M108" s="75">
        <f t="shared" si="13"/>
        <v>269252.27890019858</v>
      </c>
    </row>
    <row r="109" spans="5:13">
      <c r="E109">
        <v>107</v>
      </c>
      <c r="F109" s="77">
        <f t="shared" si="14"/>
        <v>763.86447274473517</v>
      </c>
      <c r="G109" s="77">
        <f t="shared" si="11"/>
        <v>434.73227454685343</v>
      </c>
      <c r="H109" s="77">
        <f t="shared" si="15"/>
        <v>329.13219819788173</v>
      </c>
      <c r="I109" s="77">
        <f t="shared" si="18"/>
        <v>52587.913222289593</v>
      </c>
      <c r="J109" s="77">
        <f t="shared" si="18"/>
        <v>29909.449834141808</v>
      </c>
      <c r="K109" s="77">
        <f t="shared" si="16"/>
        <v>130419.68236405602</v>
      </c>
      <c r="L109" s="75">
        <v>400000</v>
      </c>
      <c r="M109" s="75">
        <f t="shared" si="13"/>
        <v>269580.317635944</v>
      </c>
    </row>
    <row r="110" spans="5:13">
      <c r="E110">
        <v>108</v>
      </c>
      <c r="F110" s="77">
        <f t="shared" si="14"/>
        <v>763.86447274473517</v>
      </c>
      <c r="G110" s="77">
        <f t="shared" si="11"/>
        <v>433.63516721952715</v>
      </c>
      <c r="H110" s="77">
        <f t="shared" si="15"/>
        <v>330.22930552520802</v>
      </c>
      <c r="I110" s="77">
        <f t="shared" si="18"/>
        <v>53021.548389509124</v>
      </c>
      <c r="J110" s="77">
        <f t="shared" si="18"/>
        <v>30239.679139667016</v>
      </c>
      <c r="K110" s="77">
        <f t="shared" si="16"/>
        <v>130090.55016585813</v>
      </c>
      <c r="L110" s="75">
        <v>400000</v>
      </c>
      <c r="M110" s="75">
        <f t="shared" si="13"/>
        <v>269909.44983414188</v>
      </c>
    </row>
    <row r="111" spans="5:13">
      <c r="E111">
        <v>109</v>
      </c>
      <c r="F111" s="77">
        <f t="shared" si="14"/>
        <v>763.86447274473517</v>
      </c>
      <c r="G111" s="77">
        <f t="shared" si="11"/>
        <v>432.53440286777646</v>
      </c>
      <c r="H111" s="77">
        <f t="shared" si="15"/>
        <v>331.3300698769587</v>
      </c>
      <c r="I111" s="77">
        <f t="shared" si="18"/>
        <v>53454.082792376903</v>
      </c>
      <c r="J111" s="77">
        <f t="shared" si="18"/>
        <v>30571.009209543976</v>
      </c>
      <c r="K111" s="77">
        <f t="shared" si="16"/>
        <v>129760.32086033293</v>
      </c>
      <c r="L111" s="75">
        <v>400000</v>
      </c>
      <c r="M111" s="75">
        <f t="shared" si="13"/>
        <v>270239.67913966707</v>
      </c>
    </row>
    <row r="112" spans="5:13">
      <c r="E112">
        <v>110</v>
      </c>
      <c r="F112" s="77">
        <f t="shared" si="14"/>
        <v>763.86447274473517</v>
      </c>
      <c r="G112" s="77">
        <f t="shared" si="11"/>
        <v>431.42996930151992</v>
      </c>
      <c r="H112" s="77">
        <f t="shared" si="15"/>
        <v>332.43450344321525</v>
      </c>
      <c r="I112" s="77">
        <f t="shared" si="18"/>
        <v>53885.512761678423</v>
      </c>
      <c r="J112" s="77">
        <f t="shared" si="18"/>
        <v>30903.443712987191</v>
      </c>
      <c r="K112" s="77">
        <f t="shared" si="16"/>
        <v>129428.99079045597</v>
      </c>
      <c r="L112" s="75">
        <v>400000</v>
      </c>
      <c r="M112" s="75">
        <f t="shared" si="13"/>
        <v>270571.00920954405</v>
      </c>
    </row>
    <row r="113" spans="5:13">
      <c r="E113">
        <v>111</v>
      </c>
      <c r="F113" s="77">
        <f t="shared" si="14"/>
        <v>763.86447274473517</v>
      </c>
      <c r="G113" s="77">
        <f t="shared" si="11"/>
        <v>430.32185429004249</v>
      </c>
      <c r="H113" s="77">
        <f t="shared" si="15"/>
        <v>333.54261845469267</v>
      </c>
      <c r="I113" s="77">
        <f t="shared" si="18"/>
        <v>54315.834615968466</v>
      </c>
      <c r="J113" s="77">
        <f t="shared" si="18"/>
        <v>31236.986331441884</v>
      </c>
      <c r="K113" s="77">
        <f t="shared" si="16"/>
        <v>129096.55628701275</v>
      </c>
      <c r="L113" s="75">
        <v>400000</v>
      </c>
      <c r="M113" s="75">
        <f t="shared" si="13"/>
        <v>270903.44371298724</v>
      </c>
    </row>
    <row r="114" spans="5:13">
      <c r="E114">
        <v>112</v>
      </c>
      <c r="F114" s="77">
        <f t="shared" si="14"/>
        <v>763.86447274473517</v>
      </c>
      <c r="G114" s="77">
        <f t="shared" si="11"/>
        <v>429.21004556186017</v>
      </c>
      <c r="H114" s="77">
        <f t="shared" si="15"/>
        <v>334.654427182875</v>
      </c>
      <c r="I114" s="77">
        <f t="shared" si="18"/>
        <v>54745.044661530323</v>
      </c>
      <c r="J114" s="77">
        <f t="shared" si="18"/>
        <v>31571.640758624759</v>
      </c>
      <c r="K114" s="77">
        <f t="shared" si="16"/>
        <v>128763.01366855805</v>
      </c>
      <c r="L114" s="75">
        <v>400000</v>
      </c>
      <c r="M114" s="75">
        <f t="shared" si="13"/>
        <v>271236.98633144196</v>
      </c>
    </row>
    <row r="115" spans="5:13">
      <c r="E115">
        <v>113</v>
      </c>
      <c r="F115" s="77">
        <f t="shared" si="14"/>
        <v>763.86447274473517</v>
      </c>
      <c r="G115" s="77">
        <f t="shared" si="11"/>
        <v>428.09453080458394</v>
      </c>
      <c r="H115" s="77">
        <f t="shared" si="15"/>
        <v>335.76994194015123</v>
      </c>
      <c r="I115" s="77">
        <f t="shared" ref="I115:J130" si="19">I114+G115</f>
        <v>55173.139192334907</v>
      </c>
      <c r="J115" s="77">
        <f t="shared" si="19"/>
        <v>31907.410700564909</v>
      </c>
      <c r="K115" s="77">
        <f t="shared" si="16"/>
        <v>128428.35924137518</v>
      </c>
      <c r="L115" s="75">
        <v>400000</v>
      </c>
      <c r="M115" s="75">
        <f t="shared" si="13"/>
        <v>271571.64075862482</v>
      </c>
    </row>
    <row r="116" spans="5:13">
      <c r="E116">
        <v>114</v>
      </c>
      <c r="F116" s="77">
        <f t="shared" si="14"/>
        <v>763.86447274473517</v>
      </c>
      <c r="G116" s="77">
        <f t="shared" si="11"/>
        <v>426.97529766478345</v>
      </c>
      <c r="H116" s="77">
        <f t="shared" si="15"/>
        <v>336.88917507995171</v>
      </c>
      <c r="I116" s="77">
        <f t="shared" si="19"/>
        <v>55600.114489999694</v>
      </c>
      <c r="J116" s="77">
        <f t="shared" si="19"/>
        <v>32244.299875644861</v>
      </c>
      <c r="K116" s="77">
        <f t="shared" si="16"/>
        <v>128092.58929943503</v>
      </c>
      <c r="L116" s="75">
        <v>400000</v>
      </c>
      <c r="M116" s="75">
        <f t="shared" si="13"/>
        <v>271907.41070056497</v>
      </c>
    </row>
    <row r="117" spans="5:13">
      <c r="E117">
        <v>115</v>
      </c>
      <c r="F117" s="77">
        <f t="shared" si="14"/>
        <v>763.86447274473517</v>
      </c>
      <c r="G117" s="77">
        <f t="shared" si="11"/>
        <v>425.85233374785031</v>
      </c>
      <c r="H117" s="77">
        <f t="shared" si="15"/>
        <v>338.01213899688486</v>
      </c>
      <c r="I117" s="77">
        <f t="shared" si="19"/>
        <v>56025.966823747542</v>
      </c>
      <c r="J117" s="77">
        <f t="shared" si="19"/>
        <v>32582.312014641746</v>
      </c>
      <c r="K117" s="77">
        <f t="shared" si="16"/>
        <v>127755.70012435508</v>
      </c>
      <c r="L117" s="75">
        <v>400000</v>
      </c>
      <c r="M117" s="75">
        <f t="shared" si="13"/>
        <v>272244.29987564491</v>
      </c>
    </row>
    <row r="118" spans="5:13">
      <c r="E118">
        <v>116</v>
      </c>
      <c r="F118" s="77">
        <f t="shared" si="14"/>
        <v>763.86447274473517</v>
      </c>
      <c r="G118" s="77">
        <f t="shared" si="11"/>
        <v>424.72562661786066</v>
      </c>
      <c r="H118" s="77">
        <f t="shared" si="15"/>
        <v>339.13884612687451</v>
      </c>
      <c r="I118" s="77">
        <f t="shared" si="19"/>
        <v>56450.692450365401</v>
      </c>
      <c r="J118" s="77">
        <f t="shared" si="19"/>
        <v>32921.450860768622</v>
      </c>
      <c r="K118" s="77">
        <f t="shared" si="16"/>
        <v>127417.68798535819</v>
      </c>
      <c r="L118" s="75">
        <v>400000</v>
      </c>
      <c r="M118" s="75">
        <f t="shared" si="13"/>
        <v>272582.31201464182</v>
      </c>
    </row>
    <row r="119" spans="5:13">
      <c r="E119">
        <v>117</v>
      </c>
      <c r="F119" s="77">
        <f t="shared" si="14"/>
        <v>763.86447274473517</v>
      </c>
      <c r="G119" s="77">
        <f t="shared" si="11"/>
        <v>423.59516379743775</v>
      </c>
      <c r="H119" s="77">
        <f t="shared" si="15"/>
        <v>340.26930894729742</v>
      </c>
      <c r="I119" s="77">
        <f t="shared" si="19"/>
        <v>56874.287614162837</v>
      </c>
      <c r="J119" s="77">
        <f t="shared" si="19"/>
        <v>33261.720169715918</v>
      </c>
      <c r="K119" s="77">
        <f t="shared" si="16"/>
        <v>127078.54913923131</v>
      </c>
      <c r="L119" s="75">
        <v>400000</v>
      </c>
      <c r="M119" s="75">
        <f t="shared" si="13"/>
        <v>272921.45086076867</v>
      </c>
    </row>
    <row r="120" spans="5:13">
      <c r="E120">
        <v>118</v>
      </c>
      <c r="F120" s="77">
        <f t="shared" si="14"/>
        <v>763.86447274473517</v>
      </c>
      <c r="G120" s="77">
        <f t="shared" si="11"/>
        <v>422.46093276761337</v>
      </c>
      <c r="H120" s="77">
        <f t="shared" si="15"/>
        <v>341.4035399771218</v>
      </c>
      <c r="I120" s="77">
        <f t="shared" si="19"/>
        <v>57296.748546930452</v>
      </c>
      <c r="J120" s="77">
        <f t="shared" si="19"/>
        <v>33603.123709693042</v>
      </c>
      <c r="K120" s="77">
        <f t="shared" si="16"/>
        <v>126738.27983028401</v>
      </c>
      <c r="L120" s="75">
        <v>400000</v>
      </c>
      <c r="M120" s="75">
        <f t="shared" si="13"/>
        <v>273261.72016971599</v>
      </c>
    </row>
    <row r="121" spans="5:13">
      <c r="E121">
        <v>119</v>
      </c>
      <c r="F121" s="77">
        <f t="shared" si="14"/>
        <v>763.86447274473517</v>
      </c>
      <c r="G121" s="77">
        <f t="shared" si="11"/>
        <v>421.32292096768964</v>
      </c>
      <c r="H121" s="77">
        <f t="shared" si="15"/>
        <v>342.54155177704553</v>
      </c>
      <c r="I121" s="77">
        <f t="shared" si="19"/>
        <v>57718.071467898139</v>
      </c>
      <c r="J121" s="77">
        <f t="shared" si="19"/>
        <v>33945.665261470087</v>
      </c>
      <c r="K121" s="77">
        <f t="shared" si="16"/>
        <v>126396.87629030689</v>
      </c>
      <c r="L121" s="75">
        <v>400000</v>
      </c>
      <c r="M121" s="75">
        <f t="shared" si="13"/>
        <v>273603.12370969309</v>
      </c>
    </row>
    <row r="122" spans="5:13">
      <c r="E122">
        <v>120</v>
      </c>
      <c r="F122" s="77">
        <f t="shared" si="14"/>
        <v>763.86447274473517</v>
      </c>
      <c r="G122" s="77">
        <f t="shared" si="11"/>
        <v>420.18111579509952</v>
      </c>
      <c r="H122" s="77">
        <f t="shared" si="15"/>
        <v>343.68335694963565</v>
      </c>
      <c r="I122" s="77">
        <f t="shared" si="19"/>
        <v>58138.25258369324</v>
      </c>
      <c r="J122" s="77">
        <f t="shared" si="19"/>
        <v>34289.348618419725</v>
      </c>
      <c r="K122" s="77">
        <f t="shared" si="16"/>
        <v>126054.33473852984</v>
      </c>
      <c r="L122" s="75">
        <v>400000</v>
      </c>
      <c r="M122" s="75">
        <f t="shared" si="13"/>
        <v>273945.66526147013</v>
      </c>
    </row>
    <row r="123" spans="5:13">
      <c r="E123">
        <v>121</v>
      </c>
      <c r="F123" s="77">
        <f t="shared" si="14"/>
        <v>763.86447274473517</v>
      </c>
      <c r="G123" s="77">
        <f t="shared" si="11"/>
        <v>419.03550460526736</v>
      </c>
      <c r="H123" s="77">
        <f t="shared" si="15"/>
        <v>344.8289681394678</v>
      </c>
      <c r="I123" s="77">
        <f t="shared" si="19"/>
        <v>58557.288088298505</v>
      </c>
      <c r="J123" s="77">
        <f t="shared" si="19"/>
        <v>34634.177586559192</v>
      </c>
      <c r="K123" s="77">
        <f t="shared" si="16"/>
        <v>125710.6513815802</v>
      </c>
      <c r="L123" s="75">
        <v>400000</v>
      </c>
      <c r="M123" s="75">
        <f t="shared" si="13"/>
        <v>274289.34861841978</v>
      </c>
    </row>
    <row r="124" spans="5:13">
      <c r="E124">
        <v>122</v>
      </c>
      <c r="F124" s="77">
        <f t="shared" si="14"/>
        <v>763.86447274473517</v>
      </c>
      <c r="G124" s="77">
        <f t="shared" si="11"/>
        <v>417.88607471146912</v>
      </c>
      <c r="H124" s="77">
        <f t="shared" si="15"/>
        <v>345.97839803326605</v>
      </c>
      <c r="I124" s="77">
        <f t="shared" si="19"/>
        <v>58975.174163009971</v>
      </c>
      <c r="J124" s="77">
        <f t="shared" si="19"/>
        <v>34980.155984592457</v>
      </c>
      <c r="K124" s="77">
        <f t="shared" si="16"/>
        <v>125365.82241344074</v>
      </c>
      <c r="L124" s="75">
        <v>400000</v>
      </c>
      <c r="M124" s="75">
        <f t="shared" si="13"/>
        <v>274634.17758655926</v>
      </c>
    </row>
    <row r="125" spans="5:13">
      <c r="E125">
        <v>123</v>
      </c>
      <c r="F125" s="77">
        <f t="shared" si="14"/>
        <v>763.86447274473517</v>
      </c>
      <c r="G125" s="77">
        <f t="shared" si="11"/>
        <v>416.73281338469155</v>
      </c>
      <c r="H125" s="77">
        <f t="shared" si="15"/>
        <v>347.13165936004361</v>
      </c>
      <c r="I125" s="77">
        <f t="shared" si="19"/>
        <v>59391.906976394661</v>
      </c>
      <c r="J125" s="77">
        <f t="shared" si="19"/>
        <v>35327.287643952499</v>
      </c>
      <c r="K125" s="77">
        <f t="shared" si="16"/>
        <v>125019.84401540746</v>
      </c>
      <c r="L125" s="75">
        <v>400000</v>
      </c>
      <c r="M125" s="75">
        <f t="shared" si="13"/>
        <v>274980.15598459251</v>
      </c>
    </row>
    <row r="126" spans="5:13">
      <c r="E126">
        <v>124</v>
      </c>
      <c r="F126" s="77">
        <f t="shared" si="14"/>
        <v>763.86447274473517</v>
      </c>
      <c r="G126" s="77">
        <f t="shared" si="11"/>
        <v>415.57570785349139</v>
      </c>
      <c r="H126" s="77">
        <f t="shared" si="15"/>
        <v>348.28876489124377</v>
      </c>
      <c r="I126" s="77">
        <f t="shared" si="19"/>
        <v>59807.482684248149</v>
      </c>
      <c r="J126" s="77">
        <f t="shared" si="19"/>
        <v>35675.576408843743</v>
      </c>
      <c r="K126" s="77">
        <f t="shared" si="16"/>
        <v>124672.71235604741</v>
      </c>
      <c r="L126" s="75">
        <v>400000</v>
      </c>
      <c r="M126" s="75">
        <f t="shared" si="13"/>
        <v>275327.28764395259</v>
      </c>
    </row>
    <row r="127" spans="5:13">
      <c r="E127">
        <v>125</v>
      </c>
      <c r="F127" s="77">
        <f t="shared" si="14"/>
        <v>763.86447274473517</v>
      </c>
      <c r="G127" s="77">
        <f t="shared" si="11"/>
        <v>414.41474530385392</v>
      </c>
      <c r="H127" s="77">
        <f t="shared" si="15"/>
        <v>349.44972744088125</v>
      </c>
      <c r="I127" s="77">
        <f t="shared" si="19"/>
        <v>60221.897429552002</v>
      </c>
      <c r="J127" s="77">
        <f t="shared" si="19"/>
        <v>36025.026136284621</v>
      </c>
      <c r="K127" s="77">
        <f t="shared" si="16"/>
        <v>124324.42359115617</v>
      </c>
      <c r="L127" s="75">
        <v>400000</v>
      </c>
      <c r="M127" s="75">
        <f t="shared" si="13"/>
        <v>275675.57640884386</v>
      </c>
    </row>
    <row r="128" spans="5:13">
      <c r="E128">
        <v>126</v>
      </c>
      <c r="F128" s="77">
        <f t="shared" si="14"/>
        <v>763.86447274473517</v>
      </c>
      <c r="G128" s="77">
        <f t="shared" si="11"/>
        <v>413.24991287905101</v>
      </c>
      <c r="H128" s="77">
        <f t="shared" si="15"/>
        <v>350.61455986568416</v>
      </c>
      <c r="I128" s="77">
        <f t="shared" si="19"/>
        <v>60635.147342431053</v>
      </c>
      <c r="J128" s="77">
        <f t="shared" si="19"/>
        <v>36375.640696150309</v>
      </c>
      <c r="K128" s="77">
        <f t="shared" si="16"/>
        <v>123974.97386371529</v>
      </c>
      <c r="L128" s="75">
        <v>400000</v>
      </c>
      <c r="M128" s="75">
        <f t="shared" si="13"/>
        <v>276025.02613628469</v>
      </c>
    </row>
    <row r="129" spans="5:13">
      <c r="E129">
        <v>127</v>
      </c>
      <c r="F129" s="77">
        <f t="shared" si="14"/>
        <v>763.86447274473517</v>
      </c>
      <c r="G129" s="77">
        <f t="shared" si="11"/>
        <v>412.0811976794987</v>
      </c>
      <c r="H129" s="77">
        <f t="shared" si="15"/>
        <v>351.78327506523647</v>
      </c>
      <c r="I129" s="77">
        <f t="shared" si="19"/>
        <v>61047.228540110555</v>
      </c>
      <c r="J129" s="77">
        <f t="shared" si="19"/>
        <v>36727.423971215547</v>
      </c>
      <c r="K129" s="77">
        <f t="shared" si="16"/>
        <v>123624.3593038496</v>
      </c>
      <c r="L129" s="75">
        <v>400000</v>
      </c>
      <c r="M129" s="75">
        <f t="shared" si="13"/>
        <v>276375.64069615037</v>
      </c>
    </row>
    <row r="130" spans="5:13">
      <c r="E130">
        <v>128</v>
      </c>
      <c r="F130" s="77">
        <f t="shared" si="14"/>
        <v>763.86447274473517</v>
      </c>
      <c r="G130" s="77">
        <f t="shared" ref="G130:G193" si="20">(B$4/B$6)*K130</f>
        <v>410.90858676261462</v>
      </c>
      <c r="H130" s="77">
        <f t="shared" si="15"/>
        <v>352.95588598212055</v>
      </c>
      <c r="I130" s="77">
        <f t="shared" si="19"/>
        <v>61458.137126873167</v>
      </c>
      <c r="J130" s="77">
        <f t="shared" si="19"/>
        <v>37080.379857197666</v>
      </c>
      <c r="K130" s="77">
        <f t="shared" si="16"/>
        <v>123272.57602878437</v>
      </c>
      <c r="L130" s="75">
        <v>400000</v>
      </c>
      <c r="M130" s="75">
        <f t="shared" si="13"/>
        <v>276727.42397121561</v>
      </c>
    </row>
    <row r="131" spans="5:13">
      <c r="E131">
        <v>129</v>
      </c>
      <c r="F131" s="77">
        <f t="shared" si="14"/>
        <v>763.86447274473517</v>
      </c>
      <c r="G131" s="77">
        <f t="shared" si="20"/>
        <v>409.73206714267417</v>
      </c>
      <c r="H131" s="77">
        <f t="shared" si="15"/>
        <v>354.132405602061</v>
      </c>
      <c r="I131" s="77">
        <f t="shared" ref="I131:J146" si="21">I130+G131</f>
        <v>61867.869194015839</v>
      </c>
      <c r="J131" s="77">
        <f t="shared" si="21"/>
        <v>37434.512262799726</v>
      </c>
      <c r="K131" s="77">
        <f t="shared" si="16"/>
        <v>122919.62014280225</v>
      </c>
      <c r="L131" s="75">
        <v>400000</v>
      </c>
      <c r="M131" s="75">
        <f t="shared" ref="M131:M194" si="22">L131-K131</f>
        <v>277080.37985719775</v>
      </c>
    </row>
    <row r="132" spans="5:13">
      <c r="E132">
        <v>130</v>
      </c>
      <c r="F132" s="77">
        <f t="shared" ref="F132:F195" si="23">F131</f>
        <v>763.86447274473517</v>
      </c>
      <c r="G132" s="77">
        <f t="shared" si="20"/>
        <v>408.55162579066729</v>
      </c>
      <c r="H132" s="77">
        <f t="shared" ref="H132:H195" si="24">F132-G132</f>
        <v>355.31284695406788</v>
      </c>
      <c r="I132" s="77">
        <f t="shared" si="21"/>
        <v>62276.420819806503</v>
      </c>
      <c r="J132" s="77">
        <f t="shared" si="21"/>
        <v>37789.825109753794</v>
      </c>
      <c r="K132" s="77">
        <f t="shared" ref="K132:K195" si="25">K131-H131</f>
        <v>122565.48773720018</v>
      </c>
      <c r="L132" s="75">
        <v>400000</v>
      </c>
      <c r="M132" s="75">
        <f t="shared" si="22"/>
        <v>277434.51226279984</v>
      </c>
    </row>
    <row r="133" spans="5:13">
      <c r="E133">
        <v>131</v>
      </c>
      <c r="F133" s="77">
        <f t="shared" si="23"/>
        <v>763.86447274473517</v>
      </c>
      <c r="G133" s="77">
        <f t="shared" si="20"/>
        <v>407.36724963415372</v>
      </c>
      <c r="H133" s="77">
        <f t="shared" si="24"/>
        <v>356.49722311058144</v>
      </c>
      <c r="I133" s="77">
        <f t="shared" si="21"/>
        <v>62683.788069440656</v>
      </c>
      <c r="J133" s="77">
        <f t="shared" si="21"/>
        <v>38146.322332864373</v>
      </c>
      <c r="K133" s="77">
        <f t="shared" si="25"/>
        <v>122210.17489024611</v>
      </c>
      <c r="L133" s="75">
        <v>400000</v>
      </c>
      <c r="M133" s="75">
        <f t="shared" si="22"/>
        <v>277789.82510975387</v>
      </c>
    </row>
    <row r="134" spans="5:13">
      <c r="E134">
        <v>132</v>
      </c>
      <c r="F134" s="77">
        <f t="shared" si="23"/>
        <v>763.86447274473517</v>
      </c>
      <c r="G134" s="77">
        <f t="shared" si="20"/>
        <v>406.17892555711848</v>
      </c>
      <c r="H134" s="77">
        <f t="shared" si="24"/>
        <v>357.68554718761669</v>
      </c>
      <c r="I134" s="77">
        <f t="shared" si="21"/>
        <v>63089.966994997776</v>
      </c>
      <c r="J134" s="77">
        <f t="shared" si="21"/>
        <v>38504.007880051991</v>
      </c>
      <c r="K134" s="77">
        <f t="shared" si="25"/>
        <v>121853.67766713553</v>
      </c>
      <c r="L134" s="75">
        <v>400000</v>
      </c>
      <c r="M134" s="75">
        <f t="shared" si="22"/>
        <v>278146.32233286445</v>
      </c>
    </row>
    <row r="135" spans="5:13">
      <c r="E135">
        <v>133</v>
      </c>
      <c r="F135" s="77">
        <f t="shared" si="23"/>
        <v>763.86447274473517</v>
      </c>
      <c r="G135" s="77">
        <f t="shared" si="20"/>
        <v>404.9866403998264</v>
      </c>
      <c r="H135" s="77">
        <f t="shared" si="24"/>
        <v>358.87783234490877</v>
      </c>
      <c r="I135" s="77">
        <f t="shared" si="21"/>
        <v>63494.9536353976</v>
      </c>
      <c r="J135" s="77">
        <f t="shared" si="21"/>
        <v>38862.885712396899</v>
      </c>
      <c r="K135" s="77">
        <f t="shared" si="25"/>
        <v>121495.99211994791</v>
      </c>
      <c r="L135" s="75">
        <v>400000</v>
      </c>
      <c r="M135" s="75">
        <f t="shared" si="22"/>
        <v>278504.00788005209</v>
      </c>
    </row>
    <row r="136" spans="5:13">
      <c r="E136">
        <v>134</v>
      </c>
      <c r="F136" s="77">
        <f t="shared" si="23"/>
        <v>763.86447274473517</v>
      </c>
      <c r="G136" s="77">
        <f t="shared" si="20"/>
        <v>403.79038095867674</v>
      </c>
      <c r="H136" s="77">
        <f t="shared" si="24"/>
        <v>360.07409178605843</v>
      </c>
      <c r="I136" s="77">
        <f t="shared" si="21"/>
        <v>63898.744016356279</v>
      </c>
      <c r="J136" s="77">
        <f t="shared" si="21"/>
        <v>39222.959804182959</v>
      </c>
      <c r="K136" s="77">
        <f t="shared" si="25"/>
        <v>121137.11428760301</v>
      </c>
      <c r="L136" s="75">
        <v>400000</v>
      </c>
      <c r="M136" s="75">
        <f t="shared" si="22"/>
        <v>278862.88571239699</v>
      </c>
    </row>
    <row r="137" spans="5:13">
      <c r="E137">
        <v>135</v>
      </c>
      <c r="F137" s="77">
        <f t="shared" si="23"/>
        <v>763.86447274473517</v>
      </c>
      <c r="G137" s="77">
        <f t="shared" si="20"/>
        <v>402.59013398605651</v>
      </c>
      <c r="H137" s="77">
        <f t="shared" si="24"/>
        <v>361.27433875867865</v>
      </c>
      <c r="I137" s="77">
        <f t="shared" si="21"/>
        <v>64301.334150342336</v>
      </c>
      <c r="J137" s="77">
        <f t="shared" si="21"/>
        <v>39584.234142941641</v>
      </c>
      <c r="K137" s="77">
        <f t="shared" si="25"/>
        <v>120777.04019581695</v>
      </c>
      <c r="L137" s="75">
        <v>400000</v>
      </c>
      <c r="M137" s="75">
        <f t="shared" si="22"/>
        <v>279222.95980418305</v>
      </c>
    </row>
    <row r="138" spans="5:13">
      <c r="E138">
        <v>136</v>
      </c>
      <c r="F138" s="77">
        <f t="shared" si="23"/>
        <v>763.86447274473517</v>
      </c>
      <c r="G138" s="77">
        <f t="shared" si="20"/>
        <v>401.38588619019424</v>
      </c>
      <c r="H138" s="77">
        <f t="shared" si="24"/>
        <v>362.47858655454093</v>
      </c>
      <c r="I138" s="77">
        <f t="shared" si="21"/>
        <v>64702.720036532533</v>
      </c>
      <c r="J138" s="77">
        <f t="shared" si="21"/>
        <v>39946.712729496183</v>
      </c>
      <c r="K138" s="77">
        <f t="shared" si="25"/>
        <v>120415.76585705827</v>
      </c>
      <c r="L138" s="75">
        <v>400000</v>
      </c>
      <c r="M138" s="75">
        <f t="shared" si="22"/>
        <v>279584.23414294171</v>
      </c>
    </row>
    <row r="139" spans="5:13">
      <c r="E139">
        <v>137</v>
      </c>
      <c r="F139" s="77">
        <f t="shared" si="23"/>
        <v>763.86447274473517</v>
      </c>
      <c r="G139" s="77">
        <f t="shared" si="20"/>
        <v>400.17762423501244</v>
      </c>
      <c r="H139" s="77">
        <f t="shared" si="24"/>
        <v>363.68684850972272</v>
      </c>
      <c r="I139" s="77">
        <f t="shared" si="21"/>
        <v>65102.897660767543</v>
      </c>
      <c r="J139" s="77">
        <f t="shared" si="21"/>
        <v>40310.399578005905</v>
      </c>
      <c r="K139" s="77">
        <f t="shared" si="25"/>
        <v>120053.28727050373</v>
      </c>
      <c r="L139" s="75">
        <v>400000</v>
      </c>
      <c r="M139" s="75">
        <f t="shared" si="22"/>
        <v>279946.7127294963</v>
      </c>
    </row>
    <row r="140" spans="5:13">
      <c r="E140">
        <v>138</v>
      </c>
      <c r="F140" s="77">
        <f t="shared" si="23"/>
        <v>763.86447274473517</v>
      </c>
      <c r="G140" s="77">
        <f t="shared" si="20"/>
        <v>398.96533473998005</v>
      </c>
      <c r="H140" s="77">
        <f t="shared" si="24"/>
        <v>364.89913800475512</v>
      </c>
      <c r="I140" s="77">
        <f t="shared" si="21"/>
        <v>65501.862995507523</v>
      </c>
      <c r="J140" s="77">
        <f t="shared" si="21"/>
        <v>40675.298716010657</v>
      </c>
      <c r="K140" s="77">
        <f t="shared" si="25"/>
        <v>119689.60042199401</v>
      </c>
      <c r="L140" s="75">
        <v>400000</v>
      </c>
      <c r="M140" s="75">
        <f t="shared" si="22"/>
        <v>280310.39957800601</v>
      </c>
    </row>
    <row r="141" spans="5:13">
      <c r="E141">
        <v>139</v>
      </c>
      <c r="F141" s="77">
        <f t="shared" si="23"/>
        <v>763.86447274473517</v>
      </c>
      <c r="G141" s="77">
        <f t="shared" si="20"/>
        <v>397.7490042799642</v>
      </c>
      <c r="H141" s="77">
        <f t="shared" si="24"/>
        <v>366.11546846477097</v>
      </c>
      <c r="I141" s="77">
        <f t="shared" si="21"/>
        <v>65899.611999787492</v>
      </c>
      <c r="J141" s="77">
        <f t="shared" si="21"/>
        <v>41041.414184475427</v>
      </c>
      <c r="K141" s="77">
        <f t="shared" si="25"/>
        <v>119324.70128398926</v>
      </c>
      <c r="L141" s="75">
        <v>400000</v>
      </c>
      <c r="M141" s="75">
        <f t="shared" si="22"/>
        <v>280675.29871601076</v>
      </c>
    </row>
    <row r="142" spans="5:13">
      <c r="E142">
        <v>140</v>
      </c>
      <c r="F142" s="77">
        <f t="shared" si="23"/>
        <v>763.86447274473517</v>
      </c>
      <c r="G142" s="77">
        <f t="shared" si="20"/>
        <v>396.52861938508164</v>
      </c>
      <c r="H142" s="77">
        <f t="shared" si="24"/>
        <v>367.33585335965353</v>
      </c>
      <c r="I142" s="77">
        <f t="shared" si="21"/>
        <v>66296.140619172569</v>
      </c>
      <c r="J142" s="77">
        <f t="shared" si="21"/>
        <v>41408.750037835081</v>
      </c>
      <c r="K142" s="77">
        <f t="shared" si="25"/>
        <v>118958.58581552448</v>
      </c>
      <c r="L142" s="75">
        <v>400000</v>
      </c>
      <c r="M142" s="75">
        <f t="shared" si="22"/>
        <v>281041.41418447555</v>
      </c>
    </row>
    <row r="143" spans="5:13">
      <c r="E143">
        <v>141</v>
      </c>
      <c r="F143" s="77">
        <f t="shared" si="23"/>
        <v>763.86447274473517</v>
      </c>
      <c r="G143" s="77">
        <f t="shared" si="20"/>
        <v>395.30416654054949</v>
      </c>
      <c r="H143" s="77">
        <f t="shared" si="24"/>
        <v>368.56030620418568</v>
      </c>
      <c r="I143" s="77">
        <f t="shared" si="21"/>
        <v>66691.444785713116</v>
      </c>
      <c r="J143" s="77">
        <f t="shared" si="21"/>
        <v>41777.310344039266</v>
      </c>
      <c r="K143" s="77">
        <f t="shared" si="25"/>
        <v>118591.24996216483</v>
      </c>
      <c r="L143" s="75">
        <v>400000</v>
      </c>
      <c r="M143" s="75">
        <f t="shared" si="22"/>
        <v>281408.75003783515</v>
      </c>
    </row>
    <row r="144" spans="5:13">
      <c r="E144">
        <v>142</v>
      </c>
      <c r="F144" s="77">
        <f t="shared" si="23"/>
        <v>763.86447274473517</v>
      </c>
      <c r="G144" s="77">
        <f t="shared" si="20"/>
        <v>394.07563218653547</v>
      </c>
      <c r="H144" s="77">
        <f t="shared" si="24"/>
        <v>369.78884055819969</v>
      </c>
      <c r="I144" s="77">
        <f t="shared" si="21"/>
        <v>67085.52041789965</v>
      </c>
      <c r="J144" s="77">
        <f t="shared" si="21"/>
        <v>42147.099184597464</v>
      </c>
      <c r="K144" s="77">
        <f t="shared" si="25"/>
        <v>118222.68965596064</v>
      </c>
      <c r="L144" s="75">
        <v>400000</v>
      </c>
      <c r="M144" s="75">
        <f t="shared" si="22"/>
        <v>281777.31034403935</v>
      </c>
    </row>
    <row r="145" spans="5:13">
      <c r="E145">
        <v>143</v>
      </c>
      <c r="F145" s="77">
        <f t="shared" si="23"/>
        <v>763.86447274473517</v>
      </c>
      <c r="G145" s="77">
        <f t="shared" si="20"/>
        <v>392.84300271800817</v>
      </c>
      <c r="H145" s="77">
        <f t="shared" si="24"/>
        <v>371.021470026727</v>
      </c>
      <c r="I145" s="77">
        <f t="shared" si="21"/>
        <v>67478.363420617665</v>
      </c>
      <c r="J145" s="77">
        <f t="shared" si="21"/>
        <v>42518.120654624188</v>
      </c>
      <c r="K145" s="77">
        <f t="shared" si="25"/>
        <v>117852.90081540243</v>
      </c>
      <c r="L145" s="75">
        <v>400000</v>
      </c>
      <c r="M145" s="75">
        <f t="shared" si="22"/>
        <v>282147.09918459755</v>
      </c>
    </row>
    <row r="146" spans="5:13">
      <c r="E146">
        <v>144</v>
      </c>
      <c r="F146" s="77">
        <f t="shared" si="23"/>
        <v>763.86447274473517</v>
      </c>
      <c r="G146" s="77">
        <f t="shared" si="20"/>
        <v>391.60626448458572</v>
      </c>
      <c r="H146" s="77">
        <f t="shared" si="24"/>
        <v>372.25820826014944</v>
      </c>
      <c r="I146" s="77">
        <f t="shared" si="21"/>
        <v>67869.969685102245</v>
      </c>
      <c r="J146" s="77">
        <f t="shared" si="21"/>
        <v>42890.378862884339</v>
      </c>
      <c r="K146" s="77">
        <f t="shared" si="25"/>
        <v>117481.87934537571</v>
      </c>
      <c r="L146" s="75">
        <v>400000</v>
      </c>
      <c r="M146" s="75">
        <f t="shared" si="22"/>
        <v>282518.1206546243</v>
      </c>
    </row>
    <row r="147" spans="5:13">
      <c r="E147">
        <v>145</v>
      </c>
      <c r="F147" s="77">
        <f t="shared" si="23"/>
        <v>763.86447274473517</v>
      </c>
      <c r="G147" s="77">
        <f t="shared" si="20"/>
        <v>390.36540379038524</v>
      </c>
      <c r="H147" s="77">
        <f t="shared" si="24"/>
        <v>373.49906895434992</v>
      </c>
      <c r="I147" s="77">
        <f t="shared" ref="I147:J162" si="26">I146+G147</f>
        <v>68260.335088892636</v>
      </c>
      <c r="J147" s="77">
        <f t="shared" si="26"/>
        <v>43263.877931838688</v>
      </c>
      <c r="K147" s="77">
        <f t="shared" si="25"/>
        <v>117109.62113711557</v>
      </c>
      <c r="L147" s="75">
        <v>400000</v>
      </c>
      <c r="M147" s="75">
        <f t="shared" si="22"/>
        <v>282890.37886288442</v>
      </c>
    </row>
    <row r="148" spans="5:13">
      <c r="E148">
        <v>146</v>
      </c>
      <c r="F148" s="77">
        <f t="shared" si="23"/>
        <v>763.86447274473517</v>
      </c>
      <c r="G148" s="77">
        <f t="shared" si="20"/>
        <v>389.12040689387072</v>
      </c>
      <c r="H148" s="77">
        <f t="shared" si="24"/>
        <v>374.74406585086444</v>
      </c>
      <c r="I148" s="77">
        <f t="shared" si="26"/>
        <v>68649.455495786504</v>
      </c>
      <c r="J148" s="77">
        <f t="shared" si="26"/>
        <v>43638.621997689552</v>
      </c>
      <c r="K148" s="77">
        <f t="shared" si="25"/>
        <v>116736.12206816122</v>
      </c>
      <c r="L148" s="75">
        <v>400000</v>
      </c>
      <c r="M148" s="75">
        <f t="shared" si="22"/>
        <v>283263.8779318388</v>
      </c>
    </row>
    <row r="149" spans="5:13">
      <c r="E149">
        <v>147</v>
      </c>
      <c r="F149" s="77">
        <f t="shared" si="23"/>
        <v>763.86447274473517</v>
      </c>
      <c r="G149" s="77">
        <f t="shared" si="20"/>
        <v>387.87126000770115</v>
      </c>
      <c r="H149" s="77">
        <f t="shared" si="24"/>
        <v>375.99321273703401</v>
      </c>
      <c r="I149" s="77">
        <f t="shared" si="26"/>
        <v>69037.326755794202</v>
      </c>
      <c r="J149" s="77">
        <f t="shared" si="26"/>
        <v>44014.615210426586</v>
      </c>
      <c r="K149" s="77">
        <f t="shared" si="25"/>
        <v>116361.37800231035</v>
      </c>
      <c r="L149" s="75">
        <v>400000</v>
      </c>
      <c r="M149" s="75">
        <f t="shared" si="22"/>
        <v>283638.62199768965</v>
      </c>
    </row>
    <row r="150" spans="5:13">
      <c r="E150">
        <v>148</v>
      </c>
      <c r="F150" s="77">
        <f t="shared" si="23"/>
        <v>763.86447274473517</v>
      </c>
      <c r="G150" s="77">
        <f t="shared" si="20"/>
        <v>386.61794929857768</v>
      </c>
      <c r="H150" s="77">
        <f t="shared" si="24"/>
        <v>377.24652344615748</v>
      </c>
      <c r="I150" s="77">
        <f t="shared" si="26"/>
        <v>69423.944705092785</v>
      </c>
      <c r="J150" s="77">
        <f t="shared" si="26"/>
        <v>44391.861733872742</v>
      </c>
      <c r="K150" s="77">
        <f t="shared" si="25"/>
        <v>115985.38478957331</v>
      </c>
      <c r="L150" s="75">
        <v>400000</v>
      </c>
      <c r="M150" s="75">
        <f t="shared" si="22"/>
        <v>284014.61521042668</v>
      </c>
    </row>
    <row r="151" spans="5:13">
      <c r="E151">
        <v>149</v>
      </c>
      <c r="F151" s="77">
        <f t="shared" si="23"/>
        <v>763.86447274473517</v>
      </c>
      <c r="G151" s="77">
        <f t="shared" si="20"/>
        <v>385.36046088709054</v>
      </c>
      <c r="H151" s="77">
        <f t="shared" si="24"/>
        <v>378.50401185764463</v>
      </c>
      <c r="I151" s="77">
        <f t="shared" si="26"/>
        <v>69809.30516597988</v>
      </c>
      <c r="J151" s="77">
        <f t="shared" si="26"/>
        <v>44770.365745730385</v>
      </c>
      <c r="K151" s="77">
        <f t="shared" si="25"/>
        <v>115608.13826612715</v>
      </c>
      <c r="L151" s="75">
        <v>400000</v>
      </c>
      <c r="M151" s="75">
        <f t="shared" si="22"/>
        <v>284391.86173387285</v>
      </c>
    </row>
    <row r="152" spans="5:13">
      <c r="E152">
        <v>150</v>
      </c>
      <c r="F152" s="77">
        <f t="shared" si="23"/>
        <v>763.86447274473517</v>
      </c>
      <c r="G152" s="77">
        <f t="shared" si="20"/>
        <v>384.09878084756502</v>
      </c>
      <c r="H152" s="77">
        <f t="shared" si="24"/>
        <v>379.76569189717014</v>
      </c>
      <c r="I152" s="77">
        <f t="shared" si="26"/>
        <v>70193.403946827442</v>
      </c>
      <c r="J152" s="77">
        <f t="shared" si="26"/>
        <v>45150.131437627555</v>
      </c>
      <c r="K152" s="77">
        <f t="shared" si="25"/>
        <v>115229.63425426951</v>
      </c>
      <c r="L152" s="75">
        <v>400000</v>
      </c>
      <c r="M152" s="75">
        <f t="shared" si="22"/>
        <v>284770.36574573047</v>
      </c>
    </row>
    <row r="153" spans="5:13">
      <c r="E153">
        <v>151</v>
      </c>
      <c r="F153" s="77">
        <f t="shared" si="23"/>
        <v>763.86447274473517</v>
      </c>
      <c r="G153" s="77">
        <f t="shared" si="20"/>
        <v>382.83289520790777</v>
      </c>
      <c r="H153" s="77">
        <f t="shared" si="24"/>
        <v>381.0315775368274</v>
      </c>
      <c r="I153" s="77">
        <f t="shared" si="26"/>
        <v>70576.236842035345</v>
      </c>
      <c r="J153" s="77">
        <f t="shared" si="26"/>
        <v>45531.163015164384</v>
      </c>
      <c r="K153" s="77">
        <f t="shared" si="25"/>
        <v>114849.86856237233</v>
      </c>
      <c r="L153" s="75">
        <v>400000</v>
      </c>
      <c r="M153" s="75">
        <f t="shared" si="22"/>
        <v>285150.13143762766</v>
      </c>
    </row>
    <row r="154" spans="5:13">
      <c r="E154">
        <v>152</v>
      </c>
      <c r="F154" s="77">
        <f t="shared" si="23"/>
        <v>763.86447274473517</v>
      </c>
      <c r="G154" s="77">
        <f t="shared" si="20"/>
        <v>381.56278994945171</v>
      </c>
      <c r="H154" s="77">
        <f t="shared" si="24"/>
        <v>382.30168279528345</v>
      </c>
      <c r="I154" s="77">
        <f t="shared" si="26"/>
        <v>70957.799631984803</v>
      </c>
      <c r="J154" s="77">
        <f t="shared" si="26"/>
        <v>45913.464697959666</v>
      </c>
      <c r="K154" s="77">
        <f t="shared" si="25"/>
        <v>114468.83698483551</v>
      </c>
      <c r="L154" s="75">
        <v>400000</v>
      </c>
      <c r="M154" s="75">
        <f t="shared" si="22"/>
        <v>285531.16301516449</v>
      </c>
    </row>
    <row r="155" spans="5:13">
      <c r="E155">
        <v>153</v>
      </c>
      <c r="F155" s="77">
        <f t="shared" si="23"/>
        <v>763.86447274473517</v>
      </c>
      <c r="G155" s="77">
        <f t="shared" si="20"/>
        <v>380.28845100680076</v>
      </c>
      <c r="H155" s="77">
        <f t="shared" si="24"/>
        <v>383.57602173793441</v>
      </c>
      <c r="I155" s="77">
        <f t="shared" si="26"/>
        <v>71338.088082991599</v>
      </c>
      <c r="J155" s="77">
        <f t="shared" si="26"/>
        <v>46297.040719697601</v>
      </c>
      <c r="K155" s="77">
        <f t="shared" si="25"/>
        <v>114086.53530204023</v>
      </c>
      <c r="L155" s="75">
        <v>400000</v>
      </c>
      <c r="M155" s="75">
        <f t="shared" si="22"/>
        <v>285913.46469795977</v>
      </c>
    </row>
    <row r="156" spans="5:13">
      <c r="E156">
        <v>154</v>
      </c>
      <c r="F156" s="77">
        <f t="shared" si="23"/>
        <v>763.86447274473517</v>
      </c>
      <c r="G156" s="77">
        <f t="shared" si="20"/>
        <v>379.00986426767435</v>
      </c>
      <c r="H156" s="77">
        <f t="shared" si="24"/>
        <v>384.85460847706082</v>
      </c>
      <c r="I156" s="77">
        <f t="shared" si="26"/>
        <v>71717.097947259273</v>
      </c>
      <c r="J156" s="77">
        <f t="shared" si="26"/>
        <v>46681.895328174665</v>
      </c>
      <c r="K156" s="77">
        <f t="shared" si="25"/>
        <v>113702.9592803023</v>
      </c>
      <c r="L156" s="75">
        <v>400000</v>
      </c>
      <c r="M156" s="75">
        <f t="shared" si="22"/>
        <v>286297.04071969772</v>
      </c>
    </row>
    <row r="157" spans="5:13">
      <c r="E157">
        <v>155</v>
      </c>
      <c r="F157" s="77">
        <f t="shared" si="23"/>
        <v>763.86447274473517</v>
      </c>
      <c r="G157" s="77">
        <f t="shared" si="20"/>
        <v>377.72701557275082</v>
      </c>
      <c r="H157" s="77">
        <f t="shared" si="24"/>
        <v>386.13745717198435</v>
      </c>
      <c r="I157" s="77">
        <f t="shared" si="26"/>
        <v>72094.824962832019</v>
      </c>
      <c r="J157" s="77">
        <f t="shared" si="26"/>
        <v>47068.032785346652</v>
      </c>
      <c r="K157" s="77">
        <f t="shared" si="25"/>
        <v>113318.10467182523</v>
      </c>
      <c r="L157" s="75">
        <v>400000</v>
      </c>
      <c r="M157" s="75">
        <f t="shared" si="22"/>
        <v>286681.89532817475</v>
      </c>
    </row>
    <row r="158" spans="5:13">
      <c r="E158">
        <v>156</v>
      </c>
      <c r="F158" s="77">
        <f t="shared" si="23"/>
        <v>763.86447274473517</v>
      </c>
      <c r="G158" s="77">
        <f t="shared" si="20"/>
        <v>376.4398907155109</v>
      </c>
      <c r="H158" s="77">
        <f t="shared" si="24"/>
        <v>387.42458202922427</v>
      </c>
      <c r="I158" s="77">
        <f t="shared" si="26"/>
        <v>72471.264853547531</v>
      </c>
      <c r="J158" s="77">
        <f t="shared" si="26"/>
        <v>47455.457367375879</v>
      </c>
      <c r="K158" s="77">
        <f t="shared" si="25"/>
        <v>112931.96721465325</v>
      </c>
      <c r="L158" s="75">
        <v>400000</v>
      </c>
      <c r="M158" s="75">
        <f t="shared" si="22"/>
        <v>287068.03278534673</v>
      </c>
    </row>
    <row r="159" spans="5:13">
      <c r="E159">
        <v>157</v>
      </c>
      <c r="F159" s="77">
        <f t="shared" si="23"/>
        <v>763.86447274473517</v>
      </c>
      <c r="G159" s="77">
        <f t="shared" si="20"/>
        <v>375.1484754420801</v>
      </c>
      <c r="H159" s="77">
        <f t="shared" si="24"/>
        <v>388.71599730265507</v>
      </c>
      <c r="I159" s="77">
        <f t="shared" si="26"/>
        <v>72846.413328989613</v>
      </c>
      <c r="J159" s="77">
        <f t="shared" si="26"/>
        <v>47844.173364678536</v>
      </c>
      <c r="K159" s="77">
        <f t="shared" si="25"/>
        <v>112544.54263262403</v>
      </c>
      <c r="L159" s="75">
        <v>400000</v>
      </c>
      <c r="M159" s="75">
        <f t="shared" si="22"/>
        <v>287455.45736737596</v>
      </c>
    </row>
    <row r="160" spans="5:13">
      <c r="E160">
        <v>158</v>
      </c>
      <c r="F160" s="77">
        <f t="shared" si="23"/>
        <v>763.86447274473517</v>
      </c>
      <c r="G160" s="77">
        <f t="shared" si="20"/>
        <v>373.85275545107123</v>
      </c>
      <c r="H160" s="77">
        <f t="shared" si="24"/>
        <v>390.01171729366393</v>
      </c>
      <c r="I160" s="77">
        <f t="shared" si="26"/>
        <v>73220.266084440678</v>
      </c>
      <c r="J160" s="77">
        <f t="shared" si="26"/>
        <v>48234.185081972202</v>
      </c>
      <c r="K160" s="77">
        <f t="shared" si="25"/>
        <v>112155.82663532137</v>
      </c>
      <c r="L160" s="75">
        <v>400000</v>
      </c>
      <c r="M160" s="75">
        <f t="shared" si="22"/>
        <v>287844.17336467863</v>
      </c>
    </row>
    <row r="161" spans="5:13">
      <c r="E161">
        <v>159</v>
      </c>
      <c r="F161" s="77">
        <f t="shared" si="23"/>
        <v>763.86447274473517</v>
      </c>
      <c r="G161" s="77">
        <f t="shared" si="20"/>
        <v>372.55271639342573</v>
      </c>
      <c r="H161" s="77">
        <f t="shared" si="24"/>
        <v>391.31175635130944</v>
      </c>
      <c r="I161" s="77">
        <f t="shared" si="26"/>
        <v>73592.818800834109</v>
      </c>
      <c r="J161" s="77">
        <f t="shared" si="26"/>
        <v>48625.49683832351</v>
      </c>
      <c r="K161" s="77">
        <f t="shared" si="25"/>
        <v>111765.81491802771</v>
      </c>
      <c r="L161" s="75">
        <v>400000</v>
      </c>
      <c r="M161" s="75">
        <f t="shared" si="22"/>
        <v>288234.18508197227</v>
      </c>
    </row>
    <row r="162" spans="5:13">
      <c r="E162">
        <v>160</v>
      </c>
      <c r="F162" s="77">
        <f t="shared" si="23"/>
        <v>763.86447274473517</v>
      </c>
      <c r="G162" s="77">
        <f t="shared" si="20"/>
        <v>371.24834387225468</v>
      </c>
      <c r="H162" s="77">
        <f t="shared" si="24"/>
        <v>392.61612887248049</v>
      </c>
      <c r="I162" s="77">
        <f t="shared" si="26"/>
        <v>73964.067144706365</v>
      </c>
      <c r="J162" s="77">
        <f t="shared" si="26"/>
        <v>49018.112967195993</v>
      </c>
      <c r="K162" s="77">
        <f t="shared" si="25"/>
        <v>111374.5031616764</v>
      </c>
      <c r="L162" s="75">
        <v>400000</v>
      </c>
      <c r="M162" s="75">
        <f t="shared" si="22"/>
        <v>288625.4968383236</v>
      </c>
    </row>
    <row r="163" spans="5:13">
      <c r="E163">
        <v>161</v>
      </c>
      <c r="F163" s="77">
        <f t="shared" si="23"/>
        <v>763.86447274473517</v>
      </c>
      <c r="G163" s="77">
        <f t="shared" si="20"/>
        <v>369.93962344267976</v>
      </c>
      <c r="H163" s="77">
        <f t="shared" si="24"/>
        <v>393.92484930205541</v>
      </c>
      <c r="I163" s="77">
        <f t="shared" ref="I163:J178" si="27">I162+G163</f>
        <v>74334.006768149047</v>
      </c>
      <c r="J163" s="77">
        <f t="shared" si="27"/>
        <v>49412.03781649805</v>
      </c>
      <c r="K163" s="77">
        <f t="shared" si="25"/>
        <v>110981.88703280392</v>
      </c>
      <c r="L163" s="75">
        <v>400000</v>
      </c>
      <c r="M163" s="75">
        <f t="shared" si="22"/>
        <v>289018.1129671961</v>
      </c>
    </row>
    <row r="164" spans="5:13">
      <c r="E164">
        <v>162</v>
      </c>
      <c r="F164" s="77">
        <f t="shared" si="23"/>
        <v>763.86447274473517</v>
      </c>
      <c r="G164" s="77">
        <f t="shared" si="20"/>
        <v>368.62654061167291</v>
      </c>
      <c r="H164" s="77">
        <f t="shared" si="24"/>
        <v>395.23793213306226</v>
      </c>
      <c r="I164" s="77">
        <f t="shared" si="27"/>
        <v>74702.63330876072</v>
      </c>
      <c r="J164" s="77">
        <f t="shared" si="27"/>
        <v>49807.275748631109</v>
      </c>
      <c r="K164" s="77">
        <f t="shared" si="25"/>
        <v>110587.96218350186</v>
      </c>
      <c r="L164" s="75">
        <v>400000</v>
      </c>
      <c r="M164" s="75">
        <f t="shared" si="22"/>
        <v>289412.03781649814</v>
      </c>
    </row>
    <row r="165" spans="5:13">
      <c r="E165">
        <v>163</v>
      </c>
      <c r="F165" s="77">
        <f t="shared" si="23"/>
        <v>763.86447274473517</v>
      </c>
      <c r="G165" s="77">
        <f t="shared" si="20"/>
        <v>367.30908083789603</v>
      </c>
      <c r="H165" s="77">
        <f t="shared" si="24"/>
        <v>396.55539190683913</v>
      </c>
      <c r="I165" s="77">
        <f t="shared" si="27"/>
        <v>75069.942389598611</v>
      </c>
      <c r="J165" s="77">
        <f t="shared" si="27"/>
        <v>50203.83114053795</v>
      </c>
      <c r="K165" s="77">
        <f t="shared" si="25"/>
        <v>110192.7242513688</v>
      </c>
      <c r="L165" s="75">
        <v>400000</v>
      </c>
      <c r="M165" s="75">
        <f t="shared" si="22"/>
        <v>289807.27574863122</v>
      </c>
    </row>
    <row r="166" spans="5:13">
      <c r="E166">
        <v>164</v>
      </c>
      <c r="F166" s="77">
        <f t="shared" si="23"/>
        <v>763.86447274473517</v>
      </c>
      <c r="G166" s="77">
        <f t="shared" si="20"/>
        <v>365.98722953153992</v>
      </c>
      <c r="H166" s="77">
        <f t="shared" si="24"/>
        <v>397.87724321319524</v>
      </c>
      <c r="I166" s="77">
        <f t="shared" si="27"/>
        <v>75435.929619130155</v>
      </c>
      <c r="J166" s="77">
        <f t="shared" si="27"/>
        <v>50601.708383751145</v>
      </c>
      <c r="K166" s="77">
        <f t="shared" si="25"/>
        <v>109796.16885946196</v>
      </c>
      <c r="L166" s="75">
        <v>400000</v>
      </c>
      <c r="M166" s="75">
        <f t="shared" si="22"/>
        <v>290203.83114053804</v>
      </c>
    </row>
    <row r="167" spans="5:13">
      <c r="E167">
        <v>165</v>
      </c>
      <c r="F167" s="77">
        <f t="shared" si="23"/>
        <v>763.86447274473517</v>
      </c>
      <c r="G167" s="77">
        <f t="shared" si="20"/>
        <v>364.66097205416258</v>
      </c>
      <c r="H167" s="77">
        <f t="shared" si="24"/>
        <v>399.20350069057258</v>
      </c>
      <c r="I167" s="77">
        <f t="shared" si="27"/>
        <v>75800.590591184315</v>
      </c>
      <c r="J167" s="77">
        <f t="shared" si="27"/>
        <v>51000.911884441717</v>
      </c>
      <c r="K167" s="77">
        <f t="shared" si="25"/>
        <v>109398.29161624877</v>
      </c>
      <c r="L167" s="75">
        <v>400000</v>
      </c>
      <c r="M167" s="75">
        <f t="shared" si="22"/>
        <v>290601.70838375122</v>
      </c>
    </row>
    <row r="168" spans="5:13">
      <c r="E168">
        <v>166</v>
      </c>
      <c r="F168" s="77">
        <f t="shared" si="23"/>
        <v>763.86447274473517</v>
      </c>
      <c r="G168" s="77">
        <f t="shared" si="20"/>
        <v>363.33029371852734</v>
      </c>
      <c r="H168" s="77">
        <f t="shared" si="24"/>
        <v>400.53417902620782</v>
      </c>
      <c r="I168" s="77">
        <f t="shared" si="27"/>
        <v>76163.920884902836</v>
      </c>
      <c r="J168" s="77">
        <f t="shared" si="27"/>
        <v>51401.446063467927</v>
      </c>
      <c r="K168" s="77">
        <f t="shared" si="25"/>
        <v>108999.08811555819</v>
      </c>
      <c r="L168" s="75">
        <v>400000</v>
      </c>
      <c r="M168" s="75">
        <f t="shared" si="22"/>
        <v>291000.9118844418</v>
      </c>
    </row>
    <row r="169" spans="5:13">
      <c r="E169">
        <v>167</v>
      </c>
      <c r="F169" s="77">
        <f t="shared" si="23"/>
        <v>763.86447274473517</v>
      </c>
      <c r="G169" s="77">
        <f t="shared" si="20"/>
        <v>361.99517978844</v>
      </c>
      <c r="H169" s="77">
        <f t="shared" si="24"/>
        <v>401.86929295629517</v>
      </c>
      <c r="I169" s="77">
        <f t="shared" si="27"/>
        <v>76525.916064691279</v>
      </c>
      <c r="J169" s="77">
        <f t="shared" si="27"/>
        <v>51803.315356424224</v>
      </c>
      <c r="K169" s="77">
        <f t="shared" si="25"/>
        <v>108598.55393653199</v>
      </c>
      <c r="L169" s="75">
        <v>400000</v>
      </c>
      <c r="M169" s="75">
        <f t="shared" si="22"/>
        <v>291401.446063468</v>
      </c>
    </row>
    <row r="170" spans="5:13">
      <c r="E170">
        <v>168</v>
      </c>
      <c r="F170" s="77">
        <f t="shared" si="23"/>
        <v>763.86447274473517</v>
      </c>
      <c r="G170" s="77">
        <f t="shared" si="20"/>
        <v>360.65561547858567</v>
      </c>
      <c r="H170" s="77">
        <f t="shared" si="24"/>
        <v>403.20885726614949</v>
      </c>
      <c r="I170" s="77">
        <f t="shared" si="27"/>
        <v>76886.571680169858</v>
      </c>
      <c r="J170" s="77">
        <f t="shared" si="27"/>
        <v>52206.524213690376</v>
      </c>
      <c r="K170" s="77">
        <f t="shared" si="25"/>
        <v>108196.68464357569</v>
      </c>
      <c r="L170" s="75">
        <v>400000</v>
      </c>
      <c r="M170" s="75">
        <f t="shared" si="22"/>
        <v>291803.31535642431</v>
      </c>
    </row>
    <row r="171" spans="5:13">
      <c r="E171">
        <v>169</v>
      </c>
      <c r="F171" s="77">
        <f t="shared" si="23"/>
        <v>763.86447274473517</v>
      </c>
      <c r="G171" s="77">
        <f t="shared" si="20"/>
        <v>359.31158595436517</v>
      </c>
      <c r="H171" s="77">
        <f t="shared" si="24"/>
        <v>404.55288679037</v>
      </c>
      <c r="I171" s="77">
        <f t="shared" si="27"/>
        <v>77245.88326612422</v>
      </c>
      <c r="J171" s="77">
        <f t="shared" si="27"/>
        <v>52611.077100480747</v>
      </c>
      <c r="K171" s="77">
        <f t="shared" si="25"/>
        <v>107793.47578630954</v>
      </c>
      <c r="L171" s="75">
        <v>400000</v>
      </c>
      <c r="M171" s="75">
        <f t="shared" si="22"/>
        <v>292206.52421369043</v>
      </c>
    </row>
    <row r="172" spans="5:13">
      <c r="E172">
        <v>170</v>
      </c>
      <c r="F172" s="77">
        <f t="shared" si="23"/>
        <v>763.86447274473517</v>
      </c>
      <c r="G172" s="77">
        <f t="shared" si="20"/>
        <v>357.96307633173063</v>
      </c>
      <c r="H172" s="77">
        <f t="shared" si="24"/>
        <v>405.90139641300453</v>
      </c>
      <c r="I172" s="77">
        <f t="shared" si="27"/>
        <v>77603.846342455945</v>
      </c>
      <c r="J172" s="77">
        <f t="shared" si="27"/>
        <v>53016.978496893753</v>
      </c>
      <c r="K172" s="77">
        <f t="shared" si="25"/>
        <v>107388.92289951918</v>
      </c>
      <c r="L172" s="75">
        <v>400000</v>
      </c>
      <c r="M172" s="75">
        <f t="shared" si="22"/>
        <v>292611.07710048079</v>
      </c>
    </row>
    <row r="173" spans="5:13">
      <c r="E173">
        <v>171</v>
      </c>
      <c r="F173" s="77">
        <f t="shared" si="23"/>
        <v>763.86447274473517</v>
      </c>
      <c r="G173" s="77">
        <f t="shared" si="20"/>
        <v>356.61007167702064</v>
      </c>
      <c r="H173" s="77">
        <f t="shared" si="24"/>
        <v>407.25440106771453</v>
      </c>
      <c r="I173" s="77">
        <f t="shared" si="27"/>
        <v>77960.456414132961</v>
      </c>
      <c r="J173" s="77">
        <f t="shared" si="27"/>
        <v>53424.232897961469</v>
      </c>
      <c r="K173" s="77">
        <f t="shared" si="25"/>
        <v>106983.02150310618</v>
      </c>
      <c r="L173" s="75">
        <v>400000</v>
      </c>
      <c r="M173" s="75">
        <f t="shared" si="22"/>
        <v>293016.97849689383</v>
      </c>
    </row>
    <row r="174" spans="5:13">
      <c r="E174">
        <v>172</v>
      </c>
      <c r="F174" s="77">
        <f t="shared" si="23"/>
        <v>763.86447274473517</v>
      </c>
      <c r="G174" s="77">
        <f t="shared" si="20"/>
        <v>355.25255700679492</v>
      </c>
      <c r="H174" s="77">
        <f t="shared" si="24"/>
        <v>408.61191573794025</v>
      </c>
      <c r="I174" s="77">
        <f t="shared" si="27"/>
        <v>78315.708971139757</v>
      </c>
      <c r="J174" s="77">
        <f t="shared" si="27"/>
        <v>53832.844813699412</v>
      </c>
      <c r="K174" s="77">
        <f t="shared" si="25"/>
        <v>106575.76710203847</v>
      </c>
      <c r="L174" s="75">
        <v>400000</v>
      </c>
      <c r="M174" s="75">
        <f t="shared" si="22"/>
        <v>293424.23289796151</v>
      </c>
    </row>
    <row r="175" spans="5:13">
      <c r="E175">
        <v>173</v>
      </c>
      <c r="F175" s="77">
        <f t="shared" si="23"/>
        <v>763.86447274473517</v>
      </c>
      <c r="G175" s="77">
        <f t="shared" si="20"/>
        <v>353.89051728766844</v>
      </c>
      <c r="H175" s="77">
        <f t="shared" si="24"/>
        <v>409.97395545706672</v>
      </c>
      <c r="I175" s="77">
        <f t="shared" si="27"/>
        <v>78669.599488427426</v>
      </c>
      <c r="J175" s="77">
        <f t="shared" si="27"/>
        <v>54242.818769156482</v>
      </c>
      <c r="K175" s="77">
        <f t="shared" si="25"/>
        <v>106167.15518630053</v>
      </c>
      <c r="L175" s="75">
        <v>400000</v>
      </c>
      <c r="M175" s="75">
        <f t="shared" si="22"/>
        <v>293832.84481369948</v>
      </c>
    </row>
    <row r="176" spans="5:13">
      <c r="E176">
        <v>174</v>
      </c>
      <c r="F176" s="77">
        <f t="shared" si="23"/>
        <v>763.86447274473517</v>
      </c>
      <c r="G176" s="77">
        <f t="shared" si="20"/>
        <v>352.52393743614488</v>
      </c>
      <c r="H176" s="77">
        <f t="shared" si="24"/>
        <v>411.34053530859029</v>
      </c>
      <c r="I176" s="77">
        <f t="shared" si="27"/>
        <v>79022.123425863567</v>
      </c>
      <c r="J176" s="77">
        <f t="shared" si="27"/>
        <v>54654.159304465073</v>
      </c>
      <c r="K176" s="77">
        <f t="shared" si="25"/>
        <v>105757.18123084346</v>
      </c>
      <c r="L176" s="75">
        <v>400000</v>
      </c>
      <c r="M176" s="75">
        <f t="shared" si="22"/>
        <v>294242.81876915653</v>
      </c>
    </row>
    <row r="177" spans="5:13">
      <c r="E177">
        <v>175</v>
      </c>
      <c r="F177" s="77">
        <f t="shared" si="23"/>
        <v>763.86447274473517</v>
      </c>
      <c r="G177" s="77">
        <f t="shared" si="20"/>
        <v>351.15280231844963</v>
      </c>
      <c r="H177" s="77">
        <f t="shared" si="24"/>
        <v>412.71167042628554</v>
      </c>
      <c r="I177" s="77">
        <f t="shared" si="27"/>
        <v>79373.276228182018</v>
      </c>
      <c r="J177" s="77">
        <f t="shared" si="27"/>
        <v>55066.870974891361</v>
      </c>
      <c r="K177" s="77">
        <f t="shared" si="25"/>
        <v>105345.84069553488</v>
      </c>
      <c r="L177" s="75">
        <v>400000</v>
      </c>
      <c r="M177" s="75">
        <f t="shared" si="22"/>
        <v>294654.15930446511</v>
      </c>
    </row>
    <row r="178" spans="5:13">
      <c r="E178">
        <v>176</v>
      </c>
      <c r="F178" s="77">
        <f t="shared" si="23"/>
        <v>763.86447274473517</v>
      </c>
      <c r="G178" s="77">
        <f t="shared" si="20"/>
        <v>349.77709675036198</v>
      </c>
      <c r="H178" s="77">
        <f t="shared" si="24"/>
        <v>414.08737599437319</v>
      </c>
      <c r="I178" s="77">
        <f t="shared" si="27"/>
        <v>79723.053324932378</v>
      </c>
      <c r="J178" s="77">
        <f t="shared" si="27"/>
        <v>55480.958350885732</v>
      </c>
      <c r="K178" s="77">
        <f t="shared" si="25"/>
        <v>104933.12902510859</v>
      </c>
      <c r="L178" s="75">
        <v>400000</v>
      </c>
      <c r="M178" s="75">
        <f t="shared" si="22"/>
        <v>295066.87097489141</v>
      </c>
    </row>
    <row r="179" spans="5:13">
      <c r="E179">
        <v>177</v>
      </c>
      <c r="F179" s="77">
        <f t="shared" si="23"/>
        <v>763.86447274473517</v>
      </c>
      <c r="G179" s="77">
        <f t="shared" si="20"/>
        <v>348.39680549704741</v>
      </c>
      <c r="H179" s="77">
        <f t="shared" si="24"/>
        <v>415.46766724768776</v>
      </c>
      <c r="I179" s="77">
        <f t="shared" ref="I179:J194" si="28">I178+G179</f>
        <v>80071.450130429424</v>
      </c>
      <c r="J179" s="77">
        <f t="shared" si="28"/>
        <v>55896.426018133418</v>
      </c>
      <c r="K179" s="77">
        <f t="shared" si="25"/>
        <v>104519.04164911421</v>
      </c>
      <c r="L179" s="75">
        <v>400000</v>
      </c>
      <c r="M179" s="75">
        <f t="shared" si="22"/>
        <v>295480.95835088578</v>
      </c>
    </row>
    <row r="180" spans="5:13">
      <c r="E180">
        <v>178</v>
      </c>
      <c r="F180" s="77">
        <f t="shared" si="23"/>
        <v>763.86447274473517</v>
      </c>
      <c r="G180" s="77">
        <f t="shared" si="20"/>
        <v>347.01191327288842</v>
      </c>
      <c r="H180" s="77">
        <f t="shared" si="24"/>
        <v>416.85255947184675</v>
      </c>
      <c r="I180" s="77">
        <f t="shared" si="28"/>
        <v>80418.462043702311</v>
      </c>
      <c r="J180" s="77">
        <f t="shared" si="28"/>
        <v>56313.278577605262</v>
      </c>
      <c r="K180" s="77">
        <f t="shared" si="25"/>
        <v>104103.57398186652</v>
      </c>
      <c r="L180" s="75">
        <v>400000</v>
      </c>
      <c r="M180" s="75">
        <f t="shared" si="22"/>
        <v>295896.42601813347</v>
      </c>
    </row>
    <row r="181" spans="5:13">
      <c r="E181">
        <v>179</v>
      </c>
      <c r="F181" s="77">
        <f t="shared" si="23"/>
        <v>763.86447274473517</v>
      </c>
      <c r="G181" s="77">
        <f t="shared" si="20"/>
        <v>345.62240474131556</v>
      </c>
      <c r="H181" s="77">
        <f t="shared" si="24"/>
        <v>418.2420680034196</v>
      </c>
      <c r="I181" s="77">
        <f t="shared" si="28"/>
        <v>80764.084448443624</v>
      </c>
      <c r="J181" s="77">
        <f t="shared" si="28"/>
        <v>56731.520645608682</v>
      </c>
      <c r="K181" s="77">
        <f t="shared" si="25"/>
        <v>103686.72142239466</v>
      </c>
      <c r="L181" s="75">
        <v>400000</v>
      </c>
      <c r="M181" s="75">
        <f t="shared" si="22"/>
        <v>296313.27857760532</v>
      </c>
    </row>
    <row r="182" spans="5:13">
      <c r="E182">
        <v>180</v>
      </c>
      <c r="F182" s="77">
        <f t="shared" si="23"/>
        <v>763.86447274473517</v>
      </c>
      <c r="G182" s="77">
        <f t="shared" si="20"/>
        <v>344.22826451463749</v>
      </c>
      <c r="H182" s="77">
        <f t="shared" si="24"/>
        <v>419.63620823009768</v>
      </c>
      <c r="I182" s="77">
        <f t="shared" si="28"/>
        <v>81108.312712958257</v>
      </c>
      <c r="J182" s="77">
        <f t="shared" si="28"/>
        <v>57151.15685383878</v>
      </c>
      <c r="K182" s="77">
        <f t="shared" si="25"/>
        <v>103268.47935439124</v>
      </c>
      <c r="L182" s="75">
        <v>400000</v>
      </c>
      <c r="M182" s="75">
        <f t="shared" si="22"/>
        <v>296731.52064560878</v>
      </c>
    </row>
    <row r="183" spans="5:13">
      <c r="E183">
        <v>181</v>
      </c>
      <c r="F183" s="77">
        <f t="shared" si="23"/>
        <v>763.86447274473517</v>
      </c>
      <c r="G183" s="77">
        <f t="shared" si="20"/>
        <v>342.82947715387053</v>
      </c>
      <c r="H183" s="77">
        <f t="shared" si="24"/>
        <v>421.03499559086464</v>
      </c>
      <c r="I183" s="77">
        <f t="shared" si="28"/>
        <v>81451.142190112121</v>
      </c>
      <c r="J183" s="77">
        <f t="shared" si="28"/>
        <v>57572.191849429648</v>
      </c>
      <c r="K183" s="77">
        <f t="shared" si="25"/>
        <v>102848.84314616115</v>
      </c>
      <c r="L183" s="75">
        <v>400000</v>
      </c>
      <c r="M183" s="75">
        <f t="shared" si="22"/>
        <v>297151.15685383882</v>
      </c>
    </row>
    <row r="184" spans="5:13">
      <c r="E184">
        <v>182</v>
      </c>
      <c r="F184" s="77">
        <f t="shared" si="23"/>
        <v>763.86447274473517</v>
      </c>
      <c r="G184" s="77">
        <f t="shared" si="20"/>
        <v>341.42602716856766</v>
      </c>
      <c r="H184" s="77">
        <f t="shared" si="24"/>
        <v>422.43844557616751</v>
      </c>
      <c r="I184" s="77">
        <f t="shared" si="28"/>
        <v>81792.568217280685</v>
      </c>
      <c r="J184" s="77">
        <f t="shared" si="28"/>
        <v>57994.630295005816</v>
      </c>
      <c r="K184" s="77">
        <f t="shared" si="25"/>
        <v>102427.80815057029</v>
      </c>
      <c r="L184" s="75">
        <v>400000</v>
      </c>
      <c r="M184" s="75">
        <f t="shared" si="22"/>
        <v>297572.19184942974</v>
      </c>
    </row>
    <row r="185" spans="5:13">
      <c r="E185">
        <v>183</v>
      </c>
      <c r="F185" s="77">
        <f t="shared" si="23"/>
        <v>763.86447274473517</v>
      </c>
      <c r="G185" s="77">
        <f t="shared" si="20"/>
        <v>340.01789901664711</v>
      </c>
      <c r="H185" s="77">
        <f t="shared" si="24"/>
        <v>423.84657372808806</v>
      </c>
      <c r="I185" s="77">
        <f t="shared" si="28"/>
        <v>82132.586116297331</v>
      </c>
      <c r="J185" s="77">
        <f t="shared" si="28"/>
        <v>58418.476868733902</v>
      </c>
      <c r="K185" s="77">
        <f t="shared" si="25"/>
        <v>102005.36970499413</v>
      </c>
      <c r="L185" s="75">
        <v>400000</v>
      </c>
      <c r="M185" s="75">
        <f t="shared" si="22"/>
        <v>297994.63029500586</v>
      </c>
    </row>
    <row r="186" spans="5:13">
      <c r="E186">
        <v>184</v>
      </c>
      <c r="F186" s="77">
        <f t="shared" si="23"/>
        <v>763.86447274473517</v>
      </c>
      <c r="G186" s="77">
        <f t="shared" si="20"/>
        <v>338.60507710422013</v>
      </c>
      <c r="H186" s="77">
        <f t="shared" si="24"/>
        <v>425.25939564051504</v>
      </c>
      <c r="I186" s="77">
        <f t="shared" si="28"/>
        <v>82471.191193401552</v>
      </c>
      <c r="J186" s="77">
        <f t="shared" si="28"/>
        <v>58843.73626437442</v>
      </c>
      <c r="K186" s="77">
        <f t="shared" si="25"/>
        <v>101581.52313126603</v>
      </c>
      <c r="L186" s="75">
        <v>400000</v>
      </c>
      <c r="M186" s="75">
        <f t="shared" si="22"/>
        <v>298418.476868734</v>
      </c>
    </row>
    <row r="187" spans="5:13">
      <c r="E187">
        <v>185</v>
      </c>
      <c r="F187" s="77">
        <f t="shared" si="23"/>
        <v>763.86447274473517</v>
      </c>
      <c r="G187" s="77">
        <f t="shared" si="20"/>
        <v>337.18754578541842</v>
      </c>
      <c r="H187" s="77">
        <f t="shared" si="24"/>
        <v>426.67692695931675</v>
      </c>
      <c r="I187" s="77">
        <f t="shared" si="28"/>
        <v>82808.37873918697</v>
      </c>
      <c r="J187" s="77">
        <f t="shared" si="28"/>
        <v>59270.413191333733</v>
      </c>
      <c r="K187" s="77">
        <f t="shared" si="25"/>
        <v>101156.26373562551</v>
      </c>
      <c r="L187" s="75">
        <v>400000</v>
      </c>
      <c r="M187" s="75">
        <f t="shared" si="22"/>
        <v>298843.73626437446</v>
      </c>
    </row>
    <row r="188" spans="5:13">
      <c r="E188">
        <v>186</v>
      </c>
      <c r="F188" s="77">
        <f t="shared" si="23"/>
        <v>763.86447274473517</v>
      </c>
      <c r="G188" s="77">
        <f t="shared" si="20"/>
        <v>335.76528936222064</v>
      </c>
      <c r="H188" s="77">
        <f t="shared" si="24"/>
        <v>428.09918338251452</v>
      </c>
      <c r="I188" s="77">
        <f t="shared" si="28"/>
        <v>83144.144028549184</v>
      </c>
      <c r="J188" s="77">
        <f t="shared" si="28"/>
        <v>59698.512374716251</v>
      </c>
      <c r="K188" s="77">
        <f t="shared" si="25"/>
        <v>100729.58680866619</v>
      </c>
      <c r="L188" s="75">
        <v>400000</v>
      </c>
      <c r="M188" s="75">
        <f t="shared" si="22"/>
        <v>299270.41319133382</v>
      </c>
    </row>
    <row r="189" spans="5:13">
      <c r="E189">
        <v>187</v>
      </c>
      <c r="F189" s="77">
        <f t="shared" si="23"/>
        <v>763.86447274473517</v>
      </c>
      <c r="G189" s="77">
        <f t="shared" si="20"/>
        <v>334.33829208427898</v>
      </c>
      <c r="H189" s="77">
        <f t="shared" si="24"/>
        <v>429.52618066045619</v>
      </c>
      <c r="I189" s="77">
        <f t="shared" si="28"/>
        <v>83478.482320633469</v>
      </c>
      <c r="J189" s="77">
        <f t="shared" si="28"/>
        <v>60128.038555376705</v>
      </c>
      <c r="K189" s="77">
        <f t="shared" si="25"/>
        <v>100301.48762528368</v>
      </c>
      <c r="L189" s="75">
        <v>400000</v>
      </c>
      <c r="M189" s="75">
        <f t="shared" si="22"/>
        <v>299698.51237471635</v>
      </c>
    </row>
    <row r="190" spans="5:13">
      <c r="E190">
        <v>188</v>
      </c>
      <c r="F190" s="77">
        <f t="shared" si="23"/>
        <v>763.86447274473517</v>
      </c>
      <c r="G190" s="77">
        <f t="shared" si="20"/>
        <v>332.90653814874412</v>
      </c>
      <c r="H190" s="77">
        <f t="shared" si="24"/>
        <v>430.95793459599105</v>
      </c>
      <c r="I190" s="77">
        <f t="shared" si="28"/>
        <v>83811.388858782215</v>
      </c>
      <c r="J190" s="77">
        <f t="shared" si="28"/>
        <v>60558.996489972698</v>
      </c>
      <c r="K190" s="77">
        <f t="shared" si="25"/>
        <v>99871.96144462323</v>
      </c>
      <c r="L190" s="75">
        <v>400000</v>
      </c>
      <c r="M190" s="75">
        <f t="shared" si="22"/>
        <v>300128.03855537676</v>
      </c>
    </row>
    <row r="191" spans="5:13">
      <c r="E191">
        <v>189</v>
      </c>
      <c r="F191" s="77">
        <f t="shared" si="23"/>
        <v>763.86447274473517</v>
      </c>
      <c r="G191" s="77">
        <f t="shared" si="20"/>
        <v>331.47001170009082</v>
      </c>
      <c r="H191" s="77">
        <f t="shared" si="24"/>
        <v>432.39446104464434</v>
      </c>
      <c r="I191" s="77">
        <f t="shared" si="28"/>
        <v>84142.858870482305</v>
      </c>
      <c r="J191" s="77">
        <f t="shared" si="28"/>
        <v>60991.39095101734</v>
      </c>
      <c r="K191" s="77">
        <f t="shared" si="25"/>
        <v>99441.003510027236</v>
      </c>
      <c r="L191" s="75">
        <v>400000</v>
      </c>
      <c r="M191" s="75">
        <f t="shared" si="22"/>
        <v>300558.99648997275</v>
      </c>
    </row>
    <row r="192" spans="5:13">
      <c r="E192">
        <v>190</v>
      </c>
      <c r="F192" s="77">
        <f t="shared" si="23"/>
        <v>763.86447274473517</v>
      </c>
      <c r="G192" s="77">
        <f t="shared" si="20"/>
        <v>330.02869682994196</v>
      </c>
      <c r="H192" s="77">
        <f t="shared" si="24"/>
        <v>433.8357759147932</v>
      </c>
      <c r="I192" s="77">
        <f t="shared" si="28"/>
        <v>84472.887567312253</v>
      </c>
      <c r="J192" s="77">
        <f t="shared" si="28"/>
        <v>61425.226726932131</v>
      </c>
      <c r="K192" s="77">
        <f t="shared" si="25"/>
        <v>99008.609048982587</v>
      </c>
      <c r="L192" s="75">
        <v>400000</v>
      </c>
      <c r="M192" s="75">
        <f t="shared" si="22"/>
        <v>300991.39095101738</v>
      </c>
    </row>
    <row r="193" spans="5:13">
      <c r="E193">
        <v>191</v>
      </c>
      <c r="F193" s="77">
        <f t="shared" si="23"/>
        <v>763.86447274473517</v>
      </c>
      <c r="G193" s="77">
        <f t="shared" si="20"/>
        <v>328.58257757689267</v>
      </c>
      <c r="H193" s="77">
        <f t="shared" si="24"/>
        <v>435.28189516784249</v>
      </c>
      <c r="I193" s="77">
        <f t="shared" si="28"/>
        <v>84801.470144889143</v>
      </c>
      <c r="J193" s="77">
        <f t="shared" si="28"/>
        <v>61860.508622099973</v>
      </c>
      <c r="K193" s="77">
        <f t="shared" si="25"/>
        <v>98574.773273067796</v>
      </c>
      <c r="L193" s="75">
        <v>400000</v>
      </c>
      <c r="M193" s="75">
        <f t="shared" si="22"/>
        <v>301425.22672693222</v>
      </c>
    </row>
    <row r="194" spans="5:13">
      <c r="E194">
        <v>192</v>
      </c>
      <c r="F194" s="77">
        <f t="shared" si="23"/>
        <v>763.86447274473517</v>
      </c>
      <c r="G194" s="77">
        <f t="shared" ref="G194:G257" si="29">(B$4/B$6)*K194</f>
        <v>327.13163792633316</v>
      </c>
      <c r="H194" s="77">
        <f t="shared" si="24"/>
        <v>436.73283481840201</v>
      </c>
      <c r="I194" s="77">
        <f t="shared" si="28"/>
        <v>85128.601782815473</v>
      </c>
      <c r="J194" s="77">
        <f t="shared" si="28"/>
        <v>62297.241456918375</v>
      </c>
      <c r="K194" s="77">
        <f t="shared" si="25"/>
        <v>98139.491377899947</v>
      </c>
      <c r="L194" s="75">
        <v>400000</v>
      </c>
      <c r="M194" s="75">
        <f t="shared" si="22"/>
        <v>301860.50862210005</v>
      </c>
    </row>
    <row r="195" spans="5:13">
      <c r="E195">
        <v>193</v>
      </c>
      <c r="F195" s="77">
        <f t="shared" si="23"/>
        <v>763.86447274473517</v>
      </c>
      <c r="G195" s="77">
        <f t="shared" si="29"/>
        <v>325.67586181027184</v>
      </c>
      <c r="H195" s="77">
        <f t="shared" si="24"/>
        <v>438.18861093446333</v>
      </c>
      <c r="I195" s="77">
        <f t="shared" ref="I195:J210" si="30">I194+G195</f>
        <v>85454.277644625749</v>
      </c>
      <c r="J195" s="77">
        <f t="shared" si="30"/>
        <v>62735.430067852838</v>
      </c>
      <c r="K195" s="77">
        <f t="shared" si="25"/>
        <v>97702.758543081538</v>
      </c>
      <c r="L195" s="75">
        <v>400000</v>
      </c>
      <c r="M195" s="75">
        <f t="shared" ref="M195:M258" si="31">L195-K195</f>
        <v>302297.24145691848</v>
      </c>
    </row>
    <row r="196" spans="5:13">
      <c r="E196">
        <v>194</v>
      </c>
      <c r="F196" s="77">
        <f t="shared" ref="F196:F259" si="32">F195</f>
        <v>763.86447274473517</v>
      </c>
      <c r="G196" s="77">
        <f t="shared" si="29"/>
        <v>324.21523310715696</v>
      </c>
      <c r="H196" s="77">
        <f t="shared" ref="H196:H259" si="33">F196-G196</f>
        <v>439.64923963757821</v>
      </c>
      <c r="I196" s="77">
        <f t="shared" si="30"/>
        <v>85778.492877732904</v>
      </c>
      <c r="J196" s="77">
        <f t="shared" si="30"/>
        <v>63175.079307490414</v>
      </c>
      <c r="K196" s="77">
        <f t="shared" ref="K196:K259" si="34">K195-H195</f>
        <v>97264.569932147075</v>
      </c>
      <c r="L196" s="75">
        <v>400000</v>
      </c>
      <c r="M196" s="75">
        <f t="shared" si="31"/>
        <v>302735.43006785295</v>
      </c>
    </row>
    <row r="197" spans="5:13">
      <c r="E197">
        <v>195</v>
      </c>
      <c r="F197" s="77">
        <f t="shared" si="32"/>
        <v>763.86447274473517</v>
      </c>
      <c r="G197" s="77">
        <f t="shared" si="29"/>
        <v>322.74973564169835</v>
      </c>
      <c r="H197" s="77">
        <f t="shared" si="33"/>
        <v>441.11473710303682</v>
      </c>
      <c r="I197" s="77">
        <f t="shared" si="30"/>
        <v>86101.242613374605</v>
      </c>
      <c r="J197" s="77">
        <f t="shared" si="30"/>
        <v>63616.194044593452</v>
      </c>
      <c r="K197" s="77">
        <f t="shared" si="34"/>
        <v>96824.920692509491</v>
      </c>
      <c r="L197" s="75">
        <v>400000</v>
      </c>
      <c r="M197" s="75">
        <f t="shared" si="31"/>
        <v>303175.07930749049</v>
      </c>
    </row>
    <row r="198" spans="5:13">
      <c r="E198">
        <v>196</v>
      </c>
      <c r="F198" s="77">
        <f t="shared" si="32"/>
        <v>763.86447274473517</v>
      </c>
      <c r="G198" s="77">
        <f t="shared" si="29"/>
        <v>321.2793531846882</v>
      </c>
      <c r="H198" s="77">
        <f t="shared" si="33"/>
        <v>442.58511956004696</v>
      </c>
      <c r="I198" s="77">
        <f t="shared" si="30"/>
        <v>86422.521966559289</v>
      </c>
      <c r="J198" s="77">
        <f t="shared" si="30"/>
        <v>64058.7791641535</v>
      </c>
      <c r="K198" s="77">
        <f t="shared" si="34"/>
        <v>96383.805955406453</v>
      </c>
      <c r="L198" s="75">
        <v>400000</v>
      </c>
      <c r="M198" s="75">
        <f t="shared" si="31"/>
        <v>303616.19404459355</v>
      </c>
    </row>
    <row r="199" spans="5:13">
      <c r="E199">
        <v>197</v>
      </c>
      <c r="F199" s="77">
        <f t="shared" si="32"/>
        <v>763.86447274473517</v>
      </c>
      <c r="G199" s="77">
        <f t="shared" si="29"/>
        <v>319.80406945282141</v>
      </c>
      <c r="H199" s="77">
        <f t="shared" si="33"/>
        <v>444.06040329191376</v>
      </c>
      <c r="I199" s="77">
        <f t="shared" si="30"/>
        <v>86742.326036012106</v>
      </c>
      <c r="J199" s="77">
        <f t="shared" si="30"/>
        <v>64502.839567445415</v>
      </c>
      <c r="K199" s="77">
        <f t="shared" si="34"/>
        <v>95941.220835846412</v>
      </c>
      <c r="L199" s="75">
        <v>400000</v>
      </c>
      <c r="M199" s="75">
        <f t="shared" si="31"/>
        <v>304058.77916415362</v>
      </c>
    </row>
    <row r="200" spans="5:13">
      <c r="E200">
        <v>198</v>
      </c>
      <c r="F200" s="77">
        <f t="shared" si="32"/>
        <v>763.86447274473517</v>
      </c>
      <c r="G200" s="77">
        <f t="shared" si="29"/>
        <v>318.32386810851506</v>
      </c>
      <c r="H200" s="77">
        <f t="shared" si="33"/>
        <v>445.54060463622011</v>
      </c>
      <c r="I200" s="77">
        <f t="shared" si="30"/>
        <v>87060.649904120626</v>
      </c>
      <c r="J200" s="77">
        <f t="shared" si="30"/>
        <v>64948.380172081634</v>
      </c>
      <c r="K200" s="77">
        <f t="shared" si="34"/>
        <v>95497.160432554505</v>
      </c>
      <c r="L200" s="75">
        <v>400000</v>
      </c>
      <c r="M200" s="75">
        <f t="shared" si="31"/>
        <v>304502.83956744551</v>
      </c>
    </row>
    <row r="201" spans="5:13">
      <c r="E201">
        <v>199</v>
      </c>
      <c r="F201" s="77">
        <f t="shared" si="32"/>
        <v>763.86447274473517</v>
      </c>
      <c r="G201" s="77">
        <f t="shared" si="29"/>
        <v>316.83873275972763</v>
      </c>
      <c r="H201" s="77">
        <f t="shared" si="33"/>
        <v>447.02573998500753</v>
      </c>
      <c r="I201" s="77">
        <f t="shared" si="30"/>
        <v>87377.488636880356</v>
      </c>
      <c r="J201" s="77">
        <f t="shared" si="30"/>
        <v>65395.405912066642</v>
      </c>
      <c r="K201" s="77">
        <f t="shared" si="34"/>
        <v>95051.619827918286</v>
      </c>
      <c r="L201" s="75">
        <v>400000</v>
      </c>
      <c r="M201" s="75">
        <f t="shared" si="31"/>
        <v>304948.3801720817</v>
      </c>
    </row>
    <row r="202" spans="5:13">
      <c r="E202">
        <v>200</v>
      </c>
      <c r="F202" s="77">
        <f t="shared" si="32"/>
        <v>763.86447274473517</v>
      </c>
      <c r="G202" s="77">
        <f t="shared" si="29"/>
        <v>315.34864695977762</v>
      </c>
      <c r="H202" s="77">
        <f t="shared" si="33"/>
        <v>448.51582578495754</v>
      </c>
      <c r="I202" s="77">
        <f t="shared" si="30"/>
        <v>87692.837283840141</v>
      </c>
      <c r="J202" s="77">
        <f t="shared" si="30"/>
        <v>65843.921737851604</v>
      </c>
      <c r="K202" s="77">
        <f t="shared" si="34"/>
        <v>94604.594087933277</v>
      </c>
      <c r="L202" s="75">
        <v>400000</v>
      </c>
      <c r="M202" s="75">
        <f t="shared" si="31"/>
        <v>305395.40591206669</v>
      </c>
    </row>
    <row r="203" spans="5:13">
      <c r="E203">
        <v>201</v>
      </c>
      <c r="F203" s="77">
        <f t="shared" si="32"/>
        <v>763.86447274473517</v>
      </c>
      <c r="G203" s="77">
        <f t="shared" si="29"/>
        <v>313.85359420716111</v>
      </c>
      <c r="H203" s="77">
        <f t="shared" si="33"/>
        <v>450.01087853757406</v>
      </c>
      <c r="I203" s="77">
        <f t="shared" si="30"/>
        <v>88006.690878047302</v>
      </c>
      <c r="J203" s="77">
        <f t="shared" si="30"/>
        <v>66293.932616389182</v>
      </c>
      <c r="K203" s="77">
        <f t="shared" si="34"/>
        <v>94156.078262148323</v>
      </c>
      <c r="L203" s="75">
        <v>400000</v>
      </c>
      <c r="M203" s="75">
        <f t="shared" si="31"/>
        <v>305843.92173785169</v>
      </c>
    </row>
    <row r="204" spans="5:13">
      <c r="E204">
        <v>202</v>
      </c>
      <c r="F204" s="77">
        <f t="shared" si="32"/>
        <v>763.86447274473517</v>
      </c>
      <c r="G204" s="77">
        <f t="shared" si="29"/>
        <v>312.35355794536918</v>
      </c>
      <c r="H204" s="77">
        <f t="shared" si="33"/>
        <v>451.51091479936599</v>
      </c>
      <c r="I204" s="77">
        <f t="shared" si="30"/>
        <v>88319.044435992677</v>
      </c>
      <c r="J204" s="77">
        <f t="shared" si="30"/>
        <v>66745.443531188546</v>
      </c>
      <c r="K204" s="77">
        <f t="shared" si="34"/>
        <v>93706.067383610745</v>
      </c>
      <c r="L204" s="75">
        <v>400000</v>
      </c>
      <c r="M204" s="75">
        <f t="shared" si="31"/>
        <v>306293.93261638924</v>
      </c>
    </row>
    <row r="205" spans="5:13">
      <c r="E205">
        <v>203</v>
      </c>
      <c r="F205" s="77">
        <f t="shared" si="32"/>
        <v>763.86447274473517</v>
      </c>
      <c r="G205" s="77">
        <f t="shared" si="29"/>
        <v>310.8485215627046</v>
      </c>
      <c r="H205" s="77">
        <f t="shared" si="33"/>
        <v>453.01595118203056</v>
      </c>
      <c r="I205" s="77">
        <f t="shared" si="30"/>
        <v>88629.892957555378</v>
      </c>
      <c r="J205" s="77">
        <f t="shared" si="30"/>
        <v>67198.45948237057</v>
      </c>
      <c r="K205" s="77">
        <f t="shared" si="34"/>
        <v>93254.556468811381</v>
      </c>
      <c r="L205" s="75">
        <v>400000</v>
      </c>
      <c r="M205" s="75">
        <f t="shared" si="31"/>
        <v>306745.44353118865</v>
      </c>
    </row>
    <row r="206" spans="5:13">
      <c r="E206">
        <v>204</v>
      </c>
      <c r="F206" s="77">
        <f t="shared" si="32"/>
        <v>763.86447274473517</v>
      </c>
      <c r="G206" s="77">
        <f t="shared" si="29"/>
        <v>309.33846839209787</v>
      </c>
      <c r="H206" s="77">
        <f t="shared" si="33"/>
        <v>454.5260043526373</v>
      </c>
      <c r="I206" s="77">
        <f t="shared" si="30"/>
        <v>88939.231425947481</v>
      </c>
      <c r="J206" s="77">
        <f t="shared" si="30"/>
        <v>67652.985486723206</v>
      </c>
      <c r="K206" s="77">
        <f t="shared" si="34"/>
        <v>92801.540517629357</v>
      </c>
      <c r="L206" s="75">
        <v>400000</v>
      </c>
      <c r="M206" s="75">
        <f t="shared" si="31"/>
        <v>307198.45948237064</v>
      </c>
    </row>
    <row r="207" spans="5:13">
      <c r="E207">
        <v>205</v>
      </c>
      <c r="F207" s="77">
        <f t="shared" si="32"/>
        <v>763.86447274473517</v>
      </c>
      <c r="G207" s="77">
        <f t="shared" si="29"/>
        <v>307.82338171092243</v>
      </c>
      <c r="H207" s="77">
        <f t="shared" si="33"/>
        <v>456.04109103381273</v>
      </c>
      <c r="I207" s="77">
        <f t="shared" si="30"/>
        <v>89247.054807658409</v>
      </c>
      <c r="J207" s="77">
        <f t="shared" si="30"/>
        <v>68109.026577757017</v>
      </c>
      <c r="K207" s="77">
        <f t="shared" si="34"/>
        <v>92347.014513276721</v>
      </c>
      <c r="L207" s="75">
        <v>400000</v>
      </c>
      <c r="M207" s="75">
        <f t="shared" si="31"/>
        <v>307652.98548672325</v>
      </c>
    </row>
    <row r="208" spans="5:13">
      <c r="E208">
        <v>206</v>
      </c>
      <c r="F208" s="77">
        <f t="shared" si="32"/>
        <v>763.86447274473517</v>
      </c>
      <c r="G208" s="77">
        <f t="shared" si="29"/>
        <v>306.3032447408097</v>
      </c>
      <c r="H208" s="77">
        <f t="shared" si="33"/>
        <v>457.56122800392546</v>
      </c>
      <c r="I208" s="77">
        <f t="shared" si="30"/>
        <v>89553.358052399213</v>
      </c>
      <c r="J208" s="77">
        <f t="shared" si="30"/>
        <v>68566.587805760937</v>
      </c>
      <c r="K208" s="77">
        <f t="shared" si="34"/>
        <v>91890.973422242911</v>
      </c>
      <c r="L208" s="75">
        <v>400000</v>
      </c>
      <c r="M208" s="75">
        <f t="shared" si="31"/>
        <v>308109.02657775709</v>
      </c>
    </row>
    <row r="209" spans="5:13">
      <c r="E209">
        <v>207</v>
      </c>
      <c r="F209" s="77">
        <f t="shared" si="32"/>
        <v>763.86447274473517</v>
      </c>
      <c r="G209" s="77">
        <f t="shared" si="29"/>
        <v>304.77804064746334</v>
      </c>
      <c r="H209" s="77">
        <f t="shared" si="33"/>
        <v>459.08643209727182</v>
      </c>
      <c r="I209" s="77">
        <f t="shared" si="30"/>
        <v>89858.136093046676</v>
      </c>
      <c r="J209" s="77">
        <f t="shared" si="30"/>
        <v>69025.674237858213</v>
      </c>
      <c r="K209" s="77">
        <f t="shared" si="34"/>
        <v>91433.41219423899</v>
      </c>
      <c r="L209" s="75">
        <v>400000</v>
      </c>
      <c r="M209" s="75">
        <f t="shared" si="31"/>
        <v>308566.58780576102</v>
      </c>
    </row>
    <row r="210" spans="5:13">
      <c r="E210">
        <v>208</v>
      </c>
      <c r="F210" s="77">
        <f t="shared" si="32"/>
        <v>763.86447274473517</v>
      </c>
      <c r="G210" s="77">
        <f t="shared" si="29"/>
        <v>303.24775254047239</v>
      </c>
      <c r="H210" s="77">
        <f t="shared" si="33"/>
        <v>460.61672020426278</v>
      </c>
      <c r="I210" s="77">
        <f t="shared" si="30"/>
        <v>90161.383845587145</v>
      </c>
      <c r="J210" s="77">
        <f t="shared" si="30"/>
        <v>69486.290958062469</v>
      </c>
      <c r="K210" s="77">
        <f t="shared" si="34"/>
        <v>90974.325762141714</v>
      </c>
      <c r="L210" s="75">
        <v>400000</v>
      </c>
      <c r="M210" s="75">
        <f t="shared" si="31"/>
        <v>309025.67423785827</v>
      </c>
    </row>
    <row r="211" spans="5:13">
      <c r="E211">
        <v>209</v>
      </c>
      <c r="F211" s="77">
        <f t="shared" si="32"/>
        <v>763.86447274473517</v>
      </c>
      <c r="G211" s="77">
        <f t="shared" si="29"/>
        <v>301.71236347312487</v>
      </c>
      <c r="H211" s="77">
        <f t="shared" si="33"/>
        <v>462.1521092716103</v>
      </c>
      <c r="I211" s="77">
        <f t="shared" ref="I211:J226" si="35">I210+G211</f>
        <v>90463.09620906027</v>
      </c>
      <c r="J211" s="77">
        <f t="shared" si="35"/>
        <v>69948.443067334083</v>
      </c>
      <c r="K211" s="77">
        <f t="shared" si="34"/>
        <v>90513.709041937458</v>
      </c>
      <c r="L211" s="75">
        <v>400000</v>
      </c>
      <c r="M211" s="75">
        <f t="shared" si="31"/>
        <v>309486.29095806251</v>
      </c>
    </row>
    <row r="212" spans="5:13">
      <c r="E212">
        <v>210</v>
      </c>
      <c r="F212" s="77">
        <f t="shared" si="32"/>
        <v>763.86447274473517</v>
      </c>
      <c r="G212" s="77">
        <f t="shared" si="29"/>
        <v>300.17185644221951</v>
      </c>
      <c r="H212" s="77">
        <f t="shared" si="33"/>
        <v>463.69261630251566</v>
      </c>
      <c r="I212" s="77">
        <f t="shared" si="35"/>
        <v>90763.268065502489</v>
      </c>
      <c r="J212" s="77">
        <f t="shared" si="35"/>
        <v>70412.135683636603</v>
      </c>
      <c r="K212" s="77">
        <f t="shared" si="34"/>
        <v>90051.556932665844</v>
      </c>
      <c r="L212" s="75">
        <v>400000</v>
      </c>
      <c r="M212" s="75">
        <f t="shared" si="31"/>
        <v>309948.44306733413</v>
      </c>
    </row>
    <row r="213" spans="5:13">
      <c r="E213">
        <v>211</v>
      </c>
      <c r="F213" s="77">
        <f t="shared" si="32"/>
        <v>763.86447274473517</v>
      </c>
      <c r="G213" s="77">
        <f t="shared" si="29"/>
        <v>298.62621438787778</v>
      </c>
      <c r="H213" s="77">
        <f t="shared" si="33"/>
        <v>465.23825835685739</v>
      </c>
      <c r="I213" s="77">
        <f t="shared" si="35"/>
        <v>91061.894279890374</v>
      </c>
      <c r="J213" s="77">
        <f t="shared" si="35"/>
        <v>70877.373941993457</v>
      </c>
      <c r="K213" s="77">
        <f t="shared" si="34"/>
        <v>89587.864316363324</v>
      </c>
      <c r="L213" s="75">
        <v>400000</v>
      </c>
      <c r="M213" s="75">
        <f t="shared" si="31"/>
        <v>310412.13568363665</v>
      </c>
    </row>
    <row r="214" spans="5:13">
      <c r="E214">
        <v>212</v>
      </c>
      <c r="F214" s="77">
        <f t="shared" si="32"/>
        <v>763.86447274473517</v>
      </c>
      <c r="G214" s="77">
        <f t="shared" si="29"/>
        <v>297.07542019335494</v>
      </c>
      <c r="H214" s="77">
        <f t="shared" si="33"/>
        <v>466.78905255138022</v>
      </c>
      <c r="I214" s="77">
        <f t="shared" si="35"/>
        <v>91358.969700083733</v>
      </c>
      <c r="J214" s="77">
        <f t="shared" si="35"/>
        <v>71344.162994544837</v>
      </c>
      <c r="K214" s="77">
        <f t="shared" si="34"/>
        <v>89122.62605800647</v>
      </c>
      <c r="L214" s="75">
        <v>400000</v>
      </c>
      <c r="M214" s="75">
        <f t="shared" si="31"/>
        <v>310877.37394199352</v>
      </c>
    </row>
    <row r="215" spans="5:13">
      <c r="E215">
        <v>213</v>
      </c>
      <c r="F215" s="77">
        <f t="shared" si="32"/>
        <v>763.86447274473517</v>
      </c>
      <c r="G215" s="77">
        <f t="shared" si="29"/>
        <v>295.5194566848503</v>
      </c>
      <c r="H215" s="77">
        <f t="shared" si="33"/>
        <v>468.34501605988487</v>
      </c>
      <c r="I215" s="77">
        <f t="shared" si="35"/>
        <v>91654.489156768585</v>
      </c>
      <c r="J215" s="77">
        <f t="shared" si="35"/>
        <v>71812.508010604724</v>
      </c>
      <c r="K215" s="77">
        <f t="shared" si="34"/>
        <v>88655.837005455091</v>
      </c>
      <c r="L215" s="75">
        <v>400000</v>
      </c>
      <c r="M215" s="75">
        <f t="shared" si="31"/>
        <v>311344.16299454489</v>
      </c>
    </row>
    <row r="216" spans="5:13">
      <c r="E216">
        <v>214</v>
      </c>
      <c r="F216" s="77">
        <f t="shared" si="32"/>
        <v>763.86447274473517</v>
      </c>
      <c r="G216" s="77">
        <f t="shared" si="29"/>
        <v>293.95830663131738</v>
      </c>
      <c r="H216" s="77">
        <f t="shared" si="33"/>
        <v>469.90616611341778</v>
      </c>
      <c r="I216" s="77">
        <f t="shared" si="35"/>
        <v>91948.447463399905</v>
      </c>
      <c r="J216" s="77">
        <f t="shared" si="35"/>
        <v>72282.414176718143</v>
      </c>
      <c r="K216" s="77">
        <f t="shared" si="34"/>
        <v>88187.491989395203</v>
      </c>
      <c r="L216" s="75">
        <v>400000</v>
      </c>
      <c r="M216" s="75">
        <f t="shared" si="31"/>
        <v>311812.50801060477</v>
      </c>
    </row>
    <row r="217" spans="5:13">
      <c r="E217">
        <v>215</v>
      </c>
      <c r="F217" s="77">
        <f t="shared" si="32"/>
        <v>763.86447274473517</v>
      </c>
      <c r="G217" s="77">
        <f t="shared" si="29"/>
        <v>292.39195274427266</v>
      </c>
      <c r="H217" s="77">
        <f t="shared" si="33"/>
        <v>471.47252000046251</v>
      </c>
      <c r="I217" s="77">
        <f t="shared" si="35"/>
        <v>92240.839416144183</v>
      </c>
      <c r="J217" s="77">
        <f t="shared" si="35"/>
        <v>72753.886696718604</v>
      </c>
      <c r="K217" s="77">
        <f t="shared" si="34"/>
        <v>87717.585823281785</v>
      </c>
      <c r="L217" s="75">
        <v>400000</v>
      </c>
      <c r="M217" s="75">
        <f t="shared" si="31"/>
        <v>312282.41417671822</v>
      </c>
    </row>
    <row r="218" spans="5:13">
      <c r="E218">
        <v>216</v>
      </c>
      <c r="F218" s="77">
        <f t="shared" si="32"/>
        <v>763.86447274473517</v>
      </c>
      <c r="G218" s="77">
        <f t="shared" si="29"/>
        <v>290.82037767760443</v>
      </c>
      <c r="H218" s="77">
        <f t="shared" si="33"/>
        <v>473.04409506713074</v>
      </c>
      <c r="I218" s="77">
        <f t="shared" si="35"/>
        <v>92531.659793821789</v>
      </c>
      <c r="J218" s="77">
        <f t="shared" si="35"/>
        <v>73226.930791785737</v>
      </c>
      <c r="K218" s="77">
        <f t="shared" si="34"/>
        <v>87246.113303281323</v>
      </c>
      <c r="L218" s="75">
        <v>400000</v>
      </c>
      <c r="M218" s="75">
        <f t="shared" si="31"/>
        <v>312753.88669671869</v>
      </c>
    </row>
    <row r="219" spans="5:13">
      <c r="E219">
        <v>217</v>
      </c>
      <c r="F219" s="77">
        <f t="shared" si="32"/>
        <v>763.86447274473517</v>
      </c>
      <c r="G219" s="77">
        <f t="shared" si="29"/>
        <v>289.24356402738067</v>
      </c>
      <c r="H219" s="77">
        <f t="shared" si="33"/>
        <v>474.6209087173545</v>
      </c>
      <c r="I219" s="77">
        <f t="shared" si="35"/>
        <v>92820.903357849165</v>
      </c>
      <c r="J219" s="77">
        <f t="shared" si="35"/>
        <v>73701.551700503085</v>
      </c>
      <c r="K219" s="77">
        <f t="shared" si="34"/>
        <v>86773.06920821419</v>
      </c>
      <c r="L219" s="75">
        <v>400000</v>
      </c>
      <c r="M219" s="75">
        <f t="shared" si="31"/>
        <v>313226.93079178582</v>
      </c>
    </row>
    <row r="220" spans="5:13">
      <c r="E220">
        <v>218</v>
      </c>
      <c r="F220" s="77">
        <f t="shared" si="32"/>
        <v>763.86447274473517</v>
      </c>
      <c r="G220" s="77">
        <f t="shared" si="29"/>
        <v>287.66149433165617</v>
      </c>
      <c r="H220" s="77">
        <f t="shared" si="33"/>
        <v>476.20297841307899</v>
      </c>
      <c r="I220" s="77">
        <f t="shared" si="35"/>
        <v>93108.564852180818</v>
      </c>
      <c r="J220" s="77">
        <f t="shared" si="35"/>
        <v>74177.754678916157</v>
      </c>
      <c r="K220" s="77">
        <f t="shared" si="34"/>
        <v>86298.448299496842</v>
      </c>
      <c r="L220" s="75">
        <v>400000</v>
      </c>
      <c r="M220" s="75">
        <f t="shared" si="31"/>
        <v>313701.55170050316</v>
      </c>
    </row>
    <row r="221" spans="5:13">
      <c r="E221">
        <v>219</v>
      </c>
      <c r="F221" s="77">
        <f t="shared" si="32"/>
        <v>763.86447274473517</v>
      </c>
      <c r="G221" s="77">
        <f t="shared" si="29"/>
        <v>286.07415107027924</v>
      </c>
      <c r="H221" s="77">
        <f t="shared" si="33"/>
        <v>477.79032167445592</v>
      </c>
      <c r="I221" s="77">
        <f t="shared" si="35"/>
        <v>93394.639003251097</v>
      </c>
      <c r="J221" s="77">
        <f t="shared" si="35"/>
        <v>74655.545000590617</v>
      </c>
      <c r="K221" s="77">
        <f t="shared" si="34"/>
        <v>85822.24532108377</v>
      </c>
      <c r="L221" s="75">
        <v>400000</v>
      </c>
      <c r="M221" s="75">
        <f t="shared" si="31"/>
        <v>314177.75467891624</v>
      </c>
    </row>
    <row r="222" spans="5:13">
      <c r="E222">
        <v>220</v>
      </c>
      <c r="F222" s="77">
        <f t="shared" si="32"/>
        <v>763.86447274473517</v>
      </c>
      <c r="G222" s="77">
        <f t="shared" si="29"/>
        <v>284.48151666469772</v>
      </c>
      <c r="H222" s="77">
        <f t="shared" si="33"/>
        <v>479.38295608003745</v>
      </c>
      <c r="I222" s="77">
        <f t="shared" si="35"/>
        <v>93679.120519915799</v>
      </c>
      <c r="J222" s="77">
        <f t="shared" si="35"/>
        <v>75134.927956670654</v>
      </c>
      <c r="K222" s="77">
        <f t="shared" si="34"/>
        <v>85344.45499940931</v>
      </c>
      <c r="L222" s="75">
        <v>400000</v>
      </c>
      <c r="M222" s="75">
        <f t="shared" si="31"/>
        <v>314655.54500059068</v>
      </c>
    </row>
    <row r="223" spans="5:13">
      <c r="E223">
        <v>221</v>
      </c>
      <c r="F223" s="77">
        <f t="shared" si="32"/>
        <v>763.86447274473517</v>
      </c>
      <c r="G223" s="77">
        <f t="shared" si="29"/>
        <v>282.88357347776429</v>
      </c>
      <c r="H223" s="77">
        <f t="shared" si="33"/>
        <v>480.98089926697088</v>
      </c>
      <c r="I223" s="77">
        <f t="shared" si="35"/>
        <v>93962.004093393567</v>
      </c>
      <c r="J223" s="77">
        <f t="shared" si="35"/>
        <v>75615.908855937625</v>
      </c>
      <c r="K223" s="77">
        <f t="shared" si="34"/>
        <v>84865.072043329274</v>
      </c>
      <c r="L223" s="75">
        <v>400000</v>
      </c>
      <c r="M223" s="75">
        <f t="shared" si="31"/>
        <v>315134.92795667076</v>
      </c>
    </row>
    <row r="224" spans="5:13">
      <c r="E224">
        <v>222</v>
      </c>
      <c r="F224" s="77">
        <f t="shared" si="32"/>
        <v>763.86447274473517</v>
      </c>
      <c r="G224" s="77">
        <f t="shared" si="29"/>
        <v>281.28030381354102</v>
      </c>
      <c r="H224" s="77">
        <f t="shared" si="33"/>
        <v>482.58416893119414</v>
      </c>
      <c r="I224" s="77">
        <f t="shared" si="35"/>
        <v>94243.284397207113</v>
      </c>
      <c r="J224" s="77">
        <f t="shared" si="35"/>
        <v>76098.493024868818</v>
      </c>
      <c r="K224" s="77">
        <f t="shared" si="34"/>
        <v>84384.091144062302</v>
      </c>
      <c r="L224" s="75">
        <v>400000</v>
      </c>
      <c r="M224" s="75">
        <f t="shared" si="31"/>
        <v>315615.90885593771</v>
      </c>
    </row>
    <row r="225" spans="5:13">
      <c r="E225">
        <v>223</v>
      </c>
      <c r="F225" s="77">
        <f t="shared" si="32"/>
        <v>763.86447274473517</v>
      </c>
      <c r="G225" s="77">
        <f t="shared" si="29"/>
        <v>279.67168991710372</v>
      </c>
      <c r="H225" s="77">
        <f t="shared" si="33"/>
        <v>484.19278282763145</v>
      </c>
      <c r="I225" s="77">
        <f t="shared" si="35"/>
        <v>94522.956087124214</v>
      </c>
      <c r="J225" s="77">
        <f t="shared" si="35"/>
        <v>76582.685807696456</v>
      </c>
      <c r="K225" s="77">
        <f t="shared" si="34"/>
        <v>83901.506975131109</v>
      </c>
      <c r="L225" s="75">
        <v>400000</v>
      </c>
      <c r="M225" s="75">
        <f t="shared" si="31"/>
        <v>316098.49302486889</v>
      </c>
    </row>
    <row r="226" spans="5:13">
      <c r="E226">
        <v>224</v>
      </c>
      <c r="F226" s="77">
        <f t="shared" si="32"/>
        <v>763.86447274473517</v>
      </c>
      <c r="G226" s="77">
        <f t="shared" si="29"/>
        <v>278.05771397434495</v>
      </c>
      <c r="H226" s="77">
        <f t="shared" si="33"/>
        <v>485.80675877039022</v>
      </c>
      <c r="I226" s="77">
        <f t="shared" si="35"/>
        <v>94801.013801098554</v>
      </c>
      <c r="J226" s="77">
        <f t="shared" si="35"/>
        <v>77068.492566466841</v>
      </c>
      <c r="K226" s="77">
        <f t="shared" si="34"/>
        <v>83417.314192303471</v>
      </c>
      <c r="L226" s="75">
        <v>400000</v>
      </c>
      <c r="M226" s="75">
        <f t="shared" si="31"/>
        <v>316582.68580769654</v>
      </c>
    </row>
    <row r="227" spans="5:13">
      <c r="E227">
        <v>225</v>
      </c>
      <c r="F227" s="77">
        <f t="shared" si="32"/>
        <v>763.86447274473517</v>
      </c>
      <c r="G227" s="77">
        <f t="shared" si="29"/>
        <v>276.43835811177695</v>
      </c>
      <c r="H227" s="77">
        <f t="shared" si="33"/>
        <v>487.42611463295822</v>
      </c>
      <c r="I227" s="77">
        <f t="shared" ref="I227:J242" si="36">I226+G227</f>
        <v>95077.452159210326</v>
      </c>
      <c r="J227" s="77">
        <f t="shared" si="36"/>
        <v>77555.918681099793</v>
      </c>
      <c r="K227" s="77">
        <f t="shared" si="34"/>
        <v>82931.507433533086</v>
      </c>
      <c r="L227" s="75">
        <v>400000</v>
      </c>
      <c r="M227" s="75">
        <f t="shared" si="31"/>
        <v>317068.49256646691</v>
      </c>
    </row>
    <row r="228" spans="5:13">
      <c r="E228">
        <v>226</v>
      </c>
      <c r="F228" s="77">
        <f t="shared" si="32"/>
        <v>763.86447274473517</v>
      </c>
      <c r="G228" s="77">
        <f t="shared" si="29"/>
        <v>274.8136043963338</v>
      </c>
      <c r="H228" s="77">
        <f t="shared" si="33"/>
        <v>489.05086834840137</v>
      </c>
      <c r="I228" s="77">
        <f t="shared" si="36"/>
        <v>95352.265763606658</v>
      </c>
      <c r="J228" s="77">
        <f t="shared" si="36"/>
        <v>78044.9695494482</v>
      </c>
      <c r="K228" s="77">
        <f t="shared" si="34"/>
        <v>82444.081318900135</v>
      </c>
      <c r="L228" s="75">
        <v>400000</v>
      </c>
      <c r="M228" s="75">
        <f t="shared" si="31"/>
        <v>317555.91868109989</v>
      </c>
    </row>
    <row r="229" spans="5:13">
      <c r="E229">
        <v>227</v>
      </c>
      <c r="F229" s="77">
        <f t="shared" si="32"/>
        <v>763.86447274473517</v>
      </c>
      <c r="G229" s="77">
        <f t="shared" si="29"/>
        <v>273.18343483517242</v>
      </c>
      <c r="H229" s="77">
        <f t="shared" si="33"/>
        <v>490.68103790956275</v>
      </c>
      <c r="I229" s="77">
        <f t="shared" si="36"/>
        <v>95625.449198441827</v>
      </c>
      <c r="J229" s="77">
        <f t="shared" si="36"/>
        <v>78535.65058735777</v>
      </c>
      <c r="K229" s="77">
        <f t="shared" si="34"/>
        <v>81955.030450551727</v>
      </c>
      <c r="L229" s="75">
        <v>400000</v>
      </c>
      <c r="M229" s="75">
        <f t="shared" si="31"/>
        <v>318044.96954944829</v>
      </c>
    </row>
    <row r="230" spans="5:13">
      <c r="E230">
        <v>228</v>
      </c>
      <c r="F230" s="77">
        <f t="shared" si="32"/>
        <v>763.86447274473517</v>
      </c>
      <c r="G230" s="77">
        <f t="shared" si="29"/>
        <v>271.54783137547389</v>
      </c>
      <c r="H230" s="77">
        <f t="shared" si="33"/>
        <v>492.31664136926128</v>
      </c>
      <c r="I230" s="77">
        <f t="shared" si="36"/>
        <v>95896.997029817299</v>
      </c>
      <c r="J230" s="77">
        <f t="shared" si="36"/>
        <v>79027.967228727037</v>
      </c>
      <c r="K230" s="77">
        <f t="shared" si="34"/>
        <v>81464.349412642157</v>
      </c>
      <c r="L230" s="75">
        <v>400000</v>
      </c>
      <c r="M230" s="75">
        <f t="shared" si="31"/>
        <v>318535.65058735781</v>
      </c>
    </row>
    <row r="231" spans="5:13">
      <c r="E231">
        <v>229</v>
      </c>
      <c r="F231" s="77">
        <f t="shared" si="32"/>
        <v>763.86447274473517</v>
      </c>
      <c r="G231" s="77">
        <f t="shared" si="29"/>
        <v>269.90677590424298</v>
      </c>
      <c r="H231" s="77">
        <f t="shared" si="33"/>
        <v>493.95769684049219</v>
      </c>
      <c r="I231" s="77">
        <f t="shared" si="36"/>
        <v>96166.903805721537</v>
      </c>
      <c r="J231" s="77">
        <f t="shared" si="36"/>
        <v>79521.924925567524</v>
      </c>
      <c r="K231" s="77">
        <f t="shared" si="34"/>
        <v>80972.03277127289</v>
      </c>
      <c r="L231" s="75">
        <v>400000</v>
      </c>
      <c r="M231" s="75">
        <f t="shared" si="31"/>
        <v>319027.96722872712</v>
      </c>
    </row>
    <row r="232" spans="5:13">
      <c r="E232">
        <v>230</v>
      </c>
      <c r="F232" s="77">
        <f t="shared" si="32"/>
        <v>763.86447274473517</v>
      </c>
      <c r="G232" s="77">
        <f t="shared" si="29"/>
        <v>268.26025024810804</v>
      </c>
      <c r="H232" s="77">
        <f t="shared" si="33"/>
        <v>495.60422249662713</v>
      </c>
      <c r="I232" s="77">
        <f t="shared" si="36"/>
        <v>96435.164055969639</v>
      </c>
      <c r="J232" s="77">
        <f t="shared" si="36"/>
        <v>80017.529148064146</v>
      </c>
      <c r="K232" s="77">
        <f t="shared" si="34"/>
        <v>80478.075074432403</v>
      </c>
      <c r="L232" s="75">
        <v>400000</v>
      </c>
      <c r="M232" s="75">
        <f t="shared" si="31"/>
        <v>319521.92492556758</v>
      </c>
    </row>
    <row r="233" spans="5:13">
      <c r="E233">
        <v>231</v>
      </c>
      <c r="F233" s="77">
        <f t="shared" si="32"/>
        <v>763.86447274473517</v>
      </c>
      <c r="G233" s="77">
        <f t="shared" si="29"/>
        <v>266.60823617311928</v>
      </c>
      <c r="H233" s="77">
        <f t="shared" si="33"/>
        <v>497.25623657161589</v>
      </c>
      <c r="I233" s="77">
        <f t="shared" si="36"/>
        <v>96701.772292142763</v>
      </c>
      <c r="J233" s="77">
        <f t="shared" si="36"/>
        <v>80514.785384635761</v>
      </c>
      <c r="K233" s="77">
        <f t="shared" si="34"/>
        <v>79982.470851935781</v>
      </c>
      <c r="L233" s="75">
        <v>400000</v>
      </c>
      <c r="M233" s="75">
        <f t="shared" si="31"/>
        <v>320017.5291480642</v>
      </c>
    </row>
    <row r="234" spans="5:13">
      <c r="E234">
        <v>232</v>
      </c>
      <c r="F234" s="77">
        <f t="shared" si="32"/>
        <v>763.86447274473517</v>
      </c>
      <c r="G234" s="77">
        <f t="shared" si="29"/>
        <v>264.95071538454721</v>
      </c>
      <c r="H234" s="77">
        <f t="shared" si="33"/>
        <v>498.91375736018796</v>
      </c>
      <c r="I234" s="77">
        <f t="shared" si="36"/>
        <v>96966.723007527311</v>
      </c>
      <c r="J234" s="77">
        <f t="shared" si="36"/>
        <v>81013.699141995952</v>
      </c>
      <c r="K234" s="77">
        <f t="shared" si="34"/>
        <v>79485.214615364166</v>
      </c>
      <c r="L234" s="75">
        <v>400000</v>
      </c>
      <c r="M234" s="75">
        <f t="shared" si="31"/>
        <v>320514.78538463585</v>
      </c>
    </row>
    <row r="235" spans="5:13">
      <c r="E235">
        <v>233</v>
      </c>
      <c r="F235" s="77">
        <f t="shared" si="32"/>
        <v>763.86447274473517</v>
      </c>
      <c r="G235" s="77">
        <f t="shared" si="29"/>
        <v>263.28766952667991</v>
      </c>
      <c r="H235" s="77">
        <f t="shared" si="33"/>
        <v>500.57680321805526</v>
      </c>
      <c r="I235" s="77">
        <f t="shared" si="36"/>
        <v>97230.010677053986</v>
      </c>
      <c r="J235" s="77">
        <f t="shared" si="36"/>
        <v>81514.275945214002</v>
      </c>
      <c r="K235" s="77">
        <f t="shared" si="34"/>
        <v>78986.300858003975</v>
      </c>
      <c r="L235" s="75">
        <v>400000</v>
      </c>
      <c r="M235" s="75">
        <f t="shared" si="31"/>
        <v>321013.69914199604</v>
      </c>
    </row>
    <row r="236" spans="5:13">
      <c r="E236">
        <v>234</v>
      </c>
      <c r="F236" s="77">
        <f t="shared" si="32"/>
        <v>763.86447274473517</v>
      </c>
      <c r="G236" s="77">
        <f t="shared" si="29"/>
        <v>261.61908018261977</v>
      </c>
      <c r="H236" s="77">
        <f t="shared" si="33"/>
        <v>502.2453925621154</v>
      </c>
      <c r="I236" s="77">
        <f t="shared" si="36"/>
        <v>97491.629757236602</v>
      </c>
      <c r="J236" s="77">
        <f t="shared" si="36"/>
        <v>82016.52133777611</v>
      </c>
      <c r="K236" s="77">
        <f t="shared" si="34"/>
        <v>78485.724054785926</v>
      </c>
      <c r="L236" s="75">
        <v>400000</v>
      </c>
      <c r="M236" s="75">
        <f t="shared" si="31"/>
        <v>321514.27594521409</v>
      </c>
    </row>
    <row r="237" spans="5:13">
      <c r="E237">
        <v>235</v>
      </c>
      <c r="F237" s="77">
        <f t="shared" si="32"/>
        <v>763.86447274473517</v>
      </c>
      <c r="G237" s="77">
        <f t="shared" si="29"/>
        <v>259.94492887407938</v>
      </c>
      <c r="H237" s="77">
        <f t="shared" si="33"/>
        <v>503.91954387065579</v>
      </c>
      <c r="I237" s="77">
        <f t="shared" si="36"/>
        <v>97751.574686110675</v>
      </c>
      <c r="J237" s="77">
        <f t="shared" si="36"/>
        <v>82520.440881646762</v>
      </c>
      <c r="K237" s="77">
        <f t="shared" si="34"/>
        <v>77983.478662223817</v>
      </c>
      <c r="L237" s="75">
        <v>400000</v>
      </c>
      <c r="M237" s="75">
        <f t="shared" si="31"/>
        <v>322016.52133777621</v>
      </c>
    </row>
    <row r="238" spans="5:13">
      <c r="E238">
        <v>236</v>
      </c>
      <c r="F238" s="77">
        <f t="shared" si="32"/>
        <v>763.86447274473517</v>
      </c>
      <c r="G238" s="77">
        <f t="shared" si="29"/>
        <v>258.26519706117722</v>
      </c>
      <c r="H238" s="77">
        <f t="shared" si="33"/>
        <v>505.59927568355795</v>
      </c>
      <c r="I238" s="77">
        <f t="shared" si="36"/>
        <v>98009.839883171851</v>
      </c>
      <c r="J238" s="77">
        <f t="shared" si="36"/>
        <v>83026.040157330324</v>
      </c>
      <c r="K238" s="77">
        <f t="shared" si="34"/>
        <v>77479.559118353165</v>
      </c>
      <c r="L238" s="75">
        <v>400000</v>
      </c>
      <c r="M238" s="75">
        <f t="shared" si="31"/>
        <v>322520.44088164682</v>
      </c>
    </row>
    <row r="239" spans="5:13">
      <c r="E239">
        <v>237</v>
      </c>
      <c r="F239" s="77">
        <f t="shared" si="32"/>
        <v>763.86447274473517</v>
      </c>
      <c r="G239" s="77">
        <f t="shared" si="29"/>
        <v>256.57986614223205</v>
      </c>
      <c r="H239" s="77">
        <f t="shared" si="33"/>
        <v>507.28460660250312</v>
      </c>
      <c r="I239" s="77">
        <f t="shared" si="36"/>
        <v>98266.419749314082</v>
      </c>
      <c r="J239" s="77">
        <f t="shared" si="36"/>
        <v>83533.324763932833</v>
      </c>
      <c r="K239" s="77">
        <f t="shared" si="34"/>
        <v>76973.959842669603</v>
      </c>
      <c r="L239" s="75">
        <v>400000</v>
      </c>
      <c r="M239" s="75">
        <f t="shared" si="31"/>
        <v>323026.0401573304</v>
      </c>
    </row>
    <row r="240" spans="5:13">
      <c r="E240">
        <v>238</v>
      </c>
      <c r="F240" s="77">
        <f t="shared" si="32"/>
        <v>763.86447274473517</v>
      </c>
      <c r="G240" s="77">
        <f t="shared" si="29"/>
        <v>254.88891745355699</v>
      </c>
      <c r="H240" s="77">
        <f t="shared" si="33"/>
        <v>508.97555529117818</v>
      </c>
      <c r="I240" s="77">
        <f t="shared" si="36"/>
        <v>98521.30866676764</v>
      </c>
      <c r="J240" s="77">
        <f t="shared" si="36"/>
        <v>84042.300319224014</v>
      </c>
      <c r="K240" s="77">
        <f t="shared" si="34"/>
        <v>76466.675236067094</v>
      </c>
      <c r="L240" s="75">
        <v>400000</v>
      </c>
      <c r="M240" s="75">
        <f t="shared" si="31"/>
        <v>323533.32476393291</v>
      </c>
    </row>
    <row r="241" spans="5:13">
      <c r="E241">
        <v>239</v>
      </c>
      <c r="F241" s="77">
        <f t="shared" si="32"/>
        <v>763.86447274473517</v>
      </c>
      <c r="G241" s="77">
        <f t="shared" si="29"/>
        <v>253.19233226925306</v>
      </c>
      <c r="H241" s="77">
        <f t="shared" si="33"/>
        <v>510.67214047548214</v>
      </c>
      <c r="I241" s="77">
        <f t="shared" si="36"/>
        <v>98774.5009990369</v>
      </c>
      <c r="J241" s="77">
        <f t="shared" si="36"/>
        <v>84552.972459699493</v>
      </c>
      <c r="K241" s="77">
        <f t="shared" si="34"/>
        <v>75957.699680775913</v>
      </c>
      <c r="L241" s="75">
        <v>400000</v>
      </c>
      <c r="M241" s="75">
        <f t="shared" si="31"/>
        <v>324042.30031922407</v>
      </c>
    </row>
    <row r="242" spans="5:13">
      <c r="E242">
        <v>240</v>
      </c>
      <c r="F242" s="77">
        <f t="shared" si="32"/>
        <v>763.86447274473517</v>
      </c>
      <c r="G242" s="77">
        <f t="shared" si="29"/>
        <v>251.49009180100145</v>
      </c>
      <c r="H242" s="77">
        <f t="shared" si="33"/>
        <v>512.37438094373374</v>
      </c>
      <c r="I242" s="77">
        <f t="shared" si="36"/>
        <v>99025.991090837895</v>
      </c>
      <c r="J242" s="77">
        <f t="shared" si="36"/>
        <v>85065.346840643222</v>
      </c>
      <c r="K242" s="77">
        <f t="shared" si="34"/>
        <v>75447.027540300434</v>
      </c>
      <c r="L242" s="75">
        <v>400000</v>
      </c>
      <c r="M242" s="75">
        <f t="shared" si="31"/>
        <v>324552.97245969955</v>
      </c>
    </row>
    <row r="243" spans="5:13">
      <c r="E243">
        <v>241</v>
      </c>
      <c r="F243" s="77">
        <f t="shared" si="32"/>
        <v>763.86447274473517</v>
      </c>
      <c r="G243" s="77">
        <f t="shared" si="29"/>
        <v>249.7821771978557</v>
      </c>
      <c r="H243" s="77">
        <f t="shared" si="33"/>
        <v>514.08229554687944</v>
      </c>
      <c r="I243" s="77">
        <f t="shared" ref="I243:J258" si="37">I242+G243</f>
        <v>99275.773268035744</v>
      </c>
      <c r="J243" s="77">
        <f t="shared" si="37"/>
        <v>85579.429136190098</v>
      </c>
      <c r="K243" s="77">
        <f t="shared" si="34"/>
        <v>74934.653159356705</v>
      </c>
      <c r="L243" s="75">
        <v>400000</v>
      </c>
      <c r="M243" s="75">
        <f t="shared" si="31"/>
        <v>325065.34684064332</v>
      </c>
    </row>
    <row r="244" spans="5:13">
      <c r="E244">
        <v>242</v>
      </c>
      <c r="F244" s="77">
        <f t="shared" si="32"/>
        <v>763.86447274473517</v>
      </c>
      <c r="G244" s="77">
        <f t="shared" si="29"/>
        <v>248.06856954603279</v>
      </c>
      <c r="H244" s="77">
        <f t="shared" si="33"/>
        <v>515.79590319870238</v>
      </c>
      <c r="I244" s="77">
        <f t="shared" si="37"/>
        <v>99523.841837581771</v>
      </c>
      <c r="J244" s="77">
        <f t="shared" si="37"/>
        <v>86095.225039388795</v>
      </c>
      <c r="K244" s="77">
        <f t="shared" si="34"/>
        <v>74420.570863809829</v>
      </c>
      <c r="L244" s="75">
        <v>400000</v>
      </c>
      <c r="M244" s="75">
        <f t="shared" si="31"/>
        <v>325579.42913619016</v>
      </c>
    </row>
    <row r="245" spans="5:13">
      <c r="E245">
        <v>243</v>
      </c>
      <c r="F245" s="77">
        <f t="shared" si="32"/>
        <v>763.86447274473517</v>
      </c>
      <c r="G245" s="77">
        <f t="shared" si="29"/>
        <v>246.34924986870379</v>
      </c>
      <c r="H245" s="77">
        <f t="shared" si="33"/>
        <v>517.51522287603143</v>
      </c>
      <c r="I245" s="77">
        <f t="shared" si="37"/>
        <v>99770.191087450468</v>
      </c>
      <c r="J245" s="77">
        <f t="shared" si="37"/>
        <v>86612.740262264822</v>
      </c>
      <c r="K245" s="77">
        <f t="shared" si="34"/>
        <v>73904.774960611132</v>
      </c>
      <c r="L245" s="75">
        <v>400000</v>
      </c>
      <c r="M245" s="75">
        <f t="shared" si="31"/>
        <v>326095.22503938887</v>
      </c>
    </row>
    <row r="246" spans="5:13">
      <c r="E246">
        <v>244</v>
      </c>
      <c r="F246" s="77">
        <f t="shared" si="32"/>
        <v>763.86447274473517</v>
      </c>
      <c r="G246" s="77">
        <f t="shared" si="29"/>
        <v>244.62419912578369</v>
      </c>
      <c r="H246" s="77">
        <f t="shared" si="33"/>
        <v>519.24027361895151</v>
      </c>
      <c r="I246" s="77">
        <f t="shared" si="37"/>
        <v>100014.81528657625</v>
      </c>
      <c r="J246" s="77">
        <f t="shared" si="37"/>
        <v>87131.980535883777</v>
      </c>
      <c r="K246" s="77">
        <f t="shared" si="34"/>
        <v>73387.259737735105</v>
      </c>
      <c r="L246" s="75">
        <v>400000</v>
      </c>
      <c r="M246" s="75">
        <f t="shared" si="31"/>
        <v>326612.74026226491</v>
      </c>
    </row>
    <row r="247" spans="5:13">
      <c r="E247">
        <v>245</v>
      </c>
      <c r="F247" s="77">
        <f t="shared" si="32"/>
        <v>763.86447274473517</v>
      </c>
      <c r="G247" s="77">
        <f t="shared" si="29"/>
        <v>242.89339821372053</v>
      </c>
      <c r="H247" s="77">
        <f t="shared" si="33"/>
        <v>520.97107453101466</v>
      </c>
      <c r="I247" s="77">
        <f t="shared" si="37"/>
        <v>100257.70868478998</v>
      </c>
      <c r="J247" s="77">
        <f t="shared" si="37"/>
        <v>87652.951610414792</v>
      </c>
      <c r="K247" s="77">
        <f t="shared" si="34"/>
        <v>72868.019464116151</v>
      </c>
      <c r="L247" s="75">
        <v>400000</v>
      </c>
      <c r="M247" s="75">
        <f t="shared" si="31"/>
        <v>327131.98053588386</v>
      </c>
    </row>
    <row r="248" spans="5:13">
      <c r="E248">
        <v>246</v>
      </c>
      <c r="F248" s="77">
        <f t="shared" si="32"/>
        <v>763.86447274473517</v>
      </c>
      <c r="G248" s="77">
        <f t="shared" si="29"/>
        <v>241.15682796528381</v>
      </c>
      <c r="H248" s="77">
        <f t="shared" si="33"/>
        <v>522.70764477945136</v>
      </c>
      <c r="I248" s="77">
        <f t="shared" si="37"/>
        <v>100498.86551275526</v>
      </c>
      <c r="J248" s="77">
        <f t="shared" si="37"/>
        <v>88175.659255194245</v>
      </c>
      <c r="K248" s="77">
        <f t="shared" si="34"/>
        <v>72347.048389585136</v>
      </c>
      <c r="L248" s="75">
        <v>400000</v>
      </c>
      <c r="M248" s="75">
        <f t="shared" si="31"/>
        <v>327652.95161041489</v>
      </c>
    </row>
    <row r="249" spans="5:13">
      <c r="E249">
        <v>247</v>
      </c>
      <c r="F249" s="77">
        <f t="shared" si="32"/>
        <v>763.86447274473517</v>
      </c>
      <c r="G249" s="77">
        <f t="shared" si="29"/>
        <v>239.4144691493523</v>
      </c>
      <c r="H249" s="77">
        <f t="shared" si="33"/>
        <v>524.4500035953829</v>
      </c>
      <c r="I249" s="77">
        <f t="shared" si="37"/>
        <v>100738.27998190462</v>
      </c>
      <c r="J249" s="77">
        <f t="shared" si="37"/>
        <v>88700.109258789627</v>
      </c>
      <c r="K249" s="77">
        <f t="shared" si="34"/>
        <v>71824.340744805682</v>
      </c>
      <c r="L249" s="75">
        <v>400000</v>
      </c>
      <c r="M249" s="75">
        <f t="shared" si="31"/>
        <v>328175.6592551943</v>
      </c>
    </row>
    <row r="250" spans="5:13">
      <c r="E250">
        <v>248</v>
      </c>
      <c r="F250" s="77">
        <f t="shared" si="32"/>
        <v>763.86447274473517</v>
      </c>
      <c r="G250" s="77">
        <f t="shared" si="29"/>
        <v>237.66630247070103</v>
      </c>
      <c r="H250" s="77">
        <f t="shared" si="33"/>
        <v>526.19817027403417</v>
      </c>
      <c r="I250" s="77">
        <f t="shared" si="37"/>
        <v>100975.94628437531</v>
      </c>
      <c r="J250" s="77">
        <f t="shared" si="37"/>
        <v>89226.307429063658</v>
      </c>
      <c r="K250" s="77">
        <f t="shared" si="34"/>
        <v>71299.8907412103</v>
      </c>
      <c r="L250" s="75">
        <v>400000</v>
      </c>
      <c r="M250" s="75">
        <f t="shared" si="31"/>
        <v>328700.10925878969</v>
      </c>
    </row>
    <row r="251" spans="5:13">
      <c r="E251">
        <v>249</v>
      </c>
      <c r="F251" s="77">
        <f t="shared" si="32"/>
        <v>763.86447274473517</v>
      </c>
      <c r="G251" s="77">
        <f t="shared" si="29"/>
        <v>235.91230856978757</v>
      </c>
      <c r="H251" s="77">
        <f t="shared" si="33"/>
        <v>527.9521641749476</v>
      </c>
      <c r="I251" s="77">
        <f t="shared" si="37"/>
        <v>101211.85859294511</v>
      </c>
      <c r="J251" s="77">
        <f t="shared" si="37"/>
        <v>89754.259593238603</v>
      </c>
      <c r="K251" s="77">
        <f t="shared" si="34"/>
        <v>70773.692570936269</v>
      </c>
      <c r="L251" s="75">
        <v>400000</v>
      </c>
      <c r="M251" s="75">
        <f t="shared" si="31"/>
        <v>329226.30742906372</v>
      </c>
    </row>
    <row r="252" spans="5:13">
      <c r="E252">
        <v>250</v>
      </c>
      <c r="F252" s="77">
        <f t="shared" si="32"/>
        <v>763.86447274473517</v>
      </c>
      <c r="G252" s="77">
        <f t="shared" si="29"/>
        <v>234.15246802253776</v>
      </c>
      <c r="H252" s="77">
        <f t="shared" si="33"/>
        <v>529.71200472219743</v>
      </c>
      <c r="I252" s="77">
        <f t="shared" si="37"/>
        <v>101446.01106096765</v>
      </c>
      <c r="J252" s="77">
        <f t="shared" si="37"/>
        <v>90283.971597960801</v>
      </c>
      <c r="K252" s="77">
        <f t="shared" si="34"/>
        <v>70245.740406761324</v>
      </c>
      <c r="L252" s="75">
        <v>400000</v>
      </c>
      <c r="M252" s="75">
        <f t="shared" si="31"/>
        <v>329754.2595932387</v>
      </c>
    </row>
    <row r="253" spans="5:13">
      <c r="E253">
        <v>251</v>
      </c>
      <c r="F253" s="77">
        <f t="shared" si="32"/>
        <v>763.86447274473517</v>
      </c>
      <c r="G253" s="77">
        <f t="shared" si="29"/>
        <v>232.38676134013045</v>
      </c>
      <c r="H253" s="77">
        <f t="shared" si="33"/>
        <v>531.47771140460475</v>
      </c>
      <c r="I253" s="77">
        <f t="shared" si="37"/>
        <v>101678.39782230777</v>
      </c>
      <c r="J253" s="77">
        <f t="shared" si="37"/>
        <v>90815.449309365402</v>
      </c>
      <c r="K253" s="77">
        <f t="shared" si="34"/>
        <v>69716.028402039126</v>
      </c>
      <c r="L253" s="75">
        <v>400000</v>
      </c>
      <c r="M253" s="75">
        <f t="shared" si="31"/>
        <v>330283.97159796086</v>
      </c>
    </row>
    <row r="254" spans="5:13">
      <c r="E254">
        <v>252</v>
      </c>
      <c r="F254" s="77">
        <f t="shared" si="32"/>
        <v>763.86447274473517</v>
      </c>
      <c r="G254" s="77">
        <f t="shared" si="29"/>
        <v>230.61516896878177</v>
      </c>
      <c r="H254" s="77">
        <f t="shared" si="33"/>
        <v>533.24930377595342</v>
      </c>
      <c r="I254" s="77">
        <f t="shared" si="37"/>
        <v>101909.01299127656</v>
      </c>
      <c r="J254" s="77">
        <f t="shared" si="37"/>
        <v>91348.698613141358</v>
      </c>
      <c r="K254" s="77">
        <f t="shared" si="34"/>
        <v>69184.550690634525</v>
      </c>
      <c r="L254" s="75">
        <v>400000</v>
      </c>
      <c r="M254" s="75">
        <f t="shared" si="31"/>
        <v>330815.44930936547</v>
      </c>
    </row>
    <row r="255" spans="5:13">
      <c r="E255">
        <v>253</v>
      </c>
      <c r="F255" s="77">
        <f t="shared" si="32"/>
        <v>763.86447274473517</v>
      </c>
      <c r="G255" s="77">
        <f t="shared" si="29"/>
        <v>228.83767128952857</v>
      </c>
      <c r="H255" s="77">
        <f t="shared" si="33"/>
        <v>535.02680145520662</v>
      </c>
      <c r="I255" s="77">
        <f t="shared" si="37"/>
        <v>102137.85066256608</v>
      </c>
      <c r="J255" s="77">
        <f t="shared" si="37"/>
        <v>91883.725414596571</v>
      </c>
      <c r="K255" s="77">
        <f t="shared" si="34"/>
        <v>68651.301386858569</v>
      </c>
      <c r="L255" s="75">
        <v>400000</v>
      </c>
      <c r="M255" s="75">
        <f t="shared" si="31"/>
        <v>331348.69861314143</v>
      </c>
    </row>
    <row r="256" spans="5:13">
      <c r="E256">
        <v>254</v>
      </c>
      <c r="F256" s="77">
        <f t="shared" si="32"/>
        <v>763.86447274473517</v>
      </c>
      <c r="G256" s="77">
        <f t="shared" si="29"/>
        <v>227.0542486180112</v>
      </c>
      <c r="H256" s="77">
        <f t="shared" si="33"/>
        <v>536.81022412672394</v>
      </c>
      <c r="I256" s="77">
        <f t="shared" si="37"/>
        <v>102364.90491118409</v>
      </c>
      <c r="J256" s="77">
        <f t="shared" si="37"/>
        <v>92420.53563872329</v>
      </c>
      <c r="K256" s="77">
        <f t="shared" si="34"/>
        <v>68116.274585403356</v>
      </c>
      <c r="L256" s="75">
        <v>400000</v>
      </c>
      <c r="M256" s="75">
        <f t="shared" si="31"/>
        <v>331883.72541459661</v>
      </c>
    </row>
    <row r="257" spans="5:13">
      <c r="E257">
        <v>255</v>
      </c>
      <c r="F257" s="77">
        <f t="shared" si="32"/>
        <v>763.86447274473517</v>
      </c>
      <c r="G257" s="77">
        <f t="shared" si="29"/>
        <v>225.26488120425546</v>
      </c>
      <c r="H257" s="77">
        <f t="shared" si="33"/>
        <v>538.59959154047965</v>
      </c>
      <c r="I257" s="77">
        <f t="shared" si="37"/>
        <v>102590.16979238835</v>
      </c>
      <c r="J257" s="77">
        <f t="shared" si="37"/>
        <v>92959.135230263768</v>
      </c>
      <c r="K257" s="77">
        <f t="shared" si="34"/>
        <v>67579.464361276638</v>
      </c>
      <c r="L257" s="75">
        <v>400000</v>
      </c>
      <c r="M257" s="75">
        <f t="shared" si="31"/>
        <v>332420.53563872335</v>
      </c>
    </row>
    <row r="258" spans="5:13">
      <c r="E258">
        <v>256</v>
      </c>
      <c r="F258" s="77">
        <f t="shared" si="32"/>
        <v>763.86447274473517</v>
      </c>
      <c r="G258" s="77">
        <f t="shared" ref="G258:G321" si="38">(B$4/B$6)*K258</f>
        <v>223.46954923245389</v>
      </c>
      <c r="H258" s="77">
        <f t="shared" si="33"/>
        <v>540.39492351228125</v>
      </c>
      <c r="I258" s="77">
        <f t="shared" si="37"/>
        <v>102813.6393416208</v>
      </c>
      <c r="J258" s="77">
        <f t="shared" si="37"/>
        <v>93499.530153776053</v>
      </c>
      <c r="K258" s="77">
        <f t="shared" si="34"/>
        <v>67040.864769736159</v>
      </c>
      <c r="L258" s="75">
        <v>400000</v>
      </c>
      <c r="M258" s="75">
        <f t="shared" si="31"/>
        <v>332959.13523026381</v>
      </c>
    </row>
    <row r="259" spans="5:13">
      <c r="E259">
        <v>257</v>
      </c>
      <c r="F259" s="77">
        <f t="shared" si="32"/>
        <v>763.86447274473517</v>
      </c>
      <c r="G259" s="77">
        <f t="shared" si="38"/>
        <v>221.66823282074625</v>
      </c>
      <c r="H259" s="77">
        <f t="shared" si="33"/>
        <v>542.19623992398897</v>
      </c>
      <c r="I259" s="77">
        <f t="shared" ref="I259:J274" si="39">I258+G259</f>
        <v>103035.30757444155</v>
      </c>
      <c r="J259" s="77">
        <f t="shared" si="39"/>
        <v>94041.726393700039</v>
      </c>
      <c r="K259" s="77">
        <f t="shared" si="34"/>
        <v>66500.469846223874</v>
      </c>
      <c r="L259" s="75">
        <v>400000</v>
      </c>
      <c r="M259" s="75">
        <f t="shared" ref="M259:M322" si="40">L259-K259</f>
        <v>333499.53015377611</v>
      </c>
    </row>
    <row r="260" spans="5:13">
      <c r="E260">
        <v>258</v>
      </c>
      <c r="F260" s="77">
        <f t="shared" ref="F260:F323" si="41">F259</f>
        <v>763.86447274473517</v>
      </c>
      <c r="G260" s="77">
        <f t="shared" si="38"/>
        <v>219.86091202099965</v>
      </c>
      <c r="H260" s="77">
        <f t="shared" ref="H260:H323" si="42">F260-G260</f>
        <v>544.00356072373552</v>
      </c>
      <c r="I260" s="77">
        <f t="shared" si="39"/>
        <v>103255.16848646256</v>
      </c>
      <c r="J260" s="77">
        <f t="shared" si="39"/>
        <v>94585.729954423776</v>
      </c>
      <c r="K260" s="77">
        <f t="shared" ref="K260:K323" si="43">K259-H259</f>
        <v>65958.273606299888</v>
      </c>
      <c r="L260" s="75">
        <v>400000</v>
      </c>
      <c r="M260" s="75">
        <f t="shared" si="40"/>
        <v>334041.72639370011</v>
      </c>
    </row>
    <row r="261" spans="5:13">
      <c r="E261">
        <v>259</v>
      </c>
      <c r="F261" s="77">
        <f t="shared" si="41"/>
        <v>763.86447274473517</v>
      </c>
      <c r="G261" s="77">
        <f t="shared" si="38"/>
        <v>218.0475668185872</v>
      </c>
      <c r="H261" s="77">
        <f t="shared" si="42"/>
        <v>545.81690592614791</v>
      </c>
      <c r="I261" s="77">
        <f t="shared" si="39"/>
        <v>103473.21605328114</v>
      </c>
      <c r="J261" s="77">
        <f t="shared" si="39"/>
        <v>95131.546860349918</v>
      </c>
      <c r="K261" s="77">
        <f t="shared" si="43"/>
        <v>65414.270045576151</v>
      </c>
      <c r="L261" s="75">
        <v>400000</v>
      </c>
      <c r="M261" s="75">
        <f t="shared" si="40"/>
        <v>334585.72995442385</v>
      </c>
    </row>
    <row r="262" spans="5:13">
      <c r="E262">
        <v>260</v>
      </c>
      <c r="F262" s="77">
        <f t="shared" si="41"/>
        <v>763.86447274473517</v>
      </c>
      <c r="G262" s="77">
        <f t="shared" si="38"/>
        <v>216.22817713216668</v>
      </c>
      <c r="H262" s="77">
        <f t="shared" si="42"/>
        <v>547.63629561256846</v>
      </c>
      <c r="I262" s="77">
        <f t="shared" si="39"/>
        <v>103689.44423041331</v>
      </c>
      <c r="J262" s="77">
        <f t="shared" si="39"/>
        <v>95679.183155962484</v>
      </c>
      <c r="K262" s="77">
        <f t="shared" si="43"/>
        <v>64868.453139650002</v>
      </c>
      <c r="L262" s="75">
        <v>400000</v>
      </c>
      <c r="M262" s="75">
        <f t="shared" si="40"/>
        <v>335131.54686035</v>
      </c>
    </row>
    <row r="263" spans="5:13">
      <c r="E263">
        <v>261</v>
      </c>
      <c r="F263" s="77">
        <f t="shared" si="41"/>
        <v>763.86447274473517</v>
      </c>
      <c r="G263" s="77">
        <f t="shared" si="38"/>
        <v>214.40272281345813</v>
      </c>
      <c r="H263" s="77">
        <f t="shared" si="42"/>
        <v>549.46174993127704</v>
      </c>
      <c r="I263" s="77">
        <f t="shared" si="39"/>
        <v>103903.84695322676</v>
      </c>
      <c r="J263" s="77">
        <f t="shared" si="39"/>
        <v>96228.644905893758</v>
      </c>
      <c r="K263" s="77">
        <f t="shared" si="43"/>
        <v>64320.816844037436</v>
      </c>
      <c r="L263" s="75">
        <v>400000</v>
      </c>
      <c r="M263" s="75">
        <f t="shared" si="40"/>
        <v>335679.18315596256</v>
      </c>
    </row>
    <row r="264" spans="5:13">
      <c r="E264">
        <v>262</v>
      </c>
      <c r="F264" s="77">
        <f t="shared" si="41"/>
        <v>763.86447274473517</v>
      </c>
      <c r="G264" s="77">
        <f t="shared" si="38"/>
        <v>212.57118364702055</v>
      </c>
      <c r="H264" s="77">
        <f t="shared" si="42"/>
        <v>551.29328909771459</v>
      </c>
      <c r="I264" s="77">
        <f t="shared" si="39"/>
        <v>104116.41813687378</v>
      </c>
      <c r="J264" s="77">
        <f t="shared" si="39"/>
        <v>96779.938194991468</v>
      </c>
      <c r="K264" s="77">
        <f t="shared" si="43"/>
        <v>63771.355094106162</v>
      </c>
      <c r="L264" s="75">
        <v>400000</v>
      </c>
      <c r="M264" s="75">
        <f t="shared" si="40"/>
        <v>336228.64490589383</v>
      </c>
    </row>
    <row r="265" spans="5:13">
      <c r="E265">
        <v>263</v>
      </c>
      <c r="F265" s="77">
        <f t="shared" si="41"/>
        <v>763.86447274473517</v>
      </c>
      <c r="G265" s="77">
        <f t="shared" si="38"/>
        <v>210.73353935002817</v>
      </c>
      <c r="H265" s="77">
        <f t="shared" si="42"/>
        <v>553.13093339470697</v>
      </c>
      <c r="I265" s="77">
        <f t="shared" si="39"/>
        <v>104327.1516762238</v>
      </c>
      <c r="J265" s="77">
        <f t="shared" si="39"/>
        <v>97333.069128386182</v>
      </c>
      <c r="K265" s="77">
        <f t="shared" si="43"/>
        <v>63220.061805008445</v>
      </c>
      <c r="L265" s="75">
        <v>400000</v>
      </c>
      <c r="M265" s="75">
        <f t="shared" si="40"/>
        <v>336779.93819499156</v>
      </c>
    </row>
    <row r="266" spans="5:13">
      <c r="E266">
        <v>264</v>
      </c>
      <c r="F266" s="77">
        <f t="shared" si="41"/>
        <v>763.86447274473517</v>
      </c>
      <c r="G266" s="77">
        <f t="shared" si="38"/>
        <v>208.88976957204582</v>
      </c>
      <c r="H266" s="77">
        <f t="shared" si="42"/>
        <v>554.97470317268937</v>
      </c>
      <c r="I266" s="77">
        <f t="shared" si="39"/>
        <v>104536.04144579585</v>
      </c>
      <c r="J266" s="77">
        <f t="shared" si="39"/>
        <v>97888.043831558869</v>
      </c>
      <c r="K266" s="77">
        <f t="shared" si="43"/>
        <v>62666.930871613738</v>
      </c>
      <c r="L266" s="75">
        <v>400000</v>
      </c>
      <c r="M266" s="75">
        <f t="shared" si="40"/>
        <v>337333.06912838627</v>
      </c>
    </row>
    <row r="267" spans="5:13">
      <c r="E267">
        <v>265</v>
      </c>
      <c r="F267" s="77">
        <f t="shared" si="41"/>
        <v>763.86447274473517</v>
      </c>
      <c r="G267" s="77">
        <f t="shared" si="38"/>
        <v>207.03985389480351</v>
      </c>
      <c r="H267" s="77">
        <f t="shared" si="42"/>
        <v>556.82461884993165</v>
      </c>
      <c r="I267" s="77">
        <f t="shared" si="39"/>
        <v>104743.08129969066</v>
      </c>
      <c r="J267" s="77">
        <f t="shared" si="39"/>
        <v>98444.868450408801</v>
      </c>
      <c r="K267" s="77">
        <f t="shared" si="43"/>
        <v>62111.956168441051</v>
      </c>
      <c r="L267" s="75">
        <v>400000</v>
      </c>
      <c r="M267" s="75">
        <f t="shared" si="40"/>
        <v>337888.04383155896</v>
      </c>
    </row>
    <row r="268" spans="5:13">
      <c r="E268">
        <v>266</v>
      </c>
      <c r="F268" s="77">
        <f t="shared" si="41"/>
        <v>763.86447274473517</v>
      </c>
      <c r="G268" s="77">
        <f t="shared" si="38"/>
        <v>205.1837718319704</v>
      </c>
      <c r="H268" s="77">
        <f t="shared" si="42"/>
        <v>558.68070091276479</v>
      </c>
      <c r="I268" s="77">
        <f t="shared" si="39"/>
        <v>104948.26507152263</v>
      </c>
      <c r="J268" s="77">
        <f t="shared" si="39"/>
        <v>99003.549151321567</v>
      </c>
      <c r="K268" s="77">
        <f t="shared" si="43"/>
        <v>61555.131549591119</v>
      </c>
      <c r="L268" s="75">
        <v>400000</v>
      </c>
      <c r="M268" s="75">
        <f t="shared" si="40"/>
        <v>338444.86845040886</v>
      </c>
    </row>
    <row r="269" spans="5:13">
      <c r="E269">
        <v>267</v>
      </c>
      <c r="F269" s="77">
        <f t="shared" si="41"/>
        <v>763.86447274473517</v>
      </c>
      <c r="G269" s="77">
        <f t="shared" si="38"/>
        <v>203.32150282892786</v>
      </c>
      <c r="H269" s="77">
        <f t="shared" si="42"/>
        <v>560.54296991580736</v>
      </c>
      <c r="I269" s="77">
        <f t="shared" si="39"/>
        <v>105151.58657435156</v>
      </c>
      <c r="J269" s="77">
        <f t="shared" si="39"/>
        <v>99564.09212123738</v>
      </c>
      <c r="K269" s="77">
        <f t="shared" si="43"/>
        <v>60996.450848678352</v>
      </c>
      <c r="L269" s="75">
        <v>400000</v>
      </c>
      <c r="M269" s="75">
        <f t="shared" si="40"/>
        <v>339003.54915132164</v>
      </c>
    </row>
    <row r="270" spans="5:13">
      <c r="E270">
        <v>268</v>
      </c>
      <c r="F270" s="77">
        <f t="shared" si="41"/>
        <v>763.86447274473517</v>
      </c>
      <c r="G270" s="77">
        <f t="shared" si="38"/>
        <v>201.45302626254184</v>
      </c>
      <c r="H270" s="77">
        <f t="shared" si="42"/>
        <v>562.41144648219336</v>
      </c>
      <c r="I270" s="77">
        <f t="shared" si="39"/>
        <v>105353.03960061411</v>
      </c>
      <c r="J270" s="77">
        <f t="shared" si="39"/>
        <v>100126.50356771957</v>
      </c>
      <c r="K270" s="77">
        <f t="shared" si="43"/>
        <v>60435.907878762548</v>
      </c>
      <c r="L270" s="75">
        <v>400000</v>
      </c>
      <c r="M270" s="75">
        <f t="shared" si="40"/>
        <v>339564.09212123742</v>
      </c>
    </row>
    <row r="271" spans="5:13">
      <c r="E271">
        <v>269</v>
      </c>
      <c r="F271" s="77">
        <f t="shared" si="41"/>
        <v>763.86447274473517</v>
      </c>
      <c r="G271" s="77">
        <f t="shared" si="38"/>
        <v>199.57832144093453</v>
      </c>
      <c r="H271" s="77">
        <f t="shared" si="42"/>
        <v>564.28615130380058</v>
      </c>
      <c r="I271" s="77">
        <f t="shared" si="39"/>
        <v>105552.61792205504</v>
      </c>
      <c r="J271" s="77">
        <f t="shared" si="39"/>
        <v>100690.78971902336</v>
      </c>
      <c r="K271" s="77">
        <f t="shared" si="43"/>
        <v>59873.496432280357</v>
      </c>
      <c r="L271" s="75">
        <v>400000</v>
      </c>
      <c r="M271" s="75">
        <f t="shared" si="40"/>
        <v>340126.50356771966</v>
      </c>
    </row>
    <row r="272" spans="5:13">
      <c r="E272">
        <v>270</v>
      </c>
      <c r="F272" s="77">
        <f t="shared" si="41"/>
        <v>763.86447274473517</v>
      </c>
      <c r="G272" s="77">
        <f t="shared" si="38"/>
        <v>197.6973676032552</v>
      </c>
      <c r="H272" s="77">
        <f t="shared" si="42"/>
        <v>566.16710514147996</v>
      </c>
      <c r="I272" s="77">
        <f t="shared" si="39"/>
        <v>105750.31528965829</v>
      </c>
      <c r="J272" s="77">
        <f t="shared" si="39"/>
        <v>101256.95682416484</v>
      </c>
      <c r="K272" s="77">
        <f t="shared" si="43"/>
        <v>59309.210280976557</v>
      </c>
      <c r="L272" s="75">
        <v>400000</v>
      </c>
      <c r="M272" s="75">
        <f t="shared" si="40"/>
        <v>340690.78971902345</v>
      </c>
    </row>
    <row r="273" spans="5:13">
      <c r="E273">
        <v>271</v>
      </c>
      <c r="F273" s="77">
        <f t="shared" si="41"/>
        <v>763.86447274473517</v>
      </c>
      <c r="G273" s="77">
        <f t="shared" si="38"/>
        <v>195.81014391945027</v>
      </c>
      <c r="H273" s="77">
        <f t="shared" si="42"/>
        <v>568.05432882528487</v>
      </c>
      <c r="I273" s="77">
        <f t="shared" si="39"/>
        <v>105946.12543357773</v>
      </c>
      <c r="J273" s="77">
        <f t="shared" si="39"/>
        <v>101825.01115299012</v>
      </c>
      <c r="K273" s="77">
        <f t="shared" si="43"/>
        <v>58743.043175835075</v>
      </c>
      <c r="L273" s="75">
        <v>400000</v>
      </c>
      <c r="M273" s="75">
        <f t="shared" si="40"/>
        <v>341256.95682416495</v>
      </c>
    </row>
    <row r="274" spans="5:13">
      <c r="E274">
        <v>272</v>
      </c>
      <c r="F274" s="77">
        <f t="shared" si="41"/>
        <v>763.86447274473517</v>
      </c>
      <c r="G274" s="77">
        <f t="shared" si="38"/>
        <v>193.91662949003265</v>
      </c>
      <c r="H274" s="77">
        <f t="shared" si="42"/>
        <v>569.94784325470255</v>
      </c>
      <c r="I274" s="77">
        <f t="shared" si="39"/>
        <v>106140.04206306777</v>
      </c>
      <c r="J274" s="77">
        <f t="shared" si="39"/>
        <v>102394.95899624482</v>
      </c>
      <c r="K274" s="77">
        <f t="shared" si="43"/>
        <v>58174.988847009787</v>
      </c>
      <c r="L274" s="75">
        <v>400000</v>
      </c>
      <c r="M274" s="75">
        <f t="shared" si="40"/>
        <v>341825.01115299022</v>
      </c>
    </row>
    <row r="275" spans="5:13">
      <c r="E275">
        <v>273</v>
      </c>
      <c r="F275" s="77">
        <f t="shared" si="41"/>
        <v>763.86447274473517</v>
      </c>
      <c r="G275" s="77">
        <f t="shared" si="38"/>
        <v>192.01680334585029</v>
      </c>
      <c r="H275" s="77">
        <f t="shared" si="42"/>
        <v>571.84766939888482</v>
      </c>
      <c r="I275" s="77">
        <f t="shared" ref="I275:J290" si="44">I274+G275</f>
        <v>106332.05886641362</v>
      </c>
      <c r="J275" s="77">
        <f t="shared" si="44"/>
        <v>102966.8066656437</v>
      </c>
      <c r="K275" s="77">
        <f t="shared" si="43"/>
        <v>57605.041003755083</v>
      </c>
      <c r="L275" s="75">
        <v>400000</v>
      </c>
      <c r="M275" s="75">
        <f t="shared" si="40"/>
        <v>342394.95899624494</v>
      </c>
    </row>
    <row r="276" spans="5:13">
      <c r="E276">
        <v>274</v>
      </c>
      <c r="F276" s="77">
        <f t="shared" si="41"/>
        <v>763.86447274473517</v>
      </c>
      <c r="G276" s="77">
        <f t="shared" si="38"/>
        <v>190.11064444785401</v>
      </c>
      <c r="H276" s="77">
        <f t="shared" si="42"/>
        <v>573.75382829688112</v>
      </c>
      <c r="I276" s="77">
        <f t="shared" si="44"/>
        <v>106522.16951086147</v>
      </c>
      <c r="J276" s="77">
        <f t="shared" si="44"/>
        <v>103540.56049394057</v>
      </c>
      <c r="K276" s="77">
        <f t="shared" si="43"/>
        <v>57033.193334356198</v>
      </c>
      <c r="L276" s="75">
        <v>400000</v>
      </c>
      <c r="M276" s="75">
        <f t="shared" si="40"/>
        <v>342966.80666564382</v>
      </c>
    </row>
    <row r="277" spans="5:13">
      <c r="E277">
        <v>275</v>
      </c>
      <c r="F277" s="77">
        <f t="shared" si="41"/>
        <v>763.86447274473517</v>
      </c>
      <c r="G277" s="77">
        <f t="shared" si="38"/>
        <v>188.1981316868644</v>
      </c>
      <c r="H277" s="77">
        <f t="shared" si="42"/>
        <v>575.6663410578708</v>
      </c>
      <c r="I277" s="77">
        <f t="shared" si="44"/>
        <v>106710.36764254833</v>
      </c>
      <c r="J277" s="77">
        <f t="shared" si="44"/>
        <v>104116.22683499845</v>
      </c>
      <c r="K277" s="77">
        <f t="shared" si="43"/>
        <v>56459.439506059316</v>
      </c>
      <c r="L277" s="75">
        <v>400000</v>
      </c>
      <c r="M277" s="75">
        <f t="shared" si="40"/>
        <v>343540.56049394066</v>
      </c>
    </row>
    <row r="278" spans="5:13">
      <c r="E278">
        <v>276</v>
      </c>
      <c r="F278" s="77">
        <f t="shared" si="41"/>
        <v>763.86447274473517</v>
      </c>
      <c r="G278" s="77">
        <f t="shared" si="38"/>
        <v>186.27924388333815</v>
      </c>
      <c r="H278" s="77">
        <f t="shared" si="42"/>
        <v>577.58522886139701</v>
      </c>
      <c r="I278" s="77">
        <f t="shared" si="44"/>
        <v>106896.64688643167</v>
      </c>
      <c r="J278" s="77">
        <f t="shared" si="44"/>
        <v>104693.81206385985</v>
      </c>
      <c r="K278" s="77">
        <f t="shared" si="43"/>
        <v>55883.773165001447</v>
      </c>
      <c r="L278" s="75">
        <v>400000</v>
      </c>
      <c r="M278" s="75">
        <f t="shared" si="40"/>
        <v>344116.22683499858</v>
      </c>
    </row>
    <row r="279" spans="5:13">
      <c r="E279">
        <v>277</v>
      </c>
      <c r="F279" s="77">
        <f t="shared" si="41"/>
        <v>763.86447274473517</v>
      </c>
      <c r="G279" s="77">
        <f t="shared" si="38"/>
        <v>184.3539597871335</v>
      </c>
      <c r="H279" s="77">
        <f t="shared" si="42"/>
        <v>579.51051295760169</v>
      </c>
      <c r="I279" s="77">
        <f t="shared" si="44"/>
        <v>107081.0008462188</v>
      </c>
      <c r="J279" s="77">
        <f t="shared" si="44"/>
        <v>105273.32257681745</v>
      </c>
      <c r="K279" s="77">
        <f t="shared" si="43"/>
        <v>55306.18793614005</v>
      </c>
      <c r="L279" s="75">
        <v>400000</v>
      </c>
      <c r="M279" s="75">
        <f t="shared" si="40"/>
        <v>344693.81206385995</v>
      </c>
    </row>
    <row r="280" spans="5:13">
      <c r="E280">
        <v>278</v>
      </c>
      <c r="F280" s="77">
        <f t="shared" si="41"/>
        <v>763.86447274473517</v>
      </c>
      <c r="G280" s="77">
        <f t="shared" si="38"/>
        <v>182.42225807727482</v>
      </c>
      <c r="H280" s="77">
        <f t="shared" si="42"/>
        <v>581.44221466746035</v>
      </c>
      <c r="I280" s="77">
        <f t="shared" si="44"/>
        <v>107263.42310429607</v>
      </c>
      <c r="J280" s="77">
        <f t="shared" si="44"/>
        <v>105854.76479148491</v>
      </c>
      <c r="K280" s="77">
        <f t="shared" si="43"/>
        <v>54726.677423182446</v>
      </c>
      <c r="L280" s="75">
        <v>400000</v>
      </c>
      <c r="M280" s="75">
        <f t="shared" si="40"/>
        <v>345273.32257681753</v>
      </c>
    </row>
    <row r="281" spans="5:13">
      <c r="E281">
        <v>279</v>
      </c>
      <c r="F281" s="77">
        <f t="shared" si="41"/>
        <v>763.86447274473517</v>
      </c>
      <c r="G281" s="77">
        <f t="shared" si="38"/>
        <v>180.48411736171661</v>
      </c>
      <c r="H281" s="77">
        <f t="shared" si="42"/>
        <v>583.38035538301858</v>
      </c>
      <c r="I281" s="77">
        <f t="shared" si="44"/>
        <v>107443.90722165779</v>
      </c>
      <c r="J281" s="77">
        <f t="shared" si="44"/>
        <v>106438.14514686793</v>
      </c>
      <c r="K281" s="77">
        <f t="shared" si="43"/>
        <v>54145.235208514983</v>
      </c>
      <c r="L281" s="75">
        <v>400000</v>
      </c>
      <c r="M281" s="75">
        <f t="shared" si="40"/>
        <v>345854.76479148504</v>
      </c>
    </row>
    <row r="282" spans="5:13">
      <c r="E282">
        <v>280</v>
      </c>
      <c r="F282" s="77">
        <f t="shared" si="41"/>
        <v>763.86447274473517</v>
      </c>
      <c r="G282" s="77">
        <f t="shared" si="38"/>
        <v>178.53951617710655</v>
      </c>
      <c r="H282" s="77">
        <f t="shared" si="42"/>
        <v>585.32495656762865</v>
      </c>
      <c r="I282" s="77">
        <f t="shared" si="44"/>
        <v>107622.44673783489</v>
      </c>
      <c r="J282" s="77">
        <f t="shared" si="44"/>
        <v>107023.47010343555</v>
      </c>
      <c r="K282" s="77">
        <f t="shared" si="43"/>
        <v>53561.854853131961</v>
      </c>
      <c r="L282" s="75">
        <v>400000</v>
      </c>
      <c r="M282" s="75">
        <f t="shared" si="40"/>
        <v>346438.14514686802</v>
      </c>
    </row>
    <row r="283" spans="5:13">
      <c r="E283">
        <v>281</v>
      </c>
      <c r="F283" s="77">
        <f t="shared" si="41"/>
        <v>763.86447274473517</v>
      </c>
      <c r="G283" s="77">
        <f t="shared" si="38"/>
        <v>176.58843298854779</v>
      </c>
      <c r="H283" s="77">
        <f t="shared" si="42"/>
        <v>587.2760397561874</v>
      </c>
      <c r="I283" s="77">
        <f t="shared" si="44"/>
        <v>107799.03517082344</v>
      </c>
      <c r="J283" s="77">
        <f t="shared" si="44"/>
        <v>107610.74614319175</v>
      </c>
      <c r="K283" s="77">
        <f t="shared" si="43"/>
        <v>52976.529896564331</v>
      </c>
      <c r="L283" s="75">
        <v>400000</v>
      </c>
      <c r="M283" s="75">
        <f t="shared" si="40"/>
        <v>347023.47010343568</v>
      </c>
    </row>
    <row r="284" spans="5:13">
      <c r="E284">
        <v>282</v>
      </c>
      <c r="F284" s="77">
        <f t="shared" si="41"/>
        <v>763.86447274473517</v>
      </c>
      <c r="G284" s="77">
        <f t="shared" si="38"/>
        <v>174.63084618936048</v>
      </c>
      <c r="H284" s="77">
        <f t="shared" si="42"/>
        <v>589.23362655537471</v>
      </c>
      <c r="I284" s="77">
        <f t="shared" si="44"/>
        <v>107973.6660170128</v>
      </c>
      <c r="J284" s="77">
        <f t="shared" si="44"/>
        <v>108199.97976974712</v>
      </c>
      <c r="K284" s="77">
        <f t="shared" si="43"/>
        <v>52389.253856808144</v>
      </c>
      <c r="L284" s="75">
        <v>400000</v>
      </c>
      <c r="M284" s="75">
        <f t="shared" si="40"/>
        <v>347610.74614319188</v>
      </c>
    </row>
    <row r="285" spans="5:13">
      <c r="E285">
        <v>283</v>
      </c>
      <c r="F285" s="77">
        <f t="shared" si="41"/>
        <v>763.86447274473517</v>
      </c>
      <c r="G285" s="77">
        <f t="shared" si="38"/>
        <v>172.66673410084258</v>
      </c>
      <c r="H285" s="77">
        <f t="shared" si="42"/>
        <v>591.19773864389254</v>
      </c>
      <c r="I285" s="77">
        <f t="shared" si="44"/>
        <v>108146.33275111364</v>
      </c>
      <c r="J285" s="77">
        <f t="shared" si="44"/>
        <v>108791.17750839102</v>
      </c>
      <c r="K285" s="77">
        <f t="shared" si="43"/>
        <v>51800.020230252769</v>
      </c>
      <c r="L285" s="75">
        <v>400000</v>
      </c>
      <c r="M285" s="75">
        <f t="shared" si="40"/>
        <v>348199.97976974724</v>
      </c>
    </row>
    <row r="286" spans="5:13">
      <c r="E286">
        <v>284</v>
      </c>
      <c r="F286" s="77">
        <f t="shared" si="41"/>
        <v>763.86447274473517</v>
      </c>
      <c r="G286" s="77">
        <f t="shared" si="38"/>
        <v>170.69607497202958</v>
      </c>
      <c r="H286" s="77">
        <f t="shared" si="42"/>
        <v>593.16839777270559</v>
      </c>
      <c r="I286" s="77">
        <f t="shared" si="44"/>
        <v>108317.02882608568</v>
      </c>
      <c r="J286" s="77">
        <f t="shared" si="44"/>
        <v>109384.34590616373</v>
      </c>
      <c r="K286" s="77">
        <f t="shared" si="43"/>
        <v>51208.822491608873</v>
      </c>
      <c r="L286" s="75">
        <v>400000</v>
      </c>
      <c r="M286" s="75">
        <f t="shared" si="40"/>
        <v>348791.17750839115</v>
      </c>
    </row>
    <row r="287" spans="5:13">
      <c r="E287">
        <v>285</v>
      </c>
      <c r="F287" s="77">
        <f t="shared" si="41"/>
        <v>763.86447274473517</v>
      </c>
      <c r="G287" s="77">
        <f t="shared" si="38"/>
        <v>168.7188469794539</v>
      </c>
      <c r="H287" s="77">
        <f t="shared" si="42"/>
        <v>595.14562576528124</v>
      </c>
      <c r="I287" s="77">
        <f t="shared" si="44"/>
        <v>108485.74767306513</v>
      </c>
      <c r="J287" s="77">
        <f t="shared" si="44"/>
        <v>109979.491531929</v>
      </c>
      <c r="K287" s="77">
        <f t="shared" si="43"/>
        <v>50615.654093836165</v>
      </c>
      <c r="L287" s="75">
        <v>400000</v>
      </c>
      <c r="M287" s="75">
        <f t="shared" si="40"/>
        <v>349384.34590616386</v>
      </c>
    </row>
    <row r="288" spans="5:13">
      <c r="E288">
        <v>286</v>
      </c>
      <c r="F288" s="77">
        <f t="shared" si="41"/>
        <v>763.86447274473517</v>
      </c>
      <c r="G288" s="77">
        <f t="shared" si="38"/>
        <v>166.73502822690295</v>
      </c>
      <c r="H288" s="77">
        <f t="shared" si="42"/>
        <v>597.12944451783221</v>
      </c>
      <c r="I288" s="77">
        <f t="shared" si="44"/>
        <v>108652.48270129203</v>
      </c>
      <c r="J288" s="77">
        <f t="shared" si="44"/>
        <v>110576.62097644684</v>
      </c>
      <c r="K288" s="77">
        <f t="shared" si="43"/>
        <v>50020.508468070882</v>
      </c>
      <c r="L288" s="75">
        <v>400000</v>
      </c>
      <c r="M288" s="75">
        <f t="shared" si="40"/>
        <v>349979.49153192912</v>
      </c>
    </row>
    <row r="289" spans="5:13">
      <c r="E289">
        <v>287</v>
      </c>
      <c r="F289" s="77">
        <f t="shared" si="41"/>
        <v>763.86447274473517</v>
      </c>
      <c r="G289" s="77">
        <f t="shared" si="38"/>
        <v>164.74459674517684</v>
      </c>
      <c r="H289" s="77">
        <f t="shared" si="42"/>
        <v>599.1198759995583</v>
      </c>
      <c r="I289" s="77">
        <f t="shared" si="44"/>
        <v>108817.22729803721</v>
      </c>
      <c r="J289" s="77">
        <f t="shared" si="44"/>
        <v>111175.7408524464</v>
      </c>
      <c r="K289" s="77">
        <f t="shared" si="43"/>
        <v>49423.379023553047</v>
      </c>
      <c r="L289" s="75">
        <v>400000</v>
      </c>
      <c r="M289" s="75">
        <f t="shared" si="40"/>
        <v>350576.62097644695</v>
      </c>
    </row>
    <row r="290" spans="5:13">
      <c r="E290">
        <v>288</v>
      </c>
      <c r="F290" s="77">
        <f t="shared" si="41"/>
        <v>763.86447274473517</v>
      </c>
      <c r="G290" s="77">
        <f t="shared" si="38"/>
        <v>162.74753049184497</v>
      </c>
      <c r="H290" s="77">
        <f t="shared" si="42"/>
        <v>601.11694225289023</v>
      </c>
      <c r="I290" s="77">
        <f t="shared" si="44"/>
        <v>108979.97482852906</v>
      </c>
      <c r="J290" s="77">
        <f t="shared" si="44"/>
        <v>111776.85779469929</v>
      </c>
      <c r="K290" s="77">
        <f t="shared" si="43"/>
        <v>48824.259147553486</v>
      </c>
      <c r="L290" s="75">
        <v>400000</v>
      </c>
      <c r="M290" s="75">
        <f t="shared" si="40"/>
        <v>351175.74085244653</v>
      </c>
    </row>
    <row r="291" spans="5:13">
      <c r="E291">
        <v>289</v>
      </c>
      <c r="F291" s="77">
        <f t="shared" si="41"/>
        <v>763.86447274473517</v>
      </c>
      <c r="G291" s="77">
        <f t="shared" si="38"/>
        <v>160.743807351002</v>
      </c>
      <c r="H291" s="77">
        <f t="shared" si="42"/>
        <v>603.12066539373313</v>
      </c>
      <c r="I291" s="77">
        <f t="shared" ref="I291:J306" si="45">I290+G291</f>
        <v>109140.71863588005</v>
      </c>
      <c r="J291" s="77">
        <f t="shared" si="45"/>
        <v>112379.97846009301</v>
      </c>
      <c r="K291" s="77">
        <f t="shared" si="43"/>
        <v>48223.142205300595</v>
      </c>
      <c r="L291" s="75">
        <v>400000</v>
      </c>
      <c r="M291" s="75">
        <f t="shared" si="40"/>
        <v>351776.85779469938</v>
      </c>
    </row>
    <row r="292" spans="5:13">
      <c r="E292">
        <v>290</v>
      </c>
      <c r="F292" s="77">
        <f t="shared" si="41"/>
        <v>763.86447274473517</v>
      </c>
      <c r="G292" s="77">
        <f t="shared" si="38"/>
        <v>158.73340513302287</v>
      </c>
      <c r="H292" s="77">
        <f t="shared" si="42"/>
        <v>605.1310676117123</v>
      </c>
      <c r="I292" s="77">
        <f t="shared" si="45"/>
        <v>109299.45204101308</v>
      </c>
      <c r="J292" s="77">
        <f t="shared" si="45"/>
        <v>112985.10952770473</v>
      </c>
      <c r="K292" s="77">
        <f t="shared" si="43"/>
        <v>47620.021539906862</v>
      </c>
      <c r="L292" s="75">
        <v>400000</v>
      </c>
      <c r="M292" s="75">
        <f t="shared" si="40"/>
        <v>352379.97846009315</v>
      </c>
    </row>
    <row r="293" spans="5:13">
      <c r="E293">
        <v>291</v>
      </c>
      <c r="F293" s="77">
        <f t="shared" si="41"/>
        <v>763.86447274473517</v>
      </c>
      <c r="G293" s="77">
        <f t="shared" si="38"/>
        <v>156.71630157431719</v>
      </c>
      <c r="H293" s="77">
        <f t="shared" si="42"/>
        <v>607.14817117041798</v>
      </c>
      <c r="I293" s="77">
        <f t="shared" si="45"/>
        <v>109456.16834258739</v>
      </c>
      <c r="J293" s="77">
        <f t="shared" si="45"/>
        <v>113592.25769887514</v>
      </c>
      <c r="K293" s="77">
        <f t="shared" si="43"/>
        <v>47014.890472295148</v>
      </c>
      <c r="L293" s="75">
        <v>400000</v>
      </c>
      <c r="M293" s="75">
        <f t="shared" si="40"/>
        <v>352985.10952770483</v>
      </c>
    </row>
    <row r="294" spans="5:13">
      <c r="E294">
        <v>292</v>
      </c>
      <c r="F294" s="77">
        <f t="shared" si="41"/>
        <v>763.86447274473517</v>
      </c>
      <c r="G294" s="77">
        <f t="shared" si="38"/>
        <v>154.69247433708244</v>
      </c>
      <c r="H294" s="77">
        <f t="shared" si="42"/>
        <v>609.17199840765272</v>
      </c>
      <c r="I294" s="77">
        <f t="shared" si="45"/>
        <v>109610.86081692447</v>
      </c>
      <c r="J294" s="77">
        <f t="shared" si="45"/>
        <v>114201.42969728279</v>
      </c>
      <c r="K294" s="77">
        <f t="shared" si="43"/>
        <v>46407.74230112473</v>
      </c>
      <c r="L294" s="75">
        <v>400000</v>
      </c>
      <c r="M294" s="75">
        <f t="shared" si="40"/>
        <v>353592.25769887527</v>
      </c>
    </row>
    <row r="295" spans="5:13">
      <c r="E295">
        <v>293</v>
      </c>
      <c r="F295" s="77">
        <f t="shared" si="41"/>
        <v>763.86447274473517</v>
      </c>
      <c r="G295" s="77">
        <f t="shared" si="38"/>
        <v>152.66190100905692</v>
      </c>
      <c r="H295" s="77">
        <f t="shared" si="42"/>
        <v>611.20257173567825</v>
      </c>
      <c r="I295" s="77">
        <f t="shared" si="45"/>
        <v>109763.52271793352</v>
      </c>
      <c r="J295" s="77">
        <f t="shared" si="45"/>
        <v>114812.63226901846</v>
      </c>
      <c r="K295" s="77">
        <f t="shared" si="43"/>
        <v>45798.570302717075</v>
      </c>
      <c r="L295" s="75">
        <v>400000</v>
      </c>
      <c r="M295" s="75">
        <f t="shared" si="40"/>
        <v>354201.4296972829</v>
      </c>
    </row>
    <row r="296" spans="5:13">
      <c r="E296">
        <v>294</v>
      </c>
      <c r="F296" s="77">
        <f t="shared" si="41"/>
        <v>763.86447274473517</v>
      </c>
      <c r="G296" s="77">
        <f t="shared" si="38"/>
        <v>150.62455910327131</v>
      </c>
      <c r="H296" s="77">
        <f t="shared" si="42"/>
        <v>613.23991364146389</v>
      </c>
      <c r="I296" s="77">
        <f t="shared" si="45"/>
        <v>109914.1472770368</v>
      </c>
      <c r="J296" s="77">
        <f t="shared" si="45"/>
        <v>115425.87218265992</v>
      </c>
      <c r="K296" s="77">
        <f t="shared" si="43"/>
        <v>45187.367730981394</v>
      </c>
      <c r="L296" s="75">
        <v>400000</v>
      </c>
      <c r="M296" s="75">
        <f t="shared" si="40"/>
        <v>354812.63226901862</v>
      </c>
    </row>
    <row r="297" spans="5:13">
      <c r="E297">
        <v>295</v>
      </c>
      <c r="F297" s="77">
        <f t="shared" si="41"/>
        <v>763.86447274473517</v>
      </c>
      <c r="G297" s="77">
        <f t="shared" si="38"/>
        <v>148.5804260577998</v>
      </c>
      <c r="H297" s="77">
        <f t="shared" si="42"/>
        <v>615.28404668693543</v>
      </c>
      <c r="I297" s="77">
        <f t="shared" si="45"/>
        <v>110062.7277030946</v>
      </c>
      <c r="J297" s="77">
        <f t="shared" si="45"/>
        <v>116041.15622934686</v>
      </c>
      <c r="K297" s="77">
        <f t="shared" si="43"/>
        <v>44574.127817339933</v>
      </c>
      <c r="L297" s="75">
        <v>400000</v>
      </c>
      <c r="M297" s="75">
        <f t="shared" si="40"/>
        <v>355425.87218266004</v>
      </c>
    </row>
    <row r="298" spans="5:13">
      <c r="E298">
        <v>296</v>
      </c>
      <c r="F298" s="77">
        <f t="shared" si="41"/>
        <v>763.86447274473517</v>
      </c>
      <c r="G298" s="77">
        <f t="shared" si="38"/>
        <v>146.52947923551</v>
      </c>
      <c r="H298" s="77">
        <f t="shared" si="42"/>
        <v>617.33499350922511</v>
      </c>
      <c r="I298" s="77">
        <f t="shared" si="45"/>
        <v>110209.25718233011</v>
      </c>
      <c r="J298" s="77">
        <f t="shared" si="45"/>
        <v>116658.49122285609</v>
      </c>
      <c r="K298" s="77">
        <f t="shared" si="43"/>
        <v>43958.843770652995</v>
      </c>
      <c r="L298" s="75">
        <v>400000</v>
      </c>
      <c r="M298" s="75">
        <f t="shared" si="40"/>
        <v>356041.15622934699</v>
      </c>
    </row>
    <row r="299" spans="5:13">
      <c r="E299">
        <v>297</v>
      </c>
      <c r="F299" s="77">
        <f t="shared" si="41"/>
        <v>763.86447274473517</v>
      </c>
      <c r="G299" s="77">
        <f t="shared" si="38"/>
        <v>144.47169592381258</v>
      </c>
      <c r="H299" s="77">
        <f t="shared" si="42"/>
        <v>619.39277682092256</v>
      </c>
      <c r="I299" s="77">
        <f t="shared" si="45"/>
        <v>110353.72887825393</v>
      </c>
      <c r="J299" s="77">
        <f t="shared" si="45"/>
        <v>117277.88399967701</v>
      </c>
      <c r="K299" s="77">
        <f t="shared" si="43"/>
        <v>43341.508777143768</v>
      </c>
      <c r="L299" s="75">
        <v>400000</v>
      </c>
      <c r="M299" s="75">
        <f t="shared" si="40"/>
        <v>356658.49122285622</v>
      </c>
    </row>
    <row r="300" spans="5:13">
      <c r="E300">
        <v>298</v>
      </c>
      <c r="F300" s="77">
        <f t="shared" si="41"/>
        <v>763.86447274473517</v>
      </c>
      <c r="G300" s="77">
        <f t="shared" si="38"/>
        <v>142.40705333440948</v>
      </c>
      <c r="H300" s="77">
        <f t="shared" si="42"/>
        <v>621.45741941032566</v>
      </c>
      <c r="I300" s="77">
        <f t="shared" si="45"/>
        <v>110496.13593158833</v>
      </c>
      <c r="J300" s="77">
        <f t="shared" si="45"/>
        <v>117899.34141908733</v>
      </c>
      <c r="K300" s="77">
        <f t="shared" si="43"/>
        <v>42722.116000322843</v>
      </c>
      <c r="L300" s="75">
        <v>400000</v>
      </c>
      <c r="M300" s="75">
        <f t="shared" si="40"/>
        <v>357277.88399967714</v>
      </c>
    </row>
    <row r="301" spans="5:13">
      <c r="E301">
        <v>299</v>
      </c>
      <c r="F301" s="77">
        <f t="shared" si="41"/>
        <v>763.86447274473517</v>
      </c>
      <c r="G301" s="77">
        <f t="shared" si="38"/>
        <v>140.33552860304172</v>
      </c>
      <c r="H301" s="77">
        <f t="shared" si="42"/>
        <v>623.5289441416935</v>
      </c>
      <c r="I301" s="77">
        <f t="shared" si="45"/>
        <v>110636.47146019137</v>
      </c>
      <c r="J301" s="77">
        <f t="shared" si="45"/>
        <v>118522.87036322903</v>
      </c>
      <c r="K301" s="77">
        <f t="shared" si="43"/>
        <v>42100.658580912517</v>
      </c>
      <c r="L301" s="75">
        <v>400000</v>
      </c>
      <c r="M301" s="75">
        <f t="shared" si="40"/>
        <v>357899.34141908749</v>
      </c>
    </row>
    <row r="302" spans="5:13">
      <c r="E302">
        <v>300</v>
      </c>
      <c r="F302" s="77">
        <f t="shared" si="41"/>
        <v>763.86447274473517</v>
      </c>
      <c r="G302" s="77">
        <f t="shared" si="38"/>
        <v>138.2570987892361</v>
      </c>
      <c r="H302" s="77">
        <f t="shared" si="42"/>
        <v>625.60737395549904</v>
      </c>
      <c r="I302" s="77">
        <f t="shared" si="45"/>
        <v>110774.72855898061</v>
      </c>
      <c r="J302" s="77">
        <f t="shared" si="45"/>
        <v>119148.47773718453</v>
      </c>
      <c r="K302" s="77">
        <f t="shared" si="43"/>
        <v>41477.129636770827</v>
      </c>
      <c r="L302" s="75">
        <v>400000</v>
      </c>
      <c r="M302" s="75">
        <f t="shared" si="40"/>
        <v>358522.87036322919</v>
      </c>
    </row>
    <row r="303" spans="5:13">
      <c r="E303">
        <v>301</v>
      </c>
      <c r="F303" s="77">
        <f t="shared" si="41"/>
        <v>763.86447274473517</v>
      </c>
      <c r="G303" s="77">
        <f t="shared" si="38"/>
        <v>136.1717408760511</v>
      </c>
      <c r="H303" s="77">
        <f t="shared" si="42"/>
        <v>627.69273186868406</v>
      </c>
      <c r="I303" s="77">
        <f t="shared" si="45"/>
        <v>110910.90029985666</v>
      </c>
      <c r="J303" s="77">
        <f t="shared" si="45"/>
        <v>119776.17046905321</v>
      </c>
      <c r="K303" s="77">
        <f t="shared" si="43"/>
        <v>40851.522262815328</v>
      </c>
      <c r="L303" s="75">
        <v>400000</v>
      </c>
      <c r="M303" s="75">
        <f t="shared" si="40"/>
        <v>359148.47773718467</v>
      </c>
    </row>
    <row r="304" spans="5:13">
      <c r="E304">
        <v>302</v>
      </c>
      <c r="F304" s="77">
        <f t="shared" si="41"/>
        <v>763.86447274473517</v>
      </c>
      <c r="G304" s="77">
        <f t="shared" si="38"/>
        <v>134.07943176982215</v>
      </c>
      <c r="H304" s="77">
        <f t="shared" si="42"/>
        <v>629.78504097491304</v>
      </c>
      <c r="I304" s="77">
        <f t="shared" si="45"/>
        <v>111044.97973162647</v>
      </c>
      <c r="J304" s="77">
        <f t="shared" si="45"/>
        <v>120405.95551002811</v>
      </c>
      <c r="K304" s="77">
        <f t="shared" si="43"/>
        <v>40223.829530946641</v>
      </c>
      <c r="L304" s="75">
        <v>400000</v>
      </c>
      <c r="M304" s="75">
        <f t="shared" si="40"/>
        <v>359776.17046905338</v>
      </c>
    </row>
    <row r="305" spans="5:13">
      <c r="E305">
        <v>303</v>
      </c>
      <c r="F305" s="77">
        <f t="shared" si="41"/>
        <v>763.86447274473517</v>
      </c>
      <c r="G305" s="77">
        <f t="shared" si="38"/>
        <v>131.98014829990575</v>
      </c>
      <c r="H305" s="77">
        <f t="shared" si="42"/>
        <v>631.88432444482942</v>
      </c>
      <c r="I305" s="77">
        <f t="shared" si="45"/>
        <v>111176.95987992638</v>
      </c>
      <c r="J305" s="77">
        <f t="shared" si="45"/>
        <v>121037.83983447295</v>
      </c>
      <c r="K305" s="77">
        <f t="shared" si="43"/>
        <v>39594.044489971726</v>
      </c>
      <c r="L305" s="75">
        <v>400000</v>
      </c>
      <c r="M305" s="75">
        <f t="shared" si="40"/>
        <v>360405.95551002829</v>
      </c>
    </row>
    <row r="306" spans="5:13">
      <c r="E306">
        <v>304</v>
      </c>
      <c r="F306" s="77">
        <f t="shared" si="41"/>
        <v>763.86447274473517</v>
      </c>
      <c r="G306" s="77">
        <f t="shared" si="38"/>
        <v>129.87386721842299</v>
      </c>
      <c r="H306" s="77">
        <f t="shared" si="42"/>
        <v>633.99060552631215</v>
      </c>
      <c r="I306" s="77">
        <f t="shared" si="45"/>
        <v>111306.8337471448</v>
      </c>
      <c r="J306" s="77">
        <f t="shared" si="45"/>
        <v>121671.83043999926</v>
      </c>
      <c r="K306" s="77">
        <f t="shared" si="43"/>
        <v>38962.160165526897</v>
      </c>
      <c r="L306" s="75">
        <v>400000</v>
      </c>
      <c r="M306" s="75">
        <f t="shared" si="40"/>
        <v>361037.8398344731</v>
      </c>
    </row>
    <row r="307" spans="5:13">
      <c r="E307">
        <v>305</v>
      </c>
      <c r="F307" s="77">
        <f t="shared" si="41"/>
        <v>763.86447274473517</v>
      </c>
      <c r="G307" s="77">
        <f t="shared" si="38"/>
        <v>127.76056520000195</v>
      </c>
      <c r="H307" s="77">
        <f t="shared" si="42"/>
        <v>636.10390754473326</v>
      </c>
      <c r="I307" s="77">
        <f t="shared" ref="I307:J322" si="46">I306+G307</f>
        <v>111434.59431234481</v>
      </c>
      <c r="J307" s="77">
        <f t="shared" si="46"/>
        <v>122307.934347544</v>
      </c>
      <c r="K307" s="77">
        <f t="shared" si="43"/>
        <v>38328.169560000584</v>
      </c>
      <c r="L307" s="75">
        <v>400000</v>
      </c>
      <c r="M307" s="75">
        <f t="shared" si="40"/>
        <v>361671.83043999941</v>
      </c>
    </row>
    <row r="308" spans="5:13">
      <c r="E308">
        <v>306</v>
      </c>
      <c r="F308" s="77">
        <f t="shared" si="41"/>
        <v>763.86447274473517</v>
      </c>
      <c r="G308" s="77">
        <f t="shared" si="38"/>
        <v>125.64021884151951</v>
      </c>
      <c r="H308" s="77">
        <f t="shared" si="42"/>
        <v>638.22425390321564</v>
      </c>
      <c r="I308" s="77">
        <f t="shared" si="46"/>
        <v>111560.23453118633</v>
      </c>
      <c r="J308" s="77">
        <f t="shared" si="46"/>
        <v>122946.15860144721</v>
      </c>
      <c r="K308" s="77">
        <f t="shared" si="43"/>
        <v>37692.065652455851</v>
      </c>
      <c r="L308" s="75">
        <v>400000</v>
      </c>
      <c r="M308" s="75">
        <f t="shared" si="40"/>
        <v>362307.93434754416</v>
      </c>
    </row>
    <row r="309" spans="5:13">
      <c r="E309">
        <v>307</v>
      </c>
      <c r="F309" s="77">
        <f t="shared" si="41"/>
        <v>763.86447274473517</v>
      </c>
      <c r="G309" s="77">
        <f t="shared" si="38"/>
        <v>123.51280466184213</v>
      </c>
      <c r="H309" s="77">
        <f t="shared" si="42"/>
        <v>640.35166808289307</v>
      </c>
      <c r="I309" s="77">
        <f t="shared" si="46"/>
        <v>111683.74733584818</v>
      </c>
      <c r="J309" s="77">
        <f t="shared" si="46"/>
        <v>123586.5102695301</v>
      </c>
      <c r="K309" s="77">
        <f t="shared" si="43"/>
        <v>37053.841398552635</v>
      </c>
      <c r="L309" s="75">
        <v>400000</v>
      </c>
      <c r="M309" s="75">
        <f t="shared" si="40"/>
        <v>362946.15860144736</v>
      </c>
    </row>
    <row r="310" spans="5:13">
      <c r="E310">
        <v>308</v>
      </c>
      <c r="F310" s="77">
        <f t="shared" si="41"/>
        <v>763.86447274473517</v>
      </c>
      <c r="G310" s="77">
        <f t="shared" si="38"/>
        <v>121.37829910156582</v>
      </c>
      <c r="H310" s="77">
        <f t="shared" si="42"/>
        <v>642.48617364316931</v>
      </c>
      <c r="I310" s="77">
        <f t="shared" si="46"/>
        <v>111805.12563494974</v>
      </c>
      <c r="J310" s="77">
        <f t="shared" si="46"/>
        <v>124228.99644317327</v>
      </c>
      <c r="K310" s="77">
        <f t="shared" si="43"/>
        <v>36413.489730469744</v>
      </c>
      <c r="L310" s="75">
        <v>400000</v>
      </c>
      <c r="M310" s="75">
        <f t="shared" si="40"/>
        <v>363586.51026953023</v>
      </c>
    </row>
    <row r="311" spans="5:13">
      <c r="E311">
        <v>309</v>
      </c>
      <c r="F311" s="77">
        <f t="shared" si="41"/>
        <v>763.86447274473517</v>
      </c>
      <c r="G311" s="77">
        <f t="shared" si="38"/>
        <v>119.23667852275526</v>
      </c>
      <c r="H311" s="77">
        <f t="shared" si="42"/>
        <v>644.62779422197991</v>
      </c>
      <c r="I311" s="77">
        <f t="shared" si="46"/>
        <v>111924.36231347249</v>
      </c>
      <c r="J311" s="77">
        <f t="shared" si="46"/>
        <v>124873.62423739524</v>
      </c>
      <c r="K311" s="77">
        <f t="shared" si="43"/>
        <v>35771.003556826574</v>
      </c>
      <c r="L311" s="75">
        <v>400000</v>
      </c>
      <c r="M311" s="75">
        <f t="shared" si="40"/>
        <v>364228.99644317344</v>
      </c>
    </row>
    <row r="312" spans="5:13">
      <c r="E312">
        <v>310</v>
      </c>
      <c r="F312" s="77">
        <f t="shared" si="41"/>
        <v>763.86447274473517</v>
      </c>
      <c r="G312" s="77">
        <f t="shared" si="38"/>
        <v>117.08791920868198</v>
      </c>
      <c r="H312" s="77">
        <f t="shared" si="42"/>
        <v>646.77655353605314</v>
      </c>
      <c r="I312" s="77">
        <f t="shared" si="46"/>
        <v>112041.45023268118</v>
      </c>
      <c r="J312" s="77">
        <f t="shared" si="46"/>
        <v>125520.40079093129</v>
      </c>
      <c r="K312" s="77">
        <f t="shared" si="43"/>
        <v>35126.375762604592</v>
      </c>
      <c r="L312" s="75">
        <v>400000</v>
      </c>
      <c r="M312" s="75">
        <f t="shared" si="40"/>
        <v>364873.62423739542</v>
      </c>
    </row>
    <row r="313" spans="5:13">
      <c r="E313">
        <v>311</v>
      </c>
      <c r="F313" s="77">
        <f t="shared" si="41"/>
        <v>763.86447274473517</v>
      </c>
      <c r="G313" s="77">
        <f t="shared" si="38"/>
        <v>114.93199736356181</v>
      </c>
      <c r="H313" s="77">
        <f t="shared" si="42"/>
        <v>648.93247538117339</v>
      </c>
      <c r="I313" s="77">
        <f t="shared" si="46"/>
        <v>112156.38223004474</v>
      </c>
      <c r="J313" s="77">
        <f t="shared" si="46"/>
        <v>126169.33326631246</v>
      </c>
      <c r="K313" s="77">
        <f t="shared" si="43"/>
        <v>34479.599209068539</v>
      </c>
      <c r="L313" s="75">
        <v>400000</v>
      </c>
      <c r="M313" s="75">
        <f t="shared" si="40"/>
        <v>365520.40079093148</v>
      </c>
    </row>
    <row r="314" spans="5:13">
      <c r="E314">
        <v>312</v>
      </c>
      <c r="F314" s="77">
        <f t="shared" si="41"/>
        <v>763.86447274473517</v>
      </c>
      <c r="G314" s="77">
        <f t="shared" si="38"/>
        <v>112.76888911229122</v>
      </c>
      <c r="H314" s="77">
        <f t="shared" si="42"/>
        <v>651.095583632444</v>
      </c>
      <c r="I314" s="77">
        <f t="shared" si="46"/>
        <v>112269.15111915703</v>
      </c>
      <c r="J314" s="77">
        <f t="shared" si="46"/>
        <v>126820.4288499449</v>
      </c>
      <c r="K314" s="77">
        <f t="shared" si="43"/>
        <v>33830.666733687365</v>
      </c>
      <c r="L314" s="75">
        <v>400000</v>
      </c>
      <c r="M314" s="75">
        <f t="shared" si="40"/>
        <v>366169.33326631261</v>
      </c>
    </row>
    <row r="315" spans="5:13">
      <c r="E315">
        <v>313</v>
      </c>
      <c r="F315" s="77">
        <f t="shared" si="41"/>
        <v>763.86447274473517</v>
      </c>
      <c r="G315" s="77">
        <f t="shared" si="38"/>
        <v>110.59857050018309</v>
      </c>
      <c r="H315" s="77">
        <f t="shared" si="42"/>
        <v>653.26590224455208</v>
      </c>
      <c r="I315" s="77">
        <f t="shared" si="46"/>
        <v>112379.74968965721</v>
      </c>
      <c r="J315" s="77">
        <f t="shared" si="46"/>
        <v>127473.69475218946</v>
      </c>
      <c r="K315" s="77">
        <f t="shared" si="43"/>
        <v>33179.571150054922</v>
      </c>
      <c r="L315" s="75">
        <v>400000</v>
      </c>
      <c r="M315" s="75">
        <f t="shared" si="40"/>
        <v>366820.42884994508</v>
      </c>
    </row>
    <row r="316" spans="5:13">
      <c r="E316">
        <v>314</v>
      </c>
      <c r="F316" s="77">
        <f t="shared" si="41"/>
        <v>763.86447274473517</v>
      </c>
      <c r="G316" s="77">
        <f t="shared" si="38"/>
        <v>108.42101749270124</v>
      </c>
      <c r="H316" s="77">
        <f t="shared" si="42"/>
        <v>655.44345525203391</v>
      </c>
      <c r="I316" s="77">
        <f t="shared" si="46"/>
        <v>112488.17070714991</v>
      </c>
      <c r="J316" s="77">
        <f t="shared" si="46"/>
        <v>128129.1382074415</v>
      </c>
      <c r="K316" s="77">
        <f t="shared" si="43"/>
        <v>32526.305247810371</v>
      </c>
      <c r="L316" s="75">
        <v>400000</v>
      </c>
      <c r="M316" s="75">
        <f t="shared" si="40"/>
        <v>367473.69475218962</v>
      </c>
    </row>
    <row r="317" spans="5:13">
      <c r="E317">
        <v>315</v>
      </c>
      <c r="F317" s="77">
        <f t="shared" si="41"/>
        <v>763.86447274473517</v>
      </c>
      <c r="G317" s="77">
        <f t="shared" si="38"/>
        <v>106.23620597519447</v>
      </c>
      <c r="H317" s="77">
        <f t="shared" si="42"/>
        <v>657.62826676954069</v>
      </c>
      <c r="I317" s="77">
        <f t="shared" si="46"/>
        <v>112594.4069131251</v>
      </c>
      <c r="J317" s="77">
        <f t="shared" si="46"/>
        <v>128786.76647421104</v>
      </c>
      <c r="K317" s="77">
        <f t="shared" si="43"/>
        <v>31870.861792558338</v>
      </c>
      <c r="L317" s="75">
        <v>400000</v>
      </c>
      <c r="M317" s="75">
        <f t="shared" si="40"/>
        <v>368129.13820744166</v>
      </c>
    </row>
    <row r="318" spans="5:13">
      <c r="E318">
        <v>316</v>
      </c>
      <c r="F318" s="77">
        <f t="shared" si="41"/>
        <v>763.86447274473517</v>
      </c>
      <c r="G318" s="77">
        <f t="shared" si="38"/>
        <v>104.04411175262933</v>
      </c>
      <c r="H318" s="77">
        <f t="shared" si="42"/>
        <v>659.82036099210586</v>
      </c>
      <c r="I318" s="77">
        <f t="shared" si="46"/>
        <v>112698.45102487774</v>
      </c>
      <c r="J318" s="77">
        <f t="shared" si="46"/>
        <v>129446.58683520314</v>
      </c>
      <c r="K318" s="77">
        <f t="shared" si="43"/>
        <v>31213.233525788797</v>
      </c>
      <c r="L318" s="75">
        <v>400000</v>
      </c>
      <c r="M318" s="75">
        <f t="shared" si="40"/>
        <v>368786.76647421118</v>
      </c>
    </row>
    <row r="319" spans="5:13">
      <c r="E319">
        <v>317</v>
      </c>
      <c r="F319" s="77">
        <f t="shared" si="41"/>
        <v>763.86447274473517</v>
      </c>
      <c r="G319" s="77">
        <f t="shared" si="38"/>
        <v>101.8447105493223</v>
      </c>
      <c r="H319" s="77">
        <f t="shared" si="42"/>
        <v>662.01976219541291</v>
      </c>
      <c r="I319" s="77">
        <f t="shared" si="46"/>
        <v>112800.29573542706</v>
      </c>
      <c r="J319" s="77">
        <f t="shared" si="46"/>
        <v>130108.60659739855</v>
      </c>
      <c r="K319" s="77">
        <f t="shared" si="43"/>
        <v>30553.41316479669</v>
      </c>
      <c r="L319" s="75">
        <v>400000</v>
      </c>
      <c r="M319" s="75">
        <f t="shared" si="40"/>
        <v>369446.58683520328</v>
      </c>
    </row>
    <row r="320" spans="5:13">
      <c r="E320">
        <v>318</v>
      </c>
      <c r="F320" s="77">
        <f t="shared" si="41"/>
        <v>763.86447274473517</v>
      </c>
      <c r="G320" s="77">
        <f t="shared" si="38"/>
        <v>99.637978008670927</v>
      </c>
      <c r="H320" s="77">
        <f t="shared" si="42"/>
        <v>664.2264947360643</v>
      </c>
      <c r="I320" s="77">
        <f t="shared" si="46"/>
        <v>112899.93371343573</v>
      </c>
      <c r="J320" s="77">
        <f t="shared" si="46"/>
        <v>130772.83309213462</v>
      </c>
      <c r="K320" s="77">
        <f t="shared" si="43"/>
        <v>29891.393402601276</v>
      </c>
      <c r="L320" s="75">
        <v>400000</v>
      </c>
      <c r="M320" s="75">
        <f t="shared" si="40"/>
        <v>370108.6065973987</v>
      </c>
    </row>
    <row r="321" spans="5:13">
      <c r="E321">
        <v>319</v>
      </c>
      <c r="F321" s="77">
        <f t="shared" si="41"/>
        <v>763.86447274473517</v>
      </c>
      <c r="G321" s="77">
        <f t="shared" si="38"/>
        <v>97.423889692884046</v>
      </c>
      <c r="H321" s="77">
        <f t="shared" si="42"/>
        <v>666.44058305185115</v>
      </c>
      <c r="I321" s="77">
        <f t="shared" si="46"/>
        <v>112997.35760312862</v>
      </c>
      <c r="J321" s="77">
        <f t="shared" si="46"/>
        <v>131439.27367518647</v>
      </c>
      <c r="K321" s="77">
        <f t="shared" si="43"/>
        <v>29227.166907865212</v>
      </c>
      <c r="L321" s="75">
        <v>400000</v>
      </c>
      <c r="M321" s="75">
        <f t="shared" si="40"/>
        <v>370772.8330921348</v>
      </c>
    </row>
    <row r="322" spans="5:13">
      <c r="E322">
        <v>320</v>
      </c>
      <c r="F322" s="77">
        <f t="shared" si="41"/>
        <v>763.86447274473517</v>
      </c>
      <c r="G322" s="77">
        <f t="shared" ref="G322:G362" si="47">(B$4/B$6)*K322</f>
        <v>95.202421082711211</v>
      </c>
      <c r="H322" s="77">
        <f t="shared" si="42"/>
        <v>668.66205166202394</v>
      </c>
      <c r="I322" s="77">
        <f t="shared" si="46"/>
        <v>113092.56002421133</v>
      </c>
      <c r="J322" s="77">
        <f t="shared" si="46"/>
        <v>132107.93572684849</v>
      </c>
      <c r="K322" s="77">
        <f t="shared" si="43"/>
        <v>28560.72632481336</v>
      </c>
      <c r="L322" s="75">
        <v>400000</v>
      </c>
      <c r="M322" s="75">
        <f t="shared" si="40"/>
        <v>371439.27367518662</v>
      </c>
    </row>
    <row r="323" spans="5:13">
      <c r="E323">
        <v>321</v>
      </c>
      <c r="F323" s="77">
        <f t="shared" si="41"/>
        <v>763.86447274473517</v>
      </c>
      <c r="G323" s="77">
        <f t="shared" si="47"/>
        <v>92.973547577171132</v>
      </c>
      <c r="H323" s="77">
        <f t="shared" si="42"/>
        <v>670.89092516756409</v>
      </c>
      <c r="I323" s="77">
        <f t="shared" ref="I323:J338" si="48">I322+G323</f>
        <v>113185.5335717885</v>
      </c>
      <c r="J323" s="77">
        <f t="shared" si="48"/>
        <v>132778.82665201605</v>
      </c>
      <c r="K323" s="77">
        <f t="shared" si="43"/>
        <v>27892.064273151336</v>
      </c>
      <c r="L323" s="75">
        <v>400000</v>
      </c>
      <c r="M323" s="75">
        <f t="shared" ref="M323:M362" si="49">L323-K323</f>
        <v>372107.93572684866</v>
      </c>
    </row>
    <row r="324" spans="5:13">
      <c r="E324">
        <v>322</v>
      </c>
      <c r="F324" s="77">
        <f t="shared" ref="F324:F362" si="50">F323</f>
        <v>763.86447274473517</v>
      </c>
      <c r="G324" s="77">
        <f t="shared" si="47"/>
        <v>90.737244493279249</v>
      </c>
      <c r="H324" s="77">
        <f t="shared" ref="H324:H362" si="51">F324-G324</f>
        <v>673.1272282514559</v>
      </c>
      <c r="I324" s="77">
        <f t="shared" si="48"/>
        <v>113276.27081628179</v>
      </c>
      <c r="J324" s="77">
        <f t="shared" si="48"/>
        <v>133451.95388026751</v>
      </c>
      <c r="K324" s="77">
        <f t="shared" ref="K324:K362" si="52">K323-H323</f>
        <v>27221.173347983771</v>
      </c>
      <c r="L324" s="75">
        <v>400000</v>
      </c>
      <c r="M324" s="75">
        <f t="shared" si="49"/>
        <v>372778.82665201626</v>
      </c>
    </row>
    <row r="325" spans="5:13">
      <c r="E325">
        <v>323</v>
      </c>
      <c r="F325" s="77">
        <f t="shared" si="50"/>
        <v>763.86447274473517</v>
      </c>
      <c r="G325" s="77">
        <f t="shared" si="47"/>
        <v>88.493487065774389</v>
      </c>
      <c r="H325" s="77">
        <f t="shared" si="51"/>
        <v>675.37098567896078</v>
      </c>
      <c r="I325" s="77">
        <f t="shared" si="48"/>
        <v>113364.76430334756</v>
      </c>
      <c r="J325" s="77">
        <f t="shared" si="48"/>
        <v>134127.32486594646</v>
      </c>
      <c r="K325" s="77">
        <f t="shared" si="52"/>
        <v>26548.046119732317</v>
      </c>
      <c r="L325" s="75">
        <v>400000</v>
      </c>
      <c r="M325" s="75">
        <f t="shared" si="49"/>
        <v>373451.95388026768</v>
      </c>
    </row>
    <row r="326" spans="5:13">
      <c r="E326">
        <v>324</v>
      </c>
      <c r="F326" s="77">
        <f t="shared" si="50"/>
        <v>763.86447274473517</v>
      </c>
      <c r="G326" s="77">
        <f t="shared" si="47"/>
        <v>86.242250446844523</v>
      </c>
      <c r="H326" s="77">
        <f t="shared" si="51"/>
        <v>677.62222229789063</v>
      </c>
      <c r="I326" s="77">
        <f t="shared" si="48"/>
        <v>113451.0065537944</v>
      </c>
      <c r="J326" s="77">
        <f t="shared" si="48"/>
        <v>134804.94708824434</v>
      </c>
      <c r="K326" s="77">
        <f t="shared" si="52"/>
        <v>25872.675134053356</v>
      </c>
      <c r="L326" s="75">
        <v>400000</v>
      </c>
      <c r="M326" s="75">
        <f t="shared" si="49"/>
        <v>374127.32486594666</v>
      </c>
    </row>
    <row r="327" spans="5:13">
      <c r="E327">
        <v>325</v>
      </c>
      <c r="F327" s="77">
        <f t="shared" si="50"/>
        <v>763.86447274473517</v>
      </c>
      <c r="G327" s="77">
        <f t="shared" si="47"/>
        <v>83.98350970585156</v>
      </c>
      <c r="H327" s="77">
        <f t="shared" si="51"/>
        <v>679.88096303888358</v>
      </c>
      <c r="I327" s="77">
        <f t="shared" si="48"/>
        <v>113534.99006350026</v>
      </c>
      <c r="J327" s="77">
        <f t="shared" si="48"/>
        <v>135484.82805128323</v>
      </c>
      <c r="K327" s="77">
        <f t="shared" si="52"/>
        <v>25195.052911755465</v>
      </c>
      <c r="L327" s="75">
        <v>400000</v>
      </c>
      <c r="M327" s="75">
        <f t="shared" si="49"/>
        <v>374804.94708824455</v>
      </c>
    </row>
    <row r="328" spans="5:13">
      <c r="E328">
        <v>326</v>
      </c>
      <c r="F328" s="77">
        <f t="shared" si="50"/>
        <v>763.86447274473517</v>
      </c>
      <c r="G328" s="77">
        <f t="shared" si="47"/>
        <v>81.717239829055288</v>
      </c>
      <c r="H328" s="77">
        <f t="shared" si="51"/>
        <v>682.14723291567987</v>
      </c>
      <c r="I328" s="77">
        <f t="shared" si="48"/>
        <v>113616.70730332931</v>
      </c>
      <c r="J328" s="77">
        <f t="shared" si="48"/>
        <v>136166.97528419891</v>
      </c>
      <c r="K328" s="77">
        <f t="shared" si="52"/>
        <v>24515.171948716583</v>
      </c>
      <c r="L328" s="75">
        <v>400000</v>
      </c>
      <c r="M328" s="75">
        <f t="shared" si="49"/>
        <v>375484.82805128343</v>
      </c>
    </row>
    <row r="329" spans="5:13">
      <c r="E329">
        <v>327</v>
      </c>
      <c r="F329" s="77">
        <f t="shared" si="50"/>
        <v>763.86447274473517</v>
      </c>
      <c r="G329" s="77">
        <f t="shared" si="47"/>
        <v>79.443415719336357</v>
      </c>
      <c r="H329" s="77">
        <f t="shared" si="51"/>
        <v>684.4210570253988</v>
      </c>
      <c r="I329" s="77">
        <f t="shared" si="48"/>
        <v>113696.15071904864</v>
      </c>
      <c r="J329" s="77">
        <f t="shared" si="48"/>
        <v>136851.39634122432</v>
      </c>
      <c r="K329" s="77">
        <f t="shared" si="52"/>
        <v>23833.024715800904</v>
      </c>
      <c r="L329" s="75">
        <v>400000</v>
      </c>
      <c r="M329" s="75">
        <f t="shared" si="49"/>
        <v>376166.97528419911</v>
      </c>
    </row>
    <row r="330" spans="5:13">
      <c r="E330">
        <v>328</v>
      </c>
      <c r="F330" s="77">
        <f t="shared" si="50"/>
        <v>763.86447274473517</v>
      </c>
      <c r="G330" s="77">
        <f t="shared" si="47"/>
        <v>77.162012195918351</v>
      </c>
      <c r="H330" s="77">
        <f t="shared" si="51"/>
        <v>686.70246054881682</v>
      </c>
      <c r="I330" s="77">
        <f t="shared" si="48"/>
        <v>113773.31273124456</v>
      </c>
      <c r="J330" s="77">
        <f t="shared" si="48"/>
        <v>137538.09880177313</v>
      </c>
      <c r="K330" s="77">
        <f t="shared" si="52"/>
        <v>23148.603658775504</v>
      </c>
      <c r="L330" s="75">
        <v>400000</v>
      </c>
      <c r="M330" s="75">
        <f t="shared" si="49"/>
        <v>376851.39634122449</v>
      </c>
    </row>
    <row r="331" spans="5:13">
      <c r="E331">
        <v>329</v>
      </c>
      <c r="F331" s="77">
        <f t="shared" si="50"/>
        <v>763.86447274473517</v>
      </c>
      <c r="G331" s="77">
        <f t="shared" si="47"/>
        <v>74.873003994088975</v>
      </c>
      <c r="H331" s="77">
        <f t="shared" si="51"/>
        <v>688.99146875064616</v>
      </c>
      <c r="I331" s="77">
        <f t="shared" si="48"/>
        <v>113848.18573523864</v>
      </c>
      <c r="J331" s="77">
        <f t="shared" si="48"/>
        <v>138227.09027052377</v>
      </c>
      <c r="K331" s="77">
        <f t="shared" si="52"/>
        <v>22461.901198226689</v>
      </c>
      <c r="L331" s="75">
        <v>400000</v>
      </c>
      <c r="M331" s="75">
        <f t="shared" si="49"/>
        <v>377538.09880177333</v>
      </c>
    </row>
    <row r="332" spans="5:13">
      <c r="E332">
        <v>330</v>
      </c>
      <c r="F332" s="77">
        <f t="shared" si="50"/>
        <v>763.86447274473517</v>
      </c>
      <c r="G332" s="77">
        <f t="shared" si="47"/>
        <v>72.576365764920155</v>
      </c>
      <c r="H332" s="77">
        <f t="shared" si="51"/>
        <v>691.28810697981498</v>
      </c>
      <c r="I332" s="77">
        <f t="shared" si="48"/>
        <v>113920.76210100357</v>
      </c>
      <c r="J332" s="77">
        <f t="shared" si="48"/>
        <v>138918.37837750357</v>
      </c>
      <c r="K332" s="77">
        <f t="shared" si="52"/>
        <v>21772.909729476043</v>
      </c>
      <c r="L332" s="75">
        <v>400000</v>
      </c>
      <c r="M332" s="75">
        <f t="shared" si="49"/>
        <v>378227.09027052397</v>
      </c>
    </row>
    <row r="333" spans="5:13">
      <c r="E333">
        <v>331</v>
      </c>
      <c r="F333" s="77">
        <f t="shared" si="50"/>
        <v>763.86447274473517</v>
      </c>
      <c r="G333" s="77">
        <f t="shared" si="47"/>
        <v>70.27207207498742</v>
      </c>
      <c r="H333" s="77">
        <f t="shared" si="51"/>
        <v>693.5924006697478</v>
      </c>
      <c r="I333" s="77">
        <f t="shared" si="48"/>
        <v>113991.03417307856</v>
      </c>
      <c r="J333" s="77">
        <f t="shared" si="48"/>
        <v>139611.97077817333</v>
      </c>
      <c r="K333" s="77">
        <f t="shared" si="52"/>
        <v>21081.621622496226</v>
      </c>
      <c r="L333" s="75">
        <v>400000</v>
      </c>
      <c r="M333" s="75">
        <f t="shared" si="49"/>
        <v>378918.37837750377</v>
      </c>
    </row>
    <row r="334" spans="5:13">
      <c r="E334">
        <v>332</v>
      </c>
      <c r="F334" s="77">
        <f t="shared" si="50"/>
        <v>763.86447274473517</v>
      </c>
      <c r="G334" s="77">
        <f t="shared" si="47"/>
        <v>67.960097406088266</v>
      </c>
      <c r="H334" s="77">
        <f t="shared" si="51"/>
        <v>695.9043753386469</v>
      </c>
      <c r="I334" s="77">
        <f t="shared" si="48"/>
        <v>114058.99427048465</v>
      </c>
      <c r="J334" s="77">
        <f t="shared" si="48"/>
        <v>140307.87515351197</v>
      </c>
      <c r="K334" s="77">
        <f t="shared" si="52"/>
        <v>20388.02922182648</v>
      </c>
      <c r="L334" s="75">
        <v>400000</v>
      </c>
      <c r="M334" s="75">
        <f t="shared" si="49"/>
        <v>379611.97077817353</v>
      </c>
    </row>
    <row r="335" spans="5:13">
      <c r="E335">
        <v>333</v>
      </c>
      <c r="F335" s="77">
        <f t="shared" si="50"/>
        <v>763.86447274473517</v>
      </c>
      <c r="G335" s="77">
        <f t="shared" si="47"/>
        <v>65.640416154959453</v>
      </c>
      <c r="H335" s="77">
        <f t="shared" si="51"/>
        <v>698.22405658977573</v>
      </c>
      <c r="I335" s="77">
        <f t="shared" si="48"/>
        <v>114124.63468663961</v>
      </c>
      <c r="J335" s="77">
        <f t="shared" si="48"/>
        <v>141006.09921010173</v>
      </c>
      <c r="K335" s="77">
        <f t="shared" si="52"/>
        <v>19692.124846487834</v>
      </c>
      <c r="L335" s="75">
        <v>400000</v>
      </c>
      <c r="M335" s="75">
        <f t="shared" si="49"/>
        <v>380307.87515351217</v>
      </c>
    </row>
    <row r="336" spans="5:13">
      <c r="E336">
        <v>334</v>
      </c>
      <c r="F336" s="77">
        <f t="shared" si="50"/>
        <v>763.86447274473517</v>
      </c>
      <c r="G336" s="77">
        <f t="shared" si="47"/>
        <v>63.313002632993523</v>
      </c>
      <c r="H336" s="77">
        <f t="shared" si="51"/>
        <v>700.55147011174165</v>
      </c>
      <c r="I336" s="77">
        <f t="shared" si="48"/>
        <v>114187.94768927259</v>
      </c>
      <c r="J336" s="77">
        <f t="shared" si="48"/>
        <v>141706.65068021347</v>
      </c>
      <c r="K336" s="77">
        <f t="shared" si="52"/>
        <v>18993.900789898056</v>
      </c>
      <c r="L336" s="75">
        <v>400000</v>
      </c>
      <c r="M336" s="75">
        <f t="shared" si="49"/>
        <v>381006.09921010194</v>
      </c>
    </row>
    <row r="337" spans="5:13">
      <c r="E337">
        <v>335</v>
      </c>
      <c r="F337" s="77">
        <f t="shared" si="50"/>
        <v>763.86447274473517</v>
      </c>
      <c r="G337" s="77">
        <f t="shared" si="47"/>
        <v>60.977831065954383</v>
      </c>
      <c r="H337" s="77">
        <f t="shared" si="51"/>
        <v>702.88664167878073</v>
      </c>
      <c r="I337" s="77">
        <f t="shared" si="48"/>
        <v>114248.92552033855</v>
      </c>
      <c r="J337" s="77">
        <f t="shared" si="48"/>
        <v>142409.53732189225</v>
      </c>
      <c r="K337" s="77">
        <f t="shared" si="52"/>
        <v>18293.349319786314</v>
      </c>
      <c r="L337" s="75">
        <v>400000</v>
      </c>
      <c r="M337" s="75">
        <f t="shared" si="49"/>
        <v>381706.6506802137</v>
      </c>
    </row>
    <row r="338" spans="5:13">
      <c r="E338">
        <v>336</v>
      </c>
      <c r="F338" s="77">
        <f t="shared" si="50"/>
        <v>763.86447274473517</v>
      </c>
      <c r="G338" s="77">
        <f t="shared" si="47"/>
        <v>58.634875593691774</v>
      </c>
      <c r="H338" s="77">
        <f t="shared" si="51"/>
        <v>705.22959715104344</v>
      </c>
      <c r="I338" s="77">
        <f t="shared" si="48"/>
        <v>114307.56039593225</v>
      </c>
      <c r="J338" s="77">
        <f t="shared" si="48"/>
        <v>143114.76691904329</v>
      </c>
      <c r="K338" s="77">
        <f t="shared" si="52"/>
        <v>17590.462678107531</v>
      </c>
      <c r="L338" s="75">
        <v>400000</v>
      </c>
      <c r="M338" s="75">
        <f t="shared" si="49"/>
        <v>382409.53732189245</v>
      </c>
    </row>
    <row r="339" spans="5:13">
      <c r="E339">
        <v>337</v>
      </c>
      <c r="F339" s="77">
        <f t="shared" si="50"/>
        <v>763.86447274473517</v>
      </c>
      <c r="G339" s="77">
        <f t="shared" si="47"/>
        <v>56.284110269854963</v>
      </c>
      <c r="H339" s="77">
        <f t="shared" si="51"/>
        <v>707.58036247488019</v>
      </c>
      <c r="I339" s="77">
        <f t="shared" ref="I339:J354" si="53">I338+G339</f>
        <v>114363.84450620211</v>
      </c>
      <c r="J339" s="77">
        <f t="shared" si="53"/>
        <v>143822.34728151816</v>
      </c>
      <c r="K339" s="77">
        <f t="shared" si="52"/>
        <v>16885.233080956488</v>
      </c>
      <c r="L339" s="75">
        <v>400000</v>
      </c>
      <c r="M339" s="75">
        <f t="shared" si="49"/>
        <v>383114.7669190435</v>
      </c>
    </row>
    <row r="340" spans="5:13">
      <c r="E340">
        <v>338</v>
      </c>
      <c r="F340" s="77">
        <f t="shared" si="50"/>
        <v>763.86447274473517</v>
      </c>
      <c r="G340" s="77">
        <f t="shared" si="47"/>
        <v>53.925509061605361</v>
      </c>
      <c r="H340" s="77">
        <f t="shared" si="51"/>
        <v>709.93896368312983</v>
      </c>
      <c r="I340" s="77">
        <f t="shared" si="53"/>
        <v>114417.77001526371</v>
      </c>
      <c r="J340" s="77">
        <f t="shared" si="53"/>
        <v>144532.28624520128</v>
      </c>
      <c r="K340" s="77">
        <f t="shared" si="52"/>
        <v>16177.652718481608</v>
      </c>
      <c r="L340" s="75">
        <v>400000</v>
      </c>
      <c r="M340" s="75">
        <f t="shared" si="49"/>
        <v>383822.34728151839</v>
      </c>
    </row>
    <row r="341" spans="5:13">
      <c r="E341">
        <v>339</v>
      </c>
      <c r="F341" s="77">
        <f t="shared" si="50"/>
        <v>763.86447274473517</v>
      </c>
      <c r="G341" s="77">
        <f t="shared" si="47"/>
        <v>51.559045849328264</v>
      </c>
      <c r="H341" s="77">
        <f t="shared" si="51"/>
        <v>712.30542689540687</v>
      </c>
      <c r="I341" s="77">
        <f t="shared" si="53"/>
        <v>114469.32906111304</v>
      </c>
      <c r="J341" s="77">
        <f t="shared" si="53"/>
        <v>145244.59167209669</v>
      </c>
      <c r="K341" s="77">
        <f t="shared" si="52"/>
        <v>15467.713754798478</v>
      </c>
      <c r="L341" s="75">
        <v>400000</v>
      </c>
      <c r="M341" s="75">
        <f t="shared" si="49"/>
        <v>384532.28624520154</v>
      </c>
    </row>
    <row r="342" spans="5:13">
      <c r="E342">
        <v>340</v>
      </c>
      <c r="F342" s="77">
        <f t="shared" si="50"/>
        <v>763.86447274473517</v>
      </c>
      <c r="G342" s="77">
        <f t="shared" si="47"/>
        <v>49.184694426343576</v>
      </c>
      <c r="H342" s="77">
        <f t="shared" si="51"/>
        <v>714.67977831839164</v>
      </c>
      <c r="I342" s="77">
        <f t="shared" si="53"/>
        <v>114518.51375553937</v>
      </c>
      <c r="J342" s="77">
        <f t="shared" si="53"/>
        <v>145959.27145041508</v>
      </c>
      <c r="K342" s="77">
        <f t="shared" si="52"/>
        <v>14755.408327903071</v>
      </c>
      <c r="L342" s="75">
        <v>400000</v>
      </c>
      <c r="M342" s="75">
        <f t="shared" si="49"/>
        <v>385244.59167209693</v>
      </c>
    </row>
    <row r="343" spans="5:13">
      <c r="E343">
        <v>341</v>
      </c>
      <c r="F343" s="77">
        <f t="shared" si="50"/>
        <v>763.86447274473517</v>
      </c>
      <c r="G343" s="77">
        <f t="shared" si="47"/>
        <v>46.802428498615598</v>
      </c>
      <c r="H343" s="77">
        <f t="shared" si="51"/>
        <v>717.06204424611951</v>
      </c>
      <c r="I343" s="77">
        <f t="shared" si="53"/>
        <v>114565.31618403799</v>
      </c>
      <c r="J343" s="77">
        <f t="shared" si="53"/>
        <v>146676.3334946612</v>
      </c>
      <c r="K343" s="77">
        <f t="shared" si="52"/>
        <v>14040.728549584679</v>
      </c>
      <c r="L343" s="75">
        <v>400000</v>
      </c>
      <c r="M343" s="75">
        <f t="shared" si="49"/>
        <v>385959.27145041531</v>
      </c>
    </row>
    <row r="344" spans="5:13">
      <c r="E344">
        <v>342</v>
      </c>
      <c r="F344" s="77">
        <f t="shared" si="50"/>
        <v>763.86447274473517</v>
      </c>
      <c r="G344" s="77">
        <f t="shared" si="47"/>
        <v>44.412221684461862</v>
      </c>
      <c r="H344" s="77">
        <f t="shared" si="51"/>
        <v>719.45225106027328</v>
      </c>
      <c r="I344" s="77">
        <f t="shared" si="53"/>
        <v>114609.72840572245</v>
      </c>
      <c r="J344" s="77">
        <f t="shared" si="53"/>
        <v>147395.78574572149</v>
      </c>
      <c r="K344" s="77">
        <f t="shared" si="52"/>
        <v>13323.666505338559</v>
      </c>
      <c r="L344" s="75">
        <v>400000</v>
      </c>
      <c r="M344" s="75">
        <f t="shared" si="49"/>
        <v>386676.33349466143</v>
      </c>
    </row>
    <row r="345" spans="5:13">
      <c r="E345">
        <v>343</v>
      </c>
      <c r="F345" s="77">
        <f t="shared" si="50"/>
        <v>763.86447274473517</v>
      </c>
      <c r="G345" s="77">
        <f t="shared" si="47"/>
        <v>42.014047514260959</v>
      </c>
      <c r="H345" s="77">
        <f t="shared" si="51"/>
        <v>721.85042523047423</v>
      </c>
      <c r="I345" s="77">
        <f t="shared" si="53"/>
        <v>114651.7424532367</v>
      </c>
      <c r="J345" s="77">
        <f t="shared" si="53"/>
        <v>148117.63617095197</v>
      </c>
      <c r="K345" s="77">
        <f t="shared" si="52"/>
        <v>12604.214254278286</v>
      </c>
      <c r="L345" s="75">
        <v>400000</v>
      </c>
      <c r="M345" s="75">
        <f t="shared" si="49"/>
        <v>387395.78574572172</v>
      </c>
    </row>
    <row r="346" spans="5:13">
      <c r="E346">
        <v>344</v>
      </c>
      <c r="F346" s="77">
        <f t="shared" si="50"/>
        <v>763.86447274473517</v>
      </c>
      <c r="G346" s="77">
        <f t="shared" si="47"/>
        <v>39.607879430159379</v>
      </c>
      <c r="H346" s="77">
        <f t="shared" si="51"/>
        <v>724.25659331457575</v>
      </c>
      <c r="I346" s="77">
        <f t="shared" si="53"/>
        <v>114691.35033266686</v>
      </c>
      <c r="J346" s="77">
        <f t="shared" si="53"/>
        <v>148841.89276426655</v>
      </c>
      <c r="K346" s="77">
        <f t="shared" si="52"/>
        <v>11882.363829047812</v>
      </c>
      <c r="L346" s="75">
        <v>400000</v>
      </c>
      <c r="M346" s="75">
        <f t="shared" si="49"/>
        <v>388117.63617095217</v>
      </c>
    </row>
    <row r="347" spans="5:13">
      <c r="E347">
        <v>345</v>
      </c>
      <c r="F347" s="77">
        <f t="shared" si="50"/>
        <v>763.86447274473517</v>
      </c>
      <c r="G347" s="77">
        <f t="shared" si="47"/>
        <v>37.193690785777456</v>
      </c>
      <c r="H347" s="77">
        <f t="shared" si="51"/>
        <v>726.67078195895772</v>
      </c>
      <c r="I347" s="77">
        <f t="shared" si="53"/>
        <v>114728.54402345263</v>
      </c>
      <c r="J347" s="77">
        <f t="shared" si="53"/>
        <v>149568.56354622552</v>
      </c>
      <c r="K347" s="77">
        <f t="shared" si="52"/>
        <v>11158.107235733236</v>
      </c>
      <c r="L347" s="75">
        <v>400000</v>
      </c>
      <c r="M347" s="75">
        <f t="shared" si="49"/>
        <v>388841.89276426675</v>
      </c>
    </row>
    <row r="348" spans="5:13">
      <c r="E348">
        <v>346</v>
      </c>
      <c r="F348" s="77">
        <f t="shared" si="50"/>
        <v>763.86447274473517</v>
      </c>
      <c r="G348" s="77">
        <f t="shared" si="47"/>
        <v>34.771454845914263</v>
      </c>
      <c r="H348" s="77">
        <f t="shared" si="51"/>
        <v>729.0930178988209</v>
      </c>
      <c r="I348" s="77">
        <f t="shared" si="53"/>
        <v>114763.31547829855</v>
      </c>
      <c r="J348" s="77">
        <f t="shared" si="53"/>
        <v>150297.65656412434</v>
      </c>
      <c r="K348" s="77">
        <f t="shared" si="52"/>
        <v>10431.436453774279</v>
      </c>
      <c r="L348" s="75">
        <v>400000</v>
      </c>
      <c r="M348" s="75">
        <f t="shared" si="49"/>
        <v>389568.56354622572</v>
      </c>
    </row>
    <row r="349" spans="5:13">
      <c r="E349">
        <v>347</v>
      </c>
      <c r="F349" s="77">
        <f t="shared" si="50"/>
        <v>763.86447274473517</v>
      </c>
      <c r="G349" s="77">
        <f t="shared" si="47"/>
        <v>32.341144786251533</v>
      </c>
      <c r="H349" s="77">
        <f t="shared" si="51"/>
        <v>731.52332795848361</v>
      </c>
      <c r="I349" s="77">
        <f t="shared" si="53"/>
        <v>114795.6566230848</v>
      </c>
      <c r="J349" s="77">
        <f t="shared" si="53"/>
        <v>151029.17989208282</v>
      </c>
      <c r="K349" s="77">
        <f t="shared" si="52"/>
        <v>9702.3434358754585</v>
      </c>
      <c r="L349" s="75">
        <v>400000</v>
      </c>
      <c r="M349" s="75">
        <f t="shared" si="49"/>
        <v>390297.65656412457</v>
      </c>
    </row>
    <row r="350" spans="5:13">
      <c r="E350">
        <v>348</v>
      </c>
      <c r="F350" s="77">
        <f t="shared" si="50"/>
        <v>763.86447274473517</v>
      </c>
      <c r="G350" s="77">
        <f t="shared" si="47"/>
        <v>29.902733693056582</v>
      </c>
      <c r="H350" s="77">
        <f t="shared" si="51"/>
        <v>733.96173905167859</v>
      </c>
      <c r="I350" s="77">
        <f t="shared" si="53"/>
        <v>114825.55935677786</v>
      </c>
      <c r="J350" s="77">
        <f t="shared" si="53"/>
        <v>151763.14163113449</v>
      </c>
      <c r="K350" s="77">
        <f t="shared" si="52"/>
        <v>8970.8201079169739</v>
      </c>
      <c r="L350" s="75">
        <v>400000</v>
      </c>
      <c r="M350" s="75">
        <f t="shared" si="49"/>
        <v>391029.17989208305</v>
      </c>
    </row>
    <row r="351" spans="5:13">
      <c r="E351">
        <v>349</v>
      </c>
      <c r="F351" s="77">
        <f t="shared" si="50"/>
        <v>763.86447274473517</v>
      </c>
      <c r="G351" s="77">
        <f t="shared" si="47"/>
        <v>27.45619456288432</v>
      </c>
      <c r="H351" s="77">
        <f t="shared" si="51"/>
        <v>736.40827818185085</v>
      </c>
      <c r="I351" s="77">
        <f t="shared" si="53"/>
        <v>114853.01555134074</v>
      </c>
      <c r="J351" s="77">
        <f t="shared" si="53"/>
        <v>152499.54990931635</v>
      </c>
      <c r="K351" s="77">
        <f t="shared" si="52"/>
        <v>8236.8583688652961</v>
      </c>
      <c r="L351" s="75">
        <v>400000</v>
      </c>
      <c r="M351" s="75">
        <f t="shared" si="49"/>
        <v>391763.14163113473</v>
      </c>
    </row>
    <row r="352" spans="5:13">
      <c r="E352">
        <v>350</v>
      </c>
      <c r="F352" s="77">
        <f t="shared" si="50"/>
        <v>763.86447274473517</v>
      </c>
      <c r="G352" s="77">
        <f t="shared" si="47"/>
        <v>25.001500302278153</v>
      </c>
      <c r="H352" s="77">
        <f t="shared" si="51"/>
        <v>738.86297244245702</v>
      </c>
      <c r="I352" s="77">
        <f t="shared" si="53"/>
        <v>114878.01705164302</v>
      </c>
      <c r="J352" s="77">
        <f t="shared" si="53"/>
        <v>153238.41288175882</v>
      </c>
      <c r="K352" s="77">
        <f t="shared" si="52"/>
        <v>7500.4500906834455</v>
      </c>
      <c r="L352" s="75">
        <v>400000</v>
      </c>
      <c r="M352" s="75">
        <f t="shared" si="49"/>
        <v>392499.54990931653</v>
      </c>
    </row>
    <row r="353" spans="5:13">
      <c r="E353">
        <v>351</v>
      </c>
      <c r="F353" s="77">
        <f t="shared" si="50"/>
        <v>763.86447274473517</v>
      </c>
      <c r="G353" s="77">
        <f t="shared" si="47"/>
        <v>22.538623727469961</v>
      </c>
      <c r="H353" s="77">
        <f t="shared" si="51"/>
        <v>741.32584901726523</v>
      </c>
      <c r="I353" s="77">
        <f t="shared" si="53"/>
        <v>114900.55567537049</v>
      </c>
      <c r="J353" s="77">
        <f t="shared" si="53"/>
        <v>153979.73873077609</v>
      </c>
      <c r="K353" s="77">
        <f t="shared" si="52"/>
        <v>6761.5871182409883</v>
      </c>
      <c r="L353" s="75">
        <v>400000</v>
      </c>
      <c r="M353" s="75">
        <f t="shared" si="49"/>
        <v>393238.412881759</v>
      </c>
    </row>
    <row r="354" spans="5:13">
      <c r="E354">
        <v>352</v>
      </c>
      <c r="F354" s="77">
        <f t="shared" si="50"/>
        <v>763.86447274473517</v>
      </c>
      <c r="G354" s="77">
        <f t="shared" si="47"/>
        <v>20.067537564079078</v>
      </c>
      <c r="H354" s="77">
        <f t="shared" si="51"/>
        <v>743.79693518065608</v>
      </c>
      <c r="I354" s="77">
        <f t="shared" si="53"/>
        <v>114920.62321293457</v>
      </c>
      <c r="J354" s="77">
        <f t="shared" si="53"/>
        <v>154723.53566595676</v>
      </c>
      <c r="K354" s="77">
        <f t="shared" si="52"/>
        <v>6020.2612692237235</v>
      </c>
      <c r="L354" s="75">
        <v>400000</v>
      </c>
      <c r="M354" s="75">
        <f t="shared" si="49"/>
        <v>393979.7387307763</v>
      </c>
    </row>
    <row r="355" spans="5:13">
      <c r="E355">
        <v>353</v>
      </c>
      <c r="F355" s="77">
        <f t="shared" si="50"/>
        <v>763.86447274473517</v>
      </c>
      <c r="G355" s="77">
        <f t="shared" si="47"/>
        <v>17.588214446810227</v>
      </c>
      <c r="H355" s="77">
        <f t="shared" si="51"/>
        <v>746.27625829792498</v>
      </c>
      <c r="I355" s="77">
        <f t="shared" ref="I355:J362" si="54">I354+G355</f>
        <v>114938.21142738138</v>
      </c>
      <c r="J355" s="77">
        <f t="shared" si="54"/>
        <v>155469.8119242547</v>
      </c>
      <c r="K355" s="77">
        <f t="shared" si="52"/>
        <v>5276.4643340430675</v>
      </c>
      <c r="L355" s="75">
        <v>400000</v>
      </c>
      <c r="M355" s="75">
        <f t="shared" si="49"/>
        <v>394723.53566595691</v>
      </c>
    </row>
    <row r="356" spans="5:13">
      <c r="E356">
        <v>354</v>
      </c>
      <c r="F356" s="77">
        <f t="shared" si="50"/>
        <v>763.86447274473517</v>
      </c>
      <c r="G356" s="77">
        <f t="shared" si="47"/>
        <v>15.100626919150477</v>
      </c>
      <c r="H356" s="77">
        <f t="shared" si="51"/>
        <v>748.76384582558467</v>
      </c>
      <c r="I356" s="77">
        <f t="shared" si="54"/>
        <v>114953.31205430054</v>
      </c>
      <c r="J356" s="77">
        <f t="shared" si="54"/>
        <v>156218.57577008029</v>
      </c>
      <c r="K356" s="77">
        <f t="shared" si="52"/>
        <v>4530.1880757451427</v>
      </c>
      <c r="L356" s="75">
        <v>400000</v>
      </c>
      <c r="M356" s="75">
        <f t="shared" si="49"/>
        <v>395469.81192425487</v>
      </c>
    </row>
    <row r="357" spans="5:13">
      <c r="E357">
        <v>355</v>
      </c>
      <c r="F357" s="77">
        <f t="shared" si="50"/>
        <v>763.86447274473517</v>
      </c>
      <c r="G357" s="77">
        <f t="shared" si="47"/>
        <v>12.604747433065194</v>
      </c>
      <c r="H357" s="77">
        <f t="shared" si="51"/>
        <v>751.25972531166997</v>
      </c>
      <c r="I357" s="77">
        <f t="shared" si="54"/>
        <v>114965.91680173361</v>
      </c>
      <c r="J357" s="77">
        <f t="shared" si="54"/>
        <v>156969.83549539198</v>
      </c>
      <c r="K357" s="77">
        <f t="shared" si="52"/>
        <v>3781.424229919558</v>
      </c>
      <c r="L357" s="75">
        <v>400000</v>
      </c>
      <c r="M357" s="75">
        <f t="shared" si="49"/>
        <v>396218.57577008044</v>
      </c>
    </row>
    <row r="358" spans="5:13">
      <c r="E358">
        <v>356</v>
      </c>
      <c r="F358" s="77">
        <f t="shared" si="50"/>
        <v>763.86447274473517</v>
      </c>
      <c r="G358" s="77">
        <f t="shared" si="47"/>
        <v>10.100548348692961</v>
      </c>
      <c r="H358" s="77">
        <f t="shared" si="51"/>
        <v>753.76392439604217</v>
      </c>
      <c r="I358" s="77">
        <f t="shared" si="54"/>
        <v>114976.0173500823</v>
      </c>
      <c r="J358" s="77">
        <f t="shared" si="54"/>
        <v>157723.59941978802</v>
      </c>
      <c r="K358" s="77">
        <f t="shared" si="52"/>
        <v>3030.1645046078879</v>
      </c>
      <c r="L358" s="75">
        <v>400000</v>
      </c>
      <c r="M358" s="75">
        <f t="shared" si="49"/>
        <v>396969.83549539209</v>
      </c>
    </row>
    <row r="359" spans="5:13">
      <c r="E359">
        <v>357</v>
      </c>
      <c r="F359" s="77">
        <f t="shared" si="50"/>
        <v>763.86447274473517</v>
      </c>
      <c r="G359" s="77">
        <f t="shared" si="47"/>
        <v>7.5880019340394869</v>
      </c>
      <c r="H359" s="77">
        <f t="shared" si="51"/>
        <v>756.27647081069563</v>
      </c>
      <c r="I359" s="77">
        <f t="shared" si="54"/>
        <v>114983.60535201634</v>
      </c>
      <c r="J359" s="77">
        <f t="shared" si="54"/>
        <v>158479.87589059872</v>
      </c>
      <c r="K359" s="77">
        <f t="shared" si="52"/>
        <v>2276.4005802118459</v>
      </c>
      <c r="L359" s="75">
        <v>400000</v>
      </c>
      <c r="M359" s="75">
        <f t="shared" si="49"/>
        <v>397723.59941978817</v>
      </c>
    </row>
    <row r="360" spans="5:13">
      <c r="E360">
        <v>358</v>
      </c>
      <c r="F360" s="77">
        <f t="shared" si="50"/>
        <v>763.86447274473517</v>
      </c>
      <c r="G360" s="77">
        <f t="shared" si="47"/>
        <v>5.0670803646705007</v>
      </c>
      <c r="H360" s="77">
        <f t="shared" si="51"/>
        <v>758.79739238006471</v>
      </c>
      <c r="I360" s="77">
        <f t="shared" si="54"/>
        <v>114988.672432381</v>
      </c>
      <c r="J360" s="77">
        <f t="shared" si="54"/>
        <v>159238.67328297879</v>
      </c>
      <c r="K360" s="77">
        <f t="shared" si="52"/>
        <v>1520.1241094011502</v>
      </c>
      <c r="L360" s="75">
        <v>400000</v>
      </c>
      <c r="M360" s="75">
        <f t="shared" si="49"/>
        <v>398479.87589059887</v>
      </c>
    </row>
    <row r="361" spans="5:13">
      <c r="E361">
        <v>359</v>
      </c>
      <c r="F361" s="77">
        <f t="shared" si="50"/>
        <v>763.86447274473517</v>
      </c>
      <c r="G361" s="77">
        <f t="shared" si="47"/>
        <v>2.5377557234036185</v>
      </c>
      <c r="H361" s="77">
        <f t="shared" si="51"/>
        <v>761.32671702133155</v>
      </c>
      <c r="I361" s="77">
        <f t="shared" si="54"/>
        <v>114991.21018810441</v>
      </c>
      <c r="J361" s="77">
        <f t="shared" si="54"/>
        <v>160000.00000000012</v>
      </c>
      <c r="K361" s="77">
        <f t="shared" si="52"/>
        <v>761.32671702108553</v>
      </c>
      <c r="L361" s="75">
        <v>400000</v>
      </c>
      <c r="M361" s="75">
        <f t="shared" si="49"/>
        <v>399238.67328297894</v>
      </c>
    </row>
    <row r="362" spans="5:13">
      <c r="E362">
        <v>360</v>
      </c>
      <c r="F362" s="77">
        <f t="shared" si="50"/>
        <v>763.86447274473517</v>
      </c>
      <c r="G362" s="77">
        <f t="shared" si="47"/>
        <v>-8.2006105609859035E-13</v>
      </c>
      <c r="H362" s="77">
        <f t="shared" si="51"/>
        <v>763.86447274473596</v>
      </c>
      <c r="I362" s="77">
        <f t="shared" si="54"/>
        <v>114991.21018810441</v>
      </c>
      <c r="J362" s="77">
        <f t="shared" si="54"/>
        <v>160763.86447274484</v>
      </c>
      <c r="K362" s="77">
        <f t="shared" si="52"/>
        <v>-2.4601831682957709E-10</v>
      </c>
      <c r="L362" s="75">
        <v>400000</v>
      </c>
      <c r="M362" s="75">
        <f t="shared" si="49"/>
        <v>400000.00000000023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51D5-A0A2-3144-9B5B-BCEFF783FB4F}">
  <sheetPr>
    <tabColor theme="7"/>
  </sheetPr>
  <dimension ref="A1:K59"/>
  <sheetViews>
    <sheetView zoomScaleNormal="100" workbookViewId="0">
      <selection activeCell="P29" sqref="P29"/>
    </sheetView>
  </sheetViews>
  <sheetFormatPr defaultColWidth="11.5546875" defaultRowHeight="14.4"/>
  <cols>
    <col min="1" max="1" width="15" customWidth="1"/>
    <col min="2" max="2" width="18" customWidth="1"/>
    <col min="3" max="3" width="15" customWidth="1"/>
    <col min="4" max="4" width="15.6640625" customWidth="1"/>
    <col min="5" max="5" width="15.33203125" customWidth="1"/>
    <col min="7" max="7" width="19.6640625" customWidth="1"/>
    <col min="8" max="10" width="15.6640625" customWidth="1"/>
    <col min="11" max="11" width="13.77734375" bestFit="1" customWidth="1"/>
  </cols>
  <sheetData>
    <row r="1" spans="1:10">
      <c r="A1" t="s">
        <v>383</v>
      </c>
      <c r="G1" t="s">
        <v>382</v>
      </c>
    </row>
    <row r="2" spans="1:10">
      <c r="A2" s="173"/>
      <c r="B2" s="173" t="s">
        <v>373</v>
      </c>
      <c r="C2" s="173" t="s">
        <v>376</v>
      </c>
      <c r="D2" s="173" t="s">
        <v>377</v>
      </c>
      <c r="G2" s="173"/>
      <c r="H2" s="173" t="s">
        <v>363</v>
      </c>
      <c r="I2" s="173" t="s">
        <v>364</v>
      </c>
      <c r="J2" s="173" t="s">
        <v>368</v>
      </c>
    </row>
    <row r="3" spans="1:10">
      <c r="A3" t="s">
        <v>365</v>
      </c>
      <c r="B3" s="63">
        <v>300000</v>
      </c>
      <c r="C3" s="63">
        <v>400000</v>
      </c>
      <c r="D3" s="63">
        <v>400000</v>
      </c>
      <c r="G3" t="s">
        <v>365</v>
      </c>
      <c r="H3" s="63">
        <v>400000</v>
      </c>
      <c r="I3" s="63">
        <v>450000</v>
      </c>
      <c r="J3" s="63">
        <v>450000</v>
      </c>
    </row>
    <row r="4" spans="1:10">
      <c r="A4" t="s">
        <v>279</v>
      </c>
      <c r="B4" s="63">
        <f>B3*0.25</f>
        <v>75000</v>
      </c>
      <c r="C4" s="63">
        <v>75000</v>
      </c>
      <c r="D4" s="63">
        <f>D3*0.25</f>
        <v>100000</v>
      </c>
      <c r="G4" t="s">
        <v>279</v>
      </c>
      <c r="H4" s="63">
        <f>H3*0.2</f>
        <v>80000</v>
      </c>
      <c r="I4" s="63">
        <v>80000</v>
      </c>
      <c r="J4" s="63">
        <f>J3*0.2</f>
        <v>90000</v>
      </c>
    </row>
    <row r="5" spans="1:10">
      <c r="A5" t="s">
        <v>19</v>
      </c>
      <c r="B5" s="94">
        <v>0.04</v>
      </c>
      <c r="C5" s="94">
        <v>0.04</v>
      </c>
      <c r="D5" s="94">
        <v>0.04</v>
      </c>
      <c r="G5" t="s">
        <v>19</v>
      </c>
      <c r="H5" s="94">
        <v>0.04</v>
      </c>
      <c r="I5" s="94">
        <v>0.04</v>
      </c>
      <c r="J5" s="94">
        <v>0.04</v>
      </c>
    </row>
    <row r="6" spans="1:10">
      <c r="A6" t="s">
        <v>366</v>
      </c>
      <c r="B6" s="63">
        <f>B3-B4</f>
        <v>225000</v>
      </c>
      <c r="C6" s="63">
        <f>B6</f>
        <v>225000</v>
      </c>
      <c r="D6" s="63">
        <f>D3-D4</f>
        <v>300000</v>
      </c>
      <c r="G6" t="s">
        <v>366</v>
      </c>
      <c r="H6" s="63">
        <f>H3-H4</f>
        <v>320000</v>
      </c>
      <c r="I6" s="63">
        <v>290000</v>
      </c>
      <c r="J6" s="63">
        <v>340000</v>
      </c>
    </row>
    <row r="7" spans="1:10">
      <c r="A7" t="s">
        <v>374</v>
      </c>
      <c r="B7" s="63">
        <v>50000</v>
      </c>
      <c r="C7" s="63">
        <v>50000</v>
      </c>
      <c r="D7" s="63">
        <v>0</v>
      </c>
      <c r="G7" t="s">
        <v>371</v>
      </c>
      <c r="H7" s="176">
        <f>H4</f>
        <v>80000</v>
      </c>
      <c r="I7" s="176">
        <f>I3-I6</f>
        <v>160000</v>
      </c>
      <c r="J7" s="176">
        <v>90000</v>
      </c>
    </row>
    <row r="8" spans="1:10">
      <c r="A8" s="123" t="s">
        <v>375</v>
      </c>
      <c r="B8" s="174">
        <f>SUM(B4:B7)</f>
        <v>350000.04</v>
      </c>
      <c r="C8" s="174">
        <f>SUM(C4:C7)</f>
        <v>350000.04</v>
      </c>
      <c r="D8" s="174">
        <f>SUM(D4:D7)</f>
        <v>400000.04</v>
      </c>
      <c r="G8" t="s">
        <v>372</v>
      </c>
      <c r="H8" s="94">
        <f>H7/H3</f>
        <v>0.2</v>
      </c>
      <c r="I8" s="94">
        <f>I7/I3</f>
        <v>0.35555555555555557</v>
      </c>
      <c r="J8" s="94">
        <f>J7/J3</f>
        <v>0.2</v>
      </c>
    </row>
    <row r="9" spans="1:10">
      <c r="B9" s="63"/>
      <c r="C9" s="63"/>
      <c r="D9" s="63"/>
      <c r="G9" t="s">
        <v>23</v>
      </c>
      <c r="H9" s="63">
        <v>8000</v>
      </c>
      <c r="I9" s="63">
        <v>10000</v>
      </c>
      <c r="J9" s="63">
        <v>9000</v>
      </c>
    </row>
    <row r="10" spans="1:10">
      <c r="A10" t="s">
        <v>371</v>
      </c>
      <c r="B10" s="176">
        <f>B8</f>
        <v>350000.04</v>
      </c>
      <c r="C10" s="176">
        <f>C8+(C3-B3)</f>
        <v>450000.04</v>
      </c>
      <c r="D10" s="176">
        <f>D3-D6</f>
        <v>100000</v>
      </c>
      <c r="G10" s="65" t="s">
        <v>367</v>
      </c>
      <c r="H10" s="71">
        <f>H9/SUM(H4:H4)</f>
        <v>0.1</v>
      </c>
      <c r="I10" s="71">
        <f>I9/I7</f>
        <v>6.25E-2</v>
      </c>
      <c r="J10" s="71">
        <f>J9/J7</f>
        <v>0.1</v>
      </c>
    </row>
    <row r="11" spans="1:10">
      <c r="A11" t="s">
        <v>372</v>
      </c>
      <c r="B11" s="94">
        <f>B10/B3</f>
        <v>1.1666668</v>
      </c>
      <c r="C11" s="94">
        <f>C10/C3</f>
        <v>1.1250001000000001</v>
      </c>
      <c r="D11" s="94">
        <f>D10/D3</f>
        <v>0.25</v>
      </c>
      <c r="G11" s="78" t="s">
        <v>378</v>
      </c>
      <c r="J11" s="64">
        <f>I7-J7</f>
        <v>70000</v>
      </c>
    </row>
    <row r="12" spans="1:10">
      <c r="A12" t="s">
        <v>129</v>
      </c>
      <c r="B12" s="63">
        <v>18000</v>
      </c>
      <c r="C12" s="63">
        <v>24000</v>
      </c>
      <c r="D12" s="63">
        <v>24000</v>
      </c>
    </row>
    <row r="13" spans="1:10">
      <c r="A13" s="65" t="s">
        <v>367</v>
      </c>
      <c r="B13" s="71">
        <f>B12/SUM(B4:B7)</f>
        <v>5.1428565551021085E-2</v>
      </c>
      <c r="C13" s="71">
        <f>C12/SUM(C4:C7)</f>
        <v>6.8571420734694771E-2</v>
      </c>
      <c r="D13" s="71">
        <f>D12/SUM(D4:D7)</f>
        <v>5.9999994000000605E-2</v>
      </c>
    </row>
    <row r="14" spans="1:10">
      <c r="A14" s="78" t="s">
        <v>378</v>
      </c>
      <c r="D14" s="64">
        <f>C10-D10</f>
        <v>350000.04</v>
      </c>
    </row>
    <row r="16" spans="1:10">
      <c r="G16" t="s">
        <v>603</v>
      </c>
    </row>
    <row r="17" spans="2:11">
      <c r="G17" s="173"/>
      <c r="H17" s="173" t="s">
        <v>363</v>
      </c>
      <c r="I17" s="173" t="s">
        <v>364</v>
      </c>
      <c r="J17" s="173" t="s">
        <v>369</v>
      </c>
    </row>
    <row r="18" spans="2:11">
      <c r="G18" t="s">
        <v>365</v>
      </c>
      <c r="H18" s="63">
        <v>400000</v>
      </c>
      <c r="I18" s="63">
        <v>450000</v>
      </c>
      <c r="J18" s="63">
        <v>600000</v>
      </c>
    </row>
    <row r="19" spans="2:11">
      <c r="G19" t="s">
        <v>279</v>
      </c>
      <c r="H19" s="63">
        <f>H18*0.2</f>
        <v>80000</v>
      </c>
      <c r="I19" s="63">
        <v>80000</v>
      </c>
      <c r="J19" s="63">
        <f>J18*0.2</f>
        <v>120000</v>
      </c>
    </row>
    <row r="20" spans="2:11">
      <c r="G20" t="s">
        <v>19</v>
      </c>
      <c r="H20" s="94">
        <v>0.04</v>
      </c>
      <c r="I20" s="94">
        <v>0.04</v>
      </c>
      <c r="J20" s="94">
        <v>0.04</v>
      </c>
    </row>
    <row r="21" spans="2:11">
      <c r="G21" t="s">
        <v>366</v>
      </c>
      <c r="H21" s="63">
        <f>H18-H19</f>
        <v>320000</v>
      </c>
      <c r="I21" s="63">
        <v>290000</v>
      </c>
      <c r="J21" s="63">
        <f>J18*0.2</f>
        <v>120000</v>
      </c>
    </row>
    <row r="22" spans="2:11">
      <c r="G22" t="s">
        <v>371</v>
      </c>
      <c r="H22" s="176">
        <f>H19</f>
        <v>80000</v>
      </c>
      <c r="I22" s="176">
        <f>I18-I21</f>
        <v>160000</v>
      </c>
      <c r="J22" s="176">
        <f>J19</f>
        <v>120000</v>
      </c>
    </row>
    <row r="23" spans="2:11">
      <c r="G23" t="s">
        <v>372</v>
      </c>
      <c r="H23" s="94">
        <f>H22/H18</f>
        <v>0.2</v>
      </c>
      <c r="I23" s="94">
        <f>I22/I18</f>
        <v>0.35555555555555557</v>
      </c>
      <c r="J23" s="94">
        <f>J22/J18</f>
        <v>0.2</v>
      </c>
    </row>
    <row r="24" spans="2:11">
      <c r="B24">
        <f>10000/88000</f>
        <v>0.11363636363636363</v>
      </c>
      <c r="G24" t="s">
        <v>23</v>
      </c>
      <c r="H24" s="63">
        <v>8000</v>
      </c>
      <c r="I24" s="63">
        <v>10000</v>
      </c>
      <c r="J24" s="63">
        <v>13500</v>
      </c>
    </row>
    <row r="25" spans="2:11">
      <c r="G25" s="65" t="s">
        <v>367</v>
      </c>
      <c r="H25" s="71">
        <f>H24/SUM(H19:H19)</f>
        <v>0.1</v>
      </c>
      <c r="I25" s="71">
        <f>I24/I22</f>
        <v>6.25E-2</v>
      </c>
      <c r="J25" s="71">
        <f>J24/J22</f>
        <v>0.1125</v>
      </c>
    </row>
    <row r="26" spans="2:11">
      <c r="G26" s="78" t="s">
        <v>378</v>
      </c>
      <c r="J26" s="64">
        <f>I22-J22</f>
        <v>40000</v>
      </c>
    </row>
    <row r="31" spans="2:11">
      <c r="G31" t="s">
        <v>381</v>
      </c>
    </row>
    <row r="32" spans="2:11">
      <c r="G32" s="173"/>
      <c r="H32" s="173" t="s">
        <v>363</v>
      </c>
      <c r="I32" s="173" t="s">
        <v>364</v>
      </c>
      <c r="J32" s="173" t="s">
        <v>379</v>
      </c>
      <c r="K32" s="173" t="s">
        <v>380</v>
      </c>
    </row>
    <row r="33" spans="7:11">
      <c r="G33" t="s">
        <v>365</v>
      </c>
      <c r="H33" s="63">
        <v>400000</v>
      </c>
      <c r="I33" s="63">
        <v>450000</v>
      </c>
      <c r="J33" s="63">
        <v>420000</v>
      </c>
      <c r="K33" s="63">
        <v>380000</v>
      </c>
    </row>
    <row r="34" spans="7:11">
      <c r="G34" t="s">
        <v>279</v>
      </c>
      <c r="H34" s="63">
        <f>H33*0.2</f>
        <v>80000</v>
      </c>
      <c r="I34" s="63">
        <v>80000</v>
      </c>
      <c r="J34" s="63">
        <f>J33*0.2</f>
        <v>84000</v>
      </c>
      <c r="K34" s="63">
        <f>K33*0.2</f>
        <v>76000</v>
      </c>
    </row>
    <row r="35" spans="7:11">
      <c r="G35" t="s">
        <v>19</v>
      </c>
      <c r="H35" s="94">
        <v>0.04</v>
      </c>
      <c r="I35" s="94">
        <v>0.04</v>
      </c>
      <c r="J35" s="94">
        <v>0.04</v>
      </c>
      <c r="K35" s="94">
        <v>0.04</v>
      </c>
    </row>
    <row r="36" spans="7:11">
      <c r="G36" t="s">
        <v>366</v>
      </c>
      <c r="H36" s="63">
        <f>H33-H34</f>
        <v>320000</v>
      </c>
      <c r="I36" s="63">
        <v>290000</v>
      </c>
      <c r="J36" s="63">
        <f>J33*0.2</f>
        <v>84000</v>
      </c>
      <c r="K36" s="63">
        <f>K33*0.2</f>
        <v>76000</v>
      </c>
    </row>
    <row r="37" spans="7:11">
      <c r="G37" t="s">
        <v>371</v>
      </c>
      <c r="H37" s="176">
        <f>H34</f>
        <v>80000</v>
      </c>
      <c r="I37" s="176">
        <f>I33-I36</f>
        <v>160000</v>
      </c>
      <c r="J37" s="176">
        <f>J34</f>
        <v>84000</v>
      </c>
      <c r="K37" s="176">
        <f>K34</f>
        <v>76000</v>
      </c>
    </row>
    <row r="38" spans="7:11">
      <c r="G38" t="s">
        <v>372</v>
      </c>
      <c r="H38" s="94">
        <f>H37/H33</f>
        <v>0.2</v>
      </c>
      <c r="I38" s="94">
        <f>I37/I33</f>
        <v>0.35555555555555557</v>
      </c>
      <c r="J38" s="94">
        <f>J37/J33</f>
        <v>0.2</v>
      </c>
      <c r="K38" s="94">
        <f>K37/K33</f>
        <v>0.2</v>
      </c>
    </row>
    <row r="39" spans="7:11">
      <c r="G39" t="s">
        <v>23</v>
      </c>
      <c r="H39" s="63">
        <v>8000</v>
      </c>
      <c r="I39" s="63">
        <v>10000</v>
      </c>
      <c r="J39" s="63">
        <v>8000</v>
      </c>
      <c r="K39" s="63">
        <v>7000</v>
      </c>
    </row>
    <row r="40" spans="7:11">
      <c r="G40" s="65" t="s">
        <v>367</v>
      </c>
      <c r="H40" s="71">
        <f>H39/SUM(H34:H34)</f>
        <v>0.1</v>
      </c>
      <c r="I40" s="71">
        <f>I39/I37</f>
        <v>6.25E-2</v>
      </c>
      <c r="J40" s="71">
        <f>J39/J37</f>
        <v>9.5238095238095233E-2</v>
      </c>
      <c r="K40" s="71">
        <f>K39/K37</f>
        <v>9.2105263157894732E-2</v>
      </c>
    </row>
    <row r="47" spans="7:11">
      <c r="G47" t="s">
        <v>385</v>
      </c>
    </row>
    <row r="48" spans="7:11">
      <c r="G48" s="173"/>
      <c r="H48" s="173" t="s">
        <v>363</v>
      </c>
      <c r="I48" s="173" t="s">
        <v>384</v>
      </c>
      <c r="J48" s="173" t="s">
        <v>379</v>
      </c>
      <c r="K48" s="173" t="s">
        <v>380</v>
      </c>
    </row>
    <row r="49" spans="7:11">
      <c r="G49" t="s">
        <v>365</v>
      </c>
      <c r="H49" s="63">
        <v>467000</v>
      </c>
      <c r="I49" s="63">
        <v>650000</v>
      </c>
      <c r="J49" s="63">
        <v>550000</v>
      </c>
      <c r="K49" s="63">
        <v>740000</v>
      </c>
    </row>
    <row r="50" spans="7:11">
      <c r="G50" t="s">
        <v>279</v>
      </c>
      <c r="H50" s="63">
        <f>H49*0.2</f>
        <v>93400</v>
      </c>
      <c r="I50" s="63">
        <f>H50</f>
        <v>93400</v>
      </c>
      <c r="J50" s="63">
        <f>J49*0.25</f>
        <v>137500</v>
      </c>
      <c r="K50" s="63">
        <f>K49*0.25</f>
        <v>185000</v>
      </c>
    </row>
    <row r="51" spans="7:11">
      <c r="G51" t="s">
        <v>19</v>
      </c>
      <c r="H51" s="94">
        <v>0.04</v>
      </c>
      <c r="I51" s="94">
        <v>0.04</v>
      </c>
      <c r="J51" s="94">
        <v>0.04</v>
      </c>
      <c r="K51" s="94">
        <v>0.04</v>
      </c>
    </row>
    <row r="52" spans="7:11">
      <c r="G52" t="s">
        <v>366</v>
      </c>
      <c r="H52" s="63">
        <f>H49-H50</f>
        <v>373600</v>
      </c>
      <c r="I52" s="63">
        <v>313500</v>
      </c>
      <c r="J52" s="63">
        <f>J49*0.2</f>
        <v>110000</v>
      </c>
      <c r="K52" s="63">
        <f>K49*0.2</f>
        <v>148000</v>
      </c>
    </row>
    <row r="53" spans="7:11">
      <c r="G53" t="s">
        <v>374</v>
      </c>
      <c r="H53" s="75">
        <v>0</v>
      </c>
      <c r="I53" s="75">
        <v>0</v>
      </c>
      <c r="J53" s="75">
        <v>0</v>
      </c>
      <c r="K53" s="75">
        <v>0</v>
      </c>
    </row>
    <row r="54" spans="7:11">
      <c r="G54" s="123" t="s">
        <v>375</v>
      </c>
      <c r="H54" s="174">
        <f>SUM(H50:H50)</f>
        <v>93400</v>
      </c>
      <c r="I54" s="174">
        <f>SUM(I50:I50)</f>
        <v>93400</v>
      </c>
      <c r="J54" s="174">
        <f>SUM(J50:J50)</f>
        <v>137500</v>
      </c>
      <c r="K54" s="174">
        <f>SUM(K50:K50)</f>
        <v>185000</v>
      </c>
    </row>
    <row r="55" spans="7:11">
      <c r="H55" s="63"/>
      <c r="I55" s="63"/>
      <c r="J55" s="63"/>
      <c r="K55" s="63"/>
    </row>
    <row r="56" spans="7:11">
      <c r="G56" t="s">
        <v>371</v>
      </c>
      <c r="H56" s="176">
        <f>H54</f>
        <v>93400</v>
      </c>
      <c r="I56" s="176">
        <f>I49-I52</f>
        <v>336500</v>
      </c>
      <c r="J56" s="176">
        <f>J54</f>
        <v>137500</v>
      </c>
      <c r="K56" s="176">
        <f>K54</f>
        <v>185000</v>
      </c>
    </row>
    <row r="57" spans="7:11">
      <c r="G57" t="s">
        <v>372</v>
      </c>
      <c r="H57" s="94">
        <f>H56/H49</f>
        <v>0.2</v>
      </c>
      <c r="I57" s="94">
        <f>I56/I49</f>
        <v>0.51769230769230767</v>
      </c>
      <c r="J57" s="94">
        <f>J56/J49</f>
        <v>0.25</v>
      </c>
      <c r="K57" s="94">
        <f>K56/K49</f>
        <v>0.25</v>
      </c>
    </row>
    <row r="58" spans="7:11">
      <c r="G58" t="s">
        <v>129</v>
      </c>
      <c r="H58" s="63">
        <v>12000</v>
      </c>
      <c r="I58" s="63">
        <v>20000</v>
      </c>
      <c r="J58" s="63">
        <v>17500</v>
      </c>
      <c r="K58" s="63">
        <v>22000</v>
      </c>
    </row>
    <row r="59" spans="7:11">
      <c r="G59" s="65" t="s">
        <v>367</v>
      </c>
      <c r="H59" s="71">
        <f>H58/SUM(H50:H50)</f>
        <v>0.1284796573875803</v>
      </c>
      <c r="I59" s="71">
        <f>I58/I56</f>
        <v>5.9435364041604752E-2</v>
      </c>
      <c r="J59" s="71">
        <f>J58/J56</f>
        <v>0.12727272727272726</v>
      </c>
      <c r="K59" s="71">
        <f>K58/K56</f>
        <v>0.11891891891891893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9CFA-AC52-F342-9610-9AF285BCC763}">
  <sheetPr>
    <tabColor theme="0" tint="-0.14999847407452621"/>
  </sheetPr>
  <dimension ref="A1:AT362"/>
  <sheetViews>
    <sheetView workbookViewId="0">
      <selection activeCell="J25" sqref="J25"/>
    </sheetView>
  </sheetViews>
  <sheetFormatPr defaultColWidth="10.77734375" defaultRowHeight="14.4"/>
  <cols>
    <col min="1" max="1" width="19.6640625" bestFit="1" customWidth="1"/>
    <col min="2" max="2" width="15" bestFit="1" customWidth="1"/>
    <col min="5" max="5" width="14.33203125" bestFit="1" customWidth="1"/>
    <col min="6" max="6" width="10.109375" bestFit="1" customWidth="1"/>
    <col min="8" max="8" width="13" bestFit="1" customWidth="1"/>
    <col min="9" max="9" width="14.77734375" bestFit="1" customWidth="1"/>
    <col min="10" max="10" width="15.77734375" bestFit="1" customWidth="1"/>
    <col min="11" max="11" width="16.44140625" bestFit="1" customWidth="1"/>
    <col min="15" max="15" width="15.77734375" bestFit="1" customWidth="1"/>
  </cols>
  <sheetData>
    <row r="1" spans="1:46">
      <c r="A1" s="78" t="s">
        <v>12</v>
      </c>
      <c r="B1" s="79">
        <f>'Final Proforma'!F4</f>
        <v>400000</v>
      </c>
      <c r="E1" s="67" t="s">
        <v>142</v>
      </c>
      <c r="F1" s="67" t="s">
        <v>143</v>
      </c>
      <c r="G1" s="67" t="s">
        <v>144</v>
      </c>
      <c r="H1" s="67" t="s">
        <v>145</v>
      </c>
      <c r="I1" s="67" t="s">
        <v>147</v>
      </c>
      <c r="J1" s="67" t="s">
        <v>148</v>
      </c>
      <c r="K1" s="67" t="s">
        <v>146</v>
      </c>
      <c r="L1" s="67" t="s">
        <v>149</v>
      </c>
      <c r="M1" s="67" t="s">
        <v>150</v>
      </c>
    </row>
    <row r="2" spans="1:46">
      <c r="A2" s="78" t="s">
        <v>133</v>
      </c>
      <c r="B2" s="80">
        <f>'Final Proforma'!F5</f>
        <v>0.25</v>
      </c>
      <c r="E2">
        <v>0</v>
      </c>
      <c r="F2" s="77">
        <f>B8</f>
        <v>1432.2458863963786</v>
      </c>
      <c r="G2" s="77">
        <f t="shared" ref="G2:G65" si="0">(B$4/B$6)*K2</f>
        <v>1000.0000000000001</v>
      </c>
      <c r="H2" s="77">
        <f>F2-G2</f>
        <v>432.24588639637852</v>
      </c>
      <c r="I2" s="77">
        <f>G2</f>
        <v>1000.0000000000001</v>
      </c>
      <c r="J2" s="77">
        <f>H2</f>
        <v>432.24588639637852</v>
      </c>
      <c r="K2" s="75">
        <f>B3</f>
        <v>300000</v>
      </c>
      <c r="L2" s="75">
        <v>400000</v>
      </c>
      <c r="M2" s="75">
        <f>L2-K2</f>
        <v>100000</v>
      </c>
    </row>
    <row r="3" spans="1:46" ht="13.95" customHeight="1">
      <c r="A3" s="78" t="s">
        <v>134</v>
      </c>
      <c r="B3" s="75">
        <f>(1-B2)*B1</f>
        <v>300000</v>
      </c>
      <c r="E3">
        <v>1</v>
      </c>
      <c r="F3" s="77">
        <f>F2</f>
        <v>1432.2458863963786</v>
      </c>
      <c r="G3" s="77">
        <f t="shared" si="0"/>
        <v>998.55918037867878</v>
      </c>
      <c r="H3" s="77">
        <f>F3-G3</f>
        <v>433.68670601769986</v>
      </c>
      <c r="I3" s="77">
        <f t="shared" ref="I3:J18" si="1">I2+G3</f>
        <v>1998.5591803786788</v>
      </c>
      <c r="J3" s="77">
        <f t="shared" si="1"/>
        <v>865.93259241407839</v>
      </c>
      <c r="K3" s="77">
        <f>K2-H2</f>
        <v>299567.75411360362</v>
      </c>
      <c r="L3" s="75">
        <v>400000</v>
      </c>
      <c r="M3" s="75">
        <f t="shared" ref="M3:M66" si="2">L3-K3</f>
        <v>100432.24588639638</v>
      </c>
    </row>
    <row r="4" spans="1:46">
      <c r="A4" s="78" t="s">
        <v>135</v>
      </c>
      <c r="B4" s="92">
        <f>'Final Proforma'!F7</f>
        <v>0.04</v>
      </c>
      <c r="E4">
        <v>2</v>
      </c>
      <c r="F4" s="77">
        <f t="shared" ref="F4:F67" si="3">F3</f>
        <v>1432.2458863963786</v>
      </c>
      <c r="G4" s="77">
        <f t="shared" si="0"/>
        <v>997.11355802528647</v>
      </c>
      <c r="H4" s="77">
        <f t="shared" ref="H4:H67" si="4">F4-G4</f>
        <v>435.13232837109217</v>
      </c>
      <c r="I4" s="77">
        <f t="shared" si="1"/>
        <v>2995.672738403965</v>
      </c>
      <c r="J4" s="77">
        <f t="shared" si="1"/>
        <v>1301.0649207851707</v>
      </c>
      <c r="K4" s="77">
        <f t="shared" ref="K4:K67" si="5">K3-H3</f>
        <v>299134.06740758591</v>
      </c>
      <c r="L4" s="75">
        <v>400000</v>
      </c>
      <c r="M4" s="75">
        <f t="shared" si="2"/>
        <v>100865.93259241409</v>
      </c>
      <c r="O4" t="s">
        <v>235</v>
      </c>
      <c r="P4">
        <v>1</v>
      </c>
      <c r="Q4">
        <v>2</v>
      </c>
      <c r="R4">
        <v>3</v>
      </c>
      <c r="S4">
        <v>4</v>
      </c>
      <c r="T4">
        <v>5</v>
      </c>
      <c r="U4">
        <v>6</v>
      </c>
      <c r="V4">
        <v>7</v>
      </c>
      <c r="W4">
        <v>8</v>
      </c>
      <c r="X4">
        <v>9</v>
      </c>
      <c r="Y4">
        <v>10</v>
      </c>
      <c r="Z4">
        <v>11</v>
      </c>
      <c r="AA4">
        <v>12</v>
      </c>
      <c r="AB4">
        <v>13</v>
      </c>
      <c r="AC4">
        <v>14</v>
      </c>
      <c r="AD4">
        <v>15</v>
      </c>
      <c r="AE4">
        <v>16</v>
      </c>
      <c r="AF4">
        <v>17</v>
      </c>
      <c r="AG4">
        <v>18</v>
      </c>
      <c r="AH4">
        <v>19</v>
      </c>
      <c r="AI4">
        <v>20</v>
      </c>
      <c r="AJ4">
        <v>21</v>
      </c>
      <c r="AK4">
        <v>22</v>
      </c>
      <c r="AL4">
        <v>23</v>
      </c>
      <c r="AM4">
        <v>24</v>
      </c>
      <c r="AN4">
        <v>25</v>
      </c>
      <c r="AO4">
        <v>26</v>
      </c>
      <c r="AP4">
        <v>27</v>
      </c>
      <c r="AQ4">
        <v>28</v>
      </c>
      <c r="AR4">
        <v>29</v>
      </c>
      <c r="AS4">
        <v>30</v>
      </c>
    </row>
    <row r="5" spans="1:46">
      <c r="A5" s="78" t="s">
        <v>136</v>
      </c>
      <c r="B5" s="97">
        <f>'Final Proforma'!F8</f>
        <v>30</v>
      </c>
      <c r="E5">
        <v>3</v>
      </c>
      <c r="F5" s="77">
        <f t="shared" si="3"/>
        <v>1432.2458863963786</v>
      </c>
      <c r="G5" s="77">
        <f t="shared" si="0"/>
        <v>995.66311693071611</v>
      </c>
      <c r="H5" s="77">
        <f t="shared" si="4"/>
        <v>436.58276946566252</v>
      </c>
      <c r="I5" s="77">
        <f t="shared" si="1"/>
        <v>3991.3358553346811</v>
      </c>
      <c r="J5" s="77">
        <f t="shared" si="1"/>
        <v>1737.6476902508332</v>
      </c>
      <c r="K5" s="77">
        <f t="shared" si="5"/>
        <v>298698.9350792148</v>
      </c>
      <c r="L5" s="75">
        <v>400000</v>
      </c>
      <c r="M5" s="75">
        <f t="shared" si="2"/>
        <v>101301.0649207852</v>
      </c>
      <c r="O5" t="s">
        <v>147</v>
      </c>
      <c r="P5" s="77">
        <f>P14</f>
        <v>11903.841337000369</v>
      </c>
      <c r="Q5" s="77">
        <f>P15</f>
        <v>23592.44064971479</v>
      </c>
      <c r="R5" s="77">
        <f>P16</f>
        <v>35057.028645972656</v>
      </c>
      <c r="S5" s="77">
        <f>P17</f>
        <v>46288.478759110054</v>
      </c>
      <c r="T5" s="77">
        <f>P18</f>
        <v>57277.292592055586</v>
      </c>
      <c r="U5" s="77">
        <f>P19</f>
        <v>68013.584768385932</v>
      </c>
      <c r="V5" s="77">
        <f>P20</f>
        <v>78487.06716618991</v>
      </c>
      <c r="W5" s="77">
        <f>P21</f>
        <v>88687.032509596</v>
      </c>
      <c r="X5" s="77">
        <f>P22</f>
        <v>98602.337291793083</v>
      </c>
      <c r="Y5" s="77">
        <f>P23</f>
        <v>108221.38400230913</v>
      </c>
      <c r="Z5" s="77">
        <f>P24</f>
        <v>117532.10263020141</v>
      </c>
      <c r="AA5" s="77">
        <f>P25</f>
        <v>126521.9314136583</v>
      </c>
      <c r="AB5" s="77">
        <f>P26</f>
        <v>135177.79680531024</v>
      </c>
      <c r="AC5" s="77">
        <f>P27</f>
        <v>143486.09262129638</v>
      </c>
      <c r="AD5" s="77">
        <f>P28</f>
        <v>151432.65834083204</v>
      </c>
      <c r="AE5" s="77">
        <f>P29</f>
        <v>159002.75652166744</v>
      </c>
      <c r="AF5" s="77">
        <f>P30</f>
        <v>166181.04929541665</v>
      </c>
      <c r="AG5" s="77">
        <f>P31</f>
        <v>172951.57390527066</v>
      </c>
      <c r="AH5" s="77">
        <f>P32</f>
        <v>179297.71724707872</v>
      </c>
      <c r="AI5" s="77">
        <f>P33</f>
        <v>185202.1893731945</v>
      </c>
      <c r="AJ5" s="77">
        <f>P34</f>
        <v>190646.99591682747</v>
      </c>
      <c r="AK5" s="77">
        <f>P35</f>
        <v>195613.40939292006</v>
      </c>
      <c r="AL5" s="77">
        <f>P36</f>
        <v>200081.93932977857</v>
      </c>
      <c r="AM5" s="77">
        <f>P37</f>
        <v>204032.30118382032</v>
      </c>
      <c r="AN5" s="77">
        <f>P38</f>
        <v>207443.38398785942</v>
      </c>
      <c r="AO5" s="77">
        <f>P39</f>
        <v>210293.21668133451</v>
      </c>
      <c r="AP5" s="77">
        <f>P40</f>
        <v>212558.93306877735</v>
      </c>
      <c r="AQ5" s="77">
        <f>P41</f>
        <v>214216.73535063546</v>
      </c>
      <c r="AR5" s="77">
        <f>P42</f>
        <v>215241.85616828472</v>
      </c>
      <c r="AS5" s="77">
        <f>P43</f>
        <v>215608.51910269647</v>
      </c>
    </row>
    <row r="6" spans="1:46">
      <c r="A6" s="78" t="s">
        <v>137</v>
      </c>
      <c r="B6" s="97">
        <f>'Final Proforma'!F9</f>
        <v>12</v>
      </c>
      <c r="E6">
        <v>4</v>
      </c>
      <c r="F6" s="77">
        <f t="shared" si="3"/>
        <v>1432.2458863963786</v>
      </c>
      <c r="G6" s="77">
        <f t="shared" si="0"/>
        <v>994.20784103249707</v>
      </c>
      <c r="H6" s="77">
        <f t="shared" si="4"/>
        <v>438.03804536388157</v>
      </c>
      <c r="I6" s="77">
        <f t="shared" si="1"/>
        <v>4985.5436963671782</v>
      </c>
      <c r="J6" s="77">
        <f t="shared" si="1"/>
        <v>2175.6857356147148</v>
      </c>
      <c r="K6" s="77">
        <f t="shared" si="5"/>
        <v>298262.35230974911</v>
      </c>
      <c r="L6" s="75">
        <v>400000</v>
      </c>
      <c r="M6" s="75">
        <f t="shared" si="2"/>
        <v>101737.64769025089</v>
      </c>
      <c r="O6" t="s">
        <v>148</v>
      </c>
      <c r="P6" s="77">
        <f>Q14</f>
        <v>5283.1092997561736</v>
      </c>
      <c r="Q6" s="77">
        <f>Q15</f>
        <v>10781.460623798299</v>
      </c>
      <c r="R6" s="77">
        <f>Q16</f>
        <v>16503.823264296967</v>
      </c>
      <c r="S6" s="77">
        <f>Q17</f>
        <v>22459.323787916121</v>
      </c>
      <c r="T6" s="77">
        <f>Q18</f>
        <v>28657.460591727126</v>
      </c>
      <c r="U6" s="77">
        <f>Q19</f>
        <v>35108.119052153328</v>
      </c>
      <c r="V6" s="77">
        <f>Q20</f>
        <v>41821.587291105883</v>
      </c>
      <c r="W6" s="77">
        <f>Q21</f>
        <v>48808.572584456364</v>
      </c>
      <c r="X6" s="77">
        <f>Q22</f>
        <v>56080.218439015822</v>
      </c>
      <c r="Y6" s="77">
        <f>Q23</f>
        <v>63648.122365256328</v>
      </c>
      <c r="Z6" s="77">
        <f>Q24</f>
        <v>71524.354374120609</v>
      </c>
      <c r="AA6" s="77">
        <f>Q25</f>
        <v>79721.476227420266</v>
      </c>
      <c r="AB6" s="77">
        <f>Q26</f>
        <v>88252.56147252486</v>
      </c>
      <c r="AC6" s="77">
        <f>Q27</f>
        <v>97131.216293295292</v>
      </c>
      <c r="AD6" s="77">
        <f>Q28</f>
        <v>106371.60121051614</v>
      </c>
      <c r="AE6" s="77">
        <f>Q29</f>
        <v>115988.45366643727</v>
      </c>
      <c r="AF6" s="77">
        <f>Q30</f>
        <v>125997.11152944459</v>
      </c>
      <c r="AG6" s="77">
        <f>Q31</f>
        <v>136413.53755634715</v>
      </c>
      <c r="AH6" s="77">
        <f>Q32</f>
        <v>147254.34485129561</v>
      </c>
      <c r="AI6" s="77">
        <f>Q33</f>
        <v>158536.82336193635</v>
      </c>
      <c r="AJ6" s="77">
        <f>Q34</f>
        <v>170278.96745505993</v>
      </c>
      <c r="AK6" s="77">
        <f>Q35</f>
        <v>182499.50461572385</v>
      </c>
      <c r="AL6" s="77">
        <f>Q36</f>
        <v>195217.92531562183</v>
      </c>
      <c r="AM6" s="77">
        <f>Q37</f>
        <v>208454.51409833669</v>
      </c>
      <c r="AN6" s="77">
        <f>Q38</f>
        <v>222230.38193105409</v>
      </c>
      <c r="AO6" s="77">
        <f>Q39</f>
        <v>236567.49987433554</v>
      </c>
      <c r="AP6" s="77">
        <f>Q40</f>
        <v>251488.73412364931</v>
      </c>
      <c r="AQ6" s="77">
        <f>Q41</f>
        <v>267017.88247854769</v>
      </c>
      <c r="AR6" s="77">
        <f>Q42</f>
        <v>283179.71229765494</v>
      </c>
      <c r="AS6" s="77">
        <f>Q43</f>
        <v>299999.99999999965</v>
      </c>
      <c r="AT6" s="77"/>
    </row>
    <row r="7" spans="1:46">
      <c r="A7" s="78" t="s">
        <v>138</v>
      </c>
      <c r="B7">
        <f>B6*B5</f>
        <v>360</v>
      </c>
      <c r="E7">
        <v>5</v>
      </c>
      <c r="F7" s="77">
        <f t="shared" si="3"/>
        <v>1432.2458863963786</v>
      </c>
      <c r="G7" s="77">
        <f t="shared" si="0"/>
        <v>992.74771421461742</v>
      </c>
      <c r="H7" s="77">
        <f t="shared" si="4"/>
        <v>439.49817218176122</v>
      </c>
      <c r="I7" s="77">
        <f t="shared" si="1"/>
        <v>5978.2914105817954</v>
      </c>
      <c r="J7" s="77">
        <f t="shared" si="1"/>
        <v>2615.183907796476</v>
      </c>
      <c r="K7" s="77">
        <f t="shared" si="5"/>
        <v>297824.3142643852</v>
      </c>
      <c r="L7" s="75">
        <v>400000</v>
      </c>
      <c r="M7" s="75">
        <f t="shared" si="2"/>
        <v>102175.6857356148</v>
      </c>
      <c r="O7" t="s">
        <v>151</v>
      </c>
      <c r="P7" s="77">
        <f>S14</f>
        <v>5283.1092997561736</v>
      </c>
      <c r="Q7" s="77">
        <f t="shared" ref="Q7:AS7" si="6">Q6-P6</f>
        <v>5498.3513240421253</v>
      </c>
      <c r="R7" s="77">
        <f t="shared" si="6"/>
        <v>5722.362640498668</v>
      </c>
      <c r="S7" s="77">
        <f t="shared" si="6"/>
        <v>5955.5005236191537</v>
      </c>
      <c r="T7" s="77">
        <f t="shared" si="6"/>
        <v>6198.1368038110049</v>
      </c>
      <c r="U7" s="77">
        <f t="shared" si="6"/>
        <v>6450.6584604262025</v>
      </c>
      <c r="V7" s="77">
        <f t="shared" si="6"/>
        <v>6713.4682389525551</v>
      </c>
      <c r="W7" s="77">
        <f t="shared" si="6"/>
        <v>6986.9852933504808</v>
      </c>
      <c r="X7" s="77">
        <f t="shared" si="6"/>
        <v>7271.6458545594578</v>
      </c>
      <c r="Y7" s="77">
        <f t="shared" si="6"/>
        <v>7567.9039262405058</v>
      </c>
      <c r="Z7" s="77">
        <f t="shared" si="6"/>
        <v>7876.2320088642809</v>
      </c>
      <c r="AA7" s="77">
        <f t="shared" si="6"/>
        <v>8197.1218532996572</v>
      </c>
      <c r="AB7" s="77">
        <f t="shared" si="6"/>
        <v>8531.0852451045939</v>
      </c>
      <c r="AC7" s="77">
        <f t="shared" si="6"/>
        <v>8878.6548207704327</v>
      </c>
      <c r="AD7" s="77">
        <f t="shared" si="6"/>
        <v>9240.3849172208429</v>
      </c>
      <c r="AE7" s="77">
        <f t="shared" si="6"/>
        <v>9616.8524559211364</v>
      </c>
      <c r="AF7" s="77">
        <f t="shared" si="6"/>
        <v>10008.65786300732</v>
      </c>
      <c r="AG7" s="77">
        <f t="shared" si="6"/>
        <v>10416.426026902554</v>
      </c>
      <c r="AH7" s="77">
        <f t="shared" si="6"/>
        <v>10840.807294948463</v>
      </c>
      <c r="AI7" s="77">
        <f t="shared" si="6"/>
        <v>11282.478510640736</v>
      </c>
      <c r="AJ7" s="77">
        <f t="shared" si="6"/>
        <v>11742.144093123585</v>
      </c>
      <c r="AK7" s="77">
        <f t="shared" si="6"/>
        <v>12220.537160663924</v>
      </c>
      <c r="AL7" s="77">
        <f t="shared" si="6"/>
        <v>12718.420699897979</v>
      </c>
      <c r="AM7" s="77">
        <f t="shared" si="6"/>
        <v>13236.588782714854</v>
      </c>
      <c r="AN7" s="77">
        <f t="shared" si="6"/>
        <v>13775.867832717398</v>
      </c>
      <c r="AO7" s="77">
        <f t="shared" si="6"/>
        <v>14337.117943281453</v>
      </c>
      <c r="AP7" s="77">
        <f t="shared" si="6"/>
        <v>14921.234249313769</v>
      </c>
      <c r="AQ7" s="77">
        <f t="shared" si="6"/>
        <v>15529.148354898382</v>
      </c>
      <c r="AR7" s="77">
        <f t="shared" si="6"/>
        <v>16161.829819107254</v>
      </c>
      <c r="AS7" s="77">
        <f t="shared" si="6"/>
        <v>16820.287702344707</v>
      </c>
    </row>
    <row r="8" spans="1:46">
      <c r="A8" s="78" t="s">
        <v>139</v>
      </c>
      <c r="B8" s="77">
        <f>-PMT(B4/B6, B7, B3, 0)</f>
        <v>1432.2458863963786</v>
      </c>
      <c r="E8">
        <v>6</v>
      </c>
      <c r="F8" s="77">
        <f t="shared" si="3"/>
        <v>1432.2458863963786</v>
      </c>
      <c r="G8" s="77">
        <f t="shared" si="0"/>
        <v>991.28272030734479</v>
      </c>
      <c r="H8" s="77">
        <f t="shared" si="4"/>
        <v>440.96316608903385</v>
      </c>
      <c r="I8" s="77">
        <f t="shared" si="1"/>
        <v>6969.5741308891402</v>
      </c>
      <c r="J8" s="77">
        <f t="shared" si="1"/>
        <v>3056.1470738855096</v>
      </c>
      <c r="K8" s="77">
        <f t="shared" si="5"/>
        <v>297384.81609220343</v>
      </c>
      <c r="L8" s="75">
        <v>400000</v>
      </c>
      <c r="M8" s="75">
        <f t="shared" si="2"/>
        <v>102615.18390779657</v>
      </c>
      <c r="O8" t="s">
        <v>146</v>
      </c>
      <c r="P8" s="77">
        <f>R14</f>
        <v>295165.25241193373</v>
      </c>
      <c r="Q8" s="77">
        <f>R15</f>
        <v>289685.16803581209</v>
      </c>
      <c r="R8" s="77">
        <f>R16</f>
        <v>283981.81656687654</v>
      </c>
      <c r="S8" s="77">
        <f>R17</f>
        <v>278046.10175928264</v>
      </c>
      <c r="T8" s="77">
        <f>R18</f>
        <v>271868.55677209568</v>
      </c>
      <c r="U8" s="77">
        <f>R19</f>
        <v>265439.32907067431</v>
      </c>
      <c r="V8" s="77">
        <f>R20</f>
        <v>258748.16471291432</v>
      </c>
      <c r="W8" s="77">
        <f>R21</f>
        <v>251784.39199528928</v>
      </c>
      <c r="X8" s="77">
        <f>R22</f>
        <v>244536.9044326054</v>
      </c>
      <c r="Y8" s="77">
        <f>R23</f>
        <v>236994.1430443259</v>
      </c>
      <c r="Z8" s="77">
        <f>R24</f>
        <v>229144.077919212</v>
      </c>
      <c r="AA8" s="77">
        <f>R25</f>
        <v>220974.18902888018</v>
      </c>
      <c r="AB8" s="77">
        <f>R26</f>
        <v>212471.44625967296</v>
      </c>
      <c r="AC8" s="77">
        <f>R27</f>
        <v>203622.28863099811</v>
      </c>
      <c r="AD8" s="77">
        <f>R28</f>
        <v>194412.60266699069</v>
      </c>
      <c r="AE8" s="77">
        <f>R29</f>
        <v>184827.69988700282</v>
      </c>
      <c r="AF8" s="77">
        <f>R30</f>
        <v>174852.29337902204</v>
      </c>
      <c r="AG8" s="77">
        <f>R31</f>
        <v>164470.47341865403</v>
      </c>
      <c r="AH8" s="77">
        <f>R32</f>
        <v>153665.68209478515</v>
      </c>
      <c r="AI8" s="77">
        <f>R33</f>
        <v>142420.68690145551</v>
      </c>
      <c r="AJ8" s="77">
        <f>R34</f>
        <v>130717.55325382399</v>
      </c>
      <c r="AK8" s="77">
        <f>R35</f>
        <v>118537.61588439147</v>
      </c>
      <c r="AL8" s="77">
        <f>R36</f>
        <v>105861.44907386189</v>
      </c>
      <c r="AM8" s="77">
        <f>R37</f>
        <v>92668.835669162712</v>
      </c>
      <c r="AN8" s="77">
        <f>R38</f>
        <v>78938.734839211756</v>
      </c>
      <c r="AO8" s="77">
        <f>R39</f>
        <v>64649.248517004336</v>
      </c>
      <c r="AP8" s="77">
        <f>R40</f>
        <v>49777.586474498959</v>
      </c>
      <c r="AQ8" s="77">
        <f>R41</f>
        <v>34300.029974600227</v>
      </c>
      <c r="AR8" s="77">
        <f>R42</f>
        <v>18191.893942267401</v>
      </c>
      <c r="AS8" s="77">
        <f>R43</f>
        <v>1427.4875944154871</v>
      </c>
    </row>
    <row r="9" spans="1:46">
      <c r="A9" s="78" t="s">
        <v>140</v>
      </c>
      <c r="B9" s="77">
        <f>B8*B7</f>
        <v>515608.51910269633</v>
      </c>
      <c r="E9">
        <v>7</v>
      </c>
      <c r="F9" s="77">
        <f t="shared" si="3"/>
        <v>1432.2458863963786</v>
      </c>
      <c r="G9" s="77">
        <f t="shared" si="0"/>
        <v>989.81284308704801</v>
      </c>
      <c r="H9" s="77">
        <f t="shared" si="4"/>
        <v>442.43304330933063</v>
      </c>
      <c r="I9" s="77">
        <f t="shared" si="1"/>
        <v>7959.3869739761885</v>
      </c>
      <c r="J9" s="77">
        <f t="shared" si="1"/>
        <v>3498.5801171948401</v>
      </c>
      <c r="K9" s="77">
        <f t="shared" si="5"/>
        <v>296943.8529261144</v>
      </c>
      <c r="L9" s="75">
        <v>400000</v>
      </c>
      <c r="M9" s="75">
        <f t="shared" si="2"/>
        <v>103056.1470738856</v>
      </c>
    </row>
    <row r="10" spans="1:46">
      <c r="A10" s="78" t="s">
        <v>141</v>
      </c>
      <c r="B10" s="82">
        <f>B9-B3</f>
        <v>215608.51910269633</v>
      </c>
      <c r="E10">
        <v>8</v>
      </c>
      <c r="F10" s="77">
        <f t="shared" si="3"/>
        <v>1432.2458863963786</v>
      </c>
      <c r="G10" s="77">
        <f t="shared" si="0"/>
        <v>988.338066276017</v>
      </c>
      <c r="H10" s="77">
        <f t="shared" si="4"/>
        <v>443.90782012036163</v>
      </c>
      <c r="I10" s="77">
        <f t="shared" si="1"/>
        <v>8947.7250402522059</v>
      </c>
      <c r="J10" s="77">
        <f t="shared" si="1"/>
        <v>3942.4879373152016</v>
      </c>
      <c r="K10" s="77">
        <f t="shared" si="5"/>
        <v>296501.41988280509</v>
      </c>
      <c r="L10" s="75">
        <v>400000</v>
      </c>
      <c r="M10" s="75">
        <f t="shared" si="2"/>
        <v>103498.58011719491</v>
      </c>
    </row>
    <row r="11" spans="1:46">
      <c r="E11">
        <v>9</v>
      </c>
      <c r="F11" s="77">
        <f t="shared" si="3"/>
        <v>1432.2458863963786</v>
      </c>
      <c r="G11" s="77">
        <f t="shared" si="0"/>
        <v>986.85837354228261</v>
      </c>
      <c r="H11" s="77">
        <f t="shared" si="4"/>
        <v>445.38751285409603</v>
      </c>
      <c r="I11" s="77">
        <f t="shared" si="1"/>
        <v>9934.5834137944876</v>
      </c>
      <c r="J11" s="77">
        <f t="shared" si="1"/>
        <v>4387.8754501692974</v>
      </c>
      <c r="K11" s="77">
        <f t="shared" si="5"/>
        <v>296057.51206268475</v>
      </c>
      <c r="L11" s="75">
        <v>400000</v>
      </c>
      <c r="M11" s="75">
        <f t="shared" si="2"/>
        <v>103942.48793731525</v>
      </c>
    </row>
    <row r="12" spans="1:46">
      <c r="E12">
        <v>10</v>
      </c>
      <c r="F12" s="77">
        <f t="shared" si="3"/>
        <v>1432.2458863963786</v>
      </c>
      <c r="G12" s="77">
        <f t="shared" si="0"/>
        <v>985.37374849943569</v>
      </c>
      <c r="H12" s="77">
        <f t="shared" si="4"/>
        <v>446.87213789694295</v>
      </c>
      <c r="I12" s="77">
        <f t="shared" si="1"/>
        <v>10919.957162293924</v>
      </c>
      <c r="J12" s="77">
        <f t="shared" si="1"/>
        <v>4834.7475880662405</v>
      </c>
      <c r="K12" s="77">
        <f t="shared" si="5"/>
        <v>295612.12454983068</v>
      </c>
      <c r="L12" s="75">
        <v>400000</v>
      </c>
      <c r="M12" s="75">
        <f t="shared" si="2"/>
        <v>104387.87545016932</v>
      </c>
    </row>
    <row r="13" spans="1:46">
      <c r="B13" s="77"/>
      <c r="E13">
        <v>11</v>
      </c>
      <c r="F13" s="77">
        <f t="shared" si="3"/>
        <v>1432.2458863963786</v>
      </c>
      <c r="G13" s="77">
        <f t="shared" si="0"/>
        <v>983.88417470644583</v>
      </c>
      <c r="H13" s="77">
        <f t="shared" si="4"/>
        <v>448.3617116899328</v>
      </c>
      <c r="I13" s="77">
        <f t="shared" si="1"/>
        <v>11903.841337000369</v>
      </c>
      <c r="J13" s="77">
        <f t="shared" si="1"/>
        <v>5283.1092997561736</v>
      </c>
      <c r="K13" s="77">
        <f t="shared" si="5"/>
        <v>295165.25241193373</v>
      </c>
      <c r="L13" s="75">
        <v>400000</v>
      </c>
      <c r="M13" s="75">
        <f t="shared" si="2"/>
        <v>104834.74758806627</v>
      </c>
      <c r="O13" s="83" t="s">
        <v>119</v>
      </c>
      <c r="P13" t="s">
        <v>147</v>
      </c>
      <c r="Q13" t="s">
        <v>148</v>
      </c>
      <c r="R13" t="s">
        <v>148</v>
      </c>
      <c r="S13" t="s">
        <v>151</v>
      </c>
    </row>
    <row r="14" spans="1:46">
      <c r="E14">
        <v>12</v>
      </c>
      <c r="F14" s="77">
        <f t="shared" si="3"/>
        <v>1432.2458863963786</v>
      </c>
      <c r="G14" s="77">
        <f t="shared" si="0"/>
        <v>982.38963566747941</v>
      </c>
      <c r="H14" s="77">
        <f t="shared" si="4"/>
        <v>449.85625072889923</v>
      </c>
      <c r="I14" s="77">
        <f t="shared" si="1"/>
        <v>12886.230972667849</v>
      </c>
      <c r="J14" s="77">
        <f t="shared" si="1"/>
        <v>5732.9655504850725</v>
      </c>
      <c r="K14" s="77">
        <f t="shared" si="5"/>
        <v>294716.89070024382</v>
      </c>
      <c r="L14" s="75">
        <v>400000</v>
      </c>
      <c r="M14" s="75">
        <f t="shared" si="2"/>
        <v>105283.10929975618</v>
      </c>
      <c r="O14">
        <v>1</v>
      </c>
      <c r="P14" s="77">
        <f>I13</f>
        <v>11903.841337000369</v>
      </c>
      <c r="Q14" s="77">
        <f>J13</f>
        <v>5283.1092997561736</v>
      </c>
      <c r="R14" s="77">
        <f>K13</f>
        <v>295165.25241193373</v>
      </c>
      <c r="S14" s="77">
        <f>Q14</f>
        <v>5283.1092997561736</v>
      </c>
    </row>
    <row r="15" spans="1:46">
      <c r="E15">
        <v>13</v>
      </c>
      <c r="F15" s="77">
        <f t="shared" si="3"/>
        <v>1432.2458863963786</v>
      </c>
      <c r="G15" s="77">
        <f t="shared" si="0"/>
        <v>980.89011483171646</v>
      </c>
      <c r="H15" s="77">
        <f t="shared" si="4"/>
        <v>451.35577156466218</v>
      </c>
      <c r="I15" s="77">
        <f t="shared" si="1"/>
        <v>13867.121087499565</v>
      </c>
      <c r="J15" s="77">
        <f t="shared" si="1"/>
        <v>6184.3213220497346</v>
      </c>
      <c r="K15" s="77">
        <f t="shared" si="5"/>
        <v>294267.03444951493</v>
      </c>
      <c r="L15" s="75">
        <v>400000</v>
      </c>
      <c r="M15" s="75">
        <f t="shared" si="2"/>
        <v>105732.96555048507</v>
      </c>
      <c r="O15">
        <v>2</v>
      </c>
      <c r="P15" s="77">
        <f>I25</f>
        <v>23592.44064971479</v>
      </c>
      <c r="Q15" s="77">
        <f>J25</f>
        <v>10781.460623798299</v>
      </c>
      <c r="R15" s="77">
        <f>K25</f>
        <v>289685.16803581209</v>
      </c>
      <c r="S15" s="77">
        <f t="shared" ref="S15:S43" si="7">Q15-Q14</f>
        <v>5498.3513240421253</v>
      </c>
    </row>
    <row r="16" spans="1:46">
      <c r="E16">
        <v>14</v>
      </c>
      <c r="F16" s="77">
        <f t="shared" si="3"/>
        <v>1432.2458863963786</v>
      </c>
      <c r="G16" s="77">
        <f t="shared" si="0"/>
        <v>979.38559559316764</v>
      </c>
      <c r="H16" s="77">
        <f t="shared" si="4"/>
        <v>452.860290803211</v>
      </c>
      <c r="I16" s="77">
        <f t="shared" si="1"/>
        <v>14846.506683092732</v>
      </c>
      <c r="J16" s="77">
        <f t="shared" si="1"/>
        <v>6637.1816128529454</v>
      </c>
      <c r="K16" s="77">
        <f t="shared" si="5"/>
        <v>293815.67867795029</v>
      </c>
      <c r="L16" s="75">
        <v>400000</v>
      </c>
      <c r="M16" s="75">
        <f t="shared" si="2"/>
        <v>106184.32132204971</v>
      </c>
      <c r="O16">
        <v>3</v>
      </c>
      <c r="P16" s="77">
        <f>I37</f>
        <v>35057.028645972656</v>
      </c>
      <c r="Q16" s="77">
        <f>J37</f>
        <v>16503.823264296967</v>
      </c>
      <c r="R16" s="77">
        <f>K37</f>
        <v>283981.81656687654</v>
      </c>
      <c r="S16" s="77">
        <f t="shared" si="7"/>
        <v>5722.362640498668</v>
      </c>
    </row>
    <row r="17" spans="1:19">
      <c r="E17">
        <v>15</v>
      </c>
      <c r="F17" s="77">
        <f t="shared" si="3"/>
        <v>1432.2458863963786</v>
      </c>
      <c r="G17" s="77">
        <f t="shared" si="0"/>
        <v>977.87606129049038</v>
      </c>
      <c r="H17" s="77">
        <f t="shared" si="4"/>
        <v>454.36982510588825</v>
      </c>
      <c r="I17" s="77">
        <f t="shared" si="1"/>
        <v>15824.382744383222</v>
      </c>
      <c r="J17" s="77">
        <f t="shared" si="1"/>
        <v>7091.551437958834</v>
      </c>
      <c r="K17" s="77">
        <f t="shared" si="5"/>
        <v>293362.8183871471</v>
      </c>
      <c r="L17" s="75">
        <v>400000</v>
      </c>
      <c r="M17" s="75">
        <f t="shared" si="2"/>
        <v>106637.1816128529</v>
      </c>
      <c r="O17">
        <v>4</v>
      </c>
      <c r="P17" s="77">
        <f>I49</f>
        <v>46288.478759110054</v>
      </c>
      <c r="Q17" s="77">
        <f>J49</f>
        <v>22459.323787916121</v>
      </c>
      <c r="R17" s="77">
        <f>K49</f>
        <v>278046.10175928264</v>
      </c>
      <c r="S17" s="77">
        <f t="shared" si="7"/>
        <v>5955.5005236191537</v>
      </c>
    </row>
    <row r="18" spans="1:19">
      <c r="A18" s="76">
        <f>B4/12</f>
        <v>3.3333333333333335E-3</v>
      </c>
      <c r="E18">
        <v>16</v>
      </c>
      <c r="F18" s="77">
        <f t="shared" si="3"/>
        <v>1432.2458863963786</v>
      </c>
      <c r="G18" s="77">
        <f t="shared" si="0"/>
        <v>976.36149520680408</v>
      </c>
      <c r="H18" s="77">
        <f t="shared" si="4"/>
        <v>455.88439118957456</v>
      </c>
      <c r="I18" s="77">
        <f t="shared" si="1"/>
        <v>16800.744239590025</v>
      </c>
      <c r="J18" s="77">
        <f t="shared" si="1"/>
        <v>7547.4358291484086</v>
      </c>
      <c r="K18" s="77">
        <f t="shared" si="5"/>
        <v>292908.44856204122</v>
      </c>
      <c r="L18" s="75">
        <v>400000</v>
      </c>
      <c r="M18" s="75">
        <f t="shared" si="2"/>
        <v>107091.55143795878</v>
      </c>
      <c r="O18">
        <v>5</v>
      </c>
      <c r="P18" s="77">
        <f>I61</f>
        <v>57277.292592055586</v>
      </c>
      <c r="Q18" s="77">
        <f>J61</f>
        <v>28657.460591727126</v>
      </c>
      <c r="R18" s="77">
        <f>K61</f>
        <v>271868.55677209568</v>
      </c>
      <c r="S18" s="77">
        <f t="shared" si="7"/>
        <v>6198.1368038110049</v>
      </c>
    </row>
    <row r="19" spans="1:19">
      <c r="B19">
        <f>319615.33*A18</f>
        <v>1065.3844333333334</v>
      </c>
      <c r="E19">
        <v>17</v>
      </c>
      <c r="F19" s="77">
        <f t="shared" si="3"/>
        <v>1432.2458863963786</v>
      </c>
      <c r="G19" s="77">
        <f t="shared" si="0"/>
        <v>974.84188056950563</v>
      </c>
      <c r="H19" s="77">
        <f t="shared" si="4"/>
        <v>457.404005826873</v>
      </c>
      <c r="I19" s="77">
        <f t="shared" ref="I19:J34" si="8">I18+G19</f>
        <v>17775.586120159533</v>
      </c>
      <c r="J19" s="77">
        <f t="shared" si="8"/>
        <v>8004.8398349752815</v>
      </c>
      <c r="K19" s="77">
        <f t="shared" si="5"/>
        <v>292452.56417085166</v>
      </c>
      <c r="L19" s="75">
        <v>400000</v>
      </c>
      <c r="M19" s="75">
        <f t="shared" si="2"/>
        <v>107547.43582914834</v>
      </c>
      <c r="O19">
        <v>6</v>
      </c>
      <c r="P19" s="77">
        <f>I73</f>
        <v>68013.584768385932</v>
      </c>
      <c r="Q19" s="77">
        <f>J73</f>
        <v>35108.119052153328</v>
      </c>
      <c r="R19" s="77">
        <f>K73</f>
        <v>265439.32907067431</v>
      </c>
      <c r="S19" s="77">
        <f t="shared" si="7"/>
        <v>6450.6584604262025</v>
      </c>
    </row>
    <row r="20" spans="1:19">
      <c r="B20" s="77">
        <f>A18*B3</f>
        <v>1000.0000000000001</v>
      </c>
      <c r="E20">
        <v>18</v>
      </c>
      <c r="F20" s="77">
        <f t="shared" si="3"/>
        <v>1432.2458863963786</v>
      </c>
      <c r="G20" s="77">
        <f t="shared" si="0"/>
        <v>973.3172005500827</v>
      </c>
      <c r="H20" s="77">
        <f t="shared" si="4"/>
        <v>458.92868584629593</v>
      </c>
      <c r="I20" s="77">
        <f t="shared" si="8"/>
        <v>18748.903320709614</v>
      </c>
      <c r="J20" s="77">
        <f t="shared" si="8"/>
        <v>8463.7685208215771</v>
      </c>
      <c r="K20" s="77">
        <f t="shared" si="5"/>
        <v>291995.1601650248</v>
      </c>
      <c r="L20" s="75">
        <v>400000</v>
      </c>
      <c r="M20" s="75">
        <f t="shared" si="2"/>
        <v>108004.8398349752</v>
      </c>
      <c r="O20">
        <v>7</v>
      </c>
      <c r="P20" s="77">
        <f>I85</f>
        <v>78487.06716618991</v>
      </c>
      <c r="Q20" s="77">
        <f>J85</f>
        <v>41821.587291105883</v>
      </c>
      <c r="R20" s="77">
        <f>K85</f>
        <v>258748.16471291432</v>
      </c>
      <c r="S20" s="77">
        <f t="shared" si="7"/>
        <v>6713.4682389525551</v>
      </c>
    </row>
    <row r="21" spans="1:19">
      <c r="E21">
        <v>19</v>
      </c>
      <c r="F21" s="77">
        <f t="shared" si="3"/>
        <v>1432.2458863963786</v>
      </c>
      <c r="G21" s="77">
        <f t="shared" si="0"/>
        <v>971.78743826392849</v>
      </c>
      <c r="H21" s="77">
        <f t="shared" si="4"/>
        <v>460.45844813245014</v>
      </c>
      <c r="I21" s="77">
        <f t="shared" si="8"/>
        <v>19720.690758973542</v>
      </c>
      <c r="J21" s="77">
        <f t="shared" si="8"/>
        <v>8924.2269689540281</v>
      </c>
      <c r="K21" s="77">
        <f t="shared" si="5"/>
        <v>291536.23147917853</v>
      </c>
      <c r="L21" s="75">
        <v>400000</v>
      </c>
      <c r="M21" s="75">
        <f t="shared" si="2"/>
        <v>108463.76852082147</v>
      </c>
      <c r="O21">
        <v>8</v>
      </c>
      <c r="P21" s="77">
        <f>I97</f>
        <v>88687.032509596</v>
      </c>
      <c r="Q21" s="77">
        <f>J97</f>
        <v>48808.572584456364</v>
      </c>
      <c r="R21" s="77">
        <f>K97</f>
        <v>251784.39199528928</v>
      </c>
      <c r="S21" s="77">
        <f t="shared" si="7"/>
        <v>6986.9852933504808</v>
      </c>
    </row>
    <row r="22" spans="1:19">
      <c r="E22">
        <v>20</v>
      </c>
      <c r="F22" s="77">
        <f t="shared" si="3"/>
        <v>1432.2458863963786</v>
      </c>
      <c r="G22" s="77">
        <f t="shared" si="0"/>
        <v>970.25257677015372</v>
      </c>
      <c r="H22" s="77">
        <f t="shared" si="4"/>
        <v>461.99330962622491</v>
      </c>
      <c r="I22" s="77">
        <f t="shared" si="8"/>
        <v>20690.943335743697</v>
      </c>
      <c r="J22" s="77">
        <f t="shared" si="8"/>
        <v>9386.2202785802529</v>
      </c>
      <c r="K22" s="77">
        <f t="shared" si="5"/>
        <v>291075.77303104609</v>
      </c>
      <c r="L22" s="75">
        <v>400000</v>
      </c>
      <c r="M22" s="75">
        <f t="shared" si="2"/>
        <v>108924.22696895391</v>
      </c>
      <c r="O22">
        <v>9</v>
      </c>
      <c r="P22" s="77">
        <f>I109</f>
        <v>98602.337291793083</v>
      </c>
      <c r="Q22" s="77">
        <f>J109</f>
        <v>56080.218439015822</v>
      </c>
      <c r="R22" s="77">
        <f>K109</f>
        <v>244536.9044326054</v>
      </c>
      <c r="S22" s="77">
        <f t="shared" si="7"/>
        <v>7271.6458545594578</v>
      </c>
    </row>
    <row r="23" spans="1:19">
      <c r="E23">
        <v>21</v>
      </c>
      <c r="F23" s="77">
        <f t="shared" si="3"/>
        <v>1432.2458863963786</v>
      </c>
      <c r="G23" s="77">
        <f t="shared" si="0"/>
        <v>968.71259907139961</v>
      </c>
      <c r="H23" s="77">
        <f t="shared" si="4"/>
        <v>463.53328732497903</v>
      </c>
      <c r="I23" s="77">
        <f t="shared" si="8"/>
        <v>21659.655934815099</v>
      </c>
      <c r="J23" s="77">
        <f t="shared" si="8"/>
        <v>9849.7535659052319</v>
      </c>
      <c r="K23" s="77">
        <f t="shared" si="5"/>
        <v>290613.77972141985</v>
      </c>
      <c r="L23" s="75">
        <v>400000</v>
      </c>
      <c r="M23" s="75">
        <f t="shared" si="2"/>
        <v>109386.22027858015</v>
      </c>
      <c r="O23">
        <v>10</v>
      </c>
      <c r="P23" s="77">
        <f>I121</f>
        <v>108221.38400230913</v>
      </c>
      <c r="Q23" s="77">
        <f>J121</f>
        <v>63648.122365256328</v>
      </c>
      <c r="R23" s="77">
        <f>K121</f>
        <v>236994.1430443259</v>
      </c>
      <c r="S23" s="77">
        <f t="shared" si="7"/>
        <v>7567.9039262405058</v>
      </c>
    </row>
    <row r="24" spans="1:19">
      <c r="E24">
        <v>22</v>
      </c>
      <c r="F24" s="77">
        <f t="shared" si="3"/>
        <v>1432.2458863963786</v>
      </c>
      <c r="G24" s="77">
        <f t="shared" si="0"/>
        <v>967.1674881136496</v>
      </c>
      <c r="H24" s="77">
        <f t="shared" si="4"/>
        <v>465.07839828272904</v>
      </c>
      <c r="I24" s="77">
        <f t="shared" si="8"/>
        <v>22626.823422928748</v>
      </c>
      <c r="J24" s="77">
        <f t="shared" si="8"/>
        <v>10314.831964187961</v>
      </c>
      <c r="K24" s="77">
        <f t="shared" si="5"/>
        <v>290150.24643409485</v>
      </c>
      <c r="L24" s="75">
        <v>400000</v>
      </c>
      <c r="M24" s="75">
        <f t="shared" si="2"/>
        <v>109849.75356590515</v>
      </c>
      <c r="O24">
        <v>11</v>
      </c>
      <c r="P24" s="77">
        <f>I133</f>
        <v>117532.10263020141</v>
      </c>
      <c r="Q24" s="77">
        <f>J133</f>
        <v>71524.354374120609</v>
      </c>
      <c r="R24" s="77">
        <f>K133</f>
        <v>229144.077919212</v>
      </c>
      <c r="S24" s="77">
        <f t="shared" si="7"/>
        <v>7876.2320088642809</v>
      </c>
    </row>
    <row r="25" spans="1:19">
      <c r="E25">
        <v>23</v>
      </c>
      <c r="F25" s="77">
        <f t="shared" si="3"/>
        <v>1432.2458863963786</v>
      </c>
      <c r="G25" s="77">
        <f t="shared" si="0"/>
        <v>965.61722678604042</v>
      </c>
      <c r="H25" s="77">
        <f t="shared" si="4"/>
        <v>466.62865961033822</v>
      </c>
      <c r="I25" s="77">
        <f t="shared" si="8"/>
        <v>23592.44064971479</v>
      </c>
      <c r="J25" s="77">
        <f t="shared" si="8"/>
        <v>10781.460623798299</v>
      </c>
      <c r="K25" s="77">
        <f t="shared" si="5"/>
        <v>289685.16803581209</v>
      </c>
      <c r="L25" s="75">
        <v>400000</v>
      </c>
      <c r="M25" s="75">
        <f t="shared" si="2"/>
        <v>110314.83196418791</v>
      </c>
      <c r="O25">
        <v>12</v>
      </c>
      <c r="P25" s="77">
        <f>I145</f>
        <v>126521.9314136583</v>
      </c>
      <c r="Q25" s="77">
        <f>J145</f>
        <v>79721.476227420266</v>
      </c>
      <c r="R25" s="77">
        <f>K145</f>
        <v>220974.18902888018</v>
      </c>
      <c r="S25" s="77">
        <f t="shared" si="7"/>
        <v>8197.1218532996572</v>
      </c>
    </row>
    <row r="26" spans="1:19">
      <c r="E26">
        <v>24</v>
      </c>
      <c r="F26" s="77">
        <f t="shared" si="3"/>
        <v>1432.2458863963786</v>
      </c>
      <c r="G26" s="77">
        <f t="shared" si="0"/>
        <v>964.06179792067257</v>
      </c>
      <c r="H26" s="77">
        <f t="shared" si="4"/>
        <v>468.18408847570606</v>
      </c>
      <c r="I26" s="77">
        <f t="shared" si="8"/>
        <v>24556.502447635463</v>
      </c>
      <c r="J26" s="77">
        <f t="shared" si="8"/>
        <v>11249.644712274005</v>
      </c>
      <c r="K26" s="77">
        <f t="shared" si="5"/>
        <v>289218.53937620175</v>
      </c>
      <c r="L26" s="75">
        <v>400000</v>
      </c>
      <c r="M26" s="75">
        <f t="shared" si="2"/>
        <v>110781.46062379825</v>
      </c>
      <c r="O26">
        <v>13</v>
      </c>
      <c r="P26" s="77">
        <f>I157</f>
        <v>135177.79680531024</v>
      </c>
      <c r="Q26" s="77">
        <f>J157</f>
        <v>88252.56147252486</v>
      </c>
      <c r="R26" s="77">
        <f>K157</f>
        <v>212471.44625967296</v>
      </c>
      <c r="S26" s="77">
        <f t="shared" si="7"/>
        <v>8531.0852451045939</v>
      </c>
    </row>
    <row r="27" spans="1:19">
      <c r="E27">
        <v>25</v>
      </c>
      <c r="F27" s="77">
        <f t="shared" si="3"/>
        <v>1432.2458863963786</v>
      </c>
      <c r="G27" s="77">
        <f t="shared" si="0"/>
        <v>962.50118429242013</v>
      </c>
      <c r="H27" s="77">
        <f t="shared" si="4"/>
        <v>469.7447021039585</v>
      </c>
      <c r="I27" s="77">
        <f t="shared" si="8"/>
        <v>25519.003631927884</v>
      </c>
      <c r="J27" s="77">
        <f t="shared" si="8"/>
        <v>11719.389414377963</v>
      </c>
      <c r="K27" s="77">
        <f t="shared" si="5"/>
        <v>288750.35528772604</v>
      </c>
      <c r="L27" s="75">
        <v>400000</v>
      </c>
      <c r="M27" s="75">
        <f t="shared" si="2"/>
        <v>111249.64471227396</v>
      </c>
      <c r="O27">
        <v>14</v>
      </c>
      <c r="P27" s="77">
        <f>I169</f>
        <v>143486.09262129638</v>
      </c>
      <c r="Q27" s="77">
        <f>J169</f>
        <v>97131.216293295292</v>
      </c>
      <c r="R27" s="77">
        <f>K169</f>
        <v>203622.28863099811</v>
      </c>
      <c r="S27" s="77">
        <f t="shared" si="7"/>
        <v>8878.6548207704327</v>
      </c>
    </row>
    <row r="28" spans="1:19">
      <c r="E28">
        <v>26</v>
      </c>
      <c r="F28" s="77">
        <f t="shared" si="3"/>
        <v>1432.2458863963786</v>
      </c>
      <c r="G28" s="77">
        <f t="shared" si="0"/>
        <v>960.93536861874031</v>
      </c>
      <c r="H28" s="77">
        <f t="shared" si="4"/>
        <v>471.31051777763832</v>
      </c>
      <c r="I28" s="77">
        <f t="shared" si="8"/>
        <v>26479.939000546623</v>
      </c>
      <c r="J28" s="77">
        <f t="shared" si="8"/>
        <v>12190.699932155601</v>
      </c>
      <c r="K28" s="77">
        <f t="shared" si="5"/>
        <v>288280.61058562208</v>
      </c>
      <c r="L28" s="75">
        <v>400000</v>
      </c>
      <c r="M28" s="75">
        <f t="shared" si="2"/>
        <v>111719.38941437792</v>
      </c>
      <c r="O28">
        <v>15</v>
      </c>
      <c r="P28" s="77">
        <f>I181</f>
        <v>151432.65834083204</v>
      </c>
      <c r="Q28" s="77">
        <f>J181</f>
        <v>106371.60121051614</v>
      </c>
      <c r="R28" s="77">
        <f>K181</f>
        <v>194412.60266699069</v>
      </c>
      <c r="S28" s="77">
        <f t="shared" si="7"/>
        <v>9240.3849172208429</v>
      </c>
    </row>
    <row r="29" spans="1:19">
      <c r="E29">
        <v>27</v>
      </c>
      <c r="F29" s="77">
        <f t="shared" si="3"/>
        <v>1432.2458863963786</v>
      </c>
      <c r="G29" s="77">
        <f t="shared" si="0"/>
        <v>959.36433355948157</v>
      </c>
      <c r="H29" s="77">
        <f t="shared" si="4"/>
        <v>472.88155283689707</v>
      </c>
      <c r="I29" s="77">
        <f t="shared" si="8"/>
        <v>27439.303334106105</v>
      </c>
      <c r="J29" s="77">
        <f t="shared" si="8"/>
        <v>12663.581484992499</v>
      </c>
      <c r="K29" s="77">
        <f t="shared" si="5"/>
        <v>287809.30006784445</v>
      </c>
      <c r="L29" s="75">
        <v>400000</v>
      </c>
      <c r="M29" s="75">
        <f t="shared" si="2"/>
        <v>112190.69993215555</v>
      </c>
      <c r="O29">
        <v>16</v>
      </c>
      <c r="P29" s="77">
        <f>I193</f>
        <v>159002.75652166744</v>
      </c>
      <c r="Q29" s="77">
        <f>J193</f>
        <v>115988.45366643727</v>
      </c>
      <c r="R29" s="77">
        <f>K193</f>
        <v>184827.69988700282</v>
      </c>
      <c r="S29" s="77">
        <f t="shared" si="7"/>
        <v>9616.8524559211364</v>
      </c>
    </row>
    <row r="30" spans="1:19">
      <c r="E30">
        <v>28</v>
      </c>
      <c r="F30" s="77">
        <f t="shared" si="3"/>
        <v>1432.2458863963786</v>
      </c>
      <c r="G30" s="77">
        <f t="shared" si="0"/>
        <v>957.7880617166918</v>
      </c>
      <c r="H30" s="77">
        <f t="shared" si="4"/>
        <v>474.45782467968684</v>
      </c>
      <c r="I30" s="77">
        <f t="shared" si="8"/>
        <v>28397.091395822797</v>
      </c>
      <c r="J30" s="77">
        <f t="shared" si="8"/>
        <v>13138.039309672185</v>
      </c>
      <c r="K30" s="77">
        <f t="shared" si="5"/>
        <v>287336.41851500754</v>
      </c>
      <c r="L30" s="75">
        <v>400000</v>
      </c>
      <c r="M30" s="75">
        <f t="shared" si="2"/>
        <v>112663.58148499246</v>
      </c>
      <c r="O30">
        <v>17</v>
      </c>
      <c r="P30" s="77">
        <f>I205</f>
        <v>166181.04929541665</v>
      </c>
      <c r="Q30" s="77">
        <f>J205</f>
        <v>125997.11152944459</v>
      </c>
      <c r="R30" s="77">
        <f>K205</f>
        <v>174852.29337902204</v>
      </c>
      <c r="S30" s="77">
        <f t="shared" si="7"/>
        <v>10008.65786300732</v>
      </c>
    </row>
    <row r="31" spans="1:19">
      <c r="E31">
        <v>29</v>
      </c>
      <c r="F31" s="77">
        <f t="shared" si="3"/>
        <v>1432.2458863963786</v>
      </c>
      <c r="G31" s="77">
        <f t="shared" si="0"/>
        <v>956.20653563442625</v>
      </c>
      <c r="H31" s="77">
        <f t="shared" si="4"/>
        <v>476.03935076195239</v>
      </c>
      <c r="I31" s="77">
        <f t="shared" si="8"/>
        <v>29353.297931457222</v>
      </c>
      <c r="J31" s="77">
        <f t="shared" si="8"/>
        <v>13614.078660434137</v>
      </c>
      <c r="K31" s="77">
        <f t="shared" si="5"/>
        <v>286861.96069032786</v>
      </c>
      <c r="L31" s="75">
        <v>400000</v>
      </c>
      <c r="M31" s="75">
        <f t="shared" si="2"/>
        <v>113138.03930967214</v>
      </c>
      <c r="O31">
        <v>18</v>
      </c>
      <c r="P31" s="77">
        <f>I217</f>
        <v>172951.57390527066</v>
      </c>
      <c r="Q31" s="77">
        <f>J217</f>
        <v>136413.53755634715</v>
      </c>
      <c r="R31" s="77">
        <f>K217</f>
        <v>164470.47341865403</v>
      </c>
      <c r="S31" s="77">
        <f t="shared" si="7"/>
        <v>10416.426026902554</v>
      </c>
    </row>
    <row r="32" spans="1:19">
      <c r="E32">
        <v>30</v>
      </c>
      <c r="F32" s="77">
        <f t="shared" si="3"/>
        <v>1432.2458863963786</v>
      </c>
      <c r="G32" s="77">
        <f t="shared" si="0"/>
        <v>954.61973779855305</v>
      </c>
      <c r="H32" s="77">
        <f t="shared" si="4"/>
        <v>477.62614859782559</v>
      </c>
      <c r="I32" s="77">
        <f t="shared" si="8"/>
        <v>30307.917669255774</v>
      </c>
      <c r="J32" s="77">
        <f t="shared" si="8"/>
        <v>14091.704809031962</v>
      </c>
      <c r="K32" s="77">
        <f t="shared" si="5"/>
        <v>286385.92133956589</v>
      </c>
      <c r="L32" s="75">
        <v>400000</v>
      </c>
      <c r="M32" s="75">
        <f t="shared" si="2"/>
        <v>113614.07866043411</v>
      </c>
      <c r="O32">
        <v>19</v>
      </c>
      <c r="P32" s="77">
        <f>I229</f>
        <v>179297.71724707872</v>
      </c>
      <c r="Q32" s="77">
        <f>J229</f>
        <v>147254.34485129561</v>
      </c>
      <c r="R32" s="77">
        <f>K229</f>
        <v>153665.68209478515</v>
      </c>
      <c r="S32" s="77">
        <f t="shared" si="7"/>
        <v>10840.807294948463</v>
      </c>
    </row>
    <row r="33" spans="5:19">
      <c r="E33">
        <v>31</v>
      </c>
      <c r="F33" s="77">
        <f t="shared" si="3"/>
        <v>1432.2458863963786</v>
      </c>
      <c r="G33" s="77">
        <f t="shared" si="0"/>
        <v>953.02765063656034</v>
      </c>
      <c r="H33" s="77">
        <f t="shared" si="4"/>
        <v>479.2182357598183</v>
      </c>
      <c r="I33" s="77">
        <f t="shared" si="8"/>
        <v>31260.945319892333</v>
      </c>
      <c r="J33" s="77">
        <f t="shared" si="8"/>
        <v>14570.92304479178</v>
      </c>
      <c r="K33" s="77">
        <f t="shared" si="5"/>
        <v>285908.29519096809</v>
      </c>
      <c r="L33" s="75">
        <v>400000</v>
      </c>
      <c r="M33" s="75">
        <f t="shared" si="2"/>
        <v>114091.70480903191</v>
      </c>
      <c r="O33">
        <v>20</v>
      </c>
      <c r="P33" s="77">
        <f>I241</f>
        <v>185202.1893731945</v>
      </c>
      <c r="Q33" s="77">
        <f>J241</f>
        <v>158536.82336193635</v>
      </c>
      <c r="R33" s="77">
        <f>K241</f>
        <v>142420.68690145551</v>
      </c>
      <c r="S33" s="77">
        <f t="shared" si="7"/>
        <v>11282.478510640736</v>
      </c>
    </row>
    <row r="34" spans="5:19">
      <c r="E34">
        <v>32</v>
      </c>
      <c r="F34" s="77">
        <f t="shared" si="3"/>
        <v>1432.2458863963786</v>
      </c>
      <c r="G34" s="77">
        <f t="shared" si="0"/>
        <v>951.43025651736093</v>
      </c>
      <c r="H34" s="77">
        <f t="shared" si="4"/>
        <v>480.81562987901771</v>
      </c>
      <c r="I34" s="77">
        <f t="shared" si="8"/>
        <v>32212.375576409693</v>
      </c>
      <c r="J34" s="77">
        <f t="shared" si="8"/>
        <v>15051.738674670798</v>
      </c>
      <c r="K34" s="77">
        <f t="shared" si="5"/>
        <v>285429.07695520826</v>
      </c>
      <c r="L34" s="75">
        <v>400000</v>
      </c>
      <c r="M34" s="75">
        <f t="shared" si="2"/>
        <v>114570.92304479174</v>
      </c>
      <c r="O34">
        <v>21</v>
      </c>
      <c r="P34" s="77">
        <f>I253</f>
        <v>190646.99591682747</v>
      </c>
      <c r="Q34" s="77">
        <f>J253</f>
        <v>170278.96745505993</v>
      </c>
      <c r="R34" s="77">
        <f>K253</f>
        <v>130717.55325382399</v>
      </c>
      <c r="S34" s="77">
        <f t="shared" si="7"/>
        <v>11742.144093123585</v>
      </c>
    </row>
    <row r="35" spans="5:19">
      <c r="E35">
        <v>33</v>
      </c>
      <c r="F35" s="77">
        <f t="shared" si="3"/>
        <v>1432.2458863963786</v>
      </c>
      <c r="G35" s="77">
        <f t="shared" si="0"/>
        <v>949.82753775109757</v>
      </c>
      <c r="H35" s="77">
        <f t="shared" si="4"/>
        <v>482.41834864528107</v>
      </c>
      <c r="I35" s="77">
        <f t="shared" ref="I35:J50" si="9">I34+G35</f>
        <v>33162.203114160788</v>
      </c>
      <c r="J35" s="77">
        <f t="shared" si="9"/>
        <v>15534.157023316078</v>
      </c>
      <c r="K35" s="77">
        <f t="shared" si="5"/>
        <v>284948.26132532925</v>
      </c>
      <c r="L35" s="75">
        <v>400000</v>
      </c>
      <c r="M35" s="75">
        <f t="shared" si="2"/>
        <v>115051.73867467075</v>
      </c>
      <c r="O35">
        <v>22</v>
      </c>
      <c r="P35" s="77">
        <f>I265</f>
        <v>195613.40939292006</v>
      </c>
      <c r="Q35" s="77">
        <f>J265</f>
        <v>182499.50461572385</v>
      </c>
      <c r="R35" s="77">
        <f>K265</f>
        <v>118537.61588439147</v>
      </c>
      <c r="S35" s="77">
        <f t="shared" si="7"/>
        <v>12220.537160663924</v>
      </c>
    </row>
    <row r="36" spans="5:19">
      <c r="E36">
        <v>34</v>
      </c>
      <c r="F36" s="77">
        <f t="shared" si="3"/>
        <v>1432.2458863963786</v>
      </c>
      <c r="G36" s="77">
        <f t="shared" si="0"/>
        <v>948.21947658894669</v>
      </c>
      <c r="H36" s="77">
        <f t="shared" si="4"/>
        <v>484.02640980743195</v>
      </c>
      <c r="I36" s="77">
        <f t="shared" si="9"/>
        <v>34110.422590749731</v>
      </c>
      <c r="J36" s="77">
        <f t="shared" si="9"/>
        <v>16018.18343312351</v>
      </c>
      <c r="K36" s="77">
        <f t="shared" si="5"/>
        <v>284465.84297668398</v>
      </c>
      <c r="L36" s="75">
        <v>400000</v>
      </c>
      <c r="M36" s="75">
        <f t="shared" si="2"/>
        <v>115534.15702331602</v>
      </c>
      <c r="O36">
        <v>23</v>
      </c>
      <c r="P36" s="77">
        <f>I277</f>
        <v>200081.93932977857</v>
      </c>
      <c r="Q36" s="77">
        <f>J277</f>
        <v>195217.92531562183</v>
      </c>
      <c r="R36" s="77">
        <f>K277</f>
        <v>105861.44907386189</v>
      </c>
      <c r="S36" s="77">
        <f t="shared" si="7"/>
        <v>12718.420699897979</v>
      </c>
    </row>
    <row r="37" spans="5:19">
      <c r="E37">
        <v>35</v>
      </c>
      <c r="F37" s="77">
        <f t="shared" si="3"/>
        <v>1432.2458863963786</v>
      </c>
      <c r="G37" s="77">
        <f t="shared" si="0"/>
        <v>946.6060552229219</v>
      </c>
      <c r="H37" s="77">
        <f t="shared" si="4"/>
        <v>485.63983117345674</v>
      </c>
      <c r="I37" s="77">
        <f t="shared" si="9"/>
        <v>35057.028645972656</v>
      </c>
      <c r="J37" s="77">
        <f t="shared" si="9"/>
        <v>16503.823264296967</v>
      </c>
      <c r="K37" s="77">
        <f t="shared" si="5"/>
        <v>283981.81656687654</v>
      </c>
      <c r="L37" s="75">
        <v>400000</v>
      </c>
      <c r="M37" s="75">
        <f t="shared" si="2"/>
        <v>116018.18343312346</v>
      </c>
      <c r="O37">
        <v>24</v>
      </c>
      <c r="P37" s="77">
        <f>I289</f>
        <v>204032.30118382032</v>
      </c>
      <c r="Q37" s="77">
        <f>J289</f>
        <v>208454.51409833669</v>
      </c>
      <c r="R37" s="77">
        <f>K289</f>
        <v>92668.835669162712</v>
      </c>
      <c r="S37" s="77">
        <f t="shared" si="7"/>
        <v>13236.588782714854</v>
      </c>
    </row>
    <row r="38" spans="5:19">
      <c r="E38">
        <v>36</v>
      </c>
      <c r="F38" s="77">
        <f t="shared" si="3"/>
        <v>1432.2458863963786</v>
      </c>
      <c r="G38" s="77">
        <f t="shared" si="0"/>
        <v>944.98725578567701</v>
      </c>
      <c r="H38" s="77">
        <f t="shared" si="4"/>
        <v>487.25863061070163</v>
      </c>
      <c r="I38" s="77">
        <f t="shared" si="9"/>
        <v>36002.015901758336</v>
      </c>
      <c r="J38" s="77">
        <f t="shared" si="9"/>
        <v>16991.081894907667</v>
      </c>
      <c r="K38" s="77">
        <f t="shared" si="5"/>
        <v>283496.17673570308</v>
      </c>
      <c r="L38" s="75">
        <v>400000</v>
      </c>
      <c r="M38" s="75">
        <f t="shared" si="2"/>
        <v>116503.82326429692</v>
      </c>
      <c r="O38">
        <v>25</v>
      </c>
      <c r="P38" s="77">
        <f>I301</f>
        <v>207443.38398785942</v>
      </c>
      <c r="Q38" s="77">
        <f>J301</f>
        <v>222230.38193105409</v>
      </c>
      <c r="R38" s="77">
        <f>K301</f>
        <v>78938.734839211756</v>
      </c>
      <c r="S38" s="77">
        <f t="shared" si="7"/>
        <v>13775.867832717398</v>
      </c>
    </row>
    <row r="39" spans="5:19">
      <c r="E39">
        <v>37</v>
      </c>
      <c r="F39" s="77">
        <f t="shared" si="3"/>
        <v>1432.2458863963786</v>
      </c>
      <c r="G39" s="77">
        <f t="shared" si="0"/>
        <v>943.36306035030793</v>
      </c>
      <c r="H39" s="77">
        <f t="shared" si="4"/>
        <v>488.8828260460707</v>
      </c>
      <c r="I39" s="77">
        <f t="shared" si="9"/>
        <v>36945.378962108647</v>
      </c>
      <c r="J39" s="77">
        <f t="shared" si="9"/>
        <v>17479.96472095374</v>
      </c>
      <c r="K39" s="77">
        <f t="shared" si="5"/>
        <v>283008.91810509237</v>
      </c>
      <c r="L39" s="75">
        <v>400000</v>
      </c>
      <c r="M39" s="75">
        <f t="shared" si="2"/>
        <v>116991.08189490763</v>
      </c>
      <c r="O39">
        <v>26</v>
      </c>
      <c r="P39" s="77">
        <f>I313</f>
        <v>210293.21668133451</v>
      </c>
      <c r="Q39" s="77">
        <f>J313</f>
        <v>236567.49987433554</v>
      </c>
      <c r="R39" s="77">
        <f>K313</f>
        <v>64649.248517004336</v>
      </c>
      <c r="S39" s="77">
        <f t="shared" si="7"/>
        <v>14337.117943281453</v>
      </c>
    </row>
    <row r="40" spans="5:19">
      <c r="E40">
        <v>38</v>
      </c>
      <c r="F40" s="77">
        <f t="shared" si="3"/>
        <v>1432.2458863963786</v>
      </c>
      <c r="G40" s="77">
        <f t="shared" si="0"/>
        <v>941.73345093015428</v>
      </c>
      <c r="H40" s="77">
        <f t="shared" si="4"/>
        <v>490.51243546622436</v>
      </c>
      <c r="I40" s="77">
        <f t="shared" si="9"/>
        <v>37887.112413038798</v>
      </c>
      <c r="J40" s="77">
        <f t="shared" si="9"/>
        <v>17970.477156419965</v>
      </c>
      <c r="K40" s="77">
        <f t="shared" si="5"/>
        <v>282520.03527904628</v>
      </c>
      <c r="L40" s="75">
        <v>400000</v>
      </c>
      <c r="M40" s="75">
        <f t="shared" si="2"/>
        <v>117479.96472095372</v>
      </c>
      <c r="O40">
        <v>27</v>
      </c>
      <c r="P40" s="77">
        <f>I325</f>
        <v>212558.93306877735</v>
      </c>
      <c r="Q40" s="77">
        <f>J325</f>
        <v>251488.73412364931</v>
      </c>
      <c r="R40" s="77">
        <f>K325</f>
        <v>49777.586474498959</v>
      </c>
      <c r="S40" s="77">
        <f t="shared" si="7"/>
        <v>14921.234249313769</v>
      </c>
    </row>
    <row r="41" spans="5:19">
      <c r="E41">
        <v>39</v>
      </c>
      <c r="F41" s="77">
        <f t="shared" si="3"/>
        <v>1432.2458863963786</v>
      </c>
      <c r="G41" s="77">
        <f t="shared" si="0"/>
        <v>940.09840947860027</v>
      </c>
      <c r="H41" s="77">
        <f t="shared" si="4"/>
        <v>492.14747691777836</v>
      </c>
      <c r="I41" s="77">
        <f t="shared" si="9"/>
        <v>38827.210822517402</v>
      </c>
      <c r="J41" s="77">
        <f t="shared" si="9"/>
        <v>18462.624633337742</v>
      </c>
      <c r="K41" s="77">
        <f t="shared" si="5"/>
        <v>282029.52284358005</v>
      </c>
      <c r="L41" s="75">
        <v>400000</v>
      </c>
      <c r="M41" s="75">
        <f t="shared" si="2"/>
        <v>117970.47715641995</v>
      </c>
      <c r="O41">
        <v>28</v>
      </c>
      <c r="P41" s="77">
        <f>I337</f>
        <v>214216.73535063546</v>
      </c>
      <c r="Q41" s="77">
        <f>J337</f>
        <v>267017.88247854769</v>
      </c>
      <c r="R41" s="77">
        <f>K337</f>
        <v>34300.029974600227</v>
      </c>
      <c r="S41" s="77">
        <f t="shared" si="7"/>
        <v>15529.148354898382</v>
      </c>
    </row>
    <row r="42" spans="5:19">
      <c r="E42">
        <v>40</v>
      </c>
      <c r="F42" s="77">
        <f t="shared" si="3"/>
        <v>1432.2458863963786</v>
      </c>
      <c r="G42" s="77">
        <f t="shared" si="0"/>
        <v>938.45791788887436</v>
      </c>
      <c r="H42" s="77">
        <f t="shared" si="4"/>
        <v>493.78796850750427</v>
      </c>
      <c r="I42" s="77">
        <f t="shared" si="9"/>
        <v>39765.668740406276</v>
      </c>
      <c r="J42" s="77">
        <f t="shared" si="9"/>
        <v>18956.412601845248</v>
      </c>
      <c r="K42" s="77">
        <f t="shared" si="5"/>
        <v>281537.37536666228</v>
      </c>
      <c r="L42" s="75">
        <v>400000</v>
      </c>
      <c r="M42" s="75">
        <f t="shared" si="2"/>
        <v>118462.62463333772</v>
      </c>
      <c r="O42">
        <v>29</v>
      </c>
      <c r="P42" s="77">
        <f>I349</f>
        <v>215241.85616828472</v>
      </c>
      <c r="Q42" s="77">
        <f>J349</f>
        <v>283179.71229765494</v>
      </c>
      <c r="R42" s="77">
        <f>K349</f>
        <v>18191.893942267401</v>
      </c>
      <c r="S42" s="77">
        <f t="shared" si="7"/>
        <v>16161.829819107254</v>
      </c>
    </row>
    <row r="43" spans="5:19">
      <c r="E43">
        <v>41</v>
      </c>
      <c r="F43" s="77">
        <f t="shared" si="3"/>
        <v>1432.2458863963786</v>
      </c>
      <c r="G43" s="77">
        <f t="shared" si="0"/>
        <v>936.81195799384932</v>
      </c>
      <c r="H43" s="77">
        <f t="shared" si="4"/>
        <v>495.43392840252932</v>
      </c>
      <c r="I43" s="77">
        <f t="shared" si="9"/>
        <v>40702.480698400126</v>
      </c>
      <c r="J43" s="77">
        <f t="shared" si="9"/>
        <v>19451.846530247778</v>
      </c>
      <c r="K43" s="77">
        <f t="shared" si="5"/>
        <v>281043.58739815478</v>
      </c>
      <c r="L43" s="75">
        <v>400000</v>
      </c>
      <c r="M43" s="75">
        <f t="shared" si="2"/>
        <v>118956.41260184522</v>
      </c>
      <c r="O43">
        <v>30</v>
      </c>
      <c r="P43" s="77">
        <f>I361</f>
        <v>215608.51910269647</v>
      </c>
      <c r="Q43" s="77">
        <f>J361</f>
        <v>299999.99999999965</v>
      </c>
      <c r="R43" s="77">
        <f>K361</f>
        <v>1427.4875944154871</v>
      </c>
      <c r="S43" s="77">
        <f t="shared" si="7"/>
        <v>16820.287702344707</v>
      </c>
    </row>
    <row r="44" spans="5:19">
      <c r="E44">
        <v>42</v>
      </c>
      <c r="F44" s="77">
        <f t="shared" si="3"/>
        <v>1432.2458863963786</v>
      </c>
      <c r="G44" s="77">
        <f t="shared" si="0"/>
        <v>935.16051156584081</v>
      </c>
      <c r="H44" s="77">
        <f t="shared" si="4"/>
        <v>497.08537483053783</v>
      </c>
      <c r="I44" s="77">
        <f t="shared" si="9"/>
        <v>41637.641209965965</v>
      </c>
      <c r="J44" s="77">
        <f t="shared" si="9"/>
        <v>19948.931905078316</v>
      </c>
      <c r="K44" s="77">
        <f t="shared" si="5"/>
        <v>280548.15346975223</v>
      </c>
      <c r="L44" s="75">
        <v>400000</v>
      </c>
      <c r="M44" s="75">
        <f t="shared" si="2"/>
        <v>119451.84653024777</v>
      </c>
    </row>
    <row r="45" spans="5:19">
      <c r="E45">
        <v>43</v>
      </c>
      <c r="F45" s="77">
        <f t="shared" si="3"/>
        <v>1432.2458863963786</v>
      </c>
      <c r="G45" s="77">
        <f t="shared" si="0"/>
        <v>933.5035603164057</v>
      </c>
      <c r="H45" s="77">
        <f t="shared" si="4"/>
        <v>498.74232607997294</v>
      </c>
      <c r="I45" s="77">
        <f t="shared" si="9"/>
        <v>42571.144770282372</v>
      </c>
      <c r="J45" s="77">
        <f t="shared" si="9"/>
        <v>20447.674231158289</v>
      </c>
      <c r="K45" s="77">
        <f t="shared" si="5"/>
        <v>280051.06809492171</v>
      </c>
      <c r="L45" s="75">
        <v>400000</v>
      </c>
      <c r="M45" s="75">
        <f t="shared" si="2"/>
        <v>119948.93190507829</v>
      </c>
    </row>
    <row r="46" spans="5:19">
      <c r="E46">
        <v>44</v>
      </c>
      <c r="F46" s="77">
        <f t="shared" si="3"/>
        <v>1432.2458863963786</v>
      </c>
      <c r="G46" s="77">
        <f t="shared" si="0"/>
        <v>931.84108589613913</v>
      </c>
      <c r="H46" s="77">
        <f t="shared" si="4"/>
        <v>500.4048005002395</v>
      </c>
      <c r="I46" s="77">
        <f t="shared" si="9"/>
        <v>43502.985856178508</v>
      </c>
      <c r="J46" s="77">
        <f t="shared" si="9"/>
        <v>20948.07903165853</v>
      </c>
      <c r="K46" s="77">
        <f t="shared" si="5"/>
        <v>279552.32576884172</v>
      </c>
      <c r="L46" s="75">
        <v>400000</v>
      </c>
      <c r="M46" s="75">
        <f t="shared" si="2"/>
        <v>120447.67423115828</v>
      </c>
    </row>
    <row r="47" spans="5:19">
      <c r="E47">
        <v>45</v>
      </c>
      <c r="F47" s="77">
        <f t="shared" si="3"/>
        <v>1432.2458863963786</v>
      </c>
      <c r="G47" s="77">
        <f t="shared" si="0"/>
        <v>930.17306989447161</v>
      </c>
      <c r="H47" s="77">
        <f t="shared" si="4"/>
        <v>502.07281650190703</v>
      </c>
      <c r="I47" s="77">
        <f t="shared" si="9"/>
        <v>44433.158926072982</v>
      </c>
      <c r="J47" s="77">
        <f t="shared" si="9"/>
        <v>21450.151848160436</v>
      </c>
      <c r="K47" s="77">
        <f t="shared" si="5"/>
        <v>279051.92096834147</v>
      </c>
      <c r="L47" s="75">
        <v>400000</v>
      </c>
      <c r="M47" s="75">
        <f t="shared" si="2"/>
        <v>120948.07903165853</v>
      </c>
    </row>
    <row r="48" spans="5:19">
      <c r="E48">
        <v>46</v>
      </c>
      <c r="F48" s="77">
        <f t="shared" si="3"/>
        <v>1432.2458863963786</v>
      </c>
      <c r="G48" s="77">
        <f t="shared" si="0"/>
        <v>928.49949383946534</v>
      </c>
      <c r="H48" s="77">
        <f t="shared" si="4"/>
        <v>503.74639255691329</v>
      </c>
      <c r="I48" s="77">
        <f t="shared" si="9"/>
        <v>45361.658419912448</v>
      </c>
      <c r="J48" s="77">
        <f t="shared" si="9"/>
        <v>21953.89824071735</v>
      </c>
      <c r="K48" s="77">
        <f t="shared" si="5"/>
        <v>278549.84815183957</v>
      </c>
      <c r="L48" s="75">
        <v>400000</v>
      </c>
      <c r="M48" s="75">
        <f t="shared" si="2"/>
        <v>121450.15184816043</v>
      </c>
    </row>
    <row r="49" spans="5:13">
      <c r="E49">
        <v>47</v>
      </c>
      <c r="F49" s="77">
        <f t="shared" si="3"/>
        <v>1432.2458863963786</v>
      </c>
      <c r="G49" s="77">
        <f t="shared" si="0"/>
        <v>926.82033919760886</v>
      </c>
      <c r="H49" s="77">
        <f t="shared" si="4"/>
        <v>505.42554719876978</v>
      </c>
      <c r="I49" s="77">
        <f t="shared" si="9"/>
        <v>46288.478759110054</v>
      </c>
      <c r="J49" s="77">
        <f t="shared" si="9"/>
        <v>22459.323787916121</v>
      </c>
      <c r="K49" s="77">
        <f t="shared" si="5"/>
        <v>278046.10175928264</v>
      </c>
      <c r="L49" s="75">
        <v>400000</v>
      </c>
      <c r="M49" s="75">
        <f t="shared" si="2"/>
        <v>121953.89824071736</v>
      </c>
    </row>
    <row r="50" spans="5:13">
      <c r="E50">
        <v>48</v>
      </c>
      <c r="F50" s="77">
        <f t="shared" si="3"/>
        <v>1432.2458863963786</v>
      </c>
      <c r="G50" s="77">
        <f t="shared" si="0"/>
        <v>925.13558737361302</v>
      </c>
      <c r="H50" s="77">
        <f t="shared" si="4"/>
        <v>507.11029902276562</v>
      </c>
      <c r="I50" s="77">
        <f t="shared" si="9"/>
        <v>47213.614346483664</v>
      </c>
      <c r="J50" s="77">
        <f t="shared" si="9"/>
        <v>22966.434086938887</v>
      </c>
      <c r="K50" s="77">
        <f t="shared" si="5"/>
        <v>277540.6762120839</v>
      </c>
      <c r="L50" s="75">
        <v>400000</v>
      </c>
      <c r="M50" s="75">
        <f t="shared" si="2"/>
        <v>122459.3237879161</v>
      </c>
    </row>
    <row r="51" spans="5:13">
      <c r="E51">
        <v>49</v>
      </c>
      <c r="F51" s="77">
        <f t="shared" si="3"/>
        <v>1432.2458863963786</v>
      </c>
      <c r="G51" s="77">
        <f t="shared" si="0"/>
        <v>923.4452197102039</v>
      </c>
      <c r="H51" s="77">
        <f t="shared" si="4"/>
        <v>508.80066668617474</v>
      </c>
      <c r="I51" s="77">
        <f t="shared" ref="I51:J66" si="10">I50+G51</f>
        <v>48137.059566193871</v>
      </c>
      <c r="J51" s="77">
        <f t="shared" si="10"/>
        <v>23475.23475362506</v>
      </c>
      <c r="K51" s="77">
        <f t="shared" si="5"/>
        <v>277033.56591306115</v>
      </c>
      <c r="L51" s="75">
        <v>400000</v>
      </c>
      <c r="M51" s="75">
        <f t="shared" si="2"/>
        <v>122966.43408693885</v>
      </c>
    </row>
    <row r="52" spans="5:13">
      <c r="E52">
        <v>50</v>
      </c>
      <c r="F52" s="77">
        <f t="shared" si="3"/>
        <v>1432.2458863963786</v>
      </c>
      <c r="G52" s="77">
        <f t="shared" si="0"/>
        <v>921.74921748791667</v>
      </c>
      <c r="H52" s="77">
        <f t="shared" si="4"/>
        <v>510.49666890846197</v>
      </c>
      <c r="I52" s="77">
        <f t="shared" si="10"/>
        <v>49058.808783681787</v>
      </c>
      <c r="J52" s="77">
        <f t="shared" si="10"/>
        <v>23985.731422533521</v>
      </c>
      <c r="K52" s="77">
        <f t="shared" si="5"/>
        <v>276524.765246375</v>
      </c>
      <c r="L52" s="75">
        <v>400000</v>
      </c>
      <c r="M52" s="75">
        <f t="shared" si="2"/>
        <v>123475.234753625</v>
      </c>
    </row>
    <row r="53" spans="5:13">
      <c r="E53">
        <v>51</v>
      </c>
      <c r="F53" s="77">
        <f t="shared" si="3"/>
        <v>1432.2458863963786</v>
      </c>
      <c r="G53" s="77">
        <f t="shared" si="0"/>
        <v>920.04756192488856</v>
      </c>
      <c r="H53" s="77">
        <f t="shared" si="4"/>
        <v>512.19832447149008</v>
      </c>
      <c r="I53" s="77">
        <f t="shared" si="10"/>
        <v>49978.856345606677</v>
      </c>
      <c r="J53" s="77">
        <f t="shared" si="10"/>
        <v>24497.929747005011</v>
      </c>
      <c r="K53" s="77">
        <f t="shared" si="5"/>
        <v>276014.26857746654</v>
      </c>
      <c r="L53" s="75">
        <v>400000</v>
      </c>
      <c r="M53" s="75">
        <f t="shared" si="2"/>
        <v>123985.73142253346</v>
      </c>
    </row>
    <row r="54" spans="5:13">
      <c r="E54">
        <v>52</v>
      </c>
      <c r="F54" s="77">
        <f t="shared" si="3"/>
        <v>1432.2458863963786</v>
      </c>
      <c r="G54" s="77">
        <f t="shared" si="0"/>
        <v>918.34023417665026</v>
      </c>
      <c r="H54" s="77">
        <f t="shared" si="4"/>
        <v>513.90565221972838</v>
      </c>
      <c r="I54" s="77">
        <f t="shared" si="10"/>
        <v>50897.196579783325</v>
      </c>
      <c r="J54" s="77">
        <f t="shared" si="10"/>
        <v>25011.835399224739</v>
      </c>
      <c r="K54" s="77">
        <f t="shared" si="5"/>
        <v>275502.07025299506</v>
      </c>
      <c r="L54" s="75">
        <v>400000</v>
      </c>
      <c r="M54" s="75">
        <f t="shared" si="2"/>
        <v>124497.92974700494</v>
      </c>
    </row>
    <row r="55" spans="5:13">
      <c r="E55">
        <v>53</v>
      </c>
      <c r="F55" s="77">
        <f t="shared" si="3"/>
        <v>1432.2458863963786</v>
      </c>
      <c r="G55" s="77">
        <f t="shared" si="0"/>
        <v>916.62721533591787</v>
      </c>
      <c r="H55" s="77">
        <f t="shared" si="4"/>
        <v>515.61867106046077</v>
      </c>
      <c r="I55" s="77">
        <f t="shared" si="10"/>
        <v>51813.823795119242</v>
      </c>
      <c r="J55" s="77">
        <f t="shared" si="10"/>
        <v>25527.454070285199</v>
      </c>
      <c r="K55" s="77">
        <f t="shared" si="5"/>
        <v>274988.16460077534</v>
      </c>
      <c r="L55" s="75">
        <v>400000</v>
      </c>
      <c r="M55" s="75">
        <f t="shared" si="2"/>
        <v>125011.83539922466</v>
      </c>
    </row>
    <row r="56" spans="5:13">
      <c r="E56">
        <v>54</v>
      </c>
      <c r="F56" s="77">
        <f t="shared" si="3"/>
        <v>1432.2458863963786</v>
      </c>
      <c r="G56" s="77">
        <f t="shared" si="0"/>
        <v>914.90848643238292</v>
      </c>
      <c r="H56" s="77">
        <f t="shared" si="4"/>
        <v>517.33739996399572</v>
      </c>
      <c r="I56" s="77">
        <f t="shared" si="10"/>
        <v>52728.732281551624</v>
      </c>
      <c r="J56" s="77">
        <f t="shared" si="10"/>
        <v>26044.791470249194</v>
      </c>
      <c r="K56" s="77">
        <f t="shared" si="5"/>
        <v>274472.54592971486</v>
      </c>
      <c r="L56" s="75">
        <v>400000</v>
      </c>
      <c r="M56" s="75">
        <f t="shared" si="2"/>
        <v>125527.45407028514</v>
      </c>
    </row>
    <row r="57" spans="5:13">
      <c r="E57">
        <v>55</v>
      </c>
      <c r="F57" s="77">
        <f t="shared" si="3"/>
        <v>1432.2458863963786</v>
      </c>
      <c r="G57" s="77">
        <f t="shared" si="0"/>
        <v>913.18402843250294</v>
      </c>
      <c r="H57" s="77">
        <f t="shared" si="4"/>
        <v>519.0618579638757</v>
      </c>
      <c r="I57" s="77">
        <f t="shared" si="10"/>
        <v>53641.916309984124</v>
      </c>
      <c r="J57" s="77">
        <f t="shared" si="10"/>
        <v>26563.85332821307</v>
      </c>
      <c r="K57" s="77">
        <f t="shared" si="5"/>
        <v>273955.20852975087</v>
      </c>
      <c r="L57" s="75">
        <v>400000</v>
      </c>
      <c r="M57" s="75">
        <f t="shared" si="2"/>
        <v>126044.79147024913</v>
      </c>
    </row>
    <row r="58" spans="5:13">
      <c r="E58">
        <v>56</v>
      </c>
      <c r="F58" s="77">
        <f t="shared" si="3"/>
        <v>1432.2458863963786</v>
      </c>
      <c r="G58" s="77">
        <f t="shared" si="0"/>
        <v>911.45382223929016</v>
      </c>
      <c r="H58" s="77">
        <f t="shared" si="4"/>
        <v>520.79206415708848</v>
      </c>
      <c r="I58" s="77">
        <f t="shared" si="10"/>
        <v>54553.370132223412</v>
      </c>
      <c r="J58" s="77">
        <f t="shared" si="10"/>
        <v>27084.645392370159</v>
      </c>
      <c r="K58" s="77">
        <f t="shared" si="5"/>
        <v>273436.14667178702</v>
      </c>
      <c r="L58" s="75">
        <v>400000</v>
      </c>
      <c r="M58" s="75">
        <f t="shared" si="2"/>
        <v>126563.85332821298</v>
      </c>
    </row>
    <row r="59" spans="5:13">
      <c r="E59">
        <v>57</v>
      </c>
      <c r="F59" s="77">
        <f t="shared" si="3"/>
        <v>1432.2458863963786</v>
      </c>
      <c r="G59" s="77">
        <f t="shared" si="0"/>
        <v>909.71784869209989</v>
      </c>
      <c r="H59" s="77">
        <f t="shared" si="4"/>
        <v>522.52803770427874</v>
      </c>
      <c r="I59" s="77">
        <f t="shared" si="10"/>
        <v>55463.087980915509</v>
      </c>
      <c r="J59" s="77">
        <f t="shared" si="10"/>
        <v>27607.173430074439</v>
      </c>
      <c r="K59" s="77">
        <f t="shared" si="5"/>
        <v>272915.35460762994</v>
      </c>
      <c r="L59" s="75">
        <v>400000</v>
      </c>
      <c r="M59" s="75">
        <f t="shared" si="2"/>
        <v>127084.64539237006</v>
      </c>
    </row>
    <row r="60" spans="5:13">
      <c r="E60">
        <v>58</v>
      </c>
      <c r="F60" s="77">
        <f t="shared" si="3"/>
        <v>1432.2458863963786</v>
      </c>
      <c r="G60" s="77">
        <f t="shared" si="0"/>
        <v>907.97608856641887</v>
      </c>
      <c r="H60" s="77">
        <f t="shared" si="4"/>
        <v>524.26979782995977</v>
      </c>
      <c r="I60" s="77">
        <f t="shared" si="10"/>
        <v>56371.06406948193</v>
      </c>
      <c r="J60" s="77">
        <f t="shared" si="10"/>
        <v>28131.443227904398</v>
      </c>
      <c r="K60" s="77">
        <f t="shared" si="5"/>
        <v>272392.82656992564</v>
      </c>
      <c r="L60" s="75">
        <v>400000</v>
      </c>
      <c r="M60" s="75">
        <f t="shared" si="2"/>
        <v>127607.17343007436</v>
      </c>
    </row>
    <row r="61" spans="5:13">
      <c r="E61">
        <v>59</v>
      </c>
      <c r="F61" s="77">
        <f t="shared" si="3"/>
        <v>1432.2458863963786</v>
      </c>
      <c r="G61" s="77">
        <f t="shared" si="0"/>
        <v>906.2285225736523</v>
      </c>
      <c r="H61" s="77">
        <f t="shared" si="4"/>
        <v>526.01736382272634</v>
      </c>
      <c r="I61" s="77">
        <f t="shared" si="10"/>
        <v>57277.292592055586</v>
      </c>
      <c r="J61" s="77">
        <f t="shared" si="10"/>
        <v>28657.460591727126</v>
      </c>
      <c r="K61" s="77">
        <f t="shared" si="5"/>
        <v>271868.55677209568</v>
      </c>
      <c r="L61" s="75">
        <v>400000</v>
      </c>
      <c r="M61" s="75">
        <f t="shared" si="2"/>
        <v>128131.44322790432</v>
      </c>
    </row>
    <row r="62" spans="5:13">
      <c r="E62">
        <v>60</v>
      </c>
      <c r="F62" s="77">
        <f t="shared" si="3"/>
        <v>1432.2458863963786</v>
      </c>
      <c r="G62" s="77">
        <f t="shared" si="0"/>
        <v>904.47513136090993</v>
      </c>
      <c r="H62" s="77">
        <f t="shared" si="4"/>
        <v>527.77075503546871</v>
      </c>
      <c r="I62" s="77">
        <f t="shared" si="10"/>
        <v>58181.767723416495</v>
      </c>
      <c r="J62" s="77">
        <f t="shared" si="10"/>
        <v>29185.231346762594</v>
      </c>
      <c r="K62" s="77">
        <f t="shared" si="5"/>
        <v>271342.53940827295</v>
      </c>
      <c r="L62" s="75">
        <v>400000</v>
      </c>
      <c r="M62" s="75">
        <f t="shared" si="2"/>
        <v>128657.46059172705</v>
      </c>
    </row>
    <row r="63" spans="5:13">
      <c r="E63">
        <v>61</v>
      </c>
      <c r="F63" s="77">
        <f t="shared" si="3"/>
        <v>1432.2458863963786</v>
      </c>
      <c r="G63" s="77">
        <f t="shared" si="0"/>
        <v>902.71589551079171</v>
      </c>
      <c r="H63" s="77">
        <f t="shared" si="4"/>
        <v>529.52999088558693</v>
      </c>
      <c r="I63" s="77">
        <f t="shared" si="10"/>
        <v>59084.48361892729</v>
      </c>
      <c r="J63" s="77">
        <f t="shared" si="10"/>
        <v>29714.761337648182</v>
      </c>
      <c r="K63" s="77">
        <f t="shared" si="5"/>
        <v>270814.76865323749</v>
      </c>
      <c r="L63" s="75">
        <v>400000</v>
      </c>
      <c r="M63" s="75">
        <f t="shared" si="2"/>
        <v>129185.23134676251</v>
      </c>
    </row>
    <row r="64" spans="5:13">
      <c r="E64">
        <v>62</v>
      </c>
      <c r="F64" s="77">
        <f t="shared" si="3"/>
        <v>1432.2458863963786</v>
      </c>
      <c r="G64" s="77">
        <f t="shared" si="0"/>
        <v>900.95079554117308</v>
      </c>
      <c r="H64" s="77">
        <f t="shared" si="4"/>
        <v>531.29509085520556</v>
      </c>
      <c r="I64" s="77">
        <f t="shared" si="10"/>
        <v>59985.434414468466</v>
      </c>
      <c r="J64" s="77">
        <f t="shared" si="10"/>
        <v>30246.056428503387</v>
      </c>
      <c r="K64" s="77">
        <f t="shared" si="5"/>
        <v>270285.23866235191</v>
      </c>
      <c r="L64" s="75">
        <v>400000</v>
      </c>
      <c r="M64" s="75">
        <f t="shared" si="2"/>
        <v>129714.76133764809</v>
      </c>
    </row>
    <row r="65" spans="5:13">
      <c r="E65">
        <v>63</v>
      </c>
      <c r="F65" s="77">
        <f t="shared" si="3"/>
        <v>1432.2458863963786</v>
      </c>
      <c r="G65" s="77">
        <f t="shared" si="0"/>
        <v>899.17981190498904</v>
      </c>
      <c r="H65" s="77">
        <f t="shared" si="4"/>
        <v>533.0660744913896</v>
      </c>
      <c r="I65" s="77">
        <f t="shared" si="10"/>
        <v>60884.614226373451</v>
      </c>
      <c r="J65" s="77">
        <f t="shared" si="10"/>
        <v>30779.122502994778</v>
      </c>
      <c r="K65" s="77">
        <f t="shared" si="5"/>
        <v>269753.9435714967</v>
      </c>
      <c r="L65" s="75">
        <v>400000</v>
      </c>
      <c r="M65" s="75">
        <f t="shared" si="2"/>
        <v>130246.0564285033</v>
      </c>
    </row>
    <row r="66" spans="5:13">
      <c r="E66">
        <v>64</v>
      </c>
      <c r="F66" s="77">
        <f t="shared" si="3"/>
        <v>1432.2458863963786</v>
      </c>
      <c r="G66" s="77">
        <f t="shared" ref="G66:G129" si="11">(B$4/B$6)*K66</f>
        <v>897.40292499001782</v>
      </c>
      <c r="H66" s="77">
        <f t="shared" si="4"/>
        <v>534.84296140636081</v>
      </c>
      <c r="I66" s="77">
        <f t="shared" si="10"/>
        <v>61782.01715136347</v>
      </c>
      <c r="J66" s="77">
        <f t="shared" si="10"/>
        <v>31313.965464401139</v>
      </c>
      <c r="K66" s="77">
        <f t="shared" si="5"/>
        <v>269220.87749700533</v>
      </c>
      <c r="L66" s="75">
        <v>400000</v>
      </c>
      <c r="M66" s="75">
        <f t="shared" si="2"/>
        <v>130779.12250299467</v>
      </c>
    </row>
    <row r="67" spans="5:13">
      <c r="E67">
        <v>65</v>
      </c>
      <c r="F67" s="77">
        <f t="shared" si="3"/>
        <v>1432.2458863963786</v>
      </c>
      <c r="G67" s="77">
        <f t="shared" si="11"/>
        <v>895.62011511866342</v>
      </c>
      <c r="H67" s="77">
        <f t="shared" si="4"/>
        <v>536.62577127771522</v>
      </c>
      <c r="I67" s="77">
        <f t="shared" ref="I67:J82" si="12">I66+G67</f>
        <v>62677.637266482132</v>
      </c>
      <c r="J67" s="77">
        <f t="shared" si="12"/>
        <v>31850.591235678854</v>
      </c>
      <c r="K67" s="77">
        <f t="shared" si="5"/>
        <v>268686.034535599</v>
      </c>
      <c r="L67" s="75">
        <v>400000</v>
      </c>
      <c r="M67" s="75">
        <f t="shared" ref="M67:M130" si="13">L67-K67</f>
        <v>131313.965464401</v>
      </c>
    </row>
    <row r="68" spans="5:13">
      <c r="E68">
        <v>66</v>
      </c>
      <c r="F68" s="77">
        <f t="shared" ref="F68:F131" si="14">F67</f>
        <v>1432.2458863963786</v>
      </c>
      <c r="G68" s="77">
        <f t="shared" si="11"/>
        <v>893.83136254773774</v>
      </c>
      <c r="H68" s="77">
        <f t="shared" ref="H68:H131" si="15">F68-G68</f>
        <v>538.4145238486409</v>
      </c>
      <c r="I68" s="77">
        <f t="shared" si="12"/>
        <v>63571.46862902987</v>
      </c>
      <c r="J68" s="77">
        <f t="shared" si="12"/>
        <v>32389.005759527496</v>
      </c>
      <c r="K68" s="77">
        <f t="shared" ref="K68:K131" si="16">K67-H67</f>
        <v>268149.4087643213</v>
      </c>
      <c r="L68" s="75">
        <v>400000</v>
      </c>
      <c r="M68" s="75">
        <f t="shared" si="13"/>
        <v>131850.5912356787</v>
      </c>
    </row>
    <row r="69" spans="5:13">
      <c r="E69">
        <v>67</v>
      </c>
      <c r="F69" s="77">
        <f t="shared" si="14"/>
        <v>1432.2458863963786</v>
      </c>
      <c r="G69" s="77">
        <f t="shared" si="11"/>
        <v>892.03664746824234</v>
      </c>
      <c r="H69" s="77">
        <f t="shared" si="15"/>
        <v>540.2092389281363</v>
      </c>
      <c r="I69" s="77">
        <f t="shared" si="12"/>
        <v>64463.505276498116</v>
      </c>
      <c r="J69" s="77">
        <f t="shared" si="12"/>
        <v>32929.214998455631</v>
      </c>
      <c r="K69" s="77">
        <f t="shared" si="16"/>
        <v>267610.99424047268</v>
      </c>
      <c r="L69" s="75">
        <v>400000</v>
      </c>
      <c r="M69" s="75">
        <f t="shared" si="13"/>
        <v>132389.00575952732</v>
      </c>
    </row>
    <row r="70" spans="5:13">
      <c r="E70">
        <v>68</v>
      </c>
      <c r="F70" s="77">
        <f t="shared" si="14"/>
        <v>1432.2458863963786</v>
      </c>
      <c r="G70" s="77">
        <f t="shared" si="11"/>
        <v>890.23595000514842</v>
      </c>
      <c r="H70" s="77">
        <f t="shared" si="15"/>
        <v>542.00993639123021</v>
      </c>
      <c r="I70" s="77">
        <f t="shared" si="12"/>
        <v>65353.741226503262</v>
      </c>
      <c r="J70" s="77">
        <f t="shared" si="12"/>
        <v>33471.224934846861</v>
      </c>
      <c r="K70" s="77">
        <f t="shared" si="16"/>
        <v>267070.78500154451</v>
      </c>
      <c r="L70" s="75">
        <v>400000</v>
      </c>
      <c r="M70" s="75">
        <f t="shared" si="13"/>
        <v>132929.21499845549</v>
      </c>
    </row>
    <row r="71" spans="5:13">
      <c r="E71">
        <v>69</v>
      </c>
      <c r="F71" s="77">
        <f t="shared" si="14"/>
        <v>1432.2458863963786</v>
      </c>
      <c r="G71" s="77">
        <f t="shared" si="11"/>
        <v>888.42925021717781</v>
      </c>
      <c r="H71" s="77">
        <f t="shared" si="15"/>
        <v>543.81663617920083</v>
      </c>
      <c r="I71" s="77">
        <f t="shared" si="12"/>
        <v>66242.170476720436</v>
      </c>
      <c r="J71" s="77">
        <f t="shared" si="12"/>
        <v>34015.041571026064</v>
      </c>
      <c r="K71" s="77">
        <f t="shared" si="16"/>
        <v>266528.77506515331</v>
      </c>
      <c r="L71" s="75">
        <v>400000</v>
      </c>
      <c r="M71" s="75">
        <f t="shared" si="13"/>
        <v>133471.22493484669</v>
      </c>
    </row>
    <row r="72" spans="5:13">
      <c r="E72">
        <v>70</v>
      </c>
      <c r="F72" s="77">
        <f t="shared" si="14"/>
        <v>1432.2458863963786</v>
      </c>
      <c r="G72" s="77">
        <f t="shared" si="11"/>
        <v>886.6165280965804</v>
      </c>
      <c r="H72" s="77">
        <f t="shared" si="15"/>
        <v>545.62935829979824</v>
      </c>
      <c r="I72" s="77">
        <f t="shared" si="12"/>
        <v>67128.787004817015</v>
      </c>
      <c r="J72" s="77">
        <f t="shared" si="12"/>
        <v>34560.670929325861</v>
      </c>
      <c r="K72" s="77">
        <f t="shared" si="16"/>
        <v>265984.95842897409</v>
      </c>
      <c r="L72" s="75">
        <v>400000</v>
      </c>
      <c r="M72" s="75">
        <f t="shared" si="13"/>
        <v>134015.04157102591</v>
      </c>
    </row>
    <row r="73" spans="5:13">
      <c r="E73">
        <v>71</v>
      </c>
      <c r="F73" s="77">
        <f t="shared" si="14"/>
        <v>1432.2458863963786</v>
      </c>
      <c r="G73" s="77">
        <f t="shared" si="11"/>
        <v>884.79776356891443</v>
      </c>
      <c r="H73" s="77">
        <f t="shared" si="15"/>
        <v>547.4481228274642</v>
      </c>
      <c r="I73" s="77">
        <f t="shared" si="12"/>
        <v>68013.584768385932</v>
      </c>
      <c r="J73" s="77">
        <f t="shared" si="12"/>
        <v>35108.119052153328</v>
      </c>
      <c r="K73" s="77">
        <f t="shared" si="16"/>
        <v>265439.32907067431</v>
      </c>
      <c r="L73" s="75">
        <v>400000</v>
      </c>
      <c r="M73" s="75">
        <f t="shared" si="13"/>
        <v>134560.67092932569</v>
      </c>
    </row>
    <row r="74" spans="5:13">
      <c r="E74">
        <v>72</v>
      </c>
      <c r="F74" s="77">
        <f t="shared" si="14"/>
        <v>1432.2458863963786</v>
      </c>
      <c r="G74" s="77">
        <f t="shared" si="11"/>
        <v>882.9729364928229</v>
      </c>
      <c r="H74" s="77">
        <f t="shared" si="15"/>
        <v>549.27294990355574</v>
      </c>
      <c r="I74" s="77">
        <f t="shared" si="12"/>
        <v>68896.557704878753</v>
      </c>
      <c r="J74" s="77">
        <f t="shared" si="12"/>
        <v>35657.392002056884</v>
      </c>
      <c r="K74" s="77">
        <f t="shared" si="16"/>
        <v>264891.88094784686</v>
      </c>
      <c r="L74" s="75">
        <v>400000</v>
      </c>
      <c r="M74" s="75">
        <f t="shared" si="13"/>
        <v>135108.11905215314</v>
      </c>
    </row>
    <row r="75" spans="5:13">
      <c r="E75">
        <v>73</v>
      </c>
      <c r="F75" s="77">
        <f t="shared" si="14"/>
        <v>1432.2458863963786</v>
      </c>
      <c r="G75" s="77">
        <f t="shared" si="11"/>
        <v>881.14202665981099</v>
      </c>
      <c r="H75" s="77">
        <f t="shared" si="15"/>
        <v>551.10385973656764</v>
      </c>
      <c r="I75" s="77">
        <f t="shared" si="12"/>
        <v>69777.699731538567</v>
      </c>
      <c r="J75" s="77">
        <f t="shared" si="12"/>
        <v>36208.495861793454</v>
      </c>
      <c r="K75" s="77">
        <f t="shared" si="16"/>
        <v>264342.6079979433</v>
      </c>
      <c r="L75" s="75">
        <v>400000</v>
      </c>
      <c r="M75" s="75">
        <f t="shared" si="13"/>
        <v>135657.3920020567</v>
      </c>
    </row>
    <row r="76" spans="5:13">
      <c r="E76">
        <v>74</v>
      </c>
      <c r="F76" s="77">
        <f t="shared" si="14"/>
        <v>1432.2458863963786</v>
      </c>
      <c r="G76" s="77">
        <f t="shared" si="11"/>
        <v>879.30501379402244</v>
      </c>
      <c r="H76" s="77">
        <f t="shared" si="15"/>
        <v>552.94087260235619</v>
      </c>
      <c r="I76" s="77">
        <f t="shared" si="12"/>
        <v>70657.004745332582</v>
      </c>
      <c r="J76" s="77">
        <f t="shared" si="12"/>
        <v>36761.436734395807</v>
      </c>
      <c r="K76" s="77">
        <f t="shared" si="16"/>
        <v>263791.50413820671</v>
      </c>
      <c r="L76" s="75">
        <v>400000</v>
      </c>
      <c r="M76" s="75">
        <f t="shared" si="13"/>
        <v>136208.49586179329</v>
      </c>
    </row>
    <row r="77" spans="5:13">
      <c r="E77">
        <v>75</v>
      </c>
      <c r="F77" s="77">
        <f t="shared" si="14"/>
        <v>1432.2458863963786</v>
      </c>
      <c r="G77" s="77">
        <f t="shared" si="11"/>
        <v>877.46187755201458</v>
      </c>
      <c r="H77" s="77">
        <f t="shared" si="15"/>
        <v>554.78400884436405</v>
      </c>
      <c r="I77" s="77">
        <f t="shared" si="12"/>
        <v>71534.466622884604</v>
      </c>
      <c r="J77" s="77">
        <f t="shared" si="12"/>
        <v>37316.22074324017</v>
      </c>
      <c r="K77" s="77">
        <f t="shared" si="16"/>
        <v>263238.56326560437</v>
      </c>
      <c r="L77" s="75">
        <v>400000</v>
      </c>
      <c r="M77" s="75">
        <f t="shared" si="13"/>
        <v>136761.43673439563</v>
      </c>
    </row>
    <row r="78" spans="5:13">
      <c r="E78">
        <v>76</v>
      </c>
      <c r="F78" s="77">
        <f t="shared" si="14"/>
        <v>1432.2458863963786</v>
      </c>
      <c r="G78" s="77">
        <f t="shared" si="11"/>
        <v>875.61259752253352</v>
      </c>
      <c r="H78" s="77">
        <f t="shared" si="15"/>
        <v>556.63328887384512</v>
      </c>
      <c r="I78" s="77">
        <f t="shared" si="12"/>
        <v>72410.079220407133</v>
      </c>
      <c r="J78" s="77">
        <f t="shared" si="12"/>
        <v>37872.854032114017</v>
      </c>
      <c r="K78" s="77">
        <f t="shared" si="16"/>
        <v>262683.77925676003</v>
      </c>
      <c r="L78" s="75">
        <v>400000</v>
      </c>
      <c r="M78" s="75">
        <f t="shared" si="13"/>
        <v>137316.22074323997</v>
      </c>
    </row>
    <row r="79" spans="5:13">
      <c r="E79">
        <v>77</v>
      </c>
      <c r="F79" s="77">
        <f t="shared" si="14"/>
        <v>1432.2458863963786</v>
      </c>
      <c r="G79" s="77">
        <f t="shared" si="11"/>
        <v>873.7571532262873</v>
      </c>
      <c r="H79" s="77">
        <f t="shared" si="15"/>
        <v>558.48873317009134</v>
      </c>
      <c r="I79" s="77">
        <f t="shared" si="12"/>
        <v>73283.836373633414</v>
      </c>
      <c r="J79" s="77">
        <f t="shared" si="12"/>
        <v>38431.342765284106</v>
      </c>
      <c r="K79" s="77">
        <f t="shared" si="16"/>
        <v>262127.14596788617</v>
      </c>
      <c r="L79" s="75">
        <v>400000</v>
      </c>
      <c r="M79" s="75">
        <f t="shared" si="13"/>
        <v>137872.85403211383</v>
      </c>
    </row>
    <row r="80" spans="5:13">
      <c r="E80">
        <v>78</v>
      </c>
      <c r="F80" s="77">
        <f t="shared" si="14"/>
        <v>1432.2458863963786</v>
      </c>
      <c r="G80" s="77">
        <f t="shared" si="11"/>
        <v>871.89552411572038</v>
      </c>
      <c r="H80" s="77">
        <f t="shared" si="15"/>
        <v>560.35036228065826</v>
      </c>
      <c r="I80" s="77">
        <f t="shared" si="12"/>
        <v>74155.731897749138</v>
      </c>
      <c r="J80" s="77">
        <f t="shared" si="12"/>
        <v>38991.693127564766</v>
      </c>
      <c r="K80" s="77">
        <f t="shared" si="16"/>
        <v>261568.65723471608</v>
      </c>
      <c r="L80" s="75">
        <v>400000</v>
      </c>
      <c r="M80" s="75">
        <f t="shared" si="13"/>
        <v>138431.34276528392</v>
      </c>
    </row>
    <row r="81" spans="5:13">
      <c r="E81">
        <v>79</v>
      </c>
      <c r="F81" s="77">
        <f t="shared" si="14"/>
        <v>1432.2458863963786</v>
      </c>
      <c r="G81" s="77">
        <f t="shared" si="11"/>
        <v>870.02768957478486</v>
      </c>
      <c r="H81" s="77">
        <f t="shared" si="15"/>
        <v>562.21819682159378</v>
      </c>
      <c r="I81" s="77">
        <f t="shared" si="12"/>
        <v>75025.759587323919</v>
      </c>
      <c r="J81" s="77">
        <f t="shared" si="12"/>
        <v>39553.911324386361</v>
      </c>
      <c r="K81" s="77">
        <f t="shared" si="16"/>
        <v>261008.30687243544</v>
      </c>
      <c r="L81" s="75">
        <v>400000</v>
      </c>
      <c r="M81" s="75">
        <f t="shared" si="13"/>
        <v>138991.69312756456</v>
      </c>
    </row>
    <row r="82" spans="5:13">
      <c r="E82">
        <v>80</v>
      </c>
      <c r="F82" s="77">
        <f t="shared" si="14"/>
        <v>1432.2458863963786</v>
      </c>
      <c r="G82" s="77">
        <f t="shared" si="11"/>
        <v>868.1536289187128</v>
      </c>
      <c r="H82" s="77">
        <f t="shared" si="15"/>
        <v>564.09225747766584</v>
      </c>
      <c r="I82" s="77">
        <f t="shared" si="12"/>
        <v>75893.913216242625</v>
      </c>
      <c r="J82" s="77">
        <f t="shared" si="12"/>
        <v>40118.003581864024</v>
      </c>
      <c r="K82" s="77">
        <f t="shared" si="16"/>
        <v>260446.08867561384</v>
      </c>
      <c r="L82" s="75">
        <v>400000</v>
      </c>
      <c r="M82" s="75">
        <f t="shared" si="13"/>
        <v>139553.91132438616</v>
      </c>
    </row>
    <row r="83" spans="5:13">
      <c r="E83">
        <v>81</v>
      </c>
      <c r="F83" s="77">
        <f t="shared" si="14"/>
        <v>1432.2458863963786</v>
      </c>
      <c r="G83" s="77">
        <f t="shared" si="11"/>
        <v>866.27332139378734</v>
      </c>
      <c r="H83" s="77">
        <f t="shared" si="15"/>
        <v>565.9725650025913</v>
      </c>
      <c r="I83" s="77">
        <f t="shared" ref="I83:J98" si="17">I82+G83</f>
        <v>76760.186537636415</v>
      </c>
      <c r="J83" s="77">
        <f t="shared" si="17"/>
        <v>40683.976146866618</v>
      </c>
      <c r="K83" s="77">
        <f t="shared" si="16"/>
        <v>259881.99641813617</v>
      </c>
      <c r="L83" s="75">
        <v>400000</v>
      </c>
      <c r="M83" s="75">
        <f t="shared" si="13"/>
        <v>140118.00358186383</v>
      </c>
    </row>
    <row r="84" spans="5:13">
      <c r="E84">
        <v>82</v>
      </c>
      <c r="F84" s="77">
        <f t="shared" si="14"/>
        <v>1432.2458863963786</v>
      </c>
      <c r="G84" s="77">
        <f t="shared" si="11"/>
        <v>864.38674617711195</v>
      </c>
      <c r="H84" s="77">
        <f t="shared" si="15"/>
        <v>567.85914021926669</v>
      </c>
      <c r="I84" s="77">
        <f t="shared" si="17"/>
        <v>77624.57328381353</v>
      </c>
      <c r="J84" s="77">
        <f t="shared" si="17"/>
        <v>41251.835287085887</v>
      </c>
      <c r="K84" s="77">
        <f t="shared" si="16"/>
        <v>259316.02385313358</v>
      </c>
      <c r="L84" s="75">
        <v>400000</v>
      </c>
      <c r="M84" s="75">
        <f t="shared" si="13"/>
        <v>140683.97614686642</v>
      </c>
    </row>
    <row r="85" spans="5:13">
      <c r="E85">
        <v>83</v>
      </c>
      <c r="F85" s="77">
        <f t="shared" si="14"/>
        <v>1432.2458863963786</v>
      </c>
      <c r="G85" s="77">
        <f t="shared" si="11"/>
        <v>862.49388237638118</v>
      </c>
      <c r="H85" s="77">
        <f t="shared" si="15"/>
        <v>569.75200401999746</v>
      </c>
      <c r="I85" s="77">
        <f t="shared" si="17"/>
        <v>78487.06716618991</v>
      </c>
      <c r="J85" s="77">
        <f t="shared" si="17"/>
        <v>41821.587291105883</v>
      </c>
      <c r="K85" s="77">
        <f t="shared" si="16"/>
        <v>258748.16471291432</v>
      </c>
      <c r="L85" s="75">
        <v>400000</v>
      </c>
      <c r="M85" s="75">
        <f t="shared" si="13"/>
        <v>141251.83528708568</v>
      </c>
    </row>
    <row r="86" spans="5:13">
      <c r="E86">
        <v>84</v>
      </c>
      <c r="F86" s="77">
        <f t="shared" si="14"/>
        <v>1432.2458863963786</v>
      </c>
      <c r="G86" s="77">
        <f t="shared" si="11"/>
        <v>860.59470902964779</v>
      </c>
      <c r="H86" s="77">
        <f t="shared" si="15"/>
        <v>571.65117736673085</v>
      </c>
      <c r="I86" s="77">
        <f t="shared" si="17"/>
        <v>79347.661875219565</v>
      </c>
      <c r="J86" s="77">
        <f t="shared" si="17"/>
        <v>42393.238468472613</v>
      </c>
      <c r="K86" s="77">
        <f t="shared" si="16"/>
        <v>258178.41270889432</v>
      </c>
      <c r="L86" s="75">
        <v>400000</v>
      </c>
      <c r="M86" s="75">
        <f t="shared" si="13"/>
        <v>141821.58729110568</v>
      </c>
    </row>
    <row r="87" spans="5:13">
      <c r="E87">
        <v>85</v>
      </c>
      <c r="F87" s="77">
        <f t="shared" si="14"/>
        <v>1432.2458863963786</v>
      </c>
      <c r="G87" s="77">
        <f t="shared" si="11"/>
        <v>858.68920510509201</v>
      </c>
      <c r="H87" s="77">
        <f t="shared" si="15"/>
        <v>573.55668129128662</v>
      </c>
      <c r="I87" s="77">
        <f t="shared" si="17"/>
        <v>80206.351080324661</v>
      </c>
      <c r="J87" s="77">
        <f t="shared" si="17"/>
        <v>42966.795149763901</v>
      </c>
      <c r="K87" s="77">
        <f t="shared" si="16"/>
        <v>257606.76153152759</v>
      </c>
      <c r="L87" s="75">
        <v>400000</v>
      </c>
      <c r="M87" s="75">
        <f t="shared" si="13"/>
        <v>142393.23846847241</v>
      </c>
    </row>
    <row r="88" spans="5:13">
      <c r="E88">
        <v>86</v>
      </c>
      <c r="F88" s="77">
        <f t="shared" si="14"/>
        <v>1432.2458863963786</v>
      </c>
      <c r="G88" s="77">
        <f t="shared" si="11"/>
        <v>856.77734950078775</v>
      </c>
      <c r="H88" s="77">
        <f t="shared" si="15"/>
        <v>575.46853689559089</v>
      </c>
      <c r="I88" s="77">
        <f t="shared" si="17"/>
        <v>81063.128429825447</v>
      </c>
      <c r="J88" s="77">
        <f t="shared" si="17"/>
        <v>43542.263686659491</v>
      </c>
      <c r="K88" s="77">
        <f t="shared" si="16"/>
        <v>257033.2048502363</v>
      </c>
      <c r="L88" s="75">
        <v>400000</v>
      </c>
      <c r="M88" s="75">
        <f t="shared" si="13"/>
        <v>142966.7951497637</v>
      </c>
    </row>
    <row r="89" spans="5:13">
      <c r="E89">
        <v>87</v>
      </c>
      <c r="F89" s="77">
        <f t="shared" si="14"/>
        <v>1432.2458863963786</v>
      </c>
      <c r="G89" s="77">
        <f t="shared" si="11"/>
        <v>854.85912104446913</v>
      </c>
      <c r="H89" s="77">
        <f t="shared" si="15"/>
        <v>577.3867653519095</v>
      </c>
      <c r="I89" s="77">
        <f t="shared" si="17"/>
        <v>81917.987550869919</v>
      </c>
      <c r="J89" s="77">
        <f t="shared" si="17"/>
        <v>44119.650452011403</v>
      </c>
      <c r="K89" s="77">
        <f t="shared" si="16"/>
        <v>256457.73631334072</v>
      </c>
      <c r="L89" s="75">
        <v>400000</v>
      </c>
      <c r="M89" s="75">
        <f t="shared" si="13"/>
        <v>143542.26368665928</v>
      </c>
    </row>
    <row r="90" spans="5:13">
      <c r="E90">
        <v>88</v>
      </c>
      <c r="F90" s="77">
        <f t="shared" si="14"/>
        <v>1432.2458863963786</v>
      </c>
      <c r="G90" s="77">
        <f t="shared" si="11"/>
        <v>852.93449849329613</v>
      </c>
      <c r="H90" s="77">
        <f t="shared" si="15"/>
        <v>579.3113879030825</v>
      </c>
      <c r="I90" s="77">
        <f t="shared" si="17"/>
        <v>82770.922049363217</v>
      </c>
      <c r="J90" s="77">
        <f t="shared" si="17"/>
        <v>44698.961839914482</v>
      </c>
      <c r="K90" s="77">
        <f t="shared" si="16"/>
        <v>255880.34954798882</v>
      </c>
      <c r="L90" s="75">
        <v>400000</v>
      </c>
      <c r="M90" s="75">
        <f t="shared" si="13"/>
        <v>144119.65045201118</v>
      </c>
    </row>
    <row r="91" spans="5:13">
      <c r="E91">
        <v>89</v>
      </c>
      <c r="F91" s="77">
        <f t="shared" si="14"/>
        <v>1432.2458863963786</v>
      </c>
      <c r="G91" s="77">
        <f t="shared" si="11"/>
        <v>851.0034605336192</v>
      </c>
      <c r="H91" s="77">
        <f t="shared" si="15"/>
        <v>581.24242586275943</v>
      </c>
      <c r="I91" s="77">
        <f t="shared" si="17"/>
        <v>83621.925509896842</v>
      </c>
      <c r="J91" s="77">
        <f t="shared" si="17"/>
        <v>45280.20426577724</v>
      </c>
      <c r="K91" s="77">
        <f t="shared" si="16"/>
        <v>255301.03816008574</v>
      </c>
      <c r="L91" s="75">
        <v>400000</v>
      </c>
      <c r="M91" s="75">
        <f t="shared" si="13"/>
        <v>144698.96183991426</v>
      </c>
    </row>
    <row r="92" spans="5:13">
      <c r="E92">
        <v>90</v>
      </c>
      <c r="F92" s="77">
        <f t="shared" si="14"/>
        <v>1432.2458863963786</v>
      </c>
      <c r="G92" s="77">
        <f t="shared" si="11"/>
        <v>849.06598578074329</v>
      </c>
      <c r="H92" s="77">
        <f t="shared" si="15"/>
        <v>583.17990061563535</v>
      </c>
      <c r="I92" s="77">
        <f t="shared" si="17"/>
        <v>84470.99149567759</v>
      </c>
      <c r="J92" s="77">
        <f t="shared" si="17"/>
        <v>45863.384166392876</v>
      </c>
      <c r="K92" s="77">
        <f t="shared" si="16"/>
        <v>254719.79573422298</v>
      </c>
      <c r="L92" s="75">
        <v>400000</v>
      </c>
      <c r="M92" s="75">
        <f t="shared" si="13"/>
        <v>145280.20426577702</v>
      </c>
    </row>
    <row r="93" spans="5:13">
      <c r="E93">
        <v>91</v>
      </c>
      <c r="F93" s="77">
        <f t="shared" si="14"/>
        <v>1432.2458863963786</v>
      </c>
      <c r="G93" s="77">
        <f t="shared" si="11"/>
        <v>847.12205277869123</v>
      </c>
      <c r="H93" s="77">
        <f t="shared" si="15"/>
        <v>585.12383361768741</v>
      </c>
      <c r="I93" s="77">
        <f t="shared" si="17"/>
        <v>85318.113548456284</v>
      </c>
      <c r="J93" s="77">
        <f t="shared" si="17"/>
        <v>46448.508000010566</v>
      </c>
      <c r="K93" s="77">
        <f t="shared" si="16"/>
        <v>254136.61583360736</v>
      </c>
      <c r="L93" s="75">
        <v>400000</v>
      </c>
      <c r="M93" s="75">
        <f t="shared" si="13"/>
        <v>145863.38416639264</v>
      </c>
    </row>
    <row r="94" spans="5:13">
      <c r="E94">
        <v>92</v>
      </c>
      <c r="F94" s="77">
        <f t="shared" si="14"/>
        <v>1432.2458863963786</v>
      </c>
      <c r="G94" s="77">
        <f t="shared" si="11"/>
        <v>845.17163999996558</v>
      </c>
      <c r="H94" s="77">
        <f t="shared" si="15"/>
        <v>587.07424639641306</v>
      </c>
      <c r="I94" s="77">
        <f t="shared" si="17"/>
        <v>86163.285188456255</v>
      </c>
      <c r="J94" s="77">
        <f t="shared" si="17"/>
        <v>47035.582246406979</v>
      </c>
      <c r="K94" s="77">
        <f t="shared" si="16"/>
        <v>253551.49199998967</v>
      </c>
      <c r="L94" s="75">
        <v>400000</v>
      </c>
      <c r="M94" s="75">
        <f t="shared" si="13"/>
        <v>146448.50800001033</v>
      </c>
    </row>
    <row r="95" spans="5:13">
      <c r="E95">
        <v>93</v>
      </c>
      <c r="F95" s="77">
        <f t="shared" si="14"/>
        <v>1432.2458863963786</v>
      </c>
      <c r="G95" s="77">
        <f t="shared" si="11"/>
        <v>843.21472584531091</v>
      </c>
      <c r="H95" s="77">
        <f t="shared" si="15"/>
        <v>589.03116055106773</v>
      </c>
      <c r="I95" s="77">
        <f t="shared" si="17"/>
        <v>87006.499914301559</v>
      </c>
      <c r="J95" s="77">
        <f t="shared" si="17"/>
        <v>47624.613406958044</v>
      </c>
      <c r="K95" s="77">
        <f t="shared" si="16"/>
        <v>252964.41775359324</v>
      </c>
      <c r="L95" s="75">
        <v>400000</v>
      </c>
      <c r="M95" s="75">
        <f t="shared" si="13"/>
        <v>147035.58224640676</v>
      </c>
    </row>
    <row r="96" spans="5:13">
      <c r="E96">
        <v>94</v>
      </c>
      <c r="F96" s="77">
        <f t="shared" si="14"/>
        <v>1432.2458863963786</v>
      </c>
      <c r="G96" s="77">
        <f t="shared" si="11"/>
        <v>841.25128864347391</v>
      </c>
      <c r="H96" s="77">
        <f t="shared" si="15"/>
        <v>590.99459775290472</v>
      </c>
      <c r="I96" s="77">
        <f t="shared" si="17"/>
        <v>87847.75120294503</v>
      </c>
      <c r="J96" s="77">
        <f t="shared" si="17"/>
        <v>48215.60800471095</v>
      </c>
      <c r="K96" s="77">
        <f t="shared" si="16"/>
        <v>252375.38659304217</v>
      </c>
      <c r="L96" s="75">
        <v>400000</v>
      </c>
      <c r="M96" s="75">
        <f t="shared" si="13"/>
        <v>147624.61340695783</v>
      </c>
    </row>
    <row r="97" spans="5:13">
      <c r="E97">
        <v>95</v>
      </c>
      <c r="F97" s="77">
        <f t="shared" si="14"/>
        <v>1432.2458863963786</v>
      </c>
      <c r="G97" s="77">
        <f t="shared" si="11"/>
        <v>839.28130665096432</v>
      </c>
      <c r="H97" s="77">
        <f t="shared" si="15"/>
        <v>592.96457974541431</v>
      </c>
      <c r="I97" s="77">
        <f t="shared" si="17"/>
        <v>88687.032509596</v>
      </c>
      <c r="J97" s="77">
        <f t="shared" si="17"/>
        <v>48808.572584456364</v>
      </c>
      <c r="K97" s="77">
        <f t="shared" si="16"/>
        <v>251784.39199528928</v>
      </c>
      <c r="L97" s="75">
        <v>400000</v>
      </c>
      <c r="M97" s="75">
        <f t="shared" si="13"/>
        <v>148215.60800471072</v>
      </c>
    </row>
    <row r="98" spans="5:13">
      <c r="E98">
        <v>96</v>
      </c>
      <c r="F98" s="77">
        <f t="shared" si="14"/>
        <v>1432.2458863963786</v>
      </c>
      <c r="G98" s="77">
        <f t="shared" si="11"/>
        <v>837.30475805181288</v>
      </c>
      <c r="H98" s="77">
        <f t="shared" si="15"/>
        <v>594.94112834456575</v>
      </c>
      <c r="I98" s="77">
        <f t="shared" si="17"/>
        <v>89524.337267647817</v>
      </c>
      <c r="J98" s="77">
        <f t="shared" si="17"/>
        <v>49403.51371280093</v>
      </c>
      <c r="K98" s="77">
        <f t="shared" si="16"/>
        <v>251191.42741554385</v>
      </c>
      <c r="L98" s="75">
        <v>400000</v>
      </c>
      <c r="M98" s="75">
        <f t="shared" si="13"/>
        <v>148808.57258445615</v>
      </c>
    </row>
    <row r="99" spans="5:13">
      <c r="E99">
        <v>97</v>
      </c>
      <c r="F99" s="77">
        <f t="shared" si="14"/>
        <v>1432.2458863963786</v>
      </c>
      <c r="G99" s="77">
        <f t="shared" si="11"/>
        <v>835.32162095733099</v>
      </c>
      <c r="H99" s="77">
        <f t="shared" si="15"/>
        <v>596.92426543904764</v>
      </c>
      <c r="I99" s="77">
        <f t="shared" ref="I99:J114" si="18">I98+G99</f>
        <v>90359.658888605147</v>
      </c>
      <c r="J99" s="77">
        <f t="shared" si="18"/>
        <v>50000.437978239977</v>
      </c>
      <c r="K99" s="77">
        <f t="shared" si="16"/>
        <v>250596.48628719928</v>
      </c>
      <c r="L99" s="75">
        <v>400000</v>
      </c>
      <c r="M99" s="75">
        <f t="shared" si="13"/>
        <v>149403.51371280072</v>
      </c>
    </row>
    <row r="100" spans="5:13">
      <c r="E100">
        <v>98</v>
      </c>
      <c r="F100" s="77">
        <f t="shared" si="14"/>
        <v>1432.2458863963786</v>
      </c>
      <c r="G100" s="77">
        <f t="shared" si="11"/>
        <v>833.33187340586755</v>
      </c>
      <c r="H100" s="77">
        <f t="shared" si="15"/>
        <v>598.91401299051108</v>
      </c>
      <c r="I100" s="77">
        <f t="shared" si="18"/>
        <v>91192.990762011017</v>
      </c>
      <c r="J100" s="77">
        <f t="shared" si="18"/>
        <v>50599.351991230491</v>
      </c>
      <c r="K100" s="77">
        <f t="shared" si="16"/>
        <v>249999.56202176024</v>
      </c>
      <c r="L100" s="75">
        <v>400000</v>
      </c>
      <c r="M100" s="75">
        <f t="shared" si="13"/>
        <v>150000.43797823976</v>
      </c>
    </row>
    <row r="101" spans="5:13">
      <c r="E101">
        <v>99</v>
      </c>
      <c r="F101" s="77">
        <f t="shared" si="14"/>
        <v>1432.2458863963786</v>
      </c>
      <c r="G101" s="77">
        <f t="shared" si="11"/>
        <v>831.33549336256578</v>
      </c>
      <c r="H101" s="77">
        <f t="shared" si="15"/>
        <v>600.91039303381285</v>
      </c>
      <c r="I101" s="77">
        <f t="shared" si="18"/>
        <v>92024.326255373584</v>
      </c>
      <c r="J101" s="77">
        <f t="shared" si="18"/>
        <v>51200.262384264301</v>
      </c>
      <c r="K101" s="77">
        <f t="shared" si="16"/>
        <v>249400.64800876973</v>
      </c>
      <c r="L101" s="75">
        <v>400000</v>
      </c>
      <c r="M101" s="75">
        <f t="shared" si="13"/>
        <v>150599.35199123027</v>
      </c>
    </row>
    <row r="102" spans="5:13">
      <c r="E102">
        <v>100</v>
      </c>
      <c r="F102" s="77">
        <f t="shared" si="14"/>
        <v>1432.2458863963786</v>
      </c>
      <c r="G102" s="77">
        <f t="shared" si="11"/>
        <v>829.3324587191197</v>
      </c>
      <c r="H102" s="77">
        <f t="shared" si="15"/>
        <v>602.91342767725894</v>
      </c>
      <c r="I102" s="77">
        <f t="shared" si="18"/>
        <v>92853.6587140927</v>
      </c>
      <c r="J102" s="77">
        <f t="shared" si="18"/>
        <v>51803.175811941561</v>
      </c>
      <c r="K102" s="77">
        <f t="shared" si="16"/>
        <v>248799.73761573591</v>
      </c>
      <c r="L102" s="75">
        <v>400000</v>
      </c>
      <c r="M102" s="75">
        <f t="shared" si="13"/>
        <v>151200.26238426409</v>
      </c>
    </row>
    <row r="103" spans="5:13">
      <c r="E103">
        <v>101</v>
      </c>
      <c r="F103" s="77">
        <f t="shared" si="14"/>
        <v>1432.2458863963786</v>
      </c>
      <c r="G103" s="77">
        <f t="shared" si="11"/>
        <v>827.32274729352889</v>
      </c>
      <c r="H103" s="77">
        <f t="shared" si="15"/>
        <v>604.92313910284975</v>
      </c>
      <c r="I103" s="77">
        <f t="shared" si="18"/>
        <v>93680.981461386225</v>
      </c>
      <c r="J103" s="77">
        <f t="shared" si="18"/>
        <v>52408.098951044412</v>
      </c>
      <c r="K103" s="77">
        <f t="shared" si="16"/>
        <v>248196.82418805864</v>
      </c>
      <c r="L103" s="75">
        <v>400000</v>
      </c>
      <c r="M103" s="75">
        <f t="shared" si="13"/>
        <v>151803.17581194136</v>
      </c>
    </row>
    <row r="104" spans="5:13">
      <c r="E104">
        <v>102</v>
      </c>
      <c r="F104" s="77">
        <f t="shared" si="14"/>
        <v>1432.2458863963786</v>
      </c>
      <c r="G104" s="77">
        <f t="shared" si="11"/>
        <v>825.30633682985274</v>
      </c>
      <c r="H104" s="77">
        <f t="shared" si="15"/>
        <v>606.9395495665259</v>
      </c>
      <c r="I104" s="77">
        <f t="shared" si="18"/>
        <v>94506.287798216072</v>
      </c>
      <c r="J104" s="77">
        <f t="shared" si="18"/>
        <v>53015.038500610935</v>
      </c>
      <c r="K104" s="77">
        <f t="shared" si="16"/>
        <v>247591.9010489558</v>
      </c>
      <c r="L104" s="75">
        <v>400000</v>
      </c>
      <c r="M104" s="75">
        <f t="shared" si="13"/>
        <v>152408.0989510442</v>
      </c>
    </row>
    <row r="105" spans="5:13">
      <c r="E105">
        <v>103</v>
      </c>
      <c r="F105" s="77">
        <f t="shared" si="14"/>
        <v>1432.2458863963786</v>
      </c>
      <c r="G105" s="77">
        <f t="shared" si="11"/>
        <v>823.28320499796428</v>
      </c>
      <c r="H105" s="77">
        <f t="shared" si="15"/>
        <v>608.96268139841436</v>
      </c>
      <c r="I105" s="77">
        <f t="shared" si="18"/>
        <v>95329.571003214034</v>
      </c>
      <c r="J105" s="77">
        <f t="shared" si="18"/>
        <v>53624.00118200935</v>
      </c>
      <c r="K105" s="77">
        <f t="shared" si="16"/>
        <v>246984.96149938926</v>
      </c>
      <c r="L105" s="75">
        <v>400000</v>
      </c>
      <c r="M105" s="75">
        <f t="shared" si="13"/>
        <v>153015.03850061074</v>
      </c>
    </row>
    <row r="106" spans="5:13">
      <c r="E106">
        <v>104</v>
      </c>
      <c r="F106" s="77">
        <f t="shared" si="14"/>
        <v>1432.2458863963786</v>
      </c>
      <c r="G106" s="77">
        <f t="shared" si="11"/>
        <v>821.25332939330292</v>
      </c>
      <c r="H106" s="77">
        <f t="shared" si="15"/>
        <v>610.99255700307572</v>
      </c>
      <c r="I106" s="77">
        <f t="shared" si="18"/>
        <v>96150.824332607343</v>
      </c>
      <c r="J106" s="77">
        <f t="shared" si="18"/>
        <v>54234.993739012425</v>
      </c>
      <c r="K106" s="77">
        <f t="shared" si="16"/>
        <v>246375.99881799085</v>
      </c>
      <c r="L106" s="75">
        <v>400000</v>
      </c>
      <c r="M106" s="75">
        <f t="shared" si="13"/>
        <v>153624.00118200915</v>
      </c>
    </row>
    <row r="107" spans="5:13">
      <c r="E107">
        <v>105</v>
      </c>
      <c r="F107" s="77">
        <f t="shared" si="14"/>
        <v>1432.2458863963786</v>
      </c>
      <c r="G107" s="77">
        <f t="shared" si="11"/>
        <v>819.21668753662595</v>
      </c>
      <c r="H107" s="77">
        <f t="shared" si="15"/>
        <v>613.02919885975268</v>
      </c>
      <c r="I107" s="77">
        <f t="shared" si="18"/>
        <v>96970.041020143966</v>
      </c>
      <c r="J107" s="77">
        <f t="shared" si="18"/>
        <v>54848.022937872178</v>
      </c>
      <c r="K107" s="77">
        <f t="shared" si="16"/>
        <v>245765.00626098778</v>
      </c>
      <c r="L107" s="75">
        <v>400000</v>
      </c>
      <c r="M107" s="75">
        <f t="shared" si="13"/>
        <v>154234.99373901222</v>
      </c>
    </row>
    <row r="108" spans="5:13">
      <c r="E108">
        <v>106</v>
      </c>
      <c r="F108" s="77">
        <f t="shared" si="14"/>
        <v>1432.2458863963786</v>
      </c>
      <c r="G108" s="77">
        <f t="shared" si="11"/>
        <v>817.17325687376012</v>
      </c>
      <c r="H108" s="77">
        <f t="shared" si="15"/>
        <v>615.07262952261851</v>
      </c>
      <c r="I108" s="77">
        <f t="shared" si="18"/>
        <v>97787.214277017731</v>
      </c>
      <c r="J108" s="77">
        <f t="shared" si="18"/>
        <v>55463.095567394797</v>
      </c>
      <c r="K108" s="77">
        <f t="shared" si="16"/>
        <v>245151.97706212802</v>
      </c>
      <c r="L108" s="75">
        <v>400000</v>
      </c>
      <c r="M108" s="75">
        <f t="shared" si="13"/>
        <v>154848.02293787198</v>
      </c>
    </row>
    <row r="109" spans="5:13">
      <c r="E109">
        <v>107</v>
      </c>
      <c r="F109" s="77">
        <f t="shared" si="14"/>
        <v>1432.2458863963786</v>
      </c>
      <c r="G109" s="77">
        <f t="shared" si="11"/>
        <v>815.12301477535141</v>
      </c>
      <c r="H109" s="77">
        <f t="shared" si="15"/>
        <v>617.12287162102723</v>
      </c>
      <c r="I109" s="77">
        <f t="shared" si="18"/>
        <v>98602.337291793083</v>
      </c>
      <c r="J109" s="77">
        <f t="shared" si="18"/>
        <v>56080.218439015822</v>
      </c>
      <c r="K109" s="77">
        <f t="shared" si="16"/>
        <v>244536.9044326054</v>
      </c>
      <c r="L109" s="75">
        <v>400000</v>
      </c>
      <c r="M109" s="75">
        <f t="shared" si="13"/>
        <v>155463.0955673946</v>
      </c>
    </row>
    <row r="110" spans="5:13">
      <c r="E110">
        <v>108</v>
      </c>
      <c r="F110" s="77">
        <f t="shared" si="14"/>
        <v>1432.2458863963786</v>
      </c>
      <c r="G110" s="77">
        <f t="shared" si="11"/>
        <v>813.06593853661468</v>
      </c>
      <c r="H110" s="77">
        <f t="shared" si="15"/>
        <v>619.17994785976396</v>
      </c>
      <c r="I110" s="77">
        <f t="shared" si="18"/>
        <v>99415.403230329699</v>
      </c>
      <c r="J110" s="77">
        <f t="shared" si="18"/>
        <v>56699.398386875582</v>
      </c>
      <c r="K110" s="77">
        <f t="shared" si="16"/>
        <v>243919.78156098438</v>
      </c>
      <c r="L110" s="75">
        <v>400000</v>
      </c>
      <c r="M110" s="75">
        <f t="shared" si="13"/>
        <v>156080.21843901562</v>
      </c>
    </row>
    <row r="111" spans="5:13">
      <c r="E111">
        <v>109</v>
      </c>
      <c r="F111" s="77">
        <f t="shared" si="14"/>
        <v>1432.2458863963786</v>
      </c>
      <c r="G111" s="77">
        <f t="shared" si="11"/>
        <v>811.00200537708213</v>
      </c>
      <c r="H111" s="77">
        <f t="shared" si="15"/>
        <v>621.24388101929651</v>
      </c>
      <c r="I111" s="77">
        <f t="shared" si="18"/>
        <v>100226.40523570678</v>
      </c>
      <c r="J111" s="77">
        <f t="shared" si="18"/>
        <v>57320.64226789488</v>
      </c>
      <c r="K111" s="77">
        <f t="shared" si="16"/>
        <v>243300.60161312463</v>
      </c>
      <c r="L111" s="75">
        <v>400000</v>
      </c>
      <c r="M111" s="75">
        <f t="shared" si="13"/>
        <v>156699.39838687537</v>
      </c>
    </row>
    <row r="112" spans="5:13">
      <c r="E112">
        <v>110</v>
      </c>
      <c r="F112" s="77">
        <f t="shared" si="14"/>
        <v>1432.2458863963786</v>
      </c>
      <c r="G112" s="77">
        <f t="shared" si="11"/>
        <v>808.9311924403512</v>
      </c>
      <c r="H112" s="77">
        <f t="shared" si="15"/>
        <v>623.31469395602744</v>
      </c>
      <c r="I112" s="77">
        <f t="shared" si="18"/>
        <v>101035.33642814713</v>
      </c>
      <c r="J112" s="77">
        <f t="shared" si="18"/>
        <v>57943.956961850905</v>
      </c>
      <c r="K112" s="77">
        <f t="shared" si="16"/>
        <v>242679.35773210533</v>
      </c>
      <c r="L112" s="75">
        <v>400000</v>
      </c>
      <c r="M112" s="75">
        <f t="shared" si="13"/>
        <v>157320.64226789467</v>
      </c>
    </row>
    <row r="113" spans="5:13">
      <c r="E113">
        <v>111</v>
      </c>
      <c r="F113" s="77">
        <f t="shared" si="14"/>
        <v>1432.2458863963786</v>
      </c>
      <c r="G113" s="77">
        <f t="shared" si="11"/>
        <v>806.85347679383108</v>
      </c>
      <c r="H113" s="77">
        <f t="shared" si="15"/>
        <v>625.39240960254756</v>
      </c>
      <c r="I113" s="77">
        <f t="shared" si="18"/>
        <v>101842.18990494095</v>
      </c>
      <c r="J113" s="77">
        <f t="shared" si="18"/>
        <v>58569.349371453456</v>
      </c>
      <c r="K113" s="77">
        <f t="shared" si="16"/>
        <v>242056.04303814931</v>
      </c>
      <c r="L113" s="75">
        <v>400000</v>
      </c>
      <c r="M113" s="75">
        <f t="shared" si="13"/>
        <v>157943.95696185069</v>
      </c>
    </row>
    <row r="114" spans="5:13">
      <c r="E114">
        <v>112</v>
      </c>
      <c r="F114" s="77">
        <f t="shared" si="14"/>
        <v>1432.2458863963786</v>
      </c>
      <c r="G114" s="77">
        <f t="shared" si="11"/>
        <v>804.76883542848918</v>
      </c>
      <c r="H114" s="77">
        <f t="shared" si="15"/>
        <v>627.47705096788945</v>
      </c>
      <c r="I114" s="77">
        <f t="shared" si="18"/>
        <v>102646.95874036945</v>
      </c>
      <c r="J114" s="77">
        <f t="shared" si="18"/>
        <v>59196.826422421349</v>
      </c>
      <c r="K114" s="77">
        <f t="shared" si="16"/>
        <v>241430.65062854675</v>
      </c>
      <c r="L114" s="75">
        <v>400000</v>
      </c>
      <c r="M114" s="75">
        <f t="shared" si="13"/>
        <v>158569.34937145325</v>
      </c>
    </row>
    <row r="115" spans="5:13">
      <c r="E115">
        <v>113</v>
      </c>
      <c r="F115" s="77">
        <f t="shared" si="14"/>
        <v>1432.2458863963786</v>
      </c>
      <c r="G115" s="77">
        <f t="shared" si="11"/>
        <v>802.67724525859626</v>
      </c>
      <c r="H115" s="77">
        <f t="shared" si="15"/>
        <v>629.56864113778238</v>
      </c>
      <c r="I115" s="77">
        <f t="shared" ref="I115:J130" si="19">I114+G115</f>
        <v>103449.63598562805</v>
      </c>
      <c r="J115" s="77">
        <f t="shared" si="19"/>
        <v>59826.395063559132</v>
      </c>
      <c r="K115" s="77">
        <f t="shared" si="16"/>
        <v>240803.17357757885</v>
      </c>
      <c r="L115" s="75">
        <v>400000</v>
      </c>
      <c r="M115" s="75">
        <f t="shared" si="13"/>
        <v>159196.82642242115</v>
      </c>
    </row>
    <row r="116" spans="5:13">
      <c r="E116">
        <v>114</v>
      </c>
      <c r="F116" s="77">
        <f t="shared" si="14"/>
        <v>1432.2458863963786</v>
      </c>
      <c r="G116" s="77">
        <f t="shared" si="11"/>
        <v>800.57868312147036</v>
      </c>
      <c r="H116" s="77">
        <f t="shared" si="15"/>
        <v>631.66720327490827</v>
      </c>
      <c r="I116" s="77">
        <f t="shared" si="19"/>
        <v>104250.21466874951</v>
      </c>
      <c r="J116" s="77">
        <f t="shared" si="19"/>
        <v>60458.062266834037</v>
      </c>
      <c r="K116" s="77">
        <f t="shared" si="16"/>
        <v>240173.60493644109</v>
      </c>
      <c r="L116" s="75">
        <v>400000</v>
      </c>
      <c r="M116" s="75">
        <f t="shared" si="13"/>
        <v>159826.39506355891</v>
      </c>
    </row>
    <row r="117" spans="5:13">
      <c r="E117">
        <v>115</v>
      </c>
      <c r="F117" s="77">
        <f t="shared" si="14"/>
        <v>1432.2458863963786</v>
      </c>
      <c r="G117" s="77">
        <f t="shared" si="11"/>
        <v>798.47312577722062</v>
      </c>
      <c r="H117" s="77">
        <f t="shared" si="15"/>
        <v>633.77276061915802</v>
      </c>
      <c r="I117" s="77">
        <f t="shared" si="19"/>
        <v>105048.68779452673</v>
      </c>
      <c r="J117" s="77">
        <f t="shared" si="19"/>
        <v>61091.835027453191</v>
      </c>
      <c r="K117" s="77">
        <f t="shared" si="16"/>
        <v>239541.93773316618</v>
      </c>
      <c r="L117" s="75">
        <v>400000</v>
      </c>
      <c r="M117" s="75">
        <f t="shared" si="13"/>
        <v>160458.06226683382</v>
      </c>
    </row>
    <row r="118" spans="5:13">
      <c r="E118">
        <v>116</v>
      </c>
      <c r="F118" s="77">
        <f t="shared" si="14"/>
        <v>1432.2458863963786</v>
      </c>
      <c r="G118" s="77">
        <f t="shared" si="11"/>
        <v>796.36054990849016</v>
      </c>
      <c r="H118" s="77">
        <f t="shared" si="15"/>
        <v>635.88533648788848</v>
      </c>
      <c r="I118" s="77">
        <f t="shared" si="19"/>
        <v>105845.04834443523</v>
      </c>
      <c r="J118" s="77">
        <f t="shared" si="19"/>
        <v>61727.72036394108</v>
      </c>
      <c r="K118" s="77">
        <f t="shared" si="16"/>
        <v>238908.16497254703</v>
      </c>
      <c r="L118" s="75">
        <v>400000</v>
      </c>
      <c r="M118" s="75">
        <f t="shared" si="13"/>
        <v>161091.83502745297</v>
      </c>
    </row>
    <row r="119" spans="5:13">
      <c r="E119">
        <v>117</v>
      </c>
      <c r="F119" s="77">
        <f t="shared" si="14"/>
        <v>1432.2458863963786</v>
      </c>
      <c r="G119" s="77">
        <f t="shared" si="11"/>
        <v>794.24093212019727</v>
      </c>
      <c r="H119" s="77">
        <f t="shared" si="15"/>
        <v>638.00495427618137</v>
      </c>
      <c r="I119" s="77">
        <f t="shared" si="19"/>
        <v>106639.28927655543</v>
      </c>
      <c r="J119" s="77">
        <f t="shared" si="19"/>
        <v>62365.725318217264</v>
      </c>
      <c r="K119" s="77">
        <f t="shared" si="16"/>
        <v>238272.27963605916</v>
      </c>
      <c r="L119" s="75">
        <v>400000</v>
      </c>
      <c r="M119" s="75">
        <f t="shared" si="13"/>
        <v>161727.72036394084</v>
      </c>
    </row>
    <row r="120" spans="5:13">
      <c r="E120">
        <v>118</v>
      </c>
      <c r="F120" s="77">
        <f t="shared" si="14"/>
        <v>1432.2458863963786</v>
      </c>
      <c r="G120" s="77">
        <f t="shared" si="11"/>
        <v>792.11424893927665</v>
      </c>
      <c r="H120" s="77">
        <f t="shared" si="15"/>
        <v>640.13163745710199</v>
      </c>
      <c r="I120" s="77">
        <f t="shared" si="19"/>
        <v>107431.40352549471</v>
      </c>
      <c r="J120" s="77">
        <f t="shared" si="19"/>
        <v>63005.856955674368</v>
      </c>
      <c r="K120" s="77">
        <f t="shared" si="16"/>
        <v>237634.27468178299</v>
      </c>
      <c r="L120" s="75">
        <v>400000</v>
      </c>
      <c r="M120" s="75">
        <f t="shared" si="13"/>
        <v>162365.72531821701</v>
      </c>
    </row>
    <row r="121" spans="5:13">
      <c r="E121">
        <v>119</v>
      </c>
      <c r="F121" s="77">
        <f t="shared" si="14"/>
        <v>1432.2458863963786</v>
      </c>
      <c r="G121" s="77">
        <f t="shared" si="11"/>
        <v>789.98047681441972</v>
      </c>
      <c r="H121" s="77">
        <f t="shared" si="15"/>
        <v>642.26540958195892</v>
      </c>
      <c r="I121" s="77">
        <f t="shared" si="19"/>
        <v>108221.38400230913</v>
      </c>
      <c r="J121" s="77">
        <f t="shared" si="19"/>
        <v>63648.122365256328</v>
      </c>
      <c r="K121" s="77">
        <f t="shared" si="16"/>
        <v>236994.1430443259</v>
      </c>
      <c r="L121" s="75">
        <v>400000</v>
      </c>
      <c r="M121" s="75">
        <f t="shared" si="13"/>
        <v>163005.8569556741</v>
      </c>
    </row>
    <row r="122" spans="5:13">
      <c r="E122">
        <v>120</v>
      </c>
      <c r="F122" s="77">
        <f t="shared" si="14"/>
        <v>1432.2458863963786</v>
      </c>
      <c r="G122" s="77">
        <f t="shared" si="11"/>
        <v>787.83959211581328</v>
      </c>
      <c r="H122" s="77">
        <f t="shared" si="15"/>
        <v>644.40629428056536</v>
      </c>
      <c r="I122" s="77">
        <f t="shared" si="19"/>
        <v>109009.22359442494</v>
      </c>
      <c r="J122" s="77">
        <f t="shared" si="19"/>
        <v>64292.528659536896</v>
      </c>
      <c r="K122" s="77">
        <f t="shared" si="16"/>
        <v>236351.87763474396</v>
      </c>
      <c r="L122" s="75">
        <v>400000</v>
      </c>
      <c r="M122" s="75">
        <f t="shared" si="13"/>
        <v>163648.12236525604</v>
      </c>
    </row>
    <row r="123" spans="5:13">
      <c r="E123">
        <v>121</v>
      </c>
      <c r="F123" s="77">
        <f t="shared" si="14"/>
        <v>1432.2458863963786</v>
      </c>
      <c r="G123" s="77">
        <f t="shared" si="11"/>
        <v>785.69157113487802</v>
      </c>
      <c r="H123" s="77">
        <f t="shared" si="15"/>
        <v>646.55431526150062</v>
      </c>
      <c r="I123" s="77">
        <f t="shared" si="19"/>
        <v>109794.91516555983</v>
      </c>
      <c r="J123" s="77">
        <f t="shared" si="19"/>
        <v>64939.082974798395</v>
      </c>
      <c r="K123" s="77">
        <f t="shared" si="16"/>
        <v>235707.47134046338</v>
      </c>
      <c r="L123" s="75">
        <v>400000</v>
      </c>
      <c r="M123" s="75">
        <f t="shared" si="13"/>
        <v>164292.52865953662</v>
      </c>
    </row>
    <row r="124" spans="5:13">
      <c r="E124">
        <v>122</v>
      </c>
      <c r="F124" s="77">
        <f t="shared" si="14"/>
        <v>1432.2458863963786</v>
      </c>
      <c r="G124" s="77">
        <f t="shared" si="11"/>
        <v>783.53639008400626</v>
      </c>
      <c r="H124" s="77">
        <f t="shared" si="15"/>
        <v>648.70949631237238</v>
      </c>
      <c r="I124" s="77">
        <f t="shared" si="19"/>
        <v>110578.45155564383</v>
      </c>
      <c r="J124" s="77">
        <f t="shared" si="19"/>
        <v>65587.792471110763</v>
      </c>
      <c r="K124" s="77">
        <f t="shared" si="16"/>
        <v>235060.91702520187</v>
      </c>
      <c r="L124" s="75">
        <v>400000</v>
      </c>
      <c r="M124" s="75">
        <f t="shared" si="13"/>
        <v>164939.08297479813</v>
      </c>
    </row>
    <row r="125" spans="5:13">
      <c r="E125">
        <v>123</v>
      </c>
      <c r="F125" s="77">
        <f t="shared" si="14"/>
        <v>1432.2458863963786</v>
      </c>
      <c r="G125" s="77">
        <f t="shared" si="11"/>
        <v>781.3740250962984</v>
      </c>
      <c r="H125" s="77">
        <f t="shared" si="15"/>
        <v>650.87186130008024</v>
      </c>
      <c r="I125" s="77">
        <f t="shared" si="19"/>
        <v>111359.82558074013</v>
      </c>
      <c r="J125" s="77">
        <f t="shared" si="19"/>
        <v>66238.664332410845</v>
      </c>
      <c r="K125" s="77">
        <f t="shared" si="16"/>
        <v>234412.2075288895</v>
      </c>
      <c r="L125" s="75">
        <v>400000</v>
      </c>
      <c r="M125" s="75">
        <f t="shared" si="13"/>
        <v>165587.7924711105</v>
      </c>
    </row>
    <row r="126" spans="5:13">
      <c r="E126">
        <v>124</v>
      </c>
      <c r="F126" s="77">
        <f t="shared" si="14"/>
        <v>1432.2458863963786</v>
      </c>
      <c r="G126" s="77">
        <f t="shared" si="11"/>
        <v>779.20445222529816</v>
      </c>
      <c r="H126" s="77">
        <f t="shared" si="15"/>
        <v>653.04143417108048</v>
      </c>
      <c r="I126" s="77">
        <f t="shared" si="19"/>
        <v>112139.03003296543</v>
      </c>
      <c r="J126" s="77">
        <f t="shared" si="19"/>
        <v>66891.70576658193</v>
      </c>
      <c r="K126" s="77">
        <f t="shared" si="16"/>
        <v>233761.33566758942</v>
      </c>
      <c r="L126" s="75">
        <v>400000</v>
      </c>
      <c r="M126" s="75">
        <f t="shared" si="13"/>
        <v>166238.66433241058</v>
      </c>
    </row>
    <row r="127" spans="5:13">
      <c r="E127">
        <v>125</v>
      </c>
      <c r="F127" s="77">
        <f t="shared" si="14"/>
        <v>1432.2458863963786</v>
      </c>
      <c r="G127" s="77">
        <f t="shared" si="11"/>
        <v>777.02764744472779</v>
      </c>
      <c r="H127" s="77">
        <f t="shared" si="15"/>
        <v>655.21823895165085</v>
      </c>
      <c r="I127" s="77">
        <f t="shared" si="19"/>
        <v>112916.05768041016</v>
      </c>
      <c r="J127" s="77">
        <f t="shared" si="19"/>
        <v>67546.924005533583</v>
      </c>
      <c r="K127" s="77">
        <f t="shared" si="16"/>
        <v>233108.29423341833</v>
      </c>
      <c r="L127" s="75">
        <v>400000</v>
      </c>
      <c r="M127" s="75">
        <f t="shared" si="13"/>
        <v>166891.70576658167</v>
      </c>
    </row>
    <row r="128" spans="5:13">
      <c r="E128">
        <v>126</v>
      </c>
      <c r="F128" s="77">
        <f t="shared" si="14"/>
        <v>1432.2458863963786</v>
      </c>
      <c r="G128" s="77">
        <f t="shared" si="11"/>
        <v>774.84358664822241</v>
      </c>
      <c r="H128" s="77">
        <f t="shared" si="15"/>
        <v>657.40229974815622</v>
      </c>
      <c r="I128" s="77">
        <f t="shared" si="19"/>
        <v>113690.90126705838</v>
      </c>
      <c r="J128" s="77">
        <f t="shared" si="19"/>
        <v>68204.326305281735</v>
      </c>
      <c r="K128" s="77">
        <f t="shared" si="16"/>
        <v>232453.07599446669</v>
      </c>
      <c r="L128" s="75">
        <v>400000</v>
      </c>
      <c r="M128" s="75">
        <f t="shared" si="13"/>
        <v>167546.92400553331</v>
      </c>
    </row>
    <row r="129" spans="5:13">
      <c r="E129">
        <v>127</v>
      </c>
      <c r="F129" s="77">
        <f t="shared" si="14"/>
        <v>1432.2458863963786</v>
      </c>
      <c r="G129" s="77">
        <f t="shared" si="11"/>
        <v>772.65224564906191</v>
      </c>
      <c r="H129" s="77">
        <f t="shared" si="15"/>
        <v>659.59364074731673</v>
      </c>
      <c r="I129" s="77">
        <f t="shared" si="19"/>
        <v>114463.55351270744</v>
      </c>
      <c r="J129" s="77">
        <f t="shared" si="19"/>
        <v>68863.919946029055</v>
      </c>
      <c r="K129" s="77">
        <f t="shared" si="16"/>
        <v>231795.67369471854</v>
      </c>
      <c r="L129" s="75">
        <v>400000</v>
      </c>
      <c r="M129" s="75">
        <f t="shared" si="13"/>
        <v>168204.32630528146</v>
      </c>
    </row>
    <row r="130" spans="5:13">
      <c r="E130">
        <v>128</v>
      </c>
      <c r="F130" s="77">
        <f t="shared" si="14"/>
        <v>1432.2458863963786</v>
      </c>
      <c r="G130" s="77">
        <f t="shared" ref="G130:G193" si="20">(B$4/B$6)*K130</f>
        <v>770.45360017990413</v>
      </c>
      <c r="H130" s="77">
        <f t="shared" si="15"/>
        <v>661.79228621647451</v>
      </c>
      <c r="I130" s="77">
        <f t="shared" si="19"/>
        <v>115234.00711288734</v>
      </c>
      <c r="J130" s="77">
        <f t="shared" si="19"/>
        <v>69525.712232245525</v>
      </c>
      <c r="K130" s="77">
        <f t="shared" si="16"/>
        <v>231136.08005397124</v>
      </c>
      <c r="L130" s="75">
        <v>400000</v>
      </c>
      <c r="M130" s="75">
        <f t="shared" si="13"/>
        <v>168863.91994602876</v>
      </c>
    </row>
    <row r="131" spans="5:13">
      <c r="E131">
        <v>129</v>
      </c>
      <c r="F131" s="77">
        <f t="shared" si="14"/>
        <v>1432.2458863963786</v>
      </c>
      <c r="G131" s="77">
        <f t="shared" si="20"/>
        <v>768.24762589251588</v>
      </c>
      <c r="H131" s="77">
        <f t="shared" si="15"/>
        <v>663.99826050386275</v>
      </c>
      <c r="I131" s="77">
        <f t="shared" ref="I131:J146" si="21">I130+G131</f>
        <v>116002.25473877985</v>
      </c>
      <c r="J131" s="77">
        <f t="shared" si="21"/>
        <v>70189.710492749393</v>
      </c>
      <c r="K131" s="77">
        <f t="shared" si="16"/>
        <v>230474.28776775475</v>
      </c>
      <c r="L131" s="75">
        <v>400000</v>
      </c>
      <c r="M131" s="75">
        <f t="shared" ref="M131:M194" si="22">L131-K131</f>
        <v>169525.71223224525</v>
      </c>
    </row>
    <row r="132" spans="5:13">
      <c r="E132">
        <v>130</v>
      </c>
      <c r="F132" s="77">
        <f t="shared" ref="F132:F195" si="23">F131</f>
        <v>1432.2458863963786</v>
      </c>
      <c r="G132" s="77">
        <f t="shared" si="20"/>
        <v>766.03429835750296</v>
      </c>
      <c r="H132" s="77">
        <f t="shared" ref="H132:H195" si="24">F132-G132</f>
        <v>666.21158803887568</v>
      </c>
      <c r="I132" s="77">
        <f t="shared" si="21"/>
        <v>116768.28903713737</v>
      </c>
      <c r="J132" s="77">
        <f t="shared" si="21"/>
        <v>70855.922080788267</v>
      </c>
      <c r="K132" s="77">
        <f t="shared" ref="K132:K195" si="25">K131-H131</f>
        <v>229810.28950725088</v>
      </c>
      <c r="L132" s="75">
        <v>400000</v>
      </c>
      <c r="M132" s="75">
        <f t="shared" si="22"/>
        <v>170189.71049274912</v>
      </c>
    </row>
    <row r="133" spans="5:13">
      <c r="E133">
        <v>131</v>
      </c>
      <c r="F133" s="77">
        <f t="shared" si="23"/>
        <v>1432.2458863963786</v>
      </c>
      <c r="G133" s="77">
        <f t="shared" si="20"/>
        <v>763.81359306403999</v>
      </c>
      <c r="H133" s="77">
        <f t="shared" si="24"/>
        <v>668.43229333233865</v>
      </c>
      <c r="I133" s="77">
        <f t="shared" si="21"/>
        <v>117532.10263020141</v>
      </c>
      <c r="J133" s="77">
        <f t="shared" si="21"/>
        <v>71524.354374120609</v>
      </c>
      <c r="K133" s="77">
        <f t="shared" si="25"/>
        <v>229144.077919212</v>
      </c>
      <c r="L133" s="75">
        <v>400000</v>
      </c>
      <c r="M133" s="75">
        <f t="shared" si="22"/>
        <v>170855.922080788</v>
      </c>
    </row>
    <row r="134" spans="5:13">
      <c r="E134">
        <v>132</v>
      </c>
      <c r="F134" s="77">
        <f t="shared" si="23"/>
        <v>1432.2458863963786</v>
      </c>
      <c r="G134" s="77">
        <f t="shared" si="20"/>
        <v>761.58548541959897</v>
      </c>
      <c r="H134" s="77">
        <f t="shared" si="24"/>
        <v>670.66040097677967</v>
      </c>
      <c r="I134" s="77">
        <f t="shared" si="21"/>
        <v>118293.688115621</v>
      </c>
      <c r="J134" s="77">
        <f t="shared" si="21"/>
        <v>72195.014775097385</v>
      </c>
      <c r="K134" s="77">
        <f t="shared" si="25"/>
        <v>228475.64562587967</v>
      </c>
      <c r="L134" s="75">
        <v>400000</v>
      </c>
      <c r="M134" s="75">
        <f t="shared" si="22"/>
        <v>171524.35437412033</v>
      </c>
    </row>
    <row r="135" spans="5:13">
      <c r="E135">
        <v>133</v>
      </c>
      <c r="F135" s="77">
        <f t="shared" si="23"/>
        <v>1432.2458863963786</v>
      </c>
      <c r="G135" s="77">
        <f t="shared" si="20"/>
        <v>759.3499507496764</v>
      </c>
      <c r="H135" s="77">
        <f t="shared" si="24"/>
        <v>672.89593564670224</v>
      </c>
      <c r="I135" s="77">
        <f t="shared" si="21"/>
        <v>119053.03806637067</v>
      </c>
      <c r="J135" s="77">
        <f t="shared" si="21"/>
        <v>72867.910710744094</v>
      </c>
      <c r="K135" s="77">
        <f t="shared" si="25"/>
        <v>227804.98522490289</v>
      </c>
      <c r="L135" s="75">
        <v>400000</v>
      </c>
      <c r="M135" s="75">
        <f t="shared" si="22"/>
        <v>172195.01477509711</v>
      </c>
    </row>
    <row r="136" spans="5:13">
      <c r="E136">
        <v>134</v>
      </c>
      <c r="F136" s="77">
        <f t="shared" si="23"/>
        <v>1432.2458863963786</v>
      </c>
      <c r="G136" s="77">
        <f t="shared" si="20"/>
        <v>757.10696429752068</v>
      </c>
      <c r="H136" s="77">
        <f t="shared" si="24"/>
        <v>675.13892209885796</v>
      </c>
      <c r="I136" s="77">
        <f t="shared" si="21"/>
        <v>119810.14503066819</v>
      </c>
      <c r="J136" s="77">
        <f t="shared" si="21"/>
        <v>73543.049632842958</v>
      </c>
      <c r="K136" s="77">
        <f t="shared" si="25"/>
        <v>227132.0892892562</v>
      </c>
      <c r="L136" s="75">
        <v>400000</v>
      </c>
      <c r="M136" s="75">
        <f t="shared" si="22"/>
        <v>172867.9107107438</v>
      </c>
    </row>
    <row r="137" spans="5:13">
      <c r="E137">
        <v>135</v>
      </c>
      <c r="F137" s="77">
        <f t="shared" si="23"/>
        <v>1432.2458863963786</v>
      </c>
      <c r="G137" s="77">
        <f t="shared" si="20"/>
        <v>754.85650122385789</v>
      </c>
      <c r="H137" s="77">
        <f t="shared" si="24"/>
        <v>677.38938517252075</v>
      </c>
      <c r="I137" s="77">
        <f t="shared" si="21"/>
        <v>120565.00153189205</v>
      </c>
      <c r="J137" s="77">
        <f t="shared" si="21"/>
        <v>74220.439018015473</v>
      </c>
      <c r="K137" s="77">
        <f t="shared" si="25"/>
        <v>226456.95036715735</v>
      </c>
      <c r="L137" s="75">
        <v>400000</v>
      </c>
      <c r="M137" s="75">
        <f t="shared" si="22"/>
        <v>173543.04963284265</v>
      </c>
    </row>
    <row r="138" spans="5:13">
      <c r="E138">
        <v>136</v>
      </c>
      <c r="F138" s="77">
        <f t="shared" si="23"/>
        <v>1432.2458863963786</v>
      </c>
      <c r="G138" s="77">
        <f t="shared" si="20"/>
        <v>752.59853660661611</v>
      </c>
      <c r="H138" s="77">
        <f t="shared" si="24"/>
        <v>679.64734978976253</v>
      </c>
      <c r="I138" s="77">
        <f t="shared" si="21"/>
        <v>121317.60006849866</v>
      </c>
      <c r="J138" s="77">
        <f t="shared" si="21"/>
        <v>74900.086367805241</v>
      </c>
      <c r="K138" s="77">
        <f t="shared" si="25"/>
        <v>225779.56098198483</v>
      </c>
      <c r="L138" s="75">
        <v>400000</v>
      </c>
      <c r="M138" s="75">
        <f t="shared" si="22"/>
        <v>174220.43901801517</v>
      </c>
    </row>
    <row r="139" spans="5:13">
      <c r="E139">
        <v>137</v>
      </c>
      <c r="F139" s="77">
        <f t="shared" si="23"/>
        <v>1432.2458863963786</v>
      </c>
      <c r="G139" s="77">
        <f t="shared" si="20"/>
        <v>750.33304544065027</v>
      </c>
      <c r="H139" s="77">
        <f t="shared" si="24"/>
        <v>681.91284095572837</v>
      </c>
      <c r="I139" s="77">
        <f t="shared" si="21"/>
        <v>122067.93311393932</v>
      </c>
      <c r="J139" s="77">
        <f t="shared" si="21"/>
        <v>75581.999208760972</v>
      </c>
      <c r="K139" s="77">
        <f t="shared" si="25"/>
        <v>225099.91363219506</v>
      </c>
      <c r="L139" s="75">
        <v>400000</v>
      </c>
      <c r="M139" s="75">
        <f t="shared" si="22"/>
        <v>174900.08636780494</v>
      </c>
    </row>
    <row r="140" spans="5:13">
      <c r="E140">
        <v>138</v>
      </c>
      <c r="F140" s="77">
        <f t="shared" si="23"/>
        <v>1432.2458863963786</v>
      </c>
      <c r="G140" s="77">
        <f t="shared" si="20"/>
        <v>748.06000263746455</v>
      </c>
      <c r="H140" s="77">
        <f t="shared" si="24"/>
        <v>684.18588375891409</v>
      </c>
      <c r="I140" s="77">
        <f t="shared" si="21"/>
        <v>122815.99311657678</v>
      </c>
      <c r="J140" s="77">
        <f t="shared" si="21"/>
        <v>76266.185092519881</v>
      </c>
      <c r="K140" s="77">
        <f t="shared" si="25"/>
        <v>224418.00079123935</v>
      </c>
      <c r="L140" s="75">
        <v>400000</v>
      </c>
      <c r="M140" s="75">
        <f t="shared" si="22"/>
        <v>175581.99920876065</v>
      </c>
    </row>
    <row r="141" spans="5:13">
      <c r="E141">
        <v>139</v>
      </c>
      <c r="F141" s="77">
        <f t="shared" si="23"/>
        <v>1432.2458863963786</v>
      </c>
      <c r="G141" s="77">
        <f t="shared" si="20"/>
        <v>745.77938302493487</v>
      </c>
      <c r="H141" s="77">
        <f t="shared" si="24"/>
        <v>686.46650337144376</v>
      </c>
      <c r="I141" s="77">
        <f t="shared" si="21"/>
        <v>123561.77249960171</v>
      </c>
      <c r="J141" s="77">
        <f t="shared" si="21"/>
        <v>76952.651595891322</v>
      </c>
      <c r="K141" s="77">
        <f t="shared" si="25"/>
        <v>223733.81490748044</v>
      </c>
      <c r="L141" s="75">
        <v>400000</v>
      </c>
      <c r="M141" s="75">
        <f t="shared" si="22"/>
        <v>176266.18509251956</v>
      </c>
    </row>
    <row r="142" spans="5:13">
      <c r="E142">
        <v>140</v>
      </c>
      <c r="F142" s="77">
        <f t="shared" si="23"/>
        <v>1432.2458863963786</v>
      </c>
      <c r="G142" s="77">
        <f t="shared" si="20"/>
        <v>743.49116134703002</v>
      </c>
      <c r="H142" s="77">
        <f t="shared" si="24"/>
        <v>688.75472504934862</v>
      </c>
      <c r="I142" s="77">
        <f t="shared" si="21"/>
        <v>124305.26366094874</v>
      </c>
      <c r="J142" s="77">
        <f t="shared" si="21"/>
        <v>77641.406320940674</v>
      </c>
      <c r="K142" s="77">
        <f t="shared" si="25"/>
        <v>223047.34840410898</v>
      </c>
      <c r="L142" s="75">
        <v>400000</v>
      </c>
      <c r="M142" s="75">
        <f t="shared" si="22"/>
        <v>176952.65159589102</v>
      </c>
    </row>
    <row r="143" spans="5:13">
      <c r="E143">
        <v>141</v>
      </c>
      <c r="F143" s="77">
        <f t="shared" si="23"/>
        <v>1432.2458863963786</v>
      </c>
      <c r="G143" s="77">
        <f t="shared" si="20"/>
        <v>741.19531226353217</v>
      </c>
      <c r="H143" s="77">
        <f t="shared" si="24"/>
        <v>691.05057413284646</v>
      </c>
      <c r="I143" s="77">
        <f t="shared" si="21"/>
        <v>125046.45897321227</v>
      </c>
      <c r="J143" s="77">
        <f t="shared" si="21"/>
        <v>78332.456895073527</v>
      </c>
      <c r="K143" s="77">
        <f t="shared" si="25"/>
        <v>222358.59367905965</v>
      </c>
      <c r="L143" s="75">
        <v>400000</v>
      </c>
      <c r="M143" s="75">
        <f t="shared" si="22"/>
        <v>177641.40632094035</v>
      </c>
    </row>
    <row r="144" spans="5:13">
      <c r="E144">
        <v>142</v>
      </c>
      <c r="F144" s="77">
        <f t="shared" si="23"/>
        <v>1432.2458863963786</v>
      </c>
      <c r="G144" s="77">
        <f t="shared" si="20"/>
        <v>738.89181034975604</v>
      </c>
      <c r="H144" s="77">
        <f t="shared" si="24"/>
        <v>693.35407604662259</v>
      </c>
      <c r="I144" s="77">
        <f t="shared" si="21"/>
        <v>125785.35078356203</v>
      </c>
      <c r="J144" s="77">
        <f t="shared" si="21"/>
        <v>79025.810971120154</v>
      </c>
      <c r="K144" s="77">
        <f t="shared" si="25"/>
        <v>221667.54310492679</v>
      </c>
      <c r="L144" s="75">
        <v>400000</v>
      </c>
      <c r="M144" s="75">
        <f t="shared" si="22"/>
        <v>178332.45689507321</v>
      </c>
    </row>
    <row r="145" spans="5:13">
      <c r="E145">
        <v>143</v>
      </c>
      <c r="F145" s="77">
        <f t="shared" si="23"/>
        <v>1432.2458863963786</v>
      </c>
      <c r="G145" s="77">
        <f t="shared" si="20"/>
        <v>736.58063009626733</v>
      </c>
      <c r="H145" s="77">
        <f t="shared" si="24"/>
        <v>695.66525630011131</v>
      </c>
      <c r="I145" s="77">
        <f t="shared" si="21"/>
        <v>126521.9314136583</v>
      </c>
      <c r="J145" s="77">
        <f t="shared" si="21"/>
        <v>79721.476227420266</v>
      </c>
      <c r="K145" s="77">
        <f t="shared" si="25"/>
        <v>220974.18902888018</v>
      </c>
      <c r="L145" s="75">
        <v>400000</v>
      </c>
      <c r="M145" s="75">
        <f t="shared" si="22"/>
        <v>179025.81097111982</v>
      </c>
    </row>
    <row r="146" spans="5:13">
      <c r="E146">
        <v>144</v>
      </c>
      <c r="F146" s="77">
        <f t="shared" si="23"/>
        <v>1432.2458863963786</v>
      </c>
      <c r="G146" s="77">
        <f t="shared" si="20"/>
        <v>734.26174590860035</v>
      </c>
      <c r="H146" s="77">
        <f t="shared" si="24"/>
        <v>697.98414048777829</v>
      </c>
      <c r="I146" s="77">
        <f t="shared" si="21"/>
        <v>127256.1931595669</v>
      </c>
      <c r="J146" s="77">
        <f t="shared" si="21"/>
        <v>80419.460367908046</v>
      </c>
      <c r="K146" s="77">
        <f t="shared" si="25"/>
        <v>220278.52377258008</v>
      </c>
      <c r="L146" s="75">
        <v>400000</v>
      </c>
      <c r="M146" s="75">
        <f t="shared" si="22"/>
        <v>179721.47622741992</v>
      </c>
    </row>
    <row r="147" spans="5:13">
      <c r="E147">
        <v>145</v>
      </c>
      <c r="F147" s="77">
        <f t="shared" si="23"/>
        <v>1432.2458863963786</v>
      </c>
      <c r="G147" s="77">
        <f t="shared" si="20"/>
        <v>731.93513210697449</v>
      </c>
      <c r="H147" s="77">
        <f t="shared" si="24"/>
        <v>700.31075428940414</v>
      </c>
      <c r="I147" s="77">
        <f t="shared" ref="I147:J162" si="26">I146+G147</f>
        <v>127988.12829167387</v>
      </c>
      <c r="J147" s="77">
        <f t="shared" si="26"/>
        <v>81119.771122197446</v>
      </c>
      <c r="K147" s="77">
        <f t="shared" si="25"/>
        <v>219580.53963209232</v>
      </c>
      <c r="L147" s="75">
        <v>400000</v>
      </c>
      <c r="M147" s="75">
        <f t="shared" si="22"/>
        <v>180419.46036790768</v>
      </c>
    </row>
    <row r="148" spans="5:13">
      <c r="E148">
        <v>146</v>
      </c>
      <c r="F148" s="77">
        <f t="shared" si="23"/>
        <v>1432.2458863963786</v>
      </c>
      <c r="G148" s="77">
        <f t="shared" si="20"/>
        <v>729.60076292600968</v>
      </c>
      <c r="H148" s="77">
        <f t="shared" si="24"/>
        <v>702.64512347036896</v>
      </c>
      <c r="I148" s="77">
        <f t="shared" si="26"/>
        <v>128717.72905459988</v>
      </c>
      <c r="J148" s="77">
        <f t="shared" si="26"/>
        <v>81822.416245667817</v>
      </c>
      <c r="K148" s="77">
        <f t="shared" si="25"/>
        <v>218880.2288778029</v>
      </c>
      <c r="L148" s="75">
        <v>400000</v>
      </c>
      <c r="M148" s="75">
        <f t="shared" si="22"/>
        <v>181119.7711221971</v>
      </c>
    </row>
    <row r="149" spans="5:13">
      <c r="E149">
        <v>147</v>
      </c>
      <c r="F149" s="77">
        <f t="shared" si="23"/>
        <v>1432.2458863963786</v>
      </c>
      <c r="G149" s="77">
        <f t="shared" si="20"/>
        <v>727.25861251444178</v>
      </c>
      <c r="H149" s="77">
        <f t="shared" si="24"/>
        <v>704.98727388193686</v>
      </c>
      <c r="I149" s="77">
        <f t="shared" si="26"/>
        <v>129444.98766711433</v>
      </c>
      <c r="J149" s="77">
        <f t="shared" si="26"/>
        <v>82527.403519549756</v>
      </c>
      <c r="K149" s="77">
        <f t="shared" si="25"/>
        <v>218177.58375433253</v>
      </c>
      <c r="L149" s="75">
        <v>400000</v>
      </c>
      <c r="M149" s="75">
        <f t="shared" si="22"/>
        <v>181822.41624566747</v>
      </c>
    </row>
    <row r="150" spans="5:13">
      <c r="E150">
        <v>148</v>
      </c>
      <c r="F150" s="77">
        <f t="shared" si="23"/>
        <v>1432.2458863963786</v>
      </c>
      <c r="G150" s="77">
        <f t="shared" si="20"/>
        <v>724.90865493483534</v>
      </c>
      <c r="H150" s="77">
        <f t="shared" si="24"/>
        <v>707.3372314615433</v>
      </c>
      <c r="I150" s="77">
        <f t="shared" si="26"/>
        <v>130169.89632204916</v>
      </c>
      <c r="J150" s="77">
        <f t="shared" si="26"/>
        <v>83234.740751011297</v>
      </c>
      <c r="K150" s="77">
        <f t="shared" si="25"/>
        <v>217472.59648045059</v>
      </c>
      <c r="L150" s="75">
        <v>400000</v>
      </c>
      <c r="M150" s="75">
        <f t="shared" si="22"/>
        <v>182527.40351954941</v>
      </c>
    </row>
    <row r="151" spans="5:13">
      <c r="E151">
        <v>149</v>
      </c>
      <c r="F151" s="77">
        <f t="shared" si="23"/>
        <v>1432.2458863963786</v>
      </c>
      <c r="G151" s="77">
        <f t="shared" si="20"/>
        <v>722.55086416329686</v>
      </c>
      <c r="H151" s="77">
        <f t="shared" si="24"/>
        <v>709.69502223308177</v>
      </c>
      <c r="I151" s="77">
        <f t="shared" si="26"/>
        <v>130892.44718621245</v>
      </c>
      <c r="J151" s="77">
        <f t="shared" si="26"/>
        <v>83944.435773244375</v>
      </c>
      <c r="K151" s="77">
        <f t="shared" si="25"/>
        <v>216765.25924898905</v>
      </c>
      <c r="L151" s="75">
        <v>400000</v>
      </c>
      <c r="M151" s="75">
        <f t="shared" si="22"/>
        <v>183234.74075101095</v>
      </c>
    </row>
    <row r="152" spans="5:13">
      <c r="E152">
        <v>150</v>
      </c>
      <c r="F152" s="77">
        <f t="shared" si="23"/>
        <v>1432.2458863963786</v>
      </c>
      <c r="G152" s="77">
        <f t="shared" si="20"/>
        <v>720.18521408918662</v>
      </c>
      <c r="H152" s="77">
        <f t="shared" si="24"/>
        <v>712.06067230719202</v>
      </c>
      <c r="I152" s="77">
        <f t="shared" si="26"/>
        <v>131612.63240030163</v>
      </c>
      <c r="J152" s="77">
        <f t="shared" si="26"/>
        <v>84656.496445551573</v>
      </c>
      <c r="K152" s="77">
        <f t="shared" si="25"/>
        <v>216055.56422675596</v>
      </c>
      <c r="L152" s="75">
        <v>400000</v>
      </c>
      <c r="M152" s="75">
        <f t="shared" si="22"/>
        <v>183944.43577324404</v>
      </c>
    </row>
    <row r="153" spans="5:13">
      <c r="E153">
        <v>151</v>
      </c>
      <c r="F153" s="77">
        <f t="shared" si="23"/>
        <v>1432.2458863963786</v>
      </c>
      <c r="G153" s="77">
        <f t="shared" si="20"/>
        <v>717.81167851482928</v>
      </c>
      <c r="H153" s="77">
        <f t="shared" si="24"/>
        <v>714.43420788154936</v>
      </c>
      <c r="I153" s="77">
        <f t="shared" si="26"/>
        <v>132330.44407881645</v>
      </c>
      <c r="J153" s="77">
        <f t="shared" si="26"/>
        <v>85370.930653433126</v>
      </c>
      <c r="K153" s="77">
        <f t="shared" si="25"/>
        <v>215343.50355444878</v>
      </c>
      <c r="L153" s="75">
        <v>400000</v>
      </c>
      <c r="M153" s="75">
        <f t="shared" si="22"/>
        <v>184656.49644555122</v>
      </c>
    </row>
    <row r="154" spans="5:13">
      <c r="E154">
        <v>152</v>
      </c>
      <c r="F154" s="77">
        <f t="shared" si="23"/>
        <v>1432.2458863963786</v>
      </c>
      <c r="G154" s="77">
        <f t="shared" si="20"/>
        <v>715.43023115522419</v>
      </c>
      <c r="H154" s="77">
        <f t="shared" si="24"/>
        <v>716.81565524115445</v>
      </c>
      <c r="I154" s="77">
        <f t="shared" si="26"/>
        <v>133045.87430997167</v>
      </c>
      <c r="J154" s="77">
        <f t="shared" si="26"/>
        <v>86087.746308674279</v>
      </c>
      <c r="K154" s="77">
        <f t="shared" si="25"/>
        <v>214629.06934656724</v>
      </c>
      <c r="L154" s="75">
        <v>400000</v>
      </c>
      <c r="M154" s="75">
        <f t="shared" si="22"/>
        <v>185370.93065343276</v>
      </c>
    </row>
    <row r="155" spans="5:13">
      <c r="E155">
        <v>153</v>
      </c>
      <c r="F155" s="77">
        <f t="shared" si="23"/>
        <v>1432.2458863963786</v>
      </c>
      <c r="G155" s="77">
        <f t="shared" si="20"/>
        <v>713.04084563775359</v>
      </c>
      <c r="H155" s="77">
        <f t="shared" si="24"/>
        <v>719.20504075862505</v>
      </c>
      <c r="I155" s="77">
        <f t="shared" si="26"/>
        <v>133758.91515560943</v>
      </c>
      <c r="J155" s="77">
        <f t="shared" si="26"/>
        <v>86806.9513494329</v>
      </c>
      <c r="K155" s="77">
        <f t="shared" si="25"/>
        <v>213912.25369132607</v>
      </c>
      <c r="L155" s="75">
        <v>400000</v>
      </c>
      <c r="M155" s="75">
        <f t="shared" si="22"/>
        <v>186087.74630867393</v>
      </c>
    </row>
    <row r="156" spans="5:13">
      <c r="E156">
        <v>154</v>
      </c>
      <c r="F156" s="77">
        <f t="shared" si="23"/>
        <v>1432.2458863963786</v>
      </c>
      <c r="G156" s="77">
        <f t="shared" si="20"/>
        <v>710.64349550189149</v>
      </c>
      <c r="H156" s="77">
        <f t="shared" si="24"/>
        <v>721.60239089448714</v>
      </c>
      <c r="I156" s="77">
        <f t="shared" si="26"/>
        <v>134469.55865111132</v>
      </c>
      <c r="J156" s="77">
        <f t="shared" si="26"/>
        <v>87528.553740327392</v>
      </c>
      <c r="K156" s="77">
        <f t="shared" si="25"/>
        <v>213193.04865056745</v>
      </c>
      <c r="L156" s="75">
        <v>400000</v>
      </c>
      <c r="M156" s="75">
        <f t="shared" si="22"/>
        <v>186806.95134943255</v>
      </c>
    </row>
    <row r="157" spans="5:13">
      <c r="E157">
        <v>155</v>
      </c>
      <c r="F157" s="77">
        <f t="shared" si="23"/>
        <v>1432.2458863963786</v>
      </c>
      <c r="G157" s="77">
        <f t="shared" si="20"/>
        <v>708.23815419890991</v>
      </c>
      <c r="H157" s="77">
        <f t="shared" si="24"/>
        <v>724.00773219746873</v>
      </c>
      <c r="I157" s="77">
        <f t="shared" si="26"/>
        <v>135177.79680531024</v>
      </c>
      <c r="J157" s="77">
        <f t="shared" si="26"/>
        <v>88252.56147252486</v>
      </c>
      <c r="K157" s="77">
        <f t="shared" si="25"/>
        <v>212471.44625967296</v>
      </c>
      <c r="L157" s="75">
        <v>400000</v>
      </c>
      <c r="M157" s="75">
        <f t="shared" si="22"/>
        <v>187528.55374032704</v>
      </c>
    </row>
    <row r="158" spans="5:13">
      <c r="E158">
        <v>156</v>
      </c>
      <c r="F158" s="77">
        <f t="shared" si="23"/>
        <v>1432.2458863963786</v>
      </c>
      <c r="G158" s="77">
        <f t="shared" si="20"/>
        <v>705.82479509158497</v>
      </c>
      <c r="H158" s="77">
        <f t="shared" si="24"/>
        <v>726.42109130479366</v>
      </c>
      <c r="I158" s="77">
        <f t="shared" si="26"/>
        <v>135883.62160040182</v>
      </c>
      <c r="J158" s="77">
        <f t="shared" si="26"/>
        <v>88978.982563829661</v>
      </c>
      <c r="K158" s="77">
        <f t="shared" si="25"/>
        <v>211747.43852747549</v>
      </c>
      <c r="L158" s="75">
        <v>400000</v>
      </c>
      <c r="M158" s="75">
        <f t="shared" si="22"/>
        <v>188252.56147252451</v>
      </c>
    </row>
    <row r="159" spans="5:13">
      <c r="E159">
        <v>157</v>
      </c>
      <c r="F159" s="77">
        <f t="shared" si="23"/>
        <v>1432.2458863963786</v>
      </c>
      <c r="G159" s="77">
        <f t="shared" si="20"/>
        <v>703.40339145390237</v>
      </c>
      <c r="H159" s="77">
        <f t="shared" si="24"/>
        <v>728.84249494247626</v>
      </c>
      <c r="I159" s="77">
        <f t="shared" si="26"/>
        <v>136587.02499185572</v>
      </c>
      <c r="J159" s="77">
        <f t="shared" si="26"/>
        <v>89707.825058772141</v>
      </c>
      <c r="K159" s="77">
        <f t="shared" si="25"/>
        <v>211021.01743617069</v>
      </c>
      <c r="L159" s="75">
        <v>400000</v>
      </c>
      <c r="M159" s="75">
        <f t="shared" si="22"/>
        <v>188978.98256382931</v>
      </c>
    </row>
    <row r="160" spans="5:13">
      <c r="E160">
        <v>158</v>
      </c>
      <c r="F160" s="77">
        <f t="shared" si="23"/>
        <v>1432.2458863963786</v>
      </c>
      <c r="G160" s="77">
        <f t="shared" si="20"/>
        <v>700.97391647076074</v>
      </c>
      <c r="H160" s="77">
        <f t="shared" si="24"/>
        <v>731.2719699256179</v>
      </c>
      <c r="I160" s="77">
        <f t="shared" si="26"/>
        <v>137287.9989083265</v>
      </c>
      <c r="J160" s="77">
        <f t="shared" si="26"/>
        <v>90439.097028697754</v>
      </c>
      <c r="K160" s="77">
        <f t="shared" si="25"/>
        <v>210292.17494122821</v>
      </c>
      <c r="L160" s="75">
        <v>400000</v>
      </c>
      <c r="M160" s="75">
        <f t="shared" si="22"/>
        <v>189707.82505877179</v>
      </c>
    </row>
    <row r="161" spans="5:13">
      <c r="E161">
        <v>159</v>
      </c>
      <c r="F161" s="77">
        <f t="shared" si="23"/>
        <v>1432.2458863963786</v>
      </c>
      <c r="G161" s="77">
        <f t="shared" si="20"/>
        <v>698.5363432376754</v>
      </c>
      <c r="H161" s="77">
        <f t="shared" si="24"/>
        <v>733.70954315870324</v>
      </c>
      <c r="I161" s="77">
        <f t="shared" si="26"/>
        <v>137986.53525156417</v>
      </c>
      <c r="J161" s="77">
        <f t="shared" si="26"/>
        <v>91172.806571856461</v>
      </c>
      <c r="K161" s="77">
        <f t="shared" si="25"/>
        <v>209560.9029713026</v>
      </c>
      <c r="L161" s="75">
        <v>400000</v>
      </c>
      <c r="M161" s="75">
        <f t="shared" si="22"/>
        <v>190439.0970286974</v>
      </c>
    </row>
    <row r="162" spans="5:13">
      <c r="E162">
        <v>160</v>
      </c>
      <c r="F162" s="77">
        <f t="shared" si="23"/>
        <v>1432.2458863963786</v>
      </c>
      <c r="G162" s="77">
        <f t="shared" si="20"/>
        <v>696.09064476047968</v>
      </c>
      <c r="H162" s="77">
        <f t="shared" si="24"/>
        <v>736.15524163589896</v>
      </c>
      <c r="I162" s="77">
        <f t="shared" si="26"/>
        <v>138682.62589632467</v>
      </c>
      <c r="J162" s="77">
        <f t="shared" si="26"/>
        <v>91908.961813492366</v>
      </c>
      <c r="K162" s="77">
        <f t="shared" si="25"/>
        <v>208827.19342814389</v>
      </c>
      <c r="L162" s="75">
        <v>400000</v>
      </c>
      <c r="M162" s="75">
        <f t="shared" si="22"/>
        <v>191172.80657185611</v>
      </c>
    </row>
    <row r="163" spans="5:13">
      <c r="E163">
        <v>161</v>
      </c>
      <c r="F163" s="77">
        <f t="shared" si="23"/>
        <v>1432.2458863963786</v>
      </c>
      <c r="G163" s="77">
        <f t="shared" si="20"/>
        <v>693.63679395502675</v>
      </c>
      <c r="H163" s="77">
        <f t="shared" si="24"/>
        <v>738.60909244135189</v>
      </c>
      <c r="I163" s="77">
        <f t="shared" ref="I163:J178" si="27">I162+G163</f>
        <v>139376.26269027969</v>
      </c>
      <c r="J163" s="77">
        <f t="shared" si="27"/>
        <v>92647.570905933724</v>
      </c>
      <c r="K163" s="77">
        <f t="shared" si="25"/>
        <v>208091.038186508</v>
      </c>
      <c r="L163" s="75">
        <v>400000</v>
      </c>
      <c r="M163" s="75">
        <f t="shared" si="22"/>
        <v>191908.961813492</v>
      </c>
    </row>
    <row r="164" spans="5:13">
      <c r="E164">
        <v>162</v>
      </c>
      <c r="F164" s="77">
        <f t="shared" si="23"/>
        <v>1432.2458863963786</v>
      </c>
      <c r="G164" s="77">
        <f t="shared" si="20"/>
        <v>691.17476364688889</v>
      </c>
      <c r="H164" s="77">
        <f t="shared" si="24"/>
        <v>741.07112274948975</v>
      </c>
      <c r="I164" s="77">
        <f t="shared" si="27"/>
        <v>140067.43745392657</v>
      </c>
      <c r="J164" s="77">
        <f t="shared" si="27"/>
        <v>93388.642028683214</v>
      </c>
      <c r="K164" s="77">
        <f t="shared" si="25"/>
        <v>207352.42909406664</v>
      </c>
      <c r="L164" s="75">
        <v>400000</v>
      </c>
      <c r="M164" s="75">
        <f t="shared" si="22"/>
        <v>192647.57090593336</v>
      </c>
    </row>
    <row r="165" spans="5:13">
      <c r="E165">
        <v>163</v>
      </c>
      <c r="F165" s="77">
        <f t="shared" si="23"/>
        <v>1432.2458863963786</v>
      </c>
      <c r="G165" s="77">
        <f t="shared" si="20"/>
        <v>688.70452657105727</v>
      </c>
      <c r="H165" s="77">
        <f t="shared" si="24"/>
        <v>743.54135982532136</v>
      </c>
      <c r="I165" s="77">
        <f t="shared" si="27"/>
        <v>140756.14198049763</v>
      </c>
      <c r="J165" s="77">
        <f t="shared" si="27"/>
        <v>94132.183388508536</v>
      </c>
      <c r="K165" s="77">
        <f t="shared" si="25"/>
        <v>206611.35797131716</v>
      </c>
      <c r="L165" s="75">
        <v>400000</v>
      </c>
      <c r="M165" s="75">
        <f t="shared" si="22"/>
        <v>193388.64202868284</v>
      </c>
    </row>
    <row r="166" spans="5:13">
      <c r="E166">
        <v>164</v>
      </c>
      <c r="F166" s="77">
        <f t="shared" si="23"/>
        <v>1432.2458863963786</v>
      </c>
      <c r="G166" s="77">
        <f t="shared" si="20"/>
        <v>686.22605537163952</v>
      </c>
      <c r="H166" s="77">
        <f t="shared" si="24"/>
        <v>746.01983102473912</v>
      </c>
      <c r="I166" s="77">
        <f t="shared" si="27"/>
        <v>141442.36803586927</v>
      </c>
      <c r="J166" s="77">
        <f t="shared" si="27"/>
        <v>94878.203219533272</v>
      </c>
      <c r="K166" s="77">
        <f t="shared" si="25"/>
        <v>205867.81661149184</v>
      </c>
      <c r="L166" s="75">
        <v>400000</v>
      </c>
      <c r="M166" s="75">
        <f t="shared" si="22"/>
        <v>194132.18338850816</v>
      </c>
    </row>
    <row r="167" spans="5:13">
      <c r="E167">
        <v>165</v>
      </c>
      <c r="F167" s="77">
        <f t="shared" si="23"/>
        <v>1432.2458863963786</v>
      </c>
      <c r="G167" s="77">
        <f t="shared" si="20"/>
        <v>683.73932260155698</v>
      </c>
      <c r="H167" s="77">
        <f t="shared" si="24"/>
        <v>748.50656379482166</v>
      </c>
      <c r="I167" s="77">
        <f t="shared" si="27"/>
        <v>142126.10735847082</v>
      </c>
      <c r="J167" s="77">
        <f t="shared" si="27"/>
        <v>95626.7097833281</v>
      </c>
      <c r="K167" s="77">
        <f t="shared" si="25"/>
        <v>205121.79678046709</v>
      </c>
      <c r="L167" s="75">
        <v>400000</v>
      </c>
      <c r="M167" s="75">
        <f t="shared" si="22"/>
        <v>194878.20321953291</v>
      </c>
    </row>
    <row r="168" spans="5:13">
      <c r="E168">
        <v>166</v>
      </c>
      <c r="F168" s="77">
        <f t="shared" si="23"/>
        <v>1432.2458863963786</v>
      </c>
      <c r="G168" s="77">
        <f t="shared" si="20"/>
        <v>681.24430072224095</v>
      </c>
      <c r="H168" s="77">
        <f t="shared" si="24"/>
        <v>751.00158567413769</v>
      </c>
      <c r="I168" s="77">
        <f t="shared" si="27"/>
        <v>142807.35165919305</v>
      </c>
      <c r="J168" s="77">
        <f t="shared" si="27"/>
        <v>96377.711369002238</v>
      </c>
      <c r="K168" s="77">
        <f t="shared" si="25"/>
        <v>204373.29021667226</v>
      </c>
      <c r="L168" s="75">
        <v>400000</v>
      </c>
      <c r="M168" s="75">
        <f t="shared" si="22"/>
        <v>195626.70978332774</v>
      </c>
    </row>
    <row r="169" spans="5:13">
      <c r="E169">
        <v>167</v>
      </c>
      <c r="F169" s="77">
        <f t="shared" si="23"/>
        <v>1432.2458863963786</v>
      </c>
      <c r="G169" s="77">
        <f t="shared" si="20"/>
        <v>678.74096210332709</v>
      </c>
      <c r="H169" s="77">
        <f t="shared" si="24"/>
        <v>753.50492429305154</v>
      </c>
      <c r="I169" s="77">
        <f t="shared" si="27"/>
        <v>143486.09262129638</v>
      </c>
      <c r="J169" s="77">
        <f t="shared" si="27"/>
        <v>97131.216293295292</v>
      </c>
      <c r="K169" s="77">
        <f t="shared" si="25"/>
        <v>203622.28863099811</v>
      </c>
      <c r="L169" s="75">
        <v>400000</v>
      </c>
      <c r="M169" s="75">
        <f t="shared" si="22"/>
        <v>196377.71136900189</v>
      </c>
    </row>
    <row r="170" spans="5:13">
      <c r="E170">
        <v>168</v>
      </c>
      <c r="F170" s="77">
        <f t="shared" si="23"/>
        <v>1432.2458863963786</v>
      </c>
      <c r="G170" s="77">
        <f t="shared" si="20"/>
        <v>676.22927902235028</v>
      </c>
      <c r="H170" s="77">
        <f t="shared" si="24"/>
        <v>756.01660737402835</v>
      </c>
      <c r="I170" s="77">
        <f t="shared" si="27"/>
        <v>144162.32190031873</v>
      </c>
      <c r="J170" s="77">
        <f t="shared" si="27"/>
        <v>97887.232900669318</v>
      </c>
      <c r="K170" s="77">
        <f t="shared" si="25"/>
        <v>202868.78370670506</v>
      </c>
      <c r="L170" s="75">
        <v>400000</v>
      </c>
      <c r="M170" s="75">
        <f t="shared" si="22"/>
        <v>197131.21629329494</v>
      </c>
    </row>
    <row r="171" spans="5:13">
      <c r="E171">
        <v>169</v>
      </c>
      <c r="F171" s="77">
        <f t="shared" si="23"/>
        <v>1432.2458863963786</v>
      </c>
      <c r="G171" s="77">
        <f t="shared" si="20"/>
        <v>673.70922366443676</v>
      </c>
      <c r="H171" s="77">
        <f t="shared" si="24"/>
        <v>758.53666273194187</v>
      </c>
      <c r="I171" s="77">
        <f t="shared" si="27"/>
        <v>144836.03112398315</v>
      </c>
      <c r="J171" s="77">
        <f t="shared" si="27"/>
        <v>98645.769563401263</v>
      </c>
      <c r="K171" s="77">
        <f t="shared" si="25"/>
        <v>202112.76709933102</v>
      </c>
      <c r="L171" s="75">
        <v>400000</v>
      </c>
      <c r="M171" s="75">
        <f t="shared" si="22"/>
        <v>197887.23290066898</v>
      </c>
    </row>
    <row r="172" spans="5:13">
      <c r="E172">
        <v>170</v>
      </c>
      <c r="F172" s="77">
        <f t="shared" si="23"/>
        <v>1432.2458863963786</v>
      </c>
      <c r="G172" s="77">
        <f t="shared" si="20"/>
        <v>671.18076812199695</v>
      </c>
      <c r="H172" s="77">
        <f t="shared" si="24"/>
        <v>761.06511827438169</v>
      </c>
      <c r="I172" s="77">
        <f t="shared" si="27"/>
        <v>145507.21189210514</v>
      </c>
      <c r="J172" s="77">
        <f t="shared" si="27"/>
        <v>99406.834681675638</v>
      </c>
      <c r="K172" s="77">
        <f t="shared" si="25"/>
        <v>201354.23043659909</v>
      </c>
      <c r="L172" s="75">
        <v>400000</v>
      </c>
      <c r="M172" s="75">
        <f t="shared" si="22"/>
        <v>198645.76956340091</v>
      </c>
    </row>
    <row r="173" spans="5:13">
      <c r="E173">
        <v>171</v>
      </c>
      <c r="F173" s="77">
        <f t="shared" si="23"/>
        <v>1432.2458863963786</v>
      </c>
      <c r="G173" s="77">
        <f t="shared" si="20"/>
        <v>668.64388439441575</v>
      </c>
      <c r="H173" s="77">
        <f t="shared" si="24"/>
        <v>763.60200200196289</v>
      </c>
      <c r="I173" s="77">
        <f t="shared" si="27"/>
        <v>146175.85577649955</v>
      </c>
      <c r="J173" s="77">
        <f t="shared" si="27"/>
        <v>100170.4366836776</v>
      </c>
      <c r="K173" s="77">
        <f t="shared" si="25"/>
        <v>200593.1653183247</v>
      </c>
      <c r="L173" s="75">
        <v>400000</v>
      </c>
      <c r="M173" s="75">
        <f t="shared" si="22"/>
        <v>199406.8346816753</v>
      </c>
    </row>
    <row r="174" spans="5:13">
      <c r="E174">
        <v>172</v>
      </c>
      <c r="F174" s="77">
        <f t="shared" si="23"/>
        <v>1432.2458863963786</v>
      </c>
      <c r="G174" s="77">
        <f t="shared" si="20"/>
        <v>666.09854438774255</v>
      </c>
      <c r="H174" s="77">
        <f t="shared" si="24"/>
        <v>766.14734200863609</v>
      </c>
      <c r="I174" s="77">
        <f t="shared" si="27"/>
        <v>146841.95432088728</v>
      </c>
      <c r="J174" s="77">
        <f t="shared" si="27"/>
        <v>100936.58402568624</v>
      </c>
      <c r="K174" s="77">
        <f t="shared" si="25"/>
        <v>199829.56331632275</v>
      </c>
      <c r="L174" s="75">
        <v>400000</v>
      </c>
      <c r="M174" s="75">
        <f t="shared" si="22"/>
        <v>200170.43668367725</v>
      </c>
    </row>
    <row r="175" spans="5:13">
      <c r="E175">
        <v>173</v>
      </c>
      <c r="F175" s="77">
        <f t="shared" si="23"/>
        <v>1432.2458863963786</v>
      </c>
      <c r="G175" s="77">
        <f t="shared" si="20"/>
        <v>663.54471991438049</v>
      </c>
      <c r="H175" s="77">
        <f t="shared" si="24"/>
        <v>768.70116648199814</v>
      </c>
      <c r="I175" s="77">
        <f t="shared" si="27"/>
        <v>147505.49904080166</v>
      </c>
      <c r="J175" s="77">
        <f t="shared" si="27"/>
        <v>101705.28519216824</v>
      </c>
      <c r="K175" s="77">
        <f t="shared" si="25"/>
        <v>199063.41597431412</v>
      </c>
      <c r="L175" s="75">
        <v>400000</v>
      </c>
      <c r="M175" s="75">
        <f t="shared" si="22"/>
        <v>200936.58402568588</v>
      </c>
    </row>
    <row r="176" spans="5:13">
      <c r="E176">
        <v>174</v>
      </c>
      <c r="F176" s="77">
        <f t="shared" si="23"/>
        <v>1432.2458863963786</v>
      </c>
      <c r="G176" s="77">
        <f t="shared" si="20"/>
        <v>660.98238269277374</v>
      </c>
      <c r="H176" s="77">
        <f t="shared" si="24"/>
        <v>771.2635037036049</v>
      </c>
      <c r="I176" s="77">
        <f t="shared" si="27"/>
        <v>148166.48142349444</v>
      </c>
      <c r="J176" s="77">
        <f t="shared" si="27"/>
        <v>102476.54869587185</v>
      </c>
      <c r="K176" s="77">
        <f t="shared" si="25"/>
        <v>198294.71480783212</v>
      </c>
      <c r="L176" s="75">
        <v>400000</v>
      </c>
      <c r="M176" s="75">
        <f t="shared" si="22"/>
        <v>201705.28519216788</v>
      </c>
    </row>
    <row r="177" spans="5:13">
      <c r="E177">
        <v>175</v>
      </c>
      <c r="F177" s="77">
        <f t="shared" si="23"/>
        <v>1432.2458863963786</v>
      </c>
      <c r="G177" s="77">
        <f t="shared" si="20"/>
        <v>658.41150434709505</v>
      </c>
      <c r="H177" s="77">
        <f t="shared" si="24"/>
        <v>773.83438204928359</v>
      </c>
      <c r="I177" s="77">
        <f t="shared" si="27"/>
        <v>148824.89292784152</v>
      </c>
      <c r="J177" s="77">
        <f t="shared" si="27"/>
        <v>103250.38307792114</v>
      </c>
      <c r="K177" s="77">
        <f t="shared" si="25"/>
        <v>197523.45130412851</v>
      </c>
      <c r="L177" s="75">
        <v>400000</v>
      </c>
      <c r="M177" s="75">
        <f t="shared" si="22"/>
        <v>202476.54869587149</v>
      </c>
    </row>
    <row r="178" spans="5:13">
      <c r="E178">
        <v>176</v>
      </c>
      <c r="F178" s="77">
        <f t="shared" si="23"/>
        <v>1432.2458863963786</v>
      </c>
      <c r="G178" s="77">
        <f t="shared" si="20"/>
        <v>655.83205640693086</v>
      </c>
      <c r="H178" s="77">
        <f t="shared" si="24"/>
        <v>776.41382998944778</v>
      </c>
      <c r="I178" s="77">
        <f t="shared" si="27"/>
        <v>149480.72498424846</v>
      </c>
      <c r="J178" s="77">
        <f t="shared" si="27"/>
        <v>104026.7969079106</v>
      </c>
      <c r="K178" s="77">
        <f t="shared" si="25"/>
        <v>196749.61692207924</v>
      </c>
      <c r="L178" s="75">
        <v>400000</v>
      </c>
      <c r="M178" s="75">
        <f t="shared" si="22"/>
        <v>203250.38307792076</v>
      </c>
    </row>
    <row r="179" spans="5:13">
      <c r="E179">
        <v>177</v>
      </c>
      <c r="F179" s="77">
        <f t="shared" si="23"/>
        <v>1432.2458863963786</v>
      </c>
      <c r="G179" s="77">
        <f t="shared" si="20"/>
        <v>653.24401030696606</v>
      </c>
      <c r="H179" s="77">
        <f t="shared" si="24"/>
        <v>779.00187608941258</v>
      </c>
      <c r="I179" s="77">
        <f t="shared" ref="I179:J194" si="28">I178+G179</f>
        <v>150133.96899455541</v>
      </c>
      <c r="J179" s="77">
        <f t="shared" si="28"/>
        <v>104805.79878400001</v>
      </c>
      <c r="K179" s="77">
        <f t="shared" si="25"/>
        <v>195973.2030920898</v>
      </c>
      <c r="L179" s="75">
        <v>400000</v>
      </c>
      <c r="M179" s="75">
        <f t="shared" si="22"/>
        <v>204026.7969079102</v>
      </c>
    </row>
    <row r="180" spans="5:13">
      <c r="E180">
        <v>178</v>
      </c>
      <c r="F180" s="77">
        <f t="shared" si="23"/>
        <v>1432.2458863963786</v>
      </c>
      <c r="G180" s="77">
        <f t="shared" si="20"/>
        <v>650.64733738666803</v>
      </c>
      <c r="H180" s="77">
        <f t="shared" si="24"/>
        <v>781.59854900971061</v>
      </c>
      <c r="I180" s="77">
        <f t="shared" si="28"/>
        <v>150784.61633194209</v>
      </c>
      <c r="J180" s="77">
        <f t="shared" si="28"/>
        <v>105587.39733300972</v>
      </c>
      <c r="K180" s="77">
        <f t="shared" si="25"/>
        <v>195194.20121600039</v>
      </c>
      <c r="L180" s="75">
        <v>400000</v>
      </c>
      <c r="M180" s="75">
        <f t="shared" si="22"/>
        <v>204805.79878399961</v>
      </c>
    </row>
    <row r="181" spans="5:13">
      <c r="E181">
        <v>179</v>
      </c>
      <c r="F181" s="77">
        <f t="shared" si="23"/>
        <v>1432.2458863963786</v>
      </c>
      <c r="G181" s="77">
        <f t="shared" si="20"/>
        <v>648.042008889969</v>
      </c>
      <c r="H181" s="77">
        <f t="shared" si="24"/>
        <v>784.20387750640964</v>
      </c>
      <c r="I181" s="77">
        <f t="shared" si="28"/>
        <v>151432.65834083204</v>
      </c>
      <c r="J181" s="77">
        <f t="shared" si="28"/>
        <v>106371.60121051614</v>
      </c>
      <c r="K181" s="77">
        <f t="shared" si="25"/>
        <v>194412.60266699069</v>
      </c>
      <c r="L181" s="75">
        <v>400000</v>
      </c>
      <c r="M181" s="75">
        <f t="shared" si="22"/>
        <v>205587.39733300931</v>
      </c>
    </row>
    <row r="182" spans="5:13">
      <c r="E182">
        <v>180</v>
      </c>
      <c r="F182" s="77">
        <f t="shared" si="23"/>
        <v>1432.2458863963786</v>
      </c>
      <c r="G182" s="77">
        <f t="shared" si="20"/>
        <v>645.42799596494763</v>
      </c>
      <c r="H182" s="77">
        <f t="shared" si="24"/>
        <v>786.81789043143101</v>
      </c>
      <c r="I182" s="77">
        <f t="shared" si="28"/>
        <v>152078.08633679699</v>
      </c>
      <c r="J182" s="77">
        <f t="shared" si="28"/>
        <v>107158.41910094756</v>
      </c>
      <c r="K182" s="77">
        <f t="shared" si="25"/>
        <v>193628.39878948429</v>
      </c>
      <c r="L182" s="75">
        <v>400000</v>
      </c>
      <c r="M182" s="75">
        <f t="shared" si="22"/>
        <v>206371.60121051571</v>
      </c>
    </row>
    <row r="183" spans="5:13">
      <c r="E183">
        <v>181</v>
      </c>
      <c r="F183" s="77">
        <f t="shared" si="23"/>
        <v>1432.2458863963786</v>
      </c>
      <c r="G183" s="77">
        <f t="shared" si="20"/>
        <v>642.80526966350953</v>
      </c>
      <c r="H183" s="77">
        <f t="shared" si="24"/>
        <v>789.4406167328691</v>
      </c>
      <c r="I183" s="77">
        <f t="shared" si="28"/>
        <v>152720.8916064605</v>
      </c>
      <c r="J183" s="77">
        <f t="shared" si="28"/>
        <v>107947.85971768043</v>
      </c>
      <c r="K183" s="77">
        <f t="shared" si="25"/>
        <v>192841.58089905285</v>
      </c>
      <c r="L183" s="75">
        <v>400000</v>
      </c>
      <c r="M183" s="75">
        <f t="shared" si="22"/>
        <v>207158.41910094715</v>
      </c>
    </row>
    <row r="184" spans="5:13">
      <c r="E184">
        <v>182</v>
      </c>
      <c r="F184" s="77">
        <f t="shared" si="23"/>
        <v>1432.2458863963786</v>
      </c>
      <c r="G184" s="77">
        <f t="shared" si="20"/>
        <v>640.17380094106659</v>
      </c>
      <c r="H184" s="77">
        <f t="shared" si="24"/>
        <v>792.07208545531205</v>
      </c>
      <c r="I184" s="77">
        <f t="shared" si="28"/>
        <v>153361.06540740156</v>
      </c>
      <c r="J184" s="77">
        <f t="shared" si="28"/>
        <v>108739.93180313574</v>
      </c>
      <c r="K184" s="77">
        <f t="shared" si="25"/>
        <v>192052.14028231998</v>
      </c>
      <c r="L184" s="75">
        <v>400000</v>
      </c>
      <c r="M184" s="75">
        <f t="shared" si="22"/>
        <v>207947.85971768002</v>
      </c>
    </row>
    <row r="185" spans="5:13">
      <c r="E185">
        <v>183</v>
      </c>
      <c r="F185" s="77">
        <f t="shared" si="23"/>
        <v>1432.2458863963786</v>
      </c>
      <c r="G185" s="77">
        <f t="shared" si="20"/>
        <v>637.53356065621551</v>
      </c>
      <c r="H185" s="77">
        <f t="shared" si="24"/>
        <v>794.71232574016312</v>
      </c>
      <c r="I185" s="77">
        <f t="shared" si="28"/>
        <v>153998.59896805778</v>
      </c>
      <c r="J185" s="77">
        <f t="shared" si="28"/>
        <v>109534.64412887591</v>
      </c>
      <c r="K185" s="77">
        <f t="shared" si="25"/>
        <v>191260.06819686465</v>
      </c>
      <c r="L185" s="75">
        <v>400000</v>
      </c>
      <c r="M185" s="75">
        <f t="shared" si="22"/>
        <v>208739.93180313535</v>
      </c>
    </row>
    <row r="186" spans="5:13">
      <c r="E186">
        <v>184</v>
      </c>
      <c r="F186" s="77">
        <f t="shared" si="23"/>
        <v>1432.2458863963786</v>
      </c>
      <c r="G186" s="77">
        <f t="shared" si="20"/>
        <v>634.88451957041502</v>
      </c>
      <c r="H186" s="77">
        <f t="shared" si="24"/>
        <v>797.36136682596361</v>
      </c>
      <c r="I186" s="77">
        <f t="shared" si="28"/>
        <v>154633.4834876282</v>
      </c>
      <c r="J186" s="77">
        <f t="shared" si="28"/>
        <v>110332.00549570187</v>
      </c>
      <c r="K186" s="77">
        <f t="shared" si="25"/>
        <v>190465.35587112448</v>
      </c>
      <c r="L186" s="75">
        <v>400000</v>
      </c>
      <c r="M186" s="75">
        <f t="shared" si="22"/>
        <v>209534.64412887552</v>
      </c>
    </row>
    <row r="187" spans="5:13">
      <c r="E187">
        <v>185</v>
      </c>
      <c r="F187" s="77">
        <f t="shared" si="23"/>
        <v>1432.2458863963786</v>
      </c>
      <c r="G187" s="77">
        <f t="shared" si="20"/>
        <v>632.22664834766181</v>
      </c>
      <c r="H187" s="77">
        <f t="shared" si="24"/>
        <v>800.01923804871683</v>
      </c>
      <c r="I187" s="77">
        <f t="shared" si="28"/>
        <v>155265.71013597585</v>
      </c>
      <c r="J187" s="77">
        <f t="shared" si="28"/>
        <v>111132.02473375059</v>
      </c>
      <c r="K187" s="77">
        <f t="shared" si="25"/>
        <v>189667.99450429852</v>
      </c>
      <c r="L187" s="75">
        <v>400000</v>
      </c>
      <c r="M187" s="75">
        <f t="shared" si="22"/>
        <v>210332.00549570148</v>
      </c>
    </row>
    <row r="188" spans="5:13">
      <c r="E188">
        <v>186</v>
      </c>
      <c r="F188" s="77">
        <f t="shared" si="23"/>
        <v>1432.2458863963786</v>
      </c>
      <c r="G188" s="77">
        <f t="shared" si="20"/>
        <v>629.55991755416596</v>
      </c>
      <c r="H188" s="77">
        <f t="shared" si="24"/>
        <v>802.68596884221267</v>
      </c>
      <c r="I188" s="77">
        <f t="shared" si="28"/>
        <v>155895.27005353002</v>
      </c>
      <c r="J188" s="77">
        <f t="shared" si="28"/>
        <v>111934.7107025928</v>
      </c>
      <c r="K188" s="77">
        <f t="shared" si="25"/>
        <v>188867.97526624979</v>
      </c>
      <c r="L188" s="75">
        <v>400000</v>
      </c>
      <c r="M188" s="75">
        <f t="shared" si="22"/>
        <v>211132.02473375021</v>
      </c>
    </row>
    <row r="189" spans="5:13">
      <c r="E189">
        <v>187</v>
      </c>
      <c r="F189" s="77">
        <f t="shared" si="23"/>
        <v>1432.2458863963786</v>
      </c>
      <c r="G189" s="77">
        <f t="shared" si="20"/>
        <v>626.88429765802528</v>
      </c>
      <c r="H189" s="77">
        <f t="shared" si="24"/>
        <v>805.36158873835336</v>
      </c>
      <c r="I189" s="77">
        <f t="shared" si="28"/>
        <v>156522.15435118804</v>
      </c>
      <c r="J189" s="77">
        <f t="shared" si="28"/>
        <v>112740.07229133115</v>
      </c>
      <c r="K189" s="77">
        <f t="shared" si="25"/>
        <v>188065.28929740758</v>
      </c>
      <c r="L189" s="75">
        <v>400000</v>
      </c>
      <c r="M189" s="75">
        <f t="shared" si="22"/>
        <v>211934.71070259242</v>
      </c>
    </row>
    <row r="190" spans="5:13">
      <c r="E190">
        <v>188</v>
      </c>
      <c r="F190" s="77">
        <f t="shared" si="23"/>
        <v>1432.2458863963786</v>
      </c>
      <c r="G190" s="77">
        <f t="shared" si="20"/>
        <v>624.19975902889746</v>
      </c>
      <c r="H190" s="77">
        <f t="shared" si="24"/>
        <v>808.04612736748118</v>
      </c>
      <c r="I190" s="77">
        <f t="shared" si="28"/>
        <v>157146.35411021695</v>
      </c>
      <c r="J190" s="77">
        <f t="shared" si="28"/>
        <v>113548.11841869864</v>
      </c>
      <c r="K190" s="77">
        <f t="shared" si="25"/>
        <v>187259.92770866922</v>
      </c>
      <c r="L190" s="75">
        <v>400000</v>
      </c>
      <c r="M190" s="75">
        <f t="shared" si="22"/>
        <v>212740.07229133078</v>
      </c>
    </row>
    <row r="191" spans="5:13">
      <c r="E191">
        <v>189</v>
      </c>
      <c r="F191" s="77">
        <f t="shared" si="23"/>
        <v>1432.2458863963786</v>
      </c>
      <c r="G191" s="77">
        <f t="shared" si="20"/>
        <v>621.50627193767252</v>
      </c>
      <c r="H191" s="77">
        <f t="shared" si="24"/>
        <v>810.73961445870611</v>
      </c>
      <c r="I191" s="77">
        <f t="shared" si="28"/>
        <v>157767.86038215461</v>
      </c>
      <c r="J191" s="77">
        <f t="shared" si="28"/>
        <v>114358.85803315735</v>
      </c>
      <c r="K191" s="77">
        <f t="shared" si="25"/>
        <v>186451.88158130174</v>
      </c>
      <c r="L191" s="75">
        <v>400000</v>
      </c>
      <c r="M191" s="75">
        <f t="shared" si="22"/>
        <v>213548.11841869826</v>
      </c>
    </row>
    <row r="192" spans="5:13">
      <c r="E192">
        <v>190</v>
      </c>
      <c r="F192" s="77">
        <f t="shared" si="23"/>
        <v>1432.2458863963786</v>
      </c>
      <c r="G192" s="77">
        <f t="shared" si="20"/>
        <v>618.80380655614351</v>
      </c>
      <c r="H192" s="77">
        <f t="shared" si="24"/>
        <v>813.44207984023512</v>
      </c>
      <c r="I192" s="77">
        <f t="shared" si="28"/>
        <v>158386.66418871077</v>
      </c>
      <c r="J192" s="77">
        <f t="shared" si="28"/>
        <v>115172.30011299757</v>
      </c>
      <c r="K192" s="77">
        <f t="shared" si="25"/>
        <v>185641.14196684305</v>
      </c>
      <c r="L192" s="75">
        <v>400000</v>
      </c>
      <c r="M192" s="75">
        <f t="shared" si="22"/>
        <v>214358.85803315695</v>
      </c>
    </row>
    <row r="193" spans="5:13">
      <c r="E193">
        <v>191</v>
      </c>
      <c r="F193" s="77">
        <f t="shared" si="23"/>
        <v>1432.2458863963786</v>
      </c>
      <c r="G193" s="77">
        <f t="shared" si="20"/>
        <v>616.09233295667605</v>
      </c>
      <c r="H193" s="77">
        <f t="shared" si="24"/>
        <v>816.15355343970259</v>
      </c>
      <c r="I193" s="77">
        <f t="shared" si="28"/>
        <v>159002.75652166744</v>
      </c>
      <c r="J193" s="77">
        <f t="shared" si="28"/>
        <v>115988.45366643727</v>
      </c>
      <c r="K193" s="77">
        <f t="shared" si="25"/>
        <v>184827.69988700282</v>
      </c>
      <c r="L193" s="75">
        <v>400000</v>
      </c>
      <c r="M193" s="75">
        <f t="shared" si="22"/>
        <v>215172.30011299718</v>
      </c>
    </row>
    <row r="194" spans="5:13">
      <c r="E194">
        <v>192</v>
      </c>
      <c r="F194" s="77">
        <f t="shared" si="23"/>
        <v>1432.2458863963786</v>
      </c>
      <c r="G194" s="77">
        <f t="shared" ref="G194:G257" si="29">(B$4/B$6)*K194</f>
        <v>613.37182111187701</v>
      </c>
      <c r="H194" s="77">
        <f t="shared" si="24"/>
        <v>818.87406528450163</v>
      </c>
      <c r="I194" s="77">
        <f t="shared" si="28"/>
        <v>159616.12834277932</v>
      </c>
      <c r="J194" s="77">
        <f t="shared" si="28"/>
        <v>116807.32773172177</v>
      </c>
      <c r="K194" s="77">
        <f t="shared" si="25"/>
        <v>184011.54633356311</v>
      </c>
      <c r="L194" s="75">
        <v>400000</v>
      </c>
      <c r="M194" s="75">
        <f t="shared" si="22"/>
        <v>215988.45366643689</v>
      </c>
    </row>
    <row r="195" spans="5:13">
      <c r="E195">
        <v>193</v>
      </c>
      <c r="F195" s="77">
        <f t="shared" si="23"/>
        <v>1432.2458863963786</v>
      </c>
      <c r="G195" s="77">
        <f t="shared" si="29"/>
        <v>610.64224089426205</v>
      </c>
      <c r="H195" s="77">
        <f t="shared" si="24"/>
        <v>821.60364550211659</v>
      </c>
      <c r="I195" s="77">
        <f t="shared" ref="I195:J210" si="30">I194+G195</f>
        <v>160226.77058367358</v>
      </c>
      <c r="J195" s="77">
        <f t="shared" si="30"/>
        <v>117628.93137722388</v>
      </c>
      <c r="K195" s="77">
        <f t="shared" si="25"/>
        <v>183192.67226827861</v>
      </c>
      <c r="L195" s="75">
        <v>400000</v>
      </c>
      <c r="M195" s="75">
        <f t="shared" ref="M195:M258" si="31">L195-K195</f>
        <v>216807.32773172139</v>
      </c>
    </row>
    <row r="196" spans="5:13">
      <c r="E196">
        <v>194</v>
      </c>
      <c r="F196" s="77">
        <f t="shared" ref="F196:F259" si="32">F195</f>
        <v>1432.2458863963786</v>
      </c>
      <c r="G196" s="77">
        <f t="shared" si="29"/>
        <v>607.90356207592163</v>
      </c>
      <c r="H196" s="77">
        <f t="shared" ref="H196:H259" si="33">F196-G196</f>
        <v>824.34232432045701</v>
      </c>
      <c r="I196" s="77">
        <f t="shared" si="30"/>
        <v>160834.67414574951</v>
      </c>
      <c r="J196" s="77">
        <f t="shared" si="30"/>
        <v>118453.27370154434</v>
      </c>
      <c r="K196" s="77">
        <f t="shared" ref="K196:K259" si="34">K195-H195</f>
        <v>182371.06862277648</v>
      </c>
      <c r="L196" s="75">
        <v>400000</v>
      </c>
      <c r="M196" s="75">
        <f t="shared" si="31"/>
        <v>217628.93137722352</v>
      </c>
    </row>
    <row r="197" spans="5:13">
      <c r="E197">
        <v>195</v>
      </c>
      <c r="F197" s="77">
        <f t="shared" si="32"/>
        <v>1432.2458863963786</v>
      </c>
      <c r="G197" s="77">
        <f t="shared" si="29"/>
        <v>605.15575432818673</v>
      </c>
      <c r="H197" s="77">
        <f t="shared" si="33"/>
        <v>827.09013206819191</v>
      </c>
      <c r="I197" s="77">
        <f t="shared" si="30"/>
        <v>161439.82990007769</v>
      </c>
      <c r="J197" s="77">
        <f t="shared" si="30"/>
        <v>119280.36383361253</v>
      </c>
      <c r="K197" s="77">
        <f t="shared" si="34"/>
        <v>181546.72629845602</v>
      </c>
      <c r="L197" s="75">
        <v>400000</v>
      </c>
      <c r="M197" s="75">
        <f t="shared" si="31"/>
        <v>218453.27370154398</v>
      </c>
    </row>
    <row r="198" spans="5:13">
      <c r="E198">
        <v>196</v>
      </c>
      <c r="F198" s="77">
        <f t="shared" si="32"/>
        <v>1432.2458863963786</v>
      </c>
      <c r="G198" s="77">
        <f t="shared" si="29"/>
        <v>602.39878722129276</v>
      </c>
      <c r="H198" s="77">
        <f t="shared" si="33"/>
        <v>829.84709917508587</v>
      </c>
      <c r="I198" s="77">
        <f t="shared" si="30"/>
        <v>162042.22868729898</v>
      </c>
      <c r="J198" s="77">
        <f t="shared" si="30"/>
        <v>120110.21093278761</v>
      </c>
      <c r="K198" s="77">
        <f t="shared" si="34"/>
        <v>180719.63616638782</v>
      </c>
      <c r="L198" s="75">
        <v>400000</v>
      </c>
      <c r="M198" s="75">
        <f t="shared" si="31"/>
        <v>219280.36383361218</v>
      </c>
    </row>
    <row r="199" spans="5:13">
      <c r="E199">
        <v>197</v>
      </c>
      <c r="F199" s="77">
        <f t="shared" si="32"/>
        <v>1432.2458863963786</v>
      </c>
      <c r="G199" s="77">
        <f t="shared" si="29"/>
        <v>599.63263022404249</v>
      </c>
      <c r="H199" s="77">
        <f t="shared" si="33"/>
        <v>832.61325617233615</v>
      </c>
      <c r="I199" s="77">
        <f t="shared" si="30"/>
        <v>162641.86131752303</v>
      </c>
      <c r="J199" s="77">
        <f t="shared" si="30"/>
        <v>120942.82418895994</v>
      </c>
      <c r="K199" s="77">
        <f t="shared" si="34"/>
        <v>179889.78906721273</v>
      </c>
      <c r="L199" s="75">
        <v>400000</v>
      </c>
      <c r="M199" s="75">
        <f t="shared" si="31"/>
        <v>220110.21093278727</v>
      </c>
    </row>
    <row r="200" spans="5:13">
      <c r="E200">
        <v>198</v>
      </c>
      <c r="F200" s="77">
        <f t="shared" si="32"/>
        <v>1432.2458863963786</v>
      </c>
      <c r="G200" s="77">
        <f t="shared" si="29"/>
        <v>596.85725270346802</v>
      </c>
      <c r="H200" s="77">
        <f t="shared" si="33"/>
        <v>835.38863369291062</v>
      </c>
      <c r="I200" s="77">
        <f t="shared" si="30"/>
        <v>163238.71857022648</v>
      </c>
      <c r="J200" s="77">
        <f t="shared" si="30"/>
        <v>121778.21282265286</v>
      </c>
      <c r="K200" s="77">
        <f t="shared" si="34"/>
        <v>179057.17581104039</v>
      </c>
      <c r="L200" s="75">
        <v>400000</v>
      </c>
      <c r="M200" s="75">
        <f t="shared" si="31"/>
        <v>220942.82418895961</v>
      </c>
    </row>
    <row r="201" spans="5:13">
      <c r="E201">
        <v>199</v>
      </c>
      <c r="F201" s="77">
        <f t="shared" si="32"/>
        <v>1432.2458863963786</v>
      </c>
      <c r="G201" s="77">
        <f t="shared" si="29"/>
        <v>594.07262392449172</v>
      </c>
      <c r="H201" s="77">
        <f t="shared" si="33"/>
        <v>838.17326247188691</v>
      </c>
      <c r="I201" s="77">
        <f t="shared" si="30"/>
        <v>163832.79119415098</v>
      </c>
      <c r="J201" s="77">
        <f t="shared" si="30"/>
        <v>122616.38608512474</v>
      </c>
      <c r="K201" s="77">
        <f t="shared" si="34"/>
        <v>178221.78717734749</v>
      </c>
      <c r="L201" s="75">
        <v>400000</v>
      </c>
      <c r="M201" s="75">
        <f t="shared" si="31"/>
        <v>221778.21282265251</v>
      </c>
    </row>
    <row r="202" spans="5:13">
      <c r="E202">
        <v>200</v>
      </c>
      <c r="F202" s="77">
        <f t="shared" si="32"/>
        <v>1432.2458863963786</v>
      </c>
      <c r="G202" s="77">
        <f t="shared" si="29"/>
        <v>591.27871304958535</v>
      </c>
      <c r="H202" s="77">
        <f t="shared" si="33"/>
        <v>840.96717334679329</v>
      </c>
      <c r="I202" s="77">
        <f t="shared" si="30"/>
        <v>164424.06990720058</v>
      </c>
      <c r="J202" s="77">
        <f t="shared" si="30"/>
        <v>123457.35325847154</v>
      </c>
      <c r="K202" s="77">
        <f t="shared" si="34"/>
        <v>177383.6139148756</v>
      </c>
      <c r="L202" s="75">
        <v>400000</v>
      </c>
      <c r="M202" s="75">
        <f t="shared" si="31"/>
        <v>222616.3860851244</v>
      </c>
    </row>
    <row r="203" spans="5:13">
      <c r="E203">
        <v>201</v>
      </c>
      <c r="F203" s="77">
        <f t="shared" si="32"/>
        <v>1432.2458863963786</v>
      </c>
      <c r="G203" s="77">
        <f t="shared" si="29"/>
        <v>588.47548913842945</v>
      </c>
      <c r="H203" s="77">
        <f t="shared" si="33"/>
        <v>843.77039725794918</v>
      </c>
      <c r="I203" s="77">
        <f t="shared" si="30"/>
        <v>165012.545396339</v>
      </c>
      <c r="J203" s="77">
        <f t="shared" si="30"/>
        <v>124301.12365572949</v>
      </c>
      <c r="K203" s="77">
        <f t="shared" si="34"/>
        <v>176542.64674152882</v>
      </c>
      <c r="L203" s="75">
        <v>400000</v>
      </c>
      <c r="M203" s="75">
        <f t="shared" si="31"/>
        <v>223457.35325847118</v>
      </c>
    </row>
    <row r="204" spans="5:13">
      <c r="E204">
        <v>202</v>
      </c>
      <c r="F204" s="77">
        <f t="shared" si="32"/>
        <v>1432.2458863963786</v>
      </c>
      <c r="G204" s="77">
        <f t="shared" si="29"/>
        <v>585.66292114756959</v>
      </c>
      <c r="H204" s="77">
        <f t="shared" si="33"/>
        <v>846.58296524880905</v>
      </c>
      <c r="I204" s="77">
        <f t="shared" si="30"/>
        <v>165598.20831748657</v>
      </c>
      <c r="J204" s="77">
        <f t="shared" si="30"/>
        <v>125147.70662097829</v>
      </c>
      <c r="K204" s="77">
        <f t="shared" si="34"/>
        <v>175698.87634427086</v>
      </c>
      <c r="L204" s="75">
        <v>400000</v>
      </c>
      <c r="M204" s="75">
        <f t="shared" si="31"/>
        <v>224301.12365572914</v>
      </c>
    </row>
    <row r="205" spans="5:13">
      <c r="E205">
        <v>203</v>
      </c>
      <c r="F205" s="77">
        <f t="shared" si="32"/>
        <v>1432.2458863963786</v>
      </c>
      <c r="G205" s="77">
        <f t="shared" si="29"/>
        <v>582.84097793007356</v>
      </c>
      <c r="H205" s="77">
        <f t="shared" si="33"/>
        <v>849.40490846630507</v>
      </c>
      <c r="I205" s="77">
        <f t="shared" si="30"/>
        <v>166181.04929541665</v>
      </c>
      <c r="J205" s="77">
        <f t="shared" si="30"/>
        <v>125997.11152944459</v>
      </c>
      <c r="K205" s="77">
        <f t="shared" si="34"/>
        <v>174852.29337902204</v>
      </c>
      <c r="L205" s="75">
        <v>400000</v>
      </c>
      <c r="M205" s="75">
        <f t="shared" si="31"/>
        <v>225147.70662097796</v>
      </c>
    </row>
    <row r="206" spans="5:13">
      <c r="E206">
        <v>204</v>
      </c>
      <c r="F206" s="77">
        <f t="shared" si="32"/>
        <v>1432.2458863963786</v>
      </c>
      <c r="G206" s="77">
        <f t="shared" si="29"/>
        <v>580.0096282351858</v>
      </c>
      <c r="H206" s="77">
        <f t="shared" si="33"/>
        <v>852.23625816119284</v>
      </c>
      <c r="I206" s="77">
        <f t="shared" si="30"/>
        <v>166761.05892365184</v>
      </c>
      <c r="J206" s="77">
        <f t="shared" si="30"/>
        <v>126849.34778760579</v>
      </c>
      <c r="K206" s="77">
        <f t="shared" si="34"/>
        <v>174002.88847055574</v>
      </c>
      <c r="L206" s="75">
        <v>400000</v>
      </c>
      <c r="M206" s="75">
        <f t="shared" si="31"/>
        <v>225997.11152944426</v>
      </c>
    </row>
    <row r="207" spans="5:13">
      <c r="E207">
        <v>205</v>
      </c>
      <c r="F207" s="77">
        <f t="shared" si="32"/>
        <v>1432.2458863963786</v>
      </c>
      <c r="G207" s="77">
        <f t="shared" si="29"/>
        <v>577.16884070798187</v>
      </c>
      <c r="H207" s="77">
        <f t="shared" si="33"/>
        <v>855.07704568839677</v>
      </c>
      <c r="I207" s="77">
        <f t="shared" si="30"/>
        <v>167338.22776435982</v>
      </c>
      <c r="J207" s="77">
        <f t="shared" si="30"/>
        <v>127704.42483329418</v>
      </c>
      <c r="K207" s="77">
        <f t="shared" si="34"/>
        <v>173150.65221239455</v>
      </c>
      <c r="L207" s="75">
        <v>400000</v>
      </c>
      <c r="M207" s="75">
        <f t="shared" si="31"/>
        <v>226849.34778760545</v>
      </c>
    </row>
    <row r="208" spans="5:13">
      <c r="E208">
        <v>206</v>
      </c>
      <c r="F208" s="77">
        <f t="shared" si="32"/>
        <v>1432.2458863963786</v>
      </c>
      <c r="G208" s="77">
        <f t="shared" si="29"/>
        <v>574.31858388902049</v>
      </c>
      <c r="H208" s="77">
        <f t="shared" si="33"/>
        <v>857.92730250735815</v>
      </c>
      <c r="I208" s="77">
        <f t="shared" si="30"/>
        <v>167912.54634824884</v>
      </c>
      <c r="J208" s="77">
        <f t="shared" si="30"/>
        <v>128562.35213580154</v>
      </c>
      <c r="K208" s="77">
        <f t="shared" si="34"/>
        <v>172295.57516670614</v>
      </c>
      <c r="L208" s="75">
        <v>400000</v>
      </c>
      <c r="M208" s="75">
        <f t="shared" si="31"/>
        <v>227704.42483329386</v>
      </c>
    </row>
    <row r="209" spans="5:13">
      <c r="E209">
        <v>207</v>
      </c>
      <c r="F209" s="77">
        <f t="shared" si="32"/>
        <v>1432.2458863963786</v>
      </c>
      <c r="G209" s="77">
        <f t="shared" si="29"/>
        <v>571.45882621399596</v>
      </c>
      <c r="H209" s="77">
        <f t="shared" si="33"/>
        <v>860.78706018238267</v>
      </c>
      <c r="I209" s="77">
        <f t="shared" si="30"/>
        <v>168484.00517446283</v>
      </c>
      <c r="J209" s="77">
        <f t="shared" si="30"/>
        <v>129423.13919598392</v>
      </c>
      <c r="K209" s="77">
        <f t="shared" si="34"/>
        <v>171437.64786419878</v>
      </c>
      <c r="L209" s="75">
        <v>400000</v>
      </c>
      <c r="M209" s="75">
        <f t="shared" si="31"/>
        <v>228562.35213580122</v>
      </c>
    </row>
    <row r="210" spans="5:13">
      <c r="E210">
        <v>208</v>
      </c>
      <c r="F210" s="77">
        <f t="shared" si="32"/>
        <v>1432.2458863963786</v>
      </c>
      <c r="G210" s="77">
        <f t="shared" si="29"/>
        <v>568.58953601338794</v>
      </c>
      <c r="H210" s="77">
        <f t="shared" si="33"/>
        <v>863.65635038299069</v>
      </c>
      <c r="I210" s="77">
        <f t="shared" si="30"/>
        <v>169052.59471047623</v>
      </c>
      <c r="J210" s="77">
        <f t="shared" si="30"/>
        <v>130286.79554636692</v>
      </c>
      <c r="K210" s="77">
        <f t="shared" si="34"/>
        <v>170576.86080401638</v>
      </c>
      <c r="L210" s="75">
        <v>400000</v>
      </c>
      <c r="M210" s="75">
        <f t="shared" si="31"/>
        <v>229423.13919598362</v>
      </c>
    </row>
    <row r="211" spans="5:13">
      <c r="E211">
        <v>209</v>
      </c>
      <c r="F211" s="77">
        <f t="shared" si="32"/>
        <v>1432.2458863963786</v>
      </c>
      <c r="G211" s="77">
        <f t="shared" si="29"/>
        <v>565.71068151211136</v>
      </c>
      <c r="H211" s="77">
        <f t="shared" si="33"/>
        <v>866.53520488426727</v>
      </c>
      <c r="I211" s="77">
        <f t="shared" ref="I211:J226" si="35">I210+G211</f>
        <v>169618.30539198834</v>
      </c>
      <c r="J211" s="77">
        <f t="shared" si="35"/>
        <v>131153.3307512512</v>
      </c>
      <c r="K211" s="77">
        <f t="shared" si="34"/>
        <v>169713.2044536334</v>
      </c>
      <c r="L211" s="75">
        <v>400000</v>
      </c>
      <c r="M211" s="75">
        <f t="shared" si="31"/>
        <v>230286.7955463666</v>
      </c>
    </row>
    <row r="212" spans="5:13">
      <c r="E212">
        <v>210</v>
      </c>
      <c r="F212" s="77">
        <f t="shared" si="32"/>
        <v>1432.2458863963786</v>
      </c>
      <c r="G212" s="77">
        <f t="shared" si="29"/>
        <v>562.8222308291638</v>
      </c>
      <c r="H212" s="77">
        <f t="shared" si="33"/>
        <v>869.42365556721484</v>
      </c>
      <c r="I212" s="77">
        <f t="shared" si="35"/>
        <v>170181.1276228175</v>
      </c>
      <c r="J212" s="77">
        <f t="shared" si="35"/>
        <v>132022.75440681842</v>
      </c>
      <c r="K212" s="77">
        <f t="shared" si="34"/>
        <v>168846.66924874912</v>
      </c>
      <c r="L212" s="75">
        <v>400000</v>
      </c>
      <c r="M212" s="75">
        <f t="shared" si="31"/>
        <v>231153.33075125088</v>
      </c>
    </row>
    <row r="213" spans="5:13">
      <c r="E213">
        <v>211</v>
      </c>
      <c r="F213" s="77">
        <f t="shared" si="32"/>
        <v>1432.2458863963786</v>
      </c>
      <c r="G213" s="77">
        <f t="shared" si="29"/>
        <v>559.92415197727303</v>
      </c>
      <c r="H213" s="77">
        <f t="shared" si="33"/>
        <v>872.32173441910561</v>
      </c>
      <c r="I213" s="77">
        <f t="shared" si="35"/>
        <v>170741.05177479476</v>
      </c>
      <c r="J213" s="77">
        <f t="shared" si="35"/>
        <v>132895.07614123751</v>
      </c>
      <c r="K213" s="77">
        <f t="shared" si="34"/>
        <v>167977.2455931819</v>
      </c>
      <c r="L213" s="75">
        <v>400000</v>
      </c>
      <c r="M213" s="75">
        <f t="shared" si="31"/>
        <v>232022.7544068181</v>
      </c>
    </row>
    <row r="214" spans="5:13">
      <c r="E214">
        <v>212</v>
      </c>
      <c r="F214" s="77">
        <f t="shared" si="32"/>
        <v>1432.2458863963786</v>
      </c>
      <c r="G214" s="77">
        <f t="shared" si="29"/>
        <v>557.01641286254278</v>
      </c>
      <c r="H214" s="77">
        <f t="shared" si="33"/>
        <v>875.22947353383586</v>
      </c>
      <c r="I214" s="77">
        <f t="shared" si="35"/>
        <v>171298.06818765731</v>
      </c>
      <c r="J214" s="77">
        <f t="shared" si="35"/>
        <v>133770.30561477135</v>
      </c>
      <c r="K214" s="77">
        <f t="shared" si="34"/>
        <v>167104.92385876281</v>
      </c>
      <c r="L214" s="75">
        <v>400000</v>
      </c>
      <c r="M214" s="75">
        <f t="shared" si="31"/>
        <v>232895.07614123719</v>
      </c>
    </row>
    <row r="215" spans="5:13">
      <c r="E215">
        <v>213</v>
      </c>
      <c r="F215" s="77">
        <f t="shared" si="32"/>
        <v>1432.2458863963786</v>
      </c>
      <c r="G215" s="77">
        <f t="shared" si="29"/>
        <v>554.09898128409657</v>
      </c>
      <c r="H215" s="77">
        <f t="shared" si="33"/>
        <v>878.14690511228207</v>
      </c>
      <c r="I215" s="77">
        <f t="shared" si="35"/>
        <v>171852.16716894141</v>
      </c>
      <c r="J215" s="77">
        <f t="shared" si="35"/>
        <v>134648.45251988363</v>
      </c>
      <c r="K215" s="77">
        <f t="shared" si="34"/>
        <v>166229.69438522897</v>
      </c>
      <c r="L215" s="75">
        <v>400000</v>
      </c>
      <c r="M215" s="75">
        <f t="shared" si="31"/>
        <v>233770.30561477103</v>
      </c>
    </row>
    <row r="216" spans="5:13">
      <c r="E216">
        <v>214</v>
      </c>
      <c r="F216" s="77">
        <f t="shared" si="32"/>
        <v>1432.2458863963786</v>
      </c>
      <c r="G216" s="77">
        <f t="shared" si="29"/>
        <v>551.17182493372229</v>
      </c>
      <c r="H216" s="77">
        <f t="shared" si="33"/>
        <v>881.07406146265635</v>
      </c>
      <c r="I216" s="77">
        <f t="shared" si="35"/>
        <v>172403.33899387514</v>
      </c>
      <c r="J216" s="77">
        <f t="shared" si="35"/>
        <v>135529.52658134629</v>
      </c>
      <c r="K216" s="77">
        <f t="shared" si="34"/>
        <v>165351.54748011669</v>
      </c>
      <c r="L216" s="75">
        <v>400000</v>
      </c>
      <c r="M216" s="75">
        <f t="shared" si="31"/>
        <v>234648.45251988331</v>
      </c>
    </row>
    <row r="217" spans="5:13">
      <c r="E217">
        <v>215</v>
      </c>
      <c r="F217" s="77">
        <f t="shared" si="32"/>
        <v>1432.2458863963786</v>
      </c>
      <c r="G217" s="77">
        <f t="shared" si="29"/>
        <v>548.23491139551345</v>
      </c>
      <c r="H217" s="77">
        <f t="shared" si="33"/>
        <v>884.01097500086519</v>
      </c>
      <c r="I217" s="77">
        <f t="shared" si="35"/>
        <v>172951.57390527066</v>
      </c>
      <c r="J217" s="77">
        <f t="shared" si="35"/>
        <v>136413.53755634715</v>
      </c>
      <c r="K217" s="77">
        <f t="shared" si="34"/>
        <v>164470.47341865403</v>
      </c>
      <c r="L217" s="75">
        <v>400000</v>
      </c>
      <c r="M217" s="75">
        <f t="shared" si="31"/>
        <v>235529.52658134597</v>
      </c>
    </row>
    <row r="218" spans="5:13">
      <c r="E218">
        <v>216</v>
      </c>
      <c r="F218" s="77">
        <f t="shared" si="32"/>
        <v>1432.2458863963786</v>
      </c>
      <c r="G218" s="77">
        <f t="shared" si="29"/>
        <v>545.28820814551057</v>
      </c>
      <c r="H218" s="77">
        <f t="shared" si="33"/>
        <v>886.95767825086807</v>
      </c>
      <c r="I218" s="77">
        <f t="shared" si="35"/>
        <v>173496.86211341617</v>
      </c>
      <c r="J218" s="77">
        <f t="shared" si="35"/>
        <v>137300.49523459803</v>
      </c>
      <c r="K218" s="77">
        <f t="shared" si="34"/>
        <v>163586.46244365317</v>
      </c>
      <c r="L218" s="75">
        <v>400000</v>
      </c>
      <c r="M218" s="75">
        <f t="shared" si="31"/>
        <v>236413.53755634683</v>
      </c>
    </row>
    <row r="219" spans="5:13">
      <c r="E219">
        <v>217</v>
      </c>
      <c r="F219" s="77">
        <f t="shared" si="32"/>
        <v>1432.2458863963786</v>
      </c>
      <c r="G219" s="77">
        <f t="shared" si="29"/>
        <v>542.33168255134103</v>
      </c>
      <c r="H219" s="77">
        <f t="shared" si="33"/>
        <v>889.9142038450376</v>
      </c>
      <c r="I219" s="77">
        <f t="shared" si="35"/>
        <v>174039.1937959675</v>
      </c>
      <c r="J219" s="77">
        <f t="shared" si="35"/>
        <v>138190.40943844308</v>
      </c>
      <c r="K219" s="77">
        <f t="shared" si="34"/>
        <v>162699.50476540229</v>
      </c>
      <c r="L219" s="75">
        <v>400000</v>
      </c>
      <c r="M219" s="75">
        <f t="shared" si="31"/>
        <v>237300.49523459771</v>
      </c>
    </row>
    <row r="220" spans="5:13">
      <c r="E220">
        <v>218</v>
      </c>
      <c r="F220" s="77">
        <f t="shared" si="32"/>
        <v>1432.2458863963786</v>
      </c>
      <c r="G220" s="77">
        <f t="shared" si="29"/>
        <v>539.36530187185747</v>
      </c>
      <c r="H220" s="77">
        <f t="shared" si="33"/>
        <v>892.88058452452117</v>
      </c>
      <c r="I220" s="77">
        <f t="shared" si="35"/>
        <v>174578.55909783934</v>
      </c>
      <c r="J220" s="77">
        <f t="shared" si="35"/>
        <v>139083.29002296759</v>
      </c>
      <c r="K220" s="77">
        <f t="shared" si="34"/>
        <v>161809.59056155724</v>
      </c>
      <c r="L220" s="75">
        <v>400000</v>
      </c>
      <c r="M220" s="75">
        <f t="shared" si="31"/>
        <v>238190.40943844276</v>
      </c>
    </row>
    <row r="221" spans="5:13">
      <c r="E221">
        <v>219</v>
      </c>
      <c r="F221" s="77">
        <f t="shared" si="32"/>
        <v>1432.2458863963786</v>
      </c>
      <c r="G221" s="77">
        <f t="shared" si="29"/>
        <v>536.38903325677586</v>
      </c>
      <c r="H221" s="77">
        <f t="shared" si="33"/>
        <v>895.85685313960278</v>
      </c>
      <c r="I221" s="77">
        <f t="shared" si="35"/>
        <v>175114.94813109611</v>
      </c>
      <c r="J221" s="77">
        <f t="shared" si="35"/>
        <v>139979.1468761072</v>
      </c>
      <c r="K221" s="77">
        <f t="shared" si="34"/>
        <v>160916.70997703273</v>
      </c>
      <c r="L221" s="75">
        <v>400000</v>
      </c>
      <c r="M221" s="75">
        <f t="shared" si="31"/>
        <v>239083.29002296727</v>
      </c>
    </row>
    <row r="222" spans="5:13">
      <c r="E222">
        <v>220</v>
      </c>
      <c r="F222" s="77">
        <f t="shared" si="32"/>
        <v>1432.2458863963786</v>
      </c>
      <c r="G222" s="77">
        <f t="shared" si="29"/>
        <v>533.4028437463104</v>
      </c>
      <c r="H222" s="77">
        <f t="shared" si="33"/>
        <v>898.84304265006824</v>
      </c>
      <c r="I222" s="77">
        <f t="shared" si="35"/>
        <v>175648.35097484241</v>
      </c>
      <c r="J222" s="77">
        <f t="shared" si="35"/>
        <v>140877.98991875726</v>
      </c>
      <c r="K222" s="77">
        <f t="shared" si="34"/>
        <v>160020.85312389312</v>
      </c>
      <c r="L222" s="75">
        <v>400000</v>
      </c>
      <c r="M222" s="75">
        <f t="shared" si="31"/>
        <v>239979.14687610688</v>
      </c>
    </row>
    <row r="223" spans="5:13">
      <c r="E223">
        <v>221</v>
      </c>
      <c r="F223" s="77">
        <f t="shared" si="32"/>
        <v>1432.2458863963786</v>
      </c>
      <c r="G223" s="77">
        <f t="shared" si="29"/>
        <v>530.40670027081023</v>
      </c>
      <c r="H223" s="77">
        <f t="shared" si="33"/>
        <v>901.8391861255684</v>
      </c>
      <c r="I223" s="77">
        <f t="shared" si="35"/>
        <v>176178.75767511321</v>
      </c>
      <c r="J223" s="77">
        <f t="shared" si="35"/>
        <v>141779.82910488284</v>
      </c>
      <c r="K223" s="77">
        <f t="shared" si="34"/>
        <v>159122.01008124306</v>
      </c>
      <c r="L223" s="75">
        <v>400000</v>
      </c>
      <c r="M223" s="75">
        <f t="shared" si="31"/>
        <v>240877.98991875694</v>
      </c>
    </row>
    <row r="224" spans="5:13">
      <c r="E224">
        <v>222</v>
      </c>
      <c r="F224" s="77">
        <f t="shared" si="32"/>
        <v>1432.2458863963786</v>
      </c>
      <c r="G224" s="77">
        <f t="shared" si="29"/>
        <v>527.40056965039162</v>
      </c>
      <c r="H224" s="77">
        <f t="shared" si="33"/>
        <v>904.84531674598702</v>
      </c>
      <c r="I224" s="77">
        <f t="shared" si="35"/>
        <v>176706.15824476362</v>
      </c>
      <c r="J224" s="77">
        <f t="shared" si="35"/>
        <v>142684.67442162882</v>
      </c>
      <c r="K224" s="77">
        <f t="shared" si="34"/>
        <v>158220.17089511748</v>
      </c>
      <c r="L224" s="75">
        <v>400000</v>
      </c>
      <c r="M224" s="75">
        <f t="shared" si="31"/>
        <v>241779.82910488252</v>
      </c>
    </row>
    <row r="225" spans="5:13">
      <c r="E225">
        <v>223</v>
      </c>
      <c r="F225" s="77">
        <f t="shared" si="32"/>
        <v>1432.2458863963786</v>
      </c>
      <c r="G225" s="77">
        <f t="shared" si="29"/>
        <v>524.38441859457168</v>
      </c>
      <c r="H225" s="77">
        <f t="shared" si="33"/>
        <v>907.86146780180695</v>
      </c>
      <c r="I225" s="77">
        <f t="shared" si="35"/>
        <v>177230.54266335818</v>
      </c>
      <c r="J225" s="77">
        <f t="shared" si="35"/>
        <v>143592.53588943064</v>
      </c>
      <c r="K225" s="77">
        <f t="shared" si="34"/>
        <v>157315.3255783715</v>
      </c>
      <c r="L225" s="75">
        <v>400000</v>
      </c>
      <c r="M225" s="75">
        <f t="shared" si="31"/>
        <v>242684.6744216285</v>
      </c>
    </row>
    <row r="226" spans="5:13">
      <c r="E226">
        <v>224</v>
      </c>
      <c r="F226" s="77">
        <f t="shared" si="32"/>
        <v>1432.2458863963786</v>
      </c>
      <c r="G226" s="77">
        <f t="shared" si="29"/>
        <v>521.35821370189899</v>
      </c>
      <c r="H226" s="77">
        <f t="shared" si="33"/>
        <v>910.88767269447965</v>
      </c>
      <c r="I226" s="77">
        <f t="shared" si="35"/>
        <v>177751.90087706008</v>
      </c>
      <c r="J226" s="77">
        <f t="shared" si="35"/>
        <v>144503.42356212513</v>
      </c>
      <c r="K226" s="77">
        <f t="shared" si="34"/>
        <v>156407.46411056968</v>
      </c>
      <c r="L226" s="75">
        <v>400000</v>
      </c>
      <c r="M226" s="75">
        <f t="shared" si="31"/>
        <v>243592.53588943032</v>
      </c>
    </row>
    <row r="227" spans="5:13">
      <c r="E227">
        <v>225</v>
      </c>
      <c r="F227" s="77">
        <f t="shared" si="32"/>
        <v>1432.2458863963786</v>
      </c>
      <c r="G227" s="77">
        <f t="shared" si="29"/>
        <v>518.32192145958402</v>
      </c>
      <c r="H227" s="77">
        <f t="shared" si="33"/>
        <v>913.92396493679462</v>
      </c>
      <c r="I227" s="77">
        <f t="shared" ref="I227:J242" si="36">I226+G227</f>
        <v>178270.22279851965</v>
      </c>
      <c r="J227" s="77">
        <f t="shared" si="36"/>
        <v>145417.34752706191</v>
      </c>
      <c r="K227" s="77">
        <f t="shared" si="34"/>
        <v>155496.57643787519</v>
      </c>
      <c r="L227" s="75">
        <v>400000</v>
      </c>
      <c r="M227" s="75">
        <f t="shared" si="31"/>
        <v>244503.42356212481</v>
      </c>
    </row>
    <row r="228" spans="5:13">
      <c r="E228">
        <v>226</v>
      </c>
      <c r="F228" s="77">
        <f t="shared" si="32"/>
        <v>1432.2458863963786</v>
      </c>
      <c r="G228" s="77">
        <f t="shared" si="29"/>
        <v>515.27550824312812</v>
      </c>
      <c r="H228" s="77">
        <f t="shared" si="33"/>
        <v>916.97037815325052</v>
      </c>
      <c r="I228" s="77">
        <f t="shared" si="36"/>
        <v>178785.49830676278</v>
      </c>
      <c r="J228" s="77">
        <f t="shared" si="36"/>
        <v>146334.31790521517</v>
      </c>
      <c r="K228" s="77">
        <f t="shared" si="34"/>
        <v>154582.65247293841</v>
      </c>
      <c r="L228" s="75">
        <v>400000</v>
      </c>
      <c r="M228" s="75">
        <f t="shared" si="31"/>
        <v>245417.34752706159</v>
      </c>
    </row>
    <row r="229" spans="5:13">
      <c r="E229">
        <v>227</v>
      </c>
      <c r="F229" s="77">
        <f t="shared" si="32"/>
        <v>1432.2458863963786</v>
      </c>
      <c r="G229" s="77">
        <f t="shared" si="29"/>
        <v>512.21894031595059</v>
      </c>
      <c r="H229" s="77">
        <f t="shared" si="33"/>
        <v>920.02694608042805</v>
      </c>
      <c r="I229" s="77">
        <f t="shared" si="36"/>
        <v>179297.71724707872</v>
      </c>
      <c r="J229" s="77">
        <f t="shared" si="36"/>
        <v>147254.34485129561</v>
      </c>
      <c r="K229" s="77">
        <f t="shared" si="34"/>
        <v>153665.68209478515</v>
      </c>
      <c r="L229" s="75">
        <v>400000</v>
      </c>
      <c r="M229" s="75">
        <f t="shared" si="31"/>
        <v>246334.31790521485</v>
      </c>
    </row>
    <row r="230" spans="5:13">
      <c r="E230">
        <v>228</v>
      </c>
      <c r="F230" s="77">
        <f t="shared" si="32"/>
        <v>1432.2458863963786</v>
      </c>
      <c r="G230" s="77">
        <f t="shared" si="29"/>
        <v>509.15218382901571</v>
      </c>
      <c r="H230" s="77">
        <f t="shared" si="33"/>
        <v>923.09370256736293</v>
      </c>
      <c r="I230" s="77">
        <f t="shared" si="36"/>
        <v>179806.86943090774</v>
      </c>
      <c r="J230" s="77">
        <f t="shared" si="36"/>
        <v>148177.43855386297</v>
      </c>
      <c r="K230" s="77">
        <f t="shared" si="34"/>
        <v>152745.65514870471</v>
      </c>
      <c r="L230" s="75">
        <v>400000</v>
      </c>
      <c r="M230" s="75">
        <f t="shared" si="31"/>
        <v>247254.34485129529</v>
      </c>
    </row>
    <row r="231" spans="5:13">
      <c r="E231">
        <v>229</v>
      </c>
      <c r="F231" s="77">
        <f t="shared" si="32"/>
        <v>1432.2458863963786</v>
      </c>
      <c r="G231" s="77">
        <f t="shared" si="29"/>
        <v>506.07520482045788</v>
      </c>
      <c r="H231" s="77">
        <f t="shared" si="33"/>
        <v>926.17068157592075</v>
      </c>
      <c r="I231" s="77">
        <f t="shared" si="36"/>
        <v>180312.9446357282</v>
      </c>
      <c r="J231" s="77">
        <f t="shared" si="36"/>
        <v>149103.6092354389</v>
      </c>
      <c r="K231" s="77">
        <f t="shared" si="34"/>
        <v>151822.56144613735</v>
      </c>
      <c r="L231" s="75">
        <v>400000</v>
      </c>
      <c r="M231" s="75">
        <f t="shared" si="31"/>
        <v>248177.43855386265</v>
      </c>
    </row>
    <row r="232" spans="5:13">
      <c r="E232">
        <v>230</v>
      </c>
      <c r="F232" s="77">
        <f t="shared" si="32"/>
        <v>1432.2458863963786</v>
      </c>
      <c r="G232" s="77">
        <f t="shared" si="29"/>
        <v>502.98796921520477</v>
      </c>
      <c r="H232" s="77">
        <f t="shared" si="33"/>
        <v>929.25791718117387</v>
      </c>
      <c r="I232" s="77">
        <f t="shared" si="36"/>
        <v>180815.9326049434</v>
      </c>
      <c r="J232" s="77">
        <f t="shared" si="36"/>
        <v>150032.86715262008</v>
      </c>
      <c r="K232" s="77">
        <f t="shared" si="34"/>
        <v>150896.39076456142</v>
      </c>
      <c r="L232" s="75">
        <v>400000</v>
      </c>
      <c r="M232" s="75">
        <f t="shared" si="31"/>
        <v>249103.60923543858</v>
      </c>
    </row>
    <row r="233" spans="5:13">
      <c r="E233">
        <v>231</v>
      </c>
      <c r="F233" s="77">
        <f t="shared" si="32"/>
        <v>1432.2458863963786</v>
      </c>
      <c r="G233" s="77">
        <f t="shared" si="29"/>
        <v>499.89044282460083</v>
      </c>
      <c r="H233" s="77">
        <f t="shared" si="33"/>
        <v>932.35544357177787</v>
      </c>
      <c r="I233" s="77">
        <f t="shared" si="36"/>
        <v>181315.823047768</v>
      </c>
      <c r="J233" s="77">
        <f t="shared" si="36"/>
        <v>150965.22259619186</v>
      </c>
      <c r="K233" s="77">
        <f t="shared" si="34"/>
        <v>149967.13284738024</v>
      </c>
      <c r="L233" s="75">
        <v>400000</v>
      </c>
      <c r="M233" s="75">
        <f t="shared" si="31"/>
        <v>250032.86715261976</v>
      </c>
    </row>
    <row r="234" spans="5:13">
      <c r="E234">
        <v>232</v>
      </c>
      <c r="F234" s="77">
        <f t="shared" si="32"/>
        <v>1432.2458863963786</v>
      </c>
      <c r="G234" s="77">
        <f t="shared" si="29"/>
        <v>496.78259134602825</v>
      </c>
      <c r="H234" s="77">
        <f t="shared" si="33"/>
        <v>935.46329505035033</v>
      </c>
      <c r="I234" s="77">
        <f t="shared" si="36"/>
        <v>181812.60563911404</v>
      </c>
      <c r="J234" s="77">
        <f t="shared" si="36"/>
        <v>151900.6858912422</v>
      </c>
      <c r="K234" s="77">
        <f t="shared" si="34"/>
        <v>149034.77740380846</v>
      </c>
      <c r="L234" s="75">
        <v>400000</v>
      </c>
      <c r="M234" s="75">
        <f t="shared" si="31"/>
        <v>250965.22259619154</v>
      </c>
    </row>
    <row r="235" spans="5:13">
      <c r="E235">
        <v>233</v>
      </c>
      <c r="F235" s="77">
        <f t="shared" si="32"/>
        <v>1432.2458863963786</v>
      </c>
      <c r="G235" s="77">
        <f t="shared" si="29"/>
        <v>493.66438036252708</v>
      </c>
      <c r="H235" s="77">
        <f t="shared" si="33"/>
        <v>938.58150603385161</v>
      </c>
      <c r="I235" s="77">
        <f t="shared" si="36"/>
        <v>182306.27001947656</v>
      </c>
      <c r="J235" s="77">
        <f t="shared" si="36"/>
        <v>152839.26739727607</v>
      </c>
      <c r="K235" s="77">
        <f t="shared" si="34"/>
        <v>148099.31410875812</v>
      </c>
      <c r="L235" s="75">
        <v>400000</v>
      </c>
      <c r="M235" s="75">
        <f t="shared" si="31"/>
        <v>251900.68589124188</v>
      </c>
    </row>
    <row r="236" spans="5:13">
      <c r="E236">
        <v>234</v>
      </c>
      <c r="F236" s="77">
        <f t="shared" si="32"/>
        <v>1432.2458863963786</v>
      </c>
      <c r="G236" s="77">
        <f t="shared" si="29"/>
        <v>490.53577534241418</v>
      </c>
      <c r="H236" s="77">
        <f t="shared" si="33"/>
        <v>941.71011105396451</v>
      </c>
      <c r="I236" s="77">
        <f t="shared" si="36"/>
        <v>182796.80579481897</v>
      </c>
      <c r="J236" s="77">
        <f t="shared" si="36"/>
        <v>153780.97750833002</v>
      </c>
      <c r="K236" s="77">
        <f t="shared" si="34"/>
        <v>147160.73260272425</v>
      </c>
      <c r="L236" s="75">
        <v>400000</v>
      </c>
      <c r="M236" s="75">
        <f t="shared" si="31"/>
        <v>252839.26739727575</v>
      </c>
    </row>
    <row r="237" spans="5:13">
      <c r="E237">
        <v>235</v>
      </c>
      <c r="F237" s="77">
        <f t="shared" si="32"/>
        <v>1432.2458863963786</v>
      </c>
      <c r="G237" s="77">
        <f t="shared" si="29"/>
        <v>487.39674163890106</v>
      </c>
      <c r="H237" s="77">
        <f t="shared" si="33"/>
        <v>944.84914475747757</v>
      </c>
      <c r="I237" s="77">
        <f t="shared" si="36"/>
        <v>183284.20253645786</v>
      </c>
      <c r="J237" s="77">
        <f t="shared" si="36"/>
        <v>154725.82665308748</v>
      </c>
      <c r="K237" s="77">
        <f t="shared" si="34"/>
        <v>146219.0224916703</v>
      </c>
      <c r="L237" s="75">
        <v>400000</v>
      </c>
      <c r="M237" s="75">
        <f t="shared" si="31"/>
        <v>253780.9775083297</v>
      </c>
    </row>
    <row r="238" spans="5:13">
      <c r="E238">
        <v>236</v>
      </c>
      <c r="F238" s="77">
        <f t="shared" si="32"/>
        <v>1432.2458863963786</v>
      </c>
      <c r="G238" s="77">
        <f t="shared" si="29"/>
        <v>484.24724448970949</v>
      </c>
      <c r="H238" s="77">
        <f t="shared" si="33"/>
        <v>947.99864190666915</v>
      </c>
      <c r="I238" s="77">
        <f t="shared" si="36"/>
        <v>183768.44978094756</v>
      </c>
      <c r="J238" s="77">
        <f t="shared" si="36"/>
        <v>155673.82529499414</v>
      </c>
      <c r="K238" s="77">
        <f t="shared" si="34"/>
        <v>145274.17334691284</v>
      </c>
      <c r="L238" s="75">
        <v>400000</v>
      </c>
      <c r="M238" s="75">
        <f t="shared" si="31"/>
        <v>254725.82665308716</v>
      </c>
    </row>
    <row r="239" spans="5:13">
      <c r="E239">
        <v>237</v>
      </c>
      <c r="F239" s="77">
        <f t="shared" si="32"/>
        <v>1432.2458863963786</v>
      </c>
      <c r="G239" s="77">
        <f t="shared" si="29"/>
        <v>481.08724901668728</v>
      </c>
      <c r="H239" s="77">
        <f t="shared" si="33"/>
        <v>951.1586373796913</v>
      </c>
      <c r="I239" s="77">
        <f t="shared" si="36"/>
        <v>184249.53702996424</v>
      </c>
      <c r="J239" s="77">
        <f t="shared" si="36"/>
        <v>156624.98393237384</v>
      </c>
      <c r="K239" s="77">
        <f t="shared" si="34"/>
        <v>144326.17470500618</v>
      </c>
      <c r="L239" s="75">
        <v>400000</v>
      </c>
      <c r="M239" s="75">
        <f t="shared" si="31"/>
        <v>255673.82529499382</v>
      </c>
    </row>
    <row r="240" spans="5:13">
      <c r="E240">
        <v>238</v>
      </c>
      <c r="F240" s="77">
        <f t="shared" si="32"/>
        <v>1432.2458863963786</v>
      </c>
      <c r="G240" s="77">
        <f t="shared" si="29"/>
        <v>477.91672022542161</v>
      </c>
      <c r="H240" s="77">
        <f t="shared" si="33"/>
        <v>954.32916617095702</v>
      </c>
      <c r="I240" s="77">
        <f t="shared" si="36"/>
        <v>184727.45375018966</v>
      </c>
      <c r="J240" s="77">
        <f t="shared" si="36"/>
        <v>157579.31309854481</v>
      </c>
      <c r="K240" s="77">
        <f t="shared" si="34"/>
        <v>143375.01606762648</v>
      </c>
      <c r="L240" s="75">
        <v>400000</v>
      </c>
      <c r="M240" s="75">
        <f t="shared" si="31"/>
        <v>256624.98393237352</v>
      </c>
    </row>
    <row r="241" spans="5:13">
      <c r="E241">
        <v>239</v>
      </c>
      <c r="F241" s="77">
        <f t="shared" si="32"/>
        <v>1432.2458863963786</v>
      </c>
      <c r="G241" s="77">
        <f t="shared" si="29"/>
        <v>474.73562300485173</v>
      </c>
      <c r="H241" s="77">
        <f t="shared" si="33"/>
        <v>957.51026339152691</v>
      </c>
      <c r="I241" s="77">
        <f t="shared" si="36"/>
        <v>185202.1893731945</v>
      </c>
      <c r="J241" s="77">
        <f t="shared" si="36"/>
        <v>158536.82336193635</v>
      </c>
      <c r="K241" s="77">
        <f t="shared" si="34"/>
        <v>142420.68690145551</v>
      </c>
      <c r="L241" s="75">
        <v>400000</v>
      </c>
      <c r="M241" s="75">
        <f t="shared" si="31"/>
        <v>257579.31309854449</v>
      </c>
    </row>
    <row r="242" spans="5:13">
      <c r="E242">
        <v>240</v>
      </c>
      <c r="F242" s="77">
        <f t="shared" si="32"/>
        <v>1432.2458863963786</v>
      </c>
      <c r="G242" s="77">
        <f t="shared" si="29"/>
        <v>471.54392212687992</v>
      </c>
      <c r="H242" s="77">
        <f t="shared" si="33"/>
        <v>960.70196426949872</v>
      </c>
      <c r="I242" s="77">
        <f t="shared" si="36"/>
        <v>185673.73329532138</v>
      </c>
      <c r="J242" s="77">
        <f t="shared" si="36"/>
        <v>159497.52532620585</v>
      </c>
      <c r="K242" s="77">
        <f t="shared" si="34"/>
        <v>141463.17663806397</v>
      </c>
      <c r="L242" s="75">
        <v>400000</v>
      </c>
      <c r="M242" s="75">
        <f t="shared" si="31"/>
        <v>258536.82336193603</v>
      </c>
    </row>
    <row r="243" spans="5:13">
      <c r="E243">
        <v>241</v>
      </c>
      <c r="F243" s="77">
        <f t="shared" si="32"/>
        <v>1432.2458863963786</v>
      </c>
      <c r="G243" s="77">
        <f t="shared" si="29"/>
        <v>468.34158224598156</v>
      </c>
      <c r="H243" s="77">
        <f t="shared" si="33"/>
        <v>963.90430415039714</v>
      </c>
      <c r="I243" s="77">
        <f t="shared" ref="I243:J258" si="37">I242+G243</f>
        <v>186142.07487756736</v>
      </c>
      <c r="J243" s="77">
        <f t="shared" si="37"/>
        <v>160461.42963035626</v>
      </c>
      <c r="K243" s="77">
        <f t="shared" si="34"/>
        <v>140502.47467379447</v>
      </c>
      <c r="L243" s="75">
        <v>400000</v>
      </c>
      <c r="M243" s="75">
        <f t="shared" si="31"/>
        <v>259497.52532620553</v>
      </c>
    </row>
    <row r="244" spans="5:13">
      <c r="E244">
        <v>242</v>
      </c>
      <c r="F244" s="77">
        <f t="shared" si="32"/>
        <v>1432.2458863963786</v>
      </c>
      <c r="G244" s="77">
        <f t="shared" si="29"/>
        <v>465.12856789881357</v>
      </c>
      <c r="H244" s="77">
        <f t="shared" si="33"/>
        <v>967.11731849756507</v>
      </c>
      <c r="I244" s="77">
        <f t="shared" si="37"/>
        <v>186607.20344546618</v>
      </c>
      <c r="J244" s="77">
        <f t="shared" si="37"/>
        <v>161428.54694885382</v>
      </c>
      <c r="K244" s="77">
        <f t="shared" si="34"/>
        <v>139538.57036964406</v>
      </c>
      <c r="L244" s="75">
        <v>400000</v>
      </c>
      <c r="M244" s="75">
        <f t="shared" si="31"/>
        <v>260461.42963035594</v>
      </c>
    </row>
    <row r="245" spans="5:13">
      <c r="E245">
        <v>243</v>
      </c>
      <c r="F245" s="77">
        <f t="shared" si="32"/>
        <v>1432.2458863963786</v>
      </c>
      <c r="G245" s="77">
        <f t="shared" si="29"/>
        <v>461.90484350382167</v>
      </c>
      <c r="H245" s="77">
        <f t="shared" si="33"/>
        <v>970.34104289255697</v>
      </c>
      <c r="I245" s="77">
        <f t="shared" si="37"/>
        <v>187069.10828896999</v>
      </c>
      <c r="J245" s="77">
        <f t="shared" si="37"/>
        <v>162398.88799174639</v>
      </c>
      <c r="K245" s="77">
        <f t="shared" si="34"/>
        <v>138571.4530511465</v>
      </c>
      <c r="L245" s="75">
        <v>400000</v>
      </c>
      <c r="M245" s="75">
        <f t="shared" si="31"/>
        <v>261428.5469488535</v>
      </c>
    </row>
    <row r="246" spans="5:13">
      <c r="E246">
        <v>244</v>
      </c>
      <c r="F246" s="77">
        <f t="shared" si="32"/>
        <v>1432.2458863963786</v>
      </c>
      <c r="G246" s="77">
        <f t="shared" si="29"/>
        <v>458.67037336084644</v>
      </c>
      <c r="H246" s="77">
        <f t="shared" si="33"/>
        <v>973.57551303553214</v>
      </c>
      <c r="I246" s="77">
        <f t="shared" si="37"/>
        <v>187527.77866233085</v>
      </c>
      <c r="J246" s="77">
        <f t="shared" si="37"/>
        <v>163372.46350478192</v>
      </c>
      <c r="K246" s="77">
        <f t="shared" si="34"/>
        <v>137601.11200825393</v>
      </c>
      <c r="L246" s="75">
        <v>400000</v>
      </c>
      <c r="M246" s="75">
        <f t="shared" si="31"/>
        <v>262398.88799174607</v>
      </c>
    </row>
    <row r="247" spans="5:13">
      <c r="E247">
        <v>245</v>
      </c>
      <c r="F247" s="77">
        <f t="shared" si="32"/>
        <v>1432.2458863963786</v>
      </c>
      <c r="G247" s="77">
        <f t="shared" si="29"/>
        <v>455.42512165072804</v>
      </c>
      <c r="H247" s="77">
        <f t="shared" si="33"/>
        <v>976.82076474565065</v>
      </c>
      <c r="I247" s="77">
        <f t="shared" si="37"/>
        <v>187983.20378398159</v>
      </c>
      <c r="J247" s="77">
        <f t="shared" si="37"/>
        <v>164349.28426952756</v>
      </c>
      <c r="K247" s="77">
        <f t="shared" si="34"/>
        <v>136627.5364952184</v>
      </c>
      <c r="L247" s="75">
        <v>400000</v>
      </c>
      <c r="M247" s="75">
        <f t="shared" si="31"/>
        <v>263372.4635047816</v>
      </c>
    </row>
    <row r="248" spans="5:13">
      <c r="E248">
        <v>246</v>
      </c>
      <c r="F248" s="77">
        <f t="shared" si="32"/>
        <v>1432.2458863963786</v>
      </c>
      <c r="G248" s="77">
        <f t="shared" si="29"/>
        <v>452.16905243490925</v>
      </c>
      <c r="H248" s="77">
        <f t="shared" si="33"/>
        <v>980.07683396146945</v>
      </c>
      <c r="I248" s="77">
        <f t="shared" si="37"/>
        <v>188435.3728364165</v>
      </c>
      <c r="J248" s="77">
        <f t="shared" si="37"/>
        <v>165329.36110348903</v>
      </c>
      <c r="K248" s="77">
        <f t="shared" si="34"/>
        <v>135650.71573047276</v>
      </c>
      <c r="L248" s="75">
        <v>400000</v>
      </c>
      <c r="M248" s="75">
        <f t="shared" si="31"/>
        <v>264349.28426952724</v>
      </c>
    </row>
    <row r="249" spans="5:13">
      <c r="E249">
        <v>247</v>
      </c>
      <c r="F249" s="77">
        <f t="shared" si="32"/>
        <v>1432.2458863963786</v>
      </c>
      <c r="G249" s="77">
        <f t="shared" si="29"/>
        <v>448.90212965503764</v>
      </c>
      <c r="H249" s="77">
        <f t="shared" si="33"/>
        <v>983.34375674134094</v>
      </c>
      <c r="I249" s="77">
        <f t="shared" si="37"/>
        <v>188884.27496607153</v>
      </c>
      <c r="J249" s="77">
        <f t="shared" si="37"/>
        <v>166312.70486023038</v>
      </c>
      <c r="K249" s="77">
        <f t="shared" si="34"/>
        <v>134670.63889651129</v>
      </c>
      <c r="L249" s="75">
        <v>400000</v>
      </c>
      <c r="M249" s="75">
        <f t="shared" si="31"/>
        <v>265329.36110348871</v>
      </c>
    </row>
    <row r="250" spans="5:13">
      <c r="E250">
        <v>248</v>
      </c>
      <c r="F250" s="77">
        <f t="shared" si="32"/>
        <v>1432.2458863963786</v>
      </c>
      <c r="G250" s="77">
        <f t="shared" si="29"/>
        <v>445.62431713256649</v>
      </c>
      <c r="H250" s="77">
        <f t="shared" si="33"/>
        <v>986.62156926381215</v>
      </c>
      <c r="I250" s="77">
        <f t="shared" si="37"/>
        <v>189329.89928320411</v>
      </c>
      <c r="J250" s="77">
        <f t="shared" si="37"/>
        <v>167299.32642949419</v>
      </c>
      <c r="K250" s="77">
        <f t="shared" si="34"/>
        <v>133687.29513976994</v>
      </c>
      <c r="L250" s="75">
        <v>400000</v>
      </c>
      <c r="M250" s="75">
        <f t="shared" si="31"/>
        <v>266312.70486023009</v>
      </c>
    </row>
    <row r="251" spans="5:13">
      <c r="E251">
        <v>249</v>
      </c>
      <c r="F251" s="77">
        <f t="shared" si="32"/>
        <v>1432.2458863963786</v>
      </c>
      <c r="G251" s="77">
        <f t="shared" si="29"/>
        <v>442.33557856835381</v>
      </c>
      <c r="H251" s="77">
        <f t="shared" si="33"/>
        <v>989.91030782802477</v>
      </c>
      <c r="I251" s="77">
        <f t="shared" si="37"/>
        <v>189772.23486177248</v>
      </c>
      <c r="J251" s="77">
        <f t="shared" si="37"/>
        <v>168289.23673732221</v>
      </c>
      <c r="K251" s="77">
        <f t="shared" si="34"/>
        <v>132700.67357050613</v>
      </c>
      <c r="L251" s="75">
        <v>400000</v>
      </c>
      <c r="M251" s="75">
        <f t="shared" si="31"/>
        <v>267299.32642949384</v>
      </c>
    </row>
    <row r="252" spans="5:13">
      <c r="E252">
        <v>250</v>
      </c>
      <c r="F252" s="77">
        <f t="shared" si="32"/>
        <v>1432.2458863963786</v>
      </c>
      <c r="G252" s="77">
        <f t="shared" si="29"/>
        <v>439.03587754226038</v>
      </c>
      <c r="H252" s="77">
        <f t="shared" si="33"/>
        <v>993.21000885411831</v>
      </c>
      <c r="I252" s="77">
        <f t="shared" si="37"/>
        <v>190211.27073931473</v>
      </c>
      <c r="J252" s="77">
        <f t="shared" si="37"/>
        <v>169282.44674617631</v>
      </c>
      <c r="K252" s="77">
        <f t="shared" si="34"/>
        <v>131710.76326267811</v>
      </c>
      <c r="L252" s="75">
        <v>400000</v>
      </c>
      <c r="M252" s="75">
        <f t="shared" si="31"/>
        <v>268289.23673732189</v>
      </c>
    </row>
    <row r="253" spans="5:13">
      <c r="E253">
        <v>251</v>
      </c>
      <c r="F253" s="77">
        <f t="shared" si="32"/>
        <v>1432.2458863963786</v>
      </c>
      <c r="G253" s="77">
        <f t="shared" si="29"/>
        <v>435.72517751274665</v>
      </c>
      <c r="H253" s="77">
        <f t="shared" si="33"/>
        <v>996.52070888363198</v>
      </c>
      <c r="I253" s="77">
        <f t="shared" si="37"/>
        <v>190646.99591682747</v>
      </c>
      <c r="J253" s="77">
        <f t="shared" si="37"/>
        <v>170278.96745505993</v>
      </c>
      <c r="K253" s="77">
        <f t="shared" si="34"/>
        <v>130717.55325382399</v>
      </c>
      <c r="L253" s="75">
        <v>400000</v>
      </c>
      <c r="M253" s="75">
        <f t="shared" si="31"/>
        <v>269282.44674617599</v>
      </c>
    </row>
    <row r="254" spans="5:13">
      <c r="E254">
        <v>252</v>
      </c>
      <c r="F254" s="77">
        <f t="shared" si="32"/>
        <v>1432.2458863963786</v>
      </c>
      <c r="G254" s="77">
        <f t="shared" si="29"/>
        <v>432.40344181646788</v>
      </c>
      <c r="H254" s="77">
        <f t="shared" si="33"/>
        <v>999.84244457991076</v>
      </c>
      <c r="I254" s="77">
        <f t="shared" si="37"/>
        <v>191079.39935864395</v>
      </c>
      <c r="J254" s="77">
        <f t="shared" si="37"/>
        <v>171278.80989963983</v>
      </c>
      <c r="K254" s="77">
        <f t="shared" si="34"/>
        <v>129721.03254494036</v>
      </c>
      <c r="L254" s="75">
        <v>400000</v>
      </c>
      <c r="M254" s="75">
        <f t="shared" si="31"/>
        <v>270278.96745505964</v>
      </c>
    </row>
    <row r="255" spans="5:13">
      <c r="E255">
        <v>253</v>
      </c>
      <c r="F255" s="77">
        <f t="shared" si="32"/>
        <v>1432.2458863963786</v>
      </c>
      <c r="G255" s="77">
        <f t="shared" si="29"/>
        <v>429.07063366786815</v>
      </c>
      <c r="H255" s="77">
        <f t="shared" si="33"/>
        <v>1003.1752527285105</v>
      </c>
      <c r="I255" s="77">
        <f t="shared" si="37"/>
        <v>191508.46999231182</v>
      </c>
      <c r="J255" s="77">
        <f t="shared" si="37"/>
        <v>172281.98515236835</v>
      </c>
      <c r="K255" s="77">
        <f t="shared" si="34"/>
        <v>128721.19010036044</v>
      </c>
      <c r="L255" s="75">
        <v>400000</v>
      </c>
      <c r="M255" s="75">
        <f t="shared" si="31"/>
        <v>271278.80989963957</v>
      </c>
    </row>
    <row r="256" spans="5:13">
      <c r="E256">
        <v>254</v>
      </c>
      <c r="F256" s="77">
        <f t="shared" si="32"/>
        <v>1432.2458863963786</v>
      </c>
      <c r="G256" s="77">
        <f t="shared" si="29"/>
        <v>425.72671615877312</v>
      </c>
      <c r="H256" s="77">
        <f t="shared" si="33"/>
        <v>1006.5191702376055</v>
      </c>
      <c r="I256" s="77">
        <f t="shared" si="37"/>
        <v>191934.19670847058</v>
      </c>
      <c r="J256" s="77">
        <f t="shared" si="37"/>
        <v>173288.50432260596</v>
      </c>
      <c r="K256" s="77">
        <f t="shared" si="34"/>
        <v>127718.01484763193</v>
      </c>
      <c r="L256" s="75">
        <v>400000</v>
      </c>
      <c r="M256" s="75">
        <f t="shared" si="31"/>
        <v>272281.98515236808</v>
      </c>
    </row>
    <row r="257" spans="5:13">
      <c r="E257">
        <v>255</v>
      </c>
      <c r="F257" s="77">
        <f t="shared" si="32"/>
        <v>1432.2458863963786</v>
      </c>
      <c r="G257" s="77">
        <f t="shared" si="29"/>
        <v>422.37165225798111</v>
      </c>
      <c r="H257" s="77">
        <f t="shared" si="33"/>
        <v>1009.8742341383975</v>
      </c>
      <c r="I257" s="77">
        <f t="shared" si="37"/>
        <v>192356.56836072856</v>
      </c>
      <c r="J257" s="77">
        <f t="shared" si="37"/>
        <v>174298.37855674437</v>
      </c>
      <c r="K257" s="77">
        <f t="shared" si="34"/>
        <v>126711.49567739433</v>
      </c>
      <c r="L257" s="75">
        <v>400000</v>
      </c>
      <c r="M257" s="75">
        <f t="shared" si="31"/>
        <v>273288.50432260567</v>
      </c>
    </row>
    <row r="258" spans="5:13">
      <c r="E258">
        <v>256</v>
      </c>
      <c r="F258" s="77">
        <f t="shared" si="32"/>
        <v>1432.2458863963786</v>
      </c>
      <c r="G258" s="77">
        <f t="shared" ref="G258:G321" si="38">(B$4/B$6)*K258</f>
        <v>419.00540481085312</v>
      </c>
      <c r="H258" s="77">
        <f t="shared" si="33"/>
        <v>1013.2404815855255</v>
      </c>
      <c r="I258" s="77">
        <f t="shared" si="37"/>
        <v>192775.57376553942</v>
      </c>
      <c r="J258" s="77">
        <f t="shared" si="37"/>
        <v>175311.6190383299</v>
      </c>
      <c r="K258" s="77">
        <f t="shared" si="34"/>
        <v>125701.62144325594</v>
      </c>
      <c r="L258" s="75">
        <v>400000</v>
      </c>
      <c r="M258" s="75">
        <f t="shared" si="31"/>
        <v>274298.37855674408</v>
      </c>
    </row>
    <row r="259" spans="5:13">
      <c r="E259">
        <v>257</v>
      </c>
      <c r="F259" s="77">
        <f t="shared" si="32"/>
        <v>1432.2458863963786</v>
      </c>
      <c r="G259" s="77">
        <f t="shared" si="38"/>
        <v>415.62793653890139</v>
      </c>
      <c r="H259" s="77">
        <f t="shared" si="33"/>
        <v>1016.6179498574772</v>
      </c>
      <c r="I259" s="77">
        <f t="shared" ref="I259:J274" si="39">I258+G259</f>
        <v>193191.20170207831</v>
      </c>
      <c r="J259" s="77">
        <f t="shared" si="39"/>
        <v>176328.23698818736</v>
      </c>
      <c r="K259" s="77">
        <f t="shared" si="34"/>
        <v>124688.38096167041</v>
      </c>
      <c r="L259" s="75">
        <v>400000</v>
      </c>
      <c r="M259" s="75">
        <f t="shared" ref="M259:M322" si="40">L259-K259</f>
        <v>275311.61903832958</v>
      </c>
    </row>
    <row r="260" spans="5:13">
      <c r="E260">
        <v>258</v>
      </c>
      <c r="F260" s="77">
        <f t="shared" ref="F260:F323" si="41">F259</f>
        <v>1432.2458863963786</v>
      </c>
      <c r="G260" s="77">
        <f t="shared" si="38"/>
        <v>412.23921003937647</v>
      </c>
      <c r="H260" s="77">
        <f t="shared" ref="H260:H323" si="42">F260-G260</f>
        <v>1020.0066763570021</v>
      </c>
      <c r="I260" s="77">
        <f t="shared" si="39"/>
        <v>193603.44091211769</v>
      </c>
      <c r="J260" s="77">
        <f t="shared" si="39"/>
        <v>177348.24366454437</v>
      </c>
      <c r="K260" s="77">
        <f t="shared" ref="K260:K323" si="43">K259-H259</f>
        <v>123671.76301181293</v>
      </c>
      <c r="L260" s="75">
        <v>400000</v>
      </c>
      <c r="M260" s="75">
        <f t="shared" si="40"/>
        <v>276328.23698818707</v>
      </c>
    </row>
    <row r="261" spans="5:13">
      <c r="E261">
        <v>259</v>
      </c>
      <c r="F261" s="77">
        <f t="shared" si="41"/>
        <v>1432.2458863963786</v>
      </c>
      <c r="G261" s="77">
        <f t="shared" si="38"/>
        <v>408.8391877848531</v>
      </c>
      <c r="H261" s="77">
        <f t="shared" si="42"/>
        <v>1023.4066986115256</v>
      </c>
      <c r="I261" s="77">
        <f t="shared" si="39"/>
        <v>194012.28009990253</v>
      </c>
      <c r="J261" s="77">
        <f t="shared" si="39"/>
        <v>178371.6503631559</v>
      </c>
      <c r="K261" s="77">
        <f t="shared" si="43"/>
        <v>122651.75633545592</v>
      </c>
      <c r="L261" s="75">
        <v>400000</v>
      </c>
      <c r="M261" s="75">
        <f t="shared" si="40"/>
        <v>277348.24366454408</v>
      </c>
    </row>
    <row r="262" spans="5:13">
      <c r="E262">
        <v>260</v>
      </c>
      <c r="F262" s="77">
        <f t="shared" si="41"/>
        <v>1432.2458863963786</v>
      </c>
      <c r="G262" s="77">
        <f t="shared" si="38"/>
        <v>405.42783212281472</v>
      </c>
      <c r="H262" s="77">
        <f t="shared" si="42"/>
        <v>1026.818054273564</v>
      </c>
      <c r="I262" s="77">
        <f t="shared" si="39"/>
        <v>194417.70793202534</v>
      </c>
      <c r="J262" s="77">
        <f t="shared" si="39"/>
        <v>179398.46841742945</v>
      </c>
      <c r="K262" s="77">
        <f t="shared" si="43"/>
        <v>121628.3496368444</v>
      </c>
      <c r="L262" s="75">
        <v>400000</v>
      </c>
      <c r="M262" s="75">
        <f t="shared" si="40"/>
        <v>278371.65036315558</v>
      </c>
    </row>
    <row r="263" spans="5:13">
      <c r="E263">
        <v>261</v>
      </c>
      <c r="F263" s="77">
        <f t="shared" si="41"/>
        <v>1432.2458863963786</v>
      </c>
      <c r="G263" s="77">
        <f t="shared" si="38"/>
        <v>402.00510527523613</v>
      </c>
      <c r="H263" s="77">
        <f t="shared" si="42"/>
        <v>1030.2407811211424</v>
      </c>
      <c r="I263" s="77">
        <f t="shared" si="39"/>
        <v>194819.71303730056</v>
      </c>
      <c r="J263" s="77">
        <f t="shared" si="39"/>
        <v>180428.70919855058</v>
      </c>
      <c r="K263" s="77">
        <f t="shared" si="43"/>
        <v>120601.53158257084</v>
      </c>
      <c r="L263" s="75">
        <v>400000</v>
      </c>
      <c r="M263" s="75">
        <f t="shared" si="40"/>
        <v>279398.46841742913</v>
      </c>
    </row>
    <row r="264" spans="5:13">
      <c r="E264">
        <v>262</v>
      </c>
      <c r="F264" s="77">
        <f t="shared" si="41"/>
        <v>1432.2458863963786</v>
      </c>
      <c r="G264" s="77">
        <f t="shared" si="38"/>
        <v>398.5709693381657</v>
      </c>
      <c r="H264" s="77">
        <f t="shared" si="42"/>
        <v>1033.6749170582129</v>
      </c>
      <c r="I264" s="77">
        <f t="shared" si="39"/>
        <v>195218.28400663874</v>
      </c>
      <c r="J264" s="77">
        <f t="shared" si="39"/>
        <v>181462.38411560879</v>
      </c>
      <c r="K264" s="77">
        <f t="shared" si="43"/>
        <v>119571.29080144969</v>
      </c>
      <c r="L264" s="75">
        <v>400000</v>
      </c>
      <c r="M264" s="75">
        <f t="shared" si="40"/>
        <v>280428.70919855032</v>
      </c>
    </row>
    <row r="265" spans="5:13">
      <c r="E265">
        <v>263</v>
      </c>
      <c r="F265" s="77">
        <f t="shared" si="41"/>
        <v>1432.2458863963786</v>
      </c>
      <c r="G265" s="77">
        <f t="shared" si="38"/>
        <v>395.12538628130494</v>
      </c>
      <c r="H265" s="77">
        <f t="shared" si="42"/>
        <v>1037.1205001150738</v>
      </c>
      <c r="I265" s="77">
        <f t="shared" si="39"/>
        <v>195613.40939292006</v>
      </c>
      <c r="J265" s="77">
        <f t="shared" si="39"/>
        <v>182499.50461572385</v>
      </c>
      <c r="K265" s="77">
        <f t="shared" si="43"/>
        <v>118537.61588439147</v>
      </c>
      <c r="L265" s="75">
        <v>400000</v>
      </c>
      <c r="M265" s="75">
        <f t="shared" si="40"/>
        <v>281462.38411560853</v>
      </c>
    </row>
    <row r="266" spans="5:13">
      <c r="E266">
        <v>264</v>
      </c>
      <c r="F266" s="77">
        <f t="shared" si="41"/>
        <v>1432.2458863963786</v>
      </c>
      <c r="G266" s="77">
        <f t="shared" si="38"/>
        <v>391.66831794758804</v>
      </c>
      <c r="H266" s="77">
        <f t="shared" si="42"/>
        <v>1040.5775684487905</v>
      </c>
      <c r="I266" s="77">
        <f t="shared" si="39"/>
        <v>196005.07771086766</v>
      </c>
      <c r="J266" s="77">
        <f t="shared" si="39"/>
        <v>183540.08218417264</v>
      </c>
      <c r="K266" s="77">
        <f t="shared" si="43"/>
        <v>117500.49538427641</v>
      </c>
      <c r="L266" s="75">
        <v>400000</v>
      </c>
      <c r="M266" s="75">
        <f t="shared" si="40"/>
        <v>282499.50461572362</v>
      </c>
    </row>
    <row r="267" spans="5:13">
      <c r="E267">
        <v>265</v>
      </c>
      <c r="F267" s="77">
        <f t="shared" si="41"/>
        <v>1432.2458863963786</v>
      </c>
      <c r="G267" s="77">
        <f t="shared" si="38"/>
        <v>388.19972605275876</v>
      </c>
      <c r="H267" s="77">
        <f t="shared" si="42"/>
        <v>1044.0461603436199</v>
      </c>
      <c r="I267" s="77">
        <f t="shared" si="39"/>
        <v>196393.27743692041</v>
      </c>
      <c r="J267" s="77">
        <f t="shared" si="39"/>
        <v>184584.12834451627</v>
      </c>
      <c r="K267" s="77">
        <f t="shared" si="43"/>
        <v>116459.91781582762</v>
      </c>
      <c r="L267" s="75">
        <v>400000</v>
      </c>
      <c r="M267" s="75">
        <f t="shared" si="40"/>
        <v>283540.08218417235</v>
      </c>
    </row>
    <row r="268" spans="5:13">
      <c r="E268">
        <v>266</v>
      </c>
      <c r="F268" s="77">
        <f t="shared" si="41"/>
        <v>1432.2458863963786</v>
      </c>
      <c r="G268" s="77">
        <f t="shared" si="38"/>
        <v>384.71957218494668</v>
      </c>
      <c r="H268" s="77">
        <f t="shared" si="42"/>
        <v>1047.526314211432</v>
      </c>
      <c r="I268" s="77">
        <f t="shared" si="39"/>
        <v>196777.99700910537</v>
      </c>
      <c r="J268" s="77">
        <f t="shared" si="39"/>
        <v>185631.6546587277</v>
      </c>
      <c r="K268" s="77">
        <f t="shared" si="43"/>
        <v>115415.87165548399</v>
      </c>
      <c r="L268" s="75">
        <v>400000</v>
      </c>
      <c r="M268" s="75">
        <f t="shared" si="40"/>
        <v>284584.12834451604</v>
      </c>
    </row>
    <row r="269" spans="5:13">
      <c r="E269">
        <v>267</v>
      </c>
      <c r="F269" s="77">
        <f t="shared" si="41"/>
        <v>1432.2458863963786</v>
      </c>
      <c r="G269" s="77">
        <f t="shared" si="38"/>
        <v>381.22781780424191</v>
      </c>
      <c r="H269" s="77">
        <f t="shared" si="42"/>
        <v>1051.0180685921368</v>
      </c>
      <c r="I269" s="77">
        <f t="shared" si="39"/>
        <v>197159.2248269096</v>
      </c>
      <c r="J269" s="77">
        <f t="shared" si="39"/>
        <v>186682.67272731982</v>
      </c>
      <c r="K269" s="77">
        <f t="shared" si="43"/>
        <v>114368.34534127256</v>
      </c>
      <c r="L269" s="75">
        <v>400000</v>
      </c>
      <c r="M269" s="75">
        <f t="shared" si="40"/>
        <v>285631.65465872746</v>
      </c>
    </row>
    <row r="270" spans="5:13">
      <c r="E270">
        <v>268</v>
      </c>
      <c r="F270" s="77">
        <f t="shared" si="41"/>
        <v>1432.2458863963786</v>
      </c>
      <c r="G270" s="77">
        <f t="shared" si="38"/>
        <v>377.72442424226813</v>
      </c>
      <c r="H270" s="77">
        <f t="shared" si="42"/>
        <v>1054.5214621541104</v>
      </c>
      <c r="I270" s="77">
        <f t="shared" si="39"/>
        <v>197536.94925115188</v>
      </c>
      <c r="J270" s="77">
        <f t="shared" si="39"/>
        <v>187737.19418947393</v>
      </c>
      <c r="K270" s="77">
        <f t="shared" si="43"/>
        <v>113317.32727268043</v>
      </c>
      <c r="L270" s="75">
        <v>400000</v>
      </c>
      <c r="M270" s="75">
        <f t="shared" si="40"/>
        <v>286682.67272731959</v>
      </c>
    </row>
    <row r="271" spans="5:13">
      <c r="E271">
        <v>269</v>
      </c>
      <c r="F271" s="77">
        <f t="shared" si="41"/>
        <v>1432.2458863963786</v>
      </c>
      <c r="G271" s="77">
        <f t="shared" si="38"/>
        <v>374.20935270175443</v>
      </c>
      <c r="H271" s="77">
        <f t="shared" si="42"/>
        <v>1058.0365336946243</v>
      </c>
      <c r="I271" s="77">
        <f t="shared" si="39"/>
        <v>197911.15860385363</v>
      </c>
      <c r="J271" s="77">
        <f t="shared" si="39"/>
        <v>188795.23072316856</v>
      </c>
      <c r="K271" s="77">
        <f t="shared" si="43"/>
        <v>112262.80581052632</v>
      </c>
      <c r="L271" s="75">
        <v>400000</v>
      </c>
      <c r="M271" s="75">
        <f t="shared" si="40"/>
        <v>287737.1941894737</v>
      </c>
    </row>
    <row r="272" spans="5:13">
      <c r="E272">
        <v>270</v>
      </c>
      <c r="F272" s="77">
        <f t="shared" si="41"/>
        <v>1432.2458863963786</v>
      </c>
      <c r="G272" s="77">
        <f t="shared" si="38"/>
        <v>370.68256425610565</v>
      </c>
      <c r="H272" s="77">
        <f t="shared" si="42"/>
        <v>1061.5633221402729</v>
      </c>
      <c r="I272" s="77">
        <f t="shared" si="39"/>
        <v>198281.84116810974</v>
      </c>
      <c r="J272" s="77">
        <f t="shared" si="39"/>
        <v>189856.79404530884</v>
      </c>
      <c r="K272" s="77">
        <f t="shared" si="43"/>
        <v>111204.76927683169</v>
      </c>
      <c r="L272" s="75">
        <v>400000</v>
      </c>
      <c r="M272" s="75">
        <f t="shared" si="40"/>
        <v>288795.23072316829</v>
      </c>
    </row>
    <row r="273" spans="5:13">
      <c r="E273">
        <v>271</v>
      </c>
      <c r="F273" s="77">
        <f t="shared" si="41"/>
        <v>1432.2458863963786</v>
      </c>
      <c r="G273" s="77">
        <f t="shared" si="38"/>
        <v>367.14401984897142</v>
      </c>
      <c r="H273" s="77">
        <f t="shared" si="42"/>
        <v>1065.1018665474071</v>
      </c>
      <c r="I273" s="77">
        <f t="shared" si="39"/>
        <v>198648.98518795869</v>
      </c>
      <c r="J273" s="77">
        <f t="shared" si="39"/>
        <v>190921.89591185623</v>
      </c>
      <c r="K273" s="77">
        <f t="shared" si="43"/>
        <v>110143.20595469142</v>
      </c>
      <c r="L273" s="75">
        <v>400000</v>
      </c>
      <c r="M273" s="75">
        <f t="shared" si="40"/>
        <v>289856.7940453086</v>
      </c>
    </row>
    <row r="274" spans="5:13">
      <c r="E274">
        <v>272</v>
      </c>
      <c r="F274" s="77">
        <f t="shared" si="41"/>
        <v>1432.2458863963786</v>
      </c>
      <c r="G274" s="77">
        <f t="shared" si="38"/>
        <v>363.59368029381341</v>
      </c>
      <c r="H274" s="77">
        <f t="shared" si="42"/>
        <v>1068.6522061025653</v>
      </c>
      <c r="I274" s="77">
        <f t="shared" si="39"/>
        <v>199012.57886825252</v>
      </c>
      <c r="J274" s="77">
        <f t="shared" si="39"/>
        <v>191990.5481179588</v>
      </c>
      <c r="K274" s="77">
        <f t="shared" si="43"/>
        <v>109078.10408814401</v>
      </c>
      <c r="L274" s="75">
        <v>400000</v>
      </c>
      <c r="M274" s="75">
        <f t="shared" si="40"/>
        <v>290921.89591185597</v>
      </c>
    </row>
    <row r="275" spans="5:13">
      <c r="E275">
        <v>273</v>
      </c>
      <c r="F275" s="77">
        <f t="shared" si="41"/>
        <v>1432.2458863963786</v>
      </c>
      <c r="G275" s="77">
        <f t="shared" si="38"/>
        <v>360.03150627347151</v>
      </c>
      <c r="H275" s="77">
        <f t="shared" si="42"/>
        <v>1072.2143801229072</v>
      </c>
      <c r="I275" s="77">
        <f t="shared" ref="I275:J290" si="44">I274+G275</f>
        <v>199372.61037452598</v>
      </c>
      <c r="J275" s="77">
        <f t="shared" si="44"/>
        <v>193062.76249808169</v>
      </c>
      <c r="K275" s="77">
        <f t="shared" si="43"/>
        <v>108009.45188204145</v>
      </c>
      <c r="L275" s="75">
        <v>400000</v>
      </c>
      <c r="M275" s="75">
        <f t="shared" si="40"/>
        <v>291990.54811795853</v>
      </c>
    </row>
    <row r="276" spans="5:13">
      <c r="E276">
        <v>274</v>
      </c>
      <c r="F276" s="77">
        <f t="shared" si="41"/>
        <v>1432.2458863963786</v>
      </c>
      <c r="G276" s="77">
        <f t="shared" si="38"/>
        <v>356.45745833972848</v>
      </c>
      <c r="H276" s="77">
        <f t="shared" si="42"/>
        <v>1075.7884280566502</v>
      </c>
      <c r="I276" s="77">
        <f t="shared" si="44"/>
        <v>199729.06783286569</v>
      </c>
      <c r="J276" s="77">
        <f t="shared" si="44"/>
        <v>194138.55092613833</v>
      </c>
      <c r="K276" s="77">
        <f t="shared" si="43"/>
        <v>106937.23750191854</v>
      </c>
      <c r="L276" s="75">
        <v>400000</v>
      </c>
      <c r="M276" s="75">
        <f t="shared" si="40"/>
        <v>293062.76249808143</v>
      </c>
    </row>
    <row r="277" spans="5:13">
      <c r="E277">
        <v>275</v>
      </c>
      <c r="F277" s="77">
        <f t="shared" si="41"/>
        <v>1432.2458863963786</v>
      </c>
      <c r="G277" s="77">
        <f t="shared" si="38"/>
        <v>352.871496912873</v>
      </c>
      <c r="H277" s="77">
        <f t="shared" si="42"/>
        <v>1079.3743894835056</v>
      </c>
      <c r="I277" s="77">
        <f t="shared" si="44"/>
        <v>200081.93932977857</v>
      </c>
      <c r="J277" s="77">
        <f t="shared" si="44"/>
        <v>195217.92531562183</v>
      </c>
      <c r="K277" s="77">
        <f t="shared" si="43"/>
        <v>105861.44907386189</v>
      </c>
      <c r="L277" s="75">
        <v>400000</v>
      </c>
      <c r="M277" s="75">
        <f t="shared" si="40"/>
        <v>294138.55092613812</v>
      </c>
    </row>
    <row r="278" spans="5:13">
      <c r="E278">
        <v>276</v>
      </c>
      <c r="F278" s="77">
        <f t="shared" si="41"/>
        <v>1432.2458863963786</v>
      </c>
      <c r="G278" s="77">
        <f t="shared" si="38"/>
        <v>349.27358228126133</v>
      </c>
      <c r="H278" s="77">
        <f t="shared" si="42"/>
        <v>1082.9723041151174</v>
      </c>
      <c r="I278" s="77">
        <f t="shared" si="44"/>
        <v>200431.21291205983</v>
      </c>
      <c r="J278" s="77">
        <f t="shared" si="44"/>
        <v>196300.89761973696</v>
      </c>
      <c r="K278" s="77">
        <f t="shared" si="43"/>
        <v>104782.07468437839</v>
      </c>
      <c r="L278" s="75">
        <v>400000</v>
      </c>
      <c r="M278" s="75">
        <f t="shared" si="40"/>
        <v>295217.9253156216</v>
      </c>
    </row>
    <row r="279" spans="5:13">
      <c r="E279">
        <v>277</v>
      </c>
      <c r="F279" s="77">
        <f t="shared" si="41"/>
        <v>1432.2458863963786</v>
      </c>
      <c r="G279" s="77">
        <f t="shared" si="38"/>
        <v>345.66367460087758</v>
      </c>
      <c r="H279" s="77">
        <f t="shared" si="42"/>
        <v>1086.5822117955011</v>
      </c>
      <c r="I279" s="77">
        <f t="shared" si="44"/>
        <v>200776.87658666071</v>
      </c>
      <c r="J279" s="77">
        <f t="shared" si="44"/>
        <v>197387.47983153246</v>
      </c>
      <c r="K279" s="77">
        <f t="shared" si="43"/>
        <v>103699.10238026327</v>
      </c>
      <c r="L279" s="75">
        <v>400000</v>
      </c>
      <c r="M279" s="75">
        <f t="shared" si="40"/>
        <v>296300.89761973673</v>
      </c>
    </row>
    <row r="280" spans="5:13">
      <c r="E280">
        <v>278</v>
      </c>
      <c r="F280" s="77">
        <f t="shared" si="41"/>
        <v>1432.2458863963786</v>
      </c>
      <c r="G280" s="77">
        <f t="shared" si="38"/>
        <v>342.04173389489262</v>
      </c>
      <c r="H280" s="77">
        <f t="shared" si="42"/>
        <v>1090.2041525014861</v>
      </c>
      <c r="I280" s="77">
        <f t="shared" si="44"/>
        <v>201118.91832055562</v>
      </c>
      <c r="J280" s="77">
        <f t="shared" si="44"/>
        <v>198477.68398403394</v>
      </c>
      <c r="K280" s="77">
        <f t="shared" si="43"/>
        <v>102612.52016846777</v>
      </c>
      <c r="L280" s="75">
        <v>400000</v>
      </c>
      <c r="M280" s="75">
        <f t="shared" si="40"/>
        <v>297387.47983153223</v>
      </c>
    </row>
    <row r="281" spans="5:13">
      <c r="E281">
        <v>279</v>
      </c>
      <c r="F281" s="77">
        <f t="shared" si="41"/>
        <v>1432.2458863963786</v>
      </c>
      <c r="G281" s="77">
        <f t="shared" si="38"/>
        <v>338.407720053221</v>
      </c>
      <c r="H281" s="77">
        <f t="shared" si="42"/>
        <v>1093.8381663431576</v>
      </c>
      <c r="I281" s="77">
        <f t="shared" si="44"/>
        <v>201457.32604060884</v>
      </c>
      <c r="J281" s="77">
        <f t="shared" si="44"/>
        <v>199571.5221503771</v>
      </c>
      <c r="K281" s="77">
        <f t="shared" si="43"/>
        <v>101522.31601596629</v>
      </c>
      <c r="L281" s="75">
        <v>400000</v>
      </c>
      <c r="M281" s="75">
        <f t="shared" si="40"/>
        <v>298477.68398403371</v>
      </c>
    </row>
    <row r="282" spans="5:13">
      <c r="E282">
        <v>280</v>
      </c>
      <c r="F282" s="77">
        <f t="shared" si="41"/>
        <v>1432.2458863963786</v>
      </c>
      <c r="G282" s="77">
        <f t="shared" si="38"/>
        <v>334.7615928320771</v>
      </c>
      <c r="H282" s="77">
        <f t="shared" si="42"/>
        <v>1097.4842935643014</v>
      </c>
      <c r="I282" s="77">
        <f t="shared" si="44"/>
        <v>201792.08763344091</v>
      </c>
      <c r="J282" s="77">
        <f t="shared" si="44"/>
        <v>200669.00644394141</v>
      </c>
      <c r="K282" s="77">
        <f t="shared" si="43"/>
        <v>100428.47784962313</v>
      </c>
      <c r="L282" s="75">
        <v>400000</v>
      </c>
      <c r="M282" s="75">
        <f t="shared" si="40"/>
        <v>299571.52215037687</v>
      </c>
    </row>
    <row r="283" spans="5:13">
      <c r="E283">
        <v>281</v>
      </c>
      <c r="F283" s="77">
        <f t="shared" si="41"/>
        <v>1432.2458863963786</v>
      </c>
      <c r="G283" s="77">
        <f t="shared" si="38"/>
        <v>331.10331185352948</v>
      </c>
      <c r="H283" s="77">
        <f t="shared" si="42"/>
        <v>1101.1425745428492</v>
      </c>
      <c r="I283" s="77">
        <f t="shared" si="44"/>
        <v>202123.19094529445</v>
      </c>
      <c r="J283" s="77">
        <f t="shared" si="44"/>
        <v>201770.14901848426</v>
      </c>
      <c r="K283" s="77">
        <f t="shared" si="43"/>
        <v>99330.993556058835</v>
      </c>
      <c r="L283" s="75">
        <v>400000</v>
      </c>
      <c r="M283" s="75">
        <f t="shared" si="40"/>
        <v>300669.00644394115</v>
      </c>
    </row>
    <row r="284" spans="5:13">
      <c r="E284">
        <v>282</v>
      </c>
      <c r="F284" s="77">
        <f t="shared" si="41"/>
        <v>1432.2458863963786</v>
      </c>
      <c r="G284" s="77">
        <f t="shared" si="38"/>
        <v>327.43283660505335</v>
      </c>
      <c r="H284" s="77">
        <f t="shared" si="42"/>
        <v>1104.8130497913253</v>
      </c>
      <c r="I284" s="77">
        <f t="shared" si="44"/>
        <v>202450.62378189951</v>
      </c>
      <c r="J284" s="77">
        <f t="shared" si="44"/>
        <v>202874.96206827558</v>
      </c>
      <c r="K284" s="77">
        <f t="shared" si="43"/>
        <v>98229.850981515992</v>
      </c>
      <c r="L284" s="75">
        <v>400000</v>
      </c>
      <c r="M284" s="75">
        <f t="shared" si="40"/>
        <v>301770.14901848399</v>
      </c>
    </row>
    <row r="285" spans="5:13">
      <c r="E285">
        <v>283</v>
      </c>
      <c r="F285" s="77">
        <f t="shared" si="41"/>
        <v>1432.2458863963786</v>
      </c>
      <c r="G285" s="77">
        <f t="shared" si="38"/>
        <v>323.75012643908224</v>
      </c>
      <c r="H285" s="77">
        <f t="shared" si="42"/>
        <v>1108.4957599572963</v>
      </c>
      <c r="I285" s="77">
        <f t="shared" si="44"/>
        <v>202774.3739083386</v>
      </c>
      <c r="J285" s="77">
        <f t="shared" si="44"/>
        <v>203983.45782823287</v>
      </c>
      <c r="K285" s="77">
        <f t="shared" si="43"/>
        <v>97125.03793172467</v>
      </c>
      <c r="L285" s="75">
        <v>400000</v>
      </c>
      <c r="M285" s="75">
        <f t="shared" si="40"/>
        <v>302874.96206827532</v>
      </c>
    </row>
    <row r="286" spans="5:13">
      <c r="E286">
        <v>284</v>
      </c>
      <c r="F286" s="77">
        <f t="shared" si="41"/>
        <v>1432.2458863963786</v>
      </c>
      <c r="G286" s="77">
        <f t="shared" si="38"/>
        <v>320.05514057255795</v>
      </c>
      <c r="H286" s="77">
        <f t="shared" si="42"/>
        <v>1112.1907458238206</v>
      </c>
      <c r="I286" s="77">
        <f t="shared" si="44"/>
        <v>203094.42904891117</v>
      </c>
      <c r="J286" s="77">
        <f t="shared" si="44"/>
        <v>205095.64857405669</v>
      </c>
      <c r="K286" s="77">
        <f t="shared" si="43"/>
        <v>96016.542171767374</v>
      </c>
      <c r="L286" s="75">
        <v>400000</v>
      </c>
      <c r="M286" s="75">
        <f t="shared" si="40"/>
        <v>303983.45782823261</v>
      </c>
    </row>
    <row r="287" spans="5:13">
      <c r="E287">
        <v>285</v>
      </c>
      <c r="F287" s="77">
        <f t="shared" si="41"/>
        <v>1432.2458863963786</v>
      </c>
      <c r="G287" s="77">
        <f t="shared" si="38"/>
        <v>316.34783808647853</v>
      </c>
      <c r="H287" s="77">
        <f t="shared" si="42"/>
        <v>1115.8980483099001</v>
      </c>
      <c r="I287" s="77">
        <f t="shared" si="44"/>
        <v>203410.77688699766</v>
      </c>
      <c r="J287" s="77">
        <f t="shared" si="44"/>
        <v>206211.54662236659</v>
      </c>
      <c r="K287" s="77">
        <f t="shared" si="43"/>
        <v>94904.351425943547</v>
      </c>
      <c r="L287" s="75">
        <v>400000</v>
      </c>
      <c r="M287" s="75">
        <f t="shared" si="40"/>
        <v>305095.64857405645</v>
      </c>
    </row>
    <row r="288" spans="5:13">
      <c r="E288">
        <v>286</v>
      </c>
      <c r="F288" s="77">
        <f t="shared" si="41"/>
        <v>1432.2458863963786</v>
      </c>
      <c r="G288" s="77">
        <f t="shared" si="38"/>
        <v>312.62817792544553</v>
      </c>
      <c r="H288" s="77">
        <f t="shared" si="42"/>
        <v>1119.6177084709332</v>
      </c>
      <c r="I288" s="77">
        <f t="shared" si="44"/>
        <v>203723.40506492311</v>
      </c>
      <c r="J288" s="77">
        <f t="shared" si="44"/>
        <v>207331.16433083752</v>
      </c>
      <c r="K288" s="77">
        <f t="shared" si="43"/>
        <v>93788.453377633647</v>
      </c>
      <c r="L288" s="75">
        <v>400000</v>
      </c>
      <c r="M288" s="75">
        <f t="shared" si="40"/>
        <v>306211.54662236635</v>
      </c>
    </row>
    <row r="289" spans="5:13">
      <c r="E289">
        <v>287</v>
      </c>
      <c r="F289" s="77">
        <f t="shared" si="41"/>
        <v>1432.2458863963786</v>
      </c>
      <c r="G289" s="77">
        <f t="shared" si="38"/>
        <v>308.89611889720908</v>
      </c>
      <c r="H289" s="77">
        <f t="shared" si="42"/>
        <v>1123.3497674991695</v>
      </c>
      <c r="I289" s="77">
        <f t="shared" si="44"/>
        <v>204032.30118382032</v>
      </c>
      <c r="J289" s="77">
        <f t="shared" si="44"/>
        <v>208454.51409833669</v>
      </c>
      <c r="K289" s="77">
        <f t="shared" si="43"/>
        <v>92668.835669162712</v>
      </c>
      <c r="L289" s="75">
        <v>400000</v>
      </c>
      <c r="M289" s="75">
        <f t="shared" si="40"/>
        <v>307331.16433083732</v>
      </c>
    </row>
    <row r="290" spans="5:13">
      <c r="E290">
        <v>288</v>
      </c>
      <c r="F290" s="77">
        <f t="shared" si="41"/>
        <v>1432.2458863963786</v>
      </c>
      <c r="G290" s="77">
        <f t="shared" si="38"/>
        <v>305.15161967221184</v>
      </c>
      <c r="H290" s="77">
        <f t="shared" si="42"/>
        <v>1127.0942667241668</v>
      </c>
      <c r="I290" s="77">
        <f t="shared" si="44"/>
        <v>204337.45280349255</v>
      </c>
      <c r="J290" s="77">
        <f t="shared" si="44"/>
        <v>209581.60836506085</v>
      </c>
      <c r="K290" s="77">
        <f t="shared" si="43"/>
        <v>91545.485901663546</v>
      </c>
      <c r="L290" s="75">
        <v>400000</v>
      </c>
      <c r="M290" s="75">
        <f t="shared" si="40"/>
        <v>308454.51409833645</v>
      </c>
    </row>
    <row r="291" spans="5:13">
      <c r="E291">
        <v>289</v>
      </c>
      <c r="F291" s="77">
        <f t="shared" si="41"/>
        <v>1432.2458863963786</v>
      </c>
      <c r="G291" s="77">
        <f t="shared" si="38"/>
        <v>301.39463878313131</v>
      </c>
      <c r="H291" s="77">
        <f t="shared" si="42"/>
        <v>1130.8512476132473</v>
      </c>
      <c r="I291" s="77">
        <f t="shared" ref="I291:J306" si="45">I290+G291</f>
        <v>204638.84744227567</v>
      </c>
      <c r="J291" s="77">
        <f t="shared" si="45"/>
        <v>210712.45961267411</v>
      </c>
      <c r="K291" s="77">
        <f t="shared" si="43"/>
        <v>90418.391634939384</v>
      </c>
      <c r="L291" s="75">
        <v>400000</v>
      </c>
      <c r="M291" s="75">
        <f t="shared" si="40"/>
        <v>309581.60836506065</v>
      </c>
    </row>
    <row r="292" spans="5:13">
      <c r="E292">
        <v>290</v>
      </c>
      <c r="F292" s="77">
        <f t="shared" si="41"/>
        <v>1432.2458863963786</v>
      </c>
      <c r="G292" s="77">
        <f t="shared" si="38"/>
        <v>297.62513462442047</v>
      </c>
      <c r="H292" s="77">
        <f t="shared" si="42"/>
        <v>1134.6207517719581</v>
      </c>
      <c r="I292" s="77">
        <f t="shared" si="45"/>
        <v>204936.47257690009</v>
      </c>
      <c r="J292" s="77">
        <f t="shared" si="45"/>
        <v>211847.08036444607</v>
      </c>
      <c r="K292" s="77">
        <f t="shared" si="43"/>
        <v>89287.540387326138</v>
      </c>
      <c r="L292" s="75">
        <v>400000</v>
      </c>
      <c r="M292" s="75">
        <f t="shared" si="40"/>
        <v>310712.45961267385</v>
      </c>
    </row>
    <row r="293" spans="5:13">
      <c r="E293">
        <v>291</v>
      </c>
      <c r="F293" s="77">
        <f t="shared" si="41"/>
        <v>1432.2458863963786</v>
      </c>
      <c r="G293" s="77">
        <f t="shared" si="38"/>
        <v>293.84306545184728</v>
      </c>
      <c r="H293" s="77">
        <f t="shared" si="42"/>
        <v>1138.4028209445314</v>
      </c>
      <c r="I293" s="77">
        <f t="shared" si="45"/>
        <v>205230.31564235195</v>
      </c>
      <c r="J293" s="77">
        <f t="shared" si="45"/>
        <v>212985.48318539059</v>
      </c>
      <c r="K293" s="77">
        <f t="shared" si="43"/>
        <v>88152.919635554179</v>
      </c>
      <c r="L293" s="75">
        <v>400000</v>
      </c>
      <c r="M293" s="75">
        <f t="shared" si="40"/>
        <v>311847.08036444581</v>
      </c>
    </row>
    <row r="294" spans="5:13">
      <c r="E294">
        <v>292</v>
      </c>
      <c r="F294" s="77">
        <f t="shared" si="41"/>
        <v>1432.2458863963786</v>
      </c>
      <c r="G294" s="77">
        <f t="shared" si="38"/>
        <v>290.04838938203216</v>
      </c>
      <c r="H294" s="77">
        <f t="shared" si="42"/>
        <v>1142.1974970143465</v>
      </c>
      <c r="I294" s="77">
        <f t="shared" si="45"/>
        <v>205520.36403173397</v>
      </c>
      <c r="J294" s="77">
        <f t="shared" si="45"/>
        <v>214127.68068240493</v>
      </c>
      <c r="K294" s="77">
        <f t="shared" si="43"/>
        <v>87014.51681460964</v>
      </c>
      <c r="L294" s="75">
        <v>400000</v>
      </c>
      <c r="M294" s="75">
        <f t="shared" si="40"/>
        <v>312985.48318539036</v>
      </c>
    </row>
    <row r="295" spans="5:13">
      <c r="E295">
        <v>293</v>
      </c>
      <c r="F295" s="77">
        <f t="shared" si="41"/>
        <v>1432.2458863963786</v>
      </c>
      <c r="G295" s="77">
        <f t="shared" si="38"/>
        <v>286.24106439198431</v>
      </c>
      <c r="H295" s="77">
        <f t="shared" si="42"/>
        <v>1146.0048220043943</v>
      </c>
      <c r="I295" s="77">
        <f t="shared" si="45"/>
        <v>205806.60509612595</v>
      </c>
      <c r="J295" s="77">
        <f t="shared" si="45"/>
        <v>215273.68550440931</v>
      </c>
      <c r="K295" s="77">
        <f t="shared" si="43"/>
        <v>85872.319317595291</v>
      </c>
      <c r="L295" s="75">
        <v>400000</v>
      </c>
      <c r="M295" s="75">
        <f t="shared" si="40"/>
        <v>314127.68068240472</v>
      </c>
    </row>
    <row r="296" spans="5:13">
      <c r="E296">
        <v>294</v>
      </c>
      <c r="F296" s="77">
        <f t="shared" si="41"/>
        <v>1432.2458863963786</v>
      </c>
      <c r="G296" s="77">
        <f t="shared" si="38"/>
        <v>282.42104831863634</v>
      </c>
      <c r="H296" s="77">
        <f t="shared" si="42"/>
        <v>1149.8248380777422</v>
      </c>
      <c r="I296" s="77">
        <f t="shared" si="45"/>
        <v>206089.02614444459</v>
      </c>
      <c r="J296" s="77">
        <f t="shared" si="45"/>
        <v>216423.51034248705</v>
      </c>
      <c r="K296" s="77">
        <f t="shared" si="43"/>
        <v>84726.314495590894</v>
      </c>
      <c r="L296" s="75">
        <v>400000</v>
      </c>
      <c r="M296" s="75">
        <f t="shared" si="40"/>
        <v>315273.68550440914</v>
      </c>
    </row>
    <row r="297" spans="5:13">
      <c r="E297">
        <v>295</v>
      </c>
      <c r="F297" s="77">
        <f t="shared" si="41"/>
        <v>1432.2458863963786</v>
      </c>
      <c r="G297" s="77">
        <f t="shared" si="38"/>
        <v>278.58829885837719</v>
      </c>
      <c r="H297" s="77">
        <f t="shared" si="42"/>
        <v>1153.6575875380015</v>
      </c>
      <c r="I297" s="77">
        <f t="shared" si="45"/>
        <v>206367.61444330297</v>
      </c>
      <c r="J297" s="77">
        <f t="shared" si="45"/>
        <v>217577.16793002505</v>
      </c>
      <c r="K297" s="77">
        <f t="shared" si="43"/>
        <v>83576.489657513157</v>
      </c>
      <c r="L297" s="75">
        <v>400000</v>
      </c>
      <c r="M297" s="75">
        <f t="shared" si="40"/>
        <v>316423.51034248684</v>
      </c>
    </row>
    <row r="298" spans="5:13">
      <c r="E298">
        <v>296</v>
      </c>
      <c r="F298" s="77">
        <f t="shared" si="41"/>
        <v>1432.2458863963786</v>
      </c>
      <c r="G298" s="77">
        <f t="shared" si="38"/>
        <v>274.74277356658382</v>
      </c>
      <c r="H298" s="77">
        <f t="shared" si="42"/>
        <v>1157.5031128297949</v>
      </c>
      <c r="I298" s="77">
        <f t="shared" si="45"/>
        <v>206642.35721686954</v>
      </c>
      <c r="J298" s="77">
        <f t="shared" si="45"/>
        <v>218734.67104285484</v>
      </c>
      <c r="K298" s="77">
        <f t="shared" si="43"/>
        <v>82422.832069975149</v>
      </c>
      <c r="L298" s="75">
        <v>400000</v>
      </c>
      <c r="M298" s="75">
        <f t="shared" si="40"/>
        <v>317577.16793002485</v>
      </c>
    </row>
    <row r="299" spans="5:13">
      <c r="E299">
        <v>297</v>
      </c>
      <c r="F299" s="77">
        <f t="shared" si="41"/>
        <v>1432.2458863963786</v>
      </c>
      <c r="G299" s="77">
        <f t="shared" si="38"/>
        <v>270.88442985715119</v>
      </c>
      <c r="H299" s="77">
        <f t="shared" si="42"/>
        <v>1161.3614565392274</v>
      </c>
      <c r="I299" s="77">
        <f t="shared" si="45"/>
        <v>206913.2416467267</v>
      </c>
      <c r="J299" s="77">
        <f t="shared" si="45"/>
        <v>219896.03249939406</v>
      </c>
      <c r="K299" s="77">
        <f t="shared" si="43"/>
        <v>81265.32895714535</v>
      </c>
      <c r="L299" s="75">
        <v>400000</v>
      </c>
      <c r="M299" s="75">
        <f t="shared" si="40"/>
        <v>318734.67104285466</v>
      </c>
    </row>
    <row r="300" spans="5:13">
      <c r="E300">
        <v>298</v>
      </c>
      <c r="F300" s="77">
        <f t="shared" si="41"/>
        <v>1432.2458863963786</v>
      </c>
      <c r="G300" s="77">
        <f t="shared" si="38"/>
        <v>267.01322500202042</v>
      </c>
      <c r="H300" s="77">
        <f t="shared" si="42"/>
        <v>1165.2326613943583</v>
      </c>
      <c r="I300" s="77">
        <f t="shared" si="45"/>
        <v>207180.25487172871</v>
      </c>
      <c r="J300" s="77">
        <f t="shared" si="45"/>
        <v>221061.2651607884</v>
      </c>
      <c r="K300" s="77">
        <f t="shared" si="43"/>
        <v>80103.967500606115</v>
      </c>
      <c r="L300" s="75">
        <v>400000</v>
      </c>
      <c r="M300" s="75">
        <f t="shared" si="40"/>
        <v>319896.03249939391</v>
      </c>
    </row>
    <row r="301" spans="5:13">
      <c r="E301">
        <v>299</v>
      </c>
      <c r="F301" s="77">
        <f t="shared" si="41"/>
        <v>1432.2458863963786</v>
      </c>
      <c r="G301" s="77">
        <f t="shared" si="38"/>
        <v>263.12911613070588</v>
      </c>
      <c r="H301" s="77">
        <f t="shared" si="42"/>
        <v>1169.1167702656728</v>
      </c>
      <c r="I301" s="77">
        <f t="shared" si="45"/>
        <v>207443.38398785942</v>
      </c>
      <c r="J301" s="77">
        <f t="shared" si="45"/>
        <v>222230.38193105409</v>
      </c>
      <c r="K301" s="77">
        <f t="shared" si="43"/>
        <v>78938.734839211756</v>
      </c>
      <c r="L301" s="75">
        <v>400000</v>
      </c>
      <c r="M301" s="75">
        <f t="shared" si="40"/>
        <v>321061.26516078826</v>
      </c>
    </row>
    <row r="302" spans="5:13">
      <c r="E302">
        <v>300</v>
      </c>
      <c r="F302" s="77">
        <f t="shared" si="41"/>
        <v>1432.2458863963786</v>
      </c>
      <c r="G302" s="77">
        <f t="shared" si="38"/>
        <v>259.23206022982032</v>
      </c>
      <c r="H302" s="77">
        <f t="shared" si="42"/>
        <v>1173.0138261665584</v>
      </c>
      <c r="I302" s="77">
        <f t="shared" si="45"/>
        <v>207702.61604808923</v>
      </c>
      <c r="J302" s="77">
        <f t="shared" si="45"/>
        <v>223403.39575722066</v>
      </c>
      <c r="K302" s="77">
        <f t="shared" si="43"/>
        <v>77769.618068946089</v>
      </c>
      <c r="L302" s="75">
        <v>400000</v>
      </c>
      <c r="M302" s="75">
        <f t="shared" si="40"/>
        <v>322230.38193105394</v>
      </c>
    </row>
    <row r="303" spans="5:13">
      <c r="E303">
        <v>301</v>
      </c>
      <c r="F303" s="77">
        <f t="shared" si="41"/>
        <v>1432.2458863963786</v>
      </c>
      <c r="G303" s="77">
        <f t="shared" si="38"/>
        <v>255.32201414259845</v>
      </c>
      <c r="H303" s="77">
        <f t="shared" si="42"/>
        <v>1176.9238722537802</v>
      </c>
      <c r="I303" s="77">
        <f t="shared" si="45"/>
        <v>207957.93806223181</v>
      </c>
      <c r="J303" s="77">
        <f t="shared" si="45"/>
        <v>224580.31962947443</v>
      </c>
      <c r="K303" s="77">
        <f t="shared" si="43"/>
        <v>76596.604242779533</v>
      </c>
      <c r="L303" s="75">
        <v>400000</v>
      </c>
      <c r="M303" s="75">
        <f t="shared" si="40"/>
        <v>323403.39575722045</v>
      </c>
    </row>
    <row r="304" spans="5:13">
      <c r="E304">
        <v>302</v>
      </c>
      <c r="F304" s="77">
        <f t="shared" si="41"/>
        <v>1432.2458863963786</v>
      </c>
      <c r="G304" s="77">
        <f t="shared" si="38"/>
        <v>251.39893456841918</v>
      </c>
      <c r="H304" s="77">
        <f t="shared" si="42"/>
        <v>1180.8469518279594</v>
      </c>
      <c r="I304" s="77">
        <f t="shared" si="45"/>
        <v>208209.33699680024</v>
      </c>
      <c r="J304" s="77">
        <f t="shared" si="45"/>
        <v>225761.16658130239</v>
      </c>
      <c r="K304" s="77">
        <f t="shared" si="43"/>
        <v>75419.680370525748</v>
      </c>
      <c r="L304" s="75">
        <v>400000</v>
      </c>
      <c r="M304" s="75">
        <f t="shared" si="40"/>
        <v>324580.31962947425</v>
      </c>
    </row>
    <row r="305" spans="5:13">
      <c r="E305">
        <v>303</v>
      </c>
      <c r="F305" s="77">
        <f t="shared" si="41"/>
        <v>1432.2458863963786</v>
      </c>
      <c r="G305" s="77">
        <f t="shared" si="38"/>
        <v>247.46277806232598</v>
      </c>
      <c r="H305" s="77">
        <f t="shared" si="42"/>
        <v>1184.7831083340527</v>
      </c>
      <c r="I305" s="77">
        <f t="shared" si="45"/>
        <v>208456.79977486256</v>
      </c>
      <c r="J305" s="77">
        <f t="shared" si="45"/>
        <v>226945.94968963644</v>
      </c>
      <c r="K305" s="77">
        <f t="shared" si="43"/>
        <v>74238.833418697788</v>
      </c>
      <c r="L305" s="75">
        <v>400000</v>
      </c>
      <c r="M305" s="75">
        <f t="shared" si="40"/>
        <v>325761.16658130218</v>
      </c>
    </row>
    <row r="306" spans="5:13">
      <c r="E306">
        <v>304</v>
      </c>
      <c r="F306" s="77">
        <f t="shared" si="41"/>
        <v>1432.2458863963786</v>
      </c>
      <c r="G306" s="77">
        <f t="shared" si="38"/>
        <v>243.51350103454578</v>
      </c>
      <c r="H306" s="77">
        <f t="shared" si="42"/>
        <v>1188.7323853618329</v>
      </c>
      <c r="I306" s="77">
        <f t="shared" si="45"/>
        <v>208700.31327589712</v>
      </c>
      <c r="J306" s="77">
        <f t="shared" si="45"/>
        <v>228134.68207499827</v>
      </c>
      <c r="K306" s="77">
        <f t="shared" si="43"/>
        <v>73054.050310363731</v>
      </c>
      <c r="L306" s="75">
        <v>400000</v>
      </c>
      <c r="M306" s="75">
        <f t="shared" si="40"/>
        <v>326945.94968963624</v>
      </c>
    </row>
    <row r="307" spans="5:13">
      <c r="E307">
        <v>305</v>
      </c>
      <c r="F307" s="77">
        <f t="shared" si="41"/>
        <v>1432.2458863963786</v>
      </c>
      <c r="G307" s="77">
        <f t="shared" si="38"/>
        <v>239.55105975000635</v>
      </c>
      <c r="H307" s="77">
        <f t="shared" si="42"/>
        <v>1192.6948266463723</v>
      </c>
      <c r="I307" s="77">
        <f t="shared" ref="I307:J322" si="46">I306+G307</f>
        <v>208939.86433564711</v>
      </c>
      <c r="J307" s="77">
        <f t="shared" si="46"/>
        <v>229327.37690164463</v>
      </c>
      <c r="K307" s="77">
        <f t="shared" si="43"/>
        <v>71865.317925001902</v>
      </c>
      <c r="L307" s="75">
        <v>400000</v>
      </c>
      <c r="M307" s="75">
        <f t="shared" si="40"/>
        <v>328134.6820749981</v>
      </c>
    </row>
    <row r="308" spans="5:13">
      <c r="E308">
        <v>306</v>
      </c>
      <c r="F308" s="77">
        <f t="shared" si="41"/>
        <v>1432.2458863963786</v>
      </c>
      <c r="G308" s="77">
        <f t="shared" si="38"/>
        <v>235.57541032785178</v>
      </c>
      <c r="H308" s="77">
        <f t="shared" si="42"/>
        <v>1196.6704760685268</v>
      </c>
      <c r="I308" s="77">
        <f t="shared" si="46"/>
        <v>209175.43974597496</v>
      </c>
      <c r="J308" s="77">
        <f t="shared" si="46"/>
        <v>230524.04737771317</v>
      </c>
      <c r="K308" s="77">
        <f t="shared" si="43"/>
        <v>70672.623098355529</v>
      </c>
      <c r="L308" s="75">
        <v>400000</v>
      </c>
      <c r="M308" s="75">
        <f t="shared" si="40"/>
        <v>329327.37690164446</v>
      </c>
    </row>
    <row r="309" spans="5:13">
      <c r="E309">
        <v>307</v>
      </c>
      <c r="F309" s="77">
        <f t="shared" si="41"/>
        <v>1432.2458863963786</v>
      </c>
      <c r="G309" s="77">
        <f t="shared" si="38"/>
        <v>231.5865087409567</v>
      </c>
      <c r="H309" s="77">
        <f t="shared" si="42"/>
        <v>1200.6593776554218</v>
      </c>
      <c r="I309" s="77">
        <f t="shared" si="46"/>
        <v>209407.02625471592</v>
      </c>
      <c r="J309" s="77">
        <f t="shared" si="46"/>
        <v>231724.70675536859</v>
      </c>
      <c r="K309" s="77">
        <f t="shared" si="43"/>
        <v>69475.952622287004</v>
      </c>
      <c r="L309" s="75">
        <v>400000</v>
      </c>
      <c r="M309" s="75">
        <f t="shared" si="40"/>
        <v>330524.04737771302</v>
      </c>
    </row>
    <row r="310" spans="5:13">
      <c r="E310">
        <v>308</v>
      </c>
      <c r="F310" s="77">
        <f t="shared" si="41"/>
        <v>1432.2458863963786</v>
      </c>
      <c r="G310" s="77">
        <f t="shared" si="38"/>
        <v>227.58431081543861</v>
      </c>
      <c r="H310" s="77">
        <f t="shared" si="42"/>
        <v>1204.6615755809401</v>
      </c>
      <c r="I310" s="77">
        <f t="shared" si="46"/>
        <v>209634.61056553136</v>
      </c>
      <c r="J310" s="77">
        <f t="shared" si="46"/>
        <v>232929.36833094954</v>
      </c>
      <c r="K310" s="77">
        <f t="shared" si="43"/>
        <v>68275.293244631583</v>
      </c>
      <c r="L310" s="75">
        <v>400000</v>
      </c>
      <c r="M310" s="75">
        <f t="shared" si="40"/>
        <v>331724.70675536839</v>
      </c>
    </row>
    <row r="311" spans="5:13">
      <c r="E311">
        <v>309</v>
      </c>
      <c r="F311" s="77">
        <f t="shared" si="41"/>
        <v>1432.2458863963786</v>
      </c>
      <c r="G311" s="77">
        <f t="shared" si="38"/>
        <v>223.5687722301688</v>
      </c>
      <c r="H311" s="77">
        <f t="shared" si="42"/>
        <v>1208.6771141662098</v>
      </c>
      <c r="I311" s="77">
        <f t="shared" si="46"/>
        <v>209858.17933776154</v>
      </c>
      <c r="J311" s="77">
        <f t="shared" si="46"/>
        <v>234138.04544511574</v>
      </c>
      <c r="K311" s="77">
        <f t="shared" si="43"/>
        <v>67070.631669050636</v>
      </c>
      <c r="L311" s="75">
        <v>400000</v>
      </c>
      <c r="M311" s="75">
        <f t="shared" si="40"/>
        <v>332929.36833094934</v>
      </c>
    </row>
    <row r="312" spans="5:13">
      <c r="E312">
        <v>310</v>
      </c>
      <c r="F312" s="77">
        <f t="shared" si="41"/>
        <v>1432.2458863963786</v>
      </c>
      <c r="G312" s="77">
        <f t="shared" si="38"/>
        <v>219.53984851628147</v>
      </c>
      <c r="H312" s="77">
        <f t="shared" si="42"/>
        <v>1212.7060378800973</v>
      </c>
      <c r="I312" s="77">
        <f t="shared" si="46"/>
        <v>210077.71918627783</v>
      </c>
      <c r="J312" s="77">
        <f t="shared" si="46"/>
        <v>235350.75148299584</v>
      </c>
      <c r="K312" s="77">
        <f t="shared" si="43"/>
        <v>65861.954554884433</v>
      </c>
      <c r="L312" s="75">
        <v>400000</v>
      </c>
      <c r="M312" s="75">
        <f t="shared" si="40"/>
        <v>334138.04544511554</v>
      </c>
    </row>
    <row r="313" spans="5:13">
      <c r="E313">
        <v>311</v>
      </c>
      <c r="F313" s="77">
        <f t="shared" si="41"/>
        <v>1432.2458863963786</v>
      </c>
      <c r="G313" s="77">
        <f t="shared" si="38"/>
        <v>215.49749505668115</v>
      </c>
      <c r="H313" s="77">
        <f t="shared" si="42"/>
        <v>1216.7483913396975</v>
      </c>
      <c r="I313" s="77">
        <f t="shared" si="46"/>
        <v>210293.21668133451</v>
      </c>
      <c r="J313" s="77">
        <f t="shared" si="46"/>
        <v>236567.49987433554</v>
      </c>
      <c r="K313" s="77">
        <f t="shared" si="43"/>
        <v>64649.248517004336</v>
      </c>
      <c r="L313" s="75">
        <v>400000</v>
      </c>
      <c r="M313" s="75">
        <f t="shared" si="40"/>
        <v>335350.75148299569</v>
      </c>
    </row>
    <row r="314" spans="5:13">
      <c r="E314">
        <v>312</v>
      </c>
      <c r="F314" s="77">
        <f t="shared" si="41"/>
        <v>1432.2458863963786</v>
      </c>
      <c r="G314" s="77">
        <f t="shared" si="38"/>
        <v>211.4416670855488</v>
      </c>
      <c r="H314" s="77">
        <f t="shared" si="42"/>
        <v>1220.8042193108299</v>
      </c>
      <c r="I314" s="77">
        <f t="shared" si="46"/>
        <v>210504.65834842005</v>
      </c>
      <c r="J314" s="77">
        <f t="shared" si="46"/>
        <v>237788.30409364638</v>
      </c>
      <c r="K314" s="77">
        <f t="shared" si="43"/>
        <v>63432.500125664636</v>
      </c>
      <c r="L314" s="75">
        <v>400000</v>
      </c>
      <c r="M314" s="75">
        <f t="shared" si="40"/>
        <v>336567.49987433536</v>
      </c>
    </row>
    <row r="315" spans="5:13">
      <c r="E315">
        <v>313</v>
      </c>
      <c r="F315" s="77">
        <f t="shared" si="41"/>
        <v>1432.2458863963786</v>
      </c>
      <c r="G315" s="77">
        <f t="shared" si="38"/>
        <v>207.37231968784604</v>
      </c>
      <c r="H315" s="77">
        <f t="shared" si="42"/>
        <v>1224.8735667085325</v>
      </c>
      <c r="I315" s="77">
        <f t="shared" si="46"/>
        <v>210712.03066810791</v>
      </c>
      <c r="J315" s="77">
        <f t="shared" si="46"/>
        <v>239013.17766035491</v>
      </c>
      <c r="K315" s="77">
        <f t="shared" si="43"/>
        <v>62211.695906353809</v>
      </c>
      <c r="L315" s="75">
        <v>400000</v>
      </c>
      <c r="M315" s="75">
        <f t="shared" si="40"/>
        <v>337788.30409364618</v>
      </c>
    </row>
    <row r="316" spans="5:13">
      <c r="E316">
        <v>314</v>
      </c>
      <c r="F316" s="77">
        <f t="shared" si="41"/>
        <v>1432.2458863963786</v>
      </c>
      <c r="G316" s="77">
        <f t="shared" si="38"/>
        <v>203.28940779881759</v>
      </c>
      <c r="H316" s="77">
        <f t="shared" si="42"/>
        <v>1228.956478597561</v>
      </c>
      <c r="I316" s="77">
        <f t="shared" si="46"/>
        <v>210915.32007590673</v>
      </c>
      <c r="J316" s="77">
        <f t="shared" si="46"/>
        <v>240242.13413895248</v>
      </c>
      <c r="K316" s="77">
        <f t="shared" si="43"/>
        <v>60986.822339645274</v>
      </c>
      <c r="L316" s="75">
        <v>400000</v>
      </c>
      <c r="M316" s="75">
        <f t="shared" si="40"/>
        <v>339013.1776603547</v>
      </c>
    </row>
    <row r="317" spans="5:13">
      <c r="E317">
        <v>315</v>
      </c>
      <c r="F317" s="77">
        <f t="shared" si="41"/>
        <v>1432.2458863963786</v>
      </c>
      <c r="G317" s="77">
        <f t="shared" si="38"/>
        <v>199.19288620349241</v>
      </c>
      <c r="H317" s="77">
        <f t="shared" si="42"/>
        <v>1233.0530001928862</v>
      </c>
      <c r="I317" s="77">
        <f t="shared" si="46"/>
        <v>211114.51296211022</v>
      </c>
      <c r="J317" s="77">
        <f t="shared" si="46"/>
        <v>241475.18713914536</v>
      </c>
      <c r="K317" s="77">
        <f t="shared" si="43"/>
        <v>59757.865861047714</v>
      </c>
      <c r="L317" s="75">
        <v>400000</v>
      </c>
      <c r="M317" s="75">
        <f t="shared" si="40"/>
        <v>340242.1341389523</v>
      </c>
    </row>
    <row r="318" spans="5:13">
      <c r="E318">
        <v>316</v>
      </c>
      <c r="F318" s="77">
        <f t="shared" si="41"/>
        <v>1432.2458863963786</v>
      </c>
      <c r="G318" s="77">
        <f t="shared" si="38"/>
        <v>195.08270953618276</v>
      </c>
      <c r="H318" s="77">
        <f t="shared" si="42"/>
        <v>1237.1631768601958</v>
      </c>
      <c r="I318" s="77">
        <f t="shared" si="46"/>
        <v>211309.59567164641</v>
      </c>
      <c r="J318" s="77">
        <f t="shared" si="46"/>
        <v>242712.35031600556</v>
      </c>
      <c r="K318" s="77">
        <f t="shared" si="43"/>
        <v>58524.812860854829</v>
      </c>
      <c r="L318" s="75">
        <v>400000</v>
      </c>
      <c r="M318" s="75">
        <f t="shared" si="40"/>
        <v>341475.18713914516</v>
      </c>
    </row>
    <row r="319" spans="5:13">
      <c r="E319">
        <v>317</v>
      </c>
      <c r="F319" s="77">
        <f t="shared" si="41"/>
        <v>1432.2458863963786</v>
      </c>
      <c r="G319" s="77">
        <f t="shared" si="38"/>
        <v>190.95883227998212</v>
      </c>
      <c r="H319" s="77">
        <f t="shared" si="42"/>
        <v>1241.2870541163966</v>
      </c>
      <c r="I319" s="77">
        <f t="shared" si="46"/>
        <v>211500.5545039264</v>
      </c>
      <c r="J319" s="77">
        <f t="shared" si="46"/>
        <v>243953.63737012196</v>
      </c>
      <c r="K319" s="77">
        <f t="shared" si="43"/>
        <v>57287.649683994634</v>
      </c>
      <c r="L319" s="75">
        <v>400000</v>
      </c>
      <c r="M319" s="75">
        <f t="shared" si="40"/>
        <v>342712.35031600535</v>
      </c>
    </row>
    <row r="320" spans="5:13">
      <c r="E320">
        <v>318</v>
      </c>
      <c r="F320" s="77">
        <f t="shared" si="41"/>
        <v>1432.2458863963786</v>
      </c>
      <c r="G320" s="77">
        <f t="shared" si="38"/>
        <v>186.82120876626081</v>
      </c>
      <c r="H320" s="77">
        <f t="shared" si="42"/>
        <v>1245.4246776301179</v>
      </c>
      <c r="I320" s="77">
        <f t="shared" si="46"/>
        <v>211687.37571269265</v>
      </c>
      <c r="J320" s="77">
        <f t="shared" si="46"/>
        <v>245199.06204775209</v>
      </c>
      <c r="K320" s="77">
        <f t="shared" si="43"/>
        <v>56046.36262987824</v>
      </c>
      <c r="L320" s="75">
        <v>400000</v>
      </c>
      <c r="M320" s="75">
        <f t="shared" si="40"/>
        <v>343953.63737012178</v>
      </c>
    </row>
    <row r="321" spans="5:13">
      <c r="E321">
        <v>319</v>
      </c>
      <c r="F321" s="77">
        <f t="shared" si="41"/>
        <v>1432.2458863963786</v>
      </c>
      <c r="G321" s="77">
        <f t="shared" si="38"/>
        <v>182.66979317416042</v>
      </c>
      <c r="H321" s="77">
        <f t="shared" si="42"/>
        <v>1249.5760932222183</v>
      </c>
      <c r="I321" s="77">
        <f t="shared" si="46"/>
        <v>211870.04550586682</v>
      </c>
      <c r="J321" s="77">
        <f t="shared" si="46"/>
        <v>246448.6381409743</v>
      </c>
      <c r="K321" s="77">
        <f t="shared" si="43"/>
        <v>54800.937952248125</v>
      </c>
      <c r="L321" s="75">
        <v>400000</v>
      </c>
      <c r="M321" s="75">
        <f t="shared" si="40"/>
        <v>345199.06204775185</v>
      </c>
    </row>
    <row r="322" spans="5:13">
      <c r="E322">
        <v>320</v>
      </c>
      <c r="F322" s="77">
        <f t="shared" si="41"/>
        <v>1432.2458863963786</v>
      </c>
      <c r="G322" s="77">
        <f t="shared" ref="G322:G362" si="47">(B$4/B$6)*K322</f>
        <v>178.50453953008636</v>
      </c>
      <c r="H322" s="77">
        <f t="shared" si="42"/>
        <v>1253.7413468662924</v>
      </c>
      <c r="I322" s="77">
        <f t="shared" si="46"/>
        <v>212048.5500453969</v>
      </c>
      <c r="J322" s="77">
        <f t="shared" si="46"/>
        <v>247702.3794878406</v>
      </c>
      <c r="K322" s="77">
        <f t="shared" si="43"/>
        <v>53551.361859025907</v>
      </c>
      <c r="L322" s="75">
        <v>400000</v>
      </c>
      <c r="M322" s="75">
        <f t="shared" si="40"/>
        <v>346448.6381409741</v>
      </c>
    </row>
    <row r="323" spans="5:13">
      <c r="E323">
        <v>321</v>
      </c>
      <c r="F323" s="77">
        <f t="shared" si="41"/>
        <v>1432.2458863963786</v>
      </c>
      <c r="G323" s="77">
        <f t="shared" si="47"/>
        <v>174.32540170719872</v>
      </c>
      <c r="H323" s="77">
        <f t="shared" si="42"/>
        <v>1257.9204846891798</v>
      </c>
      <c r="I323" s="77">
        <f t="shared" ref="I323:J338" si="48">I322+G323</f>
        <v>212222.8754471041</v>
      </c>
      <c r="J323" s="77">
        <f t="shared" si="48"/>
        <v>248960.29997252979</v>
      </c>
      <c r="K323" s="77">
        <f t="shared" si="43"/>
        <v>52297.620512159614</v>
      </c>
      <c r="L323" s="75">
        <v>400000</v>
      </c>
      <c r="M323" s="75">
        <f t="shared" ref="M323:M362" si="49">L323-K323</f>
        <v>347702.3794878404</v>
      </c>
    </row>
    <row r="324" spans="5:13">
      <c r="E324">
        <v>322</v>
      </c>
      <c r="F324" s="77">
        <f t="shared" ref="F324:F362" si="50">F323</f>
        <v>1432.2458863963786</v>
      </c>
      <c r="G324" s="77">
        <f t="shared" si="47"/>
        <v>170.13233342490145</v>
      </c>
      <c r="H324" s="77">
        <f t="shared" ref="H324:H362" si="51">F324-G324</f>
        <v>1262.1135529714772</v>
      </c>
      <c r="I324" s="77">
        <f t="shared" si="48"/>
        <v>212393.00778052901</v>
      </c>
      <c r="J324" s="77">
        <f t="shared" si="48"/>
        <v>250222.41352550127</v>
      </c>
      <c r="K324" s="77">
        <f t="shared" ref="K324:K362" si="52">K323-H323</f>
        <v>51039.700027470433</v>
      </c>
      <c r="L324" s="75">
        <v>400000</v>
      </c>
      <c r="M324" s="75">
        <f t="shared" si="49"/>
        <v>348960.29997252958</v>
      </c>
    </row>
    <row r="325" spans="5:13">
      <c r="E325">
        <v>323</v>
      </c>
      <c r="F325" s="77">
        <f t="shared" si="50"/>
        <v>1432.2458863963786</v>
      </c>
      <c r="G325" s="77">
        <f t="shared" si="47"/>
        <v>165.92528824832988</v>
      </c>
      <c r="H325" s="77">
        <f t="shared" si="51"/>
        <v>1266.3205981480487</v>
      </c>
      <c r="I325" s="77">
        <f t="shared" si="48"/>
        <v>212558.93306877735</v>
      </c>
      <c r="J325" s="77">
        <f t="shared" si="48"/>
        <v>251488.73412364931</v>
      </c>
      <c r="K325" s="77">
        <f t="shared" si="52"/>
        <v>49777.586474498959</v>
      </c>
      <c r="L325" s="75">
        <v>400000</v>
      </c>
      <c r="M325" s="75">
        <f t="shared" si="49"/>
        <v>350222.41352550103</v>
      </c>
    </row>
    <row r="326" spans="5:13">
      <c r="E326">
        <v>324</v>
      </c>
      <c r="F326" s="77">
        <f t="shared" si="50"/>
        <v>1432.2458863963786</v>
      </c>
      <c r="G326" s="77">
        <f t="shared" si="47"/>
        <v>161.70421958783638</v>
      </c>
      <c r="H326" s="77">
        <f t="shared" si="51"/>
        <v>1270.5416668085422</v>
      </c>
      <c r="I326" s="77">
        <f t="shared" si="48"/>
        <v>212720.63728836519</v>
      </c>
      <c r="J326" s="77">
        <f t="shared" si="48"/>
        <v>252759.27579045785</v>
      </c>
      <c r="K326" s="77">
        <f t="shared" si="52"/>
        <v>48511.26587635091</v>
      </c>
      <c r="L326" s="75">
        <v>400000</v>
      </c>
      <c r="M326" s="75">
        <f t="shared" si="49"/>
        <v>351488.73412364908</v>
      </c>
    </row>
    <row r="327" spans="5:13">
      <c r="E327">
        <v>325</v>
      </c>
      <c r="F327" s="77">
        <f t="shared" si="50"/>
        <v>1432.2458863963786</v>
      </c>
      <c r="G327" s="77">
        <f t="shared" si="47"/>
        <v>157.46908069847456</v>
      </c>
      <c r="H327" s="77">
        <f t="shared" si="51"/>
        <v>1274.7768056979041</v>
      </c>
      <c r="I327" s="77">
        <f t="shared" si="48"/>
        <v>212878.10636906367</v>
      </c>
      <c r="J327" s="77">
        <f t="shared" si="48"/>
        <v>254034.05259615576</v>
      </c>
      <c r="K327" s="77">
        <f t="shared" si="52"/>
        <v>47240.724209542364</v>
      </c>
      <c r="L327" s="75">
        <v>400000</v>
      </c>
      <c r="M327" s="75">
        <f t="shared" si="49"/>
        <v>352759.27579045761</v>
      </c>
    </row>
    <row r="328" spans="5:13">
      <c r="E328">
        <v>326</v>
      </c>
      <c r="F328" s="77">
        <f t="shared" si="50"/>
        <v>1432.2458863963786</v>
      </c>
      <c r="G328" s="77">
        <f t="shared" si="47"/>
        <v>153.21982467948155</v>
      </c>
      <c r="H328" s="77">
        <f t="shared" si="51"/>
        <v>1279.0260617168972</v>
      </c>
      <c r="I328" s="77">
        <f t="shared" si="48"/>
        <v>213031.32619374315</v>
      </c>
      <c r="J328" s="77">
        <f t="shared" si="48"/>
        <v>255313.07865787265</v>
      </c>
      <c r="K328" s="77">
        <f t="shared" si="52"/>
        <v>45965.94740384446</v>
      </c>
      <c r="L328" s="75">
        <v>400000</v>
      </c>
      <c r="M328" s="75">
        <f t="shared" si="49"/>
        <v>354034.05259615555</v>
      </c>
    </row>
    <row r="329" spans="5:13">
      <c r="E329">
        <v>327</v>
      </c>
      <c r="F329" s="77">
        <f t="shared" si="50"/>
        <v>1432.2458863963786</v>
      </c>
      <c r="G329" s="77">
        <f t="shared" si="47"/>
        <v>148.95640447375857</v>
      </c>
      <c r="H329" s="77">
        <f t="shared" si="51"/>
        <v>1283.2894819226201</v>
      </c>
      <c r="I329" s="77">
        <f t="shared" si="48"/>
        <v>213180.2825982169</v>
      </c>
      <c r="J329" s="77">
        <f t="shared" si="48"/>
        <v>256596.36813979526</v>
      </c>
      <c r="K329" s="77">
        <f t="shared" si="52"/>
        <v>44686.921342127564</v>
      </c>
      <c r="L329" s="75">
        <v>400000</v>
      </c>
      <c r="M329" s="75">
        <f t="shared" si="49"/>
        <v>355313.07865787245</v>
      </c>
    </row>
    <row r="330" spans="5:13">
      <c r="E330">
        <v>328</v>
      </c>
      <c r="F330" s="77">
        <f t="shared" si="50"/>
        <v>1432.2458863963786</v>
      </c>
      <c r="G330" s="77">
        <f t="shared" si="47"/>
        <v>144.67877286734981</v>
      </c>
      <c r="H330" s="77">
        <f t="shared" si="51"/>
        <v>1287.5671135290288</v>
      </c>
      <c r="I330" s="77">
        <f t="shared" si="48"/>
        <v>213324.96137108424</v>
      </c>
      <c r="J330" s="77">
        <f t="shared" si="48"/>
        <v>257883.93525332428</v>
      </c>
      <c r="K330" s="77">
        <f t="shared" si="52"/>
        <v>43403.631860204943</v>
      </c>
      <c r="L330" s="75">
        <v>400000</v>
      </c>
      <c r="M330" s="75">
        <f t="shared" si="49"/>
        <v>356596.36813979503</v>
      </c>
    </row>
    <row r="331" spans="5:13">
      <c r="E331">
        <v>329</v>
      </c>
      <c r="F331" s="77">
        <f t="shared" si="50"/>
        <v>1432.2458863963786</v>
      </c>
      <c r="G331" s="77">
        <f t="shared" si="47"/>
        <v>140.38688248891972</v>
      </c>
      <c r="H331" s="77">
        <f t="shared" si="51"/>
        <v>1291.8590039074588</v>
      </c>
      <c r="I331" s="77">
        <f t="shared" si="48"/>
        <v>213465.34825357315</v>
      </c>
      <c r="J331" s="77">
        <f t="shared" si="48"/>
        <v>259175.79425723173</v>
      </c>
      <c r="K331" s="77">
        <f t="shared" si="52"/>
        <v>42116.064746675911</v>
      </c>
      <c r="L331" s="75">
        <v>400000</v>
      </c>
      <c r="M331" s="75">
        <f t="shared" si="49"/>
        <v>357883.9352533241</v>
      </c>
    </row>
    <row r="332" spans="5:13">
      <c r="E332">
        <v>330</v>
      </c>
      <c r="F332" s="77">
        <f t="shared" si="50"/>
        <v>1432.2458863963786</v>
      </c>
      <c r="G332" s="77">
        <f t="shared" si="47"/>
        <v>136.08068580922816</v>
      </c>
      <c r="H332" s="77">
        <f t="shared" si="51"/>
        <v>1296.1652005871506</v>
      </c>
      <c r="I332" s="77">
        <f t="shared" si="48"/>
        <v>213601.42893938237</v>
      </c>
      <c r="J332" s="77">
        <f t="shared" si="48"/>
        <v>260471.95945781888</v>
      </c>
      <c r="K332" s="77">
        <f t="shared" si="52"/>
        <v>40824.205742768449</v>
      </c>
      <c r="L332" s="75">
        <v>400000</v>
      </c>
      <c r="M332" s="75">
        <f t="shared" si="49"/>
        <v>359175.79425723152</v>
      </c>
    </row>
    <row r="333" spans="5:13">
      <c r="E333">
        <v>331</v>
      </c>
      <c r="F333" s="77">
        <f t="shared" si="50"/>
        <v>1432.2458863963786</v>
      </c>
      <c r="G333" s="77">
        <f t="shared" si="47"/>
        <v>131.76013514060432</v>
      </c>
      <c r="H333" s="77">
        <f t="shared" si="51"/>
        <v>1300.4857512557744</v>
      </c>
      <c r="I333" s="77">
        <f t="shared" si="48"/>
        <v>213733.18907452296</v>
      </c>
      <c r="J333" s="77">
        <f t="shared" si="48"/>
        <v>261772.44520907465</v>
      </c>
      <c r="K333" s="77">
        <f t="shared" si="52"/>
        <v>39528.040542181297</v>
      </c>
      <c r="L333" s="75">
        <v>400000</v>
      </c>
      <c r="M333" s="75">
        <f t="shared" si="49"/>
        <v>360471.95945781871</v>
      </c>
    </row>
    <row r="334" spans="5:13">
      <c r="E334">
        <v>332</v>
      </c>
      <c r="F334" s="77">
        <f t="shared" si="50"/>
        <v>1432.2458863963786</v>
      </c>
      <c r="G334" s="77">
        <f t="shared" si="47"/>
        <v>127.42518263641843</v>
      </c>
      <c r="H334" s="77">
        <f t="shared" si="51"/>
        <v>1304.8207037599602</v>
      </c>
      <c r="I334" s="77">
        <f t="shared" si="48"/>
        <v>213860.61425715938</v>
      </c>
      <c r="J334" s="77">
        <f t="shared" si="48"/>
        <v>263077.26591283461</v>
      </c>
      <c r="K334" s="77">
        <f t="shared" si="52"/>
        <v>38227.554790925526</v>
      </c>
      <c r="L334" s="75">
        <v>400000</v>
      </c>
      <c r="M334" s="75">
        <f t="shared" si="49"/>
        <v>361772.44520907447</v>
      </c>
    </row>
    <row r="335" spans="5:13">
      <c r="E335">
        <v>333</v>
      </c>
      <c r="F335" s="77">
        <f t="shared" si="50"/>
        <v>1432.2458863963786</v>
      </c>
      <c r="G335" s="77">
        <f t="shared" si="47"/>
        <v>123.0757802905519</v>
      </c>
      <c r="H335" s="77">
        <f t="shared" si="51"/>
        <v>1309.1701061058268</v>
      </c>
      <c r="I335" s="77">
        <f t="shared" si="48"/>
        <v>213983.69003744994</v>
      </c>
      <c r="J335" s="77">
        <f t="shared" si="48"/>
        <v>264386.43601894047</v>
      </c>
      <c r="K335" s="77">
        <f t="shared" si="52"/>
        <v>36922.734087165569</v>
      </c>
      <c r="L335" s="75">
        <v>400000</v>
      </c>
      <c r="M335" s="75">
        <f t="shared" si="49"/>
        <v>363077.26591283444</v>
      </c>
    </row>
    <row r="336" spans="5:13">
      <c r="E336">
        <v>334</v>
      </c>
      <c r="F336" s="77">
        <f t="shared" si="50"/>
        <v>1432.2458863963786</v>
      </c>
      <c r="G336" s="77">
        <f t="shared" si="47"/>
        <v>118.71187993686581</v>
      </c>
      <c r="H336" s="77">
        <f t="shared" si="51"/>
        <v>1313.5340064595127</v>
      </c>
      <c r="I336" s="77">
        <f t="shared" si="48"/>
        <v>214102.4019173868</v>
      </c>
      <c r="J336" s="77">
        <f t="shared" si="48"/>
        <v>265699.97002539999</v>
      </c>
      <c r="K336" s="77">
        <f t="shared" si="52"/>
        <v>35613.563981059742</v>
      </c>
      <c r="L336" s="75">
        <v>400000</v>
      </c>
      <c r="M336" s="75">
        <f t="shared" si="49"/>
        <v>364386.43601894024</v>
      </c>
    </row>
    <row r="337" spans="5:13">
      <c r="E337">
        <v>335</v>
      </c>
      <c r="F337" s="77">
        <f t="shared" si="50"/>
        <v>1432.2458863963786</v>
      </c>
      <c r="G337" s="77">
        <f t="shared" si="47"/>
        <v>114.33343324866743</v>
      </c>
      <c r="H337" s="77">
        <f t="shared" si="51"/>
        <v>1317.9124531477112</v>
      </c>
      <c r="I337" s="77">
        <f t="shared" si="48"/>
        <v>214216.73535063546</v>
      </c>
      <c r="J337" s="77">
        <f t="shared" si="48"/>
        <v>267017.88247854769</v>
      </c>
      <c r="K337" s="77">
        <f t="shared" si="52"/>
        <v>34300.029974600227</v>
      </c>
      <c r="L337" s="75">
        <v>400000</v>
      </c>
      <c r="M337" s="75">
        <f t="shared" si="49"/>
        <v>365699.97002539976</v>
      </c>
    </row>
    <row r="338" spans="5:13">
      <c r="E338">
        <v>336</v>
      </c>
      <c r="F338" s="77">
        <f t="shared" si="50"/>
        <v>1432.2458863963786</v>
      </c>
      <c r="G338" s="77">
        <f t="shared" si="47"/>
        <v>109.94039173817505</v>
      </c>
      <c r="H338" s="77">
        <f t="shared" si="51"/>
        <v>1322.3054946582035</v>
      </c>
      <c r="I338" s="77">
        <f t="shared" si="48"/>
        <v>214326.67574237363</v>
      </c>
      <c r="J338" s="77">
        <f t="shared" si="48"/>
        <v>268340.18797320587</v>
      </c>
      <c r="K338" s="77">
        <f t="shared" si="52"/>
        <v>32982.117521452514</v>
      </c>
      <c r="L338" s="75">
        <v>400000</v>
      </c>
      <c r="M338" s="75">
        <f t="shared" si="49"/>
        <v>367017.88247854752</v>
      </c>
    </row>
    <row r="339" spans="5:13">
      <c r="E339">
        <v>337</v>
      </c>
      <c r="F339" s="77">
        <f t="shared" si="50"/>
        <v>1432.2458863963786</v>
      </c>
      <c r="G339" s="77">
        <f t="shared" si="47"/>
        <v>105.53270675598104</v>
      </c>
      <c r="H339" s="77">
        <f t="shared" si="51"/>
        <v>1326.7131796403976</v>
      </c>
      <c r="I339" s="77">
        <f t="shared" ref="I339:J354" si="53">I338+G339</f>
        <v>214432.2084491296</v>
      </c>
      <c r="J339" s="77">
        <f t="shared" si="53"/>
        <v>269666.90115284629</v>
      </c>
      <c r="K339" s="77">
        <f t="shared" si="52"/>
        <v>31659.812026794309</v>
      </c>
      <c r="L339" s="75">
        <v>400000</v>
      </c>
      <c r="M339" s="75">
        <f t="shared" si="49"/>
        <v>368340.1879732057</v>
      </c>
    </row>
    <row r="340" spans="5:13">
      <c r="E340">
        <v>338</v>
      </c>
      <c r="F340" s="77">
        <f t="shared" si="50"/>
        <v>1432.2458863963786</v>
      </c>
      <c r="G340" s="77">
        <f t="shared" si="47"/>
        <v>101.11032949051304</v>
      </c>
      <c r="H340" s="77">
        <f t="shared" si="51"/>
        <v>1331.1355569058655</v>
      </c>
      <c r="I340" s="77">
        <f t="shared" si="53"/>
        <v>214533.3187786201</v>
      </c>
      <c r="J340" s="77">
        <f t="shared" si="53"/>
        <v>270998.03670975217</v>
      </c>
      <c r="K340" s="77">
        <f t="shared" si="52"/>
        <v>30333.098847153909</v>
      </c>
      <c r="L340" s="75">
        <v>400000</v>
      </c>
      <c r="M340" s="75">
        <f t="shared" si="49"/>
        <v>369666.90115284611</v>
      </c>
    </row>
    <row r="341" spans="5:13">
      <c r="E341">
        <v>339</v>
      </c>
      <c r="F341" s="77">
        <f t="shared" si="50"/>
        <v>1432.2458863963786</v>
      </c>
      <c r="G341" s="77">
        <f t="shared" si="47"/>
        <v>96.673210967493489</v>
      </c>
      <c r="H341" s="77">
        <f t="shared" si="51"/>
        <v>1335.5726754288851</v>
      </c>
      <c r="I341" s="77">
        <f t="shared" si="53"/>
        <v>214629.99198958761</v>
      </c>
      <c r="J341" s="77">
        <f t="shared" si="53"/>
        <v>272333.60938518104</v>
      </c>
      <c r="K341" s="77">
        <f t="shared" si="52"/>
        <v>29001.963290248044</v>
      </c>
      <c r="L341" s="75">
        <v>400000</v>
      </c>
      <c r="M341" s="75">
        <f t="shared" si="49"/>
        <v>370998.03670975193</v>
      </c>
    </row>
    <row r="342" spans="5:13">
      <c r="E342">
        <v>340</v>
      </c>
      <c r="F342" s="77">
        <f t="shared" si="50"/>
        <v>1432.2458863963786</v>
      </c>
      <c r="G342" s="77">
        <f t="shared" si="47"/>
        <v>92.22130204939721</v>
      </c>
      <c r="H342" s="77">
        <f t="shared" si="51"/>
        <v>1340.0245843469813</v>
      </c>
      <c r="I342" s="77">
        <f t="shared" si="53"/>
        <v>214722.21329163702</v>
      </c>
      <c r="J342" s="77">
        <f t="shared" si="53"/>
        <v>273673.63396952802</v>
      </c>
      <c r="K342" s="77">
        <f t="shared" si="52"/>
        <v>27666.39061481916</v>
      </c>
      <c r="L342" s="75">
        <v>400000</v>
      </c>
      <c r="M342" s="75">
        <f t="shared" si="49"/>
        <v>372333.60938518087</v>
      </c>
    </row>
    <row r="343" spans="5:13">
      <c r="E343">
        <v>341</v>
      </c>
      <c r="F343" s="77">
        <f t="shared" si="50"/>
        <v>1432.2458863963786</v>
      </c>
      <c r="G343" s="77">
        <f t="shared" si="47"/>
        <v>87.754553434907265</v>
      </c>
      <c r="H343" s="77">
        <f t="shared" si="51"/>
        <v>1344.4913329614715</v>
      </c>
      <c r="I343" s="77">
        <f t="shared" si="53"/>
        <v>214809.96784507192</v>
      </c>
      <c r="J343" s="77">
        <f t="shared" si="53"/>
        <v>275018.1253024895</v>
      </c>
      <c r="K343" s="77">
        <f t="shared" si="52"/>
        <v>26326.366030472178</v>
      </c>
      <c r="L343" s="75">
        <v>400000</v>
      </c>
      <c r="M343" s="75">
        <f t="shared" si="49"/>
        <v>373673.63396952784</v>
      </c>
    </row>
    <row r="344" spans="5:13">
      <c r="E344">
        <v>342</v>
      </c>
      <c r="F344" s="77">
        <f t="shared" si="50"/>
        <v>1432.2458863963786</v>
      </c>
      <c r="G344" s="77">
        <f t="shared" si="47"/>
        <v>83.27291565836903</v>
      </c>
      <c r="H344" s="77">
        <f t="shared" si="51"/>
        <v>1348.9729707380095</v>
      </c>
      <c r="I344" s="77">
        <f t="shared" si="53"/>
        <v>214893.24076073029</v>
      </c>
      <c r="J344" s="77">
        <f t="shared" si="53"/>
        <v>276367.09827322752</v>
      </c>
      <c r="K344" s="77">
        <f t="shared" si="52"/>
        <v>24981.874697510706</v>
      </c>
      <c r="L344" s="75">
        <v>400000</v>
      </c>
      <c r="M344" s="75">
        <f t="shared" si="49"/>
        <v>375018.12530248926</v>
      </c>
    </row>
    <row r="345" spans="5:13">
      <c r="E345">
        <v>343</v>
      </c>
      <c r="F345" s="77">
        <f t="shared" si="50"/>
        <v>1432.2458863963786</v>
      </c>
      <c r="G345" s="77">
        <f t="shared" si="47"/>
        <v>78.776339089242327</v>
      </c>
      <c r="H345" s="77">
        <f t="shared" si="51"/>
        <v>1353.4695473071363</v>
      </c>
      <c r="I345" s="77">
        <f t="shared" si="53"/>
        <v>214972.01709981952</v>
      </c>
      <c r="J345" s="77">
        <f t="shared" si="53"/>
        <v>277720.56782053463</v>
      </c>
      <c r="K345" s="77">
        <f t="shared" si="52"/>
        <v>23632.901726772696</v>
      </c>
      <c r="L345" s="75">
        <v>400000</v>
      </c>
      <c r="M345" s="75">
        <f t="shared" si="49"/>
        <v>376367.09827322728</v>
      </c>
    </row>
    <row r="346" spans="5:13">
      <c r="E346">
        <v>344</v>
      </c>
      <c r="F346" s="77">
        <f t="shared" si="50"/>
        <v>1432.2458863963786</v>
      </c>
      <c r="G346" s="77">
        <f t="shared" si="47"/>
        <v>74.264773931551872</v>
      </c>
      <c r="H346" s="77">
        <f t="shared" si="51"/>
        <v>1357.9811124648268</v>
      </c>
      <c r="I346" s="77">
        <f t="shared" si="53"/>
        <v>215046.28187375108</v>
      </c>
      <c r="J346" s="77">
        <f t="shared" si="53"/>
        <v>279078.54893299949</v>
      </c>
      <c r="K346" s="77">
        <f t="shared" si="52"/>
        <v>22279.432179465559</v>
      </c>
      <c r="L346" s="75">
        <v>400000</v>
      </c>
      <c r="M346" s="75">
        <f t="shared" si="49"/>
        <v>377720.56782053446</v>
      </c>
    </row>
    <row r="347" spans="5:13">
      <c r="E347">
        <v>345</v>
      </c>
      <c r="F347" s="77">
        <f t="shared" si="50"/>
        <v>1432.2458863963786</v>
      </c>
      <c r="G347" s="77">
        <f t="shared" si="47"/>
        <v>69.738170223335786</v>
      </c>
      <c r="H347" s="77">
        <f t="shared" si="51"/>
        <v>1362.5077161730428</v>
      </c>
      <c r="I347" s="77">
        <f t="shared" si="53"/>
        <v>215116.02004397442</v>
      </c>
      <c r="J347" s="77">
        <f t="shared" si="53"/>
        <v>280441.0566491725</v>
      </c>
      <c r="K347" s="77">
        <f t="shared" si="52"/>
        <v>20921.451067000733</v>
      </c>
      <c r="L347" s="75">
        <v>400000</v>
      </c>
      <c r="M347" s="75">
        <f t="shared" si="49"/>
        <v>379078.54893299926</v>
      </c>
    </row>
    <row r="348" spans="5:13">
      <c r="E348">
        <v>346</v>
      </c>
      <c r="F348" s="77">
        <f t="shared" si="50"/>
        <v>1432.2458863963786</v>
      </c>
      <c r="G348" s="77">
        <f t="shared" si="47"/>
        <v>65.196477836092299</v>
      </c>
      <c r="H348" s="77">
        <f t="shared" si="51"/>
        <v>1367.0494085602863</v>
      </c>
      <c r="I348" s="77">
        <f t="shared" si="53"/>
        <v>215181.21652181051</v>
      </c>
      <c r="J348" s="77">
        <f t="shared" si="53"/>
        <v>281808.10605773277</v>
      </c>
      <c r="K348" s="77">
        <f t="shared" si="52"/>
        <v>19558.943350827689</v>
      </c>
      <c r="L348" s="75">
        <v>400000</v>
      </c>
      <c r="M348" s="75">
        <f t="shared" si="49"/>
        <v>380441.05664917233</v>
      </c>
    </row>
    <row r="349" spans="5:13">
      <c r="E349">
        <v>347</v>
      </c>
      <c r="F349" s="77">
        <f t="shared" si="50"/>
        <v>1432.2458863963786</v>
      </c>
      <c r="G349" s="77">
        <f t="shared" si="47"/>
        <v>60.639646474224676</v>
      </c>
      <c r="H349" s="77">
        <f t="shared" si="51"/>
        <v>1371.6062399221539</v>
      </c>
      <c r="I349" s="77">
        <f t="shared" si="53"/>
        <v>215241.85616828472</v>
      </c>
      <c r="J349" s="77">
        <f t="shared" si="53"/>
        <v>283179.71229765494</v>
      </c>
      <c r="K349" s="77">
        <f t="shared" si="52"/>
        <v>18191.893942267401</v>
      </c>
      <c r="L349" s="75">
        <v>400000</v>
      </c>
      <c r="M349" s="75">
        <f t="shared" si="49"/>
        <v>381808.1060577326</v>
      </c>
    </row>
    <row r="350" spans="5:13">
      <c r="E350">
        <v>348</v>
      </c>
      <c r="F350" s="77">
        <f t="shared" si="50"/>
        <v>1432.2458863963786</v>
      </c>
      <c r="G350" s="77">
        <f t="shared" si="47"/>
        <v>56.067625674484155</v>
      </c>
      <c r="H350" s="77">
        <f t="shared" si="51"/>
        <v>1376.1782607218945</v>
      </c>
      <c r="I350" s="77">
        <f t="shared" si="53"/>
        <v>215297.9237939592</v>
      </c>
      <c r="J350" s="77">
        <f t="shared" si="53"/>
        <v>284555.89055837685</v>
      </c>
      <c r="K350" s="77">
        <f t="shared" si="52"/>
        <v>16820.287702345246</v>
      </c>
      <c r="L350" s="75">
        <v>400000</v>
      </c>
      <c r="M350" s="75">
        <f t="shared" si="49"/>
        <v>383179.71229765477</v>
      </c>
    </row>
    <row r="351" spans="5:13">
      <c r="E351">
        <v>349</v>
      </c>
      <c r="F351" s="77">
        <f t="shared" si="50"/>
        <v>1432.2458863963786</v>
      </c>
      <c r="G351" s="77">
        <f t="shared" si="47"/>
        <v>51.480364805411178</v>
      </c>
      <c r="H351" s="77">
        <f t="shared" si="51"/>
        <v>1380.7655215909674</v>
      </c>
      <c r="I351" s="77">
        <f t="shared" si="53"/>
        <v>215349.40415876461</v>
      </c>
      <c r="J351" s="77">
        <f t="shared" si="53"/>
        <v>285936.6560799678</v>
      </c>
      <c r="K351" s="77">
        <f t="shared" si="52"/>
        <v>15444.109441623352</v>
      </c>
      <c r="L351" s="75">
        <v>400000</v>
      </c>
      <c r="M351" s="75">
        <f t="shared" si="49"/>
        <v>384555.89055837668</v>
      </c>
    </row>
    <row r="352" spans="5:13">
      <c r="E352">
        <v>350</v>
      </c>
      <c r="F352" s="77">
        <f t="shared" si="50"/>
        <v>1432.2458863963786</v>
      </c>
      <c r="G352" s="77">
        <f t="shared" si="47"/>
        <v>46.877813066774621</v>
      </c>
      <c r="H352" s="77">
        <f t="shared" si="51"/>
        <v>1385.3680733296039</v>
      </c>
      <c r="I352" s="77">
        <f t="shared" si="53"/>
        <v>215396.28197183137</v>
      </c>
      <c r="J352" s="77">
        <f t="shared" si="53"/>
        <v>287322.02415329742</v>
      </c>
      <c r="K352" s="77">
        <f t="shared" si="52"/>
        <v>14063.343920032385</v>
      </c>
      <c r="L352" s="75">
        <v>400000</v>
      </c>
      <c r="M352" s="75">
        <f t="shared" si="49"/>
        <v>385936.65607996762</v>
      </c>
    </row>
    <row r="353" spans="5:13">
      <c r="E353">
        <v>351</v>
      </c>
      <c r="F353" s="77">
        <f t="shared" si="50"/>
        <v>1432.2458863963786</v>
      </c>
      <c r="G353" s="77">
        <f t="shared" si="47"/>
        <v>42.25991948900927</v>
      </c>
      <c r="H353" s="77">
        <f t="shared" si="51"/>
        <v>1389.9859669073694</v>
      </c>
      <c r="I353" s="77">
        <f t="shared" si="53"/>
        <v>215438.54189132038</v>
      </c>
      <c r="J353" s="77">
        <f t="shared" si="53"/>
        <v>288712.01012020477</v>
      </c>
      <c r="K353" s="77">
        <f t="shared" si="52"/>
        <v>12677.97584670278</v>
      </c>
      <c r="L353" s="75">
        <v>400000</v>
      </c>
      <c r="M353" s="75">
        <f t="shared" si="49"/>
        <v>387322.02415329724</v>
      </c>
    </row>
    <row r="354" spans="5:13">
      <c r="E354">
        <v>352</v>
      </c>
      <c r="F354" s="77">
        <f t="shared" si="50"/>
        <v>1432.2458863963786</v>
      </c>
      <c r="G354" s="77">
        <f t="shared" si="47"/>
        <v>37.626632932651376</v>
      </c>
      <c r="H354" s="77">
        <f t="shared" si="51"/>
        <v>1394.6192534637273</v>
      </c>
      <c r="I354" s="77">
        <f t="shared" si="53"/>
        <v>215476.16852425304</v>
      </c>
      <c r="J354" s="77">
        <f t="shared" si="53"/>
        <v>290106.62937366852</v>
      </c>
      <c r="K354" s="77">
        <f t="shared" si="52"/>
        <v>11287.989879795412</v>
      </c>
      <c r="L354" s="75">
        <v>400000</v>
      </c>
      <c r="M354" s="75">
        <f t="shared" si="49"/>
        <v>388712.01012020459</v>
      </c>
    </row>
    <row r="355" spans="5:13">
      <c r="E355">
        <v>353</v>
      </c>
      <c r="F355" s="77">
        <f t="shared" si="50"/>
        <v>1432.2458863963786</v>
      </c>
      <c r="G355" s="77">
        <f t="shared" si="47"/>
        <v>32.977902087772286</v>
      </c>
      <c r="H355" s="77">
        <f t="shared" si="51"/>
        <v>1399.2679843086064</v>
      </c>
      <c r="I355" s="77">
        <f t="shared" ref="I355:J362" si="54">I354+G355</f>
        <v>215509.1464263408</v>
      </c>
      <c r="J355" s="77">
        <f t="shared" si="54"/>
        <v>291505.89735797711</v>
      </c>
      <c r="K355" s="77">
        <f t="shared" si="52"/>
        <v>9893.3706263316853</v>
      </c>
      <c r="L355" s="75">
        <v>400000</v>
      </c>
      <c r="M355" s="75">
        <f t="shared" si="49"/>
        <v>390106.62937366834</v>
      </c>
    </row>
    <row r="356" spans="5:13">
      <c r="E356">
        <v>354</v>
      </c>
      <c r="F356" s="77">
        <f t="shared" si="50"/>
        <v>1432.2458863963786</v>
      </c>
      <c r="G356" s="77">
        <f t="shared" si="47"/>
        <v>28.313675473410267</v>
      </c>
      <c r="H356" s="77">
        <f t="shared" si="51"/>
        <v>1403.9322109229684</v>
      </c>
      <c r="I356" s="77">
        <f t="shared" si="54"/>
        <v>215537.46010181421</v>
      </c>
      <c r="J356" s="77">
        <f t="shared" si="54"/>
        <v>292909.82956890005</v>
      </c>
      <c r="K356" s="77">
        <f t="shared" si="52"/>
        <v>8494.1026420230792</v>
      </c>
      <c r="L356" s="75">
        <v>400000</v>
      </c>
      <c r="M356" s="75">
        <f t="shared" si="49"/>
        <v>391505.89735797694</v>
      </c>
    </row>
    <row r="357" spans="5:13">
      <c r="E357">
        <v>355</v>
      </c>
      <c r="F357" s="77">
        <f t="shared" si="50"/>
        <v>1432.2458863963786</v>
      </c>
      <c r="G357" s="77">
        <f t="shared" si="47"/>
        <v>23.633901437000368</v>
      </c>
      <c r="H357" s="77">
        <f t="shared" si="51"/>
        <v>1408.6119849593783</v>
      </c>
      <c r="I357" s="77">
        <f t="shared" si="54"/>
        <v>215561.0940032512</v>
      </c>
      <c r="J357" s="77">
        <f t="shared" si="54"/>
        <v>294318.44155385945</v>
      </c>
      <c r="K357" s="77">
        <f t="shared" si="52"/>
        <v>7090.1704311001104</v>
      </c>
      <c r="L357" s="75">
        <v>400000</v>
      </c>
      <c r="M357" s="75">
        <f t="shared" si="49"/>
        <v>392909.82956889988</v>
      </c>
    </row>
    <row r="358" spans="5:13">
      <c r="E358">
        <v>356</v>
      </c>
      <c r="F358" s="77">
        <f t="shared" si="50"/>
        <v>1432.2458863963786</v>
      </c>
      <c r="G358" s="77">
        <f t="shared" si="47"/>
        <v>18.938528153802444</v>
      </c>
      <c r="H358" s="77">
        <f t="shared" si="51"/>
        <v>1413.3073582425761</v>
      </c>
      <c r="I358" s="77">
        <f t="shared" si="54"/>
        <v>215580.03253140501</v>
      </c>
      <c r="J358" s="77">
        <f t="shared" si="54"/>
        <v>295731.74891210202</v>
      </c>
      <c r="K358" s="77">
        <f t="shared" si="52"/>
        <v>5681.5584461407325</v>
      </c>
      <c r="L358" s="75">
        <v>400000</v>
      </c>
      <c r="M358" s="75">
        <f t="shared" si="49"/>
        <v>394318.44155385927</v>
      </c>
    </row>
    <row r="359" spans="5:13">
      <c r="E359">
        <v>357</v>
      </c>
      <c r="F359" s="77">
        <f t="shared" si="50"/>
        <v>1432.2458863963786</v>
      </c>
      <c r="G359" s="77">
        <f t="shared" si="47"/>
        <v>14.22750362632719</v>
      </c>
      <c r="H359" s="77">
        <f t="shared" si="51"/>
        <v>1418.0183827700514</v>
      </c>
      <c r="I359" s="77">
        <f t="shared" si="54"/>
        <v>215594.26003503133</v>
      </c>
      <c r="J359" s="77">
        <f t="shared" si="54"/>
        <v>297149.76729487209</v>
      </c>
      <c r="K359" s="77">
        <f t="shared" si="52"/>
        <v>4268.2510878981566</v>
      </c>
      <c r="L359" s="75">
        <v>400000</v>
      </c>
      <c r="M359" s="75">
        <f t="shared" si="49"/>
        <v>395731.74891210184</v>
      </c>
    </row>
    <row r="360" spans="5:13">
      <c r="E360">
        <v>358</v>
      </c>
      <c r="F360" s="77">
        <f t="shared" si="50"/>
        <v>1432.2458863963786</v>
      </c>
      <c r="G360" s="77">
        <f t="shared" si="47"/>
        <v>9.5007756837603523</v>
      </c>
      <c r="H360" s="77">
        <f t="shared" si="51"/>
        <v>1422.7451107126183</v>
      </c>
      <c r="I360" s="77">
        <f t="shared" si="54"/>
        <v>215603.76081071509</v>
      </c>
      <c r="J360" s="77">
        <f t="shared" si="54"/>
        <v>298572.51240558468</v>
      </c>
      <c r="K360" s="77">
        <f t="shared" si="52"/>
        <v>2850.2327051281054</v>
      </c>
      <c r="L360" s="75">
        <v>400000</v>
      </c>
      <c r="M360" s="75">
        <f t="shared" si="49"/>
        <v>397149.76729487191</v>
      </c>
    </row>
    <row r="361" spans="5:13">
      <c r="E361">
        <v>359</v>
      </c>
      <c r="F361" s="77">
        <f t="shared" si="50"/>
        <v>1432.2458863963786</v>
      </c>
      <c r="G361" s="77">
        <f t="shared" si="47"/>
        <v>4.7582919813849571</v>
      </c>
      <c r="H361" s="77">
        <f t="shared" si="51"/>
        <v>1427.4875944149937</v>
      </c>
      <c r="I361" s="77">
        <f t="shared" si="54"/>
        <v>215608.51910269647</v>
      </c>
      <c r="J361" s="77">
        <f t="shared" si="54"/>
        <v>299999.99999999965</v>
      </c>
      <c r="K361" s="77">
        <f t="shared" si="52"/>
        <v>1427.4875944154871</v>
      </c>
      <c r="L361" s="75">
        <v>400000</v>
      </c>
      <c r="M361" s="75">
        <f t="shared" si="49"/>
        <v>398572.51240558451</v>
      </c>
    </row>
    <row r="362" spans="5:13">
      <c r="E362">
        <v>360</v>
      </c>
      <c r="F362" s="77">
        <f t="shared" si="50"/>
        <v>1432.2458863963786</v>
      </c>
      <c r="G362" s="77">
        <f t="shared" si="47"/>
        <v>1.6446695857060452E-12</v>
      </c>
      <c r="H362" s="77">
        <f t="shared" si="51"/>
        <v>1432.245886396377</v>
      </c>
      <c r="I362" s="77">
        <f t="shared" si="54"/>
        <v>215608.51910269647</v>
      </c>
      <c r="J362" s="77">
        <f t="shared" si="54"/>
        <v>301432.24588639603</v>
      </c>
      <c r="K362" s="77">
        <f t="shared" si="52"/>
        <v>4.9340087571181357E-10</v>
      </c>
      <c r="L362" s="75">
        <v>400000</v>
      </c>
      <c r="M362" s="75">
        <f t="shared" si="49"/>
        <v>399999.99999999953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056D-B648-6248-8CFD-C3D01FAECC4E}">
  <sheetPr>
    <tabColor theme="0" tint="-0.14999847407452621"/>
    <pageSetUpPr fitToPage="1"/>
  </sheetPr>
  <dimension ref="B2:J21"/>
  <sheetViews>
    <sheetView showGridLines="0" zoomScale="131" zoomScaleNormal="131" workbookViewId="0">
      <selection activeCell="G4" sqref="G4:J6"/>
    </sheetView>
  </sheetViews>
  <sheetFormatPr defaultColWidth="9.109375" defaultRowHeight="13.2"/>
  <cols>
    <col min="1" max="1" width="9.109375" style="4"/>
    <col min="2" max="2" width="15.6640625" style="4" customWidth="1"/>
    <col min="3" max="3" width="22.44140625" style="4" customWidth="1"/>
    <col min="4" max="4" width="15.6640625" style="4" customWidth="1"/>
    <col min="5" max="16384" width="9.109375" style="4"/>
  </cols>
  <sheetData>
    <row r="2" spans="2:10" s="1" customFormat="1" ht="17.399999999999999">
      <c r="B2" s="1" t="s">
        <v>348</v>
      </c>
      <c r="G2" s="1" t="s">
        <v>348</v>
      </c>
    </row>
    <row r="3" spans="2:10" s="1" customFormat="1" ht="17.399999999999999"/>
    <row r="4" spans="2:10" ht="15" customHeight="1">
      <c r="B4" s="116"/>
      <c r="C4" s="173" t="s">
        <v>345</v>
      </c>
      <c r="D4" s="173" t="s">
        <v>346</v>
      </c>
      <c r="E4" s="173" t="s">
        <v>347</v>
      </c>
      <c r="G4" s="116"/>
      <c r="H4" s="173" t="s">
        <v>360</v>
      </c>
      <c r="I4" s="173" t="s">
        <v>361</v>
      </c>
      <c r="J4" s="173" t="s">
        <v>362</v>
      </c>
    </row>
    <row r="5" spans="2:10" ht="15" customHeight="1">
      <c r="B5" s="4" t="s">
        <v>343</v>
      </c>
      <c r="C5" s="171">
        <v>300000</v>
      </c>
      <c r="D5" s="171">
        <v>24000</v>
      </c>
      <c r="E5" s="170">
        <f>C5/D5</f>
        <v>12.5</v>
      </c>
      <c r="G5" s="4" t="s">
        <v>343</v>
      </c>
      <c r="H5" s="171">
        <v>25000</v>
      </c>
      <c r="I5" s="171">
        <v>21000</v>
      </c>
      <c r="J5" s="170">
        <f>H5/I5</f>
        <v>1.1904761904761905</v>
      </c>
    </row>
    <row r="6" spans="2:10" ht="15" customHeight="1">
      <c r="B6" s="4" t="s">
        <v>344</v>
      </c>
      <c r="C6" s="171">
        <v>350000</v>
      </c>
      <c r="D6" s="171">
        <v>36000</v>
      </c>
      <c r="E6" s="170">
        <f>C6/D6</f>
        <v>9.7222222222222214</v>
      </c>
      <c r="G6" s="4" t="s">
        <v>344</v>
      </c>
      <c r="H6" s="171">
        <v>22000</v>
      </c>
      <c r="I6" s="171">
        <v>15000</v>
      </c>
      <c r="J6" s="170">
        <f>H6/I6</f>
        <v>1.4666666666666666</v>
      </c>
    </row>
    <row r="7" spans="2:10" ht="15" customHeight="1">
      <c r="B7"/>
    </row>
    <row r="8" spans="2:10" ht="15" customHeight="1">
      <c r="B8" t="s">
        <v>349</v>
      </c>
    </row>
    <row r="9" spans="2:10" ht="15" customHeight="1">
      <c r="B9" s="116"/>
      <c r="C9" s="173" t="s">
        <v>345</v>
      </c>
      <c r="D9" s="173" t="s">
        <v>350</v>
      </c>
      <c r="E9" s="173" t="s">
        <v>349</v>
      </c>
    </row>
    <row r="10" spans="2:10" ht="15" customHeight="1">
      <c r="B10" s="4" t="s">
        <v>343</v>
      </c>
      <c r="C10" s="171">
        <v>300000</v>
      </c>
      <c r="D10" s="171">
        <f>D5/12</f>
        <v>2000</v>
      </c>
      <c r="E10" s="172">
        <f>D10/C10</f>
        <v>6.6666666666666671E-3</v>
      </c>
    </row>
    <row r="11" spans="2:10" ht="15" customHeight="1">
      <c r="B11" s="4" t="s">
        <v>344</v>
      </c>
      <c r="C11" s="171">
        <v>350000</v>
      </c>
      <c r="D11" s="171">
        <f>D6/12</f>
        <v>3000</v>
      </c>
      <c r="E11" s="172">
        <f>D11/C11</f>
        <v>8.5714285714285719E-3</v>
      </c>
    </row>
    <row r="17" spans="2:5" ht="14.4">
      <c r="B17" s="116" t="s">
        <v>357</v>
      </c>
      <c r="C17" s="173" t="s">
        <v>355</v>
      </c>
      <c r="D17" s="173" t="s">
        <v>356</v>
      </c>
      <c r="E17" s="173" t="s">
        <v>349</v>
      </c>
    </row>
    <row r="18" spans="2:5">
      <c r="B18" s="4" t="s">
        <v>351</v>
      </c>
      <c r="C18" s="171">
        <v>465000</v>
      </c>
      <c r="D18" s="171">
        <v>2400</v>
      </c>
      <c r="E18" s="172">
        <f>D18/C18</f>
        <v>5.1612903225806452E-3</v>
      </c>
    </row>
    <row r="19" spans="2:5">
      <c r="B19" s="4" t="s">
        <v>352</v>
      </c>
      <c r="C19" s="171">
        <v>425000</v>
      </c>
      <c r="D19" s="171">
        <v>2600</v>
      </c>
      <c r="E19" s="172">
        <f>D19/C19</f>
        <v>6.1176470588235297E-3</v>
      </c>
    </row>
    <row r="20" spans="2:5">
      <c r="B20" s="4" t="s">
        <v>354</v>
      </c>
      <c r="C20" s="171">
        <v>400000</v>
      </c>
      <c r="D20" s="171">
        <v>2825</v>
      </c>
      <c r="E20" s="172">
        <f>D20/C20</f>
        <v>7.0625000000000002E-3</v>
      </c>
    </row>
    <row r="21" spans="2:5">
      <c r="B21" s="4" t="s">
        <v>353</v>
      </c>
      <c r="C21" s="171">
        <v>365000</v>
      </c>
      <c r="D21" s="171">
        <v>2100</v>
      </c>
      <c r="E21" s="172">
        <f>D21/C21</f>
        <v>5.7534246575342467E-3</v>
      </c>
    </row>
  </sheetData>
  <printOptions horizontalCentered="1"/>
  <pageMargins left="0.75" right="0.75" top="1" bottom="1" header="0.5" footer="0.5"/>
  <pageSetup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238A-B386-0443-83A9-64B909C251DD}">
  <dimension ref="B5:H26"/>
  <sheetViews>
    <sheetView zoomScale="121" zoomScaleNormal="121" workbookViewId="0">
      <selection activeCell="K36" sqref="K36"/>
    </sheetView>
  </sheetViews>
  <sheetFormatPr defaultColWidth="11.5546875" defaultRowHeight="14.4"/>
  <cols>
    <col min="1" max="2" width="10.77734375"/>
    <col min="3" max="3" width="15" customWidth="1"/>
    <col min="4" max="4" width="12.109375" customWidth="1"/>
    <col min="7" max="7" width="15.77734375" customWidth="1"/>
  </cols>
  <sheetData>
    <row r="5" spans="2:8">
      <c r="B5" s="116"/>
      <c r="C5" s="116" t="s">
        <v>261</v>
      </c>
      <c r="D5" s="116" t="s">
        <v>260</v>
      </c>
      <c r="F5" s="116"/>
      <c r="G5" s="116" t="s">
        <v>261</v>
      </c>
      <c r="H5" s="116" t="s">
        <v>260</v>
      </c>
    </row>
    <row r="6" spans="2:8">
      <c r="B6" t="s">
        <v>254</v>
      </c>
      <c r="C6" s="63">
        <v>100</v>
      </c>
      <c r="F6" t="s">
        <v>254</v>
      </c>
      <c r="G6" s="63">
        <v>100</v>
      </c>
    </row>
    <row r="7" spans="2:8">
      <c r="B7" t="s">
        <v>255</v>
      </c>
      <c r="C7" s="63">
        <v>180</v>
      </c>
      <c r="D7" s="94">
        <f>(C7-C6)/C6</f>
        <v>0.8</v>
      </c>
      <c r="F7" t="s">
        <v>255</v>
      </c>
      <c r="G7" s="63">
        <v>180</v>
      </c>
      <c r="H7" s="94">
        <f>(G7-G6)/G6</f>
        <v>0.8</v>
      </c>
    </row>
    <row r="8" spans="2:8">
      <c r="B8" t="s">
        <v>256</v>
      </c>
      <c r="C8" s="63">
        <v>135</v>
      </c>
      <c r="D8" s="94">
        <f>(C8-C7)/C7</f>
        <v>-0.25</v>
      </c>
      <c r="F8" t="s">
        <v>256</v>
      </c>
      <c r="G8" s="63">
        <v>135</v>
      </c>
      <c r="H8" s="94">
        <f>(G8-G7)/G7</f>
        <v>-0.25</v>
      </c>
    </row>
    <row r="9" spans="2:8">
      <c r="B9" t="s">
        <v>258</v>
      </c>
      <c r="C9" s="63">
        <v>170</v>
      </c>
      <c r="D9" s="94">
        <f>(C9-C8)/C8</f>
        <v>0.25925925925925924</v>
      </c>
      <c r="F9" t="s">
        <v>258</v>
      </c>
      <c r="G9" s="63">
        <v>170</v>
      </c>
      <c r="H9" s="94">
        <f>(G9-G8)/G8</f>
        <v>0.25925925925925924</v>
      </c>
    </row>
    <row r="10" spans="2:8">
      <c r="B10" s="117" t="s">
        <v>257</v>
      </c>
      <c r="C10" s="118">
        <v>220</v>
      </c>
      <c r="D10" s="119">
        <f>(C10-C9)/C9</f>
        <v>0.29411764705882354</v>
      </c>
      <c r="F10" s="117" t="s">
        <v>257</v>
      </c>
      <c r="G10" s="118">
        <v>100</v>
      </c>
      <c r="H10" s="119">
        <f>(G10-G9)/G9</f>
        <v>-0.41176470588235292</v>
      </c>
    </row>
    <row r="11" spans="2:8">
      <c r="B11" s="78" t="s">
        <v>242</v>
      </c>
      <c r="C11" s="120">
        <f>C10/C6-1</f>
        <v>1.2000000000000002</v>
      </c>
      <c r="D11" s="78"/>
      <c r="F11" s="78" t="s">
        <v>242</v>
      </c>
      <c r="G11" s="120">
        <f>G10/G6-1</f>
        <v>0</v>
      </c>
      <c r="H11" s="78"/>
    </row>
    <row r="12" spans="2:8">
      <c r="B12" s="78" t="s">
        <v>259</v>
      </c>
      <c r="C12" s="78"/>
      <c r="D12" s="120">
        <f>SUM(D7:D10)/COUNT(D7:D10)</f>
        <v>0.27584422657952073</v>
      </c>
      <c r="F12" s="78" t="s">
        <v>259</v>
      </c>
      <c r="G12" s="78"/>
      <c r="H12" s="120">
        <f>SUM(H7:H10)/COUNT(H7:H10)</f>
        <v>9.9373638344226606E-2</v>
      </c>
    </row>
    <row r="14" spans="2:8">
      <c r="B14" s="116"/>
      <c r="C14" s="116" t="s">
        <v>261</v>
      </c>
      <c r="D14" s="116" t="s">
        <v>260</v>
      </c>
    </row>
    <row r="15" spans="2:8">
      <c r="B15" t="s">
        <v>254</v>
      </c>
      <c r="C15" s="63">
        <v>200</v>
      </c>
    </row>
    <row r="16" spans="2:8">
      <c r="B16" t="s">
        <v>255</v>
      </c>
      <c r="C16" s="63">
        <v>250</v>
      </c>
      <c r="D16" s="94">
        <f>(C16-C15)/C15</f>
        <v>0.25</v>
      </c>
    </row>
    <row r="17" spans="2:5">
      <c r="B17" s="117" t="s">
        <v>256</v>
      </c>
      <c r="C17" s="118">
        <v>350</v>
      </c>
      <c r="D17" s="119">
        <f>(C17-C16)/C16</f>
        <v>0.4</v>
      </c>
    </row>
    <row r="18" spans="2:5">
      <c r="B18" s="78" t="s">
        <v>242</v>
      </c>
      <c r="C18" s="120">
        <f>C17/C15-1</f>
        <v>0.75</v>
      </c>
      <c r="D18" s="78"/>
    </row>
    <row r="19" spans="2:5">
      <c r="B19" s="78" t="s">
        <v>259</v>
      </c>
      <c r="C19" s="78"/>
      <c r="D19" s="120">
        <f>SUM(D15:D17)/COUNT(D15:D17)</f>
        <v>0.32500000000000001</v>
      </c>
    </row>
    <row r="26" spans="2:5">
      <c r="E26" s="115" t="s">
        <v>253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94AD-0943-CF4D-A7FD-CB052D0E81A9}">
  <sheetPr>
    <tabColor theme="0" tint="-0.14999847407452621"/>
    <pageSetUpPr fitToPage="1"/>
  </sheetPr>
  <dimension ref="B2:P177"/>
  <sheetViews>
    <sheetView showGridLines="0" zoomScaleNormal="131" workbookViewId="0">
      <selection activeCell="O53" sqref="O53"/>
    </sheetView>
  </sheetViews>
  <sheetFormatPr defaultColWidth="9.109375" defaultRowHeight="13.2"/>
  <cols>
    <col min="1" max="1" width="9.109375" style="4"/>
    <col min="2" max="2" width="32" style="2" customWidth="1"/>
    <col min="3" max="3" width="17.44140625" style="3" customWidth="1"/>
    <col min="4" max="4" width="1.44140625" style="4" customWidth="1"/>
    <col min="5" max="5" width="32" style="2" customWidth="1"/>
    <col min="6" max="6" width="17.44140625" style="3" customWidth="1"/>
    <col min="7" max="7" width="23.109375" style="4" customWidth="1"/>
    <col min="8" max="8" width="32" style="2" customWidth="1"/>
    <col min="9" max="9" width="17.44140625" style="3" customWidth="1"/>
    <col min="10" max="10" width="5.44140625" style="4" customWidth="1"/>
    <col min="11" max="11" width="8.6640625" style="4" customWidth="1"/>
    <col min="12" max="12" width="22" style="4" customWidth="1"/>
    <col min="13" max="16" width="15.6640625" style="4" customWidth="1"/>
    <col min="17" max="16384" width="9.109375" style="4"/>
  </cols>
  <sheetData>
    <row r="2" spans="2:16" s="1" customFormat="1" ht="17.399999999999999">
      <c r="B2" s="361" t="s">
        <v>0</v>
      </c>
      <c r="C2" s="362"/>
      <c r="D2" s="363"/>
      <c r="E2" s="363"/>
      <c r="F2" s="363"/>
    </row>
    <row r="3" spans="2:16" s="1" customFormat="1" ht="17.399999999999999">
      <c r="B3" s="361" t="s">
        <v>331</v>
      </c>
      <c r="C3" s="361"/>
      <c r="D3" s="363"/>
      <c r="E3" s="363"/>
      <c r="F3" s="363"/>
    </row>
    <row r="4" spans="2:16" ht="15" customHeight="1"/>
    <row r="5" spans="2:16" ht="15" customHeight="1">
      <c r="B5" s="364" t="s">
        <v>2</v>
      </c>
      <c r="C5" s="365"/>
      <c r="E5" s="364" t="s">
        <v>3</v>
      </c>
      <c r="F5" s="365"/>
      <c r="H5" s="364" t="s">
        <v>3</v>
      </c>
      <c r="I5" s="365"/>
    </row>
    <row r="6" spans="2:16" ht="15" customHeight="1">
      <c r="B6" s="5"/>
      <c r="C6" s="6"/>
      <c r="E6" s="5"/>
      <c r="F6" s="6"/>
      <c r="H6" s="5"/>
      <c r="I6" s="6"/>
    </row>
    <row r="7" spans="2:16" ht="15" customHeight="1" thickBot="1">
      <c r="B7" s="5"/>
      <c r="C7" s="7" t="s">
        <v>4</v>
      </c>
      <c r="E7" s="5"/>
      <c r="F7" s="7" t="s">
        <v>4</v>
      </c>
      <c r="H7" s="5"/>
      <c r="I7" s="7" t="s">
        <v>4</v>
      </c>
      <c r="K7"/>
      <c r="L7"/>
      <c r="M7"/>
      <c r="N7"/>
      <c r="O7"/>
      <c r="P7"/>
    </row>
    <row r="8" spans="2:16" ht="15" customHeight="1">
      <c r="B8" s="157" t="s">
        <v>5</v>
      </c>
      <c r="C8" s="158"/>
      <c r="E8" s="157" t="s">
        <v>6</v>
      </c>
      <c r="F8" s="158"/>
      <c r="H8" s="157" t="s">
        <v>6</v>
      </c>
      <c r="I8" s="158"/>
      <c r="K8"/>
      <c r="L8" s="10"/>
      <c r="M8" s="11" t="s">
        <v>7</v>
      </c>
      <c r="N8" s="11" t="s">
        <v>8</v>
      </c>
      <c r="O8" s="12" t="s">
        <v>9</v>
      </c>
      <c r="P8"/>
    </row>
    <row r="9" spans="2:16" ht="15" customHeight="1">
      <c r="B9" s="13" t="s">
        <v>10</v>
      </c>
      <c r="C9" s="14">
        <v>200</v>
      </c>
      <c r="E9" s="13" t="s">
        <v>11</v>
      </c>
      <c r="F9" s="14">
        <f>145000-6800</f>
        <v>138200</v>
      </c>
      <c r="H9" s="13" t="s">
        <v>11</v>
      </c>
      <c r="I9" s="14">
        <f>145000-6800</f>
        <v>138200</v>
      </c>
      <c r="K9"/>
      <c r="L9" s="15" t="s">
        <v>12</v>
      </c>
      <c r="M9" s="16">
        <v>100000</v>
      </c>
      <c r="N9" s="16">
        <v>100000</v>
      </c>
      <c r="O9" s="17">
        <v>100000</v>
      </c>
      <c r="P9"/>
    </row>
    <row r="10" spans="2:16" ht="15" customHeight="1">
      <c r="B10" s="13" t="s">
        <v>13</v>
      </c>
      <c r="C10" s="14">
        <v>20000</v>
      </c>
      <c r="E10" s="13" t="s">
        <v>14</v>
      </c>
      <c r="F10" s="14">
        <v>26300</v>
      </c>
      <c r="H10" s="13" t="s">
        <v>14</v>
      </c>
      <c r="I10" s="14">
        <v>26300</v>
      </c>
      <c r="K10"/>
      <c r="L10" s="15" t="s">
        <v>15</v>
      </c>
      <c r="M10" s="16">
        <v>0</v>
      </c>
      <c r="N10" s="16">
        <v>80000</v>
      </c>
      <c r="O10" s="17">
        <v>80000</v>
      </c>
      <c r="P10"/>
    </row>
    <row r="11" spans="2:16" ht="15" customHeight="1">
      <c r="B11" s="13" t="s">
        <v>16</v>
      </c>
      <c r="C11" s="14">
        <v>5000</v>
      </c>
      <c r="E11" s="13" t="s">
        <v>17</v>
      </c>
      <c r="F11" s="18">
        <v>3200</v>
      </c>
      <c r="H11" s="13" t="s">
        <v>17</v>
      </c>
      <c r="I11" s="18">
        <v>3200</v>
      </c>
      <c r="K11"/>
      <c r="L11" s="15" t="s">
        <v>18</v>
      </c>
      <c r="M11" s="16">
        <v>100000</v>
      </c>
      <c r="N11" s="16">
        <v>20000</v>
      </c>
      <c r="O11" s="17">
        <v>20000</v>
      </c>
      <c r="P11"/>
    </row>
    <row r="12" spans="2:16" ht="15" customHeight="1">
      <c r="B12" s="13"/>
      <c r="C12" s="18"/>
      <c r="E12" s="13"/>
      <c r="F12" s="18"/>
      <c r="H12" s="13"/>
      <c r="I12" s="18"/>
      <c r="K12"/>
      <c r="L12" s="15" t="s">
        <v>19</v>
      </c>
      <c r="M12" s="19" t="s">
        <v>20</v>
      </c>
      <c r="N12" s="19">
        <v>4.4999999999999998E-2</v>
      </c>
      <c r="O12" s="20">
        <v>7.0000000000000007E-2</v>
      </c>
      <c r="P12"/>
    </row>
    <row r="13" spans="2:16" ht="15" customHeight="1">
      <c r="B13" s="157" t="s">
        <v>21</v>
      </c>
      <c r="C13" s="158"/>
      <c r="E13" s="157" t="s">
        <v>22</v>
      </c>
      <c r="F13" s="158"/>
      <c r="H13" s="157" t="s">
        <v>22</v>
      </c>
      <c r="I13" s="158"/>
      <c r="K13"/>
      <c r="L13" s="15" t="s">
        <v>23</v>
      </c>
      <c r="M13" s="16">
        <v>7200</v>
      </c>
      <c r="N13" s="16">
        <v>2340</v>
      </c>
      <c r="O13" s="17">
        <v>816</v>
      </c>
      <c r="P13"/>
    </row>
    <row r="14" spans="2:16" ht="15" customHeight="1" thickBot="1">
      <c r="B14" s="13" t="s">
        <v>24</v>
      </c>
      <c r="C14" s="14">
        <v>54500</v>
      </c>
      <c r="E14" s="13" t="s">
        <v>25</v>
      </c>
      <c r="F14" s="14">
        <v>6800</v>
      </c>
      <c r="H14" s="13" t="s">
        <v>25</v>
      </c>
      <c r="I14" s="14">
        <v>6800</v>
      </c>
      <c r="K14"/>
      <c r="L14" s="21" t="s">
        <v>26</v>
      </c>
      <c r="M14" s="22">
        <v>7.1999999999999995E-2</v>
      </c>
      <c r="N14" s="22">
        <f>N13/N11</f>
        <v>0.11700000000000001</v>
      </c>
      <c r="O14" s="23">
        <f>O13/O11</f>
        <v>4.0800000000000003E-2</v>
      </c>
      <c r="P14"/>
    </row>
    <row r="15" spans="2:16" ht="15" customHeight="1">
      <c r="B15" s="13"/>
      <c r="C15" s="14"/>
      <c r="E15" s="13"/>
      <c r="F15" s="14"/>
      <c r="H15" s="13"/>
      <c r="I15" s="14"/>
      <c r="K15"/>
      <c r="L15"/>
      <c r="M15" s="24"/>
      <c r="N15" s="24"/>
      <c r="O15" s="24"/>
      <c r="P15"/>
    </row>
    <row r="16" spans="2:16" ht="15" customHeight="1" thickBot="1">
      <c r="B16" s="165" t="s">
        <v>27</v>
      </c>
      <c r="C16" s="166"/>
      <c r="E16" s="157" t="s">
        <v>28</v>
      </c>
      <c r="F16" s="158"/>
      <c r="H16" s="157" t="s">
        <v>28</v>
      </c>
      <c r="I16" s="158"/>
      <c r="K16"/>
      <c r="P16"/>
    </row>
    <row r="17" spans="2:16" ht="15" customHeight="1">
      <c r="B17" s="13" t="s">
        <v>29</v>
      </c>
      <c r="C17" s="14">
        <v>3200</v>
      </c>
      <c r="E17" s="13" t="s">
        <v>30</v>
      </c>
      <c r="F17" s="14">
        <v>18000</v>
      </c>
      <c r="H17" s="13" t="s">
        <v>30</v>
      </c>
      <c r="I17" s="14">
        <v>18000</v>
      </c>
      <c r="K17"/>
      <c r="L17" s="10"/>
      <c r="M17" s="11" t="s">
        <v>7</v>
      </c>
      <c r="N17" s="11" t="s">
        <v>8</v>
      </c>
      <c r="O17" s="12" t="s">
        <v>9</v>
      </c>
      <c r="P17"/>
    </row>
    <row r="18" spans="2:16" ht="15" customHeight="1">
      <c r="B18" s="13" t="s">
        <v>31</v>
      </c>
      <c r="C18" s="14">
        <v>800</v>
      </c>
      <c r="E18" s="13"/>
      <c r="F18" s="14"/>
      <c r="H18" s="13"/>
      <c r="I18" s="14"/>
      <c r="L18" s="15" t="s">
        <v>32</v>
      </c>
      <c r="M18" s="19">
        <v>7.1999999999999995E-2</v>
      </c>
      <c r="N18" s="27" t="s">
        <v>20</v>
      </c>
      <c r="O18" s="28" t="s">
        <v>20</v>
      </c>
    </row>
    <row r="19" spans="2:16" ht="15" customHeight="1" thickBot="1">
      <c r="B19" s="13"/>
      <c r="C19" s="14"/>
      <c r="E19" s="13"/>
      <c r="F19" s="14"/>
      <c r="H19" s="165" t="s">
        <v>33</v>
      </c>
      <c r="I19" s="167">
        <f>SUM(I9:I18)</f>
        <v>192500</v>
      </c>
      <c r="L19" s="15" t="s">
        <v>34</v>
      </c>
      <c r="M19" s="27" t="s">
        <v>20</v>
      </c>
      <c r="N19" s="27">
        <v>6.0999999999999999E-2</v>
      </c>
      <c r="O19" s="28">
        <f>6384/80000</f>
        <v>7.9799999999999996E-2</v>
      </c>
    </row>
    <row r="20" spans="2:16" ht="15" customHeight="1" thickTop="1" thickBot="1">
      <c r="B20" s="165" t="s">
        <v>35</v>
      </c>
      <c r="C20" s="166"/>
      <c r="E20" s="13"/>
      <c r="F20" s="14"/>
      <c r="H20" s="30"/>
      <c r="I20" s="31"/>
      <c r="L20" s="21" t="s">
        <v>36</v>
      </c>
      <c r="M20" s="22" t="s">
        <v>20</v>
      </c>
      <c r="N20" s="22">
        <f>M18-N19</f>
        <v>1.0999999999999996E-2</v>
      </c>
      <c r="O20" s="23">
        <f>M18-O19</f>
        <v>-7.8000000000000014E-3</v>
      </c>
    </row>
    <row r="21" spans="2:16" ht="15" customHeight="1">
      <c r="B21" s="13" t="s">
        <v>37</v>
      </c>
      <c r="C21" s="14">
        <v>65000</v>
      </c>
      <c r="E21" s="32"/>
      <c r="F21" s="33"/>
    </row>
    <row r="22" spans="2:16" ht="15" customHeight="1">
      <c r="B22" s="13"/>
      <c r="C22" s="14"/>
      <c r="E22" s="13"/>
      <c r="F22" s="14"/>
    </row>
    <row r="23" spans="2:16" ht="15" customHeight="1" thickBot="1">
      <c r="B23" s="165" t="s">
        <v>38</v>
      </c>
      <c r="C23" s="166"/>
      <c r="E23" s="13"/>
      <c r="F23" s="14"/>
      <c r="L23"/>
      <c r="M23"/>
      <c r="N23"/>
      <c r="O23"/>
      <c r="P23"/>
    </row>
    <row r="24" spans="2:16" ht="15" customHeight="1">
      <c r="B24" s="13" t="s">
        <v>39</v>
      </c>
      <c r="C24" s="14">
        <v>185000</v>
      </c>
      <c r="E24" s="32"/>
      <c r="F24" s="33"/>
      <c r="H24" s="4"/>
      <c r="I24" s="4"/>
      <c r="L24" s="10"/>
      <c r="M24" s="11" t="s">
        <v>7</v>
      </c>
      <c r="N24" s="11" t="s">
        <v>8</v>
      </c>
      <c r="O24" s="12" t="s">
        <v>9</v>
      </c>
      <c r="P24"/>
    </row>
    <row r="25" spans="2:16" ht="15" customHeight="1">
      <c r="B25" s="13" t="s">
        <v>40</v>
      </c>
      <c r="C25" s="14">
        <v>7000</v>
      </c>
      <c r="E25" s="13"/>
      <c r="F25" s="14"/>
      <c r="H25" s="4"/>
      <c r="I25" s="4"/>
      <c r="L25" s="15" t="s">
        <v>12</v>
      </c>
      <c r="M25" s="16">
        <v>100000</v>
      </c>
      <c r="N25" s="16">
        <v>100000</v>
      </c>
      <c r="O25" s="17">
        <v>100000</v>
      </c>
      <c r="P25"/>
    </row>
    <row r="26" spans="2:16" ht="15" customHeight="1">
      <c r="B26" s="13" t="s">
        <v>41</v>
      </c>
      <c r="C26" s="14">
        <v>2000</v>
      </c>
      <c r="E26" s="13"/>
      <c r="F26" s="14"/>
      <c r="H26" s="4"/>
      <c r="I26" s="4"/>
      <c r="L26" s="15" t="s">
        <v>15</v>
      </c>
      <c r="M26" s="16">
        <v>0</v>
      </c>
      <c r="N26" s="16">
        <v>80000</v>
      </c>
      <c r="O26" s="17">
        <v>80000</v>
      </c>
      <c r="P26"/>
    </row>
    <row r="27" spans="2:16" ht="15" customHeight="1">
      <c r="B27" s="13" t="s">
        <v>42</v>
      </c>
      <c r="C27" s="14">
        <v>5000</v>
      </c>
      <c r="E27" s="13"/>
      <c r="F27" s="14"/>
      <c r="H27" s="4" t="s">
        <v>118</v>
      </c>
      <c r="I27" s="4"/>
      <c r="L27" s="15" t="s">
        <v>18</v>
      </c>
      <c r="M27" s="16">
        <v>100000</v>
      </c>
      <c r="N27" s="16">
        <v>20000</v>
      </c>
      <c r="O27" s="17">
        <v>20000</v>
      </c>
      <c r="P27"/>
    </row>
    <row r="28" spans="2:16" ht="15" customHeight="1">
      <c r="B28" s="13"/>
      <c r="C28" s="14"/>
      <c r="E28" s="13"/>
      <c r="F28" s="14"/>
      <c r="H28" s="4"/>
      <c r="I28" s="4"/>
      <c r="L28" s="15" t="s">
        <v>19</v>
      </c>
      <c r="M28" s="19" t="s">
        <v>20</v>
      </c>
      <c r="N28" s="19">
        <v>4.4999999999999998E-2</v>
      </c>
      <c r="O28" s="20">
        <v>7.0000000000000007E-2</v>
      </c>
      <c r="P28"/>
    </row>
    <row r="29" spans="2:16" ht="15" customHeight="1" thickBot="1">
      <c r="B29" s="165" t="s">
        <v>43</v>
      </c>
      <c r="C29" s="167">
        <f>SUM(C9:C28)</f>
        <v>347700</v>
      </c>
      <c r="E29" s="165" t="s">
        <v>43</v>
      </c>
      <c r="F29" s="167">
        <f>SUM(F9:F28)</f>
        <v>192500</v>
      </c>
      <c r="H29" s="4"/>
      <c r="I29" s="4"/>
      <c r="L29" s="15" t="s">
        <v>23</v>
      </c>
      <c r="M29" s="16">
        <v>7200</v>
      </c>
      <c r="N29" s="16">
        <v>2340</v>
      </c>
      <c r="O29" s="17">
        <v>816</v>
      </c>
      <c r="P29"/>
    </row>
    <row r="30" spans="2:16" ht="15" customHeight="1" thickTop="1">
      <c r="B30" s="30"/>
      <c r="C30" s="31"/>
      <c r="E30" s="30"/>
      <c r="F30" s="31"/>
      <c r="H30" s="4"/>
      <c r="I30" s="4"/>
      <c r="L30" s="15" t="s">
        <v>32</v>
      </c>
      <c r="M30" s="19">
        <v>7.1999999999999995E-2</v>
      </c>
      <c r="N30" s="27" t="s">
        <v>20</v>
      </c>
      <c r="O30" s="28" t="s">
        <v>20</v>
      </c>
      <c r="P30"/>
    </row>
    <row r="31" spans="2:16" ht="15.6">
      <c r="B31" s="34"/>
      <c r="C31" s="35"/>
      <c r="D31" s="36"/>
      <c r="E31" s="37" t="s">
        <v>44</v>
      </c>
      <c r="F31" s="38">
        <f>C29-F29</f>
        <v>155200</v>
      </c>
      <c r="H31" s="4"/>
      <c r="I31" s="4"/>
      <c r="L31" s="15" t="s">
        <v>34</v>
      </c>
      <c r="M31" s="27" t="s">
        <v>20</v>
      </c>
      <c r="N31" s="27">
        <v>6.0999999999999999E-2</v>
      </c>
      <c r="O31" s="28">
        <v>0.08</v>
      </c>
      <c r="P31"/>
    </row>
    <row r="32" spans="2:16" ht="15" thickBot="1">
      <c r="H32" s="4"/>
      <c r="I32" s="4"/>
      <c r="L32" s="21" t="s">
        <v>36</v>
      </c>
      <c r="M32" s="22" t="s">
        <v>20</v>
      </c>
      <c r="N32" s="22">
        <f>M30-N31</f>
        <v>1.0999999999999996E-2</v>
      </c>
      <c r="O32" s="23">
        <f>M30-O31</f>
        <v>-8.0000000000000071E-3</v>
      </c>
      <c r="P32"/>
    </row>
    <row r="33" spans="2:16" ht="14.4">
      <c r="H33" s="4"/>
      <c r="I33" s="4"/>
      <c r="L33"/>
      <c r="M33" s="24"/>
      <c r="N33" s="24"/>
      <c r="O33" s="24"/>
      <c r="P33"/>
    </row>
    <row r="34" spans="2:16">
      <c r="E34" s="4"/>
      <c r="F34" s="4"/>
      <c r="H34" s="4"/>
      <c r="I34" s="4"/>
    </row>
    <row r="35" spans="2:16">
      <c r="E35" s="4"/>
      <c r="F35" s="4"/>
      <c r="G35" s="352" t="s">
        <v>434</v>
      </c>
      <c r="H35" s="353"/>
      <c r="I35" s="4"/>
    </row>
    <row r="36" spans="2:16" ht="13.8">
      <c r="B36" s="348" t="s">
        <v>45</v>
      </c>
      <c r="C36" s="349"/>
      <c r="E36" s="4"/>
      <c r="F36" s="4"/>
      <c r="G36" s="354" t="s">
        <v>324</v>
      </c>
      <c r="H36" s="355"/>
      <c r="I36" s="4"/>
    </row>
    <row r="37" spans="2:16" ht="13.8">
      <c r="B37" s="350" t="s">
        <v>330</v>
      </c>
      <c r="C37" s="351"/>
      <c r="E37" s="4"/>
      <c r="G37" s="157" t="s">
        <v>71</v>
      </c>
      <c r="H37" s="158"/>
      <c r="I37" s="4"/>
    </row>
    <row r="38" spans="2:16" ht="13.8">
      <c r="E38" s="4"/>
      <c r="G38" s="39" t="s">
        <v>419</v>
      </c>
      <c r="H38" s="189">
        <v>120000</v>
      </c>
      <c r="I38" s="4"/>
    </row>
    <row r="39" spans="2:16" ht="13.8">
      <c r="B39" s="157" t="s">
        <v>47</v>
      </c>
      <c r="C39" s="158"/>
      <c r="E39" s="4"/>
      <c r="G39" s="39" t="s">
        <v>420</v>
      </c>
      <c r="H39" s="189">
        <v>-12000</v>
      </c>
      <c r="I39" s="4"/>
    </row>
    <row r="40" spans="2:16" ht="13.8">
      <c r="B40" s="13" t="s">
        <v>48</v>
      </c>
      <c r="C40" s="14"/>
      <c r="E40" s="4"/>
      <c r="G40" s="183" t="s">
        <v>107</v>
      </c>
      <c r="H40" s="190">
        <v>3000</v>
      </c>
      <c r="I40" s="4"/>
    </row>
    <row r="41" spans="2:16" ht="27.6">
      <c r="B41" s="39" t="s">
        <v>49</v>
      </c>
      <c r="C41" s="40">
        <v>75462</v>
      </c>
      <c r="E41" s="4"/>
      <c r="G41" s="185" t="s">
        <v>421</v>
      </c>
      <c r="H41" s="191">
        <v>111000</v>
      </c>
      <c r="I41" s="4"/>
    </row>
    <row r="42" spans="2:16" ht="13.8">
      <c r="B42" s="39" t="s">
        <v>50</v>
      </c>
      <c r="C42" s="40">
        <f>281559-7021</f>
        <v>274538</v>
      </c>
      <c r="E42" s="4"/>
      <c r="G42" s="157" t="s">
        <v>80</v>
      </c>
      <c r="H42" s="182"/>
      <c r="I42" s="4"/>
    </row>
    <row r="43" spans="2:16" ht="13.8">
      <c r="B43" s="39" t="s">
        <v>51</v>
      </c>
      <c r="C43" s="40">
        <v>8254</v>
      </c>
      <c r="E43" s="4"/>
      <c r="G43" s="39" t="s">
        <v>422</v>
      </c>
      <c r="H43" s="189">
        <v>5250</v>
      </c>
      <c r="I43" s="4"/>
    </row>
    <row r="44" spans="2:16" ht="13.8">
      <c r="B44" s="39" t="s">
        <v>52</v>
      </c>
      <c r="C44" s="41">
        <f>-27115+7021</f>
        <v>-20094</v>
      </c>
      <c r="E44" s="4"/>
      <c r="G44" s="39" t="s">
        <v>98</v>
      </c>
      <c r="H44" s="189">
        <v>2810</v>
      </c>
      <c r="I44" s="4"/>
    </row>
    <row r="45" spans="2:16" ht="15" customHeight="1">
      <c r="B45" s="13"/>
      <c r="C45" s="42">
        <f>SUM(C41:C44)</f>
        <v>338160</v>
      </c>
      <c r="E45" s="4"/>
      <c r="G45" s="39" t="s">
        <v>209</v>
      </c>
      <c r="H45" s="190">
        <v>8640</v>
      </c>
      <c r="I45" s="4"/>
    </row>
    <row r="46" spans="2:16" ht="13.8">
      <c r="B46" s="13"/>
      <c r="C46" s="40"/>
      <c r="E46" s="4"/>
      <c r="G46" s="39" t="s">
        <v>423</v>
      </c>
      <c r="H46" s="189">
        <v>4800</v>
      </c>
      <c r="I46" s="4"/>
    </row>
    <row r="47" spans="2:16" ht="16.95" customHeight="1">
      <c r="B47" s="13" t="s">
        <v>53</v>
      </c>
      <c r="C47" s="40"/>
      <c r="E47" s="4"/>
      <c r="G47" s="39" t="s">
        <v>326</v>
      </c>
      <c r="H47" s="189">
        <v>10000</v>
      </c>
      <c r="I47" s="4"/>
    </row>
    <row r="48" spans="2:16" ht="13.8">
      <c r="B48" s="39" t="s">
        <v>54</v>
      </c>
      <c r="C48" s="40">
        <v>16581</v>
      </c>
      <c r="E48" s="4"/>
      <c r="G48" s="39" t="s">
        <v>101</v>
      </c>
      <c r="H48" s="190">
        <v>400</v>
      </c>
      <c r="I48" s="4"/>
    </row>
    <row r="49" spans="2:9" ht="13.8">
      <c r="B49" s="39" t="s">
        <v>55</v>
      </c>
      <c r="C49" s="40">
        <v>14000</v>
      </c>
      <c r="E49" s="4"/>
      <c r="G49" s="39" t="s">
        <v>424</v>
      </c>
      <c r="H49" s="189">
        <v>3600</v>
      </c>
      <c r="I49" s="4"/>
    </row>
    <row r="50" spans="2:9" ht="13.8">
      <c r="B50" s="39" t="s">
        <v>56</v>
      </c>
      <c r="C50" s="41">
        <v>2220</v>
      </c>
      <c r="E50" s="4"/>
      <c r="G50" s="39" t="s">
        <v>425</v>
      </c>
      <c r="H50" s="189">
        <v>0</v>
      </c>
      <c r="I50" s="4"/>
    </row>
    <row r="51" spans="2:9" ht="19.95" customHeight="1">
      <c r="B51" s="39" t="s">
        <v>57</v>
      </c>
      <c r="C51" s="41">
        <v>8450</v>
      </c>
      <c r="E51" s="4"/>
      <c r="G51" s="39" t="s">
        <v>426</v>
      </c>
      <c r="H51" s="190">
        <v>0</v>
      </c>
      <c r="I51" s="4"/>
    </row>
    <row r="52" spans="2:9" ht="13.8">
      <c r="B52" s="13"/>
      <c r="C52" s="43">
        <f>SUM(C48:C51)</f>
        <v>41251</v>
      </c>
      <c r="E52" s="4"/>
      <c r="G52" s="39" t="s">
        <v>427</v>
      </c>
      <c r="H52" s="189">
        <v>3000</v>
      </c>
      <c r="I52" s="4"/>
    </row>
    <row r="53" spans="2:9" ht="13.8">
      <c r="B53" s="44" t="s">
        <v>58</v>
      </c>
      <c r="C53" s="45">
        <f>C45+C52</f>
        <v>379411</v>
      </c>
      <c r="E53" s="4"/>
      <c r="G53" s="39" t="s">
        <v>428</v>
      </c>
      <c r="H53" s="189">
        <v>0</v>
      </c>
      <c r="I53" s="4"/>
    </row>
    <row r="54" spans="2:9" ht="13.8">
      <c r="B54" s="13"/>
      <c r="C54" s="40"/>
      <c r="E54" s="4"/>
      <c r="G54" s="39" t="s">
        <v>429</v>
      </c>
      <c r="H54" s="190">
        <v>0</v>
      </c>
      <c r="I54" s="4"/>
    </row>
    <row r="55" spans="2:9" ht="13.8">
      <c r="B55" s="157" t="s">
        <v>59</v>
      </c>
      <c r="C55" s="159"/>
      <c r="E55" s="4"/>
      <c r="G55" s="183" t="s">
        <v>430</v>
      </c>
      <c r="H55" s="189">
        <v>1500</v>
      </c>
      <c r="I55" s="4"/>
    </row>
    <row r="56" spans="2:9" ht="13.8">
      <c r="B56" s="13" t="s">
        <v>3</v>
      </c>
      <c r="C56" s="40"/>
      <c r="E56" s="4"/>
      <c r="G56" s="186" t="s">
        <v>431</v>
      </c>
      <c r="H56" s="192">
        <v>40000</v>
      </c>
      <c r="I56" s="4"/>
    </row>
    <row r="57" spans="2:9" ht="13.8">
      <c r="B57" s="39" t="s">
        <v>60</v>
      </c>
      <c r="C57" s="40">
        <v>276841</v>
      </c>
      <c r="E57" s="4"/>
      <c r="G57" s="187" t="s">
        <v>112</v>
      </c>
      <c r="H57" s="192">
        <v>71000</v>
      </c>
      <c r="I57" s="4"/>
    </row>
    <row r="58" spans="2:9" ht="13.8">
      <c r="B58" s="39" t="s">
        <v>61</v>
      </c>
      <c r="C58" s="40">
        <v>16875</v>
      </c>
      <c r="E58" s="4"/>
      <c r="G58" s="184" t="s">
        <v>113</v>
      </c>
      <c r="H58" s="192">
        <v>-40000</v>
      </c>
      <c r="I58" s="4"/>
    </row>
    <row r="59" spans="2:9" ht="13.8">
      <c r="B59" s="39" t="s">
        <v>62</v>
      </c>
      <c r="C59" s="40">
        <v>12254</v>
      </c>
      <c r="E59" s="4"/>
      <c r="G59" s="188" t="s">
        <v>432</v>
      </c>
      <c r="H59" s="193">
        <v>-5000</v>
      </c>
      <c r="I59" s="4"/>
    </row>
    <row r="60" spans="2:9" ht="13.8">
      <c r="B60" s="39" t="s">
        <v>57</v>
      </c>
      <c r="C60" s="40">
        <v>8450</v>
      </c>
      <c r="E60" s="4"/>
      <c r="G60" s="185" t="s">
        <v>433</v>
      </c>
      <c r="H60" s="191">
        <v>31000</v>
      </c>
      <c r="I60" s="4"/>
    </row>
    <row r="61" spans="2:9" ht="13.8">
      <c r="B61" s="44" t="s">
        <v>63</v>
      </c>
      <c r="C61" s="45">
        <f>SUM(C57:C60)</f>
        <v>314420</v>
      </c>
      <c r="E61" s="4"/>
      <c r="F61" s="4"/>
      <c r="H61" s="4"/>
      <c r="I61" s="4"/>
    </row>
    <row r="62" spans="2:9" ht="13.8">
      <c r="B62" s="13"/>
      <c r="C62" s="40"/>
      <c r="E62" s="4"/>
      <c r="F62" s="4"/>
      <c r="H62" s="4"/>
      <c r="I62" s="4"/>
    </row>
    <row r="63" spans="2:9" ht="13.8">
      <c r="B63" s="13" t="s">
        <v>64</v>
      </c>
      <c r="C63" s="40"/>
      <c r="E63" s="4"/>
      <c r="F63" s="4"/>
      <c r="H63" s="4"/>
      <c r="I63" s="4"/>
    </row>
    <row r="64" spans="2:9" ht="13.8">
      <c r="B64" s="39" t="s">
        <v>65</v>
      </c>
      <c r="C64" s="40">
        <v>40000</v>
      </c>
      <c r="E64" s="4"/>
      <c r="F64" s="4"/>
      <c r="H64" s="4"/>
      <c r="I64" s="4"/>
    </row>
    <row r="65" spans="2:9" ht="13.8">
      <c r="B65" s="39" t="s">
        <v>66</v>
      </c>
      <c r="C65" s="40">
        <f>C53-C61-C64</f>
        <v>24991</v>
      </c>
      <c r="E65" s="4"/>
      <c r="F65" s="4"/>
      <c r="H65" s="4"/>
      <c r="I65" s="4"/>
    </row>
    <row r="66" spans="2:9" ht="13.8">
      <c r="B66" s="44" t="s">
        <v>67</v>
      </c>
      <c r="C66" s="45">
        <f>SUM(C62:C65)</f>
        <v>64991</v>
      </c>
      <c r="E66" s="4"/>
      <c r="F66" s="4"/>
      <c r="G66" s="157" t="s">
        <v>80</v>
      </c>
      <c r="H66" s="182"/>
      <c r="I66" s="4"/>
    </row>
    <row r="67" spans="2:9" ht="13.8">
      <c r="B67" s="13"/>
      <c r="C67" s="14"/>
      <c r="E67" s="4"/>
      <c r="F67" s="4"/>
      <c r="G67" s="39" t="s">
        <v>422</v>
      </c>
      <c r="H67" s="189" t="s">
        <v>435</v>
      </c>
      <c r="I67" s="4"/>
    </row>
    <row r="68" spans="2:9" ht="13.8">
      <c r="B68" s="44" t="s">
        <v>68</v>
      </c>
      <c r="C68" s="47">
        <f>C61+C66</f>
        <v>379411</v>
      </c>
      <c r="E68" s="4"/>
      <c r="F68" s="4"/>
      <c r="G68" s="39" t="s">
        <v>98</v>
      </c>
      <c r="H68" s="189" t="s">
        <v>435</v>
      </c>
      <c r="I68" s="4"/>
    </row>
    <row r="69" spans="2:9" ht="13.8">
      <c r="B69" s="13"/>
      <c r="C69" s="18"/>
      <c r="E69" s="4"/>
      <c r="F69" s="4"/>
      <c r="G69" s="39" t="s">
        <v>209</v>
      </c>
      <c r="H69" s="189" t="s">
        <v>435</v>
      </c>
      <c r="I69" s="4"/>
    </row>
    <row r="70" spans="2:9" ht="13.8">
      <c r="E70" s="4"/>
      <c r="F70" s="4"/>
      <c r="G70" s="39" t="s">
        <v>423</v>
      </c>
      <c r="H70" s="189" t="s">
        <v>435</v>
      </c>
      <c r="I70" s="4"/>
    </row>
    <row r="71" spans="2:9" ht="13.8">
      <c r="E71" s="4"/>
      <c r="F71" s="4"/>
      <c r="G71" s="39" t="s">
        <v>326</v>
      </c>
      <c r="H71" s="189" t="s">
        <v>435</v>
      </c>
      <c r="I71" s="4"/>
    </row>
    <row r="72" spans="2:9" ht="13.8">
      <c r="B72" s="352" t="s">
        <v>387</v>
      </c>
      <c r="C72" s="353"/>
      <c r="E72" s="4"/>
      <c r="F72" s="4"/>
      <c r="G72" s="39" t="s">
        <v>101</v>
      </c>
      <c r="H72" s="189" t="s">
        <v>435</v>
      </c>
      <c r="I72" s="4"/>
    </row>
    <row r="73" spans="2:9" ht="13.8">
      <c r="B73" s="354" t="s">
        <v>324</v>
      </c>
      <c r="C73" s="355"/>
      <c r="E73" s="4"/>
      <c r="F73" s="4"/>
      <c r="G73" s="39" t="s">
        <v>424</v>
      </c>
      <c r="H73" s="189" t="s">
        <v>435</v>
      </c>
      <c r="I73" s="4"/>
    </row>
    <row r="74" spans="2:9" ht="13.8">
      <c r="E74" s="4"/>
      <c r="F74" s="4"/>
      <c r="G74" s="39" t="s">
        <v>425</v>
      </c>
      <c r="H74" s="189" t="s">
        <v>435</v>
      </c>
    </row>
    <row r="75" spans="2:9" ht="27.6">
      <c r="B75" s="157" t="s">
        <v>71</v>
      </c>
      <c r="C75" s="158"/>
      <c r="E75" s="4"/>
      <c r="F75" s="4"/>
      <c r="G75" s="39" t="s">
        <v>426</v>
      </c>
      <c r="H75" s="189" t="s">
        <v>435</v>
      </c>
    </row>
    <row r="76" spans="2:9" ht="13.8">
      <c r="B76" s="13" t="s">
        <v>72</v>
      </c>
      <c r="C76" s="14">
        <v>0</v>
      </c>
      <c r="E76" s="4"/>
      <c r="F76" s="4"/>
      <c r="G76" s="39" t="s">
        <v>427</v>
      </c>
      <c r="H76" s="189" t="s">
        <v>435</v>
      </c>
    </row>
    <row r="77" spans="2:9" ht="13.8">
      <c r="B77" s="48" t="s">
        <v>73</v>
      </c>
      <c r="C77" s="40">
        <v>0</v>
      </c>
      <c r="E77" s="4"/>
      <c r="F77" s="4"/>
      <c r="G77" s="39" t="s">
        <v>428</v>
      </c>
      <c r="H77" s="189" t="s">
        <v>435</v>
      </c>
    </row>
    <row r="78" spans="2:9" ht="13.8">
      <c r="B78" s="48" t="s">
        <v>74</v>
      </c>
      <c r="C78" s="49"/>
      <c r="E78" s="4"/>
      <c r="F78" s="4"/>
      <c r="G78" s="39" t="s">
        <v>429</v>
      </c>
      <c r="H78" s="189" t="s">
        <v>435</v>
      </c>
    </row>
    <row r="79" spans="2:9" ht="13.8">
      <c r="B79" s="50" t="s">
        <v>75</v>
      </c>
      <c r="C79" s="42">
        <v>0</v>
      </c>
      <c r="G79" s="183" t="s">
        <v>430</v>
      </c>
      <c r="H79" s="189" t="s">
        <v>435</v>
      </c>
    </row>
    <row r="80" spans="2:9" ht="13.8">
      <c r="B80" s="50"/>
      <c r="C80" s="50"/>
    </row>
    <row r="81" spans="2:9" ht="13.8">
      <c r="B81" s="13" t="s">
        <v>76</v>
      </c>
      <c r="C81" s="14">
        <v>0</v>
      </c>
    </row>
    <row r="82" spans="2:9" ht="13.8">
      <c r="B82" s="13" t="s">
        <v>77</v>
      </c>
      <c r="C82" s="14">
        <v>0</v>
      </c>
      <c r="G82" s="157" t="s">
        <v>71</v>
      </c>
      <c r="H82" s="158"/>
    </row>
    <row r="83" spans="2:9" ht="13.8">
      <c r="B83" s="48" t="s">
        <v>74</v>
      </c>
      <c r="C83" s="51"/>
      <c r="G83" s="39" t="s">
        <v>419</v>
      </c>
      <c r="H83" s="189" t="s">
        <v>435</v>
      </c>
    </row>
    <row r="84" spans="2:9" ht="13.8">
      <c r="B84" s="50" t="s">
        <v>78</v>
      </c>
      <c r="C84" s="42">
        <v>0</v>
      </c>
      <c r="G84" s="39" t="s">
        <v>420</v>
      </c>
      <c r="H84" s="189" t="s">
        <v>435</v>
      </c>
    </row>
    <row r="85" spans="2:9" ht="13.8">
      <c r="B85" s="50"/>
      <c r="C85" s="50"/>
      <c r="G85" s="183" t="s">
        <v>107</v>
      </c>
      <c r="H85" s="190" t="s">
        <v>435</v>
      </c>
    </row>
    <row r="86" spans="2:9" ht="27.6">
      <c r="B86" s="50" t="s">
        <v>79</v>
      </c>
      <c r="C86" s="45">
        <v>0</v>
      </c>
      <c r="G86" s="185" t="s">
        <v>421</v>
      </c>
      <c r="H86" s="191" t="s">
        <v>435</v>
      </c>
    </row>
    <row r="87" spans="2:9" ht="13.8">
      <c r="B87" s="13"/>
      <c r="C87" s="40"/>
    </row>
    <row r="88" spans="2:9" ht="13.8">
      <c r="B88" s="157" t="s">
        <v>80</v>
      </c>
      <c r="C88" s="159"/>
    </row>
    <row r="89" spans="2:9" ht="13.8">
      <c r="B89" s="13" t="s">
        <v>81</v>
      </c>
      <c r="C89" s="40">
        <v>0</v>
      </c>
    </row>
    <row r="90" spans="2:9" ht="13.8">
      <c r="B90" s="48" t="s">
        <v>82</v>
      </c>
      <c r="C90" s="40">
        <v>0</v>
      </c>
    </row>
    <row r="91" spans="2:9" ht="13.8">
      <c r="B91" s="48" t="s">
        <v>74</v>
      </c>
      <c r="C91" s="40"/>
    </row>
    <row r="92" spans="2:9" ht="13.8">
      <c r="B92" s="50" t="s">
        <v>83</v>
      </c>
      <c r="C92" s="45">
        <v>0</v>
      </c>
    </row>
    <row r="93" spans="2:9" ht="13.8">
      <c r="B93" s="13"/>
      <c r="C93" s="40"/>
    </row>
    <row r="94" spans="2:9" ht="13.8">
      <c r="B94" s="162" t="s">
        <v>84</v>
      </c>
      <c r="C94" s="164">
        <v>0</v>
      </c>
      <c r="H94" s="4"/>
      <c r="I94" s="4"/>
    </row>
    <row r="97" spans="2:9" ht="13.8">
      <c r="B97" s="348" t="s">
        <v>85</v>
      </c>
      <c r="C97" s="349"/>
      <c r="E97" s="4"/>
    </row>
    <row r="98" spans="2:9">
      <c r="B98" s="354" t="s">
        <v>324</v>
      </c>
      <c r="C98" s="355"/>
      <c r="E98" s="4"/>
    </row>
    <row r="99" spans="2:9">
      <c r="E99" s="4"/>
    </row>
    <row r="100" spans="2:9" ht="13.8">
      <c r="B100" s="157" t="s">
        <v>71</v>
      </c>
      <c r="C100" s="158"/>
      <c r="E100" s="4"/>
    </row>
    <row r="101" spans="2:9" ht="13.8">
      <c r="B101" s="13" t="s">
        <v>74</v>
      </c>
      <c r="C101" s="14">
        <v>0</v>
      </c>
      <c r="E101" s="4"/>
    </row>
    <row r="102" spans="2:9" ht="13.8">
      <c r="B102" s="13"/>
      <c r="C102" s="40"/>
    </row>
    <row r="103" spans="2:9" ht="13.8">
      <c r="B103" s="157" t="s">
        <v>80</v>
      </c>
      <c r="C103" s="159"/>
    </row>
    <row r="104" spans="2:9" ht="13.8">
      <c r="B104" s="48" t="s">
        <v>74</v>
      </c>
      <c r="C104" s="40"/>
    </row>
    <row r="105" spans="2:9" ht="13.8">
      <c r="B105" s="13"/>
      <c r="C105" s="40"/>
    </row>
    <row r="106" spans="2:9" ht="13.8">
      <c r="B106" s="162" t="s">
        <v>86</v>
      </c>
      <c r="C106" s="164">
        <v>0</v>
      </c>
    </row>
    <row r="111" spans="2:9">
      <c r="B111" s="352" t="s">
        <v>387</v>
      </c>
      <c r="C111" s="353"/>
      <c r="E111" s="4"/>
      <c r="F111" s="4"/>
      <c r="G111" s="352" t="s">
        <v>323</v>
      </c>
      <c r="H111" s="353"/>
      <c r="I111" s="4"/>
    </row>
    <row r="112" spans="2:9">
      <c r="B112" s="354" t="s">
        <v>324</v>
      </c>
      <c r="C112" s="355"/>
      <c r="E112" s="4"/>
      <c r="F112" s="4"/>
      <c r="G112" s="354" t="s">
        <v>324</v>
      </c>
      <c r="H112" s="355"/>
      <c r="I112" s="4"/>
    </row>
    <row r="113" spans="2:8">
      <c r="E113" s="4"/>
      <c r="F113" s="4"/>
      <c r="G113" s="2"/>
      <c r="H113" s="3"/>
    </row>
    <row r="114" spans="2:8" ht="13.8">
      <c r="B114" s="157" t="s">
        <v>71</v>
      </c>
      <c r="C114" s="158"/>
      <c r="G114" s="157" t="s">
        <v>71</v>
      </c>
      <c r="H114" s="158"/>
    </row>
    <row r="115" spans="2:8" ht="13.8">
      <c r="B115" s="13" t="s">
        <v>87</v>
      </c>
      <c r="C115" s="14">
        <v>375000</v>
      </c>
      <c r="G115" s="13" t="s">
        <v>325</v>
      </c>
      <c r="H115" s="14">
        <v>30000</v>
      </c>
    </row>
    <row r="116" spans="2:8" ht="13.8">
      <c r="B116" s="48" t="s">
        <v>88</v>
      </c>
      <c r="C116" s="14">
        <v>25000</v>
      </c>
      <c r="G116" s="48" t="s">
        <v>107</v>
      </c>
      <c r="H116" s="14">
        <v>200</v>
      </c>
    </row>
    <row r="117" spans="2:8" ht="13.8">
      <c r="B117" s="48" t="s">
        <v>74</v>
      </c>
      <c r="C117" s="49"/>
      <c r="G117" s="48" t="s">
        <v>74</v>
      </c>
      <c r="H117" s="49"/>
    </row>
    <row r="118" spans="2:8" ht="13.8">
      <c r="B118" s="50" t="s">
        <v>89</v>
      </c>
      <c r="C118" s="54">
        <f>C115+C116</f>
        <v>400000</v>
      </c>
      <c r="G118" s="50" t="s">
        <v>336</v>
      </c>
      <c r="H118" s="54">
        <f>H115+H116</f>
        <v>30200</v>
      </c>
    </row>
    <row r="119" spans="2:8" ht="13.8">
      <c r="B119" s="50"/>
      <c r="C119" s="50"/>
      <c r="G119" s="50"/>
      <c r="H119" s="50"/>
    </row>
    <row r="120" spans="2:8" ht="12" customHeight="1">
      <c r="B120" s="13" t="s">
        <v>90</v>
      </c>
      <c r="C120" s="14">
        <v>120000</v>
      </c>
      <c r="G120" s="157" t="s">
        <v>337</v>
      </c>
      <c r="H120" s="159"/>
    </row>
    <row r="121" spans="2:8" ht="13.8">
      <c r="B121" s="13" t="s">
        <v>91</v>
      </c>
      <c r="C121" s="14">
        <v>75000</v>
      </c>
      <c r="G121" s="48" t="s">
        <v>208</v>
      </c>
      <c r="H121" s="14">
        <v>1250</v>
      </c>
    </row>
    <row r="122" spans="2:8" ht="13.8">
      <c r="B122" s="48" t="s">
        <v>92</v>
      </c>
      <c r="C122" s="14">
        <v>30000</v>
      </c>
      <c r="G122" s="48" t="s">
        <v>98</v>
      </c>
      <c r="H122" s="14">
        <v>865</v>
      </c>
    </row>
    <row r="123" spans="2:8" ht="13.8">
      <c r="B123" s="48" t="s">
        <v>93</v>
      </c>
      <c r="C123" s="14">
        <v>6000</v>
      </c>
      <c r="G123" s="48" t="s">
        <v>209</v>
      </c>
      <c r="H123" s="14">
        <f>H135*0.1</f>
        <v>1200</v>
      </c>
    </row>
    <row r="124" spans="2:8" ht="13.8">
      <c r="B124" s="50" t="s">
        <v>94</v>
      </c>
      <c r="C124" s="54">
        <f>SUM(C120:C123)</f>
        <v>231000</v>
      </c>
      <c r="G124" s="48" t="s">
        <v>326</v>
      </c>
      <c r="H124" s="14">
        <f>H135*0.05</f>
        <v>600</v>
      </c>
    </row>
    <row r="125" spans="2:8" ht="13.8">
      <c r="B125" s="50"/>
      <c r="C125" s="50"/>
      <c r="G125" s="48" t="s">
        <v>327</v>
      </c>
      <c r="H125" s="14">
        <v>400</v>
      </c>
    </row>
    <row r="126" spans="2:8" ht="13.8">
      <c r="B126" s="50" t="s">
        <v>95</v>
      </c>
      <c r="C126" s="55">
        <f>C118-C124</f>
        <v>169000</v>
      </c>
      <c r="G126" s="48" t="s">
        <v>101</v>
      </c>
      <c r="H126" s="14">
        <v>1800</v>
      </c>
    </row>
    <row r="127" spans="2:8" ht="27.6">
      <c r="B127" s="13"/>
      <c r="C127" s="40"/>
      <c r="G127" s="50" t="s">
        <v>83</v>
      </c>
      <c r="H127" s="55">
        <f>SUM(H121:H126)</f>
        <v>6115</v>
      </c>
    </row>
    <row r="128" spans="2:8" ht="13.8">
      <c r="B128" s="157" t="s">
        <v>80</v>
      </c>
      <c r="C128" s="159"/>
      <c r="H128" s="4"/>
    </row>
    <row r="129" spans="2:8" ht="13.8">
      <c r="B129" s="13" t="s">
        <v>96</v>
      </c>
      <c r="C129" s="14">
        <v>7200</v>
      </c>
      <c r="G129" s="160" t="s">
        <v>328</v>
      </c>
      <c r="H129" s="161">
        <f>H118-H127</f>
        <v>24085</v>
      </c>
    </row>
    <row r="130" spans="2:8" ht="13.8">
      <c r="B130" s="48" t="s">
        <v>97</v>
      </c>
      <c r="C130" s="14">
        <v>50000</v>
      </c>
    </row>
    <row r="131" spans="2:8" ht="13.8">
      <c r="B131" s="48" t="s">
        <v>98</v>
      </c>
      <c r="C131" s="14">
        <v>2500</v>
      </c>
      <c r="G131" s="157" t="s">
        <v>338</v>
      </c>
      <c r="H131" s="159"/>
    </row>
    <row r="132" spans="2:8" ht="13.8">
      <c r="B132" s="48" t="s">
        <v>99</v>
      </c>
      <c r="C132" s="14">
        <v>300</v>
      </c>
      <c r="G132" s="13" t="s">
        <v>339</v>
      </c>
      <c r="H132" s="14">
        <v>400</v>
      </c>
    </row>
    <row r="133" spans="2:8" ht="13.8">
      <c r="B133" s="48"/>
      <c r="C133" s="14"/>
      <c r="H133" s="4"/>
    </row>
    <row r="134" spans="2:8" ht="13.8">
      <c r="B134" s="48" t="s">
        <v>100</v>
      </c>
      <c r="C134" s="14">
        <v>2200</v>
      </c>
      <c r="G134" s="157" t="s">
        <v>333</v>
      </c>
      <c r="H134" s="159"/>
    </row>
    <row r="135" spans="2:8" ht="27.6">
      <c r="B135" s="48"/>
      <c r="C135" s="14"/>
      <c r="G135" s="13" t="s">
        <v>334</v>
      </c>
      <c r="H135" s="14">
        <v>12000</v>
      </c>
    </row>
    <row r="136" spans="2:8" ht="13.8">
      <c r="B136" s="48" t="s">
        <v>101</v>
      </c>
      <c r="C136" s="14">
        <v>1800</v>
      </c>
      <c r="G136" s="13"/>
      <c r="H136" s="40"/>
    </row>
    <row r="137" spans="2:8" ht="16.95" customHeight="1">
      <c r="B137" s="50" t="s">
        <v>83</v>
      </c>
      <c r="C137" s="55">
        <f>SUM(C129:C136)</f>
        <v>64000</v>
      </c>
      <c r="G137" s="160" t="s">
        <v>335</v>
      </c>
      <c r="H137" s="161">
        <f>H129-H135-H132</f>
        <v>11685</v>
      </c>
    </row>
    <row r="138" spans="2:8" ht="13.8">
      <c r="B138" s="13"/>
      <c r="C138" s="40"/>
      <c r="G138" s="13"/>
      <c r="H138" s="40"/>
    </row>
    <row r="139" spans="2:8" ht="13.8">
      <c r="B139" s="160" t="s">
        <v>84</v>
      </c>
      <c r="C139" s="161">
        <f>C126-C137</f>
        <v>105000</v>
      </c>
      <c r="G139" s="169" t="s">
        <v>332</v>
      </c>
      <c r="H139" s="51">
        <f>H137*0.33</f>
        <v>3856.05</v>
      </c>
    </row>
    <row r="140" spans="2:8" ht="13.8">
      <c r="B140" s="13"/>
      <c r="C140" s="40"/>
      <c r="G140" s="13"/>
      <c r="H140" s="40"/>
    </row>
    <row r="141" spans="2:8" ht="13.8">
      <c r="B141" s="169" t="s">
        <v>332</v>
      </c>
      <c r="C141" s="51">
        <v>21000</v>
      </c>
      <c r="G141" s="162" t="s">
        <v>329</v>
      </c>
      <c r="H141" s="163">
        <f>H137-H139</f>
        <v>7828.95</v>
      </c>
    </row>
    <row r="142" spans="2:8" ht="13.8">
      <c r="B142" s="13"/>
      <c r="C142" s="40"/>
      <c r="H142" s="4"/>
    </row>
    <row r="143" spans="2:8" ht="13.8">
      <c r="B143" s="162" t="s">
        <v>103</v>
      </c>
      <c r="C143" s="163">
        <f>C139-C141</f>
        <v>84000</v>
      </c>
      <c r="G143" s="48" t="s">
        <v>341</v>
      </c>
      <c r="H143" s="168">
        <f>H129/H118</f>
        <v>0.79751655629139073</v>
      </c>
    </row>
    <row r="144" spans="2:8" ht="13.8">
      <c r="G144" s="48" t="s">
        <v>342</v>
      </c>
      <c r="H144" s="168">
        <f>H141/H118</f>
        <v>0.25923675496688742</v>
      </c>
    </row>
    <row r="145" spans="2:3" ht="13.8">
      <c r="B145" s="48" t="s">
        <v>340</v>
      </c>
      <c r="C145" s="168">
        <f>C126/C118</f>
        <v>0.42249999999999999</v>
      </c>
    </row>
    <row r="146" spans="2:3" ht="13.8">
      <c r="B146" s="48" t="s">
        <v>341</v>
      </c>
      <c r="C146" s="168">
        <f>C139/C118</f>
        <v>0.26250000000000001</v>
      </c>
    </row>
    <row r="147" spans="2:3" ht="13.8">
      <c r="B147" s="48" t="s">
        <v>342</v>
      </c>
      <c r="C147" s="168">
        <f>C143/C118</f>
        <v>0.21</v>
      </c>
    </row>
    <row r="152" spans="2:3">
      <c r="B152" s="352" t="s">
        <v>104</v>
      </c>
      <c r="C152" s="353"/>
    </row>
    <row r="153" spans="2:3">
      <c r="B153" s="354" t="s">
        <v>70</v>
      </c>
      <c r="C153" s="355"/>
    </row>
    <row r="155" spans="2:3" ht="13.8">
      <c r="B155" s="13" t="s">
        <v>105</v>
      </c>
      <c r="C155" s="14">
        <v>0</v>
      </c>
    </row>
    <row r="156" spans="2:3" ht="13.8">
      <c r="B156" s="48" t="s">
        <v>106</v>
      </c>
      <c r="C156" s="14">
        <v>0</v>
      </c>
    </row>
    <row r="157" spans="2:3" ht="13.8">
      <c r="B157" s="48" t="s">
        <v>107</v>
      </c>
      <c r="C157" s="14">
        <v>0</v>
      </c>
    </row>
    <row r="158" spans="2:3" ht="13.8">
      <c r="B158" s="48"/>
      <c r="C158" s="49"/>
    </row>
    <row r="159" spans="2:3" ht="13.8">
      <c r="B159" s="162" t="s">
        <v>108</v>
      </c>
      <c r="C159" s="163">
        <v>0</v>
      </c>
    </row>
    <row r="160" spans="2:3" ht="13.8">
      <c r="B160" s="50"/>
      <c r="C160" s="50"/>
    </row>
    <row r="161" spans="2:3" ht="13.8">
      <c r="B161" s="13" t="s">
        <v>109</v>
      </c>
      <c r="C161" s="14">
        <v>0</v>
      </c>
    </row>
    <row r="162" spans="2:3" ht="13.8">
      <c r="B162" s="13" t="s">
        <v>110</v>
      </c>
      <c r="C162" s="14">
        <v>0</v>
      </c>
    </row>
    <row r="163" spans="2:3" ht="13.8">
      <c r="B163" s="13" t="s">
        <v>111</v>
      </c>
      <c r="C163" s="14">
        <v>0</v>
      </c>
    </row>
    <row r="164" spans="2:3" ht="13.8">
      <c r="B164" s="13" t="s">
        <v>74</v>
      </c>
      <c r="C164" s="14">
        <v>0</v>
      </c>
    </row>
    <row r="165" spans="2:3" ht="13.8">
      <c r="B165" s="48"/>
      <c r="C165" s="14"/>
    </row>
    <row r="166" spans="2:3" ht="13.8">
      <c r="B166" s="162" t="s">
        <v>83</v>
      </c>
      <c r="C166" s="163">
        <v>0</v>
      </c>
    </row>
    <row r="167" spans="2:3" ht="13.8">
      <c r="B167" s="13"/>
      <c r="C167" s="40"/>
    </row>
    <row r="168" spans="2:3" ht="13.8">
      <c r="B168" s="162" t="s">
        <v>112</v>
      </c>
      <c r="C168" s="163">
        <v>0</v>
      </c>
    </row>
    <row r="169" spans="2:3" ht="13.8">
      <c r="B169" s="13"/>
      <c r="C169" s="40"/>
    </row>
    <row r="170" spans="2:3" ht="13.8">
      <c r="B170" s="60" t="s">
        <v>113</v>
      </c>
      <c r="C170" s="61">
        <v>0</v>
      </c>
    </row>
    <row r="171" spans="2:3" ht="13.8">
      <c r="B171" s="60" t="s">
        <v>114</v>
      </c>
      <c r="C171" s="61">
        <v>0</v>
      </c>
    </row>
    <row r="172" spans="2:3" ht="13.8">
      <c r="B172" s="13"/>
      <c r="C172" s="40"/>
    </row>
    <row r="173" spans="2:3" ht="13.8">
      <c r="B173" s="162" t="s">
        <v>115</v>
      </c>
      <c r="C173" s="163">
        <f>C168-C170</f>
        <v>0</v>
      </c>
    </row>
    <row r="174" spans="2:3" ht="13.8">
      <c r="B174" s="13"/>
      <c r="C174" s="40"/>
    </row>
    <row r="175" spans="2:3" ht="13.8">
      <c r="B175" s="58" t="s">
        <v>116</v>
      </c>
      <c r="C175" s="51">
        <v>0</v>
      </c>
    </row>
    <row r="176" spans="2:3" ht="13.8">
      <c r="B176" s="13"/>
      <c r="C176" s="40"/>
    </row>
    <row r="177" spans="2:3" ht="13.8">
      <c r="B177" s="162" t="s">
        <v>117</v>
      </c>
      <c r="C177" s="163">
        <f>C172-C174</f>
        <v>0</v>
      </c>
    </row>
  </sheetData>
  <mergeCells count="19">
    <mergeCell ref="G35:H35"/>
    <mergeCell ref="G36:H36"/>
    <mergeCell ref="B2:F2"/>
    <mergeCell ref="B3:F3"/>
    <mergeCell ref="B5:C5"/>
    <mergeCell ref="E5:F5"/>
    <mergeCell ref="H5:I5"/>
    <mergeCell ref="B37:C37"/>
    <mergeCell ref="B72:C72"/>
    <mergeCell ref="B73:C73"/>
    <mergeCell ref="B97:C97"/>
    <mergeCell ref="B36:C36"/>
    <mergeCell ref="B98:C98"/>
    <mergeCell ref="B112:C112"/>
    <mergeCell ref="B152:C152"/>
    <mergeCell ref="B153:C153"/>
    <mergeCell ref="G111:H111"/>
    <mergeCell ref="G112:H112"/>
    <mergeCell ref="B111:C111"/>
  </mergeCells>
  <conditionalFormatting sqref="C31">
    <cfRule type="cellIs" dxfId="8" priority="2" stopIfTrue="1" operator="lessThan">
      <formula>0</formula>
    </cfRule>
  </conditionalFormatting>
  <conditionalFormatting sqref="F31">
    <cfRule type="cellIs" dxfId="7" priority="1" stopIfTrue="1" operator="lessThan">
      <formula>0</formula>
    </cfRule>
  </conditionalFormatting>
  <printOptions horizontalCentered="1"/>
  <pageMargins left="0.75" right="0.75" top="1" bottom="1" header="0.5" footer="0.5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CAEB-F4BD-F14B-9FAE-191F038FA811}">
  <sheetPr>
    <tabColor theme="0" tint="-0.14999847407452621"/>
  </sheetPr>
  <dimension ref="B1:Y73"/>
  <sheetViews>
    <sheetView topLeftCell="A19" workbookViewId="0">
      <selection activeCell="O53" sqref="O53"/>
    </sheetView>
  </sheetViews>
  <sheetFormatPr defaultColWidth="10.77734375" defaultRowHeight="14.4"/>
  <cols>
    <col min="2" max="2" width="28.44140625" customWidth="1"/>
    <col min="3" max="3" width="14.77734375" customWidth="1"/>
    <col min="4" max="4" width="11.109375" bestFit="1" customWidth="1"/>
    <col min="5" max="5" width="29.77734375" customWidth="1"/>
    <col min="6" max="6" width="14.6640625" customWidth="1"/>
    <col min="7" max="8" width="11" bestFit="1" customWidth="1"/>
    <col min="9" max="9" width="26.33203125" customWidth="1"/>
    <col min="10" max="10" width="15.44140625" customWidth="1"/>
    <col min="11" max="11" width="11" bestFit="1" customWidth="1"/>
  </cols>
  <sheetData>
    <row r="1" spans="2:25">
      <c r="B1" s="131"/>
      <c r="C1" s="132"/>
      <c r="D1" s="133"/>
      <c r="E1" s="131"/>
      <c r="F1" s="132"/>
    </row>
    <row r="2" spans="2:25">
      <c r="B2" s="366" t="s">
        <v>287</v>
      </c>
      <c r="C2" s="367"/>
      <c r="D2" s="363"/>
      <c r="E2" s="363"/>
      <c r="F2" s="363"/>
    </row>
    <row r="3" spans="2:25">
      <c r="B3" s="366" t="s">
        <v>289</v>
      </c>
      <c r="C3" s="366"/>
      <c r="D3" s="363"/>
      <c r="E3" s="363"/>
      <c r="F3" s="363"/>
    </row>
    <row r="4" spans="2:25">
      <c r="B4" s="131"/>
      <c r="C4" s="132"/>
      <c r="D4" s="133"/>
      <c r="E4" s="131"/>
      <c r="F4" s="132"/>
    </row>
    <row r="5" spans="2:25" ht="15" customHeight="1">
      <c r="B5" s="368" t="s">
        <v>2</v>
      </c>
      <c r="C5" s="369"/>
      <c r="D5" s="133"/>
      <c r="E5" s="368" t="s">
        <v>3</v>
      </c>
      <c r="F5" s="368"/>
      <c r="I5" s="366" t="s">
        <v>290</v>
      </c>
      <c r="J5" s="366"/>
      <c r="L5" s="91"/>
      <c r="M5" s="91" t="s">
        <v>308</v>
      </c>
      <c r="N5" s="91" t="s">
        <v>309</v>
      </c>
      <c r="O5" s="91" t="s">
        <v>310</v>
      </c>
      <c r="P5" s="91" t="s">
        <v>311</v>
      </c>
      <c r="Q5" s="91" t="s">
        <v>312</v>
      </c>
      <c r="R5" s="91" t="s">
        <v>313</v>
      </c>
      <c r="S5" s="91" t="s">
        <v>314</v>
      </c>
      <c r="T5" s="91" t="s">
        <v>315</v>
      </c>
      <c r="U5" s="91" t="s">
        <v>316</v>
      </c>
      <c r="V5" s="91" t="s">
        <v>317</v>
      </c>
      <c r="W5" s="91" t="s">
        <v>318</v>
      </c>
      <c r="X5" s="91" t="s">
        <v>319</v>
      </c>
      <c r="Y5" s="91" t="s">
        <v>320</v>
      </c>
    </row>
    <row r="6" spans="2:25" ht="15" customHeight="1">
      <c r="B6" s="134"/>
      <c r="C6" s="135"/>
      <c r="D6" s="133"/>
      <c r="E6" s="134"/>
      <c r="F6" s="135"/>
      <c r="I6" s="370" t="s">
        <v>289</v>
      </c>
      <c r="J6" s="370"/>
      <c r="L6" t="s">
        <v>307</v>
      </c>
      <c r="M6" s="84">
        <v>0</v>
      </c>
      <c r="N6" s="84">
        <v>20000</v>
      </c>
      <c r="O6" s="84">
        <v>0</v>
      </c>
      <c r="P6" s="84"/>
      <c r="Q6" s="84"/>
      <c r="R6" s="84"/>
      <c r="S6" s="84"/>
      <c r="T6" s="84"/>
      <c r="U6" s="84"/>
      <c r="V6" s="84"/>
      <c r="W6" s="84"/>
      <c r="X6" s="84"/>
      <c r="Y6" s="84"/>
    </row>
    <row r="7" spans="2:25" ht="15" customHeight="1">
      <c r="B7" s="134"/>
      <c r="C7" s="136" t="s">
        <v>4</v>
      </c>
      <c r="D7" s="133"/>
      <c r="E7" s="134"/>
      <c r="F7" s="136" t="s">
        <v>4</v>
      </c>
      <c r="I7" s="153" t="s">
        <v>5</v>
      </c>
      <c r="J7" s="154"/>
      <c r="L7" t="s">
        <v>179</v>
      </c>
      <c r="M7" s="84">
        <v>24200</v>
      </c>
      <c r="N7" s="84">
        <f>M7-N6</f>
        <v>4200</v>
      </c>
      <c r="O7" s="84">
        <f t="shared" ref="O7:Y7" si="0">N7+N8</f>
        <v>3500</v>
      </c>
      <c r="P7" s="84">
        <f t="shared" si="0"/>
        <v>2800</v>
      </c>
      <c r="Q7" s="84">
        <f t="shared" si="0"/>
        <v>2100</v>
      </c>
      <c r="R7" s="84">
        <f t="shared" si="0"/>
        <v>1400</v>
      </c>
      <c r="S7" s="84">
        <f t="shared" si="0"/>
        <v>700</v>
      </c>
      <c r="T7" s="84">
        <f t="shared" si="0"/>
        <v>0</v>
      </c>
      <c r="U7" s="84">
        <f t="shared" si="0"/>
        <v>-700</v>
      </c>
      <c r="V7" s="84">
        <f t="shared" si="0"/>
        <v>-1400</v>
      </c>
      <c r="W7" s="84">
        <f t="shared" si="0"/>
        <v>-2100</v>
      </c>
      <c r="X7" s="84">
        <f t="shared" si="0"/>
        <v>-2800</v>
      </c>
      <c r="Y7" s="84">
        <f t="shared" si="0"/>
        <v>-3500</v>
      </c>
    </row>
    <row r="8" spans="2:25" ht="15" customHeight="1">
      <c r="B8" s="153" t="s">
        <v>5</v>
      </c>
      <c r="C8" s="154"/>
      <c r="D8" s="133"/>
      <c r="E8" s="153" t="s">
        <v>6</v>
      </c>
      <c r="F8" s="154"/>
      <c r="I8" s="137" t="s">
        <v>10</v>
      </c>
      <c r="J8" s="138">
        <f>C9</f>
        <v>200</v>
      </c>
      <c r="L8" t="s">
        <v>302</v>
      </c>
      <c r="M8" s="84">
        <v>-1000</v>
      </c>
      <c r="N8" s="84">
        <v>-700</v>
      </c>
      <c r="O8" s="84">
        <v>-700</v>
      </c>
      <c r="P8" s="84">
        <v>-700</v>
      </c>
      <c r="Q8" s="84">
        <v>-700</v>
      </c>
      <c r="R8" s="84">
        <v>-700</v>
      </c>
      <c r="S8" s="84">
        <v>-700</v>
      </c>
      <c r="T8" s="84">
        <v>-700</v>
      </c>
      <c r="U8" s="84">
        <v>-700</v>
      </c>
      <c r="V8" s="84">
        <v>-700</v>
      </c>
      <c r="W8" s="84">
        <v>-700</v>
      </c>
      <c r="X8" s="84">
        <v>-700</v>
      </c>
      <c r="Y8" s="84">
        <v>-700</v>
      </c>
    </row>
    <row r="9" spans="2:25" ht="15" customHeight="1">
      <c r="B9" s="137" t="s">
        <v>10</v>
      </c>
      <c r="C9" s="138">
        <v>200</v>
      </c>
      <c r="D9" s="133"/>
      <c r="E9" t="s">
        <v>11</v>
      </c>
      <c r="F9" s="138">
        <v>138200</v>
      </c>
      <c r="I9" s="137" t="s">
        <v>13</v>
      </c>
      <c r="J9" s="138">
        <f>C10</f>
        <v>20000</v>
      </c>
    </row>
    <row r="10" spans="2:25" ht="15" customHeight="1">
      <c r="B10" s="137" t="s">
        <v>13</v>
      </c>
      <c r="C10" s="138">
        <v>20000</v>
      </c>
      <c r="D10" s="133"/>
      <c r="E10" s="137" t="s">
        <v>14</v>
      </c>
      <c r="F10" s="138">
        <v>26300</v>
      </c>
    </row>
    <row r="11" spans="2:25" ht="15" customHeight="1">
      <c r="B11" s="137" t="s">
        <v>16</v>
      </c>
      <c r="C11" s="138">
        <v>5000</v>
      </c>
      <c r="D11" s="133"/>
      <c r="E11" s="137" t="s">
        <v>177</v>
      </c>
      <c r="F11" s="139">
        <v>3200</v>
      </c>
      <c r="I11" s="151" t="s">
        <v>27</v>
      </c>
      <c r="J11" s="155"/>
    </row>
    <row r="12" spans="2:25" ht="15" customHeight="1">
      <c r="B12" s="137"/>
      <c r="C12" s="139"/>
      <c r="D12" s="133"/>
      <c r="E12" s="137"/>
      <c r="F12" s="139"/>
      <c r="I12" s="137" t="s">
        <v>29</v>
      </c>
      <c r="J12" s="138">
        <f>C17</f>
        <v>3200</v>
      </c>
    </row>
    <row r="13" spans="2:25" ht="15" customHeight="1">
      <c r="B13" s="153" t="s">
        <v>21</v>
      </c>
      <c r="C13" s="154"/>
      <c r="D13" s="133"/>
      <c r="E13" s="153" t="s">
        <v>22</v>
      </c>
      <c r="F13" s="154"/>
      <c r="I13" s="137" t="s">
        <v>31</v>
      </c>
      <c r="J13" s="138">
        <f>C18</f>
        <v>800</v>
      </c>
    </row>
    <row r="14" spans="2:25" ht="15" customHeight="1">
      <c r="B14" s="137" t="s">
        <v>24</v>
      </c>
      <c r="C14" s="138">
        <v>54500</v>
      </c>
      <c r="D14" s="133"/>
      <c r="E14" s="137" t="s">
        <v>25</v>
      </c>
      <c r="F14" s="138">
        <v>6800</v>
      </c>
    </row>
    <row r="15" spans="2:25" ht="15" customHeight="1" thickBot="1">
      <c r="B15" s="137"/>
      <c r="C15" s="138"/>
      <c r="D15" s="133"/>
      <c r="E15" s="137"/>
      <c r="F15" s="138"/>
      <c r="I15" s="151" t="s">
        <v>165</v>
      </c>
      <c r="J15" s="152">
        <f>SUM(J8:J13)</f>
        <v>24200</v>
      </c>
    </row>
    <row r="16" spans="2:25" ht="15" customHeight="1" thickTop="1">
      <c r="B16" s="151" t="s">
        <v>27</v>
      </c>
      <c r="C16" s="155"/>
      <c r="D16" s="133"/>
      <c r="E16" s="153" t="s">
        <v>28</v>
      </c>
      <c r="F16" s="154"/>
    </row>
    <row r="17" spans="2:6" ht="15" customHeight="1">
      <c r="B17" s="137" t="s">
        <v>29</v>
      </c>
      <c r="C17" s="138">
        <v>3200</v>
      </c>
      <c r="D17" s="133"/>
      <c r="E17" s="137" t="s">
        <v>30</v>
      </c>
      <c r="F17" s="138">
        <v>18000</v>
      </c>
    </row>
    <row r="18" spans="2:6" ht="15" customHeight="1">
      <c r="B18" s="137" t="s">
        <v>31</v>
      </c>
      <c r="C18" s="138">
        <v>800</v>
      </c>
      <c r="D18" s="133"/>
      <c r="E18" s="137"/>
      <c r="F18" s="138"/>
    </row>
    <row r="19" spans="2:6" ht="15" customHeight="1">
      <c r="B19" s="137"/>
      <c r="C19" s="138"/>
      <c r="D19" s="133"/>
      <c r="E19" s="137"/>
      <c r="F19" s="138"/>
    </row>
    <row r="20" spans="2:6" ht="15" customHeight="1">
      <c r="B20" s="151" t="s">
        <v>35</v>
      </c>
      <c r="C20" s="155"/>
      <c r="D20" s="133"/>
      <c r="E20" s="137"/>
      <c r="F20" s="138"/>
    </row>
    <row r="21" spans="2:6" ht="15" customHeight="1">
      <c r="B21" s="137" t="s">
        <v>288</v>
      </c>
      <c r="C21" s="138">
        <v>65000</v>
      </c>
      <c r="D21" s="133"/>
      <c r="E21" s="140"/>
      <c r="F21" s="141"/>
    </row>
    <row r="22" spans="2:6" ht="15" customHeight="1">
      <c r="B22" s="137"/>
      <c r="C22" s="138"/>
      <c r="D22" s="133"/>
      <c r="E22" s="137"/>
      <c r="F22" s="138"/>
    </row>
    <row r="23" spans="2:6" ht="15" customHeight="1">
      <c r="B23" s="151" t="s">
        <v>38</v>
      </c>
      <c r="C23" s="155"/>
      <c r="D23" s="133"/>
      <c r="E23" s="137"/>
      <c r="F23" s="138"/>
    </row>
    <row r="24" spans="2:6" ht="15" customHeight="1">
      <c r="B24" s="137" t="s">
        <v>39</v>
      </c>
      <c r="C24" s="138">
        <v>185000</v>
      </c>
      <c r="D24" s="133"/>
      <c r="E24" s="137"/>
      <c r="F24" s="138"/>
    </row>
    <row r="25" spans="2:6" ht="15" customHeight="1">
      <c r="B25" s="137" t="s">
        <v>292</v>
      </c>
      <c r="C25" s="138">
        <v>7000</v>
      </c>
      <c r="D25" s="133"/>
      <c r="E25" s="137"/>
      <c r="F25" s="138"/>
    </row>
    <row r="26" spans="2:6" ht="15" customHeight="1">
      <c r="B26" s="137" t="s">
        <v>42</v>
      </c>
      <c r="C26" s="138">
        <v>5000</v>
      </c>
      <c r="D26" s="133"/>
      <c r="E26" s="137"/>
      <c r="F26" s="138"/>
    </row>
    <row r="27" spans="2:6" ht="15" customHeight="1">
      <c r="B27" s="143" t="s">
        <v>41</v>
      </c>
      <c r="C27" s="156">
        <v>2000</v>
      </c>
      <c r="D27" s="133"/>
      <c r="E27" s="137"/>
      <c r="F27" s="138"/>
    </row>
    <row r="28" spans="2:6" ht="15" customHeight="1">
      <c r="B28" s="137"/>
      <c r="C28" s="138"/>
      <c r="D28" s="133"/>
      <c r="E28" s="137"/>
      <c r="F28" s="138"/>
    </row>
    <row r="29" spans="2:6" ht="15" customHeight="1" thickBot="1">
      <c r="B29" s="151" t="s">
        <v>43</v>
      </c>
      <c r="C29" s="152">
        <f>SUM(C9:C28)</f>
        <v>347700</v>
      </c>
      <c r="D29" s="133"/>
      <c r="E29" s="151" t="s">
        <v>33</v>
      </c>
      <c r="F29" s="152">
        <f>SUM(F9:F28)</f>
        <v>192500</v>
      </c>
    </row>
    <row r="30" spans="2:6" ht="15" customHeight="1" thickTop="1">
      <c r="B30" s="142"/>
      <c r="C30" s="138"/>
      <c r="D30" s="133"/>
      <c r="E30" s="142"/>
      <c r="F30" s="138"/>
    </row>
    <row r="31" spans="2:6" ht="15" customHeight="1">
      <c r="B31" s="148"/>
      <c r="C31" s="149"/>
      <c r="D31" s="150"/>
      <c r="E31" s="37" t="s">
        <v>44</v>
      </c>
      <c r="F31" s="38">
        <f>C29-F29</f>
        <v>155200</v>
      </c>
    </row>
    <row r="37" spans="2:10">
      <c r="B37" s="366" t="s">
        <v>293</v>
      </c>
      <c r="C37" s="367"/>
      <c r="D37" s="363"/>
      <c r="E37" s="363"/>
      <c r="F37" s="363"/>
      <c r="I37" s="366" t="s">
        <v>291</v>
      </c>
      <c r="J37" s="366"/>
    </row>
    <row r="38" spans="2:10" ht="16.05" customHeight="1">
      <c r="B38" s="366" t="s">
        <v>289</v>
      </c>
      <c r="C38" s="366"/>
      <c r="D38" s="363"/>
      <c r="E38" s="363"/>
      <c r="F38" s="363"/>
      <c r="I38" s="370" t="s">
        <v>289</v>
      </c>
      <c r="J38" s="370"/>
    </row>
    <row r="39" spans="2:10" ht="16.05" customHeight="1">
      <c r="B39" s="131"/>
      <c r="C39" s="132"/>
      <c r="D39" s="133"/>
      <c r="E39" s="131"/>
      <c r="F39" s="132"/>
    </row>
    <row r="40" spans="2:10">
      <c r="B40" s="368" t="s">
        <v>163</v>
      </c>
      <c r="C40" s="369"/>
      <c r="D40" s="133"/>
      <c r="E40" s="368" t="s">
        <v>166</v>
      </c>
      <c r="F40" s="369"/>
      <c r="I40" t="s">
        <v>322</v>
      </c>
      <c r="J40" s="85">
        <f>F53</f>
        <v>4000</v>
      </c>
    </row>
    <row r="41" spans="2:10">
      <c r="B41" s="134"/>
      <c r="C41" s="135"/>
      <c r="D41" s="133"/>
      <c r="E41" s="134"/>
      <c r="F41" s="135"/>
      <c r="I41" t="s">
        <v>181</v>
      </c>
      <c r="J41">
        <v>3</v>
      </c>
    </row>
    <row r="42" spans="2:10">
      <c r="B42" s="134"/>
      <c r="C42" s="136" t="s">
        <v>4</v>
      </c>
      <c r="D42" s="133"/>
      <c r="E42" s="134"/>
      <c r="F42" s="136" t="s">
        <v>4</v>
      </c>
      <c r="I42" s="177" t="s">
        <v>180</v>
      </c>
      <c r="J42" s="178">
        <f>J41*F53</f>
        <v>12000</v>
      </c>
    </row>
    <row r="43" spans="2:10">
      <c r="B43" s="153" t="s">
        <v>5</v>
      </c>
      <c r="C43" s="154"/>
      <c r="D43" s="133"/>
      <c r="E43" s="153" t="s">
        <v>166</v>
      </c>
      <c r="F43" s="154"/>
    </row>
    <row r="44" spans="2:10">
      <c r="B44" s="137" t="s">
        <v>167</v>
      </c>
      <c r="C44" s="138">
        <v>4500</v>
      </c>
      <c r="D44" s="133"/>
      <c r="E44" s="137" t="s">
        <v>168</v>
      </c>
      <c r="F44" s="138">
        <f>C44*0.3</f>
        <v>1350</v>
      </c>
      <c r="I44" t="s">
        <v>179</v>
      </c>
      <c r="J44" s="85">
        <f>J15</f>
        <v>24200</v>
      </c>
    </row>
    <row r="45" spans="2:10">
      <c r="B45" s="137" t="s">
        <v>170</v>
      </c>
      <c r="C45" s="138">
        <v>500</v>
      </c>
      <c r="D45" s="133"/>
      <c r="E45" t="s">
        <v>303</v>
      </c>
      <c r="F45" s="138">
        <v>1150</v>
      </c>
      <c r="I45" t="s">
        <v>386</v>
      </c>
      <c r="J45" s="85">
        <f>-J42</f>
        <v>-12000</v>
      </c>
    </row>
    <row r="46" spans="2:10">
      <c r="B46" s="137"/>
      <c r="C46" s="138"/>
      <c r="D46" s="133"/>
      <c r="E46" s="137" t="s">
        <v>169</v>
      </c>
      <c r="F46" s="138">
        <v>200</v>
      </c>
    </row>
    <row r="47" spans="2:10">
      <c r="B47" s="137"/>
      <c r="C47" s="138"/>
      <c r="D47" s="133"/>
      <c r="E47" s="137" t="s">
        <v>171</v>
      </c>
      <c r="F47" s="138">
        <v>400</v>
      </c>
      <c r="I47" s="37" t="s">
        <v>182</v>
      </c>
      <c r="J47" s="38">
        <f>J44-J42</f>
        <v>12200</v>
      </c>
    </row>
    <row r="48" spans="2:10">
      <c r="B48" s="137"/>
      <c r="C48" s="138"/>
      <c r="D48" s="133"/>
      <c r="E48" s="137" t="s">
        <v>172</v>
      </c>
      <c r="F48" s="138">
        <v>300</v>
      </c>
    </row>
    <row r="49" spans="2:6">
      <c r="B49" s="137"/>
      <c r="C49" s="138"/>
      <c r="D49" s="133"/>
      <c r="E49" s="137" t="s">
        <v>178</v>
      </c>
      <c r="F49" s="138">
        <v>200</v>
      </c>
    </row>
    <row r="50" spans="2:6">
      <c r="B50" s="137"/>
      <c r="C50" s="139"/>
      <c r="D50" s="133"/>
      <c r="E50" s="137" t="s">
        <v>173</v>
      </c>
      <c r="F50" s="139">
        <v>100</v>
      </c>
    </row>
    <row r="51" spans="2:6">
      <c r="B51" s="143"/>
      <c r="C51" s="144"/>
      <c r="D51" s="133"/>
      <c r="E51" s="137" t="s">
        <v>176</v>
      </c>
      <c r="F51" s="139">
        <v>300</v>
      </c>
    </row>
    <row r="52" spans="2:6">
      <c r="B52" s="143"/>
      <c r="C52" s="144"/>
      <c r="D52" s="133"/>
      <c r="E52" s="137"/>
      <c r="F52" s="139"/>
    </row>
    <row r="53" spans="2:6" ht="15" thickBot="1">
      <c r="B53" s="151" t="s">
        <v>174</v>
      </c>
      <c r="C53" s="152">
        <f>SUM(C44:C50)</f>
        <v>5000</v>
      </c>
      <c r="D53" s="133"/>
      <c r="E53" s="151" t="s">
        <v>175</v>
      </c>
      <c r="F53" s="152">
        <f>SUM(F44:F51)</f>
        <v>4000</v>
      </c>
    </row>
    <row r="54" spans="2:6" ht="15" thickTop="1">
      <c r="B54" s="140"/>
      <c r="C54" s="145"/>
      <c r="D54" s="133"/>
      <c r="E54" s="146"/>
      <c r="F54" s="147"/>
    </row>
    <row r="55" spans="2:6">
      <c r="B55" s="148"/>
      <c r="C55" s="149"/>
      <c r="D55" s="150"/>
      <c r="E55" s="37" t="s">
        <v>302</v>
      </c>
      <c r="F55" s="38">
        <f>C53-F53</f>
        <v>1000</v>
      </c>
    </row>
    <row r="59" spans="2:6">
      <c r="B59" t="s">
        <v>299</v>
      </c>
      <c r="C59" s="84">
        <v>350</v>
      </c>
      <c r="E59" t="s">
        <v>295</v>
      </c>
      <c r="F59" s="84">
        <v>3100</v>
      </c>
    </row>
    <row r="60" spans="2:6">
      <c r="B60" t="s">
        <v>300</v>
      </c>
      <c r="C60" s="84">
        <v>475</v>
      </c>
      <c r="E60" t="s">
        <v>296</v>
      </c>
      <c r="F60" s="84">
        <v>3450</v>
      </c>
    </row>
    <row r="61" spans="2:6">
      <c r="B61" t="s">
        <v>301</v>
      </c>
      <c r="C61" s="84">
        <v>675</v>
      </c>
      <c r="E61" t="s">
        <v>297</v>
      </c>
      <c r="F61" s="84">
        <v>3050</v>
      </c>
    </row>
    <row r="62" spans="2:6" ht="15" thickBot="1">
      <c r="B62" s="151" t="s">
        <v>294</v>
      </c>
      <c r="C62" s="152">
        <f>AVERAGE(C59:C61)</f>
        <v>500</v>
      </c>
      <c r="E62" s="151" t="s">
        <v>298</v>
      </c>
      <c r="F62" s="152">
        <f>AVERAGE(F59:F61)</f>
        <v>3200</v>
      </c>
    </row>
    <row r="63" spans="2:6" ht="15" thickTop="1"/>
    <row r="67" spans="2:3">
      <c r="B67" t="s">
        <v>304</v>
      </c>
      <c r="C67" s="84">
        <v>24200</v>
      </c>
    </row>
    <row r="68" spans="2:3">
      <c r="B68" t="s">
        <v>305</v>
      </c>
      <c r="C68" s="84">
        <v>20000</v>
      </c>
    </row>
    <row r="69" spans="2:3" ht="15" thickBot="1">
      <c r="B69" s="151" t="s">
        <v>306</v>
      </c>
      <c r="C69" s="152">
        <f>C67-C68</f>
        <v>4200</v>
      </c>
    </row>
    <row r="70" spans="2:3" ht="15" thickTop="1"/>
    <row r="72" spans="2:3">
      <c r="B72" t="s">
        <v>321</v>
      </c>
      <c r="C72">
        <v>3200</v>
      </c>
    </row>
    <row r="73" spans="2:3">
      <c r="B73" t="s">
        <v>179</v>
      </c>
      <c r="C73">
        <v>24200</v>
      </c>
    </row>
  </sheetData>
  <mergeCells count="12">
    <mergeCell ref="I6:J6"/>
    <mergeCell ref="B2:F2"/>
    <mergeCell ref="B3:F3"/>
    <mergeCell ref="B5:C5"/>
    <mergeCell ref="E5:F5"/>
    <mergeCell ref="I5:J5"/>
    <mergeCell ref="B37:F37"/>
    <mergeCell ref="B38:F38"/>
    <mergeCell ref="B40:C40"/>
    <mergeCell ref="E40:F40"/>
    <mergeCell ref="I37:J37"/>
    <mergeCell ref="I38:J38"/>
  </mergeCells>
  <phoneticPr fontId="20" type="noConversion"/>
  <conditionalFormatting sqref="C31">
    <cfRule type="cellIs" dxfId="6" priority="5" stopIfTrue="1" operator="lessThan">
      <formula>0</formula>
    </cfRule>
  </conditionalFormatting>
  <conditionalFormatting sqref="C55">
    <cfRule type="cellIs" dxfId="5" priority="3" stopIfTrue="1" operator="lessThan">
      <formula>0</formula>
    </cfRule>
  </conditionalFormatting>
  <conditionalFormatting sqref="F31">
    <cfRule type="cellIs" dxfId="4" priority="4" stopIfTrue="1" operator="lessThan">
      <formula>0</formula>
    </cfRule>
  </conditionalFormatting>
  <conditionalFormatting sqref="F55">
    <cfRule type="cellIs" dxfId="3" priority="2" stopIfTrue="1" operator="lessThan">
      <formula>0</formula>
    </cfRule>
  </conditionalFormatting>
  <conditionalFormatting sqref="J47">
    <cfRule type="cellIs" dxfId="2" priority="1" stopIfTrue="1" operator="lessThan">
      <formula>0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450F-6EA3-E644-B1DD-2E2C365E8D65}">
  <dimension ref="A2:C25"/>
  <sheetViews>
    <sheetView zoomScale="152" zoomScaleNormal="152" workbookViewId="0">
      <selection activeCell="G29" sqref="G29"/>
    </sheetView>
  </sheetViews>
  <sheetFormatPr defaultColWidth="11.5546875" defaultRowHeight="14.4"/>
  <cols>
    <col min="1" max="1" width="14.44140625" bestFit="1" customWidth="1"/>
    <col min="2" max="2" width="15.109375" bestFit="1" customWidth="1"/>
    <col min="3" max="3" width="15.44140625" bestFit="1" customWidth="1"/>
  </cols>
  <sheetData>
    <row r="2" spans="1:3">
      <c r="A2" t="s">
        <v>121</v>
      </c>
      <c r="B2" s="63">
        <v>50000</v>
      </c>
      <c r="C2" s="63">
        <v>75000</v>
      </c>
    </row>
    <row r="3" spans="1:3">
      <c r="A3" t="s">
        <v>123</v>
      </c>
      <c r="B3" s="68">
        <v>0.1</v>
      </c>
      <c r="C3" s="68">
        <v>0.1</v>
      </c>
    </row>
    <row r="5" spans="1:3">
      <c r="A5" s="67" t="s">
        <v>119</v>
      </c>
      <c r="B5" s="67" t="s">
        <v>120</v>
      </c>
      <c r="C5" s="67" t="s">
        <v>120</v>
      </c>
    </row>
    <row r="6" spans="1:3">
      <c r="A6" s="62">
        <v>1</v>
      </c>
      <c r="B6" s="63">
        <v>6000</v>
      </c>
      <c r="C6" s="63">
        <v>7500</v>
      </c>
    </row>
    <row r="7" spans="1:3">
      <c r="A7" s="62">
        <v>2</v>
      </c>
      <c r="B7" s="63">
        <f>B6*1.05</f>
        <v>6300</v>
      </c>
      <c r="C7" s="63">
        <f>C6*1.03</f>
        <v>7725</v>
      </c>
    </row>
    <row r="8" spans="1:3">
      <c r="A8" s="62">
        <v>3</v>
      </c>
      <c r="B8" s="63">
        <f>B7*1.05</f>
        <v>6615</v>
      </c>
      <c r="C8" s="63">
        <f>C7*1.03</f>
        <v>7956.75</v>
      </c>
    </row>
    <row r="9" spans="1:3">
      <c r="A9" s="62">
        <v>4</v>
      </c>
      <c r="B9" s="63">
        <f>B8*1.05</f>
        <v>6945.75</v>
      </c>
      <c r="C9" s="63">
        <f>C8*1.03</f>
        <v>8195.4524999999994</v>
      </c>
    </row>
    <row r="10" spans="1:3">
      <c r="A10" s="62">
        <v>5</v>
      </c>
      <c r="B10" s="63">
        <f>B9*1.05</f>
        <v>7293.0375000000004</v>
      </c>
      <c r="C10" s="63">
        <f>C9*1.03</f>
        <v>8441.3160749999988</v>
      </c>
    </row>
    <row r="11" spans="1:3">
      <c r="A11" s="62">
        <v>6</v>
      </c>
      <c r="B11" s="63">
        <f t="shared" ref="B11:B20" si="0">B10*1.05</f>
        <v>7657.6893750000008</v>
      </c>
      <c r="C11" s="63">
        <f t="shared" ref="C11:C20" si="1">C10*1.03</f>
        <v>8694.5555572499998</v>
      </c>
    </row>
    <row r="12" spans="1:3">
      <c r="A12" s="62">
        <v>7</v>
      </c>
      <c r="B12" s="63">
        <f t="shared" si="0"/>
        <v>8040.5738437500013</v>
      </c>
      <c r="C12" s="63">
        <f t="shared" si="1"/>
        <v>8955.3922239674994</v>
      </c>
    </row>
    <row r="13" spans="1:3">
      <c r="A13" s="62">
        <v>8</v>
      </c>
      <c r="B13" s="63">
        <f t="shared" si="0"/>
        <v>8442.6025359375017</v>
      </c>
      <c r="C13" s="63">
        <f t="shared" si="1"/>
        <v>9224.0539906865251</v>
      </c>
    </row>
    <row r="14" spans="1:3">
      <c r="A14" s="62">
        <v>9</v>
      </c>
      <c r="B14" s="63">
        <f t="shared" si="0"/>
        <v>8864.7326627343773</v>
      </c>
      <c r="C14" s="63">
        <f t="shared" si="1"/>
        <v>9500.7756104071213</v>
      </c>
    </row>
    <row r="15" spans="1:3">
      <c r="A15" s="62">
        <v>10</v>
      </c>
      <c r="B15" s="63">
        <f t="shared" si="0"/>
        <v>9307.9692958710966</v>
      </c>
      <c r="C15" s="63">
        <f t="shared" si="1"/>
        <v>9785.7988787193353</v>
      </c>
    </row>
    <row r="16" spans="1:3">
      <c r="A16" s="62">
        <v>11</v>
      </c>
      <c r="B16" s="63">
        <f t="shared" si="0"/>
        <v>9773.3677606646525</v>
      </c>
      <c r="C16" s="63">
        <f t="shared" si="1"/>
        <v>10079.372845080916</v>
      </c>
    </row>
    <row r="17" spans="1:3">
      <c r="A17" s="62">
        <v>12</v>
      </c>
      <c r="B17" s="63">
        <f t="shared" si="0"/>
        <v>10262.036148697885</v>
      </c>
      <c r="C17" s="63">
        <f t="shared" si="1"/>
        <v>10381.754030433343</v>
      </c>
    </row>
    <row r="18" spans="1:3">
      <c r="A18" s="62">
        <v>13</v>
      </c>
      <c r="B18" s="63">
        <f t="shared" si="0"/>
        <v>10775.137956132779</v>
      </c>
      <c r="C18" s="63">
        <f t="shared" si="1"/>
        <v>10693.206651346343</v>
      </c>
    </row>
    <row r="19" spans="1:3">
      <c r="A19" s="62">
        <v>14</v>
      </c>
      <c r="B19" s="63">
        <f t="shared" si="0"/>
        <v>11313.894853939419</v>
      </c>
      <c r="C19" s="63">
        <f t="shared" si="1"/>
        <v>11014.002850886734</v>
      </c>
    </row>
    <row r="20" spans="1:3">
      <c r="A20" s="62">
        <v>15</v>
      </c>
      <c r="B20" s="63">
        <f t="shared" si="0"/>
        <v>11879.58959663639</v>
      </c>
      <c r="C20" s="63">
        <f t="shared" si="1"/>
        <v>11344.422936413337</v>
      </c>
    </row>
    <row r="21" spans="1:3">
      <c r="A21" s="65" t="s">
        <v>122</v>
      </c>
      <c r="B21" s="66">
        <f>SUM(B6:B20)</f>
        <v>129471.38152936409</v>
      </c>
      <c r="C21" s="66">
        <f>SUM(C6:C20)</f>
        <v>139491.85415019115</v>
      </c>
    </row>
    <row r="23" spans="1:3">
      <c r="A23" t="s">
        <v>124</v>
      </c>
      <c r="B23" s="64">
        <f xml:space="preserve"> B21/(1+B3)^15</f>
        <v>30994.419358971321</v>
      </c>
      <c r="C23" s="64">
        <f xml:space="preserve"> C21/(1+C3)^15</f>
        <v>33393.240835318698</v>
      </c>
    </row>
    <row r="24" spans="1:3">
      <c r="A24" t="s">
        <v>125</v>
      </c>
      <c r="B24" s="64">
        <f>NPV(B3, B6:B20)-B2</f>
        <v>10278.534716728973</v>
      </c>
      <c r="C24" s="64">
        <f>NPV(C3, C6:C20)-C2</f>
        <v>-7817.67993326133</v>
      </c>
    </row>
    <row r="25" spans="1:3">
      <c r="A25" t="s">
        <v>126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6B61-2676-4126-BF34-3A01649D8EA8}">
  <sheetPr>
    <pageSetUpPr fitToPage="1"/>
  </sheetPr>
  <dimension ref="B2:P172"/>
  <sheetViews>
    <sheetView showGridLines="0" topLeftCell="A74" zoomScaleNormal="100" workbookViewId="0">
      <selection activeCell="E41" sqref="E41"/>
    </sheetView>
  </sheetViews>
  <sheetFormatPr defaultColWidth="9.109375" defaultRowHeight="13.2"/>
  <cols>
    <col min="1" max="1" width="9.109375" style="4"/>
    <col min="2" max="2" width="32" style="2" customWidth="1"/>
    <col min="3" max="3" width="17.44140625" style="3" customWidth="1"/>
    <col min="4" max="4" width="1.44140625" style="4" customWidth="1"/>
    <col min="5" max="5" width="32" style="2" customWidth="1"/>
    <col min="6" max="6" width="17.44140625" style="3" customWidth="1"/>
    <col min="7" max="7" width="15" style="4" customWidth="1"/>
    <col min="8" max="8" width="32" style="2" customWidth="1"/>
    <col min="9" max="9" width="17.44140625" style="3" customWidth="1"/>
    <col min="10" max="10" width="5.44140625" style="4" customWidth="1"/>
    <col min="11" max="11" width="8.6640625" style="4" customWidth="1"/>
    <col min="12" max="12" width="22" style="4" customWidth="1"/>
    <col min="13" max="16" width="15.6640625" style="4" customWidth="1"/>
    <col min="17" max="16384" width="9.109375" style="4"/>
  </cols>
  <sheetData>
    <row r="2" spans="2:16" s="1" customFormat="1" ht="17.399999999999999">
      <c r="B2" s="361" t="s">
        <v>0</v>
      </c>
      <c r="C2" s="362"/>
      <c r="D2" s="363"/>
      <c r="E2" s="363"/>
      <c r="F2" s="363"/>
    </row>
    <row r="3" spans="2:16" s="1" customFormat="1" ht="17.399999999999999">
      <c r="B3" s="361" t="s">
        <v>1</v>
      </c>
      <c r="C3" s="361"/>
      <c r="D3" s="363"/>
      <c r="E3" s="363"/>
      <c r="F3" s="363"/>
    </row>
    <row r="4" spans="2:16" ht="15" customHeight="1"/>
    <row r="5" spans="2:16" ht="15" customHeight="1">
      <c r="B5" s="364" t="s">
        <v>2</v>
      </c>
      <c r="C5" s="365"/>
      <c r="E5" s="364" t="s">
        <v>3</v>
      </c>
      <c r="F5" s="365"/>
      <c r="H5" s="364" t="s">
        <v>3</v>
      </c>
      <c r="I5" s="365"/>
    </row>
    <row r="6" spans="2:16" ht="15" customHeight="1">
      <c r="B6" s="5"/>
      <c r="C6" s="6"/>
      <c r="E6" s="5"/>
      <c r="F6" s="6"/>
      <c r="H6" s="5"/>
      <c r="I6" s="6"/>
    </row>
    <row r="7" spans="2:16" ht="15" customHeight="1" thickBot="1">
      <c r="B7" s="5"/>
      <c r="C7" s="7" t="s">
        <v>4</v>
      </c>
      <c r="E7" s="5"/>
      <c r="F7" s="7" t="s">
        <v>4</v>
      </c>
      <c r="H7" s="5"/>
      <c r="I7" s="7" t="s">
        <v>4</v>
      </c>
      <c r="K7"/>
      <c r="L7"/>
      <c r="M7"/>
      <c r="N7"/>
      <c r="O7"/>
      <c r="P7"/>
    </row>
    <row r="8" spans="2:16" ht="15" customHeight="1">
      <c r="B8" s="8" t="s">
        <v>5</v>
      </c>
      <c r="C8" s="9"/>
      <c r="E8" s="8" t="s">
        <v>6</v>
      </c>
      <c r="F8" s="9"/>
      <c r="H8" s="8" t="s">
        <v>6</v>
      </c>
      <c r="I8" s="9"/>
      <c r="K8"/>
      <c r="L8" s="10"/>
      <c r="M8" s="11" t="s">
        <v>7</v>
      </c>
      <c r="N8" s="11" t="s">
        <v>8</v>
      </c>
      <c r="O8" s="12" t="s">
        <v>9</v>
      </c>
      <c r="P8"/>
    </row>
    <row r="9" spans="2:16" ht="15" customHeight="1">
      <c r="B9" s="13" t="s">
        <v>10</v>
      </c>
      <c r="C9" s="14">
        <v>200</v>
      </c>
      <c r="E9" s="13" t="s">
        <v>11</v>
      </c>
      <c r="F9" s="14">
        <f>145000-6800</f>
        <v>138200</v>
      </c>
      <c r="H9" s="13" t="s">
        <v>11</v>
      </c>
      <c r="I9" s="14">
        <f>145000-6800</f>
        <v>138200</v>
      </c>
      <c r="K9"/>
      <c r="L9" s="15" t="s">
        <v>12</v>
      </c>
      <c r="M9" s="16">
        <v>100000</v>
      </c>
      <c r="N9" s="16">
        <v>100000</v>
      </c>
      <c r="O9" s="17">
        <v>100000</v>
      </c>
      <c r="P9"/>
    </row>
    <row r="10" spans="2:16" ht="15" customHeight="1">
      <c r="B10" s="13" t="s">
        <v>13</v>
      </c>
      <c r="C10" s="14">
        <v>20000</v>
      </c>
      <c r="E10" s="13" t="s">
        <v>14</v>
      </c>
      <c r="F10" s="14">
        <v>26300</v>
      </c>
      <c r="H10" s="13" t="s">
        <v>14</v>
      </c>
      <c r="I10" s="14">
        <v>26300</v>
      </c>
      <c r="K10"/>
      <c r="L10" s="15" t="s">
        <v>15</v>
      </c>
      <c r="M10" s="16">
        <v>0</v>
      </c>
      <c r="N10" s="16">
        <v>80000</v>
      </c>
      <c r="O10" s="17">
        <v>80000</v>
      </c>
      <c r="P10"/>
    </row>
    <row r="11" spans="2:16" ht="15" customHeight="1">
      <c r="B11" s="13" t="s">
        <v>16</v>
      </c>
      <c r="C11" s="14">
        <v>5000</v>
      </c>
      <c r="E11" s="13" t="s">
        <v>17</v>
      </c>
      <c r="F11" s="18">
        <v>3200</v>
      </c>
      <c r="H11" s="13" t="s">
        <v>17</v>
      </c>
      <c r="I11" s="18">
        <v>3200</v>
      </c>
      <c r="K11"/>
      <c r="L11" s="15" t="s">
        <v>18</v>
      </c>
      <c r="M11" s="16">
        <v>100000</v>
      </c>
      <c r="N11" s="16">
        <v>20000</v>
      </c>
      <c r="O11" s="17">
        <v>20000</v>
      </c>
      <c r="P11"/>
    </row>
    <row r="12" spans="2:16" ht="15" customHeight="1">
      <c r="B12" s="13"/>
      <c r="C12" s="18"/>
      <c r="E12" s="13"/>
      <c r="F12" s="18"/>
      <c r="H12" s="13"/>
      <c r="I12" s="18"/>
      <c r="K12"/>
      <c r="L12" s="15" t="s">
        <v>19</v>
      </c>
      <c r="M12" s="19" t="s">
        <v>20</v>
      </c>
      <c r="N12" s="19">
        <v>4.4999999999999998E-2</v>
      </c>
      <c r="O12" s="20">
        <v>7.0000000000000007E-2</v>
      </c>
      <c r="P12"/>
    </row>
    <row r="13" spans="2:16" ht="15" customHeight="1">
      <c r="B13" s="8" t="s">
        <v>21</v>
      </c>
      <c r="C13" s="9"/>
      <c r="E13" s="8" t="s">
        <v>22</v>
      </c>
      <c r="F13" s="9"/>
      <c r="H13" s="8" t="s">
        <v>22</v>
      </c>
      <c r="I13" s="9"/>
      <c r="K13"/>
      <c r="L13" s="15" t="s">
        <v>23</v>
      </c>
      <c r="M13" s="16">
        <v>7200</v>
      </c>
      <c r="N13" s="16">
        <v>2340</v>
      </c>
      <c r="O13" s="17">
        <v>816</v>
      </c>
      <c r="P13"/>
    </row>
    <row r="14" spans="2:16" ht="15" customHeight="1" thickBot="1">
      <c r="B14" s="13" t="s">
        <v>24</v>
      </c>
      <c r="C14" s="14">
        <v>54500</v>
      </c>
      <c r="E14" s="13" t="s">
        <v>25</v>
      </c>
      <c r="F14" s="14">
        <v>6800</v>
      </c>
      <c r="H14" s="13" t="s">
        <v>25</v>
      </c>
      <c r="I14" s="14">
        <v>6800</v>
      </c>
      <c r="K14"/>
      <c r="L14" s="21" t="s">
        <v>26</v>
      </c>
      <c r="M14" s="22">
        <v>7.1999999999999995E-2</v>
      </c>
      <c r="N14" s="22">
        <f>N13/N11</f>
        <v>0.11700000000000001</v>
      </c>
      <c r="O14" s="23">
        <f>O13/O11</f>
        <v>4.0800000000000003E-2</v>
      </c>
      <c r="P14"/>
    </row>
    <row r="15" spans="2:16" ht="15" customHeight="1">
      <c r="B15" s="13"/>
      <c r="C15" s="14"/>
      <c r="E15" s="13"/>
      <c r="F15" s="14"/>
      <c r="H15" s="13"/>
      <c r="I15" s="14"/>
      <c r="K15"/>
      <c r="L15"/>
      <c r="M15" s="24"/>
      <c r="N15" s="24"/>
      <c r="O15" s="24"/>
      <c r="P15"/>
    </row>
    <row r="16" spans="2:16" ht="15" customHeight="1" thickBot="1">
      <c r="B16" s="25" t="s">
        <v>27</v>
      </c>
      <c r="C16" s="26"/>
      <c r="E16" s="8" t="s">
        <v>28</v>
      </c>
      <c r="F16" s="9"/>
      <c r="H16" s="8" t="s">
        <v>28</v>
      </c>
      <c r="I16" s="9"/>
      <c r="K16"/>
      <c r="P16"/>
    </row>
    <row r="17" spans="2:16" ht="15" customHeight="1">
      <c r="B17" s="13" t="s">
        <v>29</v>
      </c>
      <c r="C17" s="14">
        <v>3200</v>
      </c>
      <c r="E17" s="13" t="s">
        <v>30</v>
      </c>
      <c r="F17" s="14">
        <v>18000</v>
      </c>
      <c r="H17" s="13" t="s">
        <v>30</v>
      </c>
      <c r="I17" s="14">
        <v>18000</v>
      </c>
      <c r="K17"/>
      <c r="L17" s="10"/>
      <c r="M17" s="11" t="s">
        <v>7</v>
      </c>
      <c r="N17" s="11" t="s">
        <v>8</v>
      </c>
      <c r="O17" s="12" t="s">
        <v>9</v>
      </c>
      <c r="P17"/>
    </row>
    <row r="18" spans="2:16" ht="15" customHeight="1">
      <c r="B18" s="13" t="s">
        <v>31</v>
      </c>
      <c r="C18" s="14">
        <v>800</v>
      </c>
      <c r="E18" s="13"/>
      <c r="F18" s="14"/>
      <c r="H18" s="13"/>
      <c r="I18" s="14"/>
      <c r="L18" s="15" t="s">
        <v>32</v>
      </c>
      <c r="M18" s="19">
        <v>7.1999999999999995E-2</v>
      </c>
      <c r="N18" s="27" t="s">
        <v>20</v>
      </c>
      <c r="O18" s="28" t="s">
        <v>20</v>
      </c>
    </row>
    <row r="19" spans="2:16" ht="15" customHeight="1" thickBot="1">
      <c r="B19" s="13"/>
      <c r="C19" s="14"/>
      <c r="E19" s="13"/>
      <c r="F19" s="14"/>
      <c r="H19" s="25" t="s">
        <v>33</v>
      </c>
      <c r="I19" s="29">
        <f>SUM(I9:I18)</f>
        <v>192500</v>
      </c>
      <c r="L19" s="15" t="s">
        <v>34</v>
      </c>
      <c r="M19" s="27" t="s">
        <v>20</v>
      </c>
      <c r="N19" s="27">
        <v>6.0999999999999999E-2</v>
      </c>
      <c r="O19" s="28">
        <f>6384/80000</f>
        <v>7.9799999999999996E-2</v>
      </c>
    </row>
    <row r="20" spans="2:16" ht="15" customHeight="1" thickTop="1" thickBot="1">
      <c r="B20" s="25" t="s">
        <v>35</v>
      </c>
      <c r="C20" s="26"/>
      <c r="E20" s="13"/>
      <c r="F20" s="14"/>
      <c r="H20" s="30"/>
      <c r="I20" s="31"/>
      <c r="L20" s="21" t="s">
        <v>36</v>
      </c>
      <c r="M20" s="22" t="s">
        <v>20</v>
      </c>
      <c r="N20" s="22">
        <f>M18-N19</f>
        <v>1.0999999999999996E-2</v>
      </c>
      <c r="O20" s="23">
        <f>M18-O19</f>
        <v>-7.8000000000000014E-3</v>
      </c>
    </row>
    <row r="21" spans="2:16" ht="15" customHeight="1">
      <c r="B21" s="13" t="s">
        <v>37</v>
      </c>
      <c r="C21" s="14">
        <v>65000</v>
      </c>
      <c r="E21" s="32"/>
      <c r="F21" s="33"/>
    </row>
    <row r="22" spans="2:16" ht="15" customHeight="1">
      <c r="B22" s="13"/>
      <c r="C22" s="14"/>
      <c r="E22" s="13"/>
      <c r="F22" s="14"/>
    </row>
    <row r="23" spans="2:16" ht="15" customHeight="1" thickBot="1">
      <c r="B23" s="25" t="s">
        <v>38</v>
      </c>
      <c r="C23" s="26"/>
      <c r="E23" s="13"/>
      <c r="F23" s="14"/>
      <c r="L23"/>
      <c r="M23"/>
      <c r="N23"/>
      <c r="O23"/>
      <c r="P23"/>
    </row>
    <row r="24" spans="2:16" ht="15" customHeight="1">
      <c r="B24" s="13" t="s">
        <v>39</v>
      </c>
      <c r="C24" s="14">
        <v>185000</v>
      </c>
      <c r="E24" s="32"/>
      <c r="F24" s="33"/>
      <c r="H24" s="4"/>
      <c r="I24" s="4"/>
      <c r="L24" s="10"/>
      <c r="M24" s="11" t="s">
        <v>7</v>
      </c>
      <c r="N24" s="11" t="s">
        <v>8</v>
      </c>
      <c r="O24" s="12" t="s">
        <v>9</v>
      </c>
      <c r="P24"/>
    </row>
    <row r="25" spans="2:16" ht="15" customHeight="1">
      <c r="B25" s="13" t="s">
        <v>40</v>
      </c>
      <c r="C25" s="14">
        <v>7000</v>
      </c>
      <c r="E25" s="13"/>
      <c r="F25" s="14"/>
      <c r="H25" s="4"/>
      <c r="I25" s="4"/>
      <c r="L25" s="15" t="s">
        <v>12</v>
      </c>
      <c r="M25" s="16">
        <v>100000</v>
      </c>
      <c r="N25" s="16">
        <v>100000</v>
      </c>
      <c r="O25" s="17">
        <v>100000</v>
      </c>
      <c r="P25"/>
    </row>
    <row r="26" spans="2:16" ht="15" customHeight="1">
      <c r="B26" s="13" t="s">
        <v>41</v>
      </c>
      <c r="C26" s="14">
        <v>2000</v>
      </c>
      <c r="E26" s="13"/>
      <c r="F26" s="14"/>
      <c r="H26" s="4"/>
      <c r="I26" s="4"/>
      <c r="L26" s="15" t="s">
        <v>15</v>
      </c>
      <c r="M26" s="16">
        <v>0</v>
      </c>
      <c r="N26" s="16">
        <v>80000</v>
      </c>
      <c r="O26" s="17">
        <v>80000</v>
      </c>
      <c r="P26"/>
    </row>
    <row r="27" spans="2:16" ht="15" customHeight="1">
      <c r="B27" s="13" t="s">
        <v>42</v>
      </c>
      <c r="C27" s="14">
        <v>5000</v>
      </c>
      <c r="E27" s="13"/>
      <c r="F27" s="14"/>
      <c r="H27" s="4" t="s">
        <v>118</v>
      </c>
      <c r="I27" s="4"/>
      <c r="L27" s="15" t="s">
        <v>18</v>
      </c>
      <c r="M27" s="16">
        <v>100000</v>
      </c>
      <c r="N27" s="16">
        <v>20000</v>
      </c>
      <c r="O27" s="17">
        <v>20000</v>
      </c>
      <c r="P27"/>
    </row>
    <row r="28" spans="2:16" ht="15" customHeight="1">
      <c r="B28" s="13"/>
      <c r="C28" s="14"/>
      <c r="E28" s="13"/>
      <c r="F28" s="14"/>
      <c r="H28" s="4"/>
      <c r="I28" s="4"/>
      <c r="L28" s="15" t="s">
        <v>19</v>
      </c>
      <c r="M28" s="19" t="s">
        <v>20</v>
      </c>
      <c r="N28" s="19">
        <v>4.4999999999999998E-2</v>
      </c>
      <c r="O28" s="20">
        <v>7.0000000000000007E-2</v>
      </c>
      <c r="P28"/>
    </row>
    <row r="29" spans="2:16" ht="15" customHeight="1" thickBot="1">
      <c r="B29" s="25" t="s">
        <v>43</v>
      </c>
      <c r="C29" s="29">
        <f>SUM(C9:C28)</f>
        <v>347700</v>
      </c>
      <c r="E29" s="25" t="s">
        <v>43</v>
      </c>
      <c r="F29" s="29">
        <f>SUM(F9:F28)</f>
        <v>192500</v>
      </c>
      <c r="H29" s="4"/>
      <c r="I29" s="4"/>
      <c r="L29" s="15" t="s">
        <v>23</v>
      </c>
      <c r="M29" s="16">
        <v>7200</v>
      </c>
      <c r="N29" s="16">
        <v>2340</v>
      </c>
      <c r="O29" s="17">
        <v>816</v>
      </c>
      <c r="P29"/>
    </row>
    <row r="30" spans="2:16" ht="15" customHeight="1" thickTop="1">
      <c r="B30" s="30"/>
      <c r="C30" s="31"/>
      <c r="E30" s="30"/>
      <c r="F30" s="31"/>
      <c r="H30" s="4"/>
      <c r="I30" s="4"/>
      <c r="L30" s="15" t="s">
        <v>32</v>
      </c>
      <c r="M30" s="19">
        <v>7.1999999999999995E-2</v>
      </c>
      <c r="N30" s="27" t="s">
        <v>20</v>
      </c>
      <c r="O30" s="28" t="s">
        <v>20</v>
      </c>
      <c r="P30"/>
    </row>
    <row r="31" spans="2:16" ht="15.6">
      <c r="B31" s="34"/>
      <c r="C31" s="35"/>
      <c r="D31" s="36"/>
      <c r="E31" s="37" t="s">
        <v>44</v>
      </c>
      <c r="F31" s="38">
        <f>C29-F29</f>
        <v>155200</v>
      </c>
      <c r="H31" s="4"/>
      <c r="I31" s="4"/>
      <c r="L31" s="15" t="s">
        <v>34</v>
      </c>
      <c r="M31" s="27" t="s">
        <v>20</v>
      </c>
      <c r="N31" s="27">
        <v>6.0999999999999999E-2</v>
      </c>
      <c r="O31" s="28">
        <v>0.08</v>
      </c>
      <c r="P31"/>
    </row>
    <row r="32" spans="2:16" ht="15" thickBot="1">
      <c r="H32" s="4"/>
      <c r="I32" s="4"/>
      <c r="L32" s="21" t="s">
        <v>36</v>
      </c>
      <c r="M32" s="22" t="s">
        <v>20</v>
      </c>
      <c r="N32" s="22">
        <f>M30-N31</f>
        <v>1.0999999999999996E-2</v>
      </c>
      <c r="O32" s="23">
        <f>M30-O31</f>
        <v>-8.0000000000000071E-3</v>
      </c>
      <c r="P32"/>
    </row>
    <row r="33" spans="2:16" ht="14.4">
      <c r="H33" s="4"/>
      <c r="I33" s="4"/>
      <c r="L33"/>
      <c r="M33" s="24"/>
      <c r="N33" s="24"/>
      <c r="O33" s="24"/>
      <c r="P33"/>
    </row>
    <row r="34" spans="2:16">
      <c r="E34" s="4"/>
      <c r="F34" s="4"/>
      <c r="H34" s="4"/>
      <c r="I34" s="4"/>
    </row>
    <row r="35" spans="2:16">
      <c r="E35" s="4"/>
      <c r="F35" s="4"/>
      <c r="H35" s="4"/>
      <c r="I35" s="4"/>
    </row>
    <row r="36" spans="2:16" ht="13.8">
      <c r="B36" s="348" t="s">
        <v>45</v>
      </c>
      <c r="C36" s="349"/>
      <c r="E36" s="4"/>
      <c r="F36" s="4"/>
      <c r="H36" s="4"/>
      <c r="I36" s="4"/>
    </row>
    <row r="37" spans="2:16" ht="13.8">
      <c r="B37" s="350" t="s">
        <v>46</v>
      </c>
      <c r="C37" s="351"/>
      <c r="E37" s="4"/>
      <c r="F37" s="4"/>
      <c r="H37" s="4"/>
      <c r="I37" s="4"/>
    </row>
    <row r="38" spans="2:16">
      <c r="E38" s="4"/>
      <c r="F38" s="4"/>
      <c r="H38" s="4"/>
      <c r="I38" s="4"/>
    </row>
    <row r="39" spans="2:16" ht="13.8">
      <c r="B39" s="8" t="s">
        <v>47</v>
      </c>
      <c r="C39" s="9"/>
      <c r="E39" s="4"/>
      <c r="F39" s="4"/>
      <c r="H39" s="4"/>
      <c r="I39" s="4"/>
    </row>
    <row r="40" spans="2:16" ht="13.8">
      <c r="B40" s="13" t="s">
        <v>48</v>
      </c>
      <c r="C40" s="14"/>
      <c r="E40" s="4"/>
      <c r="F40" s="4"/>
      <c r="H40" s="4"/>
      <c r="I40" s="4"/>
    </row>
    <row r="41" spans="2:16" ht="13.8">
      <c r="B41" s="39" t="s">
        <v>49</v>
      </c>
      <c r="C41" s="40">
        <v>75462</v>
      </c>
      <c r="E41" s="4"/>
      <c r="F41" s="4"/>
      <c r="H41" s="4"/>
      <c r="I41" s="4"/>
    </row>
    <row r="42" spans="2:16" ht="13.8">
      <c r="B42" s="39" t="s">
        <v>50</v>
      </c>
      <c r="C42" s="40">
        <f>281559-7021</f>
        <v>274538</v>
      </c>
      <c r="E42" s="4"/>
      <c r="F42" s="4"/>
      <c r="H42" s="4"/>
      <c r="I42" s="4"/>
    </row>
    <row r="43" spans="2:16" ht="13.8">
      <c r="B43" s="39" t="s">
        <v>51</v>
      </c>
      <c r="C43" s="40">
        <v>8254</v>
      </c>
      <c r="E43" s="4"/>
      <c r="F43" s="4"/>
      <c r="H43" s="4"/>
      <c r="I43" s="4"/>
    </row>
    <row r="44" spans="2:16" ht="13.8">
      <c r="B44" s="39" t="s">
        <v>52</v>
      </c>
      <c r="C44" s="41">
        <f>-27115+7021</f>
        <v>-20094</v>
      </c>
      <c r="E44" s="4"/>
      <c r="F44" s="4"/>
      <c r="H44" s="4"/>
      <c r="I44" s="4"/>
    </row>
    <row r="45" spans="2:16" ht="13.8">
      <c r="B45" s="13"/>
      <c r="C45" s="42">
        <f>SUM(C41:C44)</f>
        <v>338160</v>
      </c>
      <c r="E45" s="4"/>
      <c r="F45" s="4"/>
      <c r="H45" s="4"/>
      <c r="I45" s="4"/>
    </row>
    <row r="46" spans="2:16" ht="13.8">
      <c r="B46" s="13"/>
      <c r="C46" s="40"/>
      <c r="E46" s="4"/>
      <c r="F46" s="4"/>
      <c r="H46" s="4"/>
      <c r="I46" s="4"/>
    </row>
    <row r="47" spans="2:16" ht="13.8">
      <c r="B47" s="13" t="s">
        <v>53</v>
      </c>
      <c r="C47" s="40"/>
      <c r="E47" s="4"/>
      <c r="F47" s="4"/>
      <c r="H47" s="4"/>
      <c r="I47" s="4"/>
    </row>
    <row r="48" spans="2:16" ht="13.8">
      <c r="B48" s="39" t="s">
        <v>54</v>
      </c>
      <c r="C48" s="40">
        <v>16581</v>
      </c>
      <c r="E48" s="4"/>
      <c r="F48" s="4"/>
      <c r="H48" s="4"/>
      <c r="I48" s="4"/>
    </row>
    <row r="49" spans="2:9" ht="13.8">
      <c r="B49" s="39" t="s">
        <v>55</v>
      </c>
      <c r="C49" s="40">
        <v>14000</v>
      </c>
      <c r="E49" s="4"/>
      <c r="F49" s="4"/>
      <c r="H49" s="4"/>
      <c r="I49" s="4"/>
    </row>
    <row r="50" spans="2:9" ht="13.8">
      <c r="B50" s="39" t="s">
        <v>56</v>
      </c>
      <c r="C50" s="41">
        <v>2220</v>
      </c>
      <c r="E50" s="4"/>
      <c r="F50" s="4"/>
      <c r="H50" s="4"/>
      <c r="I50" s="4"/>
    </row>
    <row r="51" spans="2:9" ht="13.8">
      <c r="B51" s="39" t="s">
        <v>57</v>
      </c>
      <c r="C51" s="41">
        <v>8450</v>
      </c>
      <c r="E51" s="4"/>
      <c r="F51" s="4"/>
      <c r="H51" s="4"/>
      <c r="I51" s="4"/>
    </row>
    <row r="52" spans="2:9" ht="13.8">
      <c r="B52" s="13"/>
      <c r="C52" s="43">
        <f>SUM(C48:C51)</f>
        <v>41251</v>
      </c>
      <c r="E52" s="4"/>
      <c r="F52" s="4"/>
      <c r="H52" s="4"/>
      <c r="I52" s="4"/>
    </row>
    <row r="53" spans="2:9" ht="13.8">
      <c r="B53" s="44" t="s">
        <v>58</v>
      </c>
      <c r="C53" s="45">
        <f>C45+C52</f>
        <v>379411</v>
      </c>
      <c r="E53" s="4"/>
      <c r="F53" s="4"/>
      <c r="H53" s="4"/>
      <c r="I53" s="4"/>
    </row>
    <row r="54" spans="2:9" ht="13.8">
      <c r="B54" s="13"/>
      <c r="C54" s="40"/>
      <c r="E54" s="4"/>
      <c r="F54" s="4"/>
      <c r="H54" s="4"/>
      <c r="I54" s="4"/>
    </row>
    <row r="55" spans="2:9" ht="13.8">
      <c r="B55" s="8" t="s">
        <v>59</v>
      </c>
      <c r="C55" s="46"/>
      <c r="E55" s="4"/>
      <c r="F55" s="4"/>
      <c r="H55" s="4"/>
      <c r="I55" s="4"/>
    </row>
    <row r="56" spans="2:9" ht="13.8">
      <c r="B56" s="13" t="s">
        <v>3</v>
      </c>
      <c r="C56" s="40"/>
      <c r="E56" s="4"/>
      <c r="F56" s="4"/>
      <c r="H56" s="4"/>
      <c r="I56" s="4"/>
    </row>
    <row r="57" spans="2:9" ht="13.8">
      <c r="B57" s="39" t="s">
        <v>60</v>
      </c>
      <c r="C57" s="40">
        <v>276841</v>
      </c>
      <c r="E57" s="4"/>
      <c r="F57" s="4"/>
      <c r="H57" s="4"/>
      <c r="I57" s="4"/>
    </row>
    <row r="58" spans="2:9" ht="13.8">
      <c r="B58" s="39" t="s">
        <v>61</v>
      </c>
      <c r="C58" s="40">
        <v>16875</v>
      </c>
      <c r="E58" s="4"/>
      <c r="F58" s="4"/>
      <c r="H58" s="4"/>
      <c r="I58" s="4"/>
    </row>
    <row r="59" spans="2:9" ht="13.8">
      <c r="B59" s="39" t="s">
        <v>62</v>
      </c>
      <c r="C59" s="40">
        <v>12254</v>
      </c>
      <c r="E59" s="4"/>
      <c r="F59" s="4"/>
      <c r="H59" s="4"/>
      <c r="I59" s="4"/>
    </row>
    <row r="60" spans="2:9" ht="13.8">
      <c r="B60" s="39" t="s">
        <v>57</v>
      </c>
      <c r="C60" s="40">
        <v>8450</v>
      </c>
      <c r="E60" s="4"/>
      <c r="F60" s="4"/>
      <c r="H60" s="4"/>
      <c r="I60" s="4"/>
    </row>
    <row r="61" spans="2:9" ht="13.8">
      <c r="B61" s="44" t="s">
        <v>63</v>
      </c>
      <c r="C61" s="45">
        <f>SUM(C57:C60)</f>
        <v>314420</v>
      </c>
      <c r="E61" s="4"/>
      <c r="F61" s="4"/>
      <c r="H61" s="4"/>
      <c r="I61" s="4"/>
    </row>
    <row r="62" spans="2:9" ht="13.8">
      <c r="B62" s="13"/>
      <c r="C62" s="40"/>
      <c r="E62" s="4"/>
      <c r="F62" s="4"/>
      <c r="H62" s="4"/>
      <c r="I62" s="4"/>
    </row>
    <row r="63" spans="2:9" ht="13.8">
      <c r="B63" s="13" t="s">
        <v>64</v>
      </c>
      <c r="C63" s="40"/>
      <c r="E63" s="4"/>
      <c r="F63" s="4"/>
      <c r="H63" s="4"/>
      <c r="I63" s="4"/>
    </row>
    <row r="64" spans="2:9" ht="13.8">
      <c r="B64" s="39" t="s">
        <v>65</v>
      </c>
      <c r="C64" s="40">
        <v>40000</v>
      </c>
      <c r="E64" s="4"/>
      <c r="F64" s="4"/>
      <c r="H64" s="4"/>
      <c r="I64" s="4"/>
    </row>
    <row r="65" spans="2:9" ht="13.8">
      <c r="B65" s="39" t="s">
        <v>66</v>
      </c>
      <c r="C65" s="40">
        <f>C53-C61-C64</f>
        <v>24991</v>
      </c>
      <c r="E65" s="4"/>
      <c r="F65" s="4"/>
      <c r="H65" s="4"/>
      <c r="I65" s="4"/>
    </row>
    <row r="66" spans="2:9" ht="13.8">
      <c r="B66" s="44" t="s">
        <v>67</v>
      </c>
      <c r="C66" s="45">
        <f>SUM(C62:C65)</f>
        <v>64991</v>
      </c>
      <c r="E66" s="4"/>
      <c r="F66" s="4"/>
      <c r="H66" s="4"/>
      <c r="I66" s="4"/>
    </row>
    <row r="67" spans="2:9" ht="13.8">
      <c r="B67" s="13"/>
      <c r="C67" s="14"/>
      <c r="E67" s="4"/>
      <c r="F67" s="4"/>
      <c r="H67" s="4"/>
      <c r="I67" s="4"/>
    </row>
    <row r="68" spans="2:9" ht="13.8">
      <c r="B68" s="44" t="s">
        <v>68</v>
      </c>
      <c r="C68" s="47">
        <f>C61+C66</f>
        <v>379411</v>
      </c>
      <c r="E68" s="4"/>
      <c r="F68" s="4"/>
      <c r="H68" s="4"/>
      <c r="I68" s="4"/>
    </row>
    <row r="69" spans="2:9" ht="13.8">
      <c r="B69" s="13"/>
      <c r="C69" s="18"/>
      <c r="E69" s="4"/>
      <c r="F69" s="4"/>
      <c r="H69" s="4"/>
      <c r="I69" s="4"/>
    </row>
    <row r="70" spans="2:9">
      <c r="E70" s="4"/>
      <c r="F70" s="4"/>
      <c r="H70" s="4"/>
      <c r="I70" s="4"/>
    </row>
    <row r="71" spans="2:9">
      <c r="E71" s="4"/>
      <c r="F71" s="4"/>
      <c r="H71" s="4"/>
      <c r="I71" s="4"/>
    </row>
    <row r="72" spans="2:9">
      <c r="B72" s="352" t="s">
        <v>69</v>
      </c>
      <c r="C72" s="353"/>
      <c r="E72" s="4"/>
      <c r="F72" s="4"/>
      <c r="H72" s="4"/>
      <c r="I72" s="4"/>
    </row>
    <row r="73" spans="2:9">
      <c r="B73" s="354" t="s">
        <v>70</v>
      </c>
      <c r="C73" s="355"/>
      <c r="E73" s="4"/>
      <c r="F73" s="4"/>
      <c r="H73" s="4"/>
      <c r="I73" s="4"/>
    </row>
    <row r="74" spans="2:9">
      <c r="E74" s="4"/>
      <c r="F74" s="4"/>
    </row>
    <row r="75" spans="2:9" ht="13.8">
      <c r="B75" s="8" t="s">
        <v>71</v>
      </c>
      <c r="C75" s="9"/>
      <c r="E75" s="4"/>
      <c r="F75" s="4"/>
    </row>
    <row r="76" spans="2:9" ht="13.8">
      <c r="B76" s="13" t="s">
        <v>72</v>
      </c>
      <c r="C76" s="14">
        <v>0</v>
      </c>
      <c r="E76" s="4"/>
      <c r="F76" s="4"/>
    </row>
    <row r="77" spans="2:9" ht="13.8">
      <c r="B77" s="48" t="s">
        <v>73</v>
      </c>
      <c r="C77" s="40">
        <v>0</v>
      </c>
      <c r="E77" s="4"/>
      <c r="F77" s="4"/>
    </row>
    <row r="78" spans="2:9" ht="13.8">
      <c r="B78" s="48" t="s">
        <v>74</v>
      </c>
      <c r="C78" s="49"/>
      <c r="E78" s="4"/>
      <c r="F78" s="4"/>
    </row>
    <row r="79" spans="2:9" ht="13.8">
      <c r="B79" s="50" t="s">
        <v>75</v>
      </c>
      <c r="C79" s="42">
        <v>0</v>
      </c>
    </row>
    <row r="80" spans="2:9" ht="13.8">
      <c r="B80" s="50"/>
      <c r="C80" s="50"/>
    </row>
    <row r="81" spans="2:9" ht="13.8">
      <c r="B81" s="13" t="s">
        <v>76</v>
      </c>
      <c r="C81" s="14">
        <v>0</v>
      </c>
    </row>
    <row r="82" spans="2:9" ht="13.8">
      <c r="B82" s="13" t="s">
        <v>77</v>
      </c>
      <c r="C82" s="14">
        <v>0</v>
      </c>
    </row>
    <row r="83" spans="2:9" ht="13.8">
      <c r="B83" s="48" t="s">
        <v>74</v>
      </c>
      <c r="C83" s="51"/>
    </row>
    <row r="84" spans="2:9" ht="13.8">
      <c r="B84" s="50" t="s">
        <v>78</v>
      </c>
      <c r="C84" s="42">
        <v>0</v>
      </c>
    </row>
    <row r="85" spans="2:9" ht="13.8">
      <c r="B85" s="50"/>
      <c r="C85" s="50"/>
    </row>
    <row r="86" spans="2:9" ht="13.8">
      <c r="B86" s="50" t="s">
        <v>79</v>
      </c>
      <c r="C86" s="45">
        <v>0</v>
      </c>
    </row>
    <row r="87" spans="2:9" ht="13.8">
      <c r="B87" s="13"/>
      <c r="C87" s="40"/>
    </row>
    <row r="88" spans="2:9" ht="13.8">
      <c r="B88" s="8" t="s">
        <v>80</v>
      </c>
      <c r="C88" s="46"/>
    </row>
    <row r="89" spans="2:9" ht="13.8">
      <c r="B89" s="13" t="s">
        <v>81</v>
      </c>
      <c r="C89" s="40">
        <v>0</v>
      </c>
    </row>
    <row r="90" spans="2:9" ht="13.8">
      <c r="B90" s="48" t="s">
        <v>82</v>
      </c>
      <c r="C90" s="40">
        <v>0</v>
      </c>
    </row>
    <row r="91" spans="2:9" ht="13.8">
      <c r="B91" s="48" t="s">
        <v>74</v>
      </c>
      <c r="C91" s="40"/>
    </row>
    <row r="92" spans="2:9" ht="13.8">
      <c r="B92" s="50" t="s">
        <v>83</v>
      </c>
      <c r="C92" s="45">
        <v>0</v>
      </c>
    </row>
    <row r="93" spans="2:9" ht="13.8">
      <c r="B93" s="13"/>
      <c r="C93" s="40"/>
    </row>
    <row r="94" spans="2:9" ht="13.8">
      <c r="B94" s="52" t="s">
        <v>84</v>
      </c>
      <c r="C94" s="53">
        <v>0</v>
      </c>
      <c r="H94" s="4"/>
      <c r="I94" s="4"/>
    </row>
    <row r="97" spans="2:9" ht="13.8">
      <c r="B97" s="348" t="s">
        <v>85</v>
      </c>
      <c r="C97" s="349"/>
      <c r="E97" s="4"/>
    </row>
    <row r="98" spans="2:9" ht="13.8">
      <c r="B98" s="350" t="s">
        <v>70</v>
      </c>
      <c r="C98" s="351"/>
      <c r="E98" s="4"/>
    </row>
    <row r="99" spans="2:9">
      <c r="E99" s="4"/>
    </row>
    <row r="100" spans="2:9" ht="13.8">
      <c r="B100" s="8" t="s">
        <v>71</v>
      </c>
      <c r="C100" s="9"/>
      <c r="E100" s="4"/>
    </row>
    <row r="101" spans="2:9" ht="13.8">
      <c r="B101" s="13" t="s">
        <v>74</v>
      </c>
      <c r="C101" s="14">
        <v>0</v>
      </c>
      <c r="E101" s="4"/>
    </row>
    <row r="102" spans="2:9" ht="13.8">
      <c r="B102" s="13"/>
      <c r="C102" s="40"/>
    </row>
    <row r="103" spans="2:9" ht="13.8">
      <c r="B103" s="8" t="s">
        <v>80</v>
      </c>
      <c r="C103" s="46"/>
    </row>
    <row r="104" spans="2:9" ht="13.8">
      <c r="B104" s="48" t="s">
        <v>74</v>
      </c>
      <c r="C104" s="40"/>
    </row>
    <row r="105" spans="2:9" ht="13.8">
      <c r="B105" s="13"/>
      <c r="C105" s="40"/>
    </row>
    <row r="106" spans="2:9" ht="13.8">
      <c r="B106" s="52" t="s">
        <v>86</v>
      </c>
      <c r="C106" s="53">
        <v>0</v>
      </c>
    </row>
    <row r="111" spans="2:9">
      <c r="B111" s="352" t="s">
        <v>69</v>
      </c>
      <c r="C111" s="353"/>
      <c r="E111" s="4"/>
      <c r="F111" s="4"/>
      <c r="H111" s="4"/>
      <c r="I111" s="4"/>
    </row>
    <row r="112" spans="2:9">
      <c r="B112" s="354" t="s">
        <v>70</v>
      </c>
      <c r="C112" s="355"/>
      <c r="E112" s="4"/>
      <c r="F112" s="4"/>
      <c r="H112" s="4"/>
      <c r="I112" s="4"/>
    </row>
    <row r="113" spans="2:6">
      <c r="E113" s="4"/>
      <c r="F113" s="4"/>
    </row>
    <row r="114" spans="2:6" ht="13.8">
      <c r="B114" s="8" t="s">
        <v>71</v>
      </c>
      <c r="C114" s="9"/>
    </row>
    <row r="115" spans="2:6" ht="13.8">
      <c r="B115" s="13" t="s">
        <v>87</v>
      </c>
      <c r="C115" s="14">
        <v>375000</v>
      </c>
    </row>
    <row r="116" spans="2:6" ht="13.8">
      <c r="B116" s="48" t="s">
        <v>88</v>
      </c>
      <c r="C116" s="14">
        <v>25000</v>
      </c>
    </row>
    <row r="117" spans="2:6" ht="13.8">
      <c r="B117" s="48" t="s">
        <v>74</v>
      </c>
      <c r="C117" s="49"/>
    </row>
    <row r="118" spans="2:6" ht="13.8">
      <c r="B118" s="50" t="s">
        <v>89</v>
      </c>
      <c r="C118" s="54">
        <f>C115+C116</f>
        <v>400000</v>
      </c>
    </row>
    <row r="119" spans="2:6" ht="13.8">
      <c r="B119" s="50"/>
      <c r="C119" s="50"/>
    </row>
    <row r="120" spans="2:6" ht="13.8">
      <c r="B120" s="13" t="s">
        <v>90</v>
      </c>
      <c r="C120" s="14">
        <v>120000</v>
      </c>
    </row>
    <row r="121" spans="2:6" ht="13.8">
      <c r="B121" s="13" t="s">
        <v>91</v>
      </c>
      <c r="C121" s="14">
        <v>75000</v>
      </c>
    </row>
    <row r="122" spans="2:6" ht="13.8">
      <c r="B122" s="48" t="s">
        <v>92</v>
      </c>
      <c r="C122" s="14">
        <v>30000</v>
      </c>
    </row>
    <row r="123" spans="2:6" ht="13.8">
      <c r="B123" s="48" t="s">
        <v>93</v>
      </c>
      <c r="C123" s="14">
        <v>6000</v>
      </c>
    </row>
    <row r="124" spans="2:6" ht="13.8">
      <c r="B124" s="50" t="s">
        <v>94</v>
      </c>
      <c r="C124" s="54">
        <f>SUM(C120:C123)</f>
        <v>231000</v>
      </c>
    </row>
    <row r="125" spans="2:6" ht="13.8">
      <c r="B125" s="50"/>
      <c r="C125" s="50"/>
    </row>
    <row r="126" spans="2:6" ht="13.8">
      <c r="B126" s="50" t="s">
        <v>95</v>
      </c>
      <c r="C126" s="55">
        <f>C118-C124</f>
        <v>169000</v>
      </c>
    </row>
    <row r="127" spans="2:6" ht="13.8">
      <c r="B127" s="13"/>
      <c r="C127" s="40"/>
    </row>
    <row r="128" spans="2:6" ht="13.8">
      <c r="B128" s="8" t="s">
        <v>80</v>
      </c>
      <c r="C128" s="46"/>
    </row>
    <row r="129" spans="2:3" ht="13.8">
      <c r="B129" s="13" t="s">
        <v>96</v>
      </c>
      <c r="C129" s="14">
        <v>7200</v>
      </c>
    </row>
    <row r="130" spans="2:3" ht="13.8">
      <c r="B130" s="48" t="s">
        <v>97</v>
      </c>
      <c r="C130" s="14">
        <v>50000</v>
      </c>
    </row>
    <row r="131" spans="2:3" ht="13.8">
      <c r="B131" s="48" t="s">
        <v>98</v>
      </c>
      <c r="C131" s="14">
        <v>2500</v>
      </c>
    </row>
    <row r="132" spans="2:3" ht="13.8">
      <c r="B132" s="48" t="s">
        <v>99</v>
      </c>
      <c r="C132" s="14">
        <v>300</v>
      </c>
    </row>
    <row r="133" spans="2:3" ht="13.8">
      <c r="B133" s="48" t="s">
        <v>100</v>
      </c>
      <c r="C133" s="14">
        <v>2200</v>
      </c>
    </row>
    <row r="134" spans="2:3" ht="13.8">
      <c r="B134" s="48" t="s">
        <v>101</v>
      </c>
      <c r="C134" s="14">
        <v>1800</v>
      </c>
    </row>
    <row r="135" spans="2:3" ht="13.8">
      <c r="B135" s="50" t="s">
        <v>83</v>
      </c>
      <c r="C135" s="55">
        <f>SUM(C129:C134)</f>
        <v>64000</v>
      </c>
    </row>
    <row r="136" spans="2:3" ht="13.8">
      <c r="B136" s="13"/>
      <c r="C136" s="40"/>
    </row>
    <row r="137" spans="2:3" ht="13.8">
      <c r="B137" s="56" t="s">
        <v>84</v>
      </c>
      <c r="C137" s="57">
        <f>C126-C135</f>
        <v>105000</v>
      </c>
    </row>
    <row r="138" spans="2:3" ht="13.8">
      <c r="B138" s="13"/>
      <c r="C138" s="40"/>
    </row>
    <row r="139" spans="2:3" ht="13.8">
      <c r="B139" s="58" t="s">
        <v>102</v>
      </c>
      <c r="C139" s="51">
        <v>21000</v>
      </c>
    </row>
    <row r="140" spans="2:3" ht="13.8">
      <c r="B140" s="13"/>
      <c r="C140" s="40"/>
    </row>
    <row r="141" spans="2:3" ht="13.8">
      <c r="B141" s="52" t="s">
        <v>103</v>
      </c>
      <c r="C141" s="59">
        <f>C137-C139</f>
        <v>84000</v>
      </c>
    </row>
    <row r="147" spans="2:3">
      <c r="B147" s="352" t="s">
        <v>104</v>
      </c>
      <c r="C147" s="353"/>
    </row>
    <row r="148" spans="2:3">
      <c r="B148" s="354" t="s">
        <v>70</v>
      </c>
      <c r="C148" s="355"/>
    </row>
    <row r="150" spans="2:3" ht="13.8">
      <c r="B150" s="13" t="s">
        <v>105</v>
      </c>
      <c r="C150" s="14">
        <v>0</v>
      </c>
    </row>
    <row r="151" spans="2:3" ht="13.8">
      <c r="B151" s="48" t="s">
        <v>106</v>
      </c>
      <c r="C151" s="14">
        <v>0</v>
      </c>
    </row>
    <row r="152" spans="2:3" ht="13.8">
      <c r="B152" s="48" t="s">
        <v>107</v>
      </c>
      <c r="C152" s="14">
        <v>0</v>
      </c>
    </row>
    <row r="153" spans="2:3" ht="13.8">
      <c r="B153" s="48"/>
      <c r="C153" s="49"/>
    </row>
    <row r="154" spans="2:3" ht="13.8">
      <c r="B154" s="52" t="s">
        <v>108</v>
      </c>
      <c r="C154" s="59">
        <v>0</v>
      </c>
    </row>
    <row r="155" spans="2:3" ht="13.8">
      <c r="B155" s="50"/>
      <c r="C155" s="50"/>
    </row>
    <row r="156" spans="2:3" ht="13.8">
      <c r="B156" s="13" t="s">
        <v>109</v>
      </c>
      <c r="C156" s="14">
        <v>0</v>
      </c>
    </row>
    <row r="157" spans="2:3" ht="13.8">
      <c r="B157" s="13" t="s">
        <v>110</v>
      </c>
      <c r="C157" s="14">
        <v>0</v>
      </c>
    </row>
    <row r="158" spans="2:3" ht="13.8">
      <c r="B158" s="13" t="s">
        <v>111</v>
      </c>
      <c r="C158" s="14">
        <v>0</v>
      </c>
    </row>
    <row r="159" spans="2:3" ht="13.8">
      <c r="B159" s="13" t="s">
        <v>74</v>
      </c>
      <c r="C159" s="14">
        <v>0</v>
      </c>
    </row>
    <row r="160" spans="2:3" ht="13.8">
      <c r="B160" s="48"/>
      <c r="C160" s="14"/>
    </row>
    <row r="161" spans="2:3" ht="13.8">
      <c r="B161" s="52" t="s">
        <v>83</v>
      </c>
      <c r="C161" s="59">
        <v>0</v>
      </c>
    </row>
    <row r="162" spans="2:3" ht="13.8">
      <c r="B162" s="13"/>
      <c r="C162" s="40"/>
    </row>
    <row r="163" spans="2:3" ht="13.8">
      <c r="B163" s="52" t="s">
        <v>112</v>
      </c>
      <c r="C163" s="59">
        <v>0</v>
      </c>
    </row>
    <row r="164" spans="2:3" ht="13.8">
      <c r="B164" s="13"/>
      <c r="C164" s="40"/>
    </row>
    <row r="165" spans="2:3" ht="13.8">
      <c r="B165" s="60" t="s">
        <v>113</v>
      </c>
      <c r="C165" s="61">
        <v>0</v>
      </c>
    </row>
    <row r="166" spans="2:3" ht="13.8">
      <c r="B166" s="60" t="s">
        <v>114</v>
      </c>
      <c r="C166" s="61">
        <v>0</v>
      </c>
    </row>
    <row r="167" spans="2:3" ht="13.8">
      <c r="B167" s="13"/>
      <c r="C167" s="40"/>
    </row>
    <row r="168" spans="2:3" ht="13.8">
      <c r="B168" s="52" t="s">
        <v>115</v>
      </c>
      <c r="C168" s="59">
        <f>C163-C165</f>
        <v>0</v>
      </c>
    </row>
    <row r="169" spans="2:3" ht="13.8">
      <c r="B169" s="13"/>
      <c r="C169" s="40"/>
    </row>
    <row r="170" spans="2:3" ht="13.8">
      <c r="B170" s="58" t="s">
        <v>116</v>
      </c>
      <c r="C170" s="51">
        <v>0</v>
      </c>
    </row>
    <row r="171" spans="2:3" ht="13.8">
      <c r="B171" s="13"/>
      <c r="C171" s="40"/>
    </row>
    <row r="172" spans="2:3" ht="13.8">
      <c r="B172" s="52" t="s">
        <v>117</v>
      </c>
      <c r="C172" s="59">
        <f>C167-C169</f>
        <v>0</v>
      </c>
    </row>
  </sheetData>
  <mergeCells count="15">
    <mergeCell ref="B36:C36"/>
    <mergeCell ref="B112:C112"/>
    <mergeCell ref="B147:C147"/>
    <mergeCell ref="B148:C148"/>
    <mergeCell ref="B37:C37"/>
    <mergeCell ref="B72:C72"/>
    <mergeCell ref="B73:C73"/>
    <mergeCell ref="B97:C97"/>
    <mergeCell ref="B98:C98"/>
    <mergeCell ref="B111:C111"/>
    <mergeCell ref="B2:F2"/>
    <mergeCell ref="B3:F3"/>
    <mergeCell ref="B5:C5"/>
    <mergeCell ref="E5:F5"/>
    <mergeCell ref="H5:I5"/>
  </mergeCells>
  <conditionalFormatting sqref="C31">
    <cfRule type="cellIs" dxfId="1" priority="2" stopIfTrue="1" operator="lessThan">
      <formula>0</formula>
    </cfRule>
  </conditionalFormatting>
  <conditionalFormatting sqref="F31">
    <cfRule type="cellIs" dxfId="0" priority="1" stopIfTrue="1" operator="lessThan">
      <formula>0</formula>
    </cfRule>
  </conditionalFormatting>
  <printOptions horizontalCentered="1"/>
  <pageMargins left="0.75" right="0.75" top="1" bottom="1" header="0.5" footer="0.5"/>
  <pageSetup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6FF9-B927-F345-AA41-874A5F87B179}">
  <sheetPr>
    <tabColor theme="0" tint="-0.14999847407452621"/>
  </sheetPr>
  <dimension ref="A2:H28"/>
  <sheetViews>
    <sheetView workbookViewId="0">
      <selection activeCell="O53" sqref="O53"/>
    </sheetView>
  </sheetViews>
  <sheetFormatPr defaultColWidth="10.77734375" defaultRowHeight="14.4"/>
  <cols>
    <col min="1" max="2" width="18.77734375" bestFit="1" customWidth="1"/>
    <col min="3" max="3" width="11.44140625" customWidth="1"/>
    <col min="6" max="7" width="18.77734375" bestFit="1" customWidth="1"/>
    <col min="8" max="8" width="11.33203125" customWidth="1"/>
  </cols>
  <sheetData>
    <row r="2" spans="2:8">
      <c r="B2" t="s">
        <v>345</v>
      </c>
      <c r="C2" s="75">
        <v>480000</v>
      </c>
      <c r="G2" t="s">
        <v>276</v>
      </c>
      <c r="H2" s="75">
        <v>480000</v>
      </c>
    </row>
    <row r="3" spans="2:8">
      <c r="B3" t="s">
        <v>248</v>
      </c>
      <c r="C3" s="121">
        <v>0.8</v>
      </c>
      <c r="G3" t="s">
        <v>248</v>
      </c>
      <c r="H3" s="121">
        <v>0.8</v>
      </c>
    </row>
    <row r="4" spans="2:8">
      <c r="B4" t="s">
        <v>279</v>
      </c>
      <c r="C4" s="63">
        <f>(1-C3)*C2</f>
        <v>95999.999999999985</v>
      </c>
      <c r="G4" t="s">
        <v>279</v>
      </c>
      <c r="H4" s="63">
        <f>(1-H3)*H2</f>
        <v>95999.999999999985</v>
      </c>
    </row>
    <row r="5" spans="2:8">
      <c r="B5" t="s">
        <v>277</v>
      </c>
      <c r="C5" s="75">
        <v>120000</v>
      </c>
      <c r="G5" t="s">
        <v>277</v>
      </c>
      <c r="H5" s="75">
        <v>10000</v>
      </c>
    </row>
    <row r="6" spans="2:8">
      <c r="B6" t="s">
        <v>280</v>
      </c>
      <c r="C6" s="64">
        <f>SUM(C4:C5)</f>
        <v>216000</v>
      </c>
      <c r="G6" t="s">
        <v>280</v>
      </c>
      <c r="H6" s="64">
        <f>SUM(H4:H5)</f>
        <v>105999.99999999999</v>
      </c>
    </row>
    <row r="8" spans="2:8">
      <c r="B8" t="s">
        <v>278</v>
      </c>
      <c r="C8" t="s">
        <v>285</v>
      </c>
      <c r="G8" t="s">
        <v>278</v>
      </c>
      <c r="H8" t="s">
        <v>20</v>
      </c>
    </row>
    <row r="9" spans="2:8" ht="13.95" customHeight="1">
      <c r="B9" t="s">
        <v>281</v>
      </c>
      <c r="C9" s="75">
        <v>2200</v>
      </c>
      <c r="G9" t="s">
        <v>281</v>
      </c>
      <c r="H9" s="75">
        <f>C9</f>
        <v>2200</v>
      </c>
    </row>
    <row r="10" spans="2:8">
      <c r="B10" t="s">
        <v>282</v>
      </c>
      <c r="C10" s="75">
        <v>3600</v>
      </c>
      <c r="G10" t="s">
        <v>282</v>
      </c>
      <c r="H10" s="75">
        <f>H9</f>
        <v>2200</v>
      </c>
    </row>
    <row r="11" spans="2:8">
      <c r="B11" t="s">
        <v>283</v>
      </c>
      <c r="C11" s="121">
        <v>0.03</v>
      </c>
      <c r="G11" t="s">
        <v>283</v>
      </c>
      <c r="H11" s="121">
        <v>0.01</v>
      </c>
    </row>
    <row r="12" spans="2:8">
      <c r="B12" t="s">
        <v>286</v>
      </c>
      <c r="C12" s="121">
        <v>0.03</v>
      </c>
      <c r="G12" t="s">
        <v>227</v>
      </c>
      <c r="H12" s="121">
        <v>0.01</v>
      </c>
    </row>
    <row r="13" spans="2:8">
      <c r="B13" t="s">
        <v>284</v>
      </c>
      <c r="C13" s="75">
        <v>7500</v>
      </c>
      <c r="G13" t="s">
        <v>284</v>
      </c>
      <c r="H13" s="63">
        <v>10000</v>
      </c>
    </row>
    <row r="14" spans="2:8">
      <c r="B14" s="75" t="s">
        <v>149</v>
      </c>
      <c r="C14" s="77">
        <f>C2*(1+C12)^B27</f>
        <v>645079.86208517849</v>
      </c>
      <c r="G14" s="75" t="s">
        <v>149</v>
      </c>
      <c r="H14" s="77">
        <f>H2*(1+H12)^G27</f>
        <v>530218.62019737833</v>
      </c>
    </row>
    <row r="15" spans="2:8">
      <c r="B15" s="75"/>
      <c r="G15" s="84"/>
    </row>
    <row r="16" spans="2:8">
      <c r="B16" s="67" t="s">
        <v>119</v>
      </c>
      <c r="C16" s="72" t="s">
        <v>132</v>
      </c>
      <c r="G16" s="67" t="s">
        <v>119</v>
      </c>
      <c r="H16" s="72" t="s">
        <v>132</v>
      </c>
    </row>
    <row r="17" spans="1:8">
      <c r="A17" s="70">
        <v>44562</v>
      </c>
      <c r="B17">
        <v>0</v>
      </c>
      <c r="C17" s="73">
        <f>-C6+(C10*6)-C13</f>
        <v>-201900</v>
      </c>
      <c r="F17" s="70">
        <v>44562</v>
      </c>
      <c r="G17">
        <v>0</v>
      </c>
      <c r="H17" s="73">
        <f>-H6+(H10*6)-H13</f>
        <v>-102799.99999999999</v>
      </c>
    </row>
    <row r="18" spans="1:8">
      <c r="A18" s="70">
        <v>44927</v>
      </c>
      <c r="B18">
        <v>1</v>
      </c>
      <c r="C18" s="74">
        <f t="shared" ref="C18:C26" si="0">((C$10*12)*((1+$C$11)^B18))-C$13</f>
        <v>36996</v>
      </c>
      <c r="F18" s="70">
        <v>44927</v>
      </c>
      <c r="G18">
        <v>1</v>
      </c>
      <c r="H18" s="74">
        <f t="shared" ref="H18:H26" si="1">((H$10*12)*((1+$C$11)^G18))-H$13</f>
        <v>17192</v>
      </c>
    </row>
    <row r="19" spans="1:8">
      <c r="A19" s="70">
        <v>45292</v>
      </c>
      <c r="B19">
        <v>2</v>
      </c>
      <c r="C19" s="74">
        <f t="shared" si="0"/>
        <v>38330.879999999997</v>
      </c>
      <c r="F19" s="70">
        <v>45292</v>
      </c>
      <c r="G19">
        <v>2</v>
      </c>
      <c r="H19" s="74">
        <f t="shared" si="1"/>
        <v>18007.759999999998</v>
      </c>
    </row>
    <row r="20" spans="1:8">
      <c r="A20" s="70">
        <v>45658</v>
      </c>
      <c r="B20">
        <v>3</v>
      </c>
      <c r="C20" s="74">
        <f t="shared" si="0"/>
        <v>39705.806400000001</v>
      </c>
      <c r="F20" s="70">
        <v>45658</v>
      </c>
      <c r="G20">
        <v>3</v>
      </c>
      <c r="H20" s="74">
        <f t="shared" si="1"/>
        <v>18847.9928</v>
      </c>
    </row>
    <row r="21" spans="1:8">
      <c r="A21" s="70">
        <v>46023</v>
      </c>
      <c r="B21">
        <v>4</v>
      </c>
      <c r="C21" s="74">
        <f t="shared" si="0"/>
        <v>41121.980592</v>
      </c>
      <c r="F21" s="70">
        <v>46023</v>
      </c>
      <c r="G21">
        <v>4</v>
      </c>
      <c r="H21" s="74">
        <f t="shared" si="1"/>
        <v>19713.432583999998</v>
      </c>
    </row>
    <row r="22" spans="1:8">
      <c r="A22" s="70">
        <v>46388</v>
      </c>
      <c r="B22">
        <v>5</v>
      </c>
      <c r="C22" s="74">
        <f t="shared" si="0"/>
        <v>42580.640009759991</v>
      </c>
      <c r="F22" s="70">
        <v>46388</v>
      </c>
      <c r="G22">
        <v>5</v>
      </c>
      <c r="H22" s="74">
        <f t="shared" si="1"/>
        <v>20604.835561519994</v>
      </c>
    </row>
    <row r="23" spans="1:8">
      <c r="A23" s="70">
        <v>46753</v>
      </c>
      <c r="B23">
        <v>6</v>
      </c>
      <c r="C23" s="74">
        <f t="shared" si="0"/>
        <v>44083.059210052794</v>
      </c>
      <c r="F23" s="70">
        <v>46753</v>
      </c>
      <c r="G23">
        <v>6</v>
      </c>
      <c r="H23" s="74">
        <f t="shared" si="1"/>
        <v>21522.980628365596</v>
      </c>
    </row>
    <row r="24" spans="1:8">
      <c r="A24" s="70">
        <v>47119</v>
      </c>
      <c r="B24">
        <v>7</v>
      </c>
      <c r="C24" s="74">
        <f t="shared" si="0"/>
        <v>45630.550986354385</v>
      </c>
      <c r="F24" s="70">
        <v>47119</v>
      </c>
      <c r="G24">
        <v>7</v>
      </c>
      <c r="H24" s="74">
        <f t="shared" si="1"/>
        <v>22468.670047216568</v>
      </c>
    </row>
    <row r="25" spans="1:8">
      <c r="A25" s="70">
        <v>47484</v>
      </c>
      <c r="B25">
        <v>8</v>
      </c>
      <c r="C25" s="74">
        <f t="shared" si="0"/>
        <v>47224.467515945005</v>
      </c>
      <c r="F25" s="70">
        <v>47484</v>
      </c>
      <c r="G25">
        <v>8</v>
      </c>
      <c r="H25" s="74">
        <f t="shared" si="1"/>
        <v>23442.730148633062</v>
      </c>
    </row>
    <row r="26" spans="1:8">
      <c r="A26" s="70">
        <v>47849</v>
      </c>
      <c r="B26">
        <v>9</v>
      </c>
      <c r="C26" s="74">
        <f t="shared" si="0"/>
        <v>48866.201541423361</v>
      </c>
      <c r="F26" s="70">
        <v>47849</v>
      </c>
      <c r="G26">
        <v>9</v>
      </c>
      <c r="H26" s="74">
        <f t="shared" si="1"/>
        <v>24446.012053092054</v>
      </c>
    </row>
    <row r="27" spans="1:8">
      <c r="A27" s="70">
        <v>48214</v>
      </c>
      <c r="B27">
        <v>10</v>
      </c>
      <c r="C27" s="74">
        <f>C14</f>
        <v>645079.86208517849</v>
      </c>
      <c r="F27" s="70">
        <v>48214</v>
      </c>
      <c r="G27">
        <v>10</v>
      </c>
      <c r="H27" s="74">
        <f>H14</f>
        <v>530218.62019737833</v>
      </c>
    </row>
    <row r="28" spans="1:8">
      <c r="B28" s="65" t="s">
        <v>126</v>
      </c>
      <c r="C28" s="125">
        <f>XIRR(C17:C27, A17:A27)</f>
        <v>0.258472615480423</v>
      </c>
      <c r="G28" s="65" t="s">
        <v>126</v>
      </c>
      <c r="H28" s="125">
        <f>XIRR(H17:H27, F17:F27)</f>
        <v>0.2868917644023895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A81-74AD-F34B-8EF7-0F593C680F1B}">
  <sheetPr>
    <tabColor theme="0" tint="-0.14999847407452621"/>
  </sheetPr>
  <dimension ref="A2:C39"/>
  <sheetViews>
    <sheetView workbookViewId="0">
      <selection activeCell="O53" sqref="O53"/>
    </sheetView>
  </sheetViews>
  <sheetFormatPr defaultColWidth="11.5546875" defaultRowHeight="14.4"/>
  <cols>
    <col min="1" max="1" width="10.77734375"/>
    <col min="3" max="3" width="11.6640625" bestFit="1" customWidth="1"/>
  </cols>
  <sheetData>
    <row r="2" spans="1:3">
      <c r="B2" s="67" t="s">
        <v>131</v>
      </c>
      <c r="C2" s="72" t="s">
        <v>132</v>
      </c>
    </row>
    <row r="3" spans="1:3">
      <c r="A3" s="70">
        <v>39661</v>
      </c>
      <c r="B3">
        <v>0</v>
      </c>
      <c r="C3" s="73">
        <v>-63500</v>
      </c>
    </row>
    <row r="4" spans="1:3">
      <c r="A4" s="70">
        <v>39692</v>
      </c>
      <c r="B4">
        <v>1</v>
      </c>
      <c r="C4" s="74">
        <v>-17000</v>
      </c>
    </row>
    <row r="5" spans="1:3">
      <c r="A5" s="70">
        <v>39722</v>
      </c>
      <c r="B5">
        <v>2</v>
      </c>
      <c r="C5" s="74">
        <v>-17000</v>
      </c>
    </row>
    <row r="6" spans="1:3">
      <c r="A6" s="70">
        <v>39753</v>
      </c>
      <c r="B6">
        <v>3</v>
      </c>
      <c r="C6" s="74">
        <v>0</v>
      </c>
    </row>
    <row r="7" spans="1:3">
      <c r="A7" s="70">
        <v>39783</v>
      </c>
      <c r="B7">
        <v>4</v>
      </c>
      <c r="C7" s="74">
        <v>0</v>
      </c>
    </row>
    <row r="8" spans="1:3">
      <c r="A8" s="70">
        <v>39814</v>
      </c>
      <c r="B8">
        <v>5</v>
      </c>
      <c r="C8" s="74">
        <v>0</v>
      </c>
    </row>
    <row r="9" spans="1:3">
      <c r="A9" s="70">
        <v>39845</v>
      </c>
      <c r="B9">
        <v>6</v>
      </c>
      <c r="C9" s="74">
        <v>0</v>
      </c>
    </row>
    <row r="10" spans="1:3">
      <c r="A10" s="70">
        <v>39873</v>
      </c>
      <c r="B10">
        <v>7</v>
      </c>
      <c r="C10" s="74">
        <v>0</v>
      </c>
    </row>
    <row r="11" spans="1:3">
      <c r="A11" s="70">
        <v>39904</v>
      </c>
      <c r="B11">
        <v>8</v>
      </c>
      <c r="C11" s="74">
        <v>0</v>
      </c>
    </row>
    <row r="12" spans="1:3">
      <c r="A12" s="70">
        <v>39934</v>
      </c>
      <c r="B12">
        <v>9</v>
      </c>
      <c r="C12" s="74">
        <v>1000</v>
      </c>
    </row>
    <row r="13" spans="1:3">
      <c r="A13" s="70">
        <v>39965</v>
      </c>
      <c r="B13">
        <v>10</v>
      </c>
      <c r="C13" s="74">
        <v>1000</v>
      </c>
    </row>
    <row r="14" spans="1:3">
      <c r="A14" s="70">
        <v>39995</v>
      </c>
      <c r="B14">
        <v>11</v>
      </c>
      <c r="C14" s="74">
        <v>1000</v>
      </c>
    </row>
    <row r="15" spans="1:3">
      <c r="A15" s="70">
        <v>40026</v>
      </c>
      <c r="B15">
        <v>12</v>
      </c>
      <c r="C15" s="74">
        <f>1000-1400</f>
        <v>-400</v>
      </c>
    </row>
    <row r="16" spans="1:3">
      <c r="A16" s="70">
        <v>40057</v>
      </c>
      <c r="B16">
        <v>13</v>
      </c>
      <c r="C16" s="74">
        <v>1000</v>
      </c>
    </row>
    <row r="17" spans="1:3">
      <c r="A17" s="70">
        <v>40087</v>
      </c>
      <c r="B17">
        <v>14</v>
      </c>
      <c r="C17" s="74">
        <v>1000</v>
      </c>
    </row>
    <row r="18" spans="1:3">
      <c r="A18" s="70">
        <v>40118</v>
      </c>
      <c r="B18">
        <v>15</v>
      </c>
      <c r="C18" s="74">
        <v>1000</v>
      </c>
    </row>
    <row r="19" spans="1:3">
      <c r="A19" s="70">
        <v>40148</v>
      </c>
      <c r="B19">
        <v>16</v>
      </c>
      <c r="C19" s="74">
        <v>1000</v>
      </c>
    </row>
    <row r="20" spans="1:3">
      <c r="A20" s="70">
        <v>40179</v>
      </c>
      <c r="B20">
        <v>17</v>
      </c>
      <c r="C20" s="74">
        <v>1000</v>
      </c>
    </row>
    <row r="21" spans="1:3">
      <c r="A21" s="70">
        <v>40210</v>
      </c>
      <c r="B21">
        <v>18</v>
      </c>
      <c r="C21" s="74">
        <v>1000</v>
      </c>
    </row>
    <row r="22" spans="1:3">
      <c r="A22" s="70">
        <v>40238</v>
      </c>
      <c r="B22">
        <v>19</v>
      </c>
      <c r="C22" s="74">
        <v>1000</v>
      </c>
    </row>
    <row r="23" spans="1:3">
      <c r="A23" s="70">
        <v>40269</v>
      </c>
      <c r="B23">
        <v>20</v>
      </c>
      <c r="C23" s="74">
        <v>1000</v>
      </c>
    </row>
    <row r="24" spans="1:3">
      <c r="A24" s="70">
        <v>40299</v>
      </c>
      <c r="B24">
        <v>21</v>
      </c>
      <c r="C24" s="74">
        <v>1000</v>
      </c>
    </row>
    <row r="25" spans="1:3">
      <c r="A25" s="70">
        <v>40330</v>
      </c>
      <c r="B25">
        <v>22</v>
      </c>
      <c r="C25" s="74">
        <v>1000</v>
      </c>
    </row>
    <row r="26" spans="1:3">
      <c r="A26" s="70">
        <v>40360</v>
      </c>
      <c r="B26">
        <v>23</v>
      </c>
      <c r="C26" s="74">
        <v>1000</v>
      </c>
    </row>
    <row r="27" spans="1:3">
      <c r="A27" s="70">
        <v>40391</v>
      </c>
      <c r="B27">
        <v>24</v>
      </c>
      <c r="C27" s="74">
        <f>66320+100-2300-1200</f>
        <v>62920</v>
      </c>
    </row>
    <row r="28" spans="1:3">
      <c r="A28" s="70">
        <v>40422</v>
      </c>
      <c r="B28">
        <v>25</v>
      </c>
      <c r="C28" s="74">
        <v>1000</v>
      </c>
    </row>
    <row r="29" spans="1:3">
      <c r="A29" s="70">
        <v>40452</v>
      </c>
      <c r="B29">
        <v>26</v>
      </c>
      <c r="C29" s="74">
        <v>1000</v>
      </c>
    </row>
    <row r="30" spans="1:3">
      <c r="A30" s="70">
        <v>40483</v>
      </c>
      <c r="B30">
        <v>27</v>
      </c>
      <c r="C30" s="74">
        <v>1000</v>
      </c>
    </row>
    <row r="31" spans="1:3">
      <c r="A31" s="70">
        <v>40513</v>
      </c>
      <c r="B31">
        <v>28</v>
      </c>
      <c r="C31" s="74">
        <v>1000</v>
      </c>
    </row>
    <row r="32" spans="1:3">
      <c r="A32" s="70">
        <v>40544</v>
      </c>
      <c r="B32">
        <v>29</v>
      </c>
      <c r="C32" s="74">
        <v>1000</v>
      </c>
    </row>
    <row r="33" spans="1:3">
      <c r="A33" s="70">
        <v>40575</v>
      </c>
      <c r="B33">
        <v>30</v>
      </c>
      <c r="C33" s="74">
        <v>1000</v>
      </c>
    </row>
    <row r="34" spans="1:3">
      <c r="A34" s="70">
        <v>40603</v>
      </c>
      <c r="B34">
        <v>31</v>
      </c>
      <c r="C34" s="74">
        <v>1000</v>
      </c>
    </row>
    <row r="35" spans="1:3">
      <c r="A35" s="70">
        <v>40634</v>
      </c>
      <c r="B35">
        <v>32</v>
      </c>
      <c r="C35" s="74">
        <v>1000</v>
      </c>
    </row>
    <row r="36" spans="1:3">
      <c r="A36" s="70">
        <v>40664</v>
      </c>
      <c r="B36">
        <v>33</v>
      </c>
      <c r="C36" s="74">
        <v>1000</v>
      </c>
    </row>
    <row r="37" spans="1:3">
      <c r="A37" s="70">
        <v>40695</v>
      </c>
      <c r="B37">
        <v>34</v>
      </c>
      <c r="C37" s="74">
        <v>1000</v>
      </c>
    </row>
    <row r="38" spans="1:3">
      <c r="A38" s="70">
        <v>40725</v>
      </c>
      <c r="B38">
        <v>35</v>
      </c>
      <c r="C38" s="74">
        <v>50000</v>
      </c>
    </row>
    <row r="39" spans="1:3">
      <c r="B39" s="65" t="s">
        <v>126</v>
      </c>
      <c r="C39" s="125">
        <f>XIRR(C3:C38, A3:A38)</f>
        <v>0.16211640238761904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2</vt:i4>
      </vt:variant>
    </vt:vector>
  </HeadingPairs>
  <TitlesOfParts>
    <vt:vector size="54" baseType="lpstr">
      <vt:lpstr>Sheet3</vt:lpstr>
      <vt:lpstr>Chapter 1</vt:lpstr>
      <vt:lpstr>IP Examples</vt:lpstr>
      <vt:lpstr>Chapter 2</vt:lpstr>
      <vt:lpstr>Chapter 3</vt:lpstr>
      <vt:lpstr>Chapter 4</vt:lpstr>
      <vt:lpstr>Chapter 6</vt:lpstr>
      <vt:lpstr>Chapter 8</vt:lpstr>
      <vt:lpstr>Chapter 9</vt:lpstr>
      <vt:lpstr>Chapter 10</vt:lpstr>
      <vt:lpstr>Chapter 11</vt:lpstr>
      <vt:lpstr>Chapter 12</vt:lpstr>
      <vt:lpstr>Chapter 14</vt:lpstr>
      <vt:lpstr>Chapter 15</vt:lpstr>
      <vt:lpstr>Chapter 17</vt:lpstr>
      <vt:lpstr>Chapter 18</vt:lpstr>
      <vt:lpstr>Chapter 20</vt:lpstr>
      <vt:lpstr>Chapter 21</vt:lpstr>
      <vt:lpstr>Chapter 22</vt:lpstr>
      <vt:lpstr>Chapter 23</vt:lpstr>
      <vt:lpstr>Chapter 24</vt:lpstr>
      <vt:lpstr>Chapter 25</vt:lpstr>
      <vt:lpstr>Chapter 26</vt:lpstr>
      <vt:lpstr>Chapter 28</vt:lpstr>
      <vt:lpstr>Finance Other</vt:lpstr>
      <vt:lpstr>Financing Intro</vt:lpstr>
      <vt:lpstr>Chapter 30 - Balloon</vt:lpstr>
      <vt:lpstr>Chapter 30 - Full</vt:lpstr>
      <vt:lpstr>Chapter 31</vt:lpstr>
      <vt:lpstr>Chapter 34</vt:lpstr>
      <vt:lpstr>Chapter 27 (16)</vt:lpstr>
      <vt:lpstr>Chapter 27 (2)</vt:lpstr>
      <vt:lpstr>Chapter 27 (3)</vt:lpstr>
      <vt:lpstr>Chapter 27 (4)</vt:lpstr>
      <vt:lpstr>Chapter 27 (5)</vt:lpstr>
      <vt:lpstr>Chapter 27 (6)</vt:lpstr>
      <vt:lpstr>Chapter 27 (7)</vt:lpstr>
      <vt:lpstr>Chapter 27 (8)</vt:lpstr>
      <vt:lpstr>Chapter 27</vt:lpstr>
      <vt:lpstr>Compounding and CAGR</vt:lpstr>
      <vt:lpstr>Final Proforma</vt:lpstr>
      <vt:lpstr>Spare Mort Calc</vt:lpstr>
      <vt:lpstr>Chapter 37</vt:lpstr>
      <vt:lpstr>Mortgage Calculator_IP</vt:lpstr>
      <vt:lpstr>RE Metrics</vt:lpstr>
      <vt:lpstr>AAGR</vt:lpstr>
      <vt:lpstr>Fin Statements</vt:lpstr>
      <vt:lpstr>Example PFS</vt:lpstr>
      <vt:lpstr>TVM Examples</vt:lpstr>
      <vt:lpstr>Js Images</vt:lpstr>
      <vt:lpstr>IRR Final</vt:lpstr>
      <vt:lpstr>J example</vt:lpstr>
      <vt:lpstr>'Fin Statements'!Print_Area</vt:lpstr>
      <vt:lpstr>'Js Images'!Print_Area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Scott</dc:creator>
  <cp:lastModifiedBy>Matt Smith</cp:lastModifiedBy>
  <dcterms:created xsi:type="dcterms:W3CDTF">2020-04-02T12:10:30Z</dcterms:created>
  <dcterms:modified xsi:type="dcterms:W3CDTF">2024-11-23T17:29:58Z</dcterms:modified>
</cp:coreProperties>
</file>