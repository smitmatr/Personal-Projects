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r\Desktop\Real Estate Investing\"/>
    </mc:Choice>
  </mc:AlternateContent>
  <xr:revisionPtr revIDLastSave="0" documentId="13_ncr:1_{038D1BFC-3E67-47FE-9CE5-F791EE33E3E7}" xr6:coauthVersionLast="47" xr6:coauthVersionMax="47" xr10:uidLastSave="{00000000-0000-0000-0000-000000000000}"/>
  <bookViews>
    <workbookView xWindow="28680" yWindow="-120" windowWidth="29040" windowHeight="15720" activeTab="1" xr2:uid="{8ADD7EB8-D5F5-445C-972E-71DF2C3DCE93}"/>
  </bookViews>
  <sheets>
    <sheet name="12plex Split Cash" sheetId="3" r:id="rId1"/>
    <sheet name="12plex Split Loan" sheetId="1" r:id="rId2"/>
    <sheet name="12plex Pro Forma" sheetId="2" r:id="rId3"/>
  </sheets>
  <externalReferences>
    <externalReference r:id="rId4"/>
  </externalReferences>
  <definedNames>
    <definedName name="If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0" i="3" l="1"/>
  <c r="E50" i="3" s="1"/>
  <c r="D49" i="3"/>
  <c r="E49" i="3" s="1"/>
  <c r="D48" i="3"/>
  <c r="E48" i="3" s="1"/>
  <c r="E47" i="3"/>
  <c r="D47" i="3"/>
  <c r="E46" i="3"/>
  <c r="D46" i="3"/>
  <c r="E45" i="3"/>
  <c r="D45" i="3"/>
  <c r="D44" i="3"/>
  <c r="E44" i="3" s="1"/>
  <c r="E43" i="3"/>
  <c r="D43" i="3"/>
  <c r="E42" i="3"/>
  <c r="D42" i="3"/>
  <c r="E41" i="3"/>
  <c r="D41" i="3"/>
  <c r="D40" i="3"/>
  <c r="E40" i="3" s="1"/>
  <c r="C30" i="3"/>
  <c r="C29" i="3"/>
  <c r="C28" i="3"/>
  <c r="C27" i="3"/>
  <c r="C26" i="3"/>
  <c r="C24" i="3"/>
  <c r="D24" i="3" s="1"/>
  <c r="C23" i="3"/>
  <c r="C17" i="3"/>
  <c r="B17" i="3"/>
  <c r="C15" i="3"/>
  <c r="B15" i="3"/>
  <c r="B16" i="3" s="1"/>
  <c r="H14" i="3"/>
  <c r="B12" i="3"/>
  <c r="L11" i="3"/>
  <c r="B11" i="3"/>
  <c r="B9" i="3"/>
  <c r="B8" i="3"/>
  <c r="H8" i="3" s="1"/>
  <c r="B7" i="3"/>
  <c r="H3" i="3" s="1"/>
  <c r="B6" i="3"/>
  <c r="H12" i="3" s="1"/>
  <c r="L5" i="3"/>
  <c r="C34" i="1"/>
  <c r="B34" i="1"/>
  <c r="C33" i="1"/>
  <c r="E35" i="1"/>
  <c r="E49" i="2"/>
  <c r="D49" i="2"/>
  <c r="D48" i="2"/>
  <c r="E48" i="2" s="1"/>
  <c r="D47" i="2"/>
  <c r="E47" i="2" s="1"/>
  <c r="E46" i="2"/>
  <c r="D46" i="2"/>
  <c r="E45" i="2"/>
  <c r="D45" i="2"/>
  <c r="D44" i="2"/>
  <c r="E44" i="2" s="1"/>
  <c r="D43" i="2"/>
  <c r="E43" i="2" s="1"/>
  <c r="E42" i="2"/>
  <c r="D42" i="2"/>
  <c r="E41" i="2"/>
  <c r="D41" i="2"/>
  <c r="D40" i="2"/>
  <c r="E40" i="2" s="1"/>
  <c r="D39" i="2"/>
  <c r="E39" i="2" s="1"/>
  <c r="E50" i="2" s="1"/>
  <c r="C30" i="2"/>
  <c r="C29" i="2"/>
  <c r="C28" i="2"/>
  <c r="C27" i="2"/>
  <c r="C26" i="2"/>
  <c r="C24" i="2"/>
  <c r="D24" i="2" s="1"/>
  <c r="C23" i="2"/>
  <c r="C17" i="2"/>
  <c r="B16" i="2"/>
  <c r="C16" i="2" s="1"/>
  <c r="C15" i="2"/>
  <c r="B12" i="2"/>
  <c r="L11" i="2"/>
  <c r="B11" i="2"/>
  <c r="B9" i="2"/>
  <c r="B7" i="2"/>
  <c r="H7" i="2" s="1"/>
  <c r="B6" i="2"/>
  <c r="L5" i="2"/>
  <c r="D50" i="1"/>
  <c r="E50" i="1" s="1"/>
  <c r="D49" i="1"/>
  <c r="E49" i="1" s="1"/>
  <c r="E48" i="1"/>
  <c r="D48" i="1"/>
  <c r="D47" i="1"/>
  <c r="E47" i="1" s="1"/>
  <c r="D46" i="1"/>
  <c r="E46" i="1" s="1"/>
  <c r="D45" i="1"/>
  <c r="E45" i="1" s="1"/>
  <c r="E44" i="1"/>
  <c r="D44" i="1"/>
  <c r="D43" i="1"/>
  <c r="E43" i="1" s="1"/>
  <c r="D42" i="1"/>
  <c r="E42" i="1" s="1"/>
  <c r="D41" i="1"/>
  <c r="E41" i="1" s="1"/>
  <c r="E40" i="1"/>
  <c r="D40" i="1"/>
  <c r="C30" i="1"/>
  <c r="C29" i="1"/>
  <c r="C28" i="1"/>
  <c r="C27" i="1"/>
  <c r="C26" i="1"/>
  <c r="D24" i="1"/>
  <c r="C24" i="1"/>
  <c r="C23" i="1"/>
  <c r="B17" i="1"/>
  <c r="C17" i="1" s="1"/>
  <c r="C15" i="1"/>
  <c r="B15" i="1"/>
  <c r="B16" i="1" s="1"/>
  <c r="B12" i="1"/>
  <c r="L11" i="1"/>
  <c r="B11" i="1"/>
  <c r="B9" i="1"/>
  <c r="B7" i="1"/>
  <c r="B8" i="1" s="1"/>
  <c r="B6" i="1"/>
  <c r="H12" i="1" s="1"/>
  <c r="L5" i="1"/>
  <c r="E51" i="3" l="1"/>
  <c r="B18" i="3"/>
  <c r="C16" i="3"/>
  <c r="B22" i="3"/>
  <c r="H18" i="3"/>
  <c r="C35" i="3"/>
  <c r="H4" i="3"/>
  <c r="C34" i="3" s="1"/>
  <c r="E51" i="1"/>
  <c r="B35" i="1"/>
  <c r="C35" i="1" s="1"/>
  <c r="H14" i="1"/>
  <c r="H8" i="1"/>
  <c r="C16" i="1"/>
  <c r="B22" i="1"/>
  <c r="H18" i="1"/>
  <c r="B18" i="1"/>
  <c r="H3" i="2"/>
  <c r="B8" i="2"/>
  <c r="H17" i="2"/>
  <c r="H11" i="2"/>
  <c r="B18" i="2"/>
  <c r="H3" i="1"/>
  <c r="I4" i="1" s="1"/>
  <c r="H4" i="1"/>
  <c r="B22" i="2"/>
  <c r="B31" i="3" l="1"/>
  <c r="C22" i="3"/>
  <c r="C31" i="3" s="1"/>
  <c r="B33" i="3"/>
  <c r="C18" i="3"/>
  <c r="C33" i="3" s="1"/>
  <c r="E35" i="3" s="1"/>
  <c r="I4" i="3"/>
  <c r="C18" i="2"/>
  <c r="B33" i="1"/>
  <c r="C18" i="1"/>
  <c r="B31" i="1"/>
  <c r="C22" i="1"/>
  <c r="C31" i="1" s="1"/>
  <c r="B31" i="2"/>
  <c r="B33" i="2" s="1"/>
  <c r="C22" i="2"/>
  <c r="C31" i="2" s="1"/>
  <c r="B34" i="2"/>
  <c r="C34" i="2" s="1"/>
  <c r="H13" i="2"/>
  <c r="B36" i="3" l="1"/>
  <c r="C36" i="3" s="1"/>
  <c r="H19" i="3"/>
  <c r="E33" i="3"/>
  <c r="B35" i="2"/>
  <c r="C35" i="2" s="1"/>
  <c r="H18" i="2"/>
  <c r="E33" i="2"/>
  <c r="H19" i="1"/>
  <c r="E33" i="1"/>
  <c r="B36" i="1"/>
  <c r="C36" i="1" s="1"/>
  <c r="C33" i="2"/>
  <c r="E34" i="2" s="1"/>
  <c r="H13" i="3" l="1"/>
  <c r="H11" i="3"/>
  <c r="L6" i="3"/>
  <c r="H10" i="2"/>
  <c r="L6" i="2"/>
  <c r="H12" i="2"/>
  <c r="H11" i="1"/>
  <c r="L6" i="1"/>
  <c r="H13" i="1"/>
  <c r="L7" i="3" l="1"/>
  <c r="L8" i="3" s="1"/>
  <c r="L9" i="3" s="1"/>
  <c r="L10" i="3" s="1"/>
  <c r="L7" i="1"/>
  <c r="L8" i="1" s="1"/>
  <c r="L9" i="1" s="1"/>
  <c r="L10" i="1" s="1"/>
  <c r="L4" i="1"/>
  <c r="L7" i="2"/>
  <c r="L8" i="2" s="1"/>
  <c r="L9" i="2" s="1"/>
  <c r="L10" i="2" s="1"/>
  <c r="L4" i="2"/>
  <c r="L4" i="3" l="1"/>
</calcChain>
</file>

<file path=xl/sharedStrings.xml><?xml version="1.0" encoding="utf-8"?>
<sst xmlns="http://schemas.openxmlformats.org/spreadsheetml/2006/main" count="238" uniqueCount="79">
  <si>
    <t>1507/1509 W 45th</t>
  </si>
  <si>
    <t>Heloc Down Payment</t>
  </si>
  <si>
    <t>12 plex</t>
  </si>
  <si>
    <t>Heloc Loan Terms</t>
  </si>
  <si>
    <t>yrs</t>
  </si>
  <si>
    <t>asking price</t>
  </si>
  <si>
    <t>HELOC Payment</t>
  </si>
  <si>
    <t>HELOC Interest Only Payment</t>
  </si>
  <si>
    <t>IRR</t>
  </si>
  <si>
    <t>Purchase Price</t>
  </si>
  <si>
    <t>Initial Investment</t>
  </si>
  <si>
    <t>Closing Costs (4%)</t>
  </si>
  <si>
    <t>Conventional Loan Interest Rate</t>
  </si>
  <si>
    <t>Year 1 Cashflow</t>
  </si>
  <si>
    <t>Down Payment (20%) - HELOC</t>
  </si>
  <si>
    <t>downpayment</t>
  </si>
  <si>
    <t>Loan Term</t>
  </si>
  <si>
    <t>Year 2 Cashflow</t>
  </si>
  <si>
    <t>Total Loan Amount</t>
  </si>
  <si>
    <t>Monthly Interest Payment on Purchase Price</t>
  </si>
  <si>
    <t>Year 3 Cashflow</t>
  </si>
  <si>
    <t>Down Payment - Cash</t>
  </si>
  <si>
    <t>Year 4 Cashflow</t>
  </si>
  <si>
    <t>Financials</t>
  </si>
  <si>
    <t>Year 5 Cashflow</t>
  </si>
  <si>
    <t>All In Price (Purchase+Repairs)</t>
  </si>
  <si>
    <t>Cash On Cash Return (CoC)</t>
  </si>
  <si>
    <t>assumes 2%/yr appreciation</t>
  </si>
  <si>
    <t>Estimated ARV (After Repair Value)</t>
  </si>
  <si>
    <t>ROI (Return on Investment)</t>
  </si>
  <si>
    <t>ROE (Return on Equity)</t>
  </si>
  <si>
    <t>Monthly</t>
  </si>
  <si>
    <t>Annually</t>
  </si>
  <si>
    <t>Mortgage Pay Down yr 1</t>
  </si>
  <si>
    <t>Average Rent</t>
  </si>
  <si>
    <t>Less 5% Vacancy</t>
  </si>
  <si>
    <t>Rules of Thumb</t>
  </si>
  <si>
    <t>Additional Income (Laundry)</t>
  </si>
  <si>
    <t>50% Rule</t>
  </si>
  <si>
    <t>Calculated Gross Revenue</t>
  </si>
  <si>
    <t>2% Rule</t>
  </si>
  <si>
    <t>DSCR</t>
  </si>
  <si>
    <t>Estimated Expenses</t>
  </si>
  <si>
    <t>months</t>
  </si>
  <si>
    <t>Management Fees</t>
  </si>
  <si>
    <t>Property Taxes / Year</t>
  </si>
  <si>
    <t>Insurance / Year</t>
  </si>
  <si>
    <t>HOA / year</t>
  </si>
  <si>
    <t>Electricity</t>
  </si>
  <si>
    <t>Nat Gas</t>
  </si>
  <si>
    <t>Water/Sewer</t>
  </si>
  <si>
    <t>Building Maintenance</t>
  </si>
  <si>
    <t>Grounds Cleanup/Services Maintenance/Snow Removal</t>
  </si>
  <si>
    <t>Totals</t>
  </si>
  <si>
    <t>Net Operating Income</t>
  </si>
  <si>
    <t>Conventional Loan Payment</t>
  </si>
  <si>
    <t>Cap Rate</t>
  </si>
  <si>
    <t>Cash Flow</t>
  </si>
  <si>
    <t>Estimated CapEx</t>
  </si>
  <si>
    <t>Timeline of Repair (yrs)</t>
  </si>
  <si>
    <t xml:space="preserve">Cost per Unit </t>
  </si>
  <si>
    <t>Total Cost (all 8 units)</t>
  </si>
  <si>
    <t>Monthly Cost</t>
  </si>
  <si>
    <t>Roof</t>
  </si>
  <si>
    <t>Master Bath</t>
  </si>
  <si>
    <t>Kitchen</t>
  </si>
  <si>
    <t>Flooring</t>
  </si>
  <si>
    <t>Guest baths</t>
  </si>
  <si>
    <t>Exterior Paint</t>
  </si>
  <si>
    <t>Interior Paint</t>
  </si>
  <si>
    <t>Cabinets</t>
  </si>
  <si>
    <t>Concrete walkways</t>
  </si>
  <si>
    <t>Driveway Re-Pave (Asphalt)</t>
  </si>
  <si>
    <t>Miscellaneous (light fixtures/door knobs etc)</t>
  </si>
  <si>
    <t>Total Estimated Repairs</t>
  </si>
  <si>
    <t>HELOC Loan Interest Down Payment</t>
  </si>
  <si>
    <t>Loan Interest Rate</t>
  </si>
  <si>
    <t>Total Debt Service</t>
  </si>
  <si>
    <t>HELOC P&amp;I 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</si>
</sst>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0.0%"/>
    <numFmt numFmtId="166" formatCode="0.000%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1">
    <xf numFmtId="0" fontId="0" fillId="0" borderId="0" xfId="0"/>
    <xf numFmtId="0" fontId="2" fillId="0" borderId="0" xfId="0" applyFont="1"/>
    <xf numFmtId="10" fontId="0" fillId="2" borderId="0" xfId="2" applyNumberFormat="1" applyFont="1" applyFill="1"/>
    <xf numFmtId="0" fontId="0" fillId="2" borderId="0" xfId="0" applyFill="1"/>
    <xf numFmtId="44" fontId="0" fillId="2" borderId="0" xfId="1" applyFont="1" applyFill="1" applyAlignment="1"/>
    <xf numFmtId="44" fontId="0" fillId="0" borderId="0" xfId="1" applyFont="1"/>
    <xf numFmtId="0" fontId="0" fillId="0" borderId="1" xfId="0" applyBorder="1"/>
    <xf numFmtId="8" fontId="0" fillId="0" borderId="1" xfId="0" applyNumberFormat="1" applyBorder="1"/>
    <xf numFmtId="8" fontId="0" fillId="0" borderId="0" xfId="0" applyNumberFormat="1"/>
    <xf numFmtId="9" fontId="0" fillId="0" borderId="1" xfId="0" applyNumberFormat="1" applyBorder="1"/>
    <xf numFmtId="44" fontId="0" fillId="2" borderId="0" xfId="1" applyFont="1" applyFill="1"/>
    <xf numFmtId="44" fontId="0" fillId="0" borderId="0" xfId="0" applyNumberFormat="1"/>
    <xf numFmtId="10" fontId="0" fillId="2" borderId="1" xfId="2" applyNumberFormat="1" applyFont="1" applyFill="1" applyBorder="1"/>
    <xf numFmtId="0" fontId="0" fillId="0" borderId="2" xfId="0" applyBorder="1"/>
    <xf numFmtId="44" fontId="0" fillId="0" borderId="3" xfId="1" applyFont="1" applyBorder="1"/>
    <xf numFmtId="9" fontId="0" fillId="2" borderId="0" xfId="2" applyFont="1" applyFill="1"/>
    <xf numFmtId="0" fontId="0" fillId="2" borderId="1" xfId="0" applyFill="1" applyBorder="1"/>
    <xf numFmtId="44" fontId="0" fillId="0" borderId="1" xfId="1" applyFont="1" applyBorder="1"/>
    <xf numFmtId="8" fontId="0" fillId="0" borderId="1" xfId="1" applyNumberFormat="1" applyFont="1" applyBorder="1"/>
    <xf numFmtId="44" fontId="0" fillId="0" borderId="0" xfId="1" applyFont="1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164" fontId="0" fillId="0" borderId="0" xfId="1" applyNumberFormat="1" applyFont="1"/>
    <xf numFmtId="0" fontId="0" fillId="0" borderId="6" xfId="0" applyBorder="1"/>
    <xf numFmtId="165" fontId="0" fillId="0" borderId="7" xfId="2" applyNumberFormat="1" applyFont="1" applyBorder="1"/>
    <xf numFmtId="0" fontId="0" fillId="0" borderId="0" xfId="0" applyAlignment="1">
      <alignment horizontal="left"/>
    </xf>
    <xf numFmtId="164" fontId="2" fillId="0" borderId="0" xfId="1" applyNumberFormat="1" applyFont="1"/>
    <xf numFmtId="0" fontId="0" fillId="0" borderId="8" xfId="0" applyBorder="1" applyAlignment="1">
      <alignment wrapText="1"/>
    </xf>
    <xf numFmtId="164" fontId="0" fillId="0" borderId="9" xfId="1" applyNumberFormat="1" applyFont="1" applyBorder="1"/>
    <xf numFmtId="164" fontId="0" fillId="2" borderId="1" xfId="1" applyNumberFormat="1" applyFont="1" applyFill="1" applyBorder="1"/>
    <xf numFmtId="164" fontId="0" fillId="0" borderId="1" xfId="0" applyNumberFormat="1" applyBorder="1"/>
    <xf numFmtId="164" fontId="0" fillId="0" borderId="1" xfId="1" applyNumberFormat="1" applyFont="1" applyBorder="1"/>
    <xf numFmtId="0" fontId="2" fillId="0" borderId="1" xfId="0" applyFont="1" applyBorder="1"/>
    <xf numFmtId="0" fontId="0" fillId="0" borderId="0" xfId="0" applyAlignment="1">
      <alignment horizontal="center"/>
    </xf>
    <xf numFmtId="0" fontId="0" fillId="0" borderId="10" xfId="0" applyBorder="1"/>
    <xf numFmtId="164" fontId="0" fillId="2" borderId="10" xfId="1" applyNumberFormat="1" applyFont="1" applyFill="1" applyBorder="1"/>
    <xf numFmtId="164" fontId="0" fillId="0" borderId="10" xfId="0" applyNumberFormat="1" applyBorder="1"/>
    <xf numFmtId="44" fontId="0" fillId="0" borderId="1" xfId="0" applyNumberFormat="1" applyBorder="1"/>
    <xf numFmtId="0" fontId="0" fillId="0" borderId="0" xfId="0" applyAlignment="1">
      <alignment horizontal="center"/>
    </xf>
    <xf numFmtId="0" fontId="2" fillId="0" borderId="11" xfId="0" applyFont="1" applyBorder="1"/>
    <xf numFmtId="164" fontId="2" fillId="0" borderId="12" xfId="1" applyNumberFormat="1" applyFont="1" applyBorder="1"/>
    <xf numFmtId="164" fontId="2" fillId="0" borderId="13" xfId="0" applyNumberFormat="1" applyFont="1" applyBorder="1"/>
    <xf numFmtId="10" fontId="0" fillId="0" borderId="1" xfId="2" applyNumberFormat="1" applyFont="1" applyBorder="1"/>
    <xf numFmtId="2" fontId="0" fillId="0" borderId="1" xfId="0" applyNumberFormat="1" applyBorder="1"/>
    <xf numFmtId="1" fontId="0" fillId="0" borderId="0" xfId="1" applyNumberFormat="1" applyFont="1" applyBorder="1"/>
    <xf numFmtId="6" fontId="0" fillId="0" borderId="1" xfId="0" applyNumberFormat="1" applyBorder="1"/>
    <xf numFmtId="9" fontId="0" fillId="2" borderId="1" xfId="0" applyNumberFormat="1" applyFill="1" applyBorder="1"/>
    <xf numFmtId="165" fontId="0" fillId="2" borderId="1" xfId="2" applyNumberFormat="1" applyFont="1" applyFill="1" applyBorder="1"/>
    <xf numFmtId="166" fontId="0" fillId="0" borderId="1" xfId="2" applyNumberFormat="1" applyFont="1" applyBorder="1"/>
    <xf numFmtId="164" fontId="0" fillId="0" borderId="0" xfId="1" applyNumberFormat="1" applyFont="1" applyBorder="1"/>
    <xf numFmtId="8" fontId="0" fillId="0" borderId="10" xfId="0" applyNumberFormat="1" applyBorder="1"/>
    <xf numFmtId="164" fontId="0" fillId="0" borderId="10" xfId="1" applyNumberFormat="1" applyFont="1" applyBorder="1"/>
    <xf numFmtId="0" fontId="0" fillId="0" borderId="11" xfId="0" applyBorder="1"/>
    <xf numFmtId="8" fontId="2" fillId="0" borderId="14" xfId="0" applyNumberFormat="1" applyFont="1" applyBorder="1"/>
    <xf numFmtId="9" fontId="0" fillId="0" borderId="13" xfId="2" applyFont="1" applyFill="1" applyBorder="1"/>
    <xf numFmtId="10" fontId="0" fillId="0" borderId="0" xfId="2" applyNumberFormat="1" applyFont="1" applyBorder="1"/>
    <xf numFmtId="164" fontId="0" fillId="0" borderId="0" xfId="0" applyNumberFormat="1"/>
    <xf numFmtId="0" fontId="2" fillId="0" borderId="2" xfId="0" applyFont="1" applyBorder="1"/>
    <xf numFmtId="2" fontId="2" fillId="0" borderId="3" xfId="0" applyNumberFormat="1" applyFont="1" applyBorder="1"/>
    <xf numFmtId="0" fontId="2" fillId="0" borderId="6" xfId="0" applyFont="1" applyBorder="1"/>
    <xf numFmtId="2" fontId="2" fillId="0" borderId="7" xfId="0" applyNumberFormat="1" applyFont="1" applyBorder="1"/>
    <xf numFmtId="6" fontId="0" fillId="0" borderId="0" xfId="0" applyNumberFormat="1"/>
    <xf numFmtId="0" fontId="2" fillId="0" borderId="8" xfId="0" applyFont="1" applyBorder="1"/>
    <xf numFmtId="10" fontId="2" fillId="0" borderId="9" xfId="2" applyNumberFormat="1" applyFont="1" applyBorder="1"/>
    <xf numFmtId="0" fontId="2" fillId="0" borderId="4" xfId="0" applyFont="1" applyBorder="1"/>
    <xf numFmtId="164" fontId="2" fillId="0" borderId="14" xfId="0" applyNumberFormat="1" applyFont="1" applyBorder="1"/>
    <xf numFmtId="164" fontId="2" fillId="0" borderId="5" xfId="0" applyNumberFormat="1" applyFont="1" applyBorder="1"/>
    <xf numFmtId="0" fontId="0" fillId="0" borderId="14" xfId="0" applyBorder="1" applyAlignment="1">
      <alignment horizontal="center" wrapText="1"/>
    </xf>
    <xf numFmtId="0" fontId="0" fillId="0" borderId="13" xfId="0" applyBorder="1"/>
    <xf numFmtId="10" fontId="0" fillId="0" borderId="0" xfId="2" applyNumberFormat="1" applyFont="1"/>
    <xf numFmtId="0" fontId="0" fillId="0" borderId="15" xfId="0" applyBorder="1"/>
    <xf numFmtId="1" fontId="0" fillId="0" borderId="16" xfId="0" applyNumberFormat="1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2" fillId="0" borderId="23" xfId="0" applyFont="1" applyBorder="1"/>
    <xf numFmtId="0" fontId="2" fillId="0" borderId="5" xfId="0" applyFont="1" applyBorder="1"/>
    <xf numFmtId="1" fontId="0" fillId="0" borderId="5" xfId="1" applyNumberFormat="1" applyFont="1" applyBorder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ttr\Downloads\Wiens%20Condo%20Numbers.xlsx" TargetMode="External"/><Relationship Id="rId1" Type="http://schemas.openxmlformats.org/officeDocument/2006/relationships/externalLinkPath" Target="/Users/mattr/Downloads/Wiens%20Condo%20Numbe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2plex Split"/>
      <sheetName val="12plex"/>
      <sheetName val="Calculations"/>
      <sheetName val="REI Input Info"/>
      <sheetName val="REI 7yr IRR Financing"/>
      <sheetName val="Wiens Condo"/>
      <sheetName val="Blackberry Amortization"/>
      <sheetName val="Memphis Invest"/>
      <sheetName val="Memphis Invest (2)"/>
      <sheetName val="Conventional New Setup"/>
      <sheetName val="10 Yea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A8089-BAF9-449F-B5D0-1447294996B0}">
  <dimension ref="A1:M51"/>
  <sheetViews>
    <sheetView zoomScale="105" workbookViewId="0">
      <selection activeCell="B33" sqref="B33"/>
    </sheetView>
  </sheetViews>
  <sheetFormatPr defaultRowHeight="14.4" x14ac:dyDescent="0.3"/>
  <cols>
    <col min="1" max="1" width="39.33203125" customWidth="1"/>
    <col min="2" max="2" width="16.33203125" customWidth="1"/>
    <col min="3" max="3" width="14.33203125" customWidth="1"/>
    <col min="4" max="4" width="11.5546875" customWidth="1"/>
    <col min="5" max="5" width="9.6640625" customWidth="1"/>
    <col min="6" max="6" width="3.33203125" customWidth="1"/>
    <col min="7" max="7" width="43.109375" customWidth="1"/>
    <col min="8" max="8" width="11.6640625" bestFit="1" customWidth="1"/>
    <col min="9" max="9" width="11" customWidth="1"/>
    <col min="10" max="10" width="2.88671875" customWidth="1"/>
    <col min="11" max="11" width="39.33203125" bestFit="1" customWidth="1"/>
    <col min="12" max="12" width="13.44140625" bestFit="1" customWidth="1"/>
    <col min="13" max="13" width="11.6640625" bestFit="1" customWidth="1"/>
  </cols>
  <sheetData>
    <row r="1" spans="1:13" x14ac:dyDescent="0.3">
      <c r="A1" s="1" t="s">
        <v>0</v>
      </c>
      <c r="G1" t="s">
        <v>1</v>
      </c>
      <c r="H1" s="2">
        <v>8.7499999999999994E-2</v>
      </c>
    </row>
    <row r="2" spans="1:13" x14ac:dyDescent="0.3">
      <c r="A2" s="3" t="s">
        <v>2</v>
      </c>
      <c r="G2" t="s">
        <v>3</v>
      </c>
      <c r="H2" s="3">
        <v>20</v>
      </c>
      <c r="I2" t="s">
        <v>4</v>
      </c>
    </row>
    <row r="3" spans="1:13" x14ac:dyDescent="0.3">
      <c r="A3" s="4">
        <v>1400000</v>
      </c>
      <c r="B3" t="s">
        <v>5</v>
      </c>
      <c r="C3" s="5"/>
      <c r="G3" s="6" t="s">
        <v>6</v>
      </c>
      <c r="H3" s="7">
        <f>-PMT($H$1/12,$H$2*12,($B$7+$B$6))</f>
        <v>1793.9327390861524</v>
      </c>
    </row>
    <row r="4" spans="1:13" x14ac:dyDescent="0.3">
      <c r="G4" t="s">
        <v>7</v>
      </c>
      <c r="H4" s="8">
        <f>-IPMT($H$1/12,1,$H$2*12,($B$7+$B$6))</f>
        <v>1480.2083333333333</v>
      </c>
      <c r="I4" s="8">
        <f>H3-H4</f>
        <v>313.72440575281917</v>
      </c>
      <c r="K4" s="6" t="s">
        <v>8</v>
      </c>
      <c r="L4" s="9">
        <f>IRR(L5:L11)</f>
        <v>8.9150822482389147E-2</v>
      </c>
    </row>
    <row r="5" spans="1:13" x14ac:dyDescent="0.3">
      <c r="A5" t="s">
        <v>9</v>
      </c>
      <c r="B5" s="10">
        <v>700000</v>
      </c>
      <c r="C5" s="11"/>
      <c r="K5" t="s">
        <v>10</v>
      </c>
      <c r="L5" s="5">
        <f>-B5</f>
        <v>-700000</v>
      </c>
      <c r="M5" s="11"/>
    </row>
    <row r="6" spans="1:13" ht="15" thickBot="1" x14ac:dyDescent="0.35">
      <c r="A6" t="s">
        <v>11</v>
      </c>
      <c r="B6" s="5">
        <f>B5*0.04</f>
        <v>28000</v>
      </c>
      <c r="G6" s="6" t="s">
        <v>12</v>
      </c>
      <c r="H6" s="12">
        <v>7.2499999999999995E-2</v>
      </c>
      <c r="K6" t="s">
        <v>13</v>
      </c>
      <c r="L6" s="5">
        <f>C36</f>
        <v>56323.200000000004</v>
      </c>
    </row>
    <row r="7" spans="1:13" x14ac:dyDescent="0.3">
      <c r="A7" s="13" t="s">
        <v>14</v>
      </c>
      <c r="B7" s="14">
        <f>B5*C7</f>
        <v>175000</v>
      </c>
      <c r="C7" s="15">
        <v>0.25</v>
      </c>
      <c r="D7" t="s">
        <v>15</v>
      </c>
      <c r="G7" s="6" t="s">
        <v>16</v>
      </c>
      <c r="H7" s="16">
        <v>30</v>
      </c>
      <c r="I7" t="s">
        <v>4</v>
      </c>
      <c r="K7" t="s">
        <v>17</v>
      </c>
      <c r="L7" s="5">
        <f>L6*1.02</f>
        <v>57449.664000000004</v>
      </c>
    </row>
    <row r="8" spans="1:13" x14ac:dyDescent="0.3">
      <c r="A8" s="6" t="s">
        <v>18</v>
      </c>
      <c r="B8" s="17">
        <f>B5-B7</f>
        <v>525000</v>
      </c>
      <c r="D8" s="8"/>
      <c r="G8" s="6" t="s">
        <v>19</v>
      </c>
      <c r="H8" s="18">
        <f>-IPMT($H$6/12,1,$H$7*12,$B$8)</f>
        <v>3171.875</v>
      </c>
      <c r="K8" t="s">
        <v>20</v>
      </c>
      <c r="L8" s="5">
        <f t="shared" ref="L8:L10" si="0">L7*1.02</f>
        <v>58598.657280000007</v>
      </c>
    </row>
    <row r="9" spans="1:13" ht="15" thickBot="1" x14ac:dyDescent="0.35">
      <c r="A9" t="s">
        <v>21</v>
      </c>
      <c r="B9" s="19">
        <f>B5</f>
        <v>700000</v>
      </c>
      <c r="K9" t="s">
        <v>22</v>
      </c>
      <c r="L9" s="5">
        <f t="shared" si="0"/>
        <v>59770.630425600008</v>
      </c>
    </row>
    <row r="10" spans="1:13" ht="15" thickBot="1" x14ac:dyDescent="0.35">
      <c r="B10" s="5"/>
      <c r="G10" s="20" t="s">
        <v>23</v>
      </c>
      <c r="H10" s="21"/>
      <c r="K10" t="s">
        <v>24</v>
      </c>
      <c r="L10" s="5">
        <f t="shared" si="0"/>
        <v>60966.043034112008</v>
      </c>
    </row>
    <row r="11" spans="1:13" x14ac:dyDescent="0.3">
      <c r="A11" t="s">
        <v>25</v>
      </c>
      <c r="B11" s="22">
        <f>SUM(B5)</f>
        <v>700000</v>
      </c>
      <c r="G11" s="23" t="s">
        <v>26</v>
      </c>
      <c r="H11" s="24">
        <f>C36/SUM(B6:B7)</f>
        <v>0.27745418719211823</v>
      </c>
      <c r="I11" s="11"/>
      <c r="K11" s="25">
        <v>6</v>
      </c>
      <c r="L11" s="22">
        <f>B5*(1+0.02)^K11</f>
        <v>788313.69348480005</v>
      </c>
      <c r="M11" t="s">
        <v>27</v>
      </c>
    </row>
    <row r="12" spans="1:13" x14ac:dyDescent="0.3">
      <c r="A12" t="s">
        <v>28</v>
      </c>
      <c r="B12" s="22">
        <f>B5</f>
        <v>700000</v>
      </c>
      <c r="G12" s="23" t="s">
        <v>29</v>
      </c>
      <c r="H12" s="24">
        <f>(SUM($B$6:$B$7)/B5)</f>
        <v>0.28999999999999998</v>
      </c>
    </row>
    <row r="13" spans="1:13" x14ac:dyDescent="0.3">
      <c r="B13" s="22"/>
      <c r="G13" s="23" t="s">
        <v>30</v>
      </c>
      <c r="H13" s="24">
        <f>C36/B7</f>
        <v>0.32184685714285716</v>
      </c>
    </row>
    <row r="14" spans="1:13" ht="15" thickBot="1" x14ac:dyDescent="0.35">
      <c r="B14" s="26" t="s">
        <v>31</v>
      </c>
      <c r="C14" s="1" t="s">
        <v>32</v>
      </c>
      <c r="G14" s="27" t="s">
        <v>33</v>
      </c>
      <c r="H14" s="28">
        <f>PPMT(H6/12,1,H7*12,B8)*12</f>
        <v>-4914.6056435400915</v>
      </c>
      <c r="I14" s="11"/>
    </row>
    <row r="15" spans="1:13" x14ac:dyDescent="0.3">
      <c r="A15" s="6" t="s">
        <v>34</v>
      </c>
      <c r="B15" s="29">
        <f>16300/2</f>
        <v>8150</v>
      </c>
      <c r="C15" s="30">
        <f>B15*12</f>
        <v>97800</v>
      </c>
      <c r="I15" s="8"/>
      <c r="L15" s="11"/>
    </row>
    <row r="16" spans="1:13" x14ac:dyDescent="0.3">
      <c r="A16" s="6" t="s">
        <v>35</v>
      </c>
      <c r="B16" s="31">
        <f>B15*0.95</f>
        <v>7742.5</v>
      </c>
      <c r="C16" s="30">
        <f t="shared" ref="C16:C17" si="1">B16*12</f>
        <v>92910</v>
      </c>
      <c r="G16" s="32" t="s">
        <v>36</v>
      </c>
      <c r="H16" s="6"/>
      <c r="K16" s="33"/>
      <c r="L16" s="33"/>
    </row>
    <row r="17" spans="1:12" ht="15" thickBot="1" x14ac:dyDescent="0.35">
      <c r="A17" s="34" t="s">
        <v>37</v>
      </c>
      <c r="B17" s="35">
        <f>150/2</f>
        <v>75</v>
      </c>
      <c r="C17" s="36">
        <f t="shared" si="1"/>
        <v>900</v>
      </c>
      <c r="G17" s="6" t="s">
        <v>38</v>
      </c>
      <c r="H17" s="37"/>
      <c r="K17" s="38"/>
      <c r="L17" s="38"/>
    </row>
    <row r="18" spans="1:12" ht="15" thickBot="1" x14ac:dyDescent="0.35">
      <c r="A18" s="39" t="s">
        <v>39</v>
      </c>
      <c r="B18" s="40">
        <f>SUM(B16:B17)</f>
        <v>7817.5</v>
      </c>
      <c r="C18" s="41">
        <f>B18*12</f>
        <v>93810</v>
      </c>
      <c r="G18" s="6" t="s">
        <v>40</v>
      </c>
      <c r="H18" s="42">
        <f>$B$16/$B$5</f>
        <v>1.1060714285714287E-2</v>
      </c>
    </row>
    <row r="19" spans="1:12" x14ac:dyDescent="0.3">
      <c r="G19" s="6" t="s">
        <v>41</v>
      </c>
      <c r="H19" s="43" t="e">
        <f>B33/B35</f>
        <v>#DIV/0!</v>
      </c>
    </row>
    <row r="20" spans="1:12" x14ac:dyDescent="0.3">
      <c r="A20" s="1"/>
      <c r="B20" s="1"/>
      <c r="C20" s="1"/>
      <c r="D20" s="1"/>
      <c r="E20" s="44"/>
    </row>
    <row r="21" spans="1:12" x14ac:dyDescent="0.3">
      <c r="A21" s="32" t="s">
        <v>42</v>
      </c>
      <c r="B21" s="32" t="s">
        <v>31</v>
      </c>
      <c r="C21" s="32" t="s">
        <v>32</v>
      </c>
      <c r="D21" s="32" t="s">
        <v>43</v>
      </c>
    </row>
    <row r="22" spans="1:12" x14ac:dyDescent="0.3">
      <c r="A22" s="6" t="s">
        <v>44</v>
      </c>
      <c r="B22" s="45">
        <f>B16*D22*2</f>
        <v>1238.8</v>
      </c>
      <c r="C22" s="45">
        <f t="shared" ref="C22:C30" si="2">B22*12</f>
        <v>14865.599999999999</v>
      </c>
      <c r="D22" s="46">
        <v>0.08</v>
      </c>
      <c r="E22" s="8"/>
    </row>
    <row r="23" spans="1:12" x14ac:dyDescent="0.3">
      <c r="A23" s="6" t="s">
        <v>45</v>
      </c>
      <c r="B23" s="29">
        <v>1251</v>
      </c>
      <c r="C23" s="45">
        <f t="shared" si="2"/>
        <v>15012</v>
      </c>
      <c r="D23" s="47">
        <v>1.0800000000000001E-2</v>
      </c>
    </row>
    <row r="24" spans="1:12" x14ac:dyDescent="0.3">
      <c r="A24" s="6" t="s">
        <v>46</v>
      </c>
      <c r="B24" s="29">
        <v>708</v>
      </c>
      <c r="C24" s="7">
        <f t="shared" si="2"/>
        <v>8496</v>
      </c>
      <c r="D24" s="48">
        <f>C24/B5</f>
        <v>1.2137142857142857E-2</v>
      </c>
    </row>
    <row r="25" spans="1:12" x14ac:dyDescent="0.3">
      <c r="A25" s="6" t="s">
        <v>47</v>
      </c>
      <c r="B25" s="29"/>
      <c r="C25" s="7"/>
      <c r="D25" s="31"/>
    </row>
    <row r="26" spans="1:12" x14ac:dyDescent="0.3">
      <c r="A26" s="6" t="s">
        <v>48</v>
      </c>
      <c r="B26" s="29">
        <v>600</v>
      </c>
      <c r="C26" s="7">
        <f t="shared" si="2"/>
        <v>7200</v>
      </c>
      <c r="D26" s="31"/>
      <c r="E26" s="49"/>
    </row>
    <row r="27" spans="1:12" x14ac:dyDescent="0.3">
      <c r="A27" s="6" t="s">
        <v>49</v>
      </c>
      <c r="B27" s="29">
        <v>850</v>
      </c>
      <c r="C27" s="7">
        <f t="shared" si="2"/>
        <v>10200</v>
      </c>
      <c r="D27" s="31"/>
      <c r="E27" s="49"/>
    </row>
    <row r="28" spans="1:12" x14ac:dyDescent="0.3">
      <c r="A28" s="6" t="s">
        <v>50</v>
      </c>
      <c r="B28" s="29">
        <v>500</v>
      </c>
      <c r="C28" s="7">
        <f t="shared" si="2"/>
        <v>6000</v>
      </c>
      <c r="D28" s="31"/>
      <c r="E28" s="49"/>
    </row>
    <row r="29" spans="1:12" x14ac:dyDescent="0.3">
      <c r="A29" s="6" t="s">
        <v>51</v>
      </c>
      <c r="B29" s="29">
        <v>600</v>
      </c>
      <c r="C29" s="7">
        <f t="shared" si="2"/>
        <v>7200</v>
      </c>
      <c r="D29" s="31"/>
      <c r="E29" s="49"/>
    </row>
    <row r="30" spans="1:12" ht="15" thickBot="1" x14ac:dyDescent="0.35">
      <c r="A30" s="34" t="s">
        <v>52</v>
      </c>
      <c r="B30" s="35">
        <v>500</v>
      </c>
      <c r="C30" s="50">
        <f t="shared" si="2"/>
        <v>6000</v>
      </c>
      <c r="D30" s="51"/>
      <c r="E30" s="49"/>
      <c r="H30" s="11"/>
    </row>
    <row r="31" spans="1:12" ht="15" thickBot="1" x14ac:dyDescent="0.35">
      <c r="A31" s="52" t="s">
        <v>53</v>
      </c>
      <c r="B31" s="53">
        <f>SUM(B22:B30)/2</f>
        <v>3123.9</v>
      </c>
      <c r="C31" s="53">
        <f>SUM(C22:C30)/2</f>
        <v>37486.800000000003</v>
      </c>
      <c r="D31" s="54"/>
      <c r="E31" s="49"/>
      <c r="H31" s="55"/>
    </row>
    <row r="32" spans="1:12" ht="15" thickBot="1" x14ac:dyDescent="0.35">
      <c r="C32" s="49"/>
      <c r="D32" s="49"/>
      <c r="E32" s="49"/>
    </row>
    <row r="33" spans="1:10" x14ac:dyDescent="0.3">
      <c r="A33" t="s">
        <v>54</v>
      </c>
      <c r="B33" s="56">
        <f>B18-B31</f>
        <v>4693.6000000000004</v>
      </c>
      <c r="C33" s="56">
        <f>C18-C31</f>
        <v>56323.199999999997</v>
      </c>
      <c r="D33" s="57" t="s">
        <v>41</v>
      </c>
      <c r="E33" s="58" t="e">
        <f>B33/(B35+B34)</f>
        <v>#DIV/0!</v>
      </c>
      <c r="F33" s="44"/>
    </row>
    <row r="34" spans="1:10" x14ac:dyDescent="0.3">
      <c r="A34" t="s">
        <v>6</v>
      </c>
      <c r="B34" s="56"/>
      <c r="C34" s="56">
        <f>B34*12</f>
        <v>0</v>
      </c>
      <c r="D34" s="59"/>
      <c r="E34" s="60"/>
      <c r="F34" s="44"/>
    </row>
    <row r="35" spans="1:10" ht="15" thickBot="1" x14ac:dyDescent="0.35">
      <c r="A35" t="s">
        <v>55</v>
      </c>
      <c r="B35" s="61"/>
      <c r="C35" s="56">
        <f>B35*12</f>
        <v>0</v>
      </c>
      <c r="D35" s="62" t="s">
        <v>56</v>
      </c>
      <c r="E35" s="63">
        <f>C33/B5</f>
        <v>8.0461714285714275E-2</v>
      </c>
      <c r="F35" s="44"/>
    </row>
    <row r="36" spans="1:10" ht="15" thickBot="1" x14ac:dyDescent="0.35">
      <c r="A36" s="64" t="s">
        <v>57</v>
      </c>
      <c r="B36" s="65">
        <f>B33-B35-B34</f>
        <v>4693.6000000000004</v>
      </c>
      <c r="C36" s="66">
        <f>B36*12</f>
        <v>56323.200000000004</v>
      </c>
    </row>
    <row r="38" spans="1:10" ht="15" thickBot="1" x14ac:dyDescent="0.35"/>
    <row r="39" spans="1:10" ht="29.4" thickBot="1" x14ac:dyDescent="0.35">
      <c r="A39" s="39" t="s">
        <v>58</v>
      </c>
      <c r="B39" s="67" t="s">
        <v>59</v>
      </c>
      <c r="C39" s="67" t="s">
        <v>60</v>
      </c>
      <c r="D39" s="67" t="s">
        <v>61</v>
      </c>
      <c r="E39" s="68" t="s">
        <v>62</v>
      </c>
      <c r="J39" s="69"/>
    </row>
    <row r="40" spans="1:10" x14ac:dyDescent="0.3">
      <c r="A40" s="70" t="s">
        <v>63</v>
      </c>
      <c r="B40">
        <v>5</v>
      </c>
      <c r="C40">
        <v>7000</v>
      </c>
      <c r="D40">
        <f>C40</f>
        <v>7000</v>
      </c>
      <c r="E40" s="71">
        <f>D40/B40/12</f>
        <v>116.66666666666667</v>
      </c>
    </row>
    <row r="41" spans="1:10" x14ac:dyDescent="0.3">
      <c r="A41" s="72" t="s">
        <v>64</v>
      </c>
      <c r="B41" s="73">
        <v>10</v>
      </c>
      <c r="C41" s="73"/>
      <c r="D41">
        <f t="shared" ref="D41:D50" si="3">C41</f>
        <v>0</v>
      </c>
      <c r="E41" s="71">
        <f>D41/B41/12</f>
        <v>0</v>
      </c>
      <c r="F41" s="49"/>
    </row>
    <row r="42" spans="1:10" x14ac:dyDescent="0.3">
      <c r="A42" s="74" t="s">
        <v>65</v>
      </c>
      <c r="B42" s="75">
        <v>10</v>
      </c>
      <c r="C42" s="75"/>
      <c r="D42">
        <f t="shared" si="3"/>
        <v>0</v>
      </c>
      <c r="E42" s="71">
        <f>D42/B42/12</f>
        <v>0</v>
      </c>
      <c r="F42" s="49"/>
    </row>
    <row r="43" spans="1:10" x14ac:dyDescent="0.3">
      <c r="A43" s="74" t="s">
        <v>66</v>
      </c>
      <c r="B43" s="75">
        <v>10</v>
      </c>
      <c r="C43" s="75">
        <v>8000</v>
      </c>
      <c r="D43">
        <f t="shared" si="3"/>
        <v>8000</v>
      </c>
      <c r="E43" s="71">
        <f>D43/B43/12</f>
        <v>66.666666666666671</v>
      </c>
      <c r="F43" s="49"/>
    </row>
    <row r="44" spans="1:10" x14ac:dyDescent="0.3">
      <c r="A44" s="74" t="s">
        <v>67</v>
      </c>
      <c r="B44" s="75">
        <v>10</v>
      </c>
      <c r="C44" s="75"/>
      <c r="D44">
        <f t="shared" si="3"/>
        <v>0</v>
      </c>
      <c r="E44" s="71">
        <f>D44/B44/12</f>
        <v>0</v>
      </c>
      <c r="F44" s="49"/>
    </row>
    <row r="45" spans="1:10" x14ac:dyDescent="0.3">
      <c r="A45" s="74" t="s">
        <v>68</v>
      </c>
      <c r="B45" s="75">
        <v>1</v>
      </c>
      <c r="C45" s="75">
        <v>5000</v>
      </c>
      <c r="D45">
        <f t="shared" si="3"/>
        <v>5000</v>
      </c>
      <c r="E45" s="71">
        <f>D45/B45/12</f>
        <v>416.66666666666669</v>
      </c>
      <c r="F45" s="49"/>
    </row>
    <row r="46" spans="1:10" x14ac:dyDescent="0.3">
      <c r="A46" s="74" t="s">
        <v>69</v>
      </c>
      <c r="B46" s="75">
        <v>6</v>
      </c>
      <c r="C46" s="75">
        <v>2000</v>
      </c>
      <c r="D46">
        <f t="shared" si="3"/>
        <v>2000</v>
      </c>
      <c r="E46" s="71">
        <f>D46/B46/12</f>
        <v>27.777777777777775</v>
      </c>
      <c r="F46" s="49"/>
    </row>
    <row r="47" spans="1:10" x14ac:dyDescent="0.3">
      <c r="A47" s="74" t="s">
        <v>70</v>
      </c>
      <c r="B47" s="75">
        <v>10</v>
      </c>
      <c r="C47" s="75"/>
      <c r="D47">
        <f t="shared" si="3"/>
        <v>0</v>
      </c>
      <c r="E47" s="71">
        <f>D47/B47/12</f>
        <v>0</v>
      </c>
      <c r="F47" s="49"/>
    </row>
    <row r="48" spans="1:10" x14ac:dyDescent="0.3">
      <c r="A48" s="74" t="s">
        <v>71</v>
      </c>
      <c r="B48" s="75">
        <v>4</v>
      </c>
      <c r="C48" s="75">
        <v>4000</v>
      </c>
      <c r="D48">
        <f t="shared" si="3"/>
        <v>4000</v>
      </c>
      <c r="E48" s="71">
        <f>D48/B48/12</f>
        <v>83.333333333333329</v>
      </c>
      <c r="F48" s="49"/>
    </row>
    <row r="49" spans="1:5" x14ac:dyDescent="0.3">
      <c r="A49" s="76" t="s">
        <v>72</v>
      </c>
      <c r="B49" s="77">
        <v>1</v>
      </c>
      <c r="C49" s="77">
        <v>5000</v>
      </c>
      <c r="D49">
        <f t="shared" si="3"/>
        <v>5000</v>
      </c>
      <c r="E49" s="71">
        <f>D49/B49/12</f>
        <v>416.66666666666669</v>
      </c>
    </row>
    <row r="50" spans="1:5" ht="15" thickBot="1" x14ac:dyDescent="0.35">
      <c r="A50" s="76" t="s">
        <v>73</v>
      </c>
      <c r="B50" s="77">
        <v>10</v>
      </c>
      <c r="C50" s="77">
        <v>500</v>
      </c>
      <c r="D50">
        <f t="shared" si="3"/>
        <v>500</v>
      </c>
      <c r="E50" s="71">
        <f>D50/B50/12</f>
        <v>4.166666666666667</v>
      </c>
    </row>
    <row r="51" spans="1:5" ht="15" thickBot="1" x14ac:dyDescent="0.35">
      <c r="A51" s="78" t="s">
        <v>74</v>
      </c>
      <c r="B51" s="79"/>
      <c r="C51" s="79"/>
      <c r="D51" s="79"/>
      <c r="E51" s="80">
        <f>SUM(E40:E50)</f>
        <v>1131.9444444444446</v>
      </c>
    </row>
  </sheetData>
  <mergeCells count="1">
    <mergeCell ref="K16:L1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81145-1D8D-4B7A-86EC-F59A155AB6B8}">
  <dimension ref="A1:M51"/>
  <sheetViews>
    <sheetView tabSelected="1" zoomScale="105" workbookViewId="0">
      <selection activeCell="G26" sqref="G26"/>
    </sheetView>
  </sheetViews>
  <sheetFormatPr defaultRowHeight="14.4" x14ac:dyDescent="0.3"/>
  <cols>
    <col min="1" max="1" width="39.33203125" customWidth="1"/>
    <col min="2" max="2" width="16.33203125" customWidth="1"/>
    <col min="3" max="3" width="14.33203125" customWidth="1"/>
    <col min="4" max="4" width="11.5546875" customWidth="1"/>
    <col min="5" max="5" width="9.6640625" customWidth="1"/>
    <col min="6" max="6" width="3.33203125" customWidth="1"/>
    <col min="7" max="7" width="43.109375" customWidth="1"/>
    <col min="8" max="8" width="11.6640625" bestFit="1" customWidth="1"/>
    <col min="9" max="9" width="11" customWidth="1"/>
    <col min="10" max="10" width="2.88671875" customWidth="1"/>
    <col min="11" max="11" width="39.33203125" bestFit="1" customWidth="1"/>
    <col min="12" max="12" width="13.44140625" bestFit="1" customWidth="1"/>
    <col min="13" max="13" width="11.6640625" bestFit="1" customWidth="1"/>
  </cols>
  <sheetData>
    <row r="1" spans="1:13" x14ac:dyDescent="0.3">
      <c r="A1" s="1" t="s">
        <v>0</v>
      </c>
      <c r="G1" t="s">
        <v>1</v>
      </c>
      <c r="H1" s="2">
        <v>8.7499999999999994E-2</v>
      </c>
    </row>
    <row r="2" spans="1:13" x14ac:dyDescent="0.3">
      <c r="A2" s="3" t="s">
        <v>2</v>
      </c>
      <c r="G2" t="s">
        <v>3</v>
      </c>
      <c r="H2" s="3">
        <v>20</v>
      </c>
      <c r="I2" t="s">
        <v>4</v>
      </c>
    </row>
    <row r="3" spans="1:13" x14ac:dyDescent="0.3">
      <c r="A3" s="4">
        <v>1400000</v>
      </c>
      <c r="B3" t="s">
        <v>5</v>
      </c>
      <c r="C3" s="5"/>
      <c r="G3" s="6" t="s">
        <v>78</v>
      </c>
      <c r="H3" s="7">
        <f>-PMT($H$1/12,$H$2*12,($B$7+$B$6))</f>
        <v>1793.9327390861524</v>
      </c>
    </row>
    <row r="4" spans="1:13" x14ac:dyDescent="0.3">
      <c r="G4" t="s">
        <v>7</v>
      </c>
      <c r="H4" s="8">
        <f>-IPMT($H$1/12,1,$H$2*12,($B$7+$B$6))</f>
        <v>1480.2083333333333</v>
      </c>
      <c r="I4" s="8">
        <f>H3-H4</f>
        <v>313.72440575281917</v>
      </c>
      <c r="K4" s="6" t="s">
        <v>8</v>
      </c>
      <c r="L4" s="9">
        <f>IRR(L5:L11)</f>
        <v>1.4755970773471017E-2</v>
      </c>
    </row>
    <row r="5" spans="1:13" x14ac:dyDescent="0.3">
      <c r="A5" t="s">
        <v>9</v>
      </c>
      <c r="B5" s="10">
        <v>700000</v>
      </c>
      <c r="C5" s="11"/>
      <c r="K5" t="s">
        <v>10</v>
      </c>
      <c r="L5" s="5">
        <f>-B5</f>
        <v>-700000</v>
      </c>
      <c r="M5" s="11"/>
    </row>
    <row r="6" spans="1:13" ht="15" thickBot="1" x14ac:dyDescent="0.35">
      <c r="A6" t="s">
        <v>11</v>
      </c>
      <c r="B6" s="5">
        <f>B5*0.04</f>
        <v>28000</v>
      </c>
      <c r="G6" s="6" t="s">
        <v>12</v>
      </c>
      <c r="H6" s="12">
        <v>7.2499999999999995E-2</v>
      </c>
      <c r="K6" t="s">
        <v>13</v>
      </c>
      <c r="L6" s="5">
        <f>C36</f>
        <v>-4416.4056435400898</v>
      </c>
    </row>
    <row r="7" spans="1:13" x14ac:dyDescent="0.3">
      <c r="A7" s="13" t="s">
        <v>14</v>
      </c>
      <c r="B7" s="14">
        <f>B5*C7</f>
        <v>175000</v>
      </c>
      <c r="C7" s="15">
        <v>0.25</v>
      </c>
      <c r="D7" t="s">
        <v>15</v>
      </c>
      <c r="G7" s="6" t="s">
        <v>16</v>
      </c>
      <c r="H7" s="16">
        <v>30</v>
      </c>
      <c r="I7" t="s">
        <v>4</v>
      </c>
      <c r="K7" t="s">
        <v>17</v>
      </c>
      <c r="L7" s="5">
        <f>L6*1.02</f>
        <v>-4504.7337564108921</v>
      </c>
    </row>
    <row r="8" spans="1:13" x14ac:dyDescent="0.3">
      <c r="A8" s="6" t="s">
        <v>18</v>
      </c>
      <c r="B8" s="17">
        <f>B5-B7</f>
        <v>525000</v>
      </c>
      <c r="D8" s="8"/>
      <c r="G8" s="6" t="s">
        <v>19</v>
      </c>
      <c r="H8" s="18">
        <f>-IPMT($H$6/12,1,$H$7*12,$B$8)</f>
        <v>3171.875</v>
      </c>
      <c r="K8" t="s">
        <v>20</v>
      </c>
      <c r="L8" s="5">
        <f t="shared" ref="L8:L10" si="0">L7*1.02</f>
        <v>-4594.8284315391102</v>
      </c>
    </row>
    <row r="9" spans="1:13" ht="15" thickBot="1" x14ac:dyDescent="0.35">
      <c r="A9" t="s">
        <v>21</v>
      </c>
      <c r="B9" s="19">
        <f>B5</f>
        <v>700000</v>
      </c>
      <c r="K9" t="s">
        <v>22</v>
      </c>
      <c r="L9" s="5">
        <f t="shared" si="0"/>
        <v>-4686.7250001698922</v>
      </c>
    </row>
    <row r="10" spans="1:13" ht="15" thickBot="1" x14ac:dyDescent="0.35">
      <c r="B10" s="5"/>
      <c r="G10" s="20" t="s">
        <v>23</v>
      </c>
      <c r="H10" s="21"/>
      <c r="K10" t="s">
        <v>24</v>
      </c>
      <c r="L10" s="5">
        <f t="shared" si="0"/>
        <v>-4780.4595001732905</v>
      </c>
    </row>
    <row r="11" spans="1:13" x14ac:dyDescent="0.3">
      <c r="A11" t="s">
        <v>25</v>
      </c>
      <c r="B11" s="22">
        <f>SUM(B5)</f>
        <v>700000</v>
      </c>
      <c r="G11" s="23" t="s">
        <v>26</v>
      </c>
      <c r="H11" s="24">
        <f>C36/SUM(B6:B7)</f>
        <v>-2.1755692825320638E-2</v>
      </c>
      <c r="I11" s="11"/>
      <c r="K11" s="25">
        <v>6</v>
      </c>
      <c r="L11" s="22">
        <f>B5*(1+0.02)^K11</f>
        <v>788313.69348480005</v>
      </c>
      <c r="M11" t="s">
        <v>27</v>
      </c>
    </row>
    <row r="12" spans="1:13" x14ac:dyDescent="0.3">
      <c r="A12" t="s">
        <v>28</v>
      </c>
      <c r="B12" s="22">
        <f>B5</f>
        <v>700000</v>
      </c>
      <c r="G12" s="23" t="s">
        <v>29</v>
      </c>
      <c r="H12" s="24">
        <f>(SUM($B$6:$B$7)/B5)</f>
        <v>0.28999999999999998</v>
      </c>
    </row>
    <row r="13" spans="1:13" x14ac:dyDescent="0.3">
      <c r="B13" s="22"/>
      <c r="G13" s="23" t="s">
        <v>30</v>
      </c>
      <c r="H13" s="24">
        <f>C36/B7</f>
        <v>-2.5236603677371943E-2</v>
      </c>
    </row>
    <row r="14" spans="1:13" ht="15" thickBot="1" x14ac:dyDescent="0.35">
      <c r="B14" s="26" t="s">
        <v>31</v>
      </c>
      <c r="C14" s="1" t="s">
        <v>32</v>
      </c>
      <c r="G14" s="27" t="s">
        <v>33</v>
      </c>
      <c r="H14" s="28">
        <f>PPMT(H6/12,1,H7*12,B8)*12</f>
        <v>-4914.6056435400915</v>
      </c>
      <c r="I14" s="11"/>
    </row>
    <row r="15" spans="1:13" x14ac:dyDescent="0.3">
      <c r="A15" s="6" t="s">
        <v>34</v>
      </c>
      <c r="B15" s="29">
        <f>16300/2</f>
        <v>8150</v>
      </c>
      <c r="C15" s="30">
        <f>B15*12</f>
        <v>97800</v>
      </c>
      <c r="I15" s="8"/>
      <c r="L15" s="11"/>
    </row>
    <row r="16" spans="1:13" x14ac:dyDescent="0.3">
      <c r="A16" s="6" t="s">
        <v>35</v>
      </c>
      <c r="B16" s="31">
        <f>B15*0.95</f>
        <v>7742.5</v>
      </c>
      <c r="C16" s="30">
        <f t="shared" ref="C16:C17" si="1">B16*12</f>
        <v>92910</v>
      </c>
      <c r="G16" s="32" t="s">
        <v>36</v>
      </c>
      <c r="H16" s="6"/>
      <c r="K16" s="33"/>
      <c r="L16" s="33"/>
    </row>
    <row r="17" spans="1:12" ht="15" thickBot="1" x14ac:dyDescent="0.35">
      <c r="A17" s="34" t="s">
        <v>37</v>
      </c>
      <c r="B17" s="35">
        <f>150/2</f>
        <v>75</v>
      </c>
      <c r="C17" s="36">
        <f t="shared" si="1"/>
        <v>900</v>
      </c>
      <c r="G17" s="6" t="s">
        <v>38</v>
      </c>
      <c r="H17" s="37"/>
      <c r="K17" s="38"/>
      <c r="L17" s="38"/>
    </row>
    <row r="18" spans="1:12" ht="15" thickBot="1" x14ac:dyDescent="0.35">
      <c r="A18" s="39" t="s">
        <v>39</v>
      </c>
      <c r="B18" s="40">
        <f>SUM(B16:B17)</f>
        <v>7817.5</v>
      </c>
      <c r="C18" s="41">
        <f>B18*12</f>
        <v>93810</v>
      </c>
      <c r="G18" s="6" t="s">
        <v>40</v>
      </c>
      <c r="H18" s="42">
        <f>$B$16/$B$5</f>
        <v>1.1060714285714287E-2</v>
      </c>
    </row>
    <row r="19" spans="1:12" x14ac:dyDescent="0.3">
      <c r="G19" s="6" t="s">
        <v>41</v>
      </c>
      <c r="H19" s="43">
        <f>B33/B35</f>
        <v>1.3105396270087342</v>
      </c>
    </row>
    <row r="20" spans="1:12" x14ac:dyDescent="0.3">
      <c r="A20" s="1"/>
      <c r="B20" s="1"/>
      <c r="C20" s="1"/>
      <c r="D20" s="1"/>
      <c r="E20" s="44"/>
    </row>
    <row r="21" spans="1:12" x14ac:dyDescent="0.3">
      <c r="A21" s="32" t="s">
        <v>42</v>
      </c>
      <c r="B21" s="32" t="s">
        <v>31</v>
      </c>
      <c r="C21" s="32" t="s">
        <v>32</v>
      </c>
      <c r="D21" s="32" t="s">
        <v>43</v>
      </c>
    </row>
    <row r="22" spans="1:12" x14ac:dyDescent="0.3">
      <c r="A22" s="6" t="s">
        <v>44</v>
      </c>
      <c r="B22" s="45">
        <f>B16*D22*2</f>
        <v>1238.8</v>
      </c>
      <c r="C22" s="45">
        <f t="shared" ref="C22:C30" si="2">B22*12</f>
        <v>14865.599999999999</v>
      </c>
      <c r="D22" s="46">
        <v>0.08</v>
      </c>
      <c r="E22" s="8"/>
    </row>
    <row r="23" spans="1:12" x14ac:dyDescent="0.3">
      <c r="A23" s="6" t="s">
        <v>45</v>
      </c>
      <c r="B23" s="29">
        <v>1251</v>
      </c>
      <c r="C23" s="45">
        <f t="shared" si="2"/>
        <v>15012</v>
      </c>
      <c r="D23" s="47">
        <v>1.0800000000000001E-2</v>
      </c>
    </row>
    <row r="24" spans="1:12" x14ac:dyDescent="0.3">
      <c r="A24" s="6" t="s">
        <v>46</v>
      </c>
      <c r="B24" s="29">
        <v>708</v>
      </c>
      <c r="C24" s="7">
        <f t="shared" si="2"/>
        <v>8496</v>
      </c>
      <c r="D24" s="48">
        <f>C24/B5</f>
        <v>1.2137142857142857E-2</v>
      </c>
    </row>
    <row r="25" spans="1:12" x14ac:dyDescent="0.3">
      <c r="A25" s="6" t="s">
        <v>47</v>
      </c>
      <c r="B25" s="29"/>
      <c r="C25" s="7"/>
      <c r="D25" s="31"/>
    </row>
    <row r="26" spans="1:12" x14ac:dyDescent="0.3">
      <c r="A26" s="6" t="s">
        <v>48</v>
      </c>
      <c r="B26" s="29">
        <v>600</v>
      </c>
      <c r="C26" s="7">
        <f t="shared" si="2"/>
        <v>7200</v>
      </c>
      <c r="D26" s="31"/>
      <c r="E26" s="49"/>
    </row>
    <row r="27" spans="1:12" x14ac:dyDescent="0.3">
      <c r="A27" s="6" t="s">
        <v>49</v>
      </c>
      <c r="B27" s="29">
        <v>850</v>
      </c>
      <c r="C27" s="7">
        <f t="shared" si="2"/>
        <v>10200</v>
      </c>
      <c r="D27" s="31"/>
      <c r="E27" s="49"/>
    </row>
    <row r="28" spans="1:12" x14ac:dyDescent="0.3">
      <c r="A28" s="6" t="s">
        <v>50</v>
      </c>
      <c r="B28" s="29">
        <v>500</v>
      </c>
      <c r="C28" s="7">
        <f t="shared" si="2"/>
        <v>6000</v>
      </c>
      <c r="D28" s="31"/>
      <c r="E28" s="49"/>
    </row>
    <row r="29" spans="1:12" x14ac:dyDescent="0.3">
      <c r="A29" s="6" t="s">
        <v>51</v>
      </c>
      <c r="B29" s="29">
        <v>600</v>
      </c>
      <c r="C29" s="7">
        <f t="shared" si="2"/>
        <v>7200</v>
      </c>
      <c r="D29" s="31"/>
      <c r="E29" s="49"/>
    </row>
    <row r="30" spans="1:12" ht="15" thickBot="1" x14ac:dyDescent="0.35">
      <c r="A30" s="34" t="s">
        <v>52</v>
      </c>
      <c r="B30" s="35">
        <v>500</v>
      </c>
      <c r="C30" s="50">
        <f t="shared" si="2"/>
        <v>6000</v>
      </c>
      <c r="D30" s="51"/>
      <c r="E30" s="49"/>
      <c r="H30" s="11"/>
    </row>
    <row r="31" spans="1:12" ht="15" thickBot="1" x14ac:dyDescent="0.35">
      <c r="A31" s="52" t="s">
        <v>53</v>
      </c>
      <c r="B31" s="53">
        <f>SUM(B22:B30)/2</f>
        <v>3123.9</v>
      </c>
      <c r="C31" s="53">
        <f>SUM(C22:C30)/2</f>
        <v>37486.800000000003</v>
      </c>
      <c r="D31" s="54"/>
      <c r="E31" s="49"/>
      <c r="H31" s="55"/>
    </row>
    <row r="32" spans="1:12" ht="15" thickBot="1" x14ac:dyDescent="0.35">
      <c r="C32" s="49"/>
      <c r="D32" s="49"/>
      <c r="E32" s="49"/>
    </row>
    <row r="33" spans="1:10" x14ac:dyDescent="0.3">
      <c r="A33" t="s">
        <v>54</v>
      </c>
      <c r="B33" s="56">
        <f>B18-B31</f>
        <v>4693.6000000000004</v>
      </c>
      <c r="C33" s="56">
        <f>C18-C31</f>
        <v>56323.199999999997</v>
      </c>
      <c r="D33" s="57" t="s">
        <v>41</v>
      </c>
      <c r="E33" s="58">
        <f>B33/(B35+B34)</f>
        <v>0.92728952391527764</v>
      </c>
      <c r="F33" s="44"/>
    </row>
    <row r="34" spans="1:10" x14ac:dyDescent="0.3">
      <c r="A34" t="s">
        <v>6</v>
      </c>
      <c r="B34" s="56">
        <f>H4</f>
        <v>1480.2083333333333</v>
      </c>
      <c r="C34" s="56">
        <f>B34*12</f>
        <v>17762.5</v>
      </c>
      <c r="D34" s="59"/>
      <c r="E34" s="60"/>
      <c r="F34" s="44"/>
    </row>
    <row r="35" spans="1:10" ht="15" thickBot="1" x14ac:dyDescent="0.35">
      <c r="A35" t="s">
        <v>55</v>
      </c>
      <c r="B35" s="61">
        <f>-PMT($H$6/12,$H$7*12,$B$8)</f>
        <v>3581.4254702950079</v>
      </c>
      <c r="C35" s="56">
        <f>B35*12</f>
        <v>42977.105643540097</v>
      </c>
      <c r="D35" s="62" t="s">
        <v>56</v>
      </c>
      <c r="E35" s="63">
        <f>C33/B5</f>
        <v>8.0461714285714275E-2</v>
      </c>
      <c r="F35" s="44"/>
    </row>
    <row r="36" spans="1:10" ht="15" thickBot="1" x14ac:dyDescent="0.35">
      <c r="A36" s="64" t="s">
        <v>57</v>
      </c>
      <c r="B36" s="65">
        <f>B33-B35-B34</f>
        <v>-368.03380362834082</v>
      </c>
      <c r="C36" s="66">
        <f>B36*12</f>
        <v>-4416.4056435400898</v>
      </c>
    </row>
    <row r="38" spans="1:10" ht="15" thickBot="1" x14ac:dyDescent="0.35"/>
    <row r="39" spans="1:10" ht="29.4" thickBot="1" x14ac:dyDescent="0.35">
      <c r="A39" s="39" t="s">
        <v>58</v>
      </c>
      <c r="B39" s="67" t="s">
        <v>59</v>
      </c>
      <c r="C39" s="67" t="s">
        <v>60</v>
      </c>
      <c r="D39" s="67" t="s">
        <v>61</v>
      </c>
      <c r="E39" s="68" t="s">
        <v>62</v>
      </c>
      <c r="J39" s="69"/>
    </row>
    <row r="40" spans="1:10" x14ac:dyDescent="0.3">
      <c r="A40" s="70" t="s">
        <v>63</v>
      </c>
      <c r="B40">
        <v>5</v>
      </c>
      <c r="C40">
        <v>7000</v>
      </c>
      <c r="D40">
        <f>C40</f>
        <v>7000</v>
      </c>
      <c r="E40" s="71">
        <f>D40/B40/12</f>
        <v>116.66666666666667</v>
      </c>
    </row>
    <row r="41" spans="1:10" x14ac:dyDescent="0.3">
      <c r="A41" s="72" t="s">
        <v>64</v>
      </c>
      <c r="B41" s="73">
        <v>10</v>
      </c>
      <c r="C41" s="73"/>
      <c r="D41">
        <f t="shared" ref="D41:D50" si="3">C41</f>
        <v>0</v>
      </c>
      <c r="E41" s="71">
        <f>D41/B41/12</f>
        <v>0</v>
      </c>
      <c r="F41" s="49"/>
    </row>
    <row r="42" spans="1:10" x14ac:dyDescent="0.3">
      <c r="A42" s="74" t="s">
        <v>65</v>
      </c>
      <c r="B42" s="75">
        <v>10</v>
      </c>
      <c r="C42" s="75"/>
      <c r="D42">
        <f t="shared" si="3"/>
        <v>0</v>
      </c>
      <c r="E42" s="71">
        <f>D42/B42/12</f>
        <v>0</v>
      </c>
      <c r="F42" s="49"/>
    </row>
    <row r="43" spans="1:10" x14ac:dyDescent="0.3">
      <c r="A43" s="74" t="s">
        <v>66</v>
      </c>
      <c r="B43" s="75">
        <v>10</v>
      </c>
      <c r="C43" s="75">
        <v>8000</v>
      </c>
      <c r="D43">
        <f t="shared" si="3"/>
        <v>8000</v>
      </c>
      <c r="E43" s="71">
        <f>D43/B43/12</f>
        <v>66.666666666666671</v>
      </c>
      <c r="F43" s="49"/>
    </row>
    <row r="44" spans="1:10" x14ac:dyDescent="0.3">
      <c r="A44" s="74" t="s">
        <v>67</v>
      </c>
      <c r="B44" s="75">
        <v>10</v>
      </c>
      <c r="C44" s="75"/>
      <c r="D44">
        <f t="shared" si="3"/>
        <v>0</v>
      </c>
      <c r="E44" s="71">
        <f>D44/B44/12</f>
        <v>0</v>
      </c>
      <c r="F44" s="49"/>
    </row>
    <row r="45" spans="1:10" x14ac:dyDescent="0.3">
      <c r="A45" s="74" t="s">
        <v>68</v>
      </c>
      <c r="B45" s="75">
        <v>1</v>
      </c>
      <c r="C45" s="75">
        <v>5000</v>
      </c>
      <c r="D45">
        <f t="shared" si="3"/>
        <v>5000</v>
      </c>
      <c r="E45" s="71">
        <f>D45/B45/12</f>
        <v>416.66666666666669</v>
      </c>
      <c r="F45" s="49"/>
    </row>
    <row r="46" spans="1:10" x14ac:dyDescent="0.3">
      <c r="A46" s="74" t="s">
        <v>69</v>
      </c>
      <c r="B46" s="75">
        <v>6</v>
      </c>
      <c r="C46" s="75">
        <v>2000</v>
      </c>
      <c r="D46">
        <f t="shared" si="3"/>
        <v>2000</v>
      </c>
      <c r="E46" s="71">
        <f>D46/B46/12</f>
        <v>27.777777777777775</v>
      </c>
      <c r="F46" s="49"/>
    </row>
    <row r="47" spans="1:10" x14ac:dyDescent="0.3">
      <c r="A47" s="74" t="s">
        <v>70</v>
      </c>
      <c r="B47" s="75">
        <v>10</v>
      </c>
      <c r="C47" s="75"/>
      <c r="D47">
        <f t="shared" si="3"/>
        <v>0</v>
      </c>
      <c r="E47" s="71">
        <f>D47/B47/12</f>
        <v>0</v>
      </c>
      <c r="F47" s="49"/>
    </row>
    <row r="48" spans="1:10" x14ac:dyDescent="0.3">
      <c r="A48" s="74" t="s">
        <v>71</v>
      </c>
      <c r="B48" s="75">
        <v>4</v>
      </c>
      <c r="C48" s="75">
        <v>4000</v>
      </c>
      <c r="D48">
        <f t="shared" si="3"/>
        <v>4000</v>
      </c>
      <c r="E48" s="71">
        <f>D48/B48/12</f>
        <v>83.333333333333329</v>
      </c>
      <c r="F48" s="49"/>
    </row>
    <row r="49" spans="1:5" x14ac:dyDescent="0.3">
      <c r="A49" s="76" t="s">
        <v>72</v>
      </c>
      <c r="B49" s="77">
        <v>1</v>
      </c>
      <c r="C49" s="77">
        <v>5000</v>
      </c>
      <c r="D49">
        <f t="shared" si="3"/>
        <v>5000</v>
      </c>
      <c r="E49" s="71">
        <f>D49/B49/12</f>
        <v>416.66666666666669</v>
      </c>
    </row>
    <row r="50" spans="1:5" ht="15" thickBot="1" x14ac:dyDescent="0.35">
      <c r="A50" s="76" t="s">
        <v>73</v>
      </c>
      <c r="B50" s="77">
        <v>10</v>
      </c>
      <c r="C50" s="77">
        <v>500</v>
      </c>
      <c r="D50">
        <f t="shared" si="3"/>
        <v>500</v>
      </c>
      <c r="E50" s="71">
        <f>D50/B50/12</f>
        <v>4.166666666666667</v>
      </c>
    </row>
    <row r="51" spans="1:5" ht="15" thickBot="1" x14ac:dyDescent="0.35">
      <c r="A51" s="78" t="s">
        <v>74</v>
      </c>
      <c r="B51" s="79"/>
      <c r="C51" s="79"/>
      <c r="D51" s="79"/>
      <c r="E51" s="80">
        <f>SUM(E40:E50)</f>
        <v>1131.9444444444446</v>
      </c>
    </row>
  </sheetData>
  <mergeCells count="1">
    <mergeCell ref="K16:L16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9C7C3-11FC-412F-A3B4-DA141D9A9B75}">
  <dimension ref="A1:M50"/>
  <sheetViews>
    <sheetView zoomScale="105" workbookViewId="0">
      <selection activeCell="I12" sqref="I12"/>
    </sheetView>
  </sheetViews>
  <sheetFormatPr defaultRowHeight="14.4" x14ac:dyDescent="0.3"/>
  <cols>
    <col min="1" max="1" width="39.33203125" customWidth="1"/>
    <col min="2" max="2" width="16.33203125" customWidth="1"/>
    <col min="3" max="3" width="14.33203125" customWidth="1"/>
    <col min="4" max="4" width="11.5546875" customWidth="1"/>
    <col min="5" max="5" width="9.6640625" customWidth="1"/>
    <col min="6" max="6" width="3.33203125" customWidth="1"/>
    <col min="7" max="7" width="43.109375" customWidth="1"/>
    <col min="8" max="8" width="11.6640625" bestFit="1" customWidth="1"/>
    <col min="9" max="9" width="11" customWidth="1"/>
    <col min="10" max="10" width="2.88671875" customWidth="1"/>
    <col min="11" max="11" width="39.33203125" bestFit="1" customWidth="1"/>
    <col min="12" max="12" width="13.44140625" bestFit="1" customWidth="1"/>
    <col min="13" max="13" width="11.6640625" bestFit="1" customWidth="1"/>
  </cols>
  <sheetData>
    <row r="1" spans="1:13" x14ac:dyDescent="0.3">
      <c r="A1" s="1" t="s">
        <v>0</v>
      </c>
      <c r="G1" t="s">
        <v>1</v>
      </c>
      <c r="H1" s="2">
        <v>8.7499999999999994E-2</v>
      </c>
    </row>
    <row r="2" spans="1:13" x14ac:dyDescent="0.3">
      <c r="A2" s="3" t="s">
        <v>2</v>
      </c>
      <c r="G2" t="s">
        <v>3</v>
      </c>
      <c r="H2" s="3">
        <v>20</v>
      </c>
      <c r="I2" t="s">
        <v>4</v>
      </c>
    </row>
    <row r="3" spans="1:13" x14ac:dyDescent="0.3">
      <c r="A3" s="4">
        <v>1400000</v>
      </c>
      <c r="B3" t="s">
        <v>5</v>
      </c>
      <c r="C3" s="5"/>
      <c r="G3" s="6" t="s">
        <v>75</v>
      </c>
      <c r="H3" s="7">
        <f>-PMT(H1/12,H2*12,B7)</f>
        <v>3092.9874811830214</v>
      </c>
    </row>
    <row r="4" spans="1:13" x14ac:dyDescent="0.3">
      <c r="K4" s="6" t="s">
        <v>8</v>
      </c>
      <c r="L4" s="9">
        <f>IRR(L5:L11)</f>
        <v>3.6010638350339796E-2</v>
      </c>
    </row>
    <row r="5" spans="1:13" x14ac:dyDescent="0.3">
      <c r="A5" t="s">
        <v>9</v>
      </c>
      <c r="B5" s="10">
        <v>1400000</v>
      </c>
      <c r="C5" s="11"/>
      <c r="G5" s="6" t="s">
        <v>76</v>
      </c>
      <c r="H5" s="12">
        <v>7.2499999999999995E-2</v>
      </c>
      <c r="K5" t="s">
        <v>10</v>
      </c>
      <c r="L5" s="5">
        <f>-B5</f>
        <v>-1400000</v>
      </c>
      <c r="M5" s="11"/>
    </row>
    <row r="6" spans="1:13" ht="15" thickBot="1" x14ac:dyDescent="0.35">
      <c r="A6" t="s">
        <v>11</v>
      </c>
      <c r="B6" s="5">
        <f>B5*0.04</f>
        <v>56000</v>
      </c>
      <c r="G6" s="6" t="s">
        <v>16</v>
      </c>
      <c r="H6" s="16">
        <v>30</v>
      </c>
      <c r="I6" t="s">
        <v>4</v>
      </c>
      <c r="K6" t="s">
        <v>13</v>
      </c>
      <c r="L6" s="5">
        <f>C35</f>
        <v>26692.188712919818</v>
      </c>
    </row>
    <row r="7" spans="1:13" x14ac:dyDescent="0.3">
      <c r="A7" s="13" t="s">
        <v>14</v>
      </c>
      <c r="B7" s="14">
        <f>B5*C7</f>
        <v>350000</v>
      </c>
      <c r="C7" s="15">
        <v>0.25</v>
      </c>
      <c r="D7" t="s">
        <v>15</v>
      </c>
      <c r="G7" s="6" t="s">
        <v>19</v>
      </c>
      <c r="H7" s="17">
        <f>((B5-B7)*H5)/12</f>
        <v>6343.75</v>
      </c>
      <c r="K7" t="s">
        <v>17</v>
      </c>
      <c r="L7" s="5">
        <f>L6*1.02</f>
        <v>27226.032487178214</v>
      </c>
    </row>
    <row r="8" spans="1:13" ht="15" thickBot="1" x14ac:dyDescent="0.35">
      <c r="A8" s="6" t="s">
        <v>18</v>
      </c>
      <c r="B8" s="17">
        <f>B5-B7</f>
        <v>1050000</v>
      </c>
      <c r="D8" s="8"/>
      <c r="K8" t="s">
        <v>20</v>
      </c>
      <c r="L8" s="5">
        <f t="shared" ref="L8:L10" si="0">L7*1.02</f>
        <v>27770.553136921779</v>
      </c>
    </row>
    <row r="9" spans="1:13" ht="15" thickBot="1" x14ac:dyDescent="0.35">
      <c r="A9" t="s">
        <v>21</v>
      </c>
      <c r="B9" s="19">
        <f>B5</f>
        <v>1400000</v>
      </c>
      <c r="G9" s="20" t="s">
        <v>23</v>
      </c>
      <c r="H9" s="21"/>
      <c r="K9" t="s">
        <v>22</v>
      </c>
      <c r="L9" s="5">
        <f t="shared" si="0"/>
        <v>28325.964199660215</v>
      </c>
    </row>
    <row r="10" spans="1:13" x14ac:dyDescent="0.3">
      <c r="B10" s="5"/>
      <c r="G10" s="23" t="s">
        <v>26</v>
      </c>
      <c r="H10" s="24">
        <f>C35/SUM(B6:B7)</f>
        <v>6.5744307174679356E-2</v>
      </c>
      <c r="I10" s="11"/>
      <c r="K10" t="s">
        <v>24</v>
      </c>
      <c r="L10" s="5">
        <f t="shared" si="0"/>
        <v>28892.483483653421</v>
      </c>
    </row>
    <row r="11" spans="1:13" x14ac:dyDescent="0.3">
      <c r="A11" t="s">
        <v>25</v>
      </c>
      <c r="B11" s="22">
        <f>SUM(B5)</f>
        <v>1400000</v>
      </c>
      <c r="G11" s="23" t="s">
        <v>29</v>
      </c>
      <c r="H11" s="24">
        <f>(SUM($B$6:$B$7)/B5)</f>
        <v>0.28999999999999998</v>
      </c>
      <c r="K11" s="25">
        <v>6</v>
      </c>
      <c r="L11" s="22">
        <f>B5*(1+0.02)^K11</f>
        <v>1576627.3869696001</v>
      </c>
      <c r="M11" t="s">
        <v>27</v>
      </c>
    </row>
    <row r="12" spans="1:13" x14ac:dyDescent="0.3">
      <c r="A12" t="s">
        <v>28</v>
      </c>
      <c r="B12" s="22">
        <f>B5</f>
        <v>1400000</v>
      </c>
      <c r="G12" s="23" t="s">
        <v>30</v>
      </c>
      <c r="H12" s="24">
        <f>C35/B7</f>
        <v>7.6263396322628046E-2</v>
      </c>
    </row>
    <row r="13" spans="1:13" ht="15" thickBot="1" x14ac:dyDescent="0.35">
      <c r="B13" s="22"/>
      <c r="G13" s="27" t="s">
        <v>33</v>
      </c>
      <c r="H13" s="28">
        <f>PPMT(H5/12,1,H6*12,B8)*12</f>
        <v>-9829.211287080183</v>
      </c>
    </row>
    <row r="14" spans="1:13" x14ac:dyDescent="0.3">
      <c r="B14" s="26" t="s">
        <v>31</v>
      </c>
      <c r="C14" s="1" t="s">
        <v>32</v>
      </c>
    </row>
    <row r="15" spans="1:13" x14ac:dyDescent="0.3">
      <c r="A15" s="6" t="s">
        <v>34</v>
      </c>
      <c r="B15" s="29">
        <v>16300</v>
      </c>
      <c r="C15" s="30">
        <f>B15*12</f>
        <v>195600</v>
      </c>
      <c r="G15" s="32" t="s">
        <v>36</v>
      </c>
      <c r="H15" s="6"/>
      <c r="L15" s="11"/>
    </row>
    <row r="16" spans="1:13" x14ac:dyDescent="0.3">
      <c r="A16" s="6" t="s">
        <v>35</v>
      </c>
      <c r="B16" s="31">
        <f>B15*0.95</f>
        <v>15485</v>
      </c>
      <c r="C16" s="30">
        <f t="shared" ref="C16:C18" si="1">B16*12</f>
        <v>185820</v>
      </c>
      <c r="G16" s="6" t="s">
        <v>38</v>
      </c>
      <c r="H16" s="37"/>
      <c r="K16" s="33"/>
      <c r="L16" s="33"/>
    </row>
    <row r="17" spans="1:12" ht="15" thickBot="1" x14ac:dyDescent="0.35">
      <c r="A17" s="34" t="s">
        <v>37</v>
      </c>
      <c r="B17" s="35">
        <v>150</v>
      </c>
      <c r="C17" s="36">
        <f t="shared" si="1"/>
        <v>1800</v>
      </c>
      <c r="G17" s="6" t="s">
        <v>40</v>
      </c>
      <c r="H17" s="42">
        <f>$B$16/$B$5</f>
        <v>1.1060714285714287E-2</v>
      </c>
      <c r="K17" s="38"/>
      <c r="L17" s="38"/>
    </row>
    <row r="18" spans="1:12" ht="15" thickBot="1" x14ac:dyDescent="0.35">
      <c r="A18" s="39" t="s">
        <v>39</v>
      </c>
      <c r="B18" s="40">
        <f>SUM(B16:B17)</f>
        <v>15635</v>
      </c>
      <c r="C18" s="41">
        <f t="shared" si="1"/>
        <v>187620</v>
      </c>
      <c r="G18" s="6" t="s">
        <v>41</v>
      </c>
      <c r="H18" s="43">
        <f>B33/B34</f>
        <v>1.3105396270087342</v>
      </c>
    </row>
    <row r="20" spans="1:12" x14ac:dyDescent="0.3">
      <c r="A20" s="1"/>
      <c r="B20" s="1"/>
      <c r="C20" s="1"/>
      <c r="D20" s="1"/>
      <c r="E20" s="44"/>
    </row>
    <row r="21" spans="1:12" x14ac:dyDescent="0.3">
      <c r="A21" s="32" t="s">
        <v>42</v>
      </c>
      <c r="B21" s="32" t="s">
        <v>31</v>
      </c>
      <c r="C21" s="32" t="s">
        <v>32</v>
      </c>
      <c r="D21" s="32" t="s">
        <v>43</v>
      </c>
    </row>
    <row r="22" spans="1:12" x14ac:dyDescent="0.3">
      <c r="A22" s="6" t="s">
        <v>44</v>
      </c>
      <c r="B22" s="45">
        <f>B16*D22</f>
        <v>1238.8</v>
      </c>
      <c r="C22" s="45">
        <f t="shared" ref="C22:C30" si="2">B22*12</f>
        <v>14865.599999999999</v>
      </c>
      <c r="D22" s="46">
        <v>0.08</v>
      </c>
      <c r="E22" s="8"/>
    </row>
    <row r="23" spans="1:12" x14ac:dyDescent="0.3">
      <c r="A23" s="6" t="s">
        <v>45</v>
      </c>
      <c r="B23" s="29">
        <v>1251</v>
      </c>
      <c r="C23" s="45">
        <f t="shared" si="2"/>
        <v>15012</v>
      </c>
      <c r="D23" s="47">
        <v>1.0800000000000001E-2</v>
      </c>
    </row>
    <row r="24" spans="1:12" x14ac:dyDescent="0.3">
      <c r="A24" s="6" t="s">
        <v>46</v>
      </c>
      <c r="B24" s="29">
        <v>708</v>
      </c>
      <c r="C24" s="7">
        <f t="shared" si="2"/>
        <v>8496</v>
      </c>
      <c r="D24" s="48">
        <f>C24/B5</f>
        <v>6.0685714285714284E-3</v>
      </c>
    </row>
    <row r="25" spans="1:12" x14ac:dyDescent="0.3">
      <c r="A25" s="6" t="s">
        <v>47</v>
      </c>
      <c r="B25" s="29"/>
      <c r="C25" s="7"/>
      <c r="D25" s="31"/>
    </row>
    <row r="26" spans="1:12" x14ac:dyDescent="0.3">
      <c r="A26" s="6" t="s">
        <v>48</v>
      </c>
      <c r="B26" s="29">
        <v>600</v>
      </c>
      <c r="C26" s="7">
        <f t="shared" si="2"/>
        <v>7200</v>
      </c>
      <c r="D26" s="31"/>
      <c r="E26" s="49"/>
    </row>
    <row r="27" spans="1:12" x14ac:dyDescent="0.3">
      <c r="A27" s="6" t="s">
        <v>49</v>
      </c>
      <c r="B27" s="29">
        <v>850</v>
      </c>
      <c r="C27" s="7">
        <f t="shared" si="2"/>
        <v>10200</v>
      </c>
      <c r="D27" s="31"/>
      <c r="E27" s="49"/>
    </row>
    <row r="28" spans="1:12" x14ac:dyDescent="0.3">
      <c r="A28" s="6" t="s">
        <v>50</v>
      </c>
      <c r="B28" s="29">
        <v>500</v>
      </c>
      <c r="C28" s="7">
        <f t="shared" si="2"/>
        <v>6000</v>
      </c>
      <c r="D28" s="31"/>
      <c r="E28" s="49"/>
    </row>
    <row r="29" spans="1:12" x14ac:dyDescent="0.3">
      <c r="A29" s="6" t="s">
        <v>51</v>
      </c>
      <c r="B29" s="29">
        <v>600</v>
      </c>
      <c r="C29" s="7">
        <f t="shared" si="2"/>
        <v>7200</v>
      </c>
      <c r="D29" s="31"/>
      <c r="E29" s="49"/>
      <c r="H29" s="11"/>
    </row>
    <row r="30" spans="1:12" ht="15" thickBot="1" x14ac:dyDescent="0.35">
      <c r="A30" s="34" t="s">
        <v>52</v>
      </c>
      <c r="B30" s="35">
        <v>500</v>
      </c>
      <c r="C30" s="50">
        <f t="shared" si="2"/>
        <v>6000</v>
      </c>
      <c r="D30" s="51"/>
      <c r="E30" s="49"/>
      <c r="H30" s="55"/>
    </row>
    <row r="31" spans="1:12" ht="15" thickBot="1" x14ac:dyDescent="0.35">
      <c r="A31" s="52" t="s">
        <v>53</v>
      </c>
      <c r="B31" s="53">
        <f>SUM(B22:B30)</f>
        <v>6247.8</v>
      </c>
      <c r="C31" s="53">
        <f>SUM(C22:C30)</f>
        <v>74973.600000000006</v>
      </c>
      <c r="D31" s="54"/>
      <c r="E31" s="49"/>
    </row>
    <row r="32" spans="1:12" ht="15" thickBot="1" x14ac:dyDescent="0.35">
      <c r="C32" s="49"/>
      <c r="D32" s="49"/>
      <c r="E32" s="49"/>
    </row>
    <row r="33" spans="1:10" x14ac:dyDescent="0.3">
      <c r="A33" t="s">
        <v>54</v>
      </c>
      <c r="B33" s="56">
        <f>B18-B31</f>
        <v>9387.2000000000007</v>
      </c>
      <c r="C33" s="56">
        <f>C18-C31</f>
        <v>112646.39999999999</v>
      </c>
      <c r="D33" s="57" t="s">
        <v>41</v>
      </c>
      <c r="E33" s="58">
        <f>B33/B34</f>
        <v>1.3105396270087342</v>
      </c>
      <c r="F33" s="44"/>
    </row>
    <row r="34" spans="1:10" ht="15" thickBot="1" x14ac:dyDescent="0.35">
      <c r="A34" t="s">
        <v>77</v>
      </c>
      <c r="B34" s="61">
        <f>-PMT($H$5/12,$H$6*12,$B$8)</f>
        <v>7162.8509405900159</v>
      </c>
      <c r="C34" s="56">
        <f>B34*12</f>
        <v>85954.211287080194</v>
      </c>
      <c r="D34" s="62" t="s">
        <v>56</v>
      </c>
      <c r="E34" s="63">
        <f>C33/B5</f>
        <v>8.0461714285714275E-2</v>
      </c>
      <c r="F34" s="44"/>
    </row>
    <row r="35" spans="1:10" ht="15" thickBot="1" x14ac:dyDescent="0.35">
      <c r="A35" s="64" t="s">
        <v>57</v>
      </c>
      <c r="B35" s="65">
        <f>B33-B34</f>
        <v>2224.3490594099849</v>
      </c>
      <c r="C35" s="66">
        <f>B35*12</f>
        <v>26692.188712919818</v>
      </c>
    </row>
    <row r="37" spans="1:10" ht="15" thickBot="1" x14ac:dyDescent="0.35"/>
    <row r="38" spans="1:10" ht="29.4" thickBot="1" x14ac:dyDescent="0.35">
      <c r="A38" s="39" t="s">
        <v>58</v>
      </c>
      <c r="B38" s="67" t="s">
        <v>59</v>
      </c>
      <c r="C38" s="67" t="s">
        <v>60</v>
      </c>
      <c r="D38" s="67" t="s">
        <v>61</v>
      </c>
      <c r="E38" s="68" t="s">
        <v>62</v>
      </c>
      <c r="J38" s="69"/>
    </row>
    <row r="39" spans="1:10" x14ac:dyDescent="0.3">
      <c r="A39" s="70" t="s">
        <v>63</v>
      </c>
      <c r="B39">
        <v>5</v>
      </c>
      <c r="C39">
        <v>7000</v>
      </c>
      <c r="D39">
        <f>C39</f>
        <v>7000</v>
      </c>
      <c r="E39" s="71">
        <f>D39/B39/12</f>
        <v>116.66666666666667</v>
      </c>
    </row>
    <row r="40" spans="1:10" x14ac:dyDescent="0.3">
      <c r="A40" s="72" t="s">
        <v>64</v>
      </c>
      <c r="B40" s="73">
        <v>10</v>
      </c>
      <c r="C40" s="73"/>
      <c r="D40">
        <f t="shared" ref="D40:D49" si="3">C40</f>
        <v>0</v>
      </c>
      <c r="E40" s="71">
        <f>D40/B40/12</f>
        <v>0</v>
      </c>
      <c r="F40" s="49"/>
    </row>
    <row r="41" spans="1:10" x14ac:dyDescent="0.3">
      <c r="A41" s="74" t="s">
        <v>65</v>
      </c>
      <c r="B41" s="75">
        <v>10</v>
      </c>
      <c r="C41" s="75"/>
      <c r="D41">
        <f t="shared" si="3"/>
        <v>0</v>
      </c>
      <c r="E41" s="71">
        <f>D41/B41/12</f>
        <v>0</v>
      </c>
      <c r="F41" s="49"/>
    </row>
    <row r="42" spans="1:10" x14ac:dyDescent="0.3">
      <c r="A42" s="74" t="s">
        <v>66</v>
      </c>
      <c r="B42" s="75">
        <v>10</v>
      </c>
      <c r="C42" s="75">
        <v>8000</v>
      </c>
      <c r="D42">
        <f t="shared" si="3"/>
        <v>8000</v>
      </c>
      <c r="E42" s="71">
        <f>D42/B42/12</f>
        <v>66.666666666666671</v>
      </c>
      <c r="F42" s="49"/>
    </row>
    <row r="43" spans="1:10" x14ac:dyDescent="0.3">
      <c r="A43" s="74" t="s">
        <v>67</v>
      </c>
      <c r="B43" s="75">
        <v>10</v>
      </c>
      <c r="C43" s="75"/>
      <c r="D43">
        <f t="shared" si="3"/>
        <v>0</v>
      </c>
      <c r="E43" s="71">
        <f>D43/B43/12</f>
        <v>0</v>
      </c>
      <c r="F43" s="49"/>
    </row>
    <row r="44" spans="1:10" x14ac:dyDescent="0.3">
      <c r="A44" s="74" t="s">
        <v>68</v>
      </c>
      <c r="B44" s="75">
        <v>1</v>
      </c>
      <c r="C44" s="75">
        <v>5000</v>
      </c>
      <c r="D44">
        <f t="shared" si="3"/>
        <v>5000</v>
      </c>
      <c r="E44" s="71">
        <f>D44/B44/12</f>
        <v>416.66666666666669</v>
      </c>
      <c r="F44" s="49"/>
    </row>
    <row r="45" spans="1:10" x14ac:dyDescent="0.3">
      <c r="A45" s="74" t="s">
        <v>69</v>
      </c>
      <c r="B45" s="75">
        <v>6</v>
      </c>
      <c r="C45" s="75">
        <v>2000</v>
      </c>
      <c r="D45">
        <f t="shared" si="3"/>
        <v>2000</v>
      </c>
      <c r="E45" s="71">
        <f>D45/B45/12</f>
        <v>27.777777777777775</v>
      </c>
      <c r="F45" s="49"/>
    </row>
    <row r="46" spans="1:10" x14ac:dyDescent="0.3">
      <c r="A46" s="74" t="s">
        <v>70</v>
      </c>
      <c r="B46" s="75">
        <v>10</v>
      </c>
      <c r="C46" s="75"/>
      <c r="D46">
        <f t="shared" si="3"/>
        <v>0</v>
      </c>
      <c r="E46" s="71">
        <f>D46/B46/12</f>
        <v>0</v>
      </c>
      <c r="F46" s="49"/>
    </row>
    <row r="47" spans="1:10" x14ac:dyDescent="0.3">
      <c r="A47" s="74" t="s">
        <v>71</v>
      </c>
      <c r="B47" s="75">
        <v>4</v>
      </c>
      <c r="C47" s="75">
        <v>4000</v>
      </c>
      <c r="D47">
        <f t="shared" si="3"/>
        <v>4000</v>
      </c>
      <c r="E47" s="71">
        <f>D47/B47/12</f>
        <v>83.333333333333329</v>
      </c>
      <c r="F47" s="49"/>
    </row>
    <row r="48" spans="1:10" x14ac:dyDescent="0.3">
      <c r="A48" s="76" t="s">
        <v>72</v>
      </c>
      <c r="B48" s="77">
        <v>1</v>
      </c>
      <c r="C48" s="77">
        <v>5000</v>
      </c>
      <c r="D48">
        <f t="shared" si="3"/>
        <v>5000</v>
      </c>
      <c r="E48" s="71">
        <f>D48/B48/12</f>
        <v>416.66666666666669</v>
      </c>
    </row>
    <row r="49" spans="1:5" ht="15" thickBot="1" x14ac:dyDescent="0.35">
      <c r="A49" s="76" t="s">
        <v>73</v>
      </c>
      <c r="B49" s="77">
        <v>10</v>
      </c>
      <c r="C49" s="77">
        <v>500</v>
      </c>
      <c r="D49">
        <f t="shared" si="3"/>
        <v>500</v>
      </c>
      <c r="E49" s="71">
        <f>D49/B49/12</f>
        <v>4.166666666666667</v>
      </c>
    </row>
    <row r="50" spans="1:5" ht="15" thickBot="1" x14ac:dyDescent="0.35">
      <c r="A50" s="78" t="s">
        <v>74</v>
      </c>
      <c r="B50" s="79"/>
      <c r="C50" s="79"/>
      <c r="D50" s="79"/>
      <c r="E50" s="80">
        <f>SUM(E39:E49)</f>
        <v>1131.9444444444446</v>
      </c>
    </row>
  </sheetData>
  <mergeCells count="1">
    <mergeCell ref="K16:L1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12plex Split Cash</vt:lpstr>
      <vt:lpstr>12plex Split Loan</vt:lpstr>
      <vt:lpstr>12plex Pro Forma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Smith</dc:creator>
  <cp:lastModifiedBy>Matt Smith</cp:lastModifiedBy>
  <dcterms:created xsi:type="dcterms:W3CDTF">2024-05-27T22:55:21Z</dcterms:created>
  <dcterms:modified xsi:type="dcterms:W3CDTF">2024-05-27T23:06:20Z</dcterms:modified>
</cp:coreProperties>
</file>