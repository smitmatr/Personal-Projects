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son Scott\Dropbox\The Investing Hotspot\Published\"/>
    </mc:Choice>
  </mc:AlternateContent>
  <bookViews>
    <workbookView xWindow="0" yWindow="0" windowWidth="23040" windowHeight="9384"/>
  </bookViews>
  <sheets>
    <sheet name="Exit Strategy Comparison" sheetId="1" r:id="rId1"/>
  </sheets>
  <definedNames>
    <definedName name="_xlnm.Print_Area" localSheetId="0">'Exit Strategy Comparison'!$B$2:$H$35</definedName>
  </definedNames>
  <calcPr calcId="15251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1" l="1"/>
  <c r="F29" i="1"/>
  <c r="F33" i="1" s="1"/>
  <c r="E29" i="1"/>
  <c r="E33" i="1" s="1"/>
  <c r="F25" i="1"/>
  <c r="G25" i="1"/>
  <c r="H25" i="1"/>
  <c r="E25" i="1"/>
  <c r="D25" i="1"/>
  <c r="E15" i="1"/>
  <c r="E10" i="1"/>
  <c r="H33" i="1"/>
  <c r="F10" i="1"/>
  <c r="H10" i="1"/>
  <c r="G33" i="1"/>
  <c r="G15" i="1"/>
  <c r="G10" i="1"/>
  <c r="C25" i="1"/>
  <c r="C10" i="1"/>
  <c r="D33" i="1"/>
  <c r="C33" i="1"/>
  <c r="D15" i="1"/>
  <c r="F15" i="1"/>
  <c r="H15" i="1"/>
  <c r="C15" i="1"/>
  <c r="D10" i="1"/>
  <c r="E37" i="1" l="1"/>
  <c r="E35" i="1"/>
  <c r="E39" i="1" s="1"/>
  <c r="E41" i="1" s="1"/>
  <c r="G35" i="1"/>
  <c r="G37" i="1"/>
  <c r="F35" i="1"/>
  <c r="D35" i="1"/>
  <c r="H37" i="1"/>
  <c r="H35" i="1"/>
  <c r="F37" i="1"/>
  <c r="D37" i="1"/>
  <c r="C35" i="1"/>
  <c r="C37" i="1"/>
  <c r="G39" i="1" l="1"/>
  <c r="G41" i="1" s="1"/>
  <c r="D39" i="1"/>
  <c r="D41" i="1" s="1"/>
  <c r="H39" i="1"/>
  <c r="H41" i="1" s="1"/>
  <c r="F39" i="1"/>
  <c r="F41" i="1" s="1"/>
  <c r="C39" i="1"/>
  <c r="C41" i="1" s="1"/>
</calcChain>
</file>

<file path=xl/sharedStrings.xml><?xml version="1.0" encoding="utf-8"?>
<sst xmlns="http://schemas.openxmlformats.org/spreadsheetml/2006/main" count="38" uniqueCount="35">
  <si>
    <t>PURCHASE COSTS:</t>
  </si>
  <si>
    <t>Purchase Price</t>
  </si>
  <si>
    <t>Inspection(s)</t>
  </si>
  <si>
    <t>Appraisal(s)</t>
  </si>
  <si>
    <t>Survey(s)</t>
  </si>
  <si>
    <t>Lender Fees/Costs</t>
  </si>
  <si>
    <t>Closing Costs</t>
  </si>
  <si>
    <t>Other</t>
  </si>
  <si>
    <t>Total:</t>
  </si>
  <si>
    <t>REHAB COSTS:</t>
  </si>
  <si>
    <t>HOLDING COSTS:</t>
  </si>
  <si>
    <t>Estimated Hold Time (Months)</t>
  </si>
  <si>
    <t>Mortgage Interest (Per Month)</t>
  </si>
  <si>
    <t>Property Taxes (Per Month)</t>
  </si>
  <si>
    <t>Insurance (Per Month)</t>
  </si>
  <si>
    <t>Utilities (Per Month)</t>
  </si>
  <si>
    <t>Lawn Care (Per Month)</t>
  </si>
  <si>
    <t>Other (Per Month)</t>
  </si>
  <si>
    <t>SELLING COSTS</t>
  </si>
  <si>
    <t>Selling Price</t>
  </si>
  <si>
    <t>Commission To Agents</t>
  </si>
  <si>
    <t>Seller's Closing Costs</t>
  </si>
  <si>
    <t>Buyer Concessions</t>
  </si>
  <si>
    <t>Other Costs/Concessions</t>
  </si>
  <si>
    <t xml:space="preserve">PROFIT:   </t>
  </si>
  <si>
    <t>Total Investment (Cash Purchase):</t>
  </si>
  <si>
    <t>Return on Investment (ROI):</t>
  </si>
  <si>
    <t>Annualized ROI:</t>
  </si>
  <si>
    <t>WHOLESALE</t>
  </si>
  <si>
    <t>PREHAB</t>
  </si>
  <si>
    <t>FLIP 2 LANDLORD</t>
  </si>
  <si>
    <t>RETAIL FLIP</t>
  </si>
  <si>
    <t>TEAR DOWN</t>
  </si>
  <si>
    <t xml:space="preserve">Labor </t>
  </si>
  <si>
    <t>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</si>
</sst>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Font="1"/>
    <xf numFmtId="0" fontId="3" fillId="2" borderId="1" xfId="0" applyFont="1" applyFill="1" applyBorder="1" applyProtection="1">
      <protection locked="0"/>
    </xf>
    <xf numFmtId="0" fontId="0" fillId="0" borderId="2" xfId="0" applyFont="1" applyBorder="1" applyProtection="1">
      <protection locked="0"/>
    </xf>
    <xf numFmtId="44" fontId="2" fillId="0" borderId="3" xfId="1" applyFont="1" applyBorder="1" applyProtection="1"/>
    <xf numFmtId="0" fontId="3" fillId="0" borderId="0" xfId="0" applyFont="1" applyProtection="1">
      <protection locked="0"/>
    </xf>
    <xf numFmtId="4" fontId="3" fillId="3" borderId="6" xfId="0" applyNumberFormat="1" applyFont="1" applyFill="1" applyBorder="1" applyProtection="1">
      <protection locked="0"/>
    </xf>
    <xf numFmtId="44" fontId="2" fillId="0" borderId="3" xfId="1" applyFont="1" applyBorder="1" applyProtection="1">
      <protection locked="0"/>
    </xf>
    <xf numFmtId="4" fontId="3" fillId="4" borderId="6" xfId="0" applyNumberFormat="1" applyFont="1" applyFill="1" applyBorder="1" applyProtection="1">
      <protection locked="0"/>
    </xf>
    <xf numFmtId="4" fontId="0" fillId="0" borderId="2" xfId="0" applyNumberFormat="1" applyFont="1" applyFill="1" applyBorder="1" applyProtection="1">
      <protection locked="0"/>
    </xf>
    <xf numFmtId="2" fontId="3" fillId="0" borderId="3" xfId="1" applyNumberFormat="1" applyFont="1" applyBorder="1" applyAlignment="1" applyProtection="1">
      <alignment horizontal="center"/>
      <protection locked="0"/>
    </xf>
    <xf numFmtId="0" fontId="0" fillId="0" borderId="0" xfId="0" applyFont="1" applyProtection="1">
      <protection locked="0"/>
    </xf>
    <xf numFmtId="4" fontId="3" fillId="5" borderId="6" xfId="0" applyNumberFormat="1" applyFont="1" applyFill="1" applyBorder="1" applyProtection="1">
      <protection locked="0"/>
    </xf>
    <xf numFmtId="44" fontId="4" fillId="0" borderId="3" xfId="1" applyFont="1" applyBorder="1" applyProtection="1">
      <protection locked="0"/>
    </xf>
    <xf numFmtId="0" fontId="5" fillId="7" borderId="6" xfId="0" applyFont="1" applyFill="1" applyBorder="1" applyAlignment="1">
      <alignment horizontal="right"/>
    </xf>
    <xf numFmtId="0" fontId="5" fillId="7" borderId="2" xfId="0" applyFont="1" applyFill="1" applyBorder="1" applyAlignment="1">
      <alignment horizontal="right"/>
    </xf>
    <xf numFmtId="0" fontId="5" fillId="7" borderId="9" xfId="0" applyFont="1" applyFill="1" applyBorder="1" applyAlignment="1">
      <alignment horizontal="right"/>
    </xf>
    <xf numFmtId="0" fontId="5" fillId="7" borderId="0" xfId="0" applyFont="1" applyFill="1" applyBorder="1" applyAlignment="1">
      <alignment horizontal="right"/>
    </xf>
    <xf numFmtId="0" fontId="3" fillId="2" borderId="1" xfId="0" applyFont="1" applyFill="1" applyBorder="1" applyAlignment="1" applyProtection="1">
      <alignment horizontal="center"/>
      <protection locked="0"/>
    </xf>
    <xf numFmtId="44" fontId="6" fillId="2" borderId="4" xfId="1" applyFont="1" applyFill="1" applyBorder="1" applyAlignment="1" applyProtection="1">
      <alignment horizontal="right"/>
      <protection locked="0"/>
    </xf>
    <xf numFmtId="44" fontId="6" fillId="3" borderId="4" xfId="1" applyFont="1" applyFill="1" applyBorder="1" applyAlignment="1" applyProtection="1">
      <alignment horizontal="right"/>
      <protection locked="0"/>
    </xf>
    <xf numFmtId="44" fontId="6" fillId="4" borderId="4" xfId="1" applyFont="1" applyFill="1" applyBorder="1" applyAlignment="1" applyProtection="1">
      <alignment horizontal="right"/>
      <protection locked="0"/>
    </xf>
    <xf numFmtId="44" fontId="3" fillId="5" borderId="4" xfId="1" applyFont="1" applyFill="1" applyBorder="1" applyAlignment="1" applyProtection="1">
      <alignment horizontal="right"/>
      <protection locked="0"/>
    </xf>
    <xf numFmtId="44" fontId="3" fillId="6" borderId="4" xfId="0" applyNumberFormat="1" applyFont="1" applyFill="1" applyBorder="1" applyAlignment="1" applyProtection="1">
      <alignment horizontal="right"/>
      <protection locked="0"/>
    </xf>
    <xf numFmtId="44" fontId="5" fillId="7" borderId="11" xfId="0" applyNumberFormat="1" applyFont="1" applyFill="1" applyBorder="1" applyAlignment="1">
      <alignment horizontal="right"/>
    </xf>
    <xf numFmtId="44" fontId="2" fillId="0" borderId="2" xfId="1" applyFont="1" applyBorder="1" applyProtection="1">
      <protection locked="0"/>
    </xf>
    <xf numFmtId="44" fontId="6" fillId="3" borderId="6" xfId="1" applyFont="1" applyFill="1" applyBorder="1" applyProtection="1">
      <protection locked="0"/>
    </xf>
    <xf numFmtId="44" fontId="4" fillId="0" borderId="2" xfId="1" applyFont="1" applyBorder="1" applyProtection="1">
      <protection locked="0"/>
    </xf>
    <xf numFmtId="9" fontId="5" fillId="7" borderId="0" xfId="2" applyFont="1" applyFill="1" applyBorder="1" applyAlignment="1">
      <alignment horizontal="right"/>
    </xf>
    <xf numFmtId="10" fontId="5" fillId="7" borderId="0" xfId="2" applyNumberFormat="1" applyFont="1" applyFill="1" applyBorder="1" applyAlignment="1">
      <alignment horizontal="right"/>
    </xf>
    <xf numFmtId="10" fontId="5" fillId="7" borderId="12" xfId="2" applyNumberFormat="1" applyFont="1" applyFill="1" applyBorder="1" applyAlignment="1">
      <alignment horizontal="right"/>
    </xf>
    <xf numFmtId="44" fontId="6" fillId="2" borderId="5" xfId="1" applyFont="1" applyFill="1" applyBorder="1" applyAlignment="1" applyProtection="1">
      <alignment horizontal="right"/>
      <protection locked="0"/>
    </xf>
    <xf numFmtId="44" fontId="6" fillId="3" borderId="1" xfId="1" applyFont="1" applyFill="1" applyBorder="1" applyProtection="1">
      <protection locked="0"/>
    </xf>
    <xf numFmtId="44" fontId="6" fillId="3" borderId="5" xfId="1" applyFont="1" applyFill="1" applyBorder="1" applyAlignment="1" applyProtection="1">
      <alignment horizontal="right"/>
      <protection locked="0"/>
    </xf>
    <xf numFmtId="4" fontId="3" fillId="4" borderId="1" xfId="0" applyNumberFormat="1" applyFont="1" applyFill="1" applyBorder="1" applyProtection="1">
      <protection locked="0"/>
    </xf>
    <xf numFmtId="4" fontId="3" fillId="5" borderId="1" xfId="0" applyNumberFormat="1" applyFont="1" applyFill="1" applyBorder="1" applyProtection="1">
      <protection locked="0"/>
    </xf>
    <xf numFmtId="44" fontId="3" fillId="5" borderId="5" xfId="1" applyFont="1" applyFill="1" applyBorder="1" applyAlignment="1" applyProtection="1">
      <alignment horizontal="right"/>
      <protection locked="0"/>
    </xf>
    <xf numFmtId="44" fontId="3" fillId="6" borderId="5" xfId="0" applyNumberFormat="1" applyFont="1" applyFill="1" applyBorder="1" applyAlignment="1" applyProtection="1">
      <alignment horizontal="right"/>
      <protection locked="0"/>
    </xf>
    <xf numFmtId="44" fontId="5" fillId="7" borderId="7" xfId="0" applyNumberFormat="1" applyFont="1" applyFill="1" applyBorder="1" applyAlignment="1">
      <alignment horizontal="right"/>
    </xf>
    <xf numFmtId="0" fontId="5" fillId="7" borderId="8" xfId="0" applyFont="1" applyFill="1" applyBorder="1" applyAlignment="1">
      <alignment horizontal="right"/>
    </xf>
    <xf numFmtId="10" fontId="5" fillId="7" borderId="8" xfId="2" applyNumberFormat="1" applyFont="1" applyFill="1" applyBorder="1" applyAlignment="1">
      <alignment horizontal="right"/>
    </xf>
    <xf numFmtId="10" fontId="5" fillId="7" borderId="10" xfId="2" applyNumberFormat="1" applyFont="1" applyFill="1" applyBorder="1" applyAlignment="1">
      <alignment horizontal="right"/>
    </xf>
    <xf numFmtId="0" fontId="3" fillId="2" borderId="4" xfId="0" applyFont="1" applyFill="1" applyBorder="1" applyAlignment="1" applyProtection="1">
      <alignment horizontal="right" indent="2"/>
      <protection locked="0"/>
    </xf>
    <xf numFmtId="0" fontId="3" fillId="3" borderId="4" xfId="0" applyFont="1" applyFill="1" applyBorder="1" applyAlignment="1" applyProtection="1">
      <alignment horizontal="right" indent="2"/>
      <protection locked="0"/>
    </xf>
    <xf numFmtId="0" fontId="3" fillId="4" borderId="4" xfId="0" applyFont="1" applyFill="1" applyBorder="1" applyAlignment="1" applyProtection="1">
      <alignment horizontal="right" indent="2"/>
      <protection locked="0"/>
    </xf>
    <xf numFmtId="0" fontId="3" fillId="5" borderId="4" xfId="0" applyFont="1" applyFill="1" applyBorder="1" applyAlignment="1" applyProtection="1">
      <alignment horizontal="right" indent="2"/>
      <protection locked="0"/>
    </xf>
    <xf numFmtId="0" fontId="3" fillId="6" borderId="4" xfId="0" applyFont="1" applyFill="1" applyBorder="1" applyAlignment="1" applyProtection="1">
      <alignment horizontal="right" indent="2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41"/>
  <sheetViews>
    <sheetView tabSelected="1" zoomScale="85" zoomScaleNormal="85" workbookViewId="0">
      <selection activeCell="K14" sqref="K14"/>
    </sheetView>
  </sheetViews>
  <sheetFormatPr defaultRowHeight="14.4" x14ac:dyDescent="0.3"/>
  <cols>
    <col min="1" max="1" width="17.109375" style="1" customWidth="1"/>
    <col min="2" max="2" width="32.77734375" style="1" customWidth="1"/>
    <col min="3" max="8" width="22.77734375" style="1" customWidth="1"/>
    <col min="9" max="16384" width="8.88671875" style="1"/>
  </cols>
  <sheetData>
    <row r="1" spans="2:8" ht="20.399999999999999" customHeight="1" thickBot="1" x14ac:dyDescent="0.35"/>
    <row r="2" spans="2:8" ht="15" customHeight="1" x14ac:dyDescent="0.3">
      <c r="B2" s="2" t="s">
        <v>0</v>
      </c>
      <c r="C2" s="18" t="s">
        <v>28</v>
      </c>
      <c r="D2" s="18" t="s">
        <v>29</v>
      </c>
      <c r="E2" s="18" t="s">
        <v>30</v>
      </c>
      <c r="F2" s="18" t="s">
        <v>31</v>
      </c>
      <c r="G2" s="18" t="s">
        <v>32</v>
      </c>
      <c r="H2" s="18"/>
    </row>
    <row r="3" spans="2:8" ht="15" customHeight="1" x14ac:dyDescent="0.3">
      <c r="B3" s="3" t="s">
        <v>1</v>
      </c>
      <c r="C3" s="4">
        <v>-150000</v>
      </c>
      <c r="D3" s="4">
        <v>-150000</v>
      </c>
      <c r="E3" s="4">
        <v>-150000</v>
      </c>
      <c r="F3" s="4">
        <v>-150000</v>
      </c>
      <c r="G3" s="4">
        <v>-150000</v>
      </c>
      <c r="H3" s="4">
        <v>0</v>
      </c>
    </row>
    <row r="4" spans="2:8" ht="15" customHeight="1" x14ac:dyDescent="0.3">
      <c r="B4" s="3" t="s">
        <v>2</v>
      </c>
      <c r="C4" s="4">
        <v>0</v>
      </c>
      <c r="D4" s="4">
        <v>-400</v>
      </c>
      <c r="E4" s="4">
        <v>-400</v>
      </c>
      <c r="F4" s="4">
        <v>-400</v>
      </c>
      <c r="G4" s="4">
        <v>-400</v>
      </c>
      <c r="H4" s="4">
        <v>0</v>
      </c>
    </row>
    <row r="5" spans="2:8" ht="15" customHeight="1" x14ac:dyDescent="0.3">
      <c r="B5" s="3" t="s">
        <v>3</v>
      </c>
      <c r="C5" s="4">
        <v>0</v>
      </c>
      <c r="D5" s="25">
        <v>0</v>
      </c>
      <c r="E5" s="4">
        <v>0</v>
      </c>
      <c r="F5" s="25">
        <v>-450</v>
      </c>
      <c r="G5" s="4">
        <v>-450</v>
      </c>
      <c r="H5" s="4">
        <v>0</v>
      </c>
    </row>
    <row r="6" spans="2:8" ht="15" customHeight="1" x14ac:dyDescent="0.3">
      <c r="B6" s="3" t="s">
        <v>4</v>
      </c>
      <c r="C6" s="4">
        <v>0</v>
      </c>
      <c r="D6" s="25">
        <v>0</v>
      </c>
      <c r="E6" s="4">
        <v>0</v>
      </c>
      <c r="F6" s="25">
        <v>-400</v>
      </c>
      <c r="G6" s="4">
        <v>-2000</v>
      </c>
      <c r="H6" s="4">
        <v>0</v>
      </c>
    </row>
    <row r="7" spans="2:8" ht="15" customHeight="1" x14ac:dyDescent="0.3">
      <c r="B7" s="3" t="s">
        <v>5</v>
      </c>
      <c r="C7" s="4">
        <v>0</v>
      </c>
      <c r="D7" s="25">
        <v>0</v>
      </c>
      <c r="E7" s="4">
        <v>-2250</v>
      </c>
      <c r="F7" s="4">
        <v>-2250</v>
      </c>
      <c r="G7" s="4">
        <v>-2250</v>
      </c>
      <c r="H7" s="4">
        <v>0</v>
      </c>
    </row>
    <row r="8" spans="2:8" ht="15" customHeight="1" x14ac:dyDescent="0.3">
      <c r="B8" s="3" t="s">
        <v>6</v>
      </c>
      <c r="C8" s="4">
        <v>0</v>
      </c>
      <c r="D8" s="4">
        <v>-1500</v>
      </c>
      <c r="E8" s="4">
        <v>-1500</v>
      </c>
      <c r="F8" s="4">
        <v>-1500</v>
      </c>
      <c r="G8" s="4">
        <v>-1500</v>
      </c>
      <c r="H8" s="4">
        <v>0</v>
      </c>
    </row>
    <row r="9" spans="2:8" ht="15" customHeight="1" thickBot="1" x14ac:dyDescent="0.35">
      <c r="B9" s="3" t="s">
        <v>7</v>
      </c>
      <c r="C9" s="4">
        <v>0</v>
      </c>
      <c r="D9" s="25">
        <v>0</v>
      </c>
      <c r="E9" s="4">
        <v>0</v>
      </c>
      <c r="F9" s="25">
        <v>0</v>
      </c>
      <c r="G9" s="4">
        <v>0</v>
      </c>
      <c r="H9" s="4">
        <v>0</v>
      </c>
    </row>
    <row r="10" spans="2:8" ht="15" customHeight="1" thickBot="1" x14ac:dyDescent="0.35">
      <c r="B10" s="42" t="s">
        <v>8</v>
      </c>
      <c r="C10" s="19">
        <f>SUM(C3:C9)</f>
        <v>-150000</v>
      </c>
      <c r="D10" s="19">
        <f t="shared" ref="D10:H10" si="0">SUM(D3:D9)</f>
        <v>-151900</v>
      </c>
      <c r="E10" s="19">
        <f>SUM(E3:E9)</f>
        <v>-154150</v>
      </c>
      <c r="F10" s="19">
        <f t="shared" si="0"/>
        <v>-155000</v>
      </c>
      <c r="G10" s="19">
        <f>SUM(G3:G9)</f>
        <v>-156600</v>
      </c>
      <c r="H10" s="31">
        <f t="shared" si="0"/>
        <v>0</v>
      </c>
    </row>
    <row r="11" spans="2:8" ht="10.050000000000001" customHeight="1" thickBot="1" x14ac:dyDescent="0.35">
      <c r="B11" s="5"/>
      <c r="C11" s="5"/>
      <c r="D11" s="5"/>
      <c r="E11" s="5"/>
      <c r="F11" s="5"/>
      <c r="G11" s="5"/>
      <c r="H11" s="5"/>
    </row>
    <row r="12" spans="2:8" ht="15" customHeight="1" x14ac:dyDescent="0.3">
      <c r="B12" s="6" t="s">
        <v>9</v>
      </c>
      <c r="C12" s="26"/>
      <c r="D12" s="26"/>
      <c r="E12" s="26"/>
      <c r="F12" s="26"/>
      <c r="G12" s="26"/>
      <c r="H12" s="32"/>
    </row>
    <row r="13" spans="2:8" ht="15" customHeight="1" x14ac:dyDescent="0.3">
      <c r="B13" s="3" t="s">
        <v>33</v>
      </c>
      <c r="C13" s="25">
        <v>0</v>
      </c>
      <c r="D13" s="25">
        <v>-3000</v>
      </c>
      <c r="E13" s="25">
        <v>-15000</v>
      </c>
      <c r="F13" s="25">
        <v>-40000</v>
      </c>
      <c r="G13" s="25">
        <v>-300000</v>
      </c>
      <c r="H13" s="7">
        <v>0</v>
      </c>
    </row>
    <row r="14" spans="2:8" ht="15" customHeight="1" thickBot="1" x14ac:dyDescent="0.35">
      <c r="B14" s="3" t="s">
        <v>34</v>
      </c>
      <c r="C14" s="25">
        <v>0</v>
      </c>
      <c r="D14" s="25">
        <v>-1000</v>
      </c>
      <c r="E14" s="25">
        <v>-5000</v>
      </c>
      <c r="F14" s="25">
        <v>-10000</v>
      </c>
      <c r="G14" s="25">
        <v>0</v>
      </c>
      <c r="H14" s="7">
        <v>0</v>
      </c>
    </row>
    <row r="15" spans="2:8" ht="15" customHeight="1" thickBot="1" x14ac:dyDescent="0.35">
      <c r="B15" s="43" t="s">
        <v>8</v>
      </c>
      <c r="C15" s="20">
        <f>SUM(C13:C14)</f>
        <v>0</v>
      </c>
      <c r="D15" s="20">
        <f t="shared" ref="D15:H15" si="1">SUM(D13:D14)</f>
        <v>-4000</v>
      </c>
      <c r="E15" s="20">
        <f>SUM(E13:E14)</f>
        <v>-20000</v>
      </c>
      <c r="F15" s="20">
        <f t="shared" si="1"/>
        <v>-50000</v>
      </c>
      <c r="G15" s="20">
        <f>SUM(G13:G14)</f>
        <v>-300000</v>
      </c>
      <c r="H15" s="33">
        <f t="shared" si="1"/>
        <v>0</v>
      </c>
    </row>
    <row r="16" spans="2:8" ht="10.050000000000001" customHeight="1" thickBot="1" x14ac:dyDescent="0.35">
      <c r="B16" s="5"/>
      <c r="C16" s="5"/>
      <c r="D16" s="5"/>
      <c r="E16" s="5"/>
      <c r="F16" s="5"/>
      <c r="G16" s="5"/>
      <c r="H16" s="5"/>
    </row>
    <row r="17" spans="2:8" ht="15" customHeight="1" x14ac:dyDescent="0.3">
      <c r="B17" s="8" t="s">
        <v>10</v>
      </c>
      <c r="C17" s="8"/>
      <c r="D17" s="8"/>
      <c r="E17" s="8"/>
      <c r="F17" s="8"/>
      <c r="G17" s="8"/>
      <c r="H17" s="34"/>
    </row>
    <row r="18" spans="2:8" ht="15" customHeight="1" x14ac:dyDescent="0.3">
      <c r="B18" s="9" t="s">
        <v>11</v>
      </c>
      <c r="C18" s="10">
        <v>0</v>
      </c>
      <c r="D18" s="10">
        <v>1</v>
      </c>
      <c r="E18" s="10">
        <v>3</v>
      </c>
      <c r="F18" s="10">
        <v>5</v>
      </c>
      <c r="G18" s="10">
        <v>12</v>
      </c>
      <c r="H18" s="10">
        <v>0</v>
      </c>
    </row>
    <row r="19" spans="2:8" ht="15" customHeight="1" x14ac:dyDescent="0.3">
      <c r="B19" s="9" t="s">
        <v>12</v>
      </c>
      <c r="C19" s="7">
        <v>0</v>
      </c>
      <c r="D19" s="7">
        <v>0</v>
      </c>
      <c r="E19" s="7">
        <v>-150</v>
      </c>
      <c r="F19" s="7">
        <v>-150</v>
      </c>
      <c r="G19" s="7">
        <v>-150</v>
      </c>
      <c r="H19" s="7">
        <v>0</v>
      </c>
    </row>
    <row r="20" spans="2:8" ht="15" customHeight="1" x14ac:dyDescent="0.3">
      <c r="B20" s="9" t="s">
        <v>13</v>
      </c>
      <c r="C20" s="7">
        <v>0</v>
      </c>
      <c r="D20" s="7">
        <v>-100</v>
      </c>
      <c r="E20" s="7">
        <v>-100</v>
      </c>
      <c r="F20" s="7">
        <v>-100</v>
      </c>
      <c r="G20" s="7">
        <v>-100</v>
      </c>
      <c r="H20" s="7">
        <v>0</v>
      </c>
    </row>
    <row r="21" spans="2:8" ht="15" customHeight="1" x14ac:dyDescent="0.3">
      <c r="B21" s="9" t="s">
        <v>14</v>
      </c>
      <c r="C21" s="7">
        <v>0</v>
      </c>
      <c r="D21" s="7">
        <v>-50</v>
      </c>
      <c r="E21" s="7">
        <v>-50</v>
      </c>
      <c r="F21" s="7">
        <v>-50</v>
      </c>
      <c r="G21" s="7">
        <v>-50</v>
      </c>
      <c r="H21" s="7">
        <v>0</v>
      </c>
    </row>
    <row r="22" spans="2:8" ht="15" customHeight="1" x14ac:dyDescent="0.3">
      <c r="B22" s="9" t="s">
        <v>15</v>
      </c>
      <c r="C22" s="7">
        <v>0</v>
      </c>
      <c r="D22" s="7">
        <v>-100</v>
      </c>
      <c r="E22" s="7">
        <v>-100</v>
      </c>
      <c r="F22" s="7">
        <v>-100</v>
      </c>
      <c r="G22" s="7">
        <v>-100</v>
      </c>
      <c r="H22" s="7">
        <v>0</v>
      </c>
    </row>
    <row r="23" spans="2:8" ht="15" customHeight="1" x14ac:dyDescent="0.3">
      <c r="B23" s="9" t="s">
        <v>16</v>
      </c>
      <c r="C23" s="7">
        <v>0</v>
      </c>
      <c r="D23" s="7">
        <v>-50</v>
      </c>
      <c r="E23" s="7">
        <v>-50</v>
      </c>
      <c r="F23" s="7">
        <v>-50</v>
      </c>
      <c r="G23" s="7">
        <v>-50</v>
      </c>
      <c r="H23" s="7">
        <v>0</v>
      </c>
    </row>
    <row r="24" spans="2:8" ht="15" customHeight="1" thickBot="1" x14ac:dyDescent="0.35">
      <c r="B24" s="3" t="s">
        <v>17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</row>
    <row r="25" spans="2:8" ht="15" customHeight="1" thickBot="1" x14ac:dyDescent="0.35">
      <c r="B25" s="44" t="s">
        <v>8</v>
      </c>
      <c r="C25" s="21">
        <f>C18*SUM(C19:C24)</f>
        <v>0</v>
      </c>
      <c r="D25" s="21">
        <f>SUM(D19:D24)</f>
        <v>-300</v>
      </c>
      <c r="E25" s="21">
        <f>SUM(E19:E24)*E18</f>
        <v>-1350</v>
      </c>
      <c r="F25" s="21">
        <f t="shared" ref="F25:H25" si="2">SUM(F19:F24)*F18</f>
        <v>-2250</v>
      </c>
      <c r="G25" s="21">
        <f t="shared" si="2"/>
        <v>-5400</v>
      </c>
      <c r="H25" s="21">
        <f t="shared" si="2"/>
        <v>0</v>
      </c>
    </row>
    <row r="26" spans="2:8" ht="10.050000000000001" customHeight="1" thickBot="1" x14ac:dyDescent="0.35">
      <c r="B26" s="11"/>
      <c r="C26" s="11"/>
      <c r="D26" s="11"/>
      <c r="E26" s="11"/>
      <c r="F26" s="11"/>
      <c r="G26" s="11"/>
      <c r="H26" s="11"/>
    </row>
    <row r="27" spans="2:8" ht="15" customHeight="1" x14ac:dyDescent="0.3">
      <c r="B27" s="12" t="s">
        <v>18</v>
      </c>
      <c r="C27" s="12"/>
      <c r="D27" s="12"/>
      <c r="E27" s="12"/>
      <c r="F27" s="12"/>
      <c r="G27" s="12"/>
      <c r="H27" s="35"/>
    </row>
    <row r="28" spans="2:8" ht="15" customHeight="1" x14ac:dyDescent="0.3">
      <c r="B28" s="3" t="s">
        <v>19</v>
      </c>
      <c r="C28" s="13">
        <v>158000</v>
      </c>
      <c r="D28" s="27">
        <v>170000</v>
      </c>
      <c r="E28" s="13">
        <v>200000</v>
      </c>
      <c r="F28" s="27">
        <v>280000</v>
      </c>
      <c r="G28" s="13">
        <v>580000</v>
      </c>
      <c r="H28" s="13">
        <v>0</v>
      </c>
    </row>
    <row r="29" spans="2:8" ht="15" customHeight="1" x14ac:dyDescent="0.3">
      <c r="B29" s="3" t="s">
        <v>20</v>
      </c>
      <c r="C29" s="7">
        <v>0</v>
      </c>
      <c r="D29" s="7">
        <v>0</v>
      </c>
      <c r="E29" s="7">
        <f>-E28*0.06</f>
        <v>-12000</v>
      </c>
      <c r="F29" s="7">
        <f>-F28*0.06</f>
        <v>-16800</v>
      </c>
      <c r="G29" s="7">
        <f>-G28*0.06</f>
        <v>-34800</v>
      </c>
      <c r="H29" s="7">
        <v>0</v>
      </c>
    </row>
    <row r="30" spans="2:8" ht="15" customHeight="1" x14ac:dyDescent="0.3">
      <c r="B30" s="3" t="s">
        <v>21</v>
      </c>
      <c r="C30" s="7">
        <v>0</v>
      </c>
      <c r="D30" s="7">
        <v>-3000</v>
      </c>
      <c r="E30" s="7">
        <v>-3000</v>
      </c>
      <c r="F30" s="7">
        <v>-3000</v>
      </c>
      <c r="G30" s="7">
        <v>-3000</v>
      </c>
      <c r="H30" s="7">
        <v>0</v>
      </c>
    </row>
    <row r="31" spans="2:8" ht="15" customHeight="1" x14ac:dyDescent="0.3">
      <c r="B31" s="3" t="s">
        <v>22</v>
      </c>
      <c r="C31" s="7">
        <v>0</v>
      </c>
      <c r="D31" s="25">
        <v>0</v>
      </c>
      <c r="E31" s="7">
        <v>0</v>
      </c>
      <c r="F31" s="7">
        <v>-6000</v>
      </c>
      <c r="G31" s="7">
        <v>-6000</v>
      </c>
      <c r="H31" s="7">
        <v>0</v>
      </c>
    </row>
    <row r="32" spans="2:8" ht="15" customHeight="1" thickBot="1" x14ac:dyDescent="0.35">
      <c r="B32" s="3" t="s">
        <v>23</v>
      </c>
      <c r="C32" s="7">
        <v>0</v>
      </c>
      <c r="D32" s="7">
        <v>0</v>
      </c>
      <c r="E32" s="7">
        <v>0</v>
      </c>
      <c r="F32" s="7">
        <v>-300</v>
      </c>
      <c r="G32" s="7">
        <v>0</v>
      </c>
      <c r="H32" s="7">
        <v>0</v>
      </c>
    </row>
    <row r="33" spans="2:8" ht="15" customHeight="1" thickBot="1" x14ac:dyDescent="0.35">
      <c r="B33" s="45" t="s">
        <v>8</v>
      </c>
      <c r="C33" s="22">
        <f>SUM(C28:C32)</f>
        <v>158000</v>
      </c>
      <c r="D33" s="22">
        <f t="shared" ref="D33:H33" si="3">SUM(D28:D32)</f>
        <v>167000</v>
      </c>
      <c r="E33" s="22">
        <f>SUM(E28:E32)</f>
        <v>185000</v>
      </c>
      <c r="F33" s="22">
        <f t="shared" si="3"/>
        <v>253900</v>
      </c>
      <c r="G33" s="22">
        <f>SUM(G28:G32)</f>
        <v>536200</v>
      </c>
      <c r="H33" s="36">
        <f t="shared" si="3"/>
        <v>0</v>
      </c>
    </row>
    <row r="34" spans="2:8" ht="10.050000000000001" customHeight="1" thickBot="1" x14ac:dyDescent="0.35">
      <c r="B34" s="11"/>
      <c r="C34" s="11"/>
      <c r="D34" s="11"/>
      <c r="E34" s="11"/>
      <c r="F34" s="11"/>
      <c r="G34" s="11"/>
      <c r="H34" s="11"/>
    </row>
    <row r="35" spans="2:8" ht="15" customHeight="1" thickBot="1" x14ac:dyDescent="0.35">
      <c r="B35" s="46" t="s">
        <v>24</v>
      </c>
      <c r="C35" s="23">
        <f>SUM(C10+C15+C25+C33)</f>
        <v>8000</v>
      </c>
      <c r="D35" s="23">
        <f t="shared" ref="D35:H35" si="4">SUM(D10+D15+D25+D33)</f>
        <v>10800</v>
      </c>
      <c r="E35" s="23">
        <f>SUM(E10+E15+E25+E33)</f>
        <v>9500</v>
      </c>
      <c r="F35" s="23">
        <f t="shared" si="4"/>
        <v>46650</v>
      </c>
      <c r="G35" s="23">
        <f>SUM(G10+G15+G25+G33)</f>
        <v>74200</v>
      </c>
      <c r="H35" s="37">
        <f t="shared" si="4"/>
        <v>0</v>
      </c>
    </row>
    <row r="36" spans="2:8" ht="15" thickBot="1" x14ac:dyDescent="0.35"/>
    <row r="37" spans="2:8" ht="15.6" x14ac:dyDescent="0.3">
      <c r="B37" s="14" t="s">
        <v>25</v>
      </c>
      <c r="C37" s="24">
        <f>-SUM(C10+C15+C25)</f>
        <v>150000</v>
      </c>
      <c r="D37" s="24">
        <f t="shared" ref="D37:H37" si="5">-SUM(D10+D15+D25)</f>
        <v>156200</v>
      </c>
      <c r="E37" s="24">
        <f>-SUM(E10+E15+E25)</f>
        <v>175500</v>
      </c>
      <c r="F37" s="24">
        <f t="shared" si="5"/>
        <v>207250</v>
      </c>
      <c r="G37" s="24">
        <f>-SUM(G10+G15+G25)</f>
        <v>462000</v>
      </c>
      <c r="H37" s="38">
        <f t="shared" si="5"/>
        <v>0</v>
      </c>
    </row>
    <row r="38" spans="2:8" ht="15.6" x14ac:dyDescent="0.3">
      <c r="B38" s="15"/>
      <c r="C38" s="17"/>
      <c r="D38" s="17"/>
      <c r="E38" s="17"/>
      <c r="F38" s="17"/>
      <c r="G38" s="17"/>
      <c r="H38" s="39"/>
    </row>
    <row r="39" spans="2:8" ht="15.6" x14ac:dyDescent="0.3">
      <c r="B39" s="15" t="s">
        <v>26</v>
      </c>
      <c r="C39" s="29">
        <f>C35/C37</f>
        <v>5.3333333333333337E-2</v>
      </c>
      <c r="D39" s="29">
        <f t="shared" ref="D39:H39" si="6">D35/D37</f>
        <v>6.9142125480153652E-2</v>
      </c>
      <c r="E39" s="29">
        <f>E35/E37</f>
        <v>5.4131054131054131E-2</v>
      </c>
      <c r="F39" s="29">
        <f t="shared" si="6"/>
        <v>0.22509047044632086</v>
      </c>
      <c r="G39" s="29">
        <f>G35/G37</f>
        <v>0.16060606060606061</v>
      </c>
      <c r="H39" s="40" t="e">
        <f t="shared" si="6"/>
        <v>#DIV/0!</v>
      </c>
    </row>
    <row r="40" spans="2:8" ht="15.6" x14ac:dyDescent="0.3">
      <c r="B40" s="15"/>
      <c r="C40" s="28"/>
      <c r="D40" s="17"/>
      <c r="E40" s="28"/>
      <c r="F40" s="17"/>
      <c r="G40" s="28"/>
      <c r="H40" s="39"/>
    </row>
    <row r="41" spans="2:8" ht="16.2" thickBot="1" x14ac:dyDescent="0.35">
      <c r="B41" s="16" t="s">
        <v>27</v>
      </c>
      <c r="C41" s="30" t="e">
        <f>C39/(C18/12)</f>
        <v>#DIV/0!</v>
      </c>
      <c r="D41" s="30">
        <f t="shared" ref="D41:H41" si="7">D39/(D18/12)</f>
        <v>0.82970550576184388</v>
      </c>
      <c r="E41" s="30">
        <f>E39/(E18/12)</f>
        <v>0.21652421652421652</v>
      </c>
      <c r="F41" s="30">
        <f t="shared" si="7"/>
        <v>0.54021712907117003</v>
      </c>
      <c r="G41" s="30">
        <f>G39/(G18/12)</f>
        <v>0.16060606060606061</v>
      </c>
      <c r="H41" s="41" t="e">
        <f t="shared" si="7"/>
        <v>#DIV/0!</v>
      </c>
    </row>
  </sheetData>
  <pageMargins left="0.7" right="0.7" top="0.75" bottom="0.75" header="0.3" footer="0.3"/>
  <pageSetup scale="73" orientation="landscape" horizontalDpi="300" verticalDpi="300" r:id="rId1"/>
  <ignoredErrors>
    <ignoredError sqref="E1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Exit Strategy Comparison</vt:lpstr>
      <vt:lpstr>'Exit Strategy Comparison'!Print_Area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Scott</dc:creator>
  <cp:lastModifiedBy>Jason Scott</cp:lastModifiedBy>
  <cp:lastPrinted>2017-11-30T14:29:40Z</cp:lastPrinted>
  <dcterms:created xsi:type="dcterms:W3CDTF">2017-10-24T16:18:51Z</dcterms:created>
  <dcterms:modified xsi:type="dcterms:W3CDTF">2017-11-30T15:14:39Z</dcterms:modified>
</cp:coreProperties>
</file>