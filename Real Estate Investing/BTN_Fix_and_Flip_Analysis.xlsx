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jscot\Dropbox\IMPORTANT INFO\Other Stuff You May Want or Need\Publishing\By The Numbers\Bonus Material\"/>
    </mc:Choice>
  </mc:AlternateContent>
  <xr:revisionPtr revIDLastSave="0" documentId="13_ncr:1_{05B5709F-877B-47BB-AF3E-30129BD8758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ix &amp; Flip Analysis" sheetId="1" r:id="rId1"/>
    <sheet name="Budget Estim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30" i="1"/>
  <c r="C34" i="1"/>
  <c r="C7" i="1"/>
  <c r="D192" i="2" l="1"/>
  <c r="C192" i="2"/>
  <c r="C25" i="1"/>
  <c r="C10" i="1"/>
  <c r="C15" i="1" l="1"/>
  <c r="C36" i="1" s="1"/>
  <c r="C38" i="1" l="1"/>
  <c r="C40" i="1" s="1"/>
  <c r="C42" i="1" s="1"/>
</calcChain>
</file>

<file path=xl/sharedStrings.xml><?xml version="1.0" encoding="utf-8"?>
<sst xmlns="http://schemas.openxmlformats.org/spreadsheetml/2006/main" count="248" uniqueCount="242">
  <si>
    <t>PURCHASE COSTS:</t>
  </si>
  <si>
    <t>NOTES:</t>
  </si>
  <si>
    <t>Purchase Price</t>
  </si>
  <si>
    <t>This is the purchase price of the property</t>
  </si>
  <si>
    <t>Inspection(s)</t>
  </si>
  <si>
    <t>Additional inspection costs</t>
  </si>
  <si>
    <t>Appraisal(s)</t>
  </si>
  <si>
    <t>Additional appraisal costs</t>
  </si>
  <si>
    <t>Survey(s)</t>
  </si>
  <si>
    <t>Additional survey costs</t>
  </si>
  <si>
    <t>Lender Fees/Costs</t>
  </si>
  <si>
    <t>Lender fees and upfront costs</t>
  </si>
  <si>
    <t>Closing Costs</t>
  </si>
  <si>
    <t>Closing/Title costs</t>
  </si>
  <si>
    <t>Other</t>
  </si>
  <si>
    <t>Any other costs incurred up until the purchase closing</t>
  </si>
  <si>
    <t>Total:</t>
  </si>
  <si>
    <t>REHAB COSTS:</t>
  </si>
  <si>
    <t>Labor (from page 2)</t>
  </si>
  <si>
    <t>Estimated Labor costs (See Budget Estimate for example template)</t>
  </si>
  <si>
    <t>Materials (from page 2)</t>
  </si>
  <si>
    <t>Estimated Materials costs (See Budget Estimate for example template)</t>
  </si>
  <si>
    <t>HOLDING COSTS:</t>
  </si>
  <si>
    <t>Estimated Hold Time (Months)</t>
  </si>
  <si>
    <t>Estimated number of months between purchase and sale of property</t>
  </si>
  <si>
    <t>Mortgage Interest (Per Month)</t>
  </si>
  <si>
    <t>Monthly interest payment expense</t>
  </si>
  <si>
    <t>Property Taxes (Per Month)</t>
  </si>
  <si>
    <t>Monthly property tax expense</t>
  </si>
  <si>
    <t>Insurance (Per Month)</t>
  </si>
  <si>
    <t>Monthly insurance expense</t>
  </si>
  <si>
    <t>Utilities (Per Month)</t>
  </si>
  <si>
    <t>Estimated monthly utilities expense</t>
  </si>
  <si>
    <t>Lawn Care (Per Month)</t>
  </si>
  <si>
    <t>Estimated monthly lawn care expense</t>
  </si>
  <si>
    <t>Other (Per Month)</t>
  </si>
  <si>
    <t>Estimated other monthly expenses</t>
  </si>
  <si>
    <t>SELLING COSTS</t>
  </si>
  <si>
    <t>Selling Price</t>
  </si>
  <si>
    <t>ARV/Estimated Sales Price of the property</t>
  </si>
  <si>
    <t>Seller's Closing Costs</t>
  </si>
  <si>
    <t>Estimated closing costs paid by seller</t>
  </si>
  <si>
    <t>Buyer Concessions</t>
  </si>
  <si>
    <t>Estimated concessions paid to buyer (closing costs, etc)</t>
  </si>
  <si>
    <t>Other Costs/Concessions</t>
  </si>
  <si>
    <t>Additional buyer concessions (home warranty, termite letter, etc)</t>
  </si>
  <si>
    <t xml:space="preserve">PROFIT:   </t>
  </si>
  <si>
    <t>Total Investment (Cash Purchase):</t>
  </si>
  <si>
    <t>Return on Investment (ROI):</t>
  </si>
  <si>
    <t>Annualized ROI:</t>
  </si>
  <si>
    <t>COMPONENT/TASK</t>
  </si>
  <si>
    <t xml:space="preserve">LABOR </t>
  </si>
  <si>
    <t>MATERIALS</t>
  </si>
  <si>
    <t>ROOF</t>
  </si>
  <si>
    <t>Roof Maintenance</t>
  </si>
  <si>
    <t>Replace Sheathing</t>
  </si>
  <si>
    <t>Roof Replacement</t>
  </si>
  <si>
    <t>Asphalt Shingles</t>
  </si>
  <si>
    <t>Wood Shingles</t>
  </si>
  <si>
    <t>Steel Roof</t>
  </si>
  <si>
    <t>Aluminum Roof</t>
  </si>
  <si>
    <t>Slate Roof</t>
  </si>
  <si>
    <t>GUTTERS/SOFFIT/FASCIA</t>
  </si>
  <si>
    <t>Clean Gutters</t>
  </si>
  <si>
    <t>Replace Gutters</t>
  </si>
  <si>
    <t>Aluminum Gutter</t>
  </si>
  <si>
    <t>Steel Gutter</t>
  </si>
  <si>
    <t>Vinyl/Plastic Gutter</t>
  </si>
  <si>
    <t>Copper/Zinc Gutter</t>
  </si>
  <si>
    <t>Replace Soffit/Fascia</t>
  </si>
  <si>
    <t>Wood Soffit/Fascia</t>
  </si>
  <si>
    <t>Vinyl Soffit/Fascia</t>
  </si>
  <si>
    <t>Aluminum Soffit/Fascia</t>
  </si>
  <si>
    <t>SIDING</t>
  </si>
  <si>
    <t>Pressure Wash</t>
  </si>
  <si>
    <t>Remove Old Siding</t>
  </si>
  <si>
    <t>Replace House Wrap</t>
  </si>
  <si>
    <t>Patch Siding</t>
  </si>
  <si>
    <t>Replace Siding</t>
  </si>
  <si>
    <t>Wood Siding</t>
  </si>
  <si>
    <t>Aluminum Siding</t>
  </si>
  <si>
    <t>Vinyl Siding</t>
  </si>
  <si>
    <t>Cement Board Siding</t>
  </si>
  <si>
    <t>Masonry</t>
  </si>
  <si>
    <t>EXTERIOR PAINTING</t>
  </si>
  <si>
    <t>Paint Exterior</t>
  </si>
  <si>
    <t>Paint Exterior Trim</t>
  </si>
  <si>
    <t>DECKS/PORCHES</t>
  </si>
  <si>
    <t>Build Deck</t>
  </si>
  <si>
    <t>CONCRETE</t>
  </si>
  <si>
    <t>Large Concrete Jobs</t>
  </si>
  <si>
    <t>Small Concrete Jobs</t>
  </si>
  <si>
    <t>GARAGE</t>
  </si>
  <si>
    <t>Replace Garage Door</t>
  </si>
  <si>
    <t>Replace Door Opener</t>
  </si>
  <si>
    <t>LANDSCAPING</t>
  </si>
  <si>
    <t>Lawn Maintenance</t>
  </si>
  <si>
    <t>Trim Bushes</t>
  </si>
  <si>
    <t>Trim Tree</t>
  </si>
  <si>
    <t>Remove Tree</t>
  </si>
  <si>
    <t>Install Sod</t>
  </si>
  <si>
    <t>Build Retaining Wall</t>
  </si>
  <si>
    <t>Concrete Block Wall</t>
  </si>
  <si>
    <t>Wood Wall</t>
  </si>
  <si>
    <t>Stone Wall</t>
  </si>
  <si>
    <t>Poured Concrete Wall</t>
  </si>
  <si>
    <t>Heavy Equipment Work</t>
  </si>
  <si>
    <t>SEPTIC SYSTEM</t>
  </si>
  <si>
    <t>Inspect/Clean Septic Tank</t>
  </si>
  <si>
    <t>Major Septic Repairs</t>
  </si>
  <si>
    <t>FOUNDATION</t>
  </si>
  <si>
    <t>Engineer Consultation</t>
  </si>
  <si>
    <t>Fix Foundation Wall</t>
  </si>
  <si>
    <t>Other Foundation Repair</t>
  </si>
  <si>
    <t>DEMO</t>
  </si>
  <si>
    <t>Roll-Off Dumpster</t>
  </si>
  <si>
    <t>Demo Labor</t>
  </si>
  <si>
    <t>Small Jobs</t>
  </si>
  <si>
    <t>Full Demo</t>
  </si>
  <si>
    <t>PLUMBING</t>
  </si>
  <si>
    <t>Service Call</t>
  </si>
  <si>
    <t>Replace Main Line</t>
  </si>
  <si>
    <t>Replace PRV</t>
  </si>
  <si>
    <t>Replace Water Heater</t>
  </si>
  <si>
    <t>Replace All Supply Lines</t>
  </si>
  <si>
    <t>Install/Replace Tub</t>
  </si>
  <si>
    <t>Build Tile Shower</t>
  </si>
  <si>
    <t>Install/Replace Sink</t>
  </si>
  <si>
    <t>Kitchen Sink</t>
  </si>
  <si>
    <t>Bathroom Sink</t>
  </si>
  <si>
    <t>Install/Replace Faucet</t>
  </si>
  <si>
    <t>Kitchen Faucet</t>
  </si>
  <si>
    <t>Bathroom Faucet</t>
  </si>
  <si>
    <t>Install Tub/Shower Hardware</t>
  </si>
  <si>
    <t>Trim Kit Only</t>
  </si>
  <si>
    <t>Trim Kit + Mixer</t>
  </si>
  <si>
    <t>Install/Replace Toilet</t>
  </si>
  <si>
    <t>Replace Washer Box</t>
  </si>
  <si>
    <t>Install Dishwasher</t>
  </si>
  <si>
    <t>Fix Leak</t>
  </si>
  <si>
    <t>Above Slab</t>
  </si>
  <si>
    <t>Below Slab</t>
  </si>
  <si>
    <t>Unclog Drain</t>
  </si>
  <si>
    <t>ELECTRICAL</t>
  </si>
  <si>
    <t>Upgrade Service</t>
  </si>
  <si>
    <t>Replace Circuit Panel</t>
  </si>
  <si>
    <t>Rewire House</t>
  </si>
  <si>
    <t>Add New Circuit</t>
  </si>
  <si>
    <t>Add New Outlet/Box</t>
  </si>
  <si>
    <t>Upgrade Outlet to GFCI</t>
  </si>
  <si>
    <t>Add New Switch</t>
  </si>
  <si>
    <t>Install Can Light</t>
  </si>
  <si>
    <t>Install Light</t>
  </si>
  <si>
    <t>Install Fan</t>
  </si>
  <si>
    <t>Replace Outlet/Switch</t>
  </si>
  <si>
    <t>HVAC</t>
  </si>
  <si>
    <t>HVAC Maintenance</t>
  </si>
  <si>
    <t>Install Forced-Air System</t>
  </si>
  <si>
    <t>Replace Furnace</t>
  </si>
  <si>
    <t>Replace Compressor &amp; Coil</t>
  </si>
  <si>
    <t>Compressor Only</t>
  </si>
  <si>
    <t>Compressor + Coil</t>
  </si>
  <si>
    <t>Replace Heat Pump</t>
  </si>
  <si>
    <t>FRAMING</t>
  </si>
  <si>
    <t>Frame Walls</t>
  </si>
  <si>
    <t>Frame House</t>
  </si>
  <si>
    <t>INSULATION</t>
  </si>
  <si>
    <t>Install Insulation</t>
  </si>
  <si>
    <t>Loose-Fill Insulation</t>
  </si>
  <si>
    <t>Batt / Blanket Insulation</t>
  </si>
  <si>
    <t>Rigid Board Insulation</t>
  </si>
  <si>
    <t>Spray Foam Insulation</t>
  </si>
  <si>
    <t>SHEETROCK</t>
  </si>
  <si>
    <t>Prep Sheetrock for Paint</t>
  </si>
  <si>
    <t>Patch Sheetrock</t>
  </si>
  <si>
    <t>Install New Sheetrock</t>
  </si>
  <si>
    <t>Wall Board</t>
  </si>
  <si>
    <t>Non-Wall Board</t>
  </si>
  <si>
    <t>Apply Texture</t>
  </si>
  <si>
    <t>CARPENTRY</t>
  </si>
  <si>
    <t>Basic Carpentry</t>
  </si>
  <si>
    <t>Install Door</t>
  </si>
  <si>
    <t>Exterior Door</t>
  </si>
  <si>
    <t>Interior Door</t>
  </si>
  <si>
    <t>French Door</t>
  </si>
  <si>
    <t>Sliding Glass Door</t>
  </si>
  <si>
    <t>Replace Window</t>
  </si>
  <si>
    <t>Finish Trim</t>
  </si>
  <si>
    <t>INTERIOR PAINTING</t>
  </si>
  <si>
    <t>Paint Interior</t>
  </si>
  <si>
    <t>Repaint</t>
  </si>
  <si>
    <t>Paint New Sheetrock</t>
  </si>
  <si>
    <t>CABINETS/COUNTERTOPS</t>
  </si>
  <si>
    <t>Install Kitchen Cabinets</t>
  </si>
  <si>
    <t>Install Bathroom Vanities</t>
  </si>
  <si>
    <t>Install Countertops</t>
  </si>
  <si>
    <t>Laminate Countertops</t>
  </si>
  <si>
    <t>Granite Countertops</t>
  </si>
  <si>
    <t>FLOORING</t>
  </si>
  <si>
    <t>Replace Subfloor</t>
  </si>
  <si>
    <t>Install Vinyl/Linoleum</t>
  </si>
  <si>
    <t>Rolled Vinyl</t>
  </si>
  <si>
    <t>Vinyl Squares</t>
  </si>
  <si>
    <t>Install Carpet/Pad</t>
  </si>
  <si>
    <t>Carpet Material</t>
  </si>
  <si>
    <t>Pad Material</t>
  </si>
  <si>
    <t>Clean Carpet</t>
  </si>
  <si>
    <t>Install Laminate Wood</t>
  </si>
  <si>
    <t>Install Engineered Wood</t>
  </si>
  <si>
    <t>Install Solid Wood (Pre-Finish)</t>
  </si>
  <si>
    <t>Install Solid Wood (Site-Finish)</t>
  </si>
  <si>
    <t>Refinish Hardwood</t>
  </si>
  <si>
    <t>Install Tile</t>
  </si>
  <si>
    <t>PERMITS</t>
  </si>
  <si>
    <t>Permit Drawings</t>
  </si>
  <si>
    <t>Permits</t>
  </si>
  <si>
    <t>Inspections</t>
  </si>
  <si>
    <t>General Contractor Fees</t>
  </si>
  <si>
    <t>MOLD</t>
  </si>
  <si>
    <t>Air Quality Test (AQT)</t>
  </si>
  <si>
    <t>Mold Remediation</t>
  </si>
  <si>
    <t>TERMITES</t>
  </si>
  <si>
    <t>Termite Inspection</t>
  </si>
  <si>
    <t>Termite Treatment</t>
  </si>
  <si>
    <t>Baiting Treatment</t>
  </si>
  <si>
    <t>Chemical Treatment</t>
  </si>
  <si>
    <t>Fumigation</t>
  </si>
  <si>
    <t>Termite Letter</t>
  </si>
  <si>
    <t>MISCELLANEOUS</t>
  </si>
  <si>
    <t>Miscellaneous Tasks</t>
  </si>
  <si>
    <t>Appliances</t>
  </si>
  <si>
    <t>Refrigerator</t>
  </si>
  <si>
    <t>Range</t>
  </si>
  <si>
    <t>Dishwasher</t>
  </si>
  <si>
    <t>Microwave</t>
  </si>
  <si>
    <t>Washer/Dryer Set</t>
  </si>
  <si>
    <t>House Cleaning</t>
  </si>
  <si>
    <t>TOTAL:</t>
  </si>
  <si>
    <t>Commission To Agents (%)</t>
  </si>
  <si>
    <t>Total Commission to Agents</t>
  </si>
  <si>
    <t>Agent commission percentage (typically 3-7% of Sales Price)</t>
  </si>
  <si>
    <t>Total agent commission (automatically calculated)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</si>
</sst>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3">
    <xf numFmtId="0" fontId="0" fillId="0" borderId="0" xfId="0"/>
    <xf numFmtId="44" fontId="0" fillId="0" borderId="0" xfId="1" applyFont="1"/>
    <xf numFmtId="0" fontId="3" fillId="2" borderId="1" xfId="0" applyFont="1" applyFill="1" applyBorder="1" applyProtection="1">
      <protection locked="0"/>
    </xf>
    <xf numFmtId="44" fontId="0" fillId="0" borderId="1" xfId="1" applyFont="1" applyBorder="1" applyProtection="1">
      <protection locked="0"/>
    </xf>
    <xf numFmtId="0" fontId="3" fillId="3" borderId="0" xfId="0" applyFont="1" applyFill="1"/>
    <xf numFmtId="0" fontId="0" fillId="0" borderId="2" xfId="0" applyBorder="1" applyProtection="1">
      <protection locked="0"/>
    </xf>
    <xf numFmtId="44" fontId="2" fillId="0" borderId="3" xfId="1" applyFont="1" applyBorder="1" applyProtection="1"/>
    <xf numFmtId="0" fontId="0" fillId="3" borderId="0" xfId="0" applyFill="1"/>
    <xf numFmtId="0" fontId="3" fillId="2" borderId="4" xfId="0" applyFont="1" applyFill="1" applyBorder="1" applyAlignment="1" applyProtection="1">
      <alignment horizontal="right"/>
      <protection locked="0"/>
    </xf>
    <xf numFmtId="44" fontId="3" fillId="2" borderId="5" xfId="1" applyFont="1" applyFill="1" applyBorder="1" applyProtection="1"/>
    <xf numFmtId="0" fontId="3" fillId="0" borderId="0" xfId="0" applyFont="1" applyProtection="1">
      <protection locked="0"/>
    </xf>
    <xf numFmtId="44" fontId="0" fillId="0" borderId="0" xfId="1" applyFont="1" applyProtection="1">
      <protection locked="0"/>
    </xf>
    <xf numFmtId="4" fontId="3" fillId="4" borderId="6" xfId="0" applyNumberFormat="1" applyFont="1" applyFill="1" applyBorder="1" applyProtection="1">
      <protection locked="0"/>
    </xf>
    <xf numFmtId="44" fontId="2" fillId="0" borderId="3" xfId="1" applyFont="1" applyBorder="1" applyProtection="1">
      <protection locked="0"/>
    </xf>
    <xf numFmtId="0" fontId="3" fillId="4" borderId="4" xfId="0" applyFont="1" applyFill="1" applyBorder="1" applyAlignment="1" applyProtection="1">
      <alignment horizontal="right"/>
      <protection locked="0"/>
    </xf>
    <xf numFmtId="44" fontId="3" fillId="4" borderId="5" xfId="1" applyFont="1" applyFill="1" applyBorder="1" applyProtection="1">
      <protection locked="0"/>
    </xf>
    <xf numFmtId="4" fontId="3" fillId="5" borderId="6" xfId="0" applyNumberFormat="1" applyFont="1" applyFill="1" applyBorder="1" applyProtection="1">
      <protection locked="0"/>
    </xf>
    <xf numFmtId="4" fontId="0" fillId="0" borderId="2" xfId="0" applyNumberFormat="1" applyBorder="1" applyProtection="1">
      <protection locked="0"/>
    </xf>
    <xf numFmtId="2" fontId="3" fillId="0" borderId="3" xfId="1" applyNumberFormat="1" applyFont="1" applyBorder="1" applyAlignment="1" applyProtection="1">
      <alignment horizontal="center"/>
      <protection locked="0"/>
    </xf>
    <xf numFmtId="0" fontId="3" fillId="5" borderId="4" xfId="0" applyFont="1" applyFill="1" applyBorder="1" applyAlignment="1" applyProtection="1">
      <alignment horizontal="right"/>
      <protection locked="0"/>
    </xf>
    <xf numFmtId="44" fontId="3" fillId="5" borderId="5" xfId="1" applyFont="1" applyFill="1" applyBorder="1" applyProtection="1">
      <protection locked="0"/>
    </xf>
    <xf numFmtId="0" fontId="0" fillId="0" borderId="0" xfId="0" applyProtection="1">
      <protection locked="0"/>
    </xf>
    <xf numFmtId="4" fontId="3" fillId="6" borderId="6" xfId="0" applyNumberFormat="1" applyFont="1" applyFill="1" applyBorder="1" applyProtection="1">
      <protection locked="0"/>
    </xf>
    <xf numFmtId="44" fontId="4" fillId="0" borderId="3" xfId="1" applyFont="1" applyBorder="1" applyProtection="1">
      <protection locked="0"/>
    </xf>
    <xf numFmtId="0" fontId="3" fillId="6" borderId="4" xfId="0" applyFont="1" applyFill="1" applyBorder="1" applyAlignment="1" applyProtection="1">
      <alignment horizontal="right"/>
      <protection locked="0"/>
    </xf>
    <xf numFmtId="44" fontId="3" fillId="6" borderId="5" xfId="1" applyFont="1" applyFill="1" applyBorder="1" applyProtection="1">
      <protection locked="0"/>
    </xf>
    <xf numFmtId="0" fontId="3" fillId="7" borderId="4" xfId="0" applyFont="1" applyFill="1" applyBorder="1" applyAlignment="1" applyProtection="1">
      <alignment horizontal="right"/>
      <protection locked="0"/>
    </xf>
    <xf numFmtId="44" fontId="5" fillId="7" borderId="5" xfId="1" applyFont="1" applyFill="1" applyBorder="1" applyProtection="1">
      <protection locked="0"/>
    </xf>
    <xf numFmtId="0" fontId="6" fillId="8" borderId="6" xfId="0" applyFont="1" applyFill="1" applyBorder="1" applyAlignment="1">
      <alignment horizontal="right"/>
    </xf>
    <xf numFmtId="44" fontId="7" fillId="8" borderId="7" xfId="1" applyFont="1" applyFill="1" applyBorder="1"/>
    <xf numFmtId="0" fontId="6" fillId="8" borderId="2" xfId="0" applyFont="1" applyFill="1" applyBorder="1" applyAlignment="1">
      <alignment horizontal="right"/>
    </xf>
    <xf numFmtId="44" fontId="8" fillId="8" borderId="8" xfId="1" applyFont="1" applyFill="1" applyBorder="1"/>
    <xf numFmtId="10" fontId="7" fillId="8" borderId="8" xfId="2" applyNumberFormat="1" applyFont="1" applyFill="1" applyBorder="1"/>
    <xf numFmtId="10" fontId="8" fillId="8" borderId="8" xfId="2" applyNumberFormat="1" applyFont="1" applyFill="1" applyBorder="1"/>
    <xf numFmtId="0" fontId="6" fillId="8" borderId="9" xfId="0" applyFont="1" applyFill="1" applyBorder="1" applyAlignment="1">
      <alignment horizontal="right"/>
    </xf>
    <xf numFmtId="10" fontId="7" fillId="8" borderId="10" xfId="2" applyNumberFormat="1" applyFont="1" applyFill="1" applyBorder="1"/>
    <xf numFmtId="0" fontId="9" fillId="9" borderId="4" xfId="0" applyFont="1" applyFill="1" applyBorder="1" applyAlignment="1">
      <alignment horizontal="center"/>
    </xf>
    <xf numFmtId="44" fontId="9" fillId="9" borderId="11" xfId="1" applyFont="1" applyFill="1" applyBorder="1" applyAlignment="1">
      <alignment horizontal="center"/>
    </xf>
    <xf numFmtId="44" fontId="9" fillId="9" borderId="12" xfId="1" applyFont="1" applyFill="1" applyBorder="1" applyAlignment="1">
      <alignment horizontal="center"/>
    </xf>
    <xf numFmtId="0" fontId="9" fillId="10" borderId="2" xfId="0" applyFont="1" applyFill="1" applyBorder="1" applyAlignment="1">
      <alignment vertical="center"/>
    </xf>
    <xf numFmtId="44" fontId="10" fillId="10" borderId="0" xfId="1" applyFont="1" applyFill="1" applyBorder="1" applyAlignment="1">
      <alignment horizontal="center" vertical="center"/>
    </xf>
    <xf numFmtId="44" fontId="10" fillId="10" borderId="8" xfId="1" applyFont="1" applyFill="1" applyBorder="1" applyAlignment="1">
      <alignment horizontal="center" vertical="center"/>
    </xf>
    <xf numFmtId="0" fontId="10" fillId="11" borderId="13" xfId="0" applyFont="1" applyFill="1" applyBorder="1"/>
    <xf numFmtId="44" fontId="10" fillId="11" borderId="14" xfId="1" applyFont="1" applyFill="1" applyBorder="1" applyAlignment="1">
      <alignment horizontal="center"/>
    </xf>
    <xf numFmtId="44" fontId="10" fillId="11" borderId="15" xfId="1" applyFont="1" applyFill="1" applyBorder="1" applyAlignment="1">
      <alignment horizontal="center"/>
    </xf>
    <xf numFmtId="44" fontId="10" fillId="11" borderId="16" xfId="1" applyFont="1" applyFill="1" applyBorder="1" applyAlignment="1">
      <alignment horizontal="center"/>
    </xf>
    <xf numFmtId="44" fontId="10" fillId="11" borderId="17" xfId="1" applyFont="1" applyFill="1" applyBorder="1" applyAlignment="1">
      <alignment horizontal="center"/>
    </xf>
    <xf numFmtId="0" fontId="10" fillId="11" borderId="18" xfId="0" applyFont="1" applyFill="1" applyBorder="1" applyAlignment="1">
      <alignment horizontal="left" indent="2"/>
    </xf>
    <xf numFmtId="0" fontId="10" fillId="11" borderId="19" xfId="0" applyFont="1" applyFill="1" applyBorder="1" applyAlignment="1">
      <alignment horizontal="left" indent="2"/>
    </xf>
    <xf numFmtId="0" fontId="10" fillId="11" borderId="20" xfId="0" applyFont="1" applyFill="1" applyBorder="1" applyAlignment="1">
      <alignment horizontal="left" indent="2"/>
    </xf>
    <xf numFmtId="44" fontId="10" fillId="11" borderId="21" xfId="1" applyFont="1" applyFill="1" applyBorder="1" applyAlignment="1">
      <alignment horizontal="center"/>
    </xf>
    <xf numFmtId="44" fontId="10" fillId="11" borderId="22" xfId="1" applyFont="1" applyFill="1" applyBorder="1" applyAlignment="1">
      <alignment horizontal="center"/>
    </xf>
    <xf numFmtId="0" fontId="9" fillId="10" borderId="6" xfId="0" applyFont="1" applyFill="1" applyBorder="1" applyAlignment="1">
      <alignment vertical="center"/>
    </xf>
    <xf numFmtId="44" fontId="10" fillId="10" borderId="23" xfId="1" applyFont="1" applyFill="1" applyBorder="1" applyAlignment="1">
      <alignment horizontal="center" vertical="center"/>
    </xf>
    <xf numFmtId="44" fontId="10" fillId="10" borderId="7" xfId="1" applyFont="1" applyFill="1" applyBorder="1" applyAlignment="1">
      <alignment horizontal="center" vertical="center"/>
    </xf>
    <xf numFmtId="0" fontId="10" fillId="11" borderId="19" xfId="0" applyFont="1" applyFill="1" applyBorder="1" applyAlignment="1">
      <alignment horizontal="left"/>
    </xf>
    <xf numFmtId="0" fontId="9" fillId="10" borderId="6" xfId="0" applyFont="1" applyFill="1" applyBorder="1" applyAlignment="1">
      <alignment horizontal="left" vertical="center"/>
    </xf>
    <xf numFmtId="0" fontId="10" fillId="11" borderId="19" xfId="0" applyFont="1" applyFill="1" applyBorder="1"/>
    <xf numFmtId="0" fontId="10" fillId="11" borderId="20" xfId="0" applyFont="1" applyFill="1" applyBorder="1"/>
    <xf numFmtId="0" fontId="9" fillId="10" borderId="2" xfId="0" applyFont="1" applyFill="1" applyBorder="1" applyAlignment="1">
      <alignment horizontal="left" vertical="center"/>
    </xf>
    <xf numFmtId="0" fontId="10" fillId="11" borderId="13" xfId="0" applyFont="1" applyFill="1" applyBorder="1" applyAlignment="1">
      <alignment horizontal="left" indent="2"/>
    </xf>
    <xf numFmtId="0" fontId="10" fillId="11" borderId="13" xfId="0" applyFont="1" applyFill="1" applyBorder="1" applyAlignment="1">
      <alignment horizontal="left"/>
    </xf>
    <xf numFmtId="0" fontId="10" fillId="11" borderId="20" xfId="0" applyFont="1" applyFill="1" applyBorder="1" applyAlignment="1">
      <alignment horizontal="left" indent="5"/>
    </xf>
    <xf numFmtId="0" fontId="10" fillId="11" borderId="24" xfId="0" applyFont="1" applyFill="1" applyBorder="1"/>
    <xf numFmtId="44" fontId="10" fillId="11" borderId="25" xfId="1" applyFont="1" applyFill="1" applyBorder="1" applyAlignment="1">
      <alignment horizontal="center"/>
    </xf>
    <xf numFmtId="44" fontId="10" fillId="11" borderId="26" xfId="1" applyFont="1" applyFill="1" applyBorder="1" applyAlignment="1">
      <alignment horizontal="center"/>
    </xf>
    <xf numFmtId="0" fontId="10" fillId="11" borderId="24" xfId="0" applyFont="1" applyFill="1" applyBorder="1" applyAlignment="1">
      <alignment horizontal="left"/>
    </xf>
    <xf numFmtId="0" fontId="10" fillId="0" borderId="0" xfId="0" applyFont="1"/>
    <xf numFmtId="44" fontId="10" fillId="0" borderId="0" xfId="1" applyFont="1" applyAlignment="1">
      <alignment horizontal="center"/>
    </xf>
    <xf numFmtId="0" fontId="11" fillId="12" borderId="4" xfId="0" applyFont="1" applyFill="1" applyBorder="1" applyAlignment="1">
      <alignment horizontal="right"/>
    </xf>
    <xf numFmtId="44" fontId="11" fillId="12" borderId="11" xfId="1" applyFont="1" applyFill="1" applyBorder="1" applyAlignment="1">
      <alignment horizontal="center"/>
    </xf>
    <xf numFmtId="44" fontId="11" fillId="12" borderId="12" xfId="1" applyFont="1" applyFill="1" applyBorder="1" applyAlignment="1">
      <alignment horizontal="center"/>
    </xf>
    <xf numFmtId="9" fontId="2" fillId="0" borderId="3" xfId="2" applyFont="1" applyBorder="1" applyProtection="1"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42"/>
  <sheetViews>
    <sheetView tabSelected="1" zoomScale="115" zoomScaleNormal="115" workbookViewId="0">
      <selection activeCell="C30" sqref="C30"/>
    </sheetView>
  </sheetViews>
  <sheetFormatPr defaultColWidth="8.90625" defaultRowHeight="14.5" x14ac:dyDescent="0.35"/>
  <cols>
    <col min="1" max="1" width="9.1796875" customWidth="1"/>
    <col min="2" max="2" width="32.81640625" customWidth="1"/>
    <col min="3" max="3" width="18.90625" style="1" customWidth="1"/>
    <col min="4" max="4" width="1.36328125" customWidth="1"/>
    <col min="5" max="5" width="73.08984375" customWidth="1"/>
  </cols>
  <sheetData>
    <row r="1" spans="2:5" ht="10.75" customHeight="1" thickBot="1" x14ac:dyDescent="0.4"/>
    <row r="2" spans="2:5" ht="15" customHeight="1" x14ac:dyDescent="0.35">
      <c r="B2" s="2" t="s">
        <v>0</v>
      </c>
      <c r="C2" s="3"/>
      <c r="E2" s="4" t="s">
        <v>1</v>
      </c>
    </row>
    <row r="3" spans="2:5" ht="15" customHeight="1" x14ac:dyDescent="0.35">
      <c r="B3" s="5" t="s">
        <v>2</v>
      </c>
      <c r="C3" s="6">
        <v>0</v>
      </c>
      <c r="E3" s="7" t="s">
        <v>3</v>
      </c>
    </row>
    <row r="4" spans="2:5" ht="15" customHeight="1" x14ac:dyDescent="0.35">
      <c r="B4" s="5" t="s">
        <v>4</v>
      </c>
      <c r="C4" s="6">
        <v>0</v>
      </c>
      <c r="E4" s="7" t="s">
        <v>5</v>
      </c>
    </row>
    <row r="5" spans="2:5" ht="15" customHeight="1" x14ac:dyDescent="0.35">
      <c r="B5" s="5" t="s">
        <v>6</v>
      </c>
      <c r="C5" s="6">
        <v>0</v>
      </c>
      <c r="E5" s="7" t="s">
        <v>7</v>
      </c>
    </row>
    <row r="6" spans="2:5" ht="15" customHeight="1" x14ac:dyDescent="0.35">
      <c r="B6" s="5" t="s">
        <v>8</v>
      </c>
      <c r="C6" s="6">
        <v>0</v>
      </c>
      <c r="E6" s="7" t="s">
        <v>9</v>
      </c>
    </row>
    <row r="7" spans="2:5" ht="15" customHeight="1" x14ac:dyDescent="0.35">
      <c r="B7" s="5" t="s">
        <v>10</v>
      </c>
      <c r="C7" s="6">
        <f>C3*0.02</f>
        <v>0</v>
      </c>
      <c r="E7" s="7" t="s">
        <v>11</v>
      </c>
    </row>
    <row r="8" spans="2:5" ht="15" customHeight="1" x14ac:dyDescent="0.35">
      <c r="B8" s="5" t="s">
        <v>12</v>
      </c>
      <c r="C8" s="6">
        <v>0</v>
      </c>
      <c r="E8" s="7" t="s">
        <v>13</v>
      </c>
    </row>
    <row r="9" spans="2:5" ht="15" customHeight="1" thickBot="1" x14ac:dyDescent="0.4">
      <c r="B9" s="5" t="s">
        <v>14</v>
      </c>
      <c r="C9" s="6">
        <v>0</v>
      </c>
      <c r="E9" s="7" t="s">
        <v>15</v>
      </c>
    </row>
    <row r="10" spans="2:5" ht="15" customHeight="1" thickBot="1" x14ac:dyDescent="0.4">
      <c r="B10" s="8" t="s">
        <v>16</v>
      </c>
      <c r="C10" s="9">
        <f>SUM(C3:C9)</f>
        <v>0</v>
      </c>
      <c r="E10" s="7"/>
    </row>
    <row r="11" spans="2:5" ht="15" customHeight="1" thickBot="1" x14ac:dyDescent="0.4">
      <c r="B11" s="10"/>
      <c r="C11" s="11"/>
      <c r="E11" s="7"/>
    </row>
    <row r="12" spans="2:5" ht="15" customHeight="1" x14ac:dyDescent="0.35">
      <c r="B12" s="12" t="s">
        <v>17</v>
      </c>
      <c r="C12" s="3"/>
      <c r="E12" s="7"/>
    </row>
    <row r="13" spans="2:5" ht="15" customHeight="1" x14ac:dyDescent="0.35">
      <c r="B13" s="5" t="s">
        <v>18</v>
      </c>
      <c r="C13" s="13">
        <f>-'Budget Estimate'!C192</f>
        <v>-40000</v>
      </c>
      <c r="E13" s="7" t="s">
        <v>19</v>
      </c>
    </row>
    <row r="14" spans="2:5" ht="15" customHeight="1" thickBot="1" x14ac:dyDescent="0.4">
      <c r="B14" s="5" t="s">
        <v>20</v>
      </c>
      <c r="C14" s="13">
        <f>-'Budget Estimate'!D192</f>
        <v>-10000</v>
      </c>
      <c r="E14" s="7" t="s">
        <v>21</v>
      </c>
    </row>
    <row r="15" spans="2:5" ht="15" customHeight="1" thickBot="1" x14ac:dyDescent="0.4">
      <c r="B15" s="14" t="s">
        <v>16</v>
      </c>
      <c r="C15" s="15">
        <f>SUM(C13:C14)</f>
        <v>-50000</v>
      </c>
      <c r="E15" s="7"/>
    </row>
    <row r="16" spans="2:5" ht="15" customHeight="1" thickBot="1" x14ac:dyDescent="0.4">
      <c r="B16" s="10"/>
      <c r="C16" s="11"/>
      <c r="E16" s="7"/>
    </row>
    <row r="17" spans="2:5" ht="15" customHeight="1" x14ac:dyDescent="0.35">
      <c r="B17" s="16" t="s">
        <v>22</v>
      </c>
      <c r="C17" s="3"/>
      <c r="E17" s="7"/>
    </row>
    <row r="18" spans="2:5" ht="15" customHeight="1" x14ac:dyDescent="0.35">
      <c r="B18" s="17" t="s">
        <v>23</v>
      </c>
      <c r="C18" s="18">
        <v>6</v>
      </c>
      <c r="E18" s="7" t="s">
        <v>24</v>
      </c>
    </row>
    <row r="19" spans="2:5" ht="15" customHeight="1" x14ac:dyDescent="0.35">
      <c r="B19" s="17" t="s">
        <v>25</v>
      </c>
      <c r="C19" s="13">
        <v>0</v>
      </c>
      <c r="E19" s="7" t="s">
        <v>26</v>
      </c>
    </row>
    <row r="20" spans="2:5" ht="15" customHeight="1" x14ac:dyDescent="0.35">
      <c r="B20" s="17" t="s">
        <v>27</v>
      </c>
      <c r="C20" s="13">
        <v>0</v>
      </c>
      <c r="E20" s="7" t="s">
        <v>28</v>
      </c>
    </row>
    <row r="21" spans="2:5" ht="15" customHeight="1" x14ac:dyDescent="0.35">
      <c r="B21" s="17" t="s">
        <v>29</v>
      </c>
      <c r="C21" s="13">
        <v>0</v>
      </c>
      <c r="E21" s="7" t="s">
        <v>30</v>
      </c>
    </row>
    <row r="22" spans="2:5" ht="15" customHeight="1" x14ac:dyDescent="0.35">
      <c r="B22" s="17" t="s">
        <v>31</v>
      </c>
      <c r="C22" s="13">
        <v>0</v>
      </c>
      <c r="E22" s="7" t="s">
        <v>32</v>
      </c>
    </row>
    <row r="23" spans="2:5" ht="15" customHeight="1" x14ac:dyDescent="0.35">
      <c r="B23" s="17" t="s">
        <v>33</v>
      </c>
      <c r="C23" s="13">
        <v>0</v>
      </c>
      <c r="E23" s="7" t="s">
        <v>34</v>
      </c>
    </row>
    <row r="24" spans="2:5" ht="15" customHeight="1" thickBot="1" x14ac:dyDescent="0.4">
      <c r="B24" s="5" t="s">
        <v>35</v>
      </c>
      <c r="C24" s="13">
        <v>0</v>
      </c>
      <c r="E24" s="7" t="s">
        <v>36</v>
      </c>
    </row>
    <row r="25" spans="2:5" ht="15" customHeight="1" thickBot="1" x14ac:dyDescent="0.4">
      <c r="B25" s="19" t="s">
        <v>16</v>
      </c>
      <c r="C25" s="20">
        <f>SUM(C19:C24)*C18</f>
        <v>0</v>
      </c>
      <c r="E25" s="7"/>
    </row>
    <row r="26" spans="2:5" ht="15" customHeight="1" thickBot="1" x14ac:dyDescent="0.4">
      <c r="B26" s="21"/>
      <c r="C26" s="11"/>
      <c r="E26" s="7"/>
    </row>
    <row r="27" spans="2:5" ht="15" customHeight="1" x14ac:dyDescent="0.35">
      <c r="B27" s="22" t="s">
        <v>37</v>
      </c>
      <c r="C27" s="3"/>
      <c r="E27" s="7"/>
    </row>
    <row r="28" spans="2:5" ht="15" customHeight="1" x14ac:dyDescent="0.35">
      <c r="B28" s="5" t="s">
        <v>38</v>
      </c>
      <c r="C28" s="13">
        <v>0</v>
      </c>
      <c r="E28" s="7" t="s">
        <v>39</v>
      </c>
    </row>
    <row r="29" spans="2:5" ht="15" customHeight="1" x14ac:dyDescent="0.35">
      <c r="B29" s="5" t="s">
        <v>238</v>
      </c>
      <c r="C29" s="72">
        <v>0</v>
      </c>
      <c r="E29" s="7" t="s">
        <v>240</v>
      </c>
    </row>
    <row r="30" spans="2:5" ht="15" customHeight="1" x14ac:dyDescent="0.35">
      <c r="B30" s="5" t="s">
        <v>239</v>
      </c>
      <c r="C30" s="23">
        <f>-C28*C29</f>
        <v>0</v>
      </c>
      <c r="E30" s="7" t="s">
        <v>241</v>
      </c>
    </row>
    <row r="31" spans="2:5" ht="15" customHeight="1" x14ac:dyDescent="0.35">
      <c r="B31" s="5" t="s">
        <v>40</v>
      </c>
      <c r="C31" s="13">
        <v>0</v>
      </c>
      <c r="E31" s="7" t="s">
        <v>41</v>
      </c>
    </row>
    <row r="32" spans="2:5" ht="15" customHeight="1" x14ac:dyDescent="0.35">
      <c r="B32" s="5" t="s">
        <v>42</v>
      </c>
      <c r="C32" s="13">
        <v>0</v>
      </c>
      <c r="E32" s="7" t="s">
        <v>43</v>
      </c>
    </row>
    <row r="33" spans="2:5" ht="15" customHeight="1" thickBot="1" x14ac:dyDescent="0.4">
      <c r="B33" s="5" t="s">
        <v>44</v>
      </c>
      <c r="C33" s="13">
        <v>0</v>
      </c>
      <c r="E33" s="7" t="s">
        <v>45</v>
      </c>
    </row>
    <row r="34" spans="2:5" ht="15" customHeight="1" thickBot="1" x14ac:dyDescent="0.4">
      <c r="B34" s="24" t="s">
        <v>16</v>
      </c>
      <c r="C34" s="25">
        <f>SUM(C28, C30:C33)</f>
        <v>0</v>
      </c>
    </row>
    <row r="35" spans="2:5" ht="15" customHeight="1" thickBot="1" x14ac:dyDescent="0.4">
      <c r="B35" s="21"/>
      <c r="C35" s="11"/>
    </row>
    <row r="36" spans="2:5" ht="15" customHeight="1" thickBot="1" x14ac:dyDescent="0.4">
      <c r="B36" s="26" t="s">
        <v>46</v>
      </c>
      <c r="C36" s="27">
        <f>SUM(C10,C15,C25,C34)</f>
        <v>-50000</v>
      </c>
    </row>
    <row r="37" spans="2:5" ht="15" thickBot="1" x14ac:dyDescent="0.4"/>
    <row r="38" spans="2:5" ht="15.5" x14ac:dyDescent="0.35">
      <c r="B38" s="28" t="s">
        <v>47</v>
      </c>
      <c r="C38" s="29">
        <f>-(C10+C15+C25)</f>
        <v>50000</v>
      </c>
    </row>
    <row r="39" spans="2:5" ht="15.5" x14ac:dyDescent="0.35">
      <c r="B39" s="30"/>
      <c r="C39" s="31"/>
    </row>
    <row r="40" spans="2:5" ht="15.5" x14ac:dyDescent="0.35">
      <c r="B40" s="30" t="s">
        <v>48</v>
      </c>
      <c r="C40" s="32">
        <f>C36/C38</f>
        <v>-1</v>
      </c>
    </row>
    <row r="41" spans="2:5" ht="15.5" x14ac:dyDescent="0.35">
      <c r="B41" s="30"/>
      <c r="C41" s="33"/>
    </row>
    <row r="42" spans="2:5" ht="16" thickBot="1" x14ac:dyDescent="0.4">
      <c r="B42" s="34" t="s">
        <v>49</v>
      </c>
      <c r="C42" s="35">
        <f>C40/(C18/12)</f>
        <v>-2</v>
      </c>
    </row>
  </sheetData>
  <pageMargins left="0.7" right="0.7" top="0.75" bottom="0.75" header="0.3" footer="0.3"/>
  <pageSetup orientation="portrait" horizontalDpi="300" verticalDpi="300" r:id="rId1"/>
  <ignoredErrors>
    <ignoredError sqref="C3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92"/>
  <sheetViews>
    <sheetView topLeftCell="A177" zoomScale="130" zoomScaleNormal="130" workbookViewId="0">
      <selection activeCell="C192" sqref="C192"/>
    </sheetView>
  </sheetViews>
  <sheetFormatPr defaultRowHeight="14.5" x14ac:dyDescent="0.35"/>
  <cols>
    <col min="2" max="2" width="27.36328125" customWidth="1"/>
    <col min="3" max="3" width="14.453125" style="1" customWidth="1"/>
    <col min="4" max="4" width="15.6328125" style="1" customWidth="1"/>
  </cols>
  <sheetData>
    <row r="1" spans="2:4" ht="15" thickBot="1" x14ac:dyDescent="0.4"/>
    <row r="2" spans="2:4" ht="15" thickBot="1" x14ac:dyDescent="0.4">
      <c r="B2" s="36" t="s">
        <v>50</v>
      </c>
      <c r="C2" s="37" t="s">
        <v>51</v>
      </c>
      <c r="D2" s="38" t="s">
        <v>52</v>
      </c>
    </row>
    <row r="3" spans="2:4" x14ac:dyDescent="0.35">
      <c r="B3" s="39" t="s">
        <v>53</v>
      </c>
      <c r="C3" s="40"/>
      <c r="D3" s="41"/>
    </row>
    <row r="4" spans="2:4" x14ac:dyDescent="0.35">
      <c r="B4" s="42" t="s">
        <v>54</v>
      </c>
      <c r="C4" s="43">
        <v>0</v>
      </c>
      <c r="D4" s="44">
        <v>0</v>
      </c>
    </row>
    <row r="5" spans="2:4" x14ac:dyDescent="0.35">
      <c r="B5" s="42" t="s">
        <v>55</v>
      </c>
      <c r="C5" s="43">
        <v>300</v>
      </c>
      <c r="D5" s="44">
        <v>0</v>
      </c>
    </row>
    <row r="6" spans="2:4" x14ac:dyDescent="0.35">
      <c r="B6" s="42" t="s">
        <v>56</v>
      </c>
      <c r="C6" s="45"/>
      <c r="D6" s="46"/>
    </row>
    <row r="7" spans="2:4" x14ac:dyDescent="0.35">
      <c r="B7" s="47" t="s">
        <v>57</v>
      </c>
      <c r="C7" s="45">
        <v>3500</v>
      </c>
      <c r="D7" s="44">
        <v>0</v>
      </c>
    </row>
    <row r="8" spans="2:4" x14ac:dyDescent="0.35">
      <c r="B8" s="48" t="s">
        <v>58</v>
      </c>
      <c r="C8" s="45">
        <v>0</v>
      </c>
      <c r="D8" s="44">
        <v>0</v>
      </c>
    </row>
    <row r="9" spans="2:4" x14ac:dyDescent="0.35">
      <c r="B9" s="48" t="s">
        <v>59</v>
      </c>
      <c r="C9" s="45">
        <v>0</v>
      </c>
      <c r="D9" s="44">
        <v>0</v>
      </c>
    </row>
    <row r="10" spans="2:4" x14ac:dyDescent="0.35">
      <c r="B10" s="48" t="s">
        <v>60</v>
      </c>
      <c r="C10" s="45">
        <v>0</v>
      </c>
      <c r="D10" s="44">
        <v>0</v>
      </c>
    </row>
    <row r="11" spans="2:4" ht="15" thickBot="1" x14ac:dyDescent="0.4">
      <c r="B11" s="49" t="s">
        <v>61</v>
      </c>
      <c r="C11" s="50">
        <v>0</v>
      </c>
      <c r="D11" s="51">
        <v>0</v>
      </c>
    </row>
    <row r="12" spans="2:4" x14ac:dyDescent="0.35">
      <c r="B12" s="52" t="s">
        <v>62</v>
      </c>
      <c r="C12" s="53"/>
      <c r="D12" s="54"/>
    </row>
    <row r="13" spans="2:4" x14ac:dyDescent="0.35">
      <c r="B13" s="42" t="s">
        <v>63</v>
      </c>
      <c r="C13" s="43">
        <v>0</v>
      </c>
      <c r="D13" s="44">
        <v>0</v>
      </c>
    </row>
    <row r="14" spans="2:4" x14ac:dyDescent="0.35">
      <c r="B14" s="42" t="s">
        <v>64</v>
      </c>
      <c r="C14" s="43"/>
      <c r="D14" s="44"/>
    </row>
    <row r="15" spans="2:4" x14ac:dyDescent="0.35">
      <c r="B15" s="48" t="s">
        <v>65</v>
      </c>
      <c r="C15" s="45">
        <v>900</v>
      </c>
      <c r="D15" s="44">
        <v>0</v>
      </c>
    </row>
    <row r="16" spans="2:4" x14ac:dyDescent="0.35">
      <c r="B16" s="48" t="s">
        <v>66</v>
      </c>
      <c r="C16" s="45">
        <v>0</v>
      </c>
      <c r="D16" s="44">
        <v>0</v>
      </c>
    </row>
    <row r="17" spans="2:4" x14ac:dyDescent="0.35">
      <c r="B17" s="48" t="s">
        <v>67</v>
      </c>
      <c r="C17" s="45">
        <v>0</v>
      </c>
      <c r="D17" s="44">
        <v>0</v>
      </c>
    </row>
    <row r="18" spans="2:4" x14ac:dyDescent="0.35">
      <c r="B18" s="48" t="s">
        <v>68</v>
      </c>
      <c r="C18" s="45">
        <v>0</v>
      </c>
      <c r="D18" s="44">
        <v>0</v>
      </c>
    </row>
    <row r="19" spans="2:4" x14ac:dyDescent="0.35">
      <c r="B19" s="55" t="s">
        <v>69</v>
      </c>
      <c r="C19" s="45"/>
      <c r="D19" s="46"/>
    </row>
    <row r="20" spans="2:4" x14ac:dyDescent="0.35">
      <c r="B20" s="48" t="s">
        <v>70</v>
      </c>
      <c r="C20" s="45">
        <v>0</v>
      </c>
      <c r="D20" s="44">
        <v>0</v>
      </c>
    </row>
    <row r="21" spans="2:4" x14ac:dyDescent="0.35">
      <c r="B21" s="48" t="s">
        <v>71</v>
      </c>
      <c r="C21" s="45">
        <v>0</v>
      </c>
      <c r="D21" s="44">
        <v>0</v>
      </c>
    </row>
    <row r="22" spans="2:4" ht="15" thickBot="1" x14ac:dyDescent="0.4">
      <c r="B22" s="49" t="s">
        <v>72</v>
      </c>
      <c r="C22" s="50">
        <v>0</v>
      </c>
      <c r="D22" s="51">
        <v>0</v>
      </c>
    </row>
    <row r="23" spans="2:4" x14ac:dyDescent="0.35">
      <c r="B23" s="56" t="s">
        <v>73</v>
      </c>
      <c r="C23" s="53"/>
      <c r="D23" s="54"/>
    </row>
    <row r="24" spans="2:4" x14ac:dyDescent="0.35">
      <c r="B24" s="42" t="s">
        <v>74</v>
      </c>
      <c r="C24" s="43">
        <v>250</v>
      </c>
      <c r="D24" s="44">
        <v>0</v>
      </c>
    </row>
    <row r="25" spans="2:4" x14ac:dyDescent="0.35">
      <c r="B25" s="42" t="s">
        <v>75</v>
      </c>
      <c r="C25" s="43">
        <v>0</v>
      </c>
      <c r="D25" s="44">
        <v>0</v>
      </c>
    </row>
    <row r="26" spans="2:4" x14ac:dyDescent="0.35">
      <c r="B26" s="42" t="s">
        <v>55</v>
      </c>
      <c r="C26" s="43">
        <v>0</v>
      </c>
      <c r="D26" s="44">
        <v>0</v>
      </c>
    </row>
    <row r="27" spans="2:4" x14ac:dyDescent="0.35">
      <c r="B27" s="42" t="s">
        <v>76</v>
      </c>
      <c r="C27" s="43">
        <v>0</v>
      </c>
      <c r="D27" s="44">
        <v>0</v>
      </c>
    </row>
    <row r="28" spans="2:4" x14ac:dyDescent="0.35">
      <c r="B28" s="42" t="s">
        <v>77</v>
      </c>
      <c r="C28" s="43">
        <v>0</v>
      </c>
      <c r="D28" s="44">
        <v>0</v>
      </c>
    </row>
    <row r="29" spans="2:4" x14ac:dyDescent="0.35">
      <c r="B29" s="57" t="s">
        <v>78</v>
      </c>
      <c r="C29" s="45"/>
      <c r="D29" s="44">
        <v>0</v>
      </c>
    </row>
    <row r="30" spans="2:4" x14ac:dyDescent="0.35">
      <c r="B30" s="48" t="s">
        <v>79</v>
      </c>
      <c r="C30" s="45">
        <v>0</v>
      </c>
      <c r="D30" s="44">
        <v>0</v>
      </c>
    </row>
    <row r="31" spans="2:4" x14ac:dyDescent="0.35">
      <c r="B31" s="48" t="s">
        <v>80</v>
      </c>
      <c r="C31" s="45">
        <v>0</v>
      </c>
      <c r="D31" s="44">
        <v>0</v>
      </c>
    </row>
    <row r="32" spans="2:4" x14ac:dyDescent="0.35">
      <c r="B32" s="48" t="s">
        <v>81</v>
      </c>
      <c r="C32" s="45">
        <v>0</v>
      </c>
      <c r="D32" s="44">
        <v>0</v>
      </c>
    </row>
    <row r="33" spans="2:4" x14ac:dyDescent="0.35">
      <c r="B33" s="48" t="s">
        <v>82</v>
      </c>
      <c r="C33" s="45">
        <v>0</v>
      </c>
      <c r="D33" s="44">
        <v>0</v>
      </c>
    </row>
    <row r="34" spans="2:4" ht="15" thickBot="1" x14ac:dyDescent="0.4">
      <c r="B34" s="49" t="s">
        <v>83</v>
      </c>
      <c r="C34" s="50">
        <v>0</v>
      </c>
      <c r="D34" s="44">
        <v>0</v>
      </c>
    </row>
    <row r="35" spans="2:4" x14ac:dyDescent="0.35">
      <c r="B35" s="56" t="s">
        <v>84</v>
      </c>
      <c r="C35" s="53"/>
      <c r="D35" s="54"/>
    </row>
    <row r="36" spans="2:4" x14ac:dyDescent="0.35">
      <c r="B36" s="42" t="s">
        <v>85</v>
      </c>
      <c r="C36" s="43">
        <v>2200</v>
      </c>
      <c r="D36" s="44">
        <v>0</v>
      </c>
    </row>
    <row r="37" spans="2:4" ht="15" thickBot="1" x14ac:dyDescent="0.4">
      <c r="B37" s="58" t="s">
        <v>86</v>
      </c>
      <c r="C37" s="50">
        <v>700</v>
      </c>
      <c r="D37" s="51">
        <v>0</v>
      </c>
    </row>
    <row r="38" spans="2:4" x14ac:dyDescent="0.35">
      <c r="B38" s="56" t="s">
        <v>87</v>
      </c>
      <c r="C38" s="53"/>
      <c r="D38" s="54"/>
    </row>
    <row r="39" spans="2:4" ht="15" thickBot="1" x14ac:dyDescent="0.4">
      <c r="B39" s="58" t="s">
        <v>88</v>
      </c>
      <c r="C39" s="50">
        <v>0</v>
      </c>
      <c r="D39" s="51">
        <v>0</v>
      </c>
    </row>
    <row r="40" spans="2:4" x14ac:dyDescent="0.35">
      <c r="B40" s="56" t="s">
        <v>89</v>
      </c>
      <c r="C40" s="53"/>
      <c r="D40" s="54"/>
    </row>
    <row r="41" spans="2:4" x14ac:dyDescent="0.35">
      <c r="B41" s="42" t="s">
        <v>90</v>
      </c>
      <c r="C41" s="43">
        <v>0</v>
      </c>
      <c r="D41" s="44">
        <v>0</v>
      </c>
    </row>
    <row r="42" spans="2:4" ht="15" thickBot="1" x14ac:dyDescent="0.4">
      <c r="B42" s="58" t="s">
        <v>91</v>
      </c>
      <c r="C42" s="50">
        <v>0</v>
      </c>
      <c r="D42" s="51">
        <v>0</v>
      </c>
    </row>
    <row r="43" spans="2:4" x14ac:dyDescent="0.35">
      <c r="B43" s="59" t="s">
        <v>92</v>
      </c>
      <c r="C43" s="40"/>
      <c r="D43" s="41"/>
    </row>
    <row r="44" spans="2:4" x14ac:dyDescent="0.35">
      <c r="B44" s="42" t="s">
        <v>93</v>
      </c>
      <c r="C44" s="43">
        <v>800</v>
      </c>
      <c r="D44" s="44">
        <v>0</v>
      </c>
    </row>
    <row r="45" spans="2:4" ht="15" thickBot="1" x14ac:dyDescent="0.4">
      <c r="B45" s="58" t="s">
        <v>94</v>
      </c>
      <c r="C45" s="50">
        <v>150</v>
      </c>
      <c r="D45" s="51">
        <v>0</v>
      </c>
    </row>
    <row r="46" spans="2:4" x14ac:dyDescent="0.35">
      <c r="B46" s="56" t="s">
        <v>95</v>
      </c>
      <c r="C46" s="53"/>
      <c r="D46" s="54"/>
    </row>
    <row r="47" spans="2:4" x14ac:dyDescent="0.35">
      <c r="B47" s="42" t="s">
        <v>96</v>
      </c>
      <c r="C47" s="43">
        <v>250</v>
      </c>
      <c r="D47" s="44">
        <v>0</v>
      </c>
    </row>
    <row r="48" spans="2:4" x14ac:dyDescent="0.35">
      <c r="B48" s="42" t="s">
        <v>97</v>
      </c>
      <c r="C48" s="43">
        <v>0</v>
      </c>
      <c r="D48" s="44">
        <v>0</v>
      </c>
    </row>
    <row r="49" spans="2:4" x14ac:dyDescent="0.35">
      <c r="B49" s="42" t="s">
        <v>98</v>
      </c>
      <c r="C49" s="43">
        <v>0</v>
      </c>
      <c r="D49" s="44">
        <v>0</v>
      </c>
    </row>
    <row r="50" spans="2:4" x14ac:dyDescent="0.35">
      <c r="B50" s="42" t="s">
        <v>99</v>
      </c>
      <c r="C50" s="43">
        <v>0</v>
      </c>
      <c r="D50" s="44">
        <v>0</v>
      </c>
    </row>
    <row r="51" spans="2:4" x14ac:dyDescent="0.35">
      <c r="B51" s="42" t="s">
        <v>100</v>
      </c>
      <c r="C51" s="43">
        <v>0</v>
      </c>
      <c r="D51" s="44">
        <v>0</v>
      </c>
    </row>
    <row r="52" spans="2:4" x14ac:dyDescent="0.35">
      <c r="B52" s="42" t="s">
        <v>101</v>
      </c>
      <c r="C52" s="43"/>
      <c r="D52" s="44"/>
    </row>
    <row r="53" spans="2:4" x14ac:dyDescent="0.35">
      <c r="B53" s="48" t="s">
        <v>102</v>
      </c>
      <c r="C53" s="45">
        <v>0</v>
      </c>
      <c r="D53" s="44">
        <v>0</v>
      </c>
    </row>
    <row r="54" spans="2:4" x14ac:dyDescent="0.35">
      <c r="B54" s="48" t="s">
        <v>103</v>
      </c>
      <c r="C54" s="45">
        <v>0</v>
      </c>
      <c r="D54" s="44">
        <v>0</v>
      </c>
    </row>
    <row r="55" spans="2:4" x14ac:dyDescent="0.35">
      <c r="B55" s="48" t="s">
        <v>104</v>
      </c>
      <c r="C55" s="45">
        <v>0</v>
      </c>
      <c r="D55" s="44">
        <v>0</v>
      </c>
    </row>
    <row r="56" spans="2:4" x14ac:dyDescent="0.35">
      <c r="B56" s="48" t="s">
        <v>105</v>
      </c>
      <c r="C56" s="45">
        <v>0</v>
      </c>
      <c r="D56" s="44">
        <v>0</v>
      </c>
    </row>
    <row r="57" spans="2:4" ht="15" thickBot="1" x14ac:dyDescent="0.4">
      <c r="B57" s="58" t="s">
        <v>106</v>
      </c>
      <c r="C57" s="50">
        <v>0</v>
      </c>
      <c r="D57" s="51">
        <v>0</v>
      </c>
    </row>
    <row r="58" spans="2:4" x14ac:dyDescent="0.35">
      <c r="B58" s="56" t="s">
        <v>107</v>
      </c>
      <c r="C58" s="53"/>
      <c r="D58" s="54"/>
    </row>
    <row r="59" spans="2:4" x14ac:dyDescent="0.35">
      <c r="B59" s="42" t="s">
        <v>108</v>
      </c>
      <c r="C59" s="43">
        <v>0</v>
      </c>
      <c r="D59" s="44">
        <v>0</v>
      </c>
    </row>
    <row r="60" spans="2:4" ht="15" thickBot="1" x14ac:dyDescent="0.4">
      <c r="B60" s="58" t="s">
        <v>109</v>
      </c>
      <c r="C60" s="50">
        <v>0</v>
      </c>
      <c r="D60" s="51">
        <v>0</v>
      </c>
    </row>
    <row r="61" spans="2:4" x14ac:dyDescent="0.35">
      <c r="B61" s="56" t="s">
        <v>110</v>
      </c>
      <c r="C61" s="53"/>
      <c r="D61" s="54"/>
    </row>
    <row r="62" spans="2:4" x14ac:dyDescent="0.35">
      <c r="B62" s="42" t="s">
        <v>111</v>
      </c>
      <c r="C62" s="43">
        <v>0</v>
      </c>
      <c r="D62" s="44">
        <v>0</v>
      </c>
    </row>
    <row r="63" spans="2:4" x14ac:dyDescent="0.35">
      <c r="B63" s="57" t="s">
        <v>112</v>
      </c>
      <c r="C63" s="45">
        <v>0</v>
      </c>
      <c r="D63" s="44">
        <v>0</v>
      </c>
    </row>
    <row r="64" spans="2:4" ht="15" thickBot="1" x14ac:dyDescent="0.4">
      <c r="B64" s="58" t="s">
        <v>113</v>
      </c>
      <c r="C64" s="50">
        <v>0</v>
      </c>
      <c r="D64" s="51">
        <v>0</v>
      </c>
    </row>
    <row r="65" spans="2:4" x14ac:dyDescent="0.35">
      <c r="B65" s="56" t="s">
        <v>114</v>
      </c>
      <c r="C65" s="53"/>
      <c r="D65" s="54"/>
    </row>
    <row r="66" spans="2:4" x14ac:dyDescent="0.35">
      <c r="B66" s="42" t="s">
        <v>115</v>
      </c>
      <c r="C66" s="43">
        <v>450</v>
      </c>
      <c r="D66" s="44">
        <v>0</v>
      </c>
    </row>
    <row r="67" spans="2:4" x14ac:dyDescent="0.35">
      <c r="B67" s="57" t="s">
        <v>116</v>
      </c>
      <c r="C67" s="45"/>
      <c r="D67" s="46"/>
    </row>
    <row r="68" spans="2:4" x14ac:dyDescent="0.35">
      <c r="B68" s="48" t="s">
        <v>117</v>
      </c>
      <c r="C68" s="45">
        <v>0</v>
      </c>
      <c r="D68" s="44">
        <v>0</v>
      </c>
    </row>
    <row r="69" spans="2:4" ht="15" thickBot="1" x14ac:dyDescent="0.4">
      <c r="B69" s="49" t="s">
        <v>118</v>
      </c>
      <c r="C69" s="50">
        <v>800</v>
      </c>
      <c r="D69" s="51">
        <v>0</v>
      </c>
    </row>
    <row r="70" spans="2:4" x14ac:dyDescent="0.35">
      <c r="B70" s="56" t="s">
        <v>119</v>
      </c>
      <c r="C70" s="53"/>
      <c r="D70" s="54"/>
    </row>
    <row r="71" spans="2:4" x14ac:dyDescent="0.35">
      <c r="B71" s="42" t="s">
        <v>120</v>
      </c>
      <c r="C71" s="43">
        <v>0</v>
      </c>
      <c r="D71" s="44">
        <v>0</v>
      </c>
    </row>
    <row r="72" spans="2:4" x14ac:dyDescent="0.35">
      <c r="B72" s="42" t="s">
        <v>121</v>
      </c>
      <c r="C72" s="43">
        <v>0</v>
      </c>
      <c r="D72" s="44">
        <v>0</v>
      </c>
    </row>
    <row r="73" spans="2:4" x14ac:dyDescent="0.35">
      <c r="B73" s="42" t="s">
        <v>122</v>
      </c>
      <c r="C73" s="43">
        <v>0</v>
      </c>
      <c r="D73" s="44">
        <v>0</v>
      </c>
    </row>
    <row r="74" spans="2:4" x14ac:dyDescent="0.35">
      <c r="B74" s="42" t="s">
        <v>123</v>
      </c>
      <c r="C74" s="43">
        <v>200</v>
      </c>
      <c r="D74" s="44">
        <v>300</v>
      </c>
    </row>
    <row r="75" spans="2:4" x14ac:dyDescent="0.35">
      <c r="B75" s="42" t="s">
        <v>124</v>
      </c>
      <c r="C75" s="43">
        <v>3200</v>
      </c>
      <c r="D75" s="44">
        <v>0</v>
      </c>
    </row>
    <row r="76" spans="2:4" x14ac:dyDescent="0.35">
      <c r="B76" s="42" t="s">
        <v>125</v>
      </c>
      <c r="C76" s="43">
        <v>250</v>
      </c>
      <c r="D76" s="44">
        <v>350</v>
      </c>
    </row>
    <row r="77" spans="2:4" x14ac:dyDescent="0.35">
      <c r="B77" s="42" t="s">
        <v>126</v>
      </c>
      <c r="C77" s="43">
        <v>0</v>
      </c>
      <c r="D77" s="44">
        <v>0</v>
      </c>
    </row>
    <row r="78" spans="2:4" x14ac:dyDescent="0.35">
      <c r="B78" s="42" t="s">
        <v>127</v>
      </c>
      <c r="C78" s="43"/>
      <c r="D78" s="44"/>
    </row>
    <row r="79" spans="2:4" x14ac:dyDescent="0.35">
      <c r="B79" s="60" t="s">
        <v>128</v>
      </c>
      <c r="C79" s="43">
        <v>40</v>
      </c>
      <c r="D79" s="44">
        <v>90</v>
      </c>
    </row>
    <row r="80" spans="2:4" x14ac:dyDescent="0.35">
      <c r="B80" s="60" t="s">
        <v>129</v>
      </c>
      <c r="C80" s="43">
        <v>120</v>
      </c>
      <c r="D80" s="44">
        <v>150</v>
      </c>
    </row>
    <row r="81" spans="2:4" x14ac:dyDescent="0.35">
      <c r="B81" s="42" t="s">
        <v>130</v>
      </c>
      <c r="C81" s="43"/>
      <c r="D81" s="44"/>
    </row>
    <row r="82" spans="2:4" x14ac:dyDescent="0.35">
      <c r="B82" s="60" t="s">
        <v>131</v>
      </c>
      <c r="C82" s="43">
        <v>60</v>
      </c>
      <c r="D82" s="44">
        <v>120</v>
      </c>
    </row>
    <row r="83" spans="2:4" x14ac:dyDescent="0.35">
      <c r="B83" s="60" t="s">
        <v>132</v>
      </c>
      <c r="C83" s="43">
        <v>180</v>
      </c>
      <c r="D83" s="44">
        <v>120</v>
      </c>
    </row>
    <row r="84" spans="2:4" x14ac:dyDescent="0.35">
      <c r="B84" s="42" t="s">
        <v>133</v>
      </c>
      <c r="C84" s="43"/>
      <c r="D84" s="44"/>
    </row>
    <row r="85" spans="2:4" x14ac:dyDescent="0.35">
      <c r="B85" s="60" t="s">
        <v>134</v>
      </c>
      <c r="C85" s="43">
        <v>0</v>
      </c>
      <c r="D85" s="44">
        <v>0</v>
      </c>
    </row>
    <row r="86" spans="2:4" x14ac:dyDescent="0.35">
      <c r="B86" s="60" t="s">
        <v>135</v>
      </c>
      <c r="C86" s="43">
        <v>60</v>
      </c>
      <c r="D86" s="44">
        <v>160</v>
      </c>
    </row>
    <row r="87" spans="2:4" x14ac:dyDescent="0.35">
      <c r="B87" s="42" t="s">
        <v>136</v>
      </c>
      <c r="C87" s="43">
        <v>180</v>
      </c>
      <c r="D87" s="44">
        <v>300</v>
      </c>
    </row>
    <row r="88" spans="2:4" x14ac:dyDescent="0.35">
      <c r="B88" s="42" t="s">
        <v>137</v>
      </c>
      <c r="C88" s="43">
        <v>0</v>
      </c>
      <c r="D88" s="44">
        <v>0</v>
      </c>
    </row>
    <row r="89" spans="2:4" x14ac:dyDescent="0.35">
      <c r="B89" s="42" t="s">
        <v>138</v>
      </c>
      <c r="C89" s="43">
        <v>60</v>
      </c>
      <c r="D89" s="44">
        <v>0</v>
      </c>
    </row>
    <row r="90" spans="2:4" x14ac:dyDescent="0.35">
      <c r="B90" s="42" t="s">
        <v>139</v>
      </c>
      <c r="C90" s="43"/>
      <c r="D90" s="44"/>
    </row>
    <row r="91" spans="2:4" x14ac:dyDescent="0.35">
      <c r="B91" s="60" t="s">
        <v>140</v>
      </c>
      <c r="C91" s="43">
        <v>0</v>
      </c>
      <c r="D91" s="44">
        <v>0</v>
      </c>
    </row>
    <row r="92" spans="2:4" x14ac:dyDescent="0.35">
      <c r="B92" s="60" t="s">
        <v>141</v>
      </c>
      <c r="C92" s="43">
        <v>0</v>
      </c>
      <c r="D92" s="44">
        <v>0</v>
      </c>
    </row>
    <row r="93" spans="2:4" ht="15" thickBot="1" x14ac:dyDescent="0.4">
      <c r="B93" s="58" t="s">
        <v>142</v>
      </c>
      <c r="C93" s="50">
        <v>0</v>
      </c>
      <c r="D93" s="51">
        <v>0</v>
      </c>
    </row>
    <row r="94" spans="2:4" x14ac:dyDescent="0.35">
      <c r="B94" s="56" t="s">
        <v>143</v>
      </c>
      <c r="C94" s="53"/>
      <c r="D94" s="54"/>
    </row>
    <row r="95" spans="2:4" x14ac:dyDescent="0.35">
      <c r="B95" s="42" t="s">
        <v>120</v>
      </c>
      <c r="C95" s="43">
        <v>0</v>
      </c>
      <c r="D95" s="44">
        <v>0</v>
      </c>
    </row>
    <row r="96" spans="2:4" x14ac:dyDescent="0.35">
      <c r="B96" s="42" t="s">
        <v>144</v>
      </c>
      <c r="C96" s="43">
        <v>0</v>
      </c>
      <c r="D96" s="44">
        <v>0</v>
      </c>
    </row>
    <row r="97" spans="2:4" x14ac:dyDescent="0.35">
      <c r="B97" s="42" t="s">
        <v>145</v>
      </c>
      <c r="C97" s="43">
        <v>1200</v>
      </c>
      <c r="D97" s="44">
        <v>0</v>
      </c>
    </row>
    <row r="98" spans="2:4" x14ac:dyDescent="0.35">
      <c r="B98" s="42" t="s">
        <v>146</v>
      </c>
      <c r="C98" s="43">
        <v>4600</v>
      </c>
      <c r="D98" s="44">
        <v>0</v>
      </c>
    </row>
    <row r="99" spans="2:4" x14ac:dyDescent="0.35">
      <c r="B99" s="42" t="s">
        <v>147</v>
      </c>
      <c r="C99" s="43">
        <v>0</v>
      </c>
      <c r="D99" s="44">
        <v>0</v>
      </c>
    </row>
    <row r="100" spans="2:4" x14ac:dyDescent="0.35">
      <c r="B100" s="42" t="s">
        <v>148</v>
      </c>
      <c r="C100" s="43">
        <v>0</v>
      </c>
      <c r="D100" s="44">
        <v>0</v>
      </c>
    </row>
    <row r="101" spans="2:4" x14ac:dyDescent="0.35">
      <c r="B101" s="42" t="s">
        <v>149</v>
      </c>
      <c r="C101" s="43">
        <v>0</v>
      </c>
      <c r="D101" s="44">
        <v>0</v>
      </c>
    </row>
    <row r="102" spans="2:4" x14ac:dyDescent="0.35">
      <c r="B102" s="42" t="s">
        <v>150</v>
      </c>
      <c r="C102" s="43">
        <v>0</v>
      </c>
      <c r="D102" s="44">
        <v>0</v>
      </c>
    </row>
    <row r="103" spans="2:4" x14ac:dyDescent="0.35">
      <c r="B103" s="42" t="s">
        <v>151</v>
      </c>
      <c r="C103" s="43">
        <v>0</v>
      </c>
      <c r="D103" s="44">
        <v>0</v>
      </c>
    </row>
    <row r="104" spans="2:4" x14ac:dyDescent="0.35">
      <c r="B104" s="42" t="s">
        <v>152</v>
      </c>
      <c r="C104" s="43">
        <v>650</v>
      </c>
      <c r="D104" s="44">
        <v>400</v>
      </c>
    </row>
    <row r="105" spans="2:4" x14ac:dyDescent="0.35">
      <c r="B105" s="42" t="s">
        <v>153</v>
      </c>
      <c r="C105" s="43">
        <v>250</v>
      </c>
      <c r="D105" s="44">
        <v>400</v>
      </c>
    </row>
    <row r="106" spans="2:4" ht="15" thickBot="1" x14ac:dyDescent="0.4">
      <c r="B106" s="58" t="s">
        <v>154</v>
      </c>
      <c r="C106" s="50">
        <v>400</v>
      </c>
      <c r="D106" s="51">
        <v>200</v>
      </c>
    </row>
    <row r="107" spans="2:4" x14ac:dyDescent="0.35">
      <c r="B107" s="56" t="s">
        <v>155</v>
      </c>
      <c r="C107" s="53"/>
      <c r="D107" s="54"/>
    </row>
    <row r="108" spans="2:4" x14ac:dyDescent="0.35">
      <c r="B108" s="42" t="s">
        <v>120</v>
      </c>
      <c r="C108" s="43">
        <v>0</v>
      </c>
      <c r="D108" s="44">
        <v>0</v>
      </c>
    </row>
    <row r="109" spans="2:4" x14ac:dyDescent="0.35">
      <c r="B109" s="42" t="s">
        <v>156</v>
      </c>
      <c r="C109" s="43">
        <v>0</v>
      </c>
      <c r="D109" s="44">
        <v>0</v>
      </c>
    </row>
    <row r="110" spans="2:4" x14ac:dyDescent="0.35">
      <c r="B110" s="42" t="s">
        <v>157</v>
      </c>
      <c r="C110" s="43">
        <v>0</v>
      </c>
      <c r="D110" s="44">
        <v>0</v>
      </c>
    </row>
    <row r="111" spans="2:4" x14ac:dyDescent="0.35">
      <c r="B111" s="42" t="s">
        <v>158</v>
      </c>
      <c r="C111" s="43">
        <v>1800</v>
      </c>
      <c r="D111" s="44">
        <v>0</v>
      </c>
    </row>
    <row r="112" spans="2:4" x14ac:dyDescent="0.35">
      <c r="B112" s="42" t="s">
        <v>159</v>
      </c>
      <c r="C112" s="43"/>
      <c r="D112" s="44">
        <v>0</v>
      </c>
    </row>
    <row r="113" spans="2:4" x14ac:dyDescent="0.35">
      <c r="B113" s="60" t="s">
        <v>160</v>
      </c>
      <c r="C113" s="43">
        <v>0</v>
      </c>
      <c r="D113" s="44">
        <v>0</v>
      </c>
    </row>
    <row r="114" spans="2:4" x14ac:dyDescent="0.35">
      <c r="B114" s="60" t="s">
        <v>161</v>
      </c>
      <c r="C114" s="43">
        <v>2400</v>
      </c>
      <c r="D114" s="44">
        <v>0</v>
      </c>
    </row>
    <row r="115" spans="2:4" ht="15" thickBot="1" x14ac:dyDescent="0.4">
      <c r="B115" s="58" t="s">
        <v>162</v>
      </c>
      <c r="C115" s="50">
        <v>0</v>
      </c>
      <c r="D115" s="51">
        <v>0</v>
      </c>
    </row>
    <row r="116" spans="2:4" x14ac:dyDescent="0.35">
      <c r="B116" s="56" t="s">
        <v>163</v>
      </c>
      <c r="C116" s="53"/>
      <c r="D116" s="54"/>
    </row>
    <row r="117" spans="2:4" x14ac:dyDescent="0.35">
      <c r="B117" s="42" t="s">
        <v>164</v>
      </c>
      <c r="C117" s="43">
        <v>0</v>
      </c>
      <c r="D117" s="44">
        <v>0</v>
      </c>
    </row>
    <row r="118" spans="2:4" ht="15" thickBot="1" x14ac:dyDescent="0.4">
      <c r="B118" s="58" t="s">
        <v>165</v>
      </c>
      <c r="C118" s="50">
        <v>0</v>
      </c>
      <c r="D118" s="51">
        <v>0</v>
      </c>
    </row>
    <row r="119" spans="2:4" x14ac:dyDescent="0.35">
      <c r="B119" s="56" t="s">
        <v>166</v>
      </c>
      <c r="C119" s="53"/>
      <c r="D119" s="54"/>
    </row>
    <row r="120" spans="2:4" x14ac:dyDescent="0.35">
      <c r="B120" s="42" t="s">
        <v>167</v>
      </c>
      <c r="C120" s="43"/>
      <c r="D120" s="44"/>
    </row>
    <row r="121" spans="2:4" x14ac:dyDescent="0.35">
      <c r="B121" s="60" t="s">
        <v>168</v>
      </c>
      <c r="C121" s="43">
        <v>0</v>
      </c>
      <c r="D121" s="44">
        <v>0</v>
      </c>
    </row>
    <row r="122" spans="2:4" x14ac:dyDescent="0.35">
      <c r="B122" s="60" t="s">
        <v>169</v>
      </c>
      <c r="C122" s="43">
        <v>0</v>
      </c>
      <c r="D122" s="44">
        <v>0</v>
      </c>
    </row>
    <row r="123" spans="2:4" x14ac:dyDescent="0.35">
      <c r="B123" s="60" t="s">
        <v>170</v>
      </c>
      <c r="C123" s="43">
        <v>0</v>
      </c>
      <c r="D123" s="44">
        <v>0</v>
      </c>
    </row>
    <row r="124" spans="2:4" ht="15" thickBot="1" x14ac:dyDescent="0.4">
      <c r="B124" s="49" t="s">
        <v>171</v>
      </c>
      <c r="C124" s="50">
        <v>0</v>
      </c>
      <c r="D124" s="51">
        <v>0</v>
      </c>
    </row>
    <row r="125" spans="2:4" x14ac:dyDescent="0.35">
      <c r="B125" s="56" t="s">
        <v>172</v>
      </c>
      <c r="C125" s="53"/>
      <c r="D125" s="54"/>
    </row>
    <row r="126" spans="2:4" x14ac:dyDescent="0.35">
      <c r="B126" s="42" t="s">
        <v>173</v>
      </c>
      <c r="C126" s="43">
        <v>300</v>
      </c>
      <c r="D126" s="44">
        <v>0</v>
      </c>
    </row>
    <row r="127" spans="2:4" x14ac:dyDescent="0.35">
      <c r="B127" s="42" t="s">
        <v>174</v>
      </c>
      <c r="C127" s="43">
        <v>300</v>
      </c>
      <c r="D127" s="44">
        <v>0</v>
      </c>
    </row>
    <row r="128" spans="2:4" x14ac:dyDescent="0.35">
      <c r="B128" s="42" t="s">
        <v>175</v>
      </c>
      <c r="C128" s="43"/>
      <c r="D128" s="44"/>
    </row>
    <row r="129" spans="2:4" x14ac:dyDescent="0.35">
      <c r="B129" s="48" t="s">
        <v>176</v>
      </c>
      <c r="C129" s="45">
        <v>0</v>
      </c>
      <c r="D129" s="44">
        <v>0</v>
      </c>
    </row>
    <row r="130" spans="2:4" x14ac:dyDescent="0.35">
      <c r="B130" s="48" t="s">
        <v>177</v>
      </c>
      <c r="C130" s="45">
        <v>0</v>
      </c>
      <c r="D130" s="44">
        <v>0</v>
      </c>
    </row>
    <row r="131" spans="2:4" ht="15" thickBot="1" x14ac:dyDescent="0.4">
      <c r="B131" s="58" t="s">
        <v>178</v>
      </c>
      <c r="C131" s="50">
        <v>0</v>
      </c>
      <c r="D131" s="51">
        <v>0</v>
      </c>
    </row>
    <row r="132" spans="2:4" x14ac:dyDescent="0.35">
      <c r="B132" s="56" t="s">
        <v>179</v>
      </c>
      <c r="C132" s="53"/>
      <c r="D132" s="54"/>
    </row>
    <row r="133" spans="2:4" x14ac:dyDescent="0.35">
      <c r="B133" s="42" t="s">
        <v>180</v>
      </c>
      <c r="C133" s="43">
        <v>800</v>
      </c>
      <c r="D133" s="44"/>
    </row>
    <row r="134" spans="2:4" x14ac:dyDescent="0.35">
      <c r="B134" s="42" t="s">
        <v>181</v>
      </c>
      <c r="C134" s="43"/>
      <c r="D134" s="44"/>
    </row>
    <row r="135" spans="2:4" x14ac:dyDescent="0.35">
      <c r="B135" s="60" t="s">
        <v>182</v>
      </c>
      <c r="C135" s="43">
        <v>200</v>
      </c>
      <c r="D135" s="44">
        <v>600</v>
      </c>
    </row>
    <row r="136" spans="2:4" x14ac:dyDescent="0.35">
      <c r="B136" s="60" t="s">
        <v>183</v>
      </c>
      <c r="C136" s="43">
        <v>500</v>
      </c>
      <c r="D136" s="44">
        <v>560</v>
      </c>
    </row>
    <row r="137" spans="2:4" x14ac:dyDescent="0.35">
      <c r="B137" s="60" t="s">
        <v>184</v>
      </c>
      <c r="C137" s="43">
        <v>0</v>
      </c>
      <c r="D137" s="44">
        <v>0</v>
      </c>
    </row>
    <row r="138" spans="2:4" x14ac:dyDescent="0.35">
      <c r="B138" s="60" t="s">
        <v>185</v>
      </c>
      <c r="C138" s="43">
        <v>0</v>
      </c>
      <c r="D138" s="44">
        <v>0</v>
      </c>
    </row>
    <row r="139" spans="2:4" x14ac:dyDescent="0.35">
      <c r="B139" s="61" t="s">
        <v>186</v>
      </c>
      <c r="C139" s="43">
        <v>0</v>
      </c>
      <c r="D139" s="44">
        <v>0</v>
      </c>
    </row>
    <row r="140" spans="2:4" x14ac:dyDescent="0.35">
      <c r="B140" s="61" t="s">
        <v>187</v>
      </c>
      <c r="C140" s="43">
        <v>300</v>
      </c>
      <c r="D140" s="44">
        <v>300</v>
      </c>
    </row>
    <row r="141" spans="2:4" ht="15" thickBot="1" x14ac:dyDescent="0.4">
      <c r="B141" s="62"/>
      <c r="C141" s="50">
        <v>0</v>
      </c>
      <c r="D141" s="51">
        <v>0</v>
      </c>
    </row>
    <row r="142" spans="2:4" x14ac:dyDescent="0.35">
      <c r="B142" s="56" t="s">
        <v>188</v>
      </c>
      <c r="C142" s="53"/>
      <c r="D142" s="54"/>
    </row>
    <row r="143" spans="2:4" x14ac:dyDescent="0.35">
      <c r="B143" s="42" t="s">
        <v>189</v>
      </c>
      <c r="C143" s="43"/>
      <c r="D143" s="44"/>
    </row>
    <row r="144" spans="2:4" x14ac:dyDescent="0.35">
      <c r="B144" s="60" t="s">
        <v>190</v>
      </c>
      <c r="C144" s="43">
        <v>3100</v>
      </c>
      <c r="D144" s="44">
        <v>0</v>
      </c>
    </row>
    <row r="145" spans="2:4" ht="15" thickBot="1" x14ac:dyDescent="0.4">
      <c r="B145" s="49" t="s">
        <v>191</v>
      </c>
      <c r="C145" s="50">
        <v>0</v>
      </c>
      <c r="D145" s="51">
        <v>0</v>
      </c>
    </row>
    <row r="146" spans="2:4" x14ac:dyDescent="0.35">
      <c r="B146" s="56" t="s">
        <v>192</v>
      </c>
      <c r="C146" s="53"/>
      <c r="D146" s="54"/>
    </row>
    <row r="147" spans="2:4" x14ac:dyDescent="0.35">
      <c r="B147" s="42" t="s">
        <v>193</v>
      </c>
      <c r="C147" s="43">
        <v>800</v>
      </c>
      <c r="D147" s="44">
        <v>2200</v>
      </c>
    </row>
    <row r="148" spans="2:4" x14ac:dyDescent="0.35">
      <c r="B148" s="42" t="s">
        <v>194</v>
      </c>
      <c r="C148" s="43">
        <v>200</v>
      </c>
      <c r="D148" s="44">
        <v>250</v>
      </c>
    </row>
    <row r="149" spans="2:4" x14ac:dyDescent="0.35">
      <c r="B149" s="57" t="s">
        <v>195</v>
      </c>
      <c r="C149" s="45"/>
      <c r="D149" s="46"/>
    </row>
    <row r="150" spans="2:4" x14ac:dyDescent="0.35">
      <c r="B150" s="48" t="s">
        <v>196</v>
      </c>
      <c r="C150" s="45">
        <v>0</v>
      </c>
      <c r="D150" s="44">
        <v>0</v>
      </c>
    </row>
    <row r="151" spans="2:4" ht="15" thickBot="1" x14ac:dyDescent="0.4">
      <c r="B151" s="49" t="s">
        <v>197</v>
      </c>
      <c r="C151" s="50">
        <v>3200</v>
      </c>
      <c r="D151" s="51">
        <v>0</v>
      </c>
    </row>
    <row r="152" spans="2:4" x14ac:dyDescent="0.35">
      <c r="B152" s="56" t="s">
        <v>198</v>
      </c>
      <c r="C152" s="53"/>
      <c r="D152" s="54"/>
    </row>
    <row r="153" spans="2:4" x14ac:dyDescent="0.35">
      <c r="B153" s="42" t="s">
        <v>199</v>
      </c>
      <c r="C153" s="43">
        <v>0</v>
      </c>
      <c r="D153" s="44">
        <v>0</v>
      </c>
    </row>
    <row r="154" spans="2:4" x14ac:dyDescent="0.35">
      <c r="B154" s="42" t="s">
        <v>200</v>
      </c>
      <c r="C154" s="43"/>
      <c r="D154" s="44"/>
    </row>
    <row r="155" spans="2:4" x14ac:dyDescent="0.35">
      <c r="B155" s="60" t="s">
        <v>201</v>
      </c>
      <c r="C155" s="43">
        <v>0</v>
      </c>
      <c r="D155" s="44">
        <v>0</v>
      </c>
    </row>
    <row r="156" spans="2:4" x14ac:dyDescent="0.35">
      <c r="B156" s="60" t="s">
        <v>202</v>
      </c>
      <c r="C156" s="43">
        <v>0</v>
      </c>
      <c r="D156" s="44">
        <v>0</v>
      </c>
    </row>
    <row r="157" spans="2:4" x14ac:dyDescent="0.35">
      <c r="B157" s="42" t="s">
        <v>203</v>
      </c>
      <c r="C157" s="43"/>
      <c r="D157" s="44"/>
    </row>
    <row r="158" spans="2:4" x14ac:dyDescent="0.35">
      <c r="B158" s="60" t="s">
        <v>204</v>
      </c>
      <c r="C158" s="43">
        <v>300</v>
      </c>
      <c r="D158" s="44">
        <v>900</v>
      </c>
    </row>
    <row r="159" spans="2:4" x14ac:dyDescent="0.35">
      <c r="B159" s="60" t="s">
        <v>205</v>
      </c>
      <c r="C159" s="43">
        <v>0</v>
      </c>
      <c r="D159" s="44">
        <v>0</v>
      </c>
    </row>
    <row r="160" spans="2:4" x14ac:dyDescent="0.35">
      <c r="B160" s="42" t="s">
        <v>206</v>
      </c>
      <c r="C160" s="43">
        <v>0</v>
      </c>
      <c r="D160" s="44">
        <v>0</v>
      </c>
    </row>
    <row r="161" spans="2:4" x14ac:dyDescent="0.35">
      <c r="B161" s="42" t="s">
        <v>207</v>
      </c>
      <c r="C161" s="43">
        <v>0</v>
      </c>
      <c r="D161" s="44">
        <v>0</v>
      </c>
    </row>
    <row r="162" spans="2:4" x14ac:dyDescent="0.35">
      <c r="B162" s="42" t="s">
        <v>208</v>
      </c>
      <c r="C162" s="43">
        <v>2700</v>
      </c>
      <c r="D162" s="44">
        <v>0</v>
      </c>
    </row>
    <row r="163" spans="2:4" x14ac:dyDescent="0.35">
      <c r="B163" s="42" t="s">
        <v>209</v>
      </c>
      <c r="C163" s="43">
        <v>0</v>
      </c>
      <c r="D163" s="44">
        <v>0</v>
      </c>
    </row>
    <row r="164" spans="2:4" x14ac:dyDescent="0.35">
      <c r="B164" s="42" t="s">
        <v>210</v>
      </c>
      <c r="C164" s="43">
        <v>0</v>
      </c>
      <c r="D164" s="44">
        <v>0</v>
      </c>
    </row>
    <row r="165" spans="2:4" x14ac:dyDescent="0.35">
      <c r="B165" s="42" t="s">
        <v>211</v>
      </c>
      <c r="C165" s="43">
        <v>0</v>
      </c>
      <c r="D165" s="44">
        <v>0</v>
      </c>
    </row>
    <row r="166" spans="2:4" ht="15" thickBot="1" x14ac:dyDescent="0.4">
      <c r="B166" s="58" t="s">
        <v>212</v>
      </c>
      <c r="C166" s="50">
        <v>0</v>
      </c>
      <c r="D166" s="51">
        <v>0</v>
      </c>
    </row>
    <row r="167" spans="2:4" x14ac:dyDescent="0.35">
      <c r="B167" s="56" t="s">
        <v>213</v>
      </c>
      <c r="C167" s="53"/>
      <c r="D167" s="54"/>
    </row>
    <row r="168" spans="2:4" x14ac:dyDescent="0.35">
      <c r="B168" s="42" t="s">
        <v>214</v>
      </c>
      <c r="C168" s="43">
        <v>0</v>
      </c>
      <c r="D168" s="44">
        <v>0</v>
      </c>
    </row>
    <row r="169" spans="2:4" x14ac:dyDescent="0.35">
      <c r="B169" s="42" t="s">
        <v>215</v>
      </c>
      <c r="C169" s="43">
        <v>0</v>
      </c>
      <c r="D169" s="44">
        <v>0</v>
      </c>
    </row>
    <row r="170" spans="2:4" x14ac:dyDescent="0.35">
      <c r="B170" s="42" t="s">
        <v>216</v>
      </c>
      <c r="C170" s="43">
        <v>0</v>
      </c>
      <c r="D170" s="44">
        <v>0</v>
      </c>
    </row>
    <row r="171" spans="2:4" ht="15" thickBot="1" x14ac:dyDescent="0.4">
      <c r="B171" s="63" t="s">
        <v>217</v>
      </c>
      <c r="C171" s="64">
        <v>0</v>
      </c>
      <c r="D171" s="65">
        <v>0</v>
      </c>
    </row>
    <row r="172" spans="2:4" x14ac:dyDescent="0.35">
      <c r="B172" s="56" t="s">
        <v>218</v>
      </c>
      <c r="C172" s="53"/>
      <c r="D172" s="54"/>
    </row>
    <row r="173" spans="2:4" x14ac:dyDescent="0.35">
      <c r="B173" s="42" t="s">
        <v>219</v>
      </c>
      <c r="C173" s="43">
        <v>0</v>
      </c>
      <c r="D173" s="44">
        <v>0</v>
      </c>
    </row>
    <row r="174" spans="2:4" ht="15" thickBot="1" x14ac:dyDescent="0.4">
      <c r="B174" s="58" t="s">
        <v>220</v>
      </c>
      <c r="C174" s="50">
        <v>0</v>
      </c>
      <c r="D174" s="51">
        <v>0</v>
      </c>
    </row>
    <row r="175" spans="2:4" x14ac:dyDescent="0.35">
      <c r="B175" s="56" t="s">
        <v>221</v>
      </c>
      <c r="C175" s="53"/>
      <c r="D175" s="54"/>
    </row>
    <row r="176" spans="2:4" x14ac:dyDescent="0.35">
      <c r="B176" s="42" t="s">
        <v>222</v>
      </c>
      <c r="C176" s="43">
        <v>0</v>
      </c>
      <c r="D176" s="44">
        <v>0</v>
      </c>
    </row>
    <row r="177" spans="2:4" x14ac:dyDescent="0.35">
      <c r="B177" s="42" t="s">
        <v>223</v>
      </c>
      <c r="C177" s="43"/>
      <c r="D177" s="44"/>
    </row>
    <row r="178" spans="2:4" x14ac:dyDescent="0.35">
      <c r="B178" s="48" t="s">
        <v>224</v>
      </c>
      <c r="C178" s="45">
        <v>0</v>
      </c>
      <c r="D178" s="44">
        <v>0</v>
      </c>
    </row>
    <row r="179" spans="2:4" x14ac:dyDescent="0.35">
      <c r="B179" s="48" t="s">
        <v>225</v>
      </c>
      <c r="C179" s="45">
        <v>0</v>
      </c>
      <c r="D179" s="44">
        <v>0</v>
      </c>
    </row>
    <row r="180" spans="2:4" x14ac:dyDescent="0.35">
      <c r="B180" s="48" t="s">
        <v>226</v>
      </c>
      <c r="C180" s="45">
        <v>0</v>
      </c>
      <c r="D180" s="44">
        <v>0</v>
      </c>
    </row>
    <row r="181" spans="2:4" ht="15" thickBot="1" x14ac:dyDescent="0.4">
      <c r="B181" s="58" t="s">
        <v>227</v>
      </c>
      <c r="C181" s="50">
        <v>0</v>
      </c>
      <c r="D181" s="51">
        <v>0</v>
      </c>
    </row>
    <row r="182" spans="2:4" x14ac:dyDescent="0.35">
      <c r="B182" s="56" t="s">
        <v>228</v>
      </c>
      <c r="C182" s="53"/>
      <c r="D182" s="54"/>
    </row>
    <row r="183" spans="2:4" x14ac:dyDescent="0.35">
      <c r="B183" s="42" t="s">
        <v>229</v>
      </c>
      <c r="C183" s="43">
        <v>1000</v>
      </c>
      <c r="D183" s="44">
        <v>500</v>
      </c>
    </row>
    <row r="184" spans="2:4" x14ac:dyDescent="0.35">
      <c r="B184" s="57" t="s">
        <v>230</v>
      </c>
      <c r="C184" s="45"/>
      <c r="D184" s="46"/>
    </row>
    <row r="185" spans="2:4" x14ac:dyDescent="0.35">
      <c r="B185" s="48" t="s">
        <v>231</v>
      </c>
      <c r="C185" s="45">
        <v>0</v>
      </c>
      <c r="D185" s="46">
        <v>600</v>
      </c>
    </row>
    <row r="186" spans="2:4" x14ac:dyDescent="0.35">
      <c r="B186" s="48" t="s">
        <v>232</v>
      </c>
      <c r="C186" s="45">
        <v>0</v>
      </c>
      <c r="D186" s="46">
        <v>400</v>
      </c>
    </row>
    <row r="187" spans="2:4" x14ac:dyDescent="0.35">
      <c r="B187" s="48" t="s">
        <v>233</v>
      </c>
      <c r="C187" s="45">
        <v>0</v>
      </c>
      <c r="D187" s="46">
        <v>300</v>
      </c>
    </row>
    <row r="188" spans="2:4" x14ac:dyDescent="0.35">
      <c r="B188" s="48" t="s">
        <v>234</v>
      </c>
      <c r="C188" s="45">
        <v>0</v>
      </c>
      <c r="D188" s="46">
        <v>200</v>
      </c>
    </row>
    <row r="189" spans="2:4" x14ac:dyDescent="0.35">
      <c r="B189" s="60" t="s">
        <v>235</v>
      </c>
      <c r="C189" s="43">
        <v>0</v>
      </c>
      <c r="D189" s="44">
        <v>600</v>
      </c>
    </row>
    <row r="190" spans="2:4" ht="15" thickBot="1" x14ac:dyDescent="0.4">
      <c r="B190" s="66" t="s">
        <v>236</v>
      </c>
      <c r="C190" s="64">
        <v>350</v>
      </c>
      <c r="D190" s="65">
        <v>0</v>
      </c>
    </row>
    <row r="191" spans="2:4" ht="15" thickBot="1" x14ac:dyDescent="0.4">
      <c r="B191" s="67"/>
      <c r="C191" s="68"/>
      <c r="D191" s="68"/>
    </row>
    <row r="192" spans="2:4" ht="15" thickBot="1" x14ac:dyDescent="0.4">
      <c r="B192" s="69" t="s">
        <v>237</v>
      </c>
      <c r="C192" s="70">
        <f>SUM(C1:C190)</f>
        <v>40000</v>
      </c>
      <c r="D192" s="71">
        <f>SUM(D1:D190)</f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 &amp; Flip Analysis</vt:lpstr>
      <vt:lpstr>Budget Estimate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Scott</dc:creator>
  <cp:lastModifiedBy>J Scott</cp:lastModifiedBy>
  <dcterms:created xsi:type="dcterms:W3CDTF">2017-10-24T16:18:51Z</dcterms:created>
  <dcterms:modified xsi:type="dcterms:W3CDTF">2022-10-10T12:51:43Z</dcterms:modified>
</cp:coreProperties>
</file>