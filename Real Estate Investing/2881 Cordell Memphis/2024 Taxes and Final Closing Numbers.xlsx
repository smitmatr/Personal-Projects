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r\Desktop\Real Estate Investing\2881 Cordell Memphis\"/>
    </mc:Choice>
  </mc:AlternateContent>
  <xr:revisionPtr revIDLastSave="0" documentId="13_ncr:1_{9C8704ED-2F95-45FA-89A5-E615E9CEF5D2}" xr6:coauthVersionLast="47" xr6:coauthVersionMax="47" xr10:uidLastSave="{00000000-0000-0000-0000-000000000000}"/>
  <bookViews>
    <workbookView xWindow="-108" yWindow="-108" windowWidth="23256" windowHeight="12456" xr2:uid="{F4541EFF-0506-419C-9299-B1294513BF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3" i="1"/>
  <c r="H9" i="1"/>
  <c r="H8" i="1"/>
  <c r="H7" i="1"/>
  <c r="H6" i="1"/>
  <c r="H5" i="1"/>
  <c r="C52" i="1"/>
  <c r="C50" i="1"/>
  <c r="C42" i="1"/>
  <c r="C35" i="1"/>
  <c r="C24" i="1"/>
  <c r="C28" i="1"/>
  <c r="C22" i="1"/>
  <c r="C15" i="1"/>
  <c r="C7" i="1"/>
  <c r="C3" i="1"/>
</calcChain>
</file>

<file path=xl/sharedStrings.xml><?xml version="1.0" encoding="utf-8"?>
<sst xmlns="http://schemas.openxmlformats.org/spreadsheetml/2006/main" count="84" uniqueCount="77">
  <si>
    <t>Origination Charges</t>
  </si>
  <si>
    <t>2.058% of Loan Amount (Points)</t>
  </si>
  <si>
    <t>Administration Fee</t>
  </si>
  <si>
    <t>At Closing</t>
  </si>
  <si>
    <t>Before Closing</t>
  </si>
  <si>
    <t>At closing</t>
  </si>
  <si>
    <t>Borrower Paid</t>
  </si>
  <si>
    <t>Services Borrower Did Not Shop For</t>
  </si>
  <si>
    <t>Appraisal Fee</t>
  </si>
  <si>
    <t>to Direct Appraisal Mngmt Corp</t>
  </si>
  <si>
    <t>Appraisal Final Inspection</t>
  </si>
  <si>
    <t>Credit Report</t>
  </si>
  <si>
    <t>to XACTUS</t>
  </si>
  <si>
    <t>Flood Certification</t>
  </si>
  <si>
    <t>to SErviceLInk National Flood</t>
  </si>
  <si>
    <t>Verification Bundle</t>
  </si>
  <si>
    <t>to Xactus f/k/a Credit Plus</t>
  </si>
  <si>
    <t>Verification of Employment</t>
  </si>
  <si>
    <t>to Equifax Verification Services</t>
  </si>
  <si>
    <t>Services Borrow Did Shop For</t>
  </si>
  <si>
    <t>Title - Closing Protection Letter</t>
  </si>
  <si>
    <t>to Foundation Title and Escrow Services</t>
  </si>
  <si>
    <t>Title - Courier Fee</t>
  </si>
  <si>
    <t>Title - Lenders Title Insurance</t>
  </si>
  <si>
    <t>Title - Settlement Fee</t>
  </si>
  <si>
    <t>Title - Wire Fee</t>
  </si>
  <si>
    <t>Total Loan Costs</t>
  </si>
  <si>
    <t>Taxes and Other Government Fees</t>
  </si>
  <si>
    <t>Recording Fees</t>
  </si>
  <si>
    <t>Deed: $18, Mortgage: $93</t>
  </si>
  <si>
    <t>State Tax/Stamps</t>
  </si>
  <si>
    <t>to Shelby Country Recorder of Deed</t>
  </si>
  <si>
    <t>Prepaids</t>
  </si>
  <si>
    <t>Homeowners Insurance Prem (12 mo)</t>
  </si>
  <si>
    <t>to State Farm</t>
  </si>
  <si>
    <t>Mortgage Ins Prem (0 mo)</t>
  </si>
  <si>
    <t>Prepaid Interest</t>
  </si>
  <si>
    <t>Prop Taxes 12mo</t>
  </si>
  <si>
    <t>to Shelby Co</t>
  </si>
  <si>
    <t>City Taxes (12 mo)</t>
  </si>
  <si>
    <t>to City of Memphis</t>
  </si>
  <si>
    <t>Initial Escrow Payment at Closing</t>
  </si>
  <si>
    <t>Homeowners Insurance ($72.50/mo for 3 mo)</t>
  </si>
  <si>
    <t>Mortgage Insurance</t>
  </si>
  <si>
    <t>Property Taxes ($60.21/mo 2 months)</t>
  </si>
  <si>
    <t>City Prop Tax ($55.91/mo 3 months)</t>
  </si>
  <si>
    <t>Aggregate Adjustment</t>
  </si>
  <si>
    <t>Other</t>
  </si>
  <si>
    <t>Home Warranty Premium</t>
  </si>
  <si>
    <t>to Midsouth Home Inspections</t>
  </si>
  <si>
    <t>Notary Fee</t>
  </si>
  <si>
    <t>to Certified Signer</t>
  </si>
  <si>
    <t>Real Estate Commision</t>
  </si>
  <si>
    <t>Termite Inspection</t>
  </si>
  <si>
    <t>to Holliday Exterminating</t>
  </si>
  <si>
    <t>Title - Owners Title Insurance (optional)</t>
  </si>
  <si>
    <t>to Foundation Title and Escrow</t>
  </si>
  <si>
    <t>Total Other Costs</t>
  </si>
  <si>
    <t>Total Closign Costs</t>
  </si>
  <si>
    <t>Turbo Tax</t>
  </si>
  <si>
    <t>Abstract and Recording Fees</t>
  </si>
  <si>
    <t>Legal Fees, Title Search, Doc Prep</t>
  </si>
  <si>
    <t>Land Survey</t>
  </si>
  <si>
    <t>Title Insurance</t>
  </si>
  <si>
    <t>Transfer or Stamp Taxes</t>
  </si>
  <si>
    <t>Expenses you paid for the seller</t>
  </si>
  <si>
    <t>Insurance Premiums</t>
  </si>
  <si>
    <t>Real Estate Taxes</t>
  </si>
  <si>
    <t>Mortgage Interest (MR. Cooper 1098)</t>
  </si>
  <si>
    <t>Management Fees (Cordell 1099MISC)</t>
  </si>
  <si>
    <t>Other Interest</t>
  </si>
  <si>
    <t>HELOC interest</t>
  </si>
  <si>
    <t>1st year fee credit</t>
  </si>
  <si>
    <t>Land Value</t>
  </si>
  <si>
    <t>Appraisal upon buying page 5</t>
  </si>
  <si>
    <t>Improvement Value</t>
  </si>
  <si>
    <t>State Farm/Grant Lowrance Insurance Premium 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</si>
</sst>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8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E6DB-586B-4A83-9FE8-85E9E57F4D21}">
  <dimension ref="A1:J52"/>
  <sheetViews>
    <sheetView tabSelected="1" workbookViewId="0">
      <selection activeCell="E9" sqref="E9"/>
    </sheetView>
  </sheetViews>
  <sheetFormatPr defaultRowHeight="14.4" x14ac:dyDescent="0.3"/>
  <cols>
    <col min="1" max="1" width="37.88671875" bestFit="1" customWidth="1"/>
    <col min="2" max="2" width="26.109375" bestFit="1" customWidth="1"/>
    <col min="4" max="4" width="12.5546875" bestFit="1" customWidth="1"/>
    <col min="6" max="6" width="12.5546875" bestFit="1" customWidth="1"/>
    <col min="7" max="7" width="31.21875" customWidth="1"/>
    <col min="8" max="8" width="10.33203125" customWidth="1"/>
  </cols>
  <sheetData>
    <row r="1" spans="1:10" x14ac:dyDescent="0.3">
      <c r="C1" s="1" t="s">
        <v>6</v>
      </c>
      <c r="D1" s="1"/>
    </row>
    <row r="2" spans="1:10" x14ac:dyDescent="0.3">
      <c r="C2" t="s">
        <v>3</v>
      </c>
      <c r="D2" t="s">
        <v>4</v>
      </c>
      <c r="E2" t="s">
        <v>5</v>
      </c>
      <c r="F2" t="s">
        <v>4</v>
      </c>
    </row>
    <row r="3" spans="1:10" x14ac:dyDescent="0.3">
      <c r="A3" s="2" t="s">
        <v>0</v>
      </c>
      <c r="B3" s="2"/>
      <c r="C3" s="3">
        <f>SUM(C4:D5)</f>
        <v>4464.04</v>
      </c>
      <c r="D3" s="3"/>
    </row>
    <row r="4" spans="1:10" x14ac:dyDescent="0.3">
      <c r="A4" t="s">
        <v>1</v>
      </c>
      <c r="C4">
        <v>2769.04</v>
      </c>
      <c r="G4" s="1" t="s">
        <v>59</v>
      </c>
      <c r="H4" s="1"/>
      <c r="I4" s="1"/>
      <c r="J4" s="1"/>
    </row>
    <row r="5" spans="1:10" x14ac:dyDescent="0.3">
      <c r="A5" t="s">
        <v>2</v>
      </c>
      <c r="C5" s="5">
        <v>1695</v>
      </c>
      <c r="G5" s="6" t="s">
        <v>60</v>
      </c>
      <c r="H5">
        <f>C25</f>
        <v>111</v>
      </c>
    </row>
    <row r="6" spans="1:10" x14ac:dyDescent="0.3">
      <c r="G6" s="5" t="s">
        <v>61</v>
      </c>
      <c r="H6">
        <f>SUM(C5,C16:C17,C19:C20,C9:C13,C43:C44,C48)</f>
        <v>4350.13</v>
      </c>
    </row>
    <row r="7" spans="1:10" x14ac:dyDescent="0.3">
      <c r="A7" s="2" t="s">
        <v>7</v>
      </c>
      <c r="C7" s="3">
        <f>SUM(C8:C13)</f>
        <v>1447.95</v>
      </c>
      <c r="D7" s="3"/>
      <c r="G7" s="7" t="s">
        <v>62</v>
      </c>
      <c r="H7">
        <f>C8</f>
        <v>795</v>
      </c>
    </row>
    <row r="8" spans="1:10" x14ac:dyDescent="0.3">
      <c r="A8" t="s">
        <v>8</v>
      </c>
      <c r="B8" t="s">
        <v>9</v>
      </c>
      <c r="C8" s="7">
        <v>795</v>
      </c>
      <c r="G8" s="8" t="s">
        <v>63</v>
      </c>
      <c r="H8">
        <f>C18</f>
        <v>972</v>
      </c>
    </row>
    <row r="9" spans="1:10" x14ac:dyDescent="0.3">
      <c r="A9" t="s">
        <v>10</v>
      </c>
      <c r="B9" t="s">
        <v>9</v>
      </c>
      <c r="C9" s="5">
        <v>200</v>
      </c>
      <c r="G9" s="9" t="s">
        <v>64</v>
      </c>
      <c r="H9">
        <f>C26</f>
        <v>816.21</v>
      </c>
    </row>
    <row r="10" spans="1:10" x14ac:dyDescent="0.3">
      <c r="A10" t="s">
        <v>11</v>
      </c>
      <c r="B10" t="s">
        <v>12</v>
      </c>
      <c r="C10" s="5">
        <v>10</v>
      </c>
      <c r="G10" t="s">
        <v>65</v>
      </c>
    </row>
    <row r="11" spans="1:10" x14ac:dyDescent="0.3">
      <c r="A11" t="s">
        <v>13</v>
      </c>
      <c r="B11" t="s">
        <v>14</v>
      </c>
      <c r="C11" s="5">
        <v>10</v>
      </c>
    </row>
    <row r="12" spans="1:10" x14ac:dyDescent="0.3">
      <c r="A12" t="s">
        <v>15</v>
      </c>
      <c r="B12" t="s">
        <v>16</v>
      </c>
      <c r="C12" s="5">
        <v>305</v>
      </c>
      <c r="G12" t="s">
        <v>67</v>
      </c>
    </row>
    <row r="13" spans="1:10" x14ac:dyDescent="0.3">
      <c r="A13" t="s">
        <v>17</v>
      </c>
      <c r="B13" t="s">
        <v>18</v>
      </c>
      <c r="C13" s="5">
        <v>127.95</v>
      </c>
      <c r="G13" s="10" t="s">
        <v>66</v>
      </c>
      <c r="H13">
        <f>SUM(C29,C36)</f>
        <v>1087.5</v>
      </c>
    </row>
    <row r="14" spans="1:10" x14ac:dyDescent="0.3">
      <c r="G14" s="11" t="s">
        <v>68</v>
      </c>
      <c r="H14">
        <f>1428+C31</f>
        <v>1475.66</v>
      </c>
    </row>
    <row r="15" spans="1:10" x14ac:dyDescent="0.3">
      <c r="A15" s="2" t="s">
        <v>19</v>
      </c>
      <c r="C15" s="3">
        <f>SUM(C16:C20)</f>
        <v>1887</v>
      </c>
      <c r="D15" s="3"/>
      <c r="G15" t="s">
        <v>69</v>
      </c>
      <c r="H15">
        <v>-965</v>
      </c>
      <c r="I15" t="s">
        <v>72</v>
      </c>
    </row>
    <row r="16" spans="1:10" x14ac:dyDescent="0.3">
      <c r="A16" t="s">
        <v>20</v>
      </c>
      <c r="B16" t="s">
        <v>21</v>
      </c>
      <c r="C16" s="5">
        <v>50</v>
      </c>
      <c r="G16" t="s">
        <v>70</v>
      </c>
      <c r="H16">
        <v>98</v>
      </c>
      <c r="I16" t="s">
        <v>71</v>
      </c>
    </row>
    <row r="17" spans="1:8" x14ac:dyDescent="0.3">
      <c r="A17" t="s">
        <v>22</v>
      </c>
      <c r="B17" t="s">
        <v>21</v>
      </c>
      <c r="C17" s="5">
        <v>60</v>
      </c>
    </row>
    <row r="18" spans="1:8" x14ac:dyDescent="0.3">
      <c r="A18" t="s">
        <v>23</v>
      </c>
      <c r="B18" t="s">
        <v>21</v>
      </c>
      <c r="C18" s="8">
        <v>972</v>
      </c>
    </row>
    <row r="19" spans="1:8" x14ac:dyDescent="0.3">
      <c r="A19" t="s">
        <v>24</v>
      </c>
      <c r="B19" t="s">
        <v>21</v>
      </c>
      <c r="C19" s="5">
        <v>775</v>
      </c>
      <c r="G19" t="s">
        <v>73</v>
      </c>
      <c r="H19" t="s">
        <v>74</v>
      </c>
    </row>
    <row r="20" spans="1:8" x14ac:dyDescent="0.3">
      <c r="A20" t="s">
        <v>25</v>
      </c>
      <c r="B20" t="s">
        <v>21</v>
      </c>
      <c r="C20" s="5">
        <v>30</v>
      </c>
      <c r="G20" t="s">
        <v>75</v>
      </c>
      <c r="H20" t="s">
        <v>76</v>
      </c>
    </row>
    <row r="22" spans="1:8" x14ac:dyDescent="0.3">
      <c r="A22" s="2" t="s">
        <v>26</v>
      </c>
      <c r="C22" s="3">
        <f>C15+C7+C3</f>
        <v>7798.99</v>
      </c>
      <c r="D22" s="3"/>
    </row>
    <row r="24" spans="1:8" x14ac:dyDescent="0.3">
      <c r="A24" s="2" t="s">
        <v>27</v>
      </c>
      <c r="B24" s="2"/>
      <c r="C24" s="3">
        <f>SUM(C25:C26)</f>
        <v>927.21</v>
      </c>
      <c r="D24" s="3"/>
    </row>
    <row r="25" spans="1:8" x14ac:dyDescent="0.3">
      <c r="A25" t="s">
        <v>28</v>
      </c>
      <c r="B25" t="s">
        <v>29</v>
      </c>
      <c r="C25" s="6">
        <v>111</v>
      </c>
    </row>
    <row r="26" spans="1:8" x14ac:dyDescent="0.3">
      <c r="A26" t="s">
        <v>30</v>
      </c>
      <c r="B26" t="s">
        <v>31</v>
      </c>
      <c r="C26" s="9">
        <v>816.21</v>
      </c>
    </row>
    <row r="28" spans="1:8" x14ac:dyDescent="0.3">
      <c r="A28" s="2" t="s">
        <v>32</v>
      </c>
      <c r="B28" s="2"/>
      <c r="C28" s="3">
        <f>SUM(C29:C33)</f>
        <v>917.66</v>
      </c>
      <c r="D28" s="3"/>
    </row>
    <row r="29" spans="1:8" x14ac:dyDescent="0.3">
      <c r="A29" t="s">
        <v>33</v>
      </c>
      <c r="B29" t="s">
        <v>34</v>
      </c>
      <c r="C29" s="10">
        <v>870</v>
      </c>
    </row>
    <row r="30" spans="1:8" x14ac:dyDescent="0.3">
      <c r="A30" t="s">
        <v>35</v>
      </c>
    </row>
    <row r="31" spans="1:8" x14ac:dyDescent="0.3">
      <c r="A31" t="s">
        <v>36</v>
      </c>
      <c r="C31" s="11">
        <v>47.66</v>
      </c>
    </row>
    <row r="32" spans="1:8" x14ac:dyDescent="0.3">
      <c r="A32" t="s">
        <v>37</v>
      </c>
      <c r="B32" t="s">
        <v>38</v>
      </c>
      <c r="E32">
        <v>711.9</v>
      </c>
    </row>
    <row r="33" spans="1:5" x14ac:dyDescent="0.3">
      <c r="A33" t="s">
        <v>39</v>
      </c>
      <c r="B33" t="s">
        <v>40</v>
      </c>
      <c r="E33">
        <v>671.03</v>
      </c>
    </row>
    <row r="35" spans="1:5" x14ac:dyDescent="0.3">
      <c r="A35" s="2" t="s">
        <v>41</v>
      </c>
      <c r="B35" s="2"/>
      <c r="C35" s="3">
        <f>SUM(C36:C40)</f>
        <v>188.62</v>
      </c>
      <c r="D35" s="3"/>
    </row>
    <row r="36" spans="1:5" x14ac:dyDescent="0.3">
      <c r="A36" t="s">
        <v>42</v>
      </c>
      <c r="C36" s="10">
        <v>217.5</v>
      </c>
    </row>
    <row r="37" spans="1:5" x14ac:dyDescent="0.3">
      <c r="A37" t="s">
        <v>43</v>
      </c>
    </row>
    <row r="38" spans="1:5" x14ac:dyDescent="0.3">
      <c r="A38" t="s">
        <v>44</v>
      </c>
      <c r="C38">
        <v>120.42</v>
      </c>
    </row>
    <row r="39" spans="1:5" x14ac:dyDescent="0.3">
      <c r="A39" t="s">
        <v>45</v>
      </c>
      <c r="C39">
        <v>167.73</v>
      </c>
    </row>
    <row r="40" spans="1:5" x14ac:dyDescent="0.3">
      <c r="A40" t="s">
        <v>46</v>
      </c>
      <c r="C40">
        <v>-317.02999999999997</v>
      </c>
    </row>
    <row r="42" spans="1:5" x14ac:dyDescent="0.3">
      <c r="A42" s="2" t="s">
        <v>47</v>
      </c>
      <c r="B42" s="2"/>
      <c r="C42" s="3">
        <f>SUM(C43:C48)</f>
        <v>1202.18</v>
      </c>
      <c r="D42" s="3"/>
    </row>
    <row r="43" spans="1:5" x14ac:dyDescent="0.3">
      <c r="A43" t="s">
        <v>48</v>
      </c>
      <c r="B43" t="s">
        <v>49</v>
      </c>
      <c r="C43" s="5">
        <v>350</v>
      </c>
    </row>
    <row r="44" spans="1:5" x14ac:dyDescent="0.3">
      <c r="A44" t="s">
        <v>50</v>
      </c>
      <c r="B44" t="s">
        <v>51</v>
      </c>
      <c r="C44" s="5">
        <v>350</v>
      </c>
    </row>
    <row r="45" spans="1:5" x14ac:dyDescent="0.3">
      <c r="A45" t="s">
        <v>52</v>
      </c>
      <c r="E45">
        <v>5382</v>
      </c>
    </row>
    <row r="46" spans="1:5" x14ac:dyDescent="0.3">
      <c r="A46" t="s">
        <v>52</v>
      </c>
      <c r="E46">
        <v>5382</v>
      </c>
    </row>
    <row r="47" spans="1:5" x14ac:dyDescent="0.3">
      <c r="A47" t="s">
        <v>53</v>
      </c>
      <c r="B47" t="s">
        <v>54</v>
      </c>
      <c r="C47">
        <v>115</v>
      </c>
    </row>
    <row r="48" spans="1:5" x14ac:dyDescent="0.3">
      <c r="A48" t="s">
        <v>55</v>
      </c>
      <c r="B48" t="s">
        <v>56</v>
      </c>
      <c r="C48" s="5">
        <v>387.18</v>
      </c>
    </row>
    <row r="50" spans="1:4" x14ac:dyDescent="0.3">
      <c r="A50" s="2" t="s">
        <v>57</v>
      </c>
      <c r="B50" s="2"/>
      <c r="C50" s="3">
        <f>SUM(C42,C35,C28,C24)</f>
        <v>3235.67</v>
      </c>
      <c r="D50" s="3"/>
    </row>
    <row r="52" spans="1:4" x14ac:dyDescent="0.3">
      <c r="A52" s="2" t="s">
        <v>58</v>
      </c>
      <c r="B52" s="2"/>
      <c r="C52" s="4">
        <f>SUM(C50,C22)</f>
        <v>11034.66</v>
      </c>
      <c r="D52" s="4"/>
    </row>
  </sheetData>
  <mergeCells count="13">
    <mergeCell ref="C35:D35"/>
    <mergeCell ref="C42:D42"/>
    <mergeCell ref="C50:D50"/>
    <mergeCell ref="C52:D52"/>
    <mergeCell ref="I4:J4"/>
    <mergeCell ref="G4:H4"/>
    <mergeCell ref="C1:D1"/>
    <mergeCell ref="C3:D3"/>
    <mergeCell ref="C7:D7"/>
    <mergeCell ref="C15:D15"/>
    <mergeCell ref="C22:D22"/>
    <mergeCell ref="C28:D28"/>
    <mergeCell ref="C24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Smith</dc:creator>
  <cp:lastModifiedBy>Matt Smith</cp:lastModifiedBy>
  <dcterms:created xsi:type="dcterms:W3CDTF">2025-02-02T23:03:23Z</dcterms:created>
  <dcterms:modified xsi:type="dcterms:W3CDTF">2025-02-02T23:58:41Z</dcterms:modified>
</cp:coreProperties>
</file>