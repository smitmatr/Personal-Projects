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mattr\Desktop\Real Estate Investing\2881 Cordell Memphis\"/>
    </mc:Choice>
  </mc:AlternateContent>
  <xr:revisionPtr revIDLastSave="0" documentId="13_ncr:1_{C16C22E3-320C-4D03-BE87-F7FE7B3FE3B0}" xr6:coauthVersionLast="47" xr6:coauthVersionMax="47" xr10:uidLastSave="{00000000-0000-0000-0000-000000000000}"/>
  <bookViews>
    <workbookView xWindow="-108" yWindow="-108" windowWidth="23256" windowHeight="12456" xr2:uid="{8ADD7EB8-D5F5-445C-972E-71DF2C3DCE93}"/>
  </bookViews>
  <sheets>
    <sheet name="Quick HELOC Loan Calc" sheetId="4" r:id="rId1"/>
    <sheet name="7yr IRR Financing" sheetId="6" r:id="rId2"/>
    <sheet name="10 Year" sheetId="8" r:id="rId3"/>
    <sheet name="Calculators" sheetId="9" r:id="rId4"/>
  </sheets>
  <externalReferences>
    <externalReference r:id="rId5"/>
  </externalReferences>
  <definedNames>
    <definedName name="If" localSheetId="2">#REF!</definedName>
    <definedName name="I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6" l="1"/>
  <c r="T3" i="9"/>
  <c r="M15" i="9"/>
  <c r="N17" i="9" s="1"/>
  <c r="N18" i="9" s="1"/>
  <c r="O5" i="8"/>
  <c r="P5" i="8" s="1"/>
  <c r="A32" i="8"/>
  <c r="H13" i="4"/>
  <c r="T10" i="9"/>
  <c r="T6" i="9"/>
  <c r="T7" i="9"/>
  <c r="T8" i="9"/>
  <c r="T9" i="9"/>
  <c r="T5" i="9"/>
  <c r="I14" i="9"/>
  <c r="I13" i="9"/>
  <c r="I12" i="9"/>
  <c r="I11" i="9"/>
  <c r="R6" i="9"/>
  <c r="R7" i="9" s="1"/>
  <c r="R8" i="9" s="1"/>
  <c r="R9" i="9" s="1"/>
  <c r="R10" i="9" s="1"/>
  <c r="R5" i="9"/>
  <c r="L11" i="4"/>
  <c r="C18" i="9"/>
  <c r="O6" i="9"/>
  <c r="B36" i="8"/>
  <c r="B28" i="8"/>
  <c r="H8" i="9"/>
  <c r="I8" i="9" s="1"/>
  <c r="I7" i="9"/>
  <c r="I6" i="9"/>
  <c r="I5" i="9"/>
  <c r="G5" i="9"/>
  <c r="G6" i="9" s="1"/>
  <c r="G7" i="9" s="1"/>
  <c r="G8" i="9" s="1"/>
  <c r="G9" i="9" s="1"/>
  <c r="C16" i="9"/>
  <c r="C19" i="9"/>
  <c r="B9" i="9"/>
  <c r="B10" i="9" s="1"/>
  <c r="B8" i="9"/>
  <c r="C8" i="9" s="1"/>
  <c r="C6" i="9"/>
  <c r="C7" i="9"/>
  <c r="C5" i="9"/>
  <c r="A5" i="9"/>
  <c r="A6" i="9" s="1"/>
  <c r="A7" i="9" s="1"/>
  <c r="A8" i="9" s="1"/>
  <c r="A9" i="9" s="1"/>
  <c r="A10" i="9" s="1"/>
  <c r="A11" i="9" s="1"/>
  <c r="A12" i="9" s="1"/>
  <c r="A13" i="9" s="1"/>
  <c r="A14" i="9" s="1"/>
  <c r="I26" i="4"/>
  <c r="H3" i="4"/>
  <c r="H5" i="4" s="1"/>
  <c r="C19" i="6"/>
  <c r="C16" i="6"/>
  <c r="D16" i="6"/>
  <c r="E16" i="6"/>
  <c r="F16" i="6"/>
  <c r="G16" i="6"/>
  <c r="H16" i="6"/>
  <c r="B16" i="6"/>
  <c r="C20" i="8"/>
  <c r="D20" i="8"/>
  <c r="E20" i="8"/>
  <c r="F20" i="8"/>
  <c r="G20" i="8"/>
  <c r="H20" i="8"/>
  <c r="I20" i="8"/>
  <c r="J20" i="8"/>
  <c r="K20" i="8"/>
  <c r="B20" i="8"/>
  <c r="C27" i="6"/>
  <c r="D27" i="6"/>
  <c r="E27" i="6"/>
  <c r="F27" i="6"/>
  <c r="G27" i="6"/>
  <c r="H27" i="6"/>
  <c r="B27" i="6"/>
  <c r="C32" i="4"/>
  <c r="B40" i="6"/>
  <c r="B37" i="8"/>
  <c r="E22" i="4"/>
  <c r="C31" i="4"/>
  <c r="B16" i="4"/>
  <c r="B18" i="4" s="1"/>
  <c r="D35" i="8"/>
  <c r="E35" i="8"/>
  <c r="F35" i="8"/>
  <c r="G35" i="8"/>
  <c r="H35" i="8"/>
  <c r="I35" i="8"/>
  <c r="J35" i="8"/>
  <c r="K35" i="8"/>
  <c r="C35" i="8"/>
  <c r="B11" i="8"/>
  <c r="C11" i="8" s="1"/>
  <c r="D5" i="8"/>
  <c r="E5" i="8"/>
  <c r="F5" i="8"/>
  <c r="G5" i="8"/>
  <c r="H5" i="8"/>
  <c r="I5" i="8"/>
  <c r="J5" i="8"/>
  <c r="K5" i="8"/>
  <c r="C5" i="8"/>
  <c r="K6" i="8"/>
  <c r="J6" i="8"/>
  <c r="I6" i="8"/>
  <c r="H6" i="8"/>
  <c r="G6" i="8"/>
  <c r="F6" i="8"/>
  <c r="E6" i="8"/>
  <c r="D6" i="8"/>
  <c r="C6" i="8"/>
  <c r="I11" i="8" l="1"/>
  <c r="O17" i="9"/>
  <c r="H11" i="8"/>
  <c r="D11" i="8"/>
  <c r="H9" i="9"/>
  <c r="B11" i="9"/>
  <c r="C10" i="9"/>
  <c r="C11" i="9"/>
  <c r="B12" i="9"/>
  <c r="C9" i="9"/>
  <c r="H4" i="4"/>
  <c r="K11" i="8"/>
  <c r="J11" i="8"/>
  <c r="C37" i="8"/>
  <c r="C36" i="8"/>
  <c r="D37" i="8" s="1"/>
  <c r="G11" i="8"/>
  <c r="F11" i="8"/>
  <c r="E11" i="8"/>
  <c r="I9" i="9" l="1"/>
  <c r="B13" i="9"/>
  <c r="C12" i="9"/>
  <c r="D36" i="8"/>
  <c r="C13" i="9" l="1"/>
  <c r="B14" i="9"/>
  <c r="E36" i="8"/>
  <c r="E37" i="8"/>
  <c r="C14" i="9" l="1"/>
  <c r="C17" i="9" s="1"/>
  <c r="F37" i="8"/>
  <c r="F36" i="8"/>
  <c r="G37" i="8" l="1"/>
  <c r="G36" i="8"/>
  <c r="H37" i="8" l="1"/>
  <c r="H36" i="8"/>
  <c r="I37" i="8" l="1"/>
  <c r="I36" i="8"/>
  <c r="J36" i="8" l="1"/>
  <c r="J37" i="8"/>
  <c r="K37" i="8" l="1"/>
  <c r="K36" i="8"/>
  <c r="L43" i="8" s="1"/>
  <c r="A1" i="6" l="1"/>
  <c r="C40" i="6"/>
  <c r="D40" i="6" s="1"/>
  <c r="E40" i="6" s="1"/>
  <c r="F40" i="6" s="1"/>
  <c r="G40" i="6" s="1"/>
  <c r="H40" i="6" s="1"/>
  <c r="B24" i="6"/>
  <c r="C24" i="6" s="1"/>
  <c r="D24" i="6" s="1"/>
  <c r="E24" i="6" s="1"/>
  <c r="F24" i="6" s="1"/>
  <c r="G24" i="6" s="1"/>
  <c r="H24" i="6" s="1"/>
  <c r="G44" i="6" l="1"/>
  <c r="H20" i="4" l="1"/>
  <c r="A3" i="4" l="1"/>
  <c r="B7" i="4"/>
  <c r="B22" i="4"/>
  <c r="B33" i="4" s="1"/>
  <c r="H25" i="4" s="1"/>
  <c r="H26" i="4" s="1"/>
  <c r="D52" i="4"/>
  <c r="E52" i="4" s="1"/>
  <c r="D51" i="4"/>
  <c r="E51" i="4" s="1"/>
  <c r="D50" i="4"/>
  <c r="E50" i="4" s="1"/>
  <c r="D49" i="4"/>
  <c r="E49" i="4" s="1"/>
  <c r="D48" i="4"/>
  <c r="E48" i="4" s="1"/>
  <c r="D47" i="4"/>
  <c r="E47" i="4" s="1"/>
  <c r="D46" i="4"/>
  <c r="E46" i="4" s="1"/>
  <c r="D45" i="4"/>
  <c r="E45" i="4" s="1"/>
  <c r="D44" i="4"/>
  <c r="E44" i="4" s="1"/>
  <c r="D43" i="4"/>
  <c r="E43" i="4" s="1"/>
  <c r="D42" i="4"/>
  <c r="E42" i="4" s="1"/>
  <c r="C30" i="4"/>
  <c r="C28" i="4"/>
  <c r="C27" i="4"/>
  <c r="C26" i="4"/>
  <c r="C24" i="4"/>
  <c r="B14" i="8" s="1"/>
  <c r="C14" i="8" s="1"/>
  <c r="D14" i="8" s="1"/>
  <c r="E14" i="8" s="1"/>
  <c r="F14" i="8" s="1"/>
  <c r="G14" i="8" s="1"/>
  <c r="H14" i="8" s="1"/>
  <c r="I14" i="8" s="1"/>
  <c r="J14" i="8" s="1"/>
  <c r="K14" i="8" s="1"/>
  <c r="C23" i="4"/>
  <c r="C17" i="4"/>
  <c r="B12" i="4"/>
  <c r="B11" i="4"/>
  <c r="B9" i="4"/>
  <c r="A29" i="8"/>
  <c r="L5" i="4"/>
  <c r="C22" i="4" l="1"/>
  <c r="B19" i="6"/>
  <c r="B13" i="8"/>
  <c r="C13" i="8" s="1"/>
  <c r="D24" i="4"/>
  <c r="B20" i="6"/>
  <c r="B28" i="6" s="1"/>
  <c r="C16" i="4"/>
  <c r="E53" i="4"/>
  <c r="B8" i="4"/>
  <c r="C15" i="4"/>
  <c r="B12" i="8" l="1"/>
  <c r="C33" i="4"/>
  <c r="C35" i="4" s="1"/>
  <c r="E37" i="4" s="1"/>
  <c r="B3" i="8"/>
  <c r="C3" i="8" s="1"/>
  <c r="B13" i="6"/>
  <c r="B14" i="6" s="1"/>
  <c r="D36" i="4"/>
  <c r="I6" i="4"/>
  <c r="D13" i="8"/>
  <c r="E13" i="8"/>
  <c r="F13" i="8"/>
  <c r="G13" i="8"/>
  <c r="H13" i="8"/>
  <c r="I13" i="8"/>
  <c r="J13" i="8"/>
  <c r="K13" i="8"/>
  <c r="C20" i="6"/>
  <c r="E38" i="8"/>
  <c r="K28" i="8"/>
  <c r="D38" i="8"/>
  <c r="C38" i="8"/>
  <c r="B38" i="8"/>
  <c r="B45" i="8" s="1"/>
  <c r="C45" i="8" s="1"/>
  <c r="D45" i="8" s="1"/>
  <c r="B39" i="6"/>
  <c r="C28" i="8"/>
  <c r="D28" i="8"/>
  <c r="E28" i="8"/>
  <c r="F28" i="8"/>
  <c r="G28" i="8"/>
  <c r="H28" i="8"/>
  <c r="I28" i="8"/>
  <c r="K38" i="8"/>
  <c r="J38" i="8"/>
  <c r="I38" i="8"/>
  <c r="H38" i="8"/>
  <c r="G38" i="8"/>
  <c r="F38" i="8"/>
  <c r="J28" i="8"/>
  <c r="I5" i="4"/>
  <c r="I4" i="4"/>
  <c r="B15" i="6"/>
  <c r="G39" i="6"/>
  <c r="H9" i="4"/>
  <c r="F39" i="6"/>
  <c r="E39" i="6"/>
  <c r="D39" i="6"/>
  <c r="C39" i="6"/>
  <c r="H39" i="6"/>
  <c r="D19" i="6"/>
  <c r="H15" i="4"/>
  <c r="B37" i="4"/>
  <c r="C18" i="4"/>
  <c r="E45" i="8" l="1"/>
  <c r="F45" i="8" s="1"/>
  <c r="G45" i="8" s="1"/>
  <c r="H45" i="8" s="1"/>
  <c r="I45" i="8" s="1"/>
  <c r="J45" i="8" s="1"/>
  <c r="K45" i="8" s="1"/>
  <c r="C12" i="8"/>
  <c r="C4" i="8"/>
  <c r="B25" i="6"/>
  <c r="C13" i="6"/>
  <c r="B4" i="8"/>
  <c r="B8" i="8"/>
  <c r="D20" i="6"/>
  <c r="D3" i="8"/>
  <c r="C36" i="4"/>
  <c r="C29" i="4"/>
  <c r="B35" i="4"/>
  <c r="E35" i="4" s="1"/>
  <c r="F34" i="6"/>
  <c r="G34" i="6"/>
  <c r="H34" i="6"/>
  <c r="B34" i="6"/>
  <c r="C34" i="6"/>
  <c r="E34" i="6"/>
  <c r="D34" i="6"/>
  <c r="C25" i="6"/>
  <c r="E19" i="6"/>
  <c r="G45" i="6"/>
  <c r="C37" i="4"/>
  <c r="K46" i="8" l="1"/>
  <c r="L46" i="8"/>
  <c r="B29" i="8"/>
  <c r="B35" i="6"/>
  <c r="F19" i="6"/>
  <c r="C8" i="8"/>
  <c r="C28" i="6"/>
  <c r="C30" i="6" s="1"/>
  <c r="C14" i="6"/>
  <c r="C15" i="8"/>
  <c r="D15" i="8"/>
  <c r="D4" i="8"/>
  <c r="E20" i="6"/>
  <c r="D29" i="4"/>
  <c r="B30" i="6"/>
  <c r="B33" i="6" s="1"/>
  <c r="B15" i="8"/>
  <c r="B22" i="8" s="1"/>
  <c r="B24" i="8" s="1"/>
  <c r="B25" i="8" s="1"/>
  <c r="D12" i="8"/>
  <c r="D8" i="8"/>
  <c r="E3" i="8"/>
  <c r="B38" i="4"/>
  <c r="C38" i="4" s="1"/>
  <c r="H21" i="4"/>
  <c r="G19" i="6"/>
  <c r="D13" i="6"/>
  <c r="C15" i="6"/>
  <c r="H12" i="4" l="1"/>
  <c r="H14" i="4"/>
  <c r="D22" i="8"/>
  <c r="D24" i="8" s="1"/>
  <c r="C22" i="8"/>
  <c r="C24" i="8" s="1"/>
  <c r="C25" i="8" s="1"/>
  <c r="D21" i="6"/>
  <c r="D14" i="6"/>
  <c r="E15" i="8"/>
  <c r="E4" i="8"/>
  <c r="B36" i="6"/>
  <c r="B41" i="6" s="1"/>
  <c r="F20" i="6"/>
  <c r="E12" i="8"/>
  <c r="F3" i="8"/>
  <c r="E8" i="8"/>
  <c r="H16" i="4"/>
  <c r="B38" i="6"/>
  <c r="E13" i="6"/>
  <c r="D15" i="6"/>
  <c r="D25" i="6"/>
  <c r="H19" i="6"/>
  <c r="E22" i="8" l="1"/>
  <c r="E24" i="8" s="1"/>
  <c r="C30" i="8"/>
  <c r="D28" i="6"/>
  <c r="D30" i="6" s="1"/>
  <c r="E21" i="6"/>
  <c r="E14" i="6"/>
  <c r="B37" i="6"/>
  <c r="F15" i="8"/>
  <c r="F4" i="8"/>
  <c r="G20" i="6"/>
  <c r="B30" i="8"/>
  <c r="C33" i="6"/>
  <c r="D25" i="8"/>
  <c r="D30" i="8"/>
  <c r="F12" i="8"/>
  <c r="F8" i="8"/>
  <c r="G3" i="8"/>
  <c r="B42" i="6"/>
  <c r="E25" i="6"/>
  <c r="E15" i="6"/>
  <c r="F13" i="6"/>
  <c r="B33" i="8" l="1"/>
  <c r="F22" i="8"/>
  <c r="F24" i="8" s="1"/>
  <c r="F25" i="8" s="1"/>
  <c r="D32" i="8"/>
  <c r="O8" i="8"/>
  <c r="P8" i="8" s="1"/>
  <c r="B32" i="8"/>
  <c r="O6" i="8"/>
  <c r="P6" i="8" s="1"/>
  <c r="C32" i="8"/>
  <c r="O7" i="8"/>
  <c r="P7" i="8" s="1"/>
  <c r="C33" i="8"/>
  <c r="D39" i="8"/>
  <c r="D40" i="8" s="1"/>
  <c r="L6" i="4"/>
  <c r="B39" i="8"/>
  <c r="B40" i="8" s="1"/>
  <c r="C39" i="8"/>
  <c r="C41" i="8" s="1"/>
  <c r="C31" i="8"/>
  <c r="L7" i="4"/>
  <c r="E28" i="6"/>
  <c r="E30" i="6" s="1"/>
  <c r="E33" i="6" s="1"/>
  <c r="E38" i="6" s="1"/>
  <c r="F21" i="6"/>
  <c r="F14" i="6"/>
  <c r="G15" i="8"/>
  <c r="G4" i="8"/>
  <c r="D31" i="8"/>
  <c r="L8" i="4"/>
  <c r="H20" i="6"/>
  <c r="B31" i="8"/>
  <c r="C36" i="6"/>
  <c r="C38" i="6"/>
  <c r="E25" i="8"/>
  <c r="E30" i="8"/>
  <c r="G12" i="8"/>
  <c r="H3" i="8"/>
  <c r="G8" i="8"/>
  <c r="D33" i="8"/>
  <c r="D33" i="6"/>
  <c r="G13" i="6"/>
  <c r="F25" i="6"/>
  <c r="F15" i="6"/>
  <c r="B41" i="8" l="1"/>
  <c r="B42" i="8" s="1"/>
  <c r="F30" i="8"/>
  <c r="F39" i="8" s="1"/>
  <c r="F40" i="8" s="1"/>
  <c r="D41" i="8"/>
  <c r="D42" i="8" s="1"/>
  <c r="F32" i="8"/>
  <c r="O10" i="8"/>
  <c r="P10" i="8" s="1"/>
  <c r="E32" i="8"/>
  <c r="O9" i="8"/>
  <c r="P9" i="8" s="1"/>
  <c r="E39" i="8"/>
  <c r="E40" i="8" s="1"/>
  <c r="G22" i="8"/>
  <c r="G24" i="8" s="1"/>
  <c r="C40" i="8"/>
  <c r="C42" i="8"/>
  <c r="F28" i="6"/>
  <c r="F30" i="6" s="1"/>
  <c r="F33" i="6" s="1"/>
  <c r="G21" i="6"/>
  <c r="G14" i="6"/>
  <c r="H15" i="8"/>
  <c r="H4" i="8"/>
  <c r="F31" i="8"/>
  <c r="L10" i="4"/>
  <c r="E31" i="8"/>
  <c r="L9" i="4"/>
  <c r="C41" i="6"/>
  <c r="C42" i="6" s="1"/>
  <c r="C37" i="6"/>
  <c r="E36" i="6"/>
  <c r="E37" i="6" s="1"/>
  <c r="H12" i="8"/>
  <c r="H8" i="8"/>
  <c r="I3" i="8"/>
  <c r="E33" i="8"/>
  <c r="F33" i="8"/>
  <c r="D36" i="6"/>
  <c r="D41" i="6" s="1"/>
  <c r="D42" i="6" s="1"/>
  <c r="D38" i="6"/>
  <c r="G15" i="6"/>
  <c r="H13" i="6"/>
  <c r="G25" i="6"/>
  <c r="E41" i="8" l="1"/>
  <c r="F41" i="8"/>
  <c r="H22" i="8"/>
  <c r="H24" i="8" s="1"/>
  <c r="H25" i="8" s="1"/>
  <c r="G28" i="6"/>
  <c r="G30" i="6" s="1"/>
  <c r="G33" i="6" s="1"/>
  <c r="G38" i="6" s="1"/>
  <c r="L4" i="4"/>
  <c r="H21" i="6"/>
  <c r="H14" i="6"/>
  <c r="I15" i="8"/>
  <c r="I4" i="8"/>
  <c r="E41" i="6"/>
  <c r="E42" i="6" s="1"/>
  <c r="D37" i="6"/>
  <c r="E42" i="8"/>
  <c r="I12" i="8"/>
  <c r="J3" i="8"/>
  <c r="I8" i="8"/>
  <c r="G25" i="8"/>
  <c r="G30" i="8"/>
  <c r="F42" i="8"/>
  <c r="F36" i="6"/>
  <c r="F37" i="6" s="1"/>
  <c r="F38" i="6"/>
  <c r="H15" i="6"/>
  <c r="H25" i="6"/>
  <c r="G32" i="8" l="1"/>
  <c r="O11" i="8"/>
  <c r="P11" i="8" s="1"/>
  <c r="H30" i="8"/>
  <c r="I22" i="8"/>
  <c r="I24" i="8" s="1"/>
  <c r="G31" i="8"/>
  <c r="G39" i="8"/>
  <c r="G40" i="8" s="1"/>
  <c r="H31" i="8"/>
  <c r="H39" i="8"/>
  <c r="H40" i="8" s="1"/>
  <c r="H28" i="6"/>
  <c r="H30" i="6" s="1"/>
  <c r="H33" i="6" s="1"/>
  <c r="H38" i="6" s="1"/>
  <c r="J15" i="8"/>
  <c r="J4" i="8"/>
  <c r="G36" i="6"/>
  <c r="G41" i="6" s="1"/>
  <c r="G42" i="6" s="1"/>
  <c r="H33" i="8"/>
  <c r="F41" i="6"/>
  <c r="F42" i="6" s="1"/>
  <c r="G33" i="8"/>
  <c r="J12" i="8"/>
  <c r="K3" i="8"/>
  <c r="K8" i="8" s="1"/>
  <c r="J8" i="8"/>
  <c r="H41" i="8" l="1"/>
  <c r="H42" i="8" s="1"/>
  <c r="G41" i="8"/>
  <c r="G42" i="8" s="1"/>
  <c r="H32" i="8"/>
  <c r="O12" i="8"/>
  <c r="P12" i="8" s="1"/>
  <c r="J22" i="8"/>
  <c r="J24" i="8" s="1"/>
  <c r="K15" i="8"/>
  <c r="K4" i="8"/>
  <c r="G37" i="6"/>
  <c r="K12" i="8"/>
  <c r="H36" i="6"/>
  <c r="H41" i="6" s="1"/>
  <c r="H42" i="6" s="1"/>
  <c r="G43" i="6" s="1"/>
  <c r="I25" i="8"/>
  <c r="I30" i="8"/>
  <c r="I32" i="8" l="1"/>
  <c r="O13" i="8"/>
  <c r="P13" i="8" s="1"/>
  <c r="K22" i="8"/>
  <c r="K24" i="8" s="1"/>
  <c r="I31" i="8"/>
  <c r="I39" i="8"/>
  <c r="I41" i="8" s="1"/>
  <c r="H37" i="6"/>
  <c r="I33" i="8"/>
  <c r="J25" i="8"/>
  <c r="J30" i="8"/>
  <c r="I40" i="8" l="1"/>
  <c r="J32" i="8"/>
  <c r="O14" i="8"/>
  <c r="P14" i="8" s="1"/>
  <c r="J31" i="8"/>
  <c r="J39" i="8"/>
  <c r="J41" i="8" s="1"/>
  <c r="I42" i="8"/>
  <c r="J40" i="8"/>
  <c r="J33" i="8"/>
  <c r="K25" i="8"/>
  <c r="K30" i="8"/>
  <c r="O15" i="8" s="1"/>
  <c r="P15" i="8" s="1"/>
  <c r="P16" i="8" l="1"/>
  <c r="O16" i="8"/>
  <c r="L30" i="8"/>
  <c r="K32" i="8"/>
  <c r="L32" i="8" s="1"/>
  <c r="K31" i="8"/>
  <c r="K39" i="8"/>
  <c r="K41" i="8" s="1"/>
  <c r="J42" i="8"/>
  <c r="K40" i="8"/>
  <c r="K33" i="8"/>
  <c r="K42" i="8" l="1"/>
  <c r="L4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4" authorId="0" shapeId="0" xr:uid="{0E0AC337-C150-4A2F-B023-233FFC82FE0A}">
      <text>
        <r>
          <rPr>
            <b/>
            <sz val="9"/>
            <color indexed="81"/>
            <rFont val="Tahoma"/>
            <family val="2"/>
          </rPr>
          <t>Matt Smith:</t>
        </r>
        <r>
          <rPr>
            <sz val="9"/>
            <color indexed="81"/>
            <rFont val="Tahoma"/>
            <family val="2"/>
          </rPr>
          <t xml:space="preserve">
initial investment</t>
        </r>
      </text>
    </comment>
    <comment ref="H4" authorId="0" shapeId="0" xr:uid="{91BDE7CB-8434-4E63-BE17-8CDDC4F6287C}">
      <text>
        <r>
          <rPr>
            <b/>
            <sz val="9"/>
            <color indexed="81"/>
            <rFont val="Tahoma"/>
            <family val="2"/>
          </rPr>
          <t>Matt Smith:</t>
        </r>
        <r>
          <rPr>
            <sz val="9"/>
            <color indexed="81"/>
            <rFont val="Tahoma"/>
            <family val="2"/>
          </rPr>
          <t xml:space="preserve">
initial investment</t>
        </r>
      </text>
    </comment>
  </commentList>
</comments>
</file>

<file path=xl/sharedStrings.xml><?xml version="1.0" encoding="utf-8"?>
<sst xmlns="http://schemas.openxmlformats.org/spreadsheetml/2006/main" count="214" uniqueCount="176">
  <si>
    <t>Heloc Down Payment</t>
  </si>
  <si>
    <t>Heloc Loan Terms</t>
  </si>
  <si>
    <t>yrs</t>
  </si>
  <si>
    <t>asking price</t>
  </si>
  <si>
    <t>HELOC Payment</t>
  </si>
  <si>
    <t>HELOC Interest Only Payment</t>
  </si>
  <si>
    <t>IRR</t>
  </si>
  <si>
    <t>Purchase Price</t>
  </si>
  <si>
    <t>Initial Investment</t>
  </si>
  <si>
    <t>Closing Costs (4%)</t>
  </si>
  <si>
    <t>Conventional Loan Interest Rate</t>
  </si>
  <si>
    <t>Year 1 Cashflow</t>
  </si>
  <si>
    <t>Down Payment (20%) - HELOC</t>
  </si>
  <si>
    <t>downpayment</t>
  </si>
  <si>
    <t>Loan Term</t>
  </si>
  <si>
    <t>Year 2 Cashflow</t>
  </si>
  <si>
    <t>Total Loan Amount</t>
  </si>
  <si>
    <t>Monthly Interest Payment on Purchase Price</t>
  </si>
  <si>
    <t>Year 3 Cashflow</t>
  </si>
  <si>
    <t>Down Payment - Cash</t>
  </si>
  <si>
    <t>Year 4 Cashflow</t>
  </si>
  <si>
    <t>Financials</t>
  </si>
  <si>
    <t>Year 5 Cashflow</t>
  </si>
  <si>
    <t>All In Price (Purchase+Repairs)</t>
  </si>
  <si>
    <t>Cash On Cash Return (CoC)</t>
  </si>
  <si>
    <t>assumes 2%/yr appreciation</t>
  </si>
  <si>
    <t>Estimated ARV (After Repair Value)</t>
  </si>
  <si>
    <t>ROI (Return on Investment)</t>
  </si>
  <si>
    <t>ROE (Return on Equity)</t>
  </si>
  <si>
    <t>Monthly</t>
  </si>
  <si>
    <t>Annually</t>
  </si>
  <si>
    <t>Mortgage Pay Down yr 1</t>
  </si>
  <si>
    <t>Average Rent</t>
  </si>
  <si>
    <t>Rules of Thumb</t>
  </si>
  <si>
    <t>Additional Income (Laundry)</t>
  </si>
  <si>
    <t>50% Rule</t>
  </si>
  <si>
    <t>Calculated Gross Revenue</t>
  </si>
  <si>
    <t>2% Rule</t>
  </si>
  <si>
    <t>DSCR</t>
  </si>
  <si>
    <t>Estimated Expenses</t>
  </si>
  <si>
    <t>Management Fees</t>
  </si>
  <si>
    <t>Property Taxes / Year</t>
  </si>
  <si>
    <t>Insurance / Year</t>
  </si>
  <si>
    <t>HOA / year</t>
  </si>
  <si>
    <t>Electricity</t>
  </si>
  <si>
    <t>Nat Gas</t>
  </si>
  <si>
    <t>Water/Sewer</t>
  </si>
  <si>
    <t>Building Maintenance</t>
  </si>
  <si>
    <t>Grounds Cleanup/Services Maintenance/Snow Removal</t>
  </si>
  <si>
    <t>Totals</t>
  </si>
  <si>
    <t>Net Operating Income</t>
  </si>
  <si>
    <t>Conventional Loan Payment</t>
  </si>
  <si>
    <t>Cap Rate</t>
  </si>
  <si>
    <t>Cash Flow</t>
  </si>
  <si>
    <t>Estimated CapEx</t>
  </si>
  <si>
    <t>Timeline of Repair (yrs)</t>
  </si>
  <si>
    <t xml:space="preserve">Cost per Unit </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</si>
  <si>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</si>
  <si>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</si>
  <si>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</si>
  <si>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</si>
  <si>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</si>
  <si>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</si>
  <si>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</si>
  <si>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</si>
  <si>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</si>
  <si>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</si>
  <si>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</si>
  <si>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</si>
  <si>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</si>
  <si>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HELOC P&amp;I Payment</t>
  </si>
  <si>
    <t>Tax Savings at 33%</t>
  </si>
  <si>
    <t>cash</t>
  </si>
  <si>
    <t>Year 1</t>
  </si>
  <si>
    <t>Year 2</t>
  </si>
  <si>
    <t>Year 3</t>
  </si>
  <si>
    <t>Year 4</t>
  </si>
  <si>
    <t>Year 5</t>
  </si>
  <si>
    <t>Year 6</t>
  </si>
  <si>
    <t>Year 7</t>
  </si>
  <si>
    <t xml:space="preserve">Maintenance </t>
  </si>
  <si>
    <t xml:space="preserve">Property Appreciation </t>
  </si>
  <si>
    <t>Rental Appreciation</t>
  </si>
  <si>
    <t>Tax/Insurance/HOA  Appreciation</t>
  </si>
  <si>
    <t>Revenues</t>
  </si>
  <si>
    <t>Rental Income</t>
  </si>
  <si>
    <t>Vacancy Rate</t>
  </si>
  <si>
    <t>Net Rental Income</t>
  </si>
  <si>
    <t>Expenses</t>
  </si>
  <si>
    <t>Property Taxes</t>
  </si>
  <si>
    <t>Insurance</t>
  </si>
  <si>
    <t>Property Mgmt</t>
  </si>
  <si>
    <t>Lease Fee</t>
  </si>
  <si>
    <t>HOA</t>
  </si>
  <si>
    <t>Maintenance &amp; Repairs</t>
  </si>
  <si>
    <r>
      <t xml:space="preserve">    </t>
    </r>
    <r>
      <rPr>
        <b/>
        <sz val="11"/>
        <color theme="1"/>
        <rFont val="Helvetica"/>
        <family val="2"/>
      </rPr>
      <t>Total Expenses</t>
    </r>
  </si>
  <si>
    <t>Net Operating Income (NOI)</t>
  </si>
  <si>
    <t>NOI (Cash Available)</t>
  </si>
  <si>
    <t>Equity Accrued</t>
  </si>
  <si>
    <t>Appreciation</t>
  </si>
  <si>
    <t xml:space="preserve">    Total Return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</si>
  <si>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</si>
  <si>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</si>
  <si>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</si>
  <si>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</si>
  <si>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</si>
  <si>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Vacancy</t>
  </si>
  <si>
    <t>Conventional Mortgage</t>
  </si>
  <si>
    <t>HELOC Mortgage</t>
  </si>
  <si>
    <t>HELOC Amount</t>
  </si>
  <si>
    <t>Monthly Cash Flow</t>
  </si>
  <si>
    <t>Total Cash Flow</t>
  </si>
  <si>
    <t>$5000 management credit</t>
  </si>
  <si>
    <t>Property Income</t>
  </si>
  <si>
    <t>Rent</t>
  </si>
  <si>
    <t>Operating Income</t>
  </si>
  <si>
    <t>Property Expenses</t>
  </si>
  <si>
    <t>Leasing Fee</t>
  </si>
  <si>
    <t>Annual Safety Inspection</t>
  </si>
  <si>
    <t>Management Renewal Fee</t>
  </si>
  <si>
    <t>HOA Fees</t>
  </si>
  <si>
    <t>Operating Expenses</t>
  </si>
  <si>
    <t>Capitalization Rate (CAP Rate)</t>
  </si>
  <si>
    <t>Key Investment Indicators</t>
  </si>
  <si>
    <t>Mortgage Payment</t>
  </si>
  <si>
    <t>Net Cash Flow</t>
  </si>
  <si>
    <t>Cash on Cash ROI</t>
  </si>
  <si>
    <t>Property Value</t>
  </si>
  <si>
    <t>Property Appreciation</t>
  </si>
  <si>
    <t>Mortgage Principle Reduction</t>
  </si>
  <si>
    <t>Tax ROI</t>
  </si>
  <si>
    <t>Total ROI</t>
  </si>
  <si>
    <t>Management Fee</t>
  </si>
  <si>
    <t>Property Taxes (1.5%)</t>
  </si>
  <si>
    <t>Insurance (1.5%)</t>
  </si>
  <si>
    <t>Less 4% Vacancy</t>
  </si>
  <si>
    <t>Maintenance/Repairs (4%)</t>
  </si>
  <si>
    <t>Yearly Safety Inspection</t>
  </si>
  <si>
    <t>Net Tax Savings (33% Bracket)</t>
  </si>
  <si>
    <t>Vacancy Loss</t>
  </si>
  <si>
    <t>Rent Appreciation</t>
  </si>
  <si>
    <t>2811 Cordell Memphis TN</t>
  </si>
  <si>
    <t>Yearly Inspection</t>
  </si>
  <si>
    <t>Interest Only - Pay off on 1 year anniversary</t>
  </si>
  <si>
    <t>Monthly Rent</t>
  </si>
  <si>
    <t>Umbrella Insurance</t>
  </si>
  <si>
    <t>Umbrella Insurance (Allstate Anchorage)</t>
  </si>
  <si>
    <t>earnest money</t>
  </si>
  <si>
    <t>Total Cost</t>
  </si>
  <si>
    <t>Emergency Fund Needed (6 months)</t>
  </si>
  <si>
    <t>months</t>
  </si>
  <si>
    <t>AAR</t>
  </si>
  <si>
    <t>Year</t>
  </si>
  <si>
    <t>ROI</t>
  </si>
  <si>
    <t>CAGR</t>
  </si>
  <si>
    <t>NOI/value</t>
  </si>
  <si>
    <t>Equity Multiplier</t>
  </si>
  <si>
    <t>Annual ROI</t>
  </si>
  <si>
    <t>Present Value=Future Value /( 1+i)^n</t>
  </si>
  <si>
    <t>interest</t>
  </si>
  <si>
    <t>time (yrs)</t>
  </si>
  <si>
    <t>projected Cash On Cash Return</t>
  </si>
  <si>
    <t>initial investment</t>
  </si>
  <si>
    <t>hold period</t>
  </si>
  <si>
    <t>Future</t>
  </si>
  <si>
    <t>Equity Multiple</t>
  </si>
  <si>
    <t>Cash On Cash</t>
  </si>
  <si>
    <t>Assumed Appreciation</t>
  </si>
  <si>
    <t>Desired Return</t>
  </si>
  <si>
    <t>match stock market</t>
  </si>
  <si>
    <t>Total Return (Not counting appreciation)</t>
  </si>
  <si>
    <t>PV of all cash flows</t>
  </si>
  <si>
    <t>FV of all cash flows</t>
  </si>
  <si>
    <t>Total Property Equity (not counting appreciation)</t>
  </si>
  <si>
    <t>Appreciation CAGR</t>
  </si>
  <si>
    <t>NPV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</si>
</sst>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years&quot;"/>
    <numFmt numFmtId="169" formatCode="##\ &quot;months&quot;"/>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9C0006"/>
      <name val="Aptos Narrow"/>
      <family val="2"/>
      <scheme val="minor"/>
    </font>
    <font>
      <sz val="12"/>
      <color theme="1"/>
      <name val="Aptos Narrow"/>
      <family val="2"/>
      <scheme val="minor"/>
    </font>
    <font>
      <b/>
      <sz val="12"/>
      <color theme="1"/>
      <name val="Aptos Narrow"/>
      <family val="2"/>
      <scheme val="minor"/>
    </font>
    <font>
      <b/>
      <sz val="11"/>
      <color theme="1"/>
      <name val="Helvetica"/>
      <family val="2"/>
    </font>
    <font>
      <sz val="11"/>
      <color theme="1"/>
      <name val="Helvetica"/>
      <family val="2"/>
    </font>
    <font>
      <sz val="9"/>
      <color theme="1"/>
      <name val="Helvetica"/>
      <family val="2"/>
    </font>
    <font>
      <b/>
      <sz val="11"/>
      <color theme="1"/>
      <name val="Arial"/>
      <family val="2"/>
    </font>
    <font>
      <sz val="12"/>
      <color theme="1"/>
      <name val="Arial"/>
      <family val="2"/>
    </font>
    <font>
      <sz val="11"/>
      <color theme="1"/>
      <name val="Helvetica"/>
    </font>
    <font>
      <sz val="9"/>
      <color indexed="81"/>
      <name val="Tahoma"/>
      <family val="2"/>
    </font>
    <font>
      <b/>
      <sz val="9"/>
      <color indexed="81"/>
      <name val="Tahoma"/>
      <family val="2"/>
    </font>
  </fonts>
  <fills count="9">
    <fill>
      <patternFill patternType="none"/>
    </fill>
    <fill>
      <patternFill patternType="gray125"/>
    </fill>
    <fill>
      <patternFill patternType="solid">
        <fgColor theme="9" tint="0.59999389629810485"/>
        <bgColor indexed="64"/>
      </patternFill>
    </fill>
    <fill>
      <patternFill patternType="solid">
        <fgColor rgb="FFFFC7CE"/>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diagonal/>
    </border>
    <border>
      <left style="medium">
        <color auto="1"/>
      </left>
      <right/>
      <top/>
      <bottom style="thin">
        <color auto="1"/>
      </bottom>
      <diagonal/>
    </border>
    <border>
      <left/>
      <right style="medium">
        <color auto="1"/>
      </right>
      <top/>
      <bottom style="thin">
        <color indexed="64"/>
      </bottom>
      <diagonal/>
    </border>
    <border>
      <left style="thin">
        <color auto="1"/>
      </left>
      <right style="medium">
        <color indexed="64"/>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bottom/>
      <diagonal/>
    </border>
    <border>
      <left style="medium">
        <color indexed="64"/>
      </left>
      <right/>
      <top style="thin">
        <color auto="1"/>
      </top>
      <bottom/>
      <diagonal/>
    </border>
    <border>
      <left/>
      <right style="medium">
        <color indexed="64"/>
      </right>
      <top style="thin">
        <color indexed="64"/>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medium">
        <color auto="1"/>
      </top>
      <bottom/>
      <diagonal/>
    </border>
    <border>
      <left style="thin">
        <color indexed="64"/>
      </left>
      <right/>
      <top style="thin">
        <color indexed="64"/>
      </top>
      <bottom style="thin">
        <color indexed="64"/>
      </bottom>
      <diagonal/>
    </border>
    <border>
      <left/>
      <right/>
      <top/>
      <bottom style="medium">
        <color auto="1"/>
      </bottom>
      <diagonal/>
    </border>
    <border>
      <left style="thin">
        <color indexed="64"/>
      </left>
      <right/>
      <top/>
      <bottom style="medium">
        <color indexed="64"/>
      </bottom>
      <diagonal/>
    </border>
    <border>
      <left/>
      <right style="thin">
        <color auto="1"/>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3" borderId="0" applyNumberFormat="0" applyBorder="0" applyAlignment="0" applyProtection="0"/>
    <xf numFmtId="0" fontId="4" fillId="0" borderId="0"/>
    <xf numFmtId="9" fontId="4" fillId="0" borderId="0" applyFont="0" applyFill="0" applyBorder="0" applyAlignment="0" applyProtection="0"/>
  </cellStyleXfs>
  <cellXfs count="219">
    <xf numFmtId="0" fontId="0" fillId="0" borderId="0" xfId="0"/>
    <xf numFmtId="0" fontId="2" fillId="0" borderId="0" xfId="0" applyFont="1"/>
    <xf numFmtId="10" fontId="0" fillId="2" borderId="0" xfId="2" applyNumberFormat="1" applyFont="1" applyFill="1"/>
    <xf numFmtId="0" fontId="0" fillId="2" borderId="0" xfId="0" applyFill="1"/>
    <xf numFmtId="44" fontId="0" fillId="0" borderId="0" xfId="1" applyFont="1"/>
    <xf numFmtId="0" fontId="0" fillId="0" borderId="1" xfId="0" applyBorder="1"/>
    <xf numFmtId="8" fontId="0" fillId="0" borderId="1" xfId="0" applyNumberFormat="1" applyBorder="1"/>
    <xf numFmtId="8" fontId="0" fillId="0" borderId="0" xfId="0" applyNumberFormat="1"/>
    <xf numFmtId="9" fontId="0" fillId="0" borderId="1" xfId="0" applyNumberFormat="1" applyBorder="1"/>
    <xf numFmtId="44" fontId="0" fillId="2" borderId="0" xfId="1" applyFont="1" applyFill="1"/>
    <xf numFmtId="44" fontId="0" fillId="0" borderId="0" xfId="0" applyNumberFormat="1"/>
    <xf numFmtId="10" fontId="0" fillId="2" borderId="1" xfId="2" applyNumberFormat="1" applyFont="1" applyFill="1" applyBorder="1"/>
    <xf numFmtId="0" fontId="0" fillId="0" borderId="2" xfId="0" applyBorder="1"/>
    <xf numFmtId="44" fontId="0" fillId="0" borderId="3" xfId="1" applyFont="1" applyBorder="1"/>
    <xf numFmtId="9" fontId="0" fillId="2" borderId="0" xfId="2" applyFont="1" applyFill="1"/>
    <xf numFmtId="0" fontId="0" fillId="2" borderId="1" xfId="0" applyFill="1" applyBorder="1"/>
    <xf numFmtId="44" fontId="0" fillId="0" borderId="1" xfId="1" applyFont="1" applyBorder="1"/>
    <xf numFmtId="8" fontId="0" fillId="0" borderId="1" xfId="1" applyNumberFormat="1" applyFont="1" applyBorder="1"/>
    <xf numFmtId="44" fontId="0" fillId="0" borderId="0" xfId="1" applyFont="1" applyBorder="1"/>
    <xf numFmtId="0" fontId="0" fillId="0" borderId="4" xfId="0" applyBorder="1" applyAlignment="1">
      <alignment horizontal="center"/>
    </xf>
    <xf numFmtId="0" fontId="0" fillId="0" borderId="5" xfId="0" applyBorder="1" applyAlignment="1">
      <alignment horizontal="center"/>
    </xf>
    <xf numFmtId="164" fontId="0" fillId="0" borderId="0" xfId="1" applyNumberFormat="1" applyFont="1"/>
    <xf numFmtId="0" fontId="0" fillId="0" borderId="6" xfId="0" applyBorder="1"/>
    <xf numFmtId="165" fontId="0" fillId="0" borderId="7" xfId="2" applyNumberFormat="1" applyFont="1" applyBorder="1"/>
    <xf numFmtId="0" fontId="0" fillId="0" borderId="0" xfId="0" applyAlignment="1">
      <alignment horizontal="left"/>
    </xf>
    <xf numFmtId="164" fontId="2" fillId="0" borderId="0" xfId="1" applyNumberFormat="1" applyFont="1"/>
    <xf numFmtId="0" fontId="0" fillId="0" borderId="8" xfId="0" applyBorder="1" applyAlignment="1">
      <alignment wrapText="1"/>
    </xf>
    <xf numFmtId="164" fontId="0" fillId="0" borderId="9" xfId="1" applyNumberFormat="1" applyFont="1" applyBorder="1"/>
    <xf numFmtId="164" fontId="0" fillId="2" borderId="1" xfId="1" applyNumberFormat="1" applyFont="1" applyFill="1" applyBorder="1"/>
    <xf numFmtId="164" fontId="0" fillId="0" borderId="1" xfId="0" applyNumberFormat="1" applyBorder="1"/>
    <xf numFmtId="164" fontId="0" fillId="0" borderId="1" xfId="1" applyNumberFormat="1" applyFont="1" applyBorder="1"/>
    <xf numFmtId="0" fontId="2" fillId="0" borderId="1" xfId="0" applyFont="1" applyBorder="1"/>
    <xf numFmtId="0" fontId="0" fillId="0" borderId="0" xfId="0" applyAlignment="1">
      <alignment horizontal="center"/>
    </xf>
    <xf numFmtId="0" fontId="0" fillId="0" borderId="10" xfId="0" applyBorder="1"/>
    <xf numFmtId="164" fontId="0" fillId="2" borderId="10" xfId="1" applyNumberFormat="1" applyFont="1" applyFill="1" applyBorder="1"/>
    <xf numFmtId="164" fontId="0" fillId="0" borderId="10" xfId="0" applyNumberFormat="1" applyBorder="1"/>
    <xf numFmtId="44" fontId="0" fillId="0" borderId="1" xfId="0" applyNumberFormat="1" applyBorder="1"/>
    <xf numFmtId="0" fontId="2" fillId="0" borderId="11" xfId="0" applyFont="1" applyBorder="1"/>
    <xf numFmtId="164" fontId="2" fillId="0" borderId="12" xfId="1" applyNumberFormat="1" applyFont="1" applyBorder="1"/>
    <xf numFmtId="164" fontId="2" fillId="0" borderId="13" xfId="0" applyNumberFormat="1" applyFont="1" applyBorder="1"/>
    <xf numFmtId="10" fontId="0" fillId="0" borderId="1" xfId="2" applyNumberFormat="1" applyFont="1" applyBorder="1"/>
    <xf numFmtId="2" fontId="0" fillId="0" borderId="1" xfId="0" applyNumberFormat="1" applyBorder="1"/>
    <xf numFmtId="1" fontId="0" fillId="0" borderId="0" xfId="1" applyNumberFormat="1" applyFont="1" applyBorder="1"/>
    <xf numFmtId="6" fontId="0" fillId="0" borderId="1" xfId="0" applyNumberFormat="1" applyBorder="1"/>
    <xf numFmtId="9" fontId="0" fillId="2" borderId="1" xfId="0" applyNumberFormat="1" applyFill="1" applyBorder="1"/>
    <xf numFmtId="165" fontId="0" fillId="2" borderId="1" xfId="2" applyNumberFormat="1" applyFont="1" applyFill="1" applyBorder="1"/>
    <xf numFmtId="166" fontId="0" fillId="0" borderId="1" xfId="2" applyNumberFormat="1" applyFont="1" applyBorder="1"/>
    <xf numFmtId="164" fontId="0" fillId="0" borderId="0" xfId="1" applyNumberFormat="1" applyFont="1" applyBorder="1"/>
    <xf numFmtId="164" fontId="0" fillId="0" borderId="10" xfId="1" applyNumberFormat="1" applyFont="1" applyBorder="1"/>
    <xf numFmtId="0" fontId="0" fillId="0" borderId="11" xfId="0" applyBorder="1"/>
    <xf numFmtId="8" fontId="2" fillId="0" borderId="14" xfId="0" applyNumberFormat="1" applyFont="1" applyBorder="1"/>
    <xf numFmtId="9" fontId="0" fillId="0" borderId="13" xfId="2" applyFont="1" applyFill="1" applyBorder="1"/>
    <xf numFmtId="10" fontId="0" fillId="0" borderId="0" xfId="2" applyNumberFormat="1" applyFont="1" applyBorder="1"/>
    <xf numFmtId="164" fontId="0" fillId="0" borderId="0" xfId="0" applyNumberFormat="1"/>
    <xf numFmtId="0" fontId="2" fillId="0" borderId="2" xfId="0" applyFont="1" applyBorder="1"/>
    <xf numFmtId="2" fontId="2" fillId="0" borderId="3" xfId="0" applyNumberFormat="1" applyFont="1" applyBorder="1"/>
    <xf numFmtId="2" fontId="2" fillId="0" borderId="7" xfId="0" applyNumberFormat="1" applyFont="1" applyBorder="1"/>
    <xf numFmtId="6" fontId="0" fillId="0" borderId="0" xfId="0" applyNumberFormat="1"/>
    <xf numFmtId="0" fontId="2" fillId="0" borderId="8" xfId="0" applyFont="1" applyBorder="1"/>
    <xf numFmtId="10" fontId="2" fillId="0" borderId="9" xfId="2" applyNumberFormat="1" applyFont="1" applyBorder="1"/>
    <xf numFmtId="0" fontId="2" fillId="0" borderId="4" xfId="0" applyFont="1" applyBorder="1"/>
    <xf numFmtId="164" fontId="2" fillId="0" borderId="14" xfId="0" applyNumberFormat="1" applyFont="1" applyBorder="1"/>
    <xf numFmtId="164" fontId="2" fillId="0" borderId="5" xfId="0" applyNumberFormat="1" applyFont="1" applyBorder="1"/>
    <xf numFmtId="0" fontId="0" fillId="0" borderId="14" xfId="0" applyBorder="1" applyAlignment="1">
      <alignment horizontal="center" wrapText="1"/>
    </xf>
    <xf numFmtId="0" fontId="0" fillId="0" borderId="13" xfId="0" applyBorder="1"/>
    <xf numFmtId="10" fontId="0" fillId="0" borderId="0" xfId="2" applyNumberFormat="1" applyFont="1"/>
    <xf numFmtId="0" fontId="0" fillId="0" borderId="15" xfId="0"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 fillId="0" borderId="23" xfId="0" applyFont="1" applyBorder="1"/>
    <xf numFmtId="0" fontId="2" fillId="0" borderId="5" xfId="0" applyFont="1" applyBorder="1"/>
    <xf numFmtId="1" fontId="0" fillId="0" borderId="5" xfId="1" applyNumberFormat="1" applyFont="1" applyBorder="1"/>
    <xf numFmtId="9" fontId="0" fillId="0" borderId="1" xfId="2" applyFont="1" applyBorder="1"/>
    <xf numFmtId="44" fontId="0" fillId="0" borderId="0" xfId="1" applyFont="1" applyFill="1" applyAlignment="1"/>
    <xf numFmtId="0" fontId="0" fillId="0" borderId="6" xfId="0" applyBorder="1" applyAlignment="1">
      <alignment wrapText="1"/>
    </xf>
    <xf numFmtId="164" fontId="0" fillId="0" borderId="7" xfId="1" applyNumberFormat="1" applyFont="1" applyBorder="1"/>
    <xf numFmtId="165" fontId="0" fillId="0" borderId="3" xfId="2" applyNumberFormat="1" applyFont="1" applyBorder="1"/>
    <xf numFmtId="6" fontId="0" fillId="0" borderId="10" xfId="0" applyNumberFormat="1" applyBorder="1"/>
    <xf numFmtId="2" fontId="0" fillId="0" borderId="0" xfId="0" applyNumberFormat="1"/>
    <xf numFmtId="44" fontId="3" fillId="3" borderId="0" xfId="3" applyNumberFormat="1"/>
    <xf numFmtId="0" fontId="4" fillId="0" borderId="0" xfId="4"/>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6" xfId="4" applyBorder="1" applyAlignment="1">
      <alignment horizontal="center" vertical="center"/>
    </xf>
    <xf numFmtId="0" fontId="6" fillId="0" borderId="1" xfId="4" applyFont="1" applyBorder="1" applyAlignment="1">
      <alignment horizontal="center"/>
    </xf>
    <xf numFmtId="0" fontId="6" fillId="0" borderId="27" xfId="4" applyFont="1" applyBorder="1" applyAlignment="1">
      <alignment horizontal="center"/>
    </xf>
    <xf numFmtId="0" fontId="7" fillId="0" borderId="6" xfId="4" applyFont="1" applyBorder="1" applyAlignment="1">
      <alignment horizontal="left" vertical="center"/>
    </xf>
    <xf numFmtId="165" fontId="4" fillId="0" borderId="1" xfId="5" applyNumberFormat="1" applyFont="1" applyBorder="1" applyAlignment="1">
      <alignment horizontal="center" vertical="center"/>
    </xf>
    <xf numFmtId="165" fontId="4" fillId="0" borderId="27" xfId="5" applyNumberFormat="1" applyFont="1" applyBorder="1" applyAlignment="1">
      <alignment horizontal="center" vertical="center"/>
    </xf>
    <xf numFmtId="0" fontId="7" fillId="0" borderId="17" xfId="4" applyFont="1" applyBorder="1" applyAlignment="1">
      <alignment horizontal="left" vertical="center"/>
    </xf>
    <xf numFmtId="0" fontId="7" fillId="0" borderId="28" xfId="4" applyFont="1" applyBorder="1" applyAlignment="1">
      <alignment horizontal="center"/>
    </xf>
    <xf numFmtId="0" fontId="6" fillId="0" borderId="20" xfId="4" applyFont="1" applyBorder="1" applyAlignment="1">
      <alignment horizontal="center"/>
    </xf>
    <xf numFmtId="0" fontId="6" fillId="0" borderId="29" xfId="4" applyFont="1" applyBorder="1" applyAlignment="1">
      <alignment horizontal="center"/>
    </xf>
    <xf numFmtId="0" fontId="6" fillId="4" borderId="28" xfId="4" applyFont="1" applyFill="1" applyBorder="1"/>
    <xf numFmtId="0" fontId="6" fillId="4" borderId="1" xfId="4" applyFont="1" applyFill="1" applyBorder="1"/>
    <xf numFmtId="0" fontId="6" fillId="4" borderId="20" xfId="4" applyFont="1" applyFill="1" applyBorder="1"/>
    <xf numFmtId="0" fontId="6" fillId="4" borderId="29" xfId="4" applyFont="1" applyFill="1" applyBorder="1"/>
    <xf numFmtId="0" fontId="7" fillId="0" borderId="6" xfId="4" applyFont="1" applyBorder="1"/>
    <xf numFmtId="42" fontId="7" fillId="0" borderId="30" xfId="4" applyNumberFormat="1" applyFont="1" applyBorder="1"/>
    <xf numFmtId="42" fontId="7" fillId="0" borderId="0" xfId="4" applyNumberFormat="1" applyFont="1"/>
    <xf numFmtId="42" fontId="7" fillId="0" borderId="7" xfId="4" applyNumberFormat="1" applyFont="1" applyBorder="1"/>
    <xf numFmtId="0" fontId="6" fillId="0" borderId="28" xfId="4" applyFont="1" applyBorder="1" applyAlignment="1">
      <alignment horizontal="center"/>
    </xf>
    <xf numFmtId="42" fontId="7" fillId="0" borderId="1" xfId="4" applyNumberFormat="1" applyFont="1" applyBorder="1"/>
    <xf numFmtId="0" fontId="7" fillId="0" borderId="30" xfId="4" applyFont="1" applyBorder="1"/>
    <xf numFmtId="0" fontId="7" fillId="0" borderId="0" xfId="4" applyFont="1"/>
    <xf numFmtId="0" fontId="7" fillId="0" borderId="7" xfId="4" applyFont="1" applyBorder="1"/>
    <xf numFmtId="0" fontId="7" fillId="4" borderId="1" xfId="4" applyFont="1" applyFill="1" applyBorder="1"/>
    <xf numFmtId="0" fontId="7" fillId="4" borderId="20" xfId="4" applyFont="1" applyFill="1" applyBorder="1"/>
    <xf numFmtId="0" fontId="7" fillId="4" borderId="29" xfId="4" applyFont="1" applyFill="1" applyBorder="1"/>
    <xf numFmtId="42" fontId="7" fillId="0" borderId="27" xfId="4" applyNumberFormat="1" applyFont="1" applyBorder="1"/>
    <xf numFmtId="164" fontId="7" fillId="0" borderId="1" xfId="4" applyNumberFormat="1" applyFont="1" applyBorder="1"/>
    <xf numFmtId="0" fontId="7" fillId="0" borderId="28" xfId="4" applyFont="1" applyBorder="1"/>
    <xf numFmtId="42" fontId="6" fillId="0" borderId="1" xfId="4" applyNumberFormat="1" applyFont="1" applyBorder="1"/>
    <xf numFmtId="42" fontId="6" fillId="0" borderId="27" xfId="4" applyNumberFormat="1" applyFont="1" applyBorder="1"/>
    <xf numFmtId="0" fontId="6" fillId="5" borderId="28" xfId="4" applyFont="1" applyFill="1" applyBorder="1"/>
    <xf numFmtId="42" fontId="6" fillId="4" borderId="1" xfId="4" applyNumberFormat="1" applyFont="1" applyFill="1" applyBorder="1"/>
    <xf numFmtId="42" fontId="6" fillId="4" borderId="27" xfId="4" applyNumberFormat="1" applyFont="1" applyFill="1" applyBorder="1"/>
    <xf numFmtId="0" fontId="6" fillId="2" borderId="31" xfId="4" applyFont="1" applyFill="1" applyBorder="1"/>
    <xf numFmtId="42" fontId="7" fillId="2" borderId="10" xfId="4" applyNumberFormat="1" applyFont="1" applyFill="1" applyBorder="1"/>
    <xf numFmtId="42" fontId="7" fillId="2" borderId="22" xfId="4" applyNumberFormat="1" applyFont="1" applyFill="1" applyBorder="1"/>
    <xf numFmtId="42" fontId="7" fillId="2" borderId="32" xfId="4" applyNumberFormat="1" applyFont="1" applyFill="1" applyBorder="1"/>
    <xf numFmtId="0" fontId="6" fillId="0" borderId="6" xfId="4" applyFont="1" applyBorder="1"/>
    <xf numFmtId="5" fontId="7" fillId="0" borderId="31" xfId="4" applyNumberFormat="1" applyFont="1" applyBorder="1"/>
    <xf numFmtId="5" fontId="7" fillId="0" borderId="1" xfId="4" applyNumberFormat="1" applyFont="1" applyBorder="1"/>
    <xf numFmtId="5" fontId="8" fillId="0" borderId="6" xfId="4" applyNumberFormat="1" applyFont="1" applyBorder="1"/>
    <xf numFmtId="42" fontId="8" fillId="0" borderId="1" xfId="4" applyNumberFormat="1" applyFont="1" applyBorder="1"/>
    <xf numFmtId="42" fontId="8" fillId="0" borderId="27" xfId="4" applyNumberFormat="1" applyFont="1" applyBorder="1"/>
    <xf numFmtId="10" fontId="6" fillId="0" borderId="8" xfId="4" applyNumberFormat="1" applyFont="1" applyBorder="1"/>
    <xf numFmtId="9" fontId="6" fillId="0" borderId="33" xfId="5" applyFont="1" applyBorder="1"/>
    <xf numFmtId="9" fontId="6" fillId="0" borderId="34" xfId="5" applyFont="1" applyBorder="1"/>
    <xf numFmtId="6" fontId="7" fillId="0" borderId="1" xfId="4" applyNumberFormat="1" applyFont="1" applyBorder="1"/>
    <xf numFmtId="44" fontId="0" fillId="0" borderId="0" xfId="0" applyNumberFormat="1" applyAlignment="1">
      <alignment horizontal="center"/>
    </xf>
    <xf numFmtId="2" fontId="6" fillId="0" borderId="1" xfId="4" applyNumberFormat="1" applyFont="1" applyBorder="1"/>
    <xf numFmtId="0" fontId="11" fillId="0" borderId="6" xfId="4" applyFont="1" applyBorder="1"/>
    <xf numFmtId="164" fontId="7" fillId="7" borderId="1" xfId="4" applyNumberFormat="1" applyFont="1" applyFill="1" applyBorder="1"/>
    <xf numFmtId="0" fontId="4" fillId="7" borderId="0" xfId="4" applyFill="1"/>
    <xf numFmtId="9" fontId="0" fillId="0" borderId="0" xfId="2" applyFont="1"/>
    <xf numFmtId="3" fontId="0" fillId="0" borderId="0" xfId="0" applyNumberFormat="1"/>
    <xf numFmtId="9" fontId="0" fillId="6" borderId="0" xfId="0" applyNumberFormat="1" applyFill="1"/>
    <xf numFmtId="9" fontId="0" fillId="0" borderId="0" xfId="0" applyNumberFormat="1"/>
    <xf numFmtId="10" fontId="0" fillId="0" borderId="0" xfId="0" applyNumberFormat="1"/>
    <xf numFmtId="0" fontId="0" fillId="8" borderId="0" xfId="0" applyFill="1"/>
    <xf numFmtId="6" fontId="0" fillId="8" borderId="0" xfId="0" applyNumberFormat="1" applyFill="1"/>
    <xf numFmtId="6" fontId="0" fillId="0" borderId="0" xfId="0" applyNumberFormat="1" applyAlignment="1">
      <alignment horizontal="right"/>
    </xf>
    <xf numFmtId="3" fontId="0" fillId="0" borderId="0" xfId="0" applyNumberFormat="1" applyAlignment="1">
      <alignment horizontal="right"/>
    </xf>
    <xf numFmtId="0" fontId="0" fillId="0" borderId="39" xfId="0" applyBorder="1"/>
    <xf numFmtId="164" fontId="0" fillId="2" borderId="0" xfId="1" applyNumberFormat="1" applyFont="1" applyFill="1" applyBorder="1"/>
    <xf numFmtId="165" fontId="0" fillId="0" borderId="0" xfId="0" applyNumberFormat="1"/>
    <xf numFmtId="6" fontId="6" fillId="0" borderId="1" xfId="4" applyNumberFormat="1" applyFont="1" applyBorder="1"/>
    <xf numFmtId="6" fontId="0" fillId="0" borderId="0" xfId="1" applyNumberFormat="1" applyFont="1"/>
    <xf numFmtId="9" fontId="0" fillId="0" borderId="40" xfId="2" applyFont="1" applyBorder="1"/>
    <xf numFmtId="165" fontId="0" fillId="6" borderId="0" xfId="0" applyNumberFormat="1" applyFill="1"/>
    <xf numFmtId="8" fontId="2" fillId="0" borderId="0" xfId="0" applyNumberFormat="1" applyFont="1"/>
    <xf numFmtId="165" fontId="0" fillId="0" borderId="0" xfId="2" applyNumberFormat="1" applyFont="1"/>
    <xf numFmtId="14" fontId="0" fillId="0" borderId="0" xfId="0" applyNumberFormat="1"/>
    <xf numFmtId="165" fontId="0" fillId="0" borderId="1" xfId="0" applyNumberFormat="1" applyBorder="1"/>
    <xf numFmtId="0" fontId="0" fillId="0" borderId="42" xfId="0" applyBorder="1"/>
    <xf numFmtId="0" fontId="0" fillId="0" borderId="43" xfId="0" applyBorder="1"/>
    <xf numFmtId="0" fontId="0" fillId="0" borderId="27" xfId="0" applyBorder="1"/>
    <xf numFmtId="0" fontId="0" fillId="0" borderId="44" xfId="0" applyBorder="1"/>
    <xf numFmtId="10" fontId="0" fillId="0" borderId="45" xfId="2" applyNumberFormat="1" applyFont="1" applyBorder="1"/>
    <xf numFmtId="0" fontId="0" fillId="0" borderId="45" xfId="0" applyBorder="1"/>
    <xf numFmtId="0" fontId="0" fillId="0" borderId="46" xfId="0" applyBorder="1"/>
    <xf numFmtId="169" fontId="0" fillId="0" borderId="19" xfId="0" applyNumberFormat="1" applyBorder="1"/>
    <xf numFmtId="168" fontId="0" fillId="4" borderId="1" xfId="0" applyNumberFormat="1" applyFill="1" applyBorder="1"/>
    <xf numFmtId="44" fontId="0" fillId="4" borderId="19" xfId="1" applyFont="1" applyFill="1" applyBorder="1"/>
    <xf numFmtId="9" fontId="0" fillId="4" borderId="0" xfId="2" applyFont="1" applyFill="1"/>
    <xf numFmtId="44" fontId="0" fillId="4" borderId="0" xfId="1" applyFont="1" applyFill="1"/>
    <xf numFmtId="165" fontId="0" fillId="4" borderId="41" xfId="2" applyNumberFormat="1" applyFont="1" applyFill="1" applyBorder="1"/>
    <xf numFmtId="14" fontId="0" fillId="0" borderId="6" xfId="0" applyNumberFormat="1" applyBorder="1"/>
    <xf numFmtId="44" fontId="0" fillId="0" borderId="7" xfId="0" applyNumberFormat="1" applyBorder="1"/>
    <xf numFmtId="6" fontId="0" fillId="0" borderId="7" xfId="0" applyNumberFormat="1" applyBorder="1"/>
    <xf numFmtId="0" fontId="0" fillId="0" borderId="8" xfId="0" applyBorder="1"/>
    <xf numFmtId="0" fontId="0" fillId="0" borderId="37" xfId="0" applyBorder="1"/>
    <xf numFmtId="165" fontId="2" fillId="0" borderId="9" xfId="2" applyNumberFormat="1" applyFont="1" applyBorder="1"/>
    <xf numFmtId="10" fontId="2" fillId="0" borderId="0" xfId="2" applyNumberFormat="1" applyFont="1"/>
    <xf numFmtId="44" fontId="0" fillId="0" borderId="47" xfId="0" applyNumberFormat="1" applyBorder="1"/>
    <xf numFmtId="8" fontId="0" fillId="0" borderId="47" xfId="0" applyNumberFormat="1" applyBorder="1"/>
    <xf numFmtId="44" fontId="2" fillId="0" borderId="48" xfId="0" applyNumberFormat="1" applyFont="1" applyBorder="1"/>
    <xf numFmtId="0" fontId="0" fillId="0" borderId="0" xfId="0" applyAlignment="1">
      <alignment horizontal="center"/>
    </xf>
    <xf numFmtId="5" fontId="9" fillId="6" borderId="8" xfId="4" applyNumberFormat="1" applyFont="1" applyFill="1" applyBorder="1" applyAlignment="1">
      <alignment horizontal="left"/>
    </xf>
    <xf numFmtId="5" fontId="9" fillId="6" borderId="37" xfId="4" applyNumberFormat="1" applyFont="1" applyFill="1" applyBorder="1" applyAlignment="1">
      <alignment horizontal="left"/>
    </xf>
    <xf numFmtId="167" fontId="5" fillId="6" borderId="38" xfId="4" applyNumberFormat="1" applyFont="1" applyFill="1" applyBorder="1" applyAlignment="1">
      <alignment horizontal="center"/>
    </xf>
    <xf numFmtId="167" fontId="5" fillId="6" borderId="9" xfId="4" applyNumberFormat="1" applyFont="1" applyFill="1" applyBorder="1" applyAlignment="1">
      <alignment horizontal="center"/>
    </xf>
    <xf numFmtId="0" fontId="10" fillId="0" borderId="2" xfId="4" applyFont="1" applyBorder="1" applyAlignment="1">
      <alignment horizontal="center" vertical="center" wrapText="1"/>
    </xf>
    <xf numFmtId="0" fontId="10" fillId="0" borderId="24" xfId="4" applyFont="1" applyBorder="1" applyAlignment="1">
      <alignment horizontal="center" vertical="center" wrapText="1"/>
    </xf>
    <xf numFmtId="0" fontId="10" fillId="0" borderId="3" xfId="4" applyFont="1" applyBorder="1" applyAlignment="1">
      <alignment horizontal="center" vertical="center" wrapText="1"/>
    </xf>
    <xf numFmtId="0" fontId="10" fillId="0" borderId="6" xfId="4" applyFont="1" applyBorder="1" applyAlignment="1">
      <alignment horizontal="center" vertical="center" wrapText="1"/>
    </xf>
    <xf numFmtId="0" fontId="10" fillId="0" borderId="0" xfId="4" applyFont="1" applyAlignment="1">
      <alignment horizontal="center" vertical="center" wrapText="1"/>
    </xf>
    <xf numFmtId="0" fontId="10" fillId="0" borderId="7" xfId="4" applyFont="1" applyBorder="1" applyAlignment="1">
      <alignment horizontal="center" vertical="center" wrapText="1"/>
    </xf>
    <xf numFmtId="0" fontId="10" fillId="0" borderId="8" xfId="4" applyFont="1" applyBorder="1" applyAlignment="1">
      <alignment horizontal="center" vertical="center" wrapText="1"/>
    </xf>
    <xf numFmtId="0" fontId="10" fillId="0" borderId="37" xfId="4" applyFont="1" applyBorder="1" applyAlignment="1">
      <alignment horizontal="center" vertical="center" wrapText="1"/>
    </xf>
    <xf numFmtId="0" fontId="10" fillId="0" borderId="9" xfId="4" applyFont="1" applyBorder="1" applyAlignment="1">
      <alignment horizontal="center" vertical="center" wrapText="1"/>
    </xf>
    <xf numFmtId="0" fontId="5" fillId="0" borderId="2" xfId="4" applyFont="1" applyBorder="1" applyAlignment="1">
      <alignment horizontal="center" vertical="center"/>
    </xf>
    <xf numFmtId="0" fontId="5" fillId="0" borderId="24" xfId="4" applyFont="1" applyBorder="1" applyAlignment="1">
      <alignment horizontal="center" vertical="center"/>
    </xf>
    <xf numFmtId="0" fontId="5" fillId="0" borderId="3" xfId="4" applyFont="1" applyBorder="1" applyAlignment="1">
      <alignment horizontal="center" vertical="center"/>
    </xf>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25" xfId="4" applyBorder="1" applyAlignment="1">
      <alignment horizontal="center" vertical="center"/>
    </xf>
    <xf numFmtId="0" fontId="4" fillId="0" borderId="18" xfId="4" applyBorder="1" applyAlignment="1">
      <alignment horizontal="center" vertical="center"/>
    </xf>
    <xf numFmtId="0" fontId="4" fillId="0" borderId="26" xfId="4" applyBorder="1" applyAlignment="1">
      <alignment horizontal="center" vertical="center"/>
    </xf>
    <xf numFmtId="5" fontId="9" fillId="6" borderId="2" xfId="4" applyNumberFormat="1" applyFont="1" applyFill="1" applyBorder="1" applyAlignment="1">
      <alignment horizontal="left"/>
    </xf>
    <xf numFmtId="5" fontId="9" fillId="6" borderId="24" xfId="4" applyNumberFormat="1" applyFont="1" applyFill="1" applyBorder="1" applyAlignment="1">
      <alignment horizontal="left"/>
    </xf>
    <xf numFmtId="9" fontId="5" fillId="6" borderId="35" xfId="4" applyNumberFormat="1" applyFont="1" applyFill="1" applyBorder="1" applyAlignment="1">
      <alignment horizontal="center"/>
    </xf>
    <xf numFmtId="0" fontId="5" fillId="6" borderId="3" xfId="4" applyFont="1" applyFill="1" applyBorder="1" applyAlignment="1">
      <alignment horizontal="center"/>
    </xf>
    <xf numFmtId="5" fontId="9" fillId="6" borderId="28" xfId="4" applyNumberFormat="1" applyFont="1" applyFill="1" applyBorder="1" applyAlignment="1">
      <alignment horizontal="left"/>
    </xf>
    <xf numFmtId="5" fontId="9" fillId="6" borderId="20" xfId="4" applyNumberFormat="1" applyFont="1" applyFill="1" applyBorder="1" applyAlignment="1">
      <alignment horizontal="left"/>
    </xf>
    <xf numFmtId="167" fontId="5" fillId="6" borderId="36" xfId="4" applyNumberFormat="1" applyFont="1" applyFill="1" applyBorder="1" applyAlignment="1">
      <alignment horizontal="center"/>
    </xf>
    <xf numFmtId="167" fontId="5" fillId="6" borderId="29" xfId="4" applyNumberFormat="1" applyFont="1" applyFill="1" applyBorder="1" applyAlignment="1">
      <alignment horizontal="center"/>
    </xf>
    <xf numFmtId="0" fontId="2" fillId="0" borderId="4" xfId="0" applyFont="1" applyBorder="1" applyAlignment="1">
      <alignment horizontal="center"/>
    </xf>
    <xf numFmtId="0" fontId="2" fillId="0" borderId="14" xfId="0" applyFont="1" applyBorder="1" applyAlignment="1">
      <alignment horizontal="center"/>
    </xf>
    <xf numFmtId="0" fontId="2" fillId="0" borderId="5" xfId="0" applyFont="1" applyBorder="1" applyAlignment="1">
      <alignment horizontal="center"/>
    </xf>
  </cellXfs>
  <cellStyles count="6">
    <cellStyle name="Bad" xfId="3" builtinId="27"/>
    <cellStyle name="Currency" xfId="1" builtinId="4"/>
    <cellStyle name="Normal" xfId="0" builtinId="0"/>
    <cellStyle name="Normal 2" xfId="4" xr:uid="{C5346171-F932-441F-95F0-E807E996080B}"/>
    <cellStyle name="Percent" xfId="2" builtinId="5"/>
    <cellStyle name="Percent 2" xfId="5" xr:uid="{3A58122E-0901-44DE-916D-47B31D15FBB4}"/>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1778000</xdr:colOff>
      <xdr:row>42</xdr:row>
      <xdr:rowOff>174172</xdr:rowOff>
    </xdr:from>
    <xdr:to>
      <xdr:col>1</xdr:col>
      <xdr:colOff>689428</xdr:colOff>
      <xdr:row>47</xdr:row>
      <xdr:rowOff>145143</xdr:rowOff>
    </xdr:to>
    <xdr:sp macro="" textlink="">
      <xdr:nvSpPr>
        <xdr:cNvPr id="2" name="Rectangle 1">
          <a:extLst>
            <a:ext uri="{FF2B5EF4-FFF2-40B4-BE49-F238E27FC236}">
              <a16:creationId xmlns:a16="http://schemas.microsoft.com/office/drawing/2014/main" id="{7206C478-1AED-BBD5-D0D8-802CAE0BB996}"/>
            </a:ext>
          </a:extLst>
        </xdr:cNvPr>
        <xdr:cNvSpPr/>
      </xdr:nvSpPr>
      <xdr:spPr>
        <a:xfrm rot="19609741">
          <a:off x="1778000" y="8069943"/>
          <a:ext cx="2140857" cy="8781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FF0000"/>
              </a:solidFill>
            </a:rPr>
            <a:t>Update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smith18\AppData\Local\Microsoft\Windows\INetCache\Content.Outlook\UOXDVNSY\REDWOOD%206902%20PE%20(002).xlsx" TargetMode="External"/><Relationship Id="rId1" Type="http://schemas.openxmlformats.org/officeDocument/2006/relationships/externalLinkPath" Target="/Users/msmith18/AppData/Local/Microsoft/Windows/INetCache/Content.Outlook/UOXDVNSY/REDWOOD%206902%20PE%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erformance Stats"/>
      <sheetName val="7yr IRR Cash"/>
      <sheetName val="7yr IRR Financing"/>
      <sheetName val="7yr IRR Low End Financing"/>
      <sheetName val="Input Info"/>
    </sheetNames>
    <sheetDataSet>
      <sheetData sheetId="0"/>
      <sheetData sheetId="1"/>
      <sheetData sheetId="2"/>
      <sheetData sheetId="3"/>
      <sheetData sheetId="4"/>
      <sheetData sheetId="5">
        <row r="5">
          <cell r="B5">
            <v>140000</v>
          </cell>
        </row>
        <row r="14">
          <cell r="B14">
            <v>0</v>
          </cell>
        </row>
        <row r="18">
          <cell r="B18">
            <v>42000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64AC-E878-4D7A-BEC1-8240DFB7FC32}">
  <dimension ref="A1:M53"/>
  <sheetViews>
    <sheetView tabSelected="1" zoomScale="105" workbookViewId="0">
      <selection activeCell="C10" sqref="C10"/>
    </sheetView>
  </sheetViews>
  <sheetFormatPr defaultRowHeight="14.4" x14ac:dyDescent="0.3"/>
  <cols>
    <col min="1" max="1" width="47.109375" bestFit="1" customWidth="1"/>
    <col min="2" max="2" width="16.44140625" customWidth="1"/>
    <col min="3" max="3" width="14.44140625" customWidth="1"/>
    <col min="4" max="4" width="11.5546875" customWidth="1"/>
    <col min="5" max="5" width="9.5546875" customWidth="1"/>
    <col min="6" max="6" width="3.44140625" customWidth="1"/>
    <col min="7" max="7" width="43.21875" customWidth="1"/>
    <col min="8" max="8" width="11.5546875" bestFit="1" customWidth="1"/>
    <col min="9" max="9" width="11" customWidth="1"/>
    <col min="10" max="10" width="2.77734375" customWidth="1"/>
    <col min="11" max="11" width="39.44140625" bestFit="1" customWidth="1"/>
    <col min="12" max="12" width="13.44140625" bestFit="1" customWidth="1"/>
    <col min="13" max="13" width="11.5546875" bestFit="1" customWidth="1"/>
  </cols>
  <sheetData>
    <row r="1" spans="1:13" x14ac:dyDescent="0.3">
      <c r="A1" s="1" t="s">
        <v>141</v>
      </c>
      <c r="G1" t="s">
        <v>0</v>
      </c>
      <c r="H1" s="2">
        <v>8.7499999999999994E-2</v>
      </c>
    </row>
    <row r="2" spans="1:13" x14ac:dyDescent="0.3">
      <c r="A2" s="3"/>
      <c r="G2" t="s">
        <v>1</v>
      </c>
      <c r="H2" s="3">
        <v>20</v>
      </c>
      <c r="I2" t="s">
        <v>2</v>
      </c>
    </row>
    <row r="3" spans="1:13" x14ac:dyDescent="0.3">
      <c r="A3" s="78">
        <f>B5</f>
        <v>179400</v>
      </c>
      <c r="B3" t="s">
        <v>3</v>
      </c>
      <c r="C3" s="4"/>
      <c r="G3" t="s">
        <v>109</v>
      </c>
      <c r="H3" s="137">
        <f>SUM(B7+B6-C5-C4)</f>
        <v>3858</v>
      </c>
    </row>
    <row r="4" spans="1:13" x14ac:dyDescent="0.3">
      <c r="C4" s="9">
        <v>5000</v>
      </c>
      <c r="D4" t="s">
        <v>147</v>
      </c>
      <c r="G4" s="5" t="s">
        <v>70</v>
      </c>
      <c r="H4" s="6">
        <f>-PMT($H$1/12,$H$2*12,H3)</f>
        <v>34.093559149725991</v>
      </c>
      <c r="I4" s="7">
        <f>H4*12</f>
        <v>409.12270979671189</v>
      </c>
      <c r="K4" s="5" t="s">
        <v>6</v>
      </c>
      <c r="L4" s="8">
        <f>IRR(L5:L11)</f>
        <v>2.5517791251599586E-2</v>
      </c>
    </row>
    <row r="5" spans="1:13" x14ac:dyDescent="0.3">
      <c r="A5" t="s">
        <v>7</v>
      </c>
      <c r="B5" s="9">
        <v>179400</v>
      </c>
      <c r="C5" s="84">
        <v>47026</v>
      </c>
      <c r="D5" t="s">
        <v>72</v>
      </c>
      <c r="G5" t="s">
        <v>5</v>
      </c>
      <c r="H5" s="7">
        <f>-IPMT($H$1/12,1,$H$2*12,H3)</f>
        <v>28.131249999999998</v>
      </c>
      <c r="I5" s="7">
        <f>H5*12</f>
        <v>337.57499999999999</v>
      </c>
      <c r="K5" t="s">
        <v>8</v>
      </c>
      <c r="L5" s="4">
        <f>-B5</f>
        <v>-179400</v>
      </c>
      <c r="M5" s="10"/>
    </row>
    <row r="6" spans="1:13" ht="15" thickBot="1" x14ac:dyDescent="0.35">
      <c r="A6" t="s">
        <v>9</v>
      </c>
      <c r="B6" s="4">
        <v>11034</v>
      </c>
      <c r="I6" s="7">
        <f>H4-H5</f>
        <v>5.9623091497259928</v>
      </c>
      <c r="K6" t="s">
        <v>11</v>
      </c>
      <c r="L6" s="155">
        <f>'10 Year'!B30</f>
        <v>613.53922248110393</v>
      </c>
    </row>
    <row r="7" spans="1:13" x14ac:dyDescent="0.3">
      <c r="A7" s="12" t="s">
        <v>12</v>
      </c>
      <c r="B7" s="13">
        <f>B5*C7</f>
        <v>44850</v>
      </c>
      <c r="C7" s="14">
        <v>0.25</v>
      </c>
      <c r="D7" t="s">
        <v>13</v>
      </c>
      <c r="G7" s="5" t="s">
        <v>10</v>
      </c>
      <c r="H7" s="11">
        <v>6.6250000000000003E-2</v>
      </c>
      <c r="K7" t="s">
        <v>15</v>
      </c>
      <c r="L7" s="155">
        <f>'10 Year'!C30</f>
        <v>1038.9272224811029</v>
      </c>
    </row>
    <row r="8" spans="1:13" x14ac:dyDescent="0.3">
      <c r="A8" s="5" t="s">
        <v>16</v>
      </c>
      <c r="B8" s="16">
        <f>B5-B7</f>
        <v>134550</v>
      </c>
      <c r="D8" s="7"/>
      <c r="G8" s="5" t="s">
        <v>14</v>
      </c>
      <c r="H8" s="15">
        <v>30</v>
      </c>
      <c r="I8" t="s">
        <v>2</v>
      </c>
      <c r="K8" t="s">
        <v>18</v>
      </c>
      <c r="L8" s="155">
        <f>'10 Year'!D30</f>
        <v>981.75409048110669</v>
      </c>
    </row>
    <row r="9" spans="1:13" x14ac:dyDescent="0.3">
      <c r="A9" t="s">
        <v>19</v>
      </c>
      <c r="B9" s="18">
        <f>B5</f>
        <v>179400</v>
      </c>
      <c r="G9" s="5" t="s">
        <v>17</v>
      </c>
      <c r="H9" s="17">
        <f>-IPMT($H$7/12,1,$H$8*12,$B$8)</f>
        <v>742.828125</v>
      </c>
      <c r="K9" t="s">
        <v>20</v>
      </c>
      <c r="L9" s="155">
        <f>'10 Year'!E30</f>
        <v>1690.5973648291092</v>
      </c>
    </row>
    <row r="10" spans="1:13" ht="15" thickBot="1" x14ac:dyDescent="0.35">
      <c r="B10" s="4"/>
      <c r="K10" t="s">
        <v>22</v>
      </c>
      <c r="L10" s="155">
        <f>'10 Year'!F30</f>
        <v>1916.1117957401329</v>
      </c>
    </row>
    <row r="11" spans="1:13" ht="15" thickBot="1" x14ac:dyDescent="0.35">
      <c r="A11" t="s">
        <v>23</v>
      </c>
      <c r="B11" s="21">
        <f>SUM(B5)</f>
        <v>179400</v>
      </c>
      <c r="G11" s="19" t="s">
        <v>21</v>
      </c>
      <c r="H11" s="20"/>
      <c r="K11" s="24">
        <v>6</v>
      </c>
      <c r="L11" s="21">
        <f>B5*(1+0.02)^K11</f>
        <v>202033.53801596162</v>
      </c>
      <c r="M11" t="s">
        <v>25</v>
      </c>
    </row>
    <row r="12" spans="1:13" x14ac:dyDescent="0.3">
      <c r="A12" t="s">
        <v>26</v>
      </c>
      <c r="B12" s="21">
        <f>B5</f>
        <v>179400</v>
      </c>
      <c r="G12" s="12" t="s">
        <v>24</v>
      </c>
      <c r="H12" s="81">
        <f>C38/SUM(B6:B7)</f>
        <v>1.019145412785597E-2</v>
      </c>
      <c r="I12" s="10"/>
    </row>
    <row r="13" spans="1:13" x14ac:dyDescent="0.3">
      <c r="B13" s="21"/>
      <c r="G13" s="22" t="s">
        <v>27</v>
      </c>
      <c r="H13" s="23">
        <f>(SUM($B$6:$B$7)/B5)</f>
        <v>0.31150501672240805</v>
      </c>
    </row>
    <row r="14" spans="1:13" x14ac:dyDescent="0.3">
      <c r="B14" s="25" t="s">
        <v>29</v>
      </c>
      <c r="C14" s="1" t="s">
        <v>30</v>
      </c>
      <c r="G14" s="22" t="s">
        <v>28</v>
      </c>
      <c r="H14" s="23">
        <f>C38/B7</f>
        <v>1.2698756354093713E-2</v>
      </c>
    </row>
    <row r="15" spans="1:13" x14ac:dyDescent="0.3">
      <c r="A15" s="5" t="s">
        <v>32</v>
      </c>
      <c r="B15" s="28">
        <v>1350</v>
      </c>
      <c r="C15" s="29">
        <f>B15*12</f>
        <v>16200</v>
      </c>
      <c r="G15" s="79" t="s">
        <v>31</v>
      </c>
      <c r="H15" s="80">
        <f>PPMT(H7/12,1,H8*12,B8)*12</f>
        <v>-1424.5232775188979</v>
      </c>
      <c r="I15" s="10"/>
      <c r="L15" s="10"/>
    </row>
    <row r="16" spans="1:13" ht="15" thickBot="1" x14ac:dyDescent="0.35">
      <c r="A16" s="5" t="s">
        <v>135</v>
      </c>
      <c r="B16" s="30">
        <f>B15*-0.04</f>
        <v>-54</v>
      </c>
      <c r="C16" s="29">
        <f t="shared" ref="C16:C17" si="0">B16*12</f>
        <v>-648</v>
      </c>
      <c r="G16" s="26" t="s">
        <v>71</v>
      </c>
      <c r="H16" s="27">
        <f>C38*0.33</f>
        <v>187.947943418764</v>
      </c>
      <c r="I16" s="7"/>
      <c r="K16" s="185"/>
      <c r="L16" s="185"/>
    </row>
    <row r="17" spans="1:12" ht="15" thickBot="1" x14ac:dyDescent="0.35">
      <c r="A17" s="33" t="s">
        <v>34</v>
      </c>
      <c r="B17" s="34">
        <v>0</v>
      </c>
      <c r="C17" s="35">
        <f t="shared" si="0"/>
        <v>0</v>
      </c>
      <c r="K17" s="32"/>
      <c r="L17" s="32"/>
    </row>
    <row r="18" spans="1:12" ht="15" thickBot="1" x14ac:dyDescent="0.35">
      <c r="A18" s="37" t="s">
        <v>36</v>
      </c>
      <c r="B18" s="38">
        <f>SUM(B15:B17)</f>
        <v>1296</v>
      </c>
      <c r="C18" s="39">
        <f>B18*12</f>
        <v>15552</v>
      </c>
      <c r="G18" s="31" t="s">
        <v>33</v>
      </c>
      <c r="H18" s="5"/>
    </row>
    <row r="19" spans="1:12" x14ac:dyDescent="0.3">
      <c r="G19" s="5" t="s">
        <v>35</v>
      </c>
      <c r="H19" s="36"/>
    </row>
    <row r="20" spans="1:12" x14ac:dyDescent="0.3">
      <c r="A20" s="1"/>
      <c r="B20" s="1"/>
      <c r="C20" s="1"/>
      <c r="D20" s="1"/>
      <c r="E20" s="42"/>
      <c r="G20" s="5" t="s">
        <v>37</v>
      </c>
      <c r="H20" s="40">
        <f>$B$15/$B$5</f>
        <v>7.525083612040134E-3</v>
      </c>
    </row>
    <row r="21" spans="1:12" x14ac:dyDescent="0.3">
      <c r="A21" s="31" t="s">
        <v>39</v>
      </c>
      <c r="B21" s="31" t="s">
        <v>29</v>
      </c>
      <c r="C21" s="31" t="s">
        <v>30</v>
      </c>
      <c r="D21" s="31"/>
      <c r="G21" s="5" t="s">
        <v>38</v>
      </c>
      <c r="H21" s="41">
        <f>B35/(B37+B36)</f>
        <v>1.0550893633721157</v>
      </c>
    </row>
    <row r="22" spans="1:12" x14ac:dyDescent="0.3">
      <c r="A22" s="5" t="s">
        <v>40</v>
      </c>
      <c r="B22" s="43">
        <f>B15*D22</f>
        <v>108</v>
      </c>
      <c r="C22" s="43">
        <f>B22*12</f>
        <v>1296</v>
      </c>
      <c r="D22" s="44">
        <v>0.08</v>
      </c>
      <c r="E22" s="83">
        <f>IF(D22=0,1,0)</f>
        <v>0</v>
      </c>
    </row>
    <row r="23" spans="1:12" x14ac:dyDescent="0.3">
      <c r="A23" s="5" t="s">
        <v>41</v>
      </c>
      <c r="B23" s="28">
        <v>107</v>
      </c>
      <c r="C23" s="43">
        <f t="shared" ref="C23:C31" si="1">B23*12</f>
        <v>1284</v>
      </c>
      <c r="D23" s="45">
        <v>1.0800000000000001E-2</v>
      </c>
    </row>
    <row r="24" spans="1:12" x14ac:dyDescent="0.3">
      <c r="A24" s="5" t="s">
        <v>42</v>
      </c>
      <c r="B24" s="28">
        <v>73</v>
      </c>
      <c r="C24" s="43">
        <f t="shared" si="1"/>
        <v>876</v>
      </c>
      <c r="D24" s="46">
        <f>C24/B5</f>
        <v>4.882943143812709E-3</v>
      </c>
    </row>
    <row r="25" spans="1:12" x14ac:dyDescent="0.3">
      <c r="A25" s="5" t="s">
        <v>43</v>
      </c>
      <c r="B25" s="28"/>
      <c r="C25" s="43"/>
      <c r="D25" s="30"/>
      <c r="G25" s="1" t="s">
        <v>149</v>
      </c>
      <c r="H25" s="158">
        <f>B33*$I$25+SUM(B36:B37)*$I$25</f>
        <v>7491.230388759448</v>
      </c>
      <c r="I25">
        <v>6</v>
      </c>
      <c r="J25" t="s">
        <v>150</v>
      </c>
    </row>
    <row r="26" spans="1:12" x14ac:dyDescent="0.3">
      <c r="A26" s="5" t="s">
        <v>44</v>
      </c>
      <c r="B26" s="28"/>
      <c r="C26" s="43">
        <f t="shared" si="1"/>
        <v>0</v>
      </c>
      <c r="D26" s="30"/>
      <c r="E26" s="47"/>
      <c r="H26" s="7">
        <f>H25/2</f>
        <v>3745.615194379724</v>
      </c>
      <c r="I26">
        <f>I25/2</f>
        <v>3</v>
      </c>
      <c r="J26" t="s">
        <v>150</v>
      </c>
    </row>
    <row r="27" spans="1:12" x14ac:dyDescent="0.3">
      <c r="A27" s="5" t="s">
        <v>45</v>
      </c>
      <c r="B27" s="28"/>
      <c r="C27" s="43">
        <f t="shared" si="1"/>
        <v>0</v>
      </c>
      <c r="D27" s="30"/>
      <c r="E27" s="47"/>
    </row>
    <row r="28" spans="1:12" x14ac:dyDescent="0.3">
      <c r="A28" s="5" t="s">
        <v>46</v>
      </c>
      <c r="B28" s="28"/>
      <c r="C28" s="43">
        <f t="shared" si="1"/>
        <v>0</v>
      </c>
      <c r="D28" s="30"/>
      <c r="E28" s="47"/>
    </row>
    <row r="29" spans="1:12" x14ac:dyDescent="0.3">
      <c r="A29" s="5" t="s">
        <v>47</v>
      </c>
      <c r="B29" s="28">
        <v>54</v>
      </c>
      <c r="C29" s="43">
        <f t="shared" si="1"/>
        <v>648</v>
      </c>
      <c r="D29" s="77">
        <f>C29/C15</f>
        <v>0.04</v>
      </c>
      <c r="E29" s="47"/>
    </row>
    <row r="30" spans="1:12" x14ac:dyDescent="0.3">
      <c r="A30" s="33" t="s">
        <v>48</v>
      </c>
      <c r="B30" s="34"/>
      <c r="C30" s="82">
        <f t="shared" si="1"/>
        <v>0</v>
      </c>
      <c r="D30" s="48"/>
      <c r="E30" s="47"/>
    </row>
    <row r="31" spans="1:12" x14ac:dyDescent="0.3">
      <c r="A31" s="151" t="s">
        <v>137</v>
      </c>
      <c r="B31" s="152">
        <v>8</v>
      </c>
      <c r="C31" s="82">
        <f t="shared" si="1"/>
        <v>96</v>
      </c>
      <c r="D31" s="77"/>
      <c r="E31" s="47"/>
    </row>
    <row r="32" spans="1:12" ht="15" thickBot="1" x14ac:dyDescent="0.35">
      <c r="A32" s="151" t="s">
        <v>146</v>
      </c>
      <c r="B32" s="152">
        <v>37</v>
      </c>
      <c r="C32" s="57">
        <f>B32*12</f>
        <v>444</v>
      </c>
      <c r="D32" s="156"/>
      <c r="E32" s="47"/>
    </row>
    <row r="33" spans="1:10" ht="15" thickBot="1" x14ac:dyDescent="0.35">
      <c r="A33" s="49" t="s">
        <v>49</v>
      </c>
      <c r="B33" s="50">
        <f>SUM(B22:B32)</f>
        <v>387</v>
      </c>
      <c r="C33" s="50">
        <f>SUM(C22:C32)</f>
        <v>4644</v>
      </c>
      <c r="D33" s="51"/>
      <c r="E33" s="47"/>
    </row>
    <row r="34" spans="1:10" ht="15" thickBot="1" x14ac:dyDescent="0.35">
      <c r="C34" s="47"/>
      <c r="D34" s="47"/>
      <c r="E34" s="47"/>
      <c r="H34" s="10"/>
    </row>
    <row r="35" spans="1:10" x14ac:dyDescent="0.3">
      <c r="A35" t="s">
        <v>50</v>
      </c>
      <c r="B35" s="53">
        <f>B18-B33</f>
        <v>909</v>
      </c>
      <c r="C35" s="53">
        <f>C18-C33</f>
        <v>10908</v>
      </c>
      <c r="D35" s="54" t="s">
        <v>38</v>
      </c>
      <c r="E35" s="55">
        <f>B35/(B37+B36)</f>
        <v>1.0550893633721157</v>
      </c>
      <c r="F35" s="42"/>
      <c r="H35" s="52"/>
    </row>
    <row r="36" spans="1:10" x14ac:dyDescent="0.3">
      <c r="A36" t="s">
        <v>4</v>
      </c>
      <c r="B36" s="53"/>
      <c r="C36" s="53">
        <f>B36*12</f>
        <v>0</v>
      </c>
      <c r="D36" s="83">
        <f>IF(B36=H5,1,0)</f>
        <v>0</v>
      </c>
      <c r="E36" s="56"/>
      <c r="F36" s="42"/>
    </row>
    <row r="37" spans="1:10" ht="15" thickBot="1" x14ac:dyDescent="0.35">
      <c r="A37" t="s">
        <v>51</v>
      </c>
      <c r="B37" s="57">
        <f>-PMT($H$7/12,$H$8*12,$B$8)</f>
        <v>861.53839812657475</v>
      </c>
      <c r="C37" s="53">
        <f>B37*12</f>
        <v>10338.460777518896</v>
      </c>
      <c r="D37" s="58" t="s">
        <v>52</v>
      </c>
      <c r="E37" s="59">
        <f>C35/B5</f>
        <v>6.080267558528428E-2</v>
      </c>
      <c r="F37" s="42"/>
      <c r="G37" t="s">
        <v>155</v>
      </c>
    </row>
    <row r="38" spans="1:10" ht="15" thickBot="1" x14ac:dyDescent="0.35">
      <c r="A38" s="60" t="s">
        <v>53</v>
      </c>
      <c r="B38" s="61">
        <f>B35-B37-B36</f>
        <v>47.461601873425252</v>
      </c>
      <c r="C38" s="62">
        <f>B38*12</f>
        <v>569.53922248110302</v>
      </c>
    </row>
    <row r="40" spans="1:10" ht="15" thickBot="1" x14ac:dyDescent="0.35"/>
    <row r="41" spans="1:10" ht="29.4" thickBot="1" x14ac:dyDescent="0.35">
      <c r="A41" s="37" t="s">
        <v>54</v>
      </c>
      <c r="B41" s="63" t="s">
        <v>55</v>
      </c>
      <c r="C41" s="63" t="s">
        <v>56</v>
      </c>
      <c r="D41" s="63" t="s">
        <v>148</v>
      </c>
      <c r="E41" s="64" t="s">
        <v>57</v>
      </c>
      <c r="J41" s="65"/>
    </row>
    <row r="42" spans="1:10" x14ac:dyDescent="0.3">
      <c r="A42" s="66" t="s">
        <v>58</v>
      </c>
      <c r="B42">
        <v>5</v>
      </c>
      <c r="C42">
        <v>7000</v>
      </c>
      <c r="D42">
        <f>C42</f>
        <v>7000</v>
      </c>
      <c r="E42" s="67">
        <f t="shared" ref="E42:E52" si="2">D42/B42/12</f>
        <v>116.66666666666667</v>
      </c>
    </row>
    <row r="43" spans="1:10" x14ac:dyDescent="0.3">
      <c r="A43" s="68" t="s">
        <v>59</v>
      </c>
      <c r="B43" s="69">
        <v>10</v>
      </c>
      <c r="C43" s="69"/>
      <c r="D43">
        <f t="shared" ref="D43:D52" si="3">C43</f>
        <v>0</v>
      </c>
      <c r="E43" s="67">
        <f t="shared" si="2"/>
        <v>0</v>
      </c>
      <c r="F43" s="47"/>
    </row>
    <row r="44" spans="1:10" x14ac:dyDescent="0.3">
      <c r="A44" s="70" t="s">
        <v>60</v>
      </c>
      <c r="B44" s="71">
        <v>10</v>
      </c>
      <c r="C44" s="71"/>
      <c r="D44">
        <f t="shared" si="3"/>
        <v>0</v>
      </c>
      <c r="E44" s="67">
        <f t="shared" si="2"/>
        <v>0</v>
      </c>
      <c r="F44" s="47"/>
    </row>
    <row r="45" spans="1:10" x14ac:dyDescent="0.3">
      <c r="A45" s="70" t="s">
        <v>61</v>
      </c>
      <c r="B45" s="71">
        <v>10</v>
      </c>
      <c r="C45" s="71">
        <v>8000</v>
      </c>
      <c r="D45">
        <f t="shared" si="3"/>
        <v>8000</v>
      </c>
      <c r="E45" s="67">
        <f t="shared" si="2"/>
        <v>66.666666666666671</v>
      </c>
      <c r="F45" s="47"/>
    </row>
    <row r="46" spans="1:10" x14ac:dyDescent="0.3">
      <c r="A46" s="70" t="s">
        <v>62</v>
      </c>
      <c r="B46" s="71">
        <v>10</v>
      </c>
      <c r="C46" s="71"/>
      <c r="D46">
        <f t="shared" si="3"/>
        <v>0</v>
      </c>
      <c r="E46" s="67">
        <f t="shared" si="2"/>
        <v>0</v>
      </c>
      <c r="F46" s="47"/>
    </row>
    <row r="47" spans="1:10" x14ac:dyDescent="0.3">
      <c r="A47" s="70" t="s">
        <v>63</v>
      </c>
      <c r="B47" s="71">
        <v>1</v>
      </c>
      <c r="C47" s="71"/>
      <c r="D47">
        <f t="shared" si="3"/>
        <v>0</v>
      </c>
      <c r="E47" s="67">
        <f t="shared" si="2"/>
        <v>0</v>
      </c>
      <c r="F47" s="47"/>
    </row>
    <row r="48" spans="1:10" x14ac:dyDescent="0.3">
      <c r="A48" s="70" t="s">
        <v>64</v>
      </c>
      <c r="B48" s="71">
        <v>6</v>
      </c>
      <c r="C48" s="71">
        <v>2000</v>
      </c>
      <c r="D48">
        <f t="shared" si="3"/>
        <v>2000</v>
      </c>
      <c r="E48" s="67">
        <f t="shared" si="2"/>
        <v>27.777777777777775</v>
      </c>
      <c r="F48" s="47"/>
    </row>
    <row r="49" spans="1:6" x14ac:dyDescent="0.3">
      <c r="A49" s="70" t="s">
        <v>65</v>
      </c>
      <c r="B49" s="71">
        <v>10</v>
      </c>
      <c r="C49" s="71"/>
      <c r="D49">
        <f t="shared" si="3"/>
        <v>0</v>
      </c>
      <c r="E49" s="67">
        <f t="shared" si="2"/>
        <v>0</v>
      </c>
      <c r="F49" s="47"/>
    </row>
    <row r="50" spans="1:6" x14ac:dyDescent="0.3">
      <c r="A50" s="70" t="s">
        <v>66</v>
      </c>
      <c r="B50" s="71">
        <v>4</v>
      </c>
      <c r="C50" s="71"/>
      <c r="D50">
        <f t="shared" si="3"/>
        <v>0</v>
      </c>
      <c r="E50" s="67">
        <f t="shared" si="2"/>
        <v>0</v>
      </c>
      <c r="F50" s="47"/>
    </row>
    <row r="51" spans="1:6" x14ac:dyDescent="0.3">
      <c r="A51" s="72" t="s">
        <v>67</v>
      </c>
      <c r="B51" s="73">
        <v>1</v>
      </c>
      <c r="C51" s="73"/>
      <c r="D51">
        <f t="shared" si="3"/>
        <v>0</v>
      </c>
      <c r="E51" s="67">
        <f t="shared" si="2"/>
        <v>0</v>
      </c>
    </row>
    <row r="52" spans="1:6" ht="15" thickBot="1" x14ac:dyDescent="0.35">
      <c r="A52" s="72" t="s">
        <v>68</v>
      </c>
      <c r="B52" s="73">
        <v>10</v>
      </c>
      <c r="C52" s="73">
        <v>500</v>
      </c>
      <c r="D52">
        <f t="shared" si="3"/>
        <v>500</v>
      </c>
      <c r="E52" s="67">
        <f t="shared" si="2"/>
        <v>4.166666666666667</v>
      </c>
    </row>
    <row r="53" spans="1:6" ht="15" thickBot="1" x14ac:dyDescent="0.35">
      <c r="A53" s="74" t="s">
        <v>69</v>
      </c>
      <c r="B53" s="75"/>
      <c r="C53" s="75"/>
      <c r="D53" s="75"/>
      <c r="E53" s="76">
        <f>SUM(E42:E52)</f>
        <v>215.27777777777777</v>
      </c>
    </row>
  </sheetData>
  <mergeCells count="1">
    <mergeCell ref="K16:L16"/>
  </mergeCells>
  <conditionalFormatting sqref="D36">
    <cfRule type="cellIs" dxfId="2" priority="1" operator="equal">
      <formula>1</formula>
    </cfRule>
  </conditionalFormatting>
  <conditionalFormatting sqref="E22">
    <cfRule type="cellIs" dxfId="1" priority="2" operator="equal">
      <formula>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905B-3FFB-42BA-BF6E-3D56EA7FE178}">
  <sheetPr>
    <pageSetUpPr fitToPage="1"/>
  </sheetPr>
  <dimension ref="A1:I55"/>
  <sheetViews>
    <sheetView topLeftCell="A25" workbookViewId="0">
      <selection activeCell="B35" sqref="B35"/>
    </sheetView>
  </sheetViews>
  <sheetFormatPr defaultColWidth="12.5546875" defaultRowHeight="15.6" x14ac:dyDescent="0.3"/>
  <cols>
    <col min="1" max="1" width="33.21875" style="85" customWidth="1"/>
    <col min="2" max="3" width="12.5546875" style="85"/>
    <col min="4" max="4" width="13.21875" style="85" bestFit="1" customWidth="1"/>
    <col min="5" max="8" width="12.5546875" style="85"/>
    <col min="9" max="9" width="24.5546875" style="85" bestFit="1" customWidth="1"/>
    <col min="10" max="16384" width="12.5546875" style="85"/>
  </cols>
  <sheetData>
    <row r="1" spans="1:8" x14ac:dyDescent="0.3">
      <c r="A1" s="199" t="str">
        <f>'Quick HELOC Loan Calc'!$A$1 &amp;" FINANCING CALCULATIONS"</f>
        <v>2811 Cordell Memphis TN FINANCING CALCULATIONS</v>
      </c>
      <c r="B1" s="200"/>
      <c r="C1" s="200"/>
      <c r="D1" s="200"/>
      <c r="E1" s="200"/>
      <c r="F1" s="200"/>
      <c r="G1" s="200"/>
      <c r="H1" s="201"/>
    </row>
    <row r="2" spans="1:8" x14ac:dyDescent="0.3">
      <c r="A2" s="202"/>
      <c r="B2" s="203"/>
      <c r="C2" s="203"/>
      <c r="D2" s="203"/>
      <c r="E2" s="203"/>
      <c r="F2" s="203"/>
      <c r="G2" s="203"/>
      <c r="H2" s="204"/>
    </row>
    <row r="3" spans="1:8" x14ac:dyDescent="0.3">
      <c r="A3" s="205"/>
      <c r="B3" s="206"/>
      <c r="C3" s="206"/>
      <c r="D3" s="206"/>
      <c r="E3" s="206"/>
      <c r="F3" s="206"/>
      <c r="G3" s="206"/>
      <c r="H3" s="207"/>
    </row>
    <row r="4" spans="1:8" x14ac:dyDescent="0.3">
      <c r="A4" s="89"/>
      <c r="B4" s="90" t="s">
        <v>73</v>
      </c>
      <c r="C4" s="90" t="s">
        <v>74</v>
      </c>
      <c r="D4" s="90" t="s">
        <v>75</v>
      </c>
      <c r="E4" s="90" t="s">
        <v>76</v>
      </c>
      <c r="F4" s="90" t="s">
        <v>77</v>
      </c>
      <c r="G4" s="90" t="s">
        <v>78</v>
      </c>
      <c r="H4" s="91" t="s">
        <v>79</v>
      </c>
    </row>
    <row r="5" spans="1:8" x14ac:dyDescent="0.3">
      <c r="A5" s="92" t="s">
        <v>80</v>
      </c>
      <c r="B5" s="93">
        <v>0.04</v>
      </c>
      <c r="C5" s="93">
        <v>0.04</v>
      </c>
      <c r="D5" s="93">
        <v>0.04</v>
      </c>
      <c r="E5" s="93">
        <v>0.04</v>
      </c>
      <c r="F5" s="93">
        <v>0.04</v>
      </c>
      <c r="G5" s="93">
        <v>0.04</v>
      </c>
      <c r="H5" s="94">
        <v>0.04</v>
      </c>
    </row>
    <row r="6" spans="1:8" x14ac:dyDescent="0.3">
      <c r="A6" s="92" t="s">
        <v>81</v>
      </c>
      <c r="B6" s="93">
        <v>0.04</v>
      </c>
      <c r="C6" s="93">
        <v>0.04</v>
      </c>
      <c r="D6" s="93">
        <v>0.04</v>
      </c>
      <c r="E6" s="93">
        <v>0.04</v>
      </c>
      <c r="F6" s="93">
        <v>0.04</v>
      </c>
      <c r="G6" s="93">
        <v>0.04</v>
      </c>
      <c r="H6" s="94">
        <v>0.04</v>
      </c>
    </row>
    <row r="7" spans="1:8" x14ac:dyDescent="0.3">
      <c r="A7" s="92" t="s">
        <v>82</v>
      </c>
      <c r="B7" s="93">
        <v>0.03</v>
      </c>
      <c r="C7" s="93">
        <v>0.03</v>
      </c>
      <c r="D7" s="93">
        <v>0.03</v>
      </c>
      <c r="E7" s="93">
        <v>0.03</v>
      </c>
      <c r="F7" s="93">
        <v>0.03</v>
      </c>
      <c r="G7" s="93">
        <v>0.03</v>
      </c>
      <c r="H7" s="94">
        <v>0.03</v>
      </c>
    </row>
    <row r="8" spans="1:8" x14ac:dyDescent="0.3">
      <c r="A8" s="92" t="s">
        <v>83</v>
      </c>
      <c r="B8" s="93">
        <v>1.4999999999999999E-2</v>
      </c>
      <c r="C8" s="93">
        <v>1.4999999999999999E-2</v>
      </c>
      <c r="D8" s="93">
        <v>1.4999999999999999E-2</v>
      </c>
      <c r="E8" s="93">
        <v>1.4999999999999999E-2</v>
      </c>
      <c r="F8" s="93">
        <v>1.4999999999999999E-2</v>
      </c>
      <c r="G8" s="93">
        <v>1.4999999999999999E-2</v>
      </c>
      <c r="H8" s="94">
        <v>1.4999999999999999E-2</v>
      </c>
    </row>
    <row r="9" spans="1:8" x14ac:dyDescent="0.3">
      <c r="A9" s="95" t="s">
        <v>106</v>
      </c>
      <c r="B9" s="93">
        <v>0.04</v>
      </c>
      <c r="C9" s="93">
        <v>0.04</v>
      </c>
      <c r="D9" s="93">
        <v>0.04</v>
      </c>
      <c r="E9" s="93">
        <v>0.04</v>
      </c>
      <c r="F9" s="93">
        <v>0.04</v>
      </c>
      <c r="G9" s="93">
        <v>0.04</v>
      </c>
      <c r="H9" s="94">
        <v>0.04</v>
      </c>
    </row>
    <row r="10" spans="1:8" x14ac:dyDescent="0.3">
      <c r="A10" s="86"/>
      <c r="B10" s="87"/>
      <c r="C10" s="87"/>
      <c r="D10" s="87"/>
      <c r="E10" s="87"/>
      <c r="F10" s="87"/>
      <c r="G10" s="87"/>
      <c r="H10" s="88"/>
    </row>
    <row r="11" spans="1:8" x14ac:dyDescent="0.3">
      <c r="A11" s="96"/>
      <c r="B11" s="90" t="s">
        <v>73</v>
      </c>
      <c r="C11" s="97" t="s">
        <v>74</v>
      </c>
      <c r="D11" s="97" t="s">
        <v>75</v>
      </c>
      <c r="E11" s="97" t="s">
        <v>76</v>
      </c>
      <c r="F11" s="97" t="s">
        <v>77</v>
      </c>
      <c r="G11" s="97" t="s">
        <v>78</v>
      </c>
      <c r="H11" s="98" t="s">
        <v>79</v>
      </c>
    </row>
    <row r="12" spans="1:8" x14ac:dyDescent="0.3">
      <c r="A12" s="99" t="s">
        <v>84</v>
      </c>
      <c r="B12" s="100"/>
      <c r="C12" s="101"/>
      <c r="D12" s="101"/>
      <c r="E12" s="101"/>
      <c r="F12" s="101"/>
      <c r="G12" s="101"/>
      <c r="H12" s="102"/>
    </row>
    <row r="13" spans="1:8" x14ac:dyDescent="0.3">
      <c r="A13" s="103" t="s">
        <v>85</v>
      </c>
      <c r="B13" s="104">
        <f>'Quick HELOC Loan Calc'!C15</f>
        <v>16200</v>
      </c>
      <c r="C13" s="105">
        <f>SUM(B$13+(C$7*B$13))</f>
        <v>16686</v>
      </c>
      <c r="D13" s="105">
        <f t="shared" ref="D13:H13" si="0">SUM(C$13+(D$7*C$13))</f>
        <v>17186.580000000002</v>
      </c>
      <c r="E13" s="105">
        <f t="shared" si="0"/>
        <v>17702.1774</v>
      </c>
      <c r="F13" s="105">
        <f t="shared" si="0"/>
        <v>18233.242721999999</v>
      </c>
      <c r="G13" s="105">
        <f t="shared" si="0"/>
        <v>18780.240003659997</v>
      </c>
      <c r="H13" s="106">
        <f t="shared" si="0"/>
        <v>19343.647203769797</v>
      </c>
    </row>
    <row r="14" spans="1:8" x14ac:dyDescent="0.3">
      <c r="A14" s="103"/>
      <c r="B14" s="104">
        <f>B13/12</f>
        <v>1350</v>
      </c>
      <c r="C14" s="104">
        <f t="shared" ref="C14:H14" si="1">C13/12</f>
        <v>1390.5</v>
      </c>
      <c r="D14" s="104">
        <f t="shared" si="1"/>
        <v>1432.2150000000001</v>
      </c>
      <c r="E14" s="104">
        <f t="shared" si="1"/>
        <v>1475.18145</v>
      </c>
      <c r="F14" s="104">
        <f t="shared" si="1"/>
        <v>1519.4368935</v>
      </c>
      <c r="G14" s="104">
        <f t="shared" si="1"/>
        <v>1565.0200003049997</v>
      </c>
      <c r="H14" s="104">
        <f t="shared" si="1"/>
        <v>1611.9706003141498</v>
      </c>
    </row>
    <row r="15" spans="1:8" x14ac:dyDescent="0.3">
      <c r="A15" s="103" t="s">
        <v>86</v>
      </c>
      <c r="B15" s="104">
        <f>-(B13*B9)</f>
        <v>-648</v>
      </c>
      <c r="C15" s="104">
        <f t="shared" ref="C15" si="2">-(C13*C9)</f>
        <v>-667.44</v>
      </c>
      <c r="D15" s="104">
        <f>-(D13*D9)</f>
        <v>-687.46320000000003</v>
      </c>
      <c r="E15" s="104">
        <f t="shared" ref="E15:H15" si="3">-(E13*E9)</f>
        <v>-708.08709600000009</v>
      </c>
      <c r="F15" s="104">
        <f t="shared" si="3"/>
        <v>-729.32970888</v>
      </c>
      <c r="G15" s="104">
        <f t="shared" si="3"/>
        <v>-751.20960014639991</v>
      </c>
      <c r="H15" s="104">
        <f t="shared" si="3"/>
        <v>-773.74588815079187</v>
      </c>
    </row>
    <row r="16" spans="1:8" x14ac:dyDescent="0.3">
      <c r="A16" s="107" t="s">
        <v>87</v>
      </c>
      <c r="B16" s="108">
        <f>SUM(B13,B15)</f>
        <v>15552</v>
      </c>
      <c r="C16" s="108">
        <f t="shared" ref="C16:H16" si="4">SUM(C13,C15)</f>
        <v>16018.56</v>
      </c>
      <c r="D16" s="108">
        <f t="shared" si="4"/>
        <v>16499.116800000003</v>
      </c>
      <c r="E16" s="108">
        <f t="shared" si="4"/>
        <v>16994.090304000001</v>
      </c>
      <c r="F16" s="108">
        <f t="shared" si="4"/>
        <v>17503.91301312</v>
      </c>
      <c r="G16" s="108">
        <f t="shared" si="4"/>
        <v>18029.030403513596</v>
      </c>
      <c r="H16" s="108">
        <f t="shared" si="4"/>
        <v>18569.901315619005</v>
      </c>
    </row>
    <row r="17" spans="1:9" x14ac:dyDescent="0.3">
      <c r="A17" s="103"/>
      <c r="B17" s="109"/>
      <c r="C17" s="110"/>
      <c r="D17" s="110"/>
      <c r="E17" s="110"/>
      <c r="F17" s="110"/>
      <c r="G17" s="110"/>
      <c r="H17" s="111"/>
    </row>
    <row r="18" spans="1:9" x14ac:dyDescent="0.3">
      <c r="A18" s="99" t="s">
        <v>88</v>
      </c>
      <c r="B18" s="112"/>
      <c r="C18" s="113"/>
      <c r="D18" s="113"/>
      <c r="E18" s="113"/>
      <c r="F18" s="113"/>
      <c r="G18" s="113"/>
      <c r="H18" s="114"/>
    </row>
    <row r="19" spans="1:9" x14ac:dyDescent="0.3">
      <c r="A19" s="103" t="s">
        <v>89</v>
      </c>
      <c r="B19" s="136">
        <f>'Quick HELOC Loan Calc'!C23</f>
        <v>1284</v>
      </c>
      <c r="C19" s="108">
        <f>B$19+(B$19*C$8)</f>
        <v>1303.26</v>
      </c>
      <c r="D19" s="108">
        <f>C$19+(C$19*D$8)</f>
        <v>1322.8089</v>
      </c>
      <c r="E19" s="108">
        <f t="shared" ref="E19:G19" si="5">D$19+(D$19*E$8)</f>
        <v>1342.6510335</v>
      </c>
      <c r="F19" s="108">
        <f t="shared" si="5"/>
        <v>1362.7907990025001</v>
      </c>
      <c r="G19" s="108">
        <f t="shared" si="5"/>
        <v>1383.2326609875377</v>
      </c>
      <c r="H19" s="115">
        <f>G$19+(G$19*H$8)</f>
        <v>1403.9811509023507</v>
      </c>
    </row>
    <row r="20" spans="1:9" x14ac:dyDescent="0.3">
      <c r="A20" s="103" t="s">
        <v>90</v>
      </c>
      <c r="B20" s="136">
        <f>'Quick HELOC Loan Calc'!C24</f>
        <v>876</v>
      </c>
      <c r="C20" s="108">
        <f>B20+(B20*C8)</f>
        <v>889.14</v>
      </c>
      <c r="D20" s="108">
        <f t="shared" ref="D20:H20" si="6">C20+(C20*D8)</f>
        <v>902.47709999999995</v>
      </c>
      <c r="E20" s="108">
        <f t="shared" si="6"/>
        <v>916.01425649999999</v>
      </c>
      <c r="F20" s="108">
        <f t="shared" si="6"/>
        <v>929.75447034749993</v>
      </c>
      <c r="G20" s="108">
        <f t="shared" si="6"/>
        <v>943.70078740271242</v>
      </c>
      <c r="H20" s="115">
        <f t="shared" si="6"/>
        <v>957.85629921375312</v>
      </c>
    </row>
    <row r="21" spans="1:9" x14ac:dyDescent="0.3">
      <c r="A21" s="103" t="s">
        <v>91</v>
      </c>
      <c r="B21" s="140"/>
      <c r="C21" s="140">
        <f>C13*0.08</f>
        <v>1334.88</v>
      </c>
      <c r="D21" s="140">
        <f t="shared" ref="D21:H21" si="7">D13*0.08</f>
        <v>1374.9264000000001</v>
      </c>
      <c r="E21" s="140">
        <f t="shared" si="7"/>
        <v>1416.1741920000002</v>
      </c>
      <c r="F21" s="140">
        <f>F13*0.08</f>
        <v>1458.65941776</v>
      </c>
      <c r="G21" s="140">
        <f t="shared" si="7"/>
        <v>1502.4192002927998</v>
      </c>
      <c r="H21" s="140">
        <f t="shared" si="7"/>
        <v>1547.4917763015837</v>
      </c>
      <c r="I21" s="141" t="s">
        <v>112</v>
      </c>
    </row>
    <row r="22" spans="1:9" x14ac:dyDescent="0.3">
      <c r="A22" s="103" t="s">
        <v>92</v>
      </c>
      <c r="B22" s="116">
        <v>0</v>
      </c>
      <c r="C22" s="108">
        <v>0</v>
      </c>
      <c r="D22" s="108">
        <v>250</v>
      </c>
      <c r="E22" s="108">
        <v>0</v>
      </c>
      <c r="F22" s="116">
        <v>250</v>
      </c>
      <c r="G22" s="108">
        <v>0</v>
      </c>
      <c r="H22" s="115">
        <v>250</v>
      </c>
    </row>
    <row r="23" spans="1:9" x14ac:dyDescent="0.3">
      <c r="A23" s="103" t="s">
        <v>119</v>
      </c>
      <c r="B23" s="116"/>
      <c r="C23" s="108"/>
      <c r="D23" s="108">
        <v>250</v>
      </c>
      <c r="E23" s="108">
        <v>250</v>
      </c>
      <c r="F23" s="116">
        <v>250</v>
      </c>
      <c r="G23" s="108"/>
      <c r="H23" s="115">
        <v>250</v>
      </c>
    </row>
    <row r="24" spans="1:9" x14ac:dyDescent="0.3">
      <c r="A24" s="103" t="s">
        <v>93</v>
      </c>
      <c r="B24" s="116">
        <f>'[1]Input Info'!B14</f>
        <v>0</v>
      </c>
      <c r="C24" s="108">
        <f t="shared" ref="C24:H24" si="8">B24+(B24*C8)</f>
        <v>0</v>
      </c>
      <c r="D24" s="108">
        <f t="shared" si="8"/>
        <v>0</v>
      </c>
      <c r="E24" s="108">
        <f t="shared" si="8"/>
        <v>0</v>
      </c>
      <c r="F24" s="108">
        <f t="shared" si="8"/>
        <v>0</v>
      </c>
      <c r="G24" s="108">
        <f t="shared" si="8"/>
        <v>0</v>
      </c>
      <c r="H24" s="115">
        <f t="shared" si="8"/>
        <v>0</v>
      </c>
    </row>
    <row r="25" spans="1:9" x14ac:dyDescent="0.3">
      <c r="A25" s="103" t="s">
        <v>94</v>
      </c>
      <c r="B25" s="108">
        <f>B13*B5</f>
        <v>648</v>
      </c>
      <c r="C25" s="108">
        <f>C13*C5</f>
        <v>667.44</v>
      </c>
      <c r="D25" s="108">
        <f t="shared" ref="D25:H25" si="9">D13*D5</f>
        <v>687.46320000000003</v>
      </c>
      <c r="E25" s="108">
        <f t="shared" si="9"/>
        <v>708.08709600000009</v>
      </c>
      <c r="F25" s="108">
        <f t="shared" si="9"/>
        <v>729.32970888</v>
      </c>
      <c r="G25" s="108">
        <f t="shared" si="9"/>
        <v>751.20960014639991</v>
      </c>
      <c r="H25" s="108">
        <f t="shared" si="9"/>
        <v>773.74588815079187</v>
      </c>
    </row>
    <row r="26" spans="1:9" x14ac:dyDescent="0.3">
      <c r="A26" s="103" t="s">
        <v>142</v>
      </c>
      <c r="B26" s="108">
        <v>100</v>
      </c>
      <c r="C26" s="108">
        <v>100</v>
      </c>
      <c r="D26" s="108">
        <v>100</v>
      </c>
      <c r="E26" s="108">
        <v>100</v>
      </c>
      <c r="F26" s="108">
        <v>100</v>
      </c>
      <c r="G26" s="108">
        <v>100</v>
      </c>
      <c r="H26" s="108">
        <v>100</v>
      </c>
    </row>
    <row r="27" spans="1:9" x14ac:dyDescent="0.3">
      <c r="A27" s="103" t="s">
        <v>145</v>
      </c>
      <c r="B27" s="108">
        <f>33*12</f>
        <v>396</v>
      </c>
      <c r="C27" s="108">
        <f t="shared" ref="C27:H27" si="10">33*12</f>
        <v>396</v>
      </c>
      <c r="D27" s="108">
        <f t="shared" si="10"/>
        <v>396</v>
      </c>
      <c r="E27" s="108">
        <f t="shared" si="10"/>
        <v>396</v>
      </c>
      <c r="F27" s="108">
        <f t="shared" si="10"/>
        <v>396</v>
      </c>
      <c r="G27" s="108">
        <f t="shared" si="10"/>
        <v>396</v>
      </c>
      <c r="H27" s="108">
        <f t="shared" si="10"/>
        <v>396</v>
      </c>
    </row>
    <row r="28" spans="1:9" x14ac:dyDescent="0.3">
      <c r="A28" s="117" t="s">
        <v>95</v>
      </c>
      <c r="B28" s="154">
        <f>SUM(B19:B27)</f>
        <v>3304</v>
      </c>
      <c r="C28" s="154">
        <f t="shared" ref="C28:H28" si="11">SUM(C19:C27)</f>
        <v>4690.72</v>
      </c>
      <c r="D28" s="154">
        <f t="shared" si="11"/>
        <v>5283.6756000000005</v>
      </c>
      <c r="E28" s="154">
        <f t="shared" si="11"/>
        <v>5128.9265780000005</v>
      </c>
      <c r="F28" s="154">
        <f t="shared" si="11"/>
        <v>5476.5343959900001</v>
      </c>
      <c r="G28" s="154">
        <f t="shared" si="11"/>
        <v>5076.5622488294503</v>
      </c>
      <c r="H28" s="154">
        <f t="shared" si="11"/>
        <v>5679.075114568479</v>
      </c>
    </row>
    <row r="29" spans="1:9" x14ac:dyDescent="0.3">
      <c r="A29" s="103"/>
      <c r="B29" s="104"/>
      <c r="C29" s="105"/>
      <c r="D29" s="105"/>
      <c r="E29" s="105"/>
      <c r="F29" s="105"/>
      <c r="G29" s="105"/>
      <c r="H29" s="106"/>
    </row>
    <row r="30" spans="1:9" x14ac:dyDescent="0.3">
      <c r="A30" s="120" t="s">
        <v>96</v>
      </c>
      <c r="B30" s="121">
        <f>SUM(B16-B28)</f>
        <v>12248</v>
      </c>
      <c r="C30" s="121">
        <f>SUM(C16-C28)</f>
        <v>11327.84</v>
      </c>
      <c r="D30" s="121">
        <f>SUM(D16-D28)</f>
        <v>11215.441200000003</v>
      </c>
      <c r="E30" s="121">
        <f t="shared" ref="E30:H30" si="12">SUM(E16-E28)</f>
        <v>11865.163726000001</v>
      </c>
      <c r="F30" s="121">
        <f t="shared" si="12"/>
        <v>12027.37861713</v>
      </c>
      <c r="G30" s="121">
        <f t="shared" si="12"/>
        <v>12952.468154684146</v>
      </c>
      <c r="H30" s="122">
        <f t="shared" si="12"/>
        <v>12890.826201050526</v>
      </c>
    </row>
    <row r="31" spans="1:9" x14ac:dyDescent="0.3">
      <c r="A31" s="103"/>
      <c r="B31" s="104"/>
      <c r="C31" s="105"/>
      <c r="D31" s="105"/>
      <c r="E31" s="105"/>
      <c r="F31" s="105"/>
      <c r="G31" s="105"/>
      <c r="H31" s="106"/>
    </row>
    <row r="32" spans="1:9" x14ac:dyDescent="0.3">
      <c r="A32" s="123" t="s">
        <v>53</v>
      </c>
      <c r="B32" s="124"/>
      <c r="C32" s="125"/>
      <c r="D32" s="125"/>
      <c r="E32" s="125"/>
      <c r="F32" s="125"/>
      <c r="G32" s="125"/>
      <c r="H32" s="126"/>
    </row>
    <row r="33" spans="1:9" x14ac:dyDescent="0.3">
      <c r="A33" s="103" t="s">
        <v>97</v>
      </c>
      <c r="B33" s="108">
        <f>B30</f>
        <v>12248</v>
      </c>
      <c r="C33" s="108">
        <f>C30</f>
        <v>11327.84</v>
      </c>
      <c r="D33" s="108">
        <f t="shared" ref="D33:H33" si="13">D30</f>
        <v>11215.441200000003</v>
      </c>
      <c r="E33" s="108">
        <f t="shared" si="13"/>
        <v>11865.163726000001</v>
      </c>
      <c r="F33" s="108">
        <f t="shared" si="13"/>
        <v>12027.37861713</v>
      </c>
      <c r="G33" s="108">
        <f t="shared" si="13"/>
        <v>12952.468154684146</v>
      </c>
      <c r="H33" s="115">
        <f t="shared" si="13"/>
        <v>12890.826201050526</v>
      </c>
    </row>
    <row r="34" spans="1:9" x14ac:dyDescent="0.3">
      <c r="A34" s="103" t="s">
        <v>107</v>
      </c>
      <c r="B34" s="116">
        <f>SUM('Quick HELOC Loan Calc'!$B$37*12)</f>
        <v>10338.460777518896</v>
      </c>
      <c r="C34" s="116">
        <f>SUM('Quick HELOC Loan Calc'!$B$37*12)</f>
        <v>10338.460777518896</v>
      </c>
      <c r="D34" s="116">
        <f>SUM('Quick HELOC Loan Calc'!$B$37*12)</f>
        <v>10338.460777518896</v>
      </c>
      <c r="E34" s="116">
        <f>SUM('Quick HELOC Loan Calc'!$B$37*12)</f>
        <v>10338.460777518896</v>
      </c>
      <c r="F34" s="116">
        <f>SUM('Quick HELOC Loan Calc'!$B$37*12)</f>
        <v>10338.460777518896</v>
      </c>
      <c r="G34" s="116">
        <f>SUM('Quick HELOC Loan Calc'!$B$37*12)</f>
        <v>10338.460777518896</v>
      </c>
      <c r="H34" s="116">
        <f>SUM('Quick HELOC Loan Calc'!$B$37*12)</f>
        <v>10338.460777518896</v>
      </c>
    </row>
    <row r="35" spans="1:9" x14ac:dyDescent="0.3">
      <c r="A35" s="103" t="s">
        <v>108</v>
      </c>
      <c r="B35" s="140">
        <f>'Quick HELOC Loan Calc'!C36</f>
        <v>0</v>
      </c>
      <c r="C35" s="116"/>
      <c r="D35" s="116"/>
      <c r="E35" s="116"/>
      <c r="F35" s="116"/>
      <c r="G35" s="116"/>
      <c r="H35" s="116"/>
      <c r="I35" s="141" t="s">
        <v>143</v>
      </c>
    </row>
    <row r="36" spans="1:9" x14ac:dyDescent="0.3">
      <c r="A36" s="127" t="s">
        <v>111</v>
      </c>
      <c r="B36" s="118">
        <f>SUM(B33-B34-B35)</f>
        <v>1909.5392224811039</v>
      </c>
      <c r="C36" s="118">
        <f>SUM(C33-C34-C35)</f>
        <v>989.37922248110408</v>
      </c>
      <c r="D36" s="118">
        <f t="shared" ref="D36:H36" si="14">SUM(D33-D34-D35)</f>
        <v>876.98042248110687</v>
      </c>
      <c r="E36" s="118">
        <f t="shared" si="14"/>
        <v>1526.7029484811046</v>
      </c>
      <c r="F36" s="118">
        <f t="shared" si="14"/>
        <v>1688.9178396111038</v>
      </c>
      <c r="G36" s="118">
        <f t="shared" si="14"/>
        <v>2614.0073771652496</v>
      </c>
      <c r="H36" s="118">
        <f t="shared" si="14"/>
        <v>2552.3654235316299</v>
      </c>
    </row>
    <row r="37" spans="1:9" x14ac:dyDescent="0.3">
      <c r="A37" s="139" t="s">
        <v>110</v>
      </c>
      <c r="B37" s="118">
        <f>B36/12</f>
        <v>159.12826854009199</v>
      </c>
      <c r="C37" s="118">
        <f t="shared" ref="C37:H37" si="15">C36/12</f>
        <v>82.448268540092002</v>
      </c>
      <c r="D37" s="118">
        <f t="shared" si="15"/>
        <v>73.081701873425573</v>
      </c>
      <c r="E37" s="118">
        <f t="shared" si="15"/>
        <v>127.22524570675871</v>
      </c>
      <c r="F37" s="118">
        <f t="shared" si="15"/>
        <v>140.74315330092531</v>
      </c>
      <c r="G37" s="118">
        <f t="shared" si="15"/>
        <v>217.83394809710413</v>
      </c>
      <c r="H37" s="118">
        <f t="shared" si="15"/>
        <v>212.69711862763583</v>
      </c>
    </row>
    <row r="38" spans="1:9" x14ac:dyDescent="0.3">
      <c r="A38" s="139" t="s">
        <v>38</v>
      </c>
      <c r="B38" s="138">
        <f>B33/SUM(B34:B35)</f>
        <v>1.184702468150135</v>
      </c>
      <c r="C38" s="138">
        <f t="shared" ref="C38:H38" si="16">C33/SUM(C34:C35)</f>
        <v>1.0956988901706259</v>
      </c>
      <c r="D38" s="138">
        <f t="shared" si="16"/>
        <v>1.0848269816323248</v>
      </c>
      <c r="E38" s="138">
        <f t="shared" si="16"/>
        <v>1.1476721710644719</v>
      </c>
      <c r="F38" s="138">
        <f t="shared" si="16"/>
        <v>1.1633626006768507</v>
      </c>
      <c r="G38" s="138">
        <f t="shared" si="16"/>
        <v>1.2528429940798769</v>
      </c>
      <c r="H38" s="138">
        <f t="shared" si="16"/>
        <v>1.2468806022925365</v>
      </c>
    </row>
    <row r="39" spans="1:9" x14ac:dyDescent="0.3">
      <c r="A39" s="128" t="s">
        <v>98</v>
      </c>
      <c r="B39" s="129">
        <f>-CUMPRINC('Quick HELOC Loan Calc'!$H$7/12,'Quick HELOC Loan Calc'!$H$8*12,'Quick HELOC Loan Calc'!$B$8,1,12,0)</f>
        <v>1468.5843223537527</v>
      </c>
      <c r="C39" s="129">
        <f>-CUMPRINC('Quick HELOC Loan Calc'!$H$7/12,'Quick HELOC Loan Calc'!$H$8*12,'Quick HELOC Loan Calc'!$B$8,13,24,0)</f>
        <v>1568.8873650739824</v>
      </c>
      <c r="D39" s="129">
        <f>-CUMPRINC('Quick HELOC Loan Calc'!$H$7/12,'Quick HELOC Loan Calc'!$H$8*12,'Quick HELOC Loan Calc'!$B$8,25,36,0)</f>
        <v>1676.0410191113822</v>
      </c>
      <c r="E39" s="129">
        <f>-CUMPRINC('Quick HELOC Loan Calc'!$H$7/12,'Quick HELOC Loan Calc'!$H$8*12,'Quick HELOC Loan Calc'!$B$8,37,48,0)</f>
        <v>1790.5131753109983</v>
      </c>
      <c r="F39" s="129">
        <f>-CUMPRINC('Quick HELOC Loan Calc'!$H$7/12,'Quick HELOC Loan Calc'!$H$8*12,'Quick HELOC Loan Calc'!$B$8,49,60,0)</f>
        <v>1912.8036810590856</v>
      </c>
      <c r="G39" s="129">
        <f>-CUMPRINC('Quick HELOC Loan Calc'!$H$7/12,'Quick HELOC Loan Calc'!$H$8*12,'Quick HELOC Loan Calc'!$B$8,61,72,0)</f>
        <v>2043.4465228873169</v>
      </c>
      <c r="H39" s="129">
        <f>-CUMPRINC('Quick HELOC Loan Calc'!$H$7/12,'Quick HELOC Loan Calc'!$H$8*12,'Quick HELOC Loan Calc'!$B$8,73,84,0)</f>
        <v>2183.0121581469712</v>
      </c>
    </row>
    <row r="40" spans="1:9" x14ac:dyDescent="0.3">
      <c r="A40" s="130" t="s">
        <v>99</v>
      </c>
      <c r="B40" s="131">
        <f>SUM(B6*'Quick HELOC Loan Calc'!$B$5)</f>
        <v>7176</v>
      </c>
      <c r="C40" s="131">
        <f>(SUM(B40)+'Quick HELOC Loan Calc'!$B$5)*C$6</f>
        <v>7463.04</v>
      </c>
      <c r="D40" s="131">
        <f>('Quick HELOC Loan Calc'!$B$5+C40+B40)*D$6</f>
        <v>7761.5616000000009</v>
      </c>
      <c r="E40" s="131">
        <f>('Quick HELOC Loan Calc'!$B$5+D40+C40+B40)*E$6</f>
        <v>8072.0240640000011</v>
      </c>
      <c r="F40" s="131">
        <f>('Quick HELOC Loan Calc'!$B$5+E40+D40+C40+B40)*F$6</f>
        <v>8394.9050265600017</v>
      </c>
      <c r="G40" s="131">
        <f>('Quick HELOC Loan Calc'!$B$5+F40+E40+D40+C40+B40)*G$6</f>
        <v>8730.7012276224013</v>
      </c>
      <c r="H40" s="132">
        <f>('Quick HELOC Loan Calc'!$B$5+G40+F40+E40+D40+C40+B40)*H$6</f>
        <v>9079.9292767272982</v>
      </c>
    </row>
    <row r="41" spans="1:9" x14ac:dyDescent="0.3">
      <c r="A41" s="127" t="s">
        <v>100</v>
      </c>
      <c r="B41" s="118">
        <f>SUM(B36+B39+B40)</f>
        <v>10554.123544834856</v>
      </c>
      <c r="C41" s="118">
        <f t="shared" ref="C41:H41" si="17">SUM(C36+C39+C40)</f>
        <v>10021.306587555086</v>
      </c>
      <c r="D41" s="118">
        <f t="shared" si="17"/>
        <v>10314.58304159249</v>
      </c>
      <c r="E41" s="118">
        <f t="shared" si="17"/>
        <v>11389.240187792104</v>
      </c>
      <c r="F41" s="118">
        <f t="shared" si="17"/>
        <v>11996.626547230191</v>
      </c>
      <c r="G41" s="118">
        <f t="shared" si="17"/>
        <v>13388.155127674967</v>
      </c>
      <c r="H41" s="119">
        <f t="shared" si="17"/>
        <v>13815.3068584059</v>
      </c>
    </row>
    <row r="42" spans="1:9" ht="16.2" thickBot="1" x14ac:dyDescent="0.35">
      <c r="A42" s="133" t="s">
        <v>101</v>
      </c>
      <c r="B42" s="134">
        <f>SUM(B41/'[1]Input Info'!$B$18)</f>
        <v>0.25128865582940135</v>
      </c>
      <c r="C42" s="134">
        <f>SUM(C41/'[1]Input Info'!$B$18)</f>
        <v>0.23860253779893062</v>
      </c>
      <c r="D42" s="134">
        <f>SUM(D41/'[1]Input Info'!$B$18)</f>
        <v>0.2455853105141069</v>
      </c>
      <c r="E42" s="134">
        <f>SUM(E41/'[1]Input Info'!$B$18)</f>
        <v>0.27117238542362154</v>
      </c>
      <c r="F42" s="134">
        <f>SUM(F41/'[1]Input Info'!$B$18)</f>
        <v>0.28563396541024266</v>
      </c>
      <c r="G42" s="134">
        <f>SUM(G41/'[1]Input Info'!$B$18)</f>
        <v>0.3187655982779754</v>
      </c>
      <c r="H42" s="135">
        <f>SUM(H41/'[1]Input Info'!$B$18)</f>
        <v>0.32893587758109288</v>
      </c>
    </row>
    <row r="43" spans="1:9" x14ac:dyDescent="0.3">
      <c r="A43" s="208" t="s">
        <v>102</v>
      </c>
      <c r="B43" s="209"/>
      <c r="C43" s="209"/>
      <c r="D43" s="209"/>
      <c r="E43" s="209"/>
      <c r="F43" s="209"/>
      <c r="G43" s="210">
        <f>AVERAGE(B42:H42)</f>
        <v>0.27714061869076734</v>
      </c>
      <c r="H43" s="211"/>
    </row>
    <row r="44" spans="1:9" x14ac:dyDescent="0.3">
      <c r="A44" s="212" t="s">
        <v>103</v>
      </c>
      <c r="B44" s="213"/>
      <c r="C44" s="213"/>
      <c r="D44" s="213"/>
      <c r="E44" s="213"/>
      <c r="F44" s="213"/>
      <c r="G44" s="214">
        <f>'[1]Input Info'!B5+(SUM('7yr IRR Financing'!B40:H40))</f>
        <v>196678.16119490971</v>
      </c>
      <c r="H44" s="215"/>
    </row>
    <row r="45" spans="1:9" ht="16.2" thickBot="1" x14ac:dyDescent="0.35">
      <c r="A45" s="186" t="s">
        <v>104</v>
      </c>
      <c r="B45" s="187"/>
      <c r="C45" s="187"/>
      <c r="D45" s="187"/>
      <c r="E45" s="187"/>
      <c r="F45" s="187"/>
      <c r="G45" s="188">
        <f>SUM(B39:H39)</f>
        <v>12643.288243943491</v>
      </c>
      <c r="H45" s="189"/>
    </row>
    <row r="46" spans="1:9" ht="17.100000000000001" customHeight="1" x14ac:dyDescent="0.3">
      <c r="A46" s="190" t="s">
        <v>105</v>
      </c>
      <c r="B46" s="191"/>
      <c r="C46" s="191"/>
      <c r="D46" s="191"/>
      <c r="E46" s="191"/>
      <c r="F46" s="191"/>
      <c r="G46" s="191"/>
      <c r="H46" s="192"/>
    </row>
    <row r="47" spans="1:9" x14ac:dyDescent="0.3">
      <c r="A47" s="193"/>
      <c r="B47" s="194"/>
      <c r="C47" s="194"/>
      <c r="D47" s="194"/>
      <c r="E47" s="194"/>
      <c r="F47" s="194"/>
      <c r="G47" s="194"/>
      <c r="H47" s="195"/>
    </row>
    <row r="48" spans="1:9" x14ac:dyDescent="0.3">
      <c r="A48" s="193"/>
      <c r="B48" s="194"/>
      <c r="C48" s="194"/>
      <c r="D48" s="194"/>
      <c r="E48" s="194"/>
      <c r="F48" s="194"/>
      <c r="G48" s="194"/>
      <c r="H48" s="195"/>
    </row>
    <row r="49" spans="1:8" x14ac:dyDescent="0.3">
      <c r="A49" s="193"/>
      <c r="B49" s="194"/>
      <c r="C49" s="194"/>
      <c r="D49" s="194"/>
      <c r="E49" s="194"/>
      <c r="F49" s="194"/>
      <c r="G49" s="194"/>
      <c r="H49" s="195"/>
    </row>
    <row r="50" spans="1:8" x14ac:dyDescent="0.3">
      <c r="A50" s="193"/>
      <c r="B50" s="194"/>
      <c r="C50" s="194"/>
      <c r="D50" s="194"/>
      <c r="E50" s="194"/>
      <c r="F50" s="194"/>
      <c r="G50" s="194"/>
      <c r="H50" s="195"/>
    </row>
    <row r="51" spans="1:8" x14ac:dyDescent="0.3">
      <c r="A51" s="193"/>
      <c r="B51" s="194"/>
      <c r="C51" s="194"/>
      <c r="D51" s="194"/>
      <c r="E51" s="194"/>
      <c r="F51" s="194"/>
      <c r="G51" s="194"/>
      <c r="H51" s="195"/>
    </row>
    <row r="52" spans="1:8" x14ac:dyDescent="0.3">
      <c r="A52" s="193"/>
      <c r="B52" s="194"/>
      <c r="C52" s="194"/>
      <c r="D52" s="194"/>
      <c r="E52" s="194"/>
      <c r="F52" s="194"/>
      <c r="G52" s="194"/>
      <c r="H52" s="195"/>
    </row>
    <row r="53" spans="1:8" x14ac:dyDescent="0.3">
      <c r="A53" s="193"/>
      <c r="B53" s="194"/>
      <c r="C53" s="194"/>
      <c r="D53" s="194"/>
      <c r="E53" s="194"/>
      <c r="F53" s="194"/>
      <c r="G53" s="194"/>
      <c r="H53" s="195"/>
    </row>
    <row r="54" spans="1:8" x14ac:dyDescent="0.3">
      <c r="A54" s="193"/>
      <c r="B54" s="194"/>
      <c r="C54" s="194"/>
      <c r="D54" s="194"/>
      <c r="E54" s="194"/>
      <c r="F54" s="194"/>
      <c r="G54" s="194"/>
      <c r="H54" s="195"/>
    </row>
    <row r="55" spans="1:8" ht="16.2" thickBot="1" x14ac:dyDescent="0.35">
      <c r="A55" s="196"/>
      <c r="B55" s="197"/>
      <c r="C55" s="197"/>
      <c r="D55" s="197"/>
      <c r="E55" s="197"/>
      <c r="F55" s="197"/>
      <c r="G55" s="197"/>
      <c r="H55" s="198"/>
    </row>
  </sheetData>
  <mergeCells count="9">
    <mergeCell ref="A45:F45"/>
    <mergeCell ref="G45:H45"/>
    <mergeCell ref="A46:H55"/>
    <mergeCell ref="A1:H2"/>
    <mergeCell ref="A3:H3"/>
    <mergeCell ref="A43:F43"/>
    <mergeCell ref="G43:H43"/>
    <mergeCell ref="A44:F44"/>
    <mergeCell ref="G44:H44"/>
  </mergeCells>
  <pageMargins left="0.7" right="0.7" top="0.75" bottom="0.75" header="0.3" footer="0.3"/>
  <pageSetup scale="80" fitToHeight="2"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E79E-7897-488B-A3C6-0D74ED233A3C}">
  <dimension ref="A1:P46"/>
  <sheetViews>
    <sheetView workbookViewId="0">
      <selection activeCell="C31" sqref="C31"/>
    </sheetView>
  </sheetViews>
  <sheetFormatPr defaultRowHeight="14.4" x14ac:dyDescent="0.3"/>
  <cols>
    <col min="1" max="1" width="39.88671875" customWidth="1"/>
    <col min="2" max="2" width="14.21875" bestFit="1" customWidth="1"/>
    <col min="3" max="11" width="11.5546875" bestFit="1" customWidth="1"/>
    <col min="12" max="12" width="11.21875" bestFit="1" customWidth="1"/>
    <col min="15" max="15" width="11.77734375" bestFit="1" customWidth="1"/>
    <col min="16" max="16" width="12.33203125" bestFit="1" customWidth="1"/>
  </cols>
  <sheetData>
    <row r="1" spans="1:16" x14ac:dyDescent="0.3">
      <c r="A1" t="s">
        <v>152</v>
      </c>
      <c r="B1">
        <v>1</v>
      </c>
      <c r="C1">
        <v>2</v>
      </c>
      <c r="D1">
        <v>3</v>
      </c>
      <c r="E1">
        <v>4</v>
      </c>
      <c r="F1">
        <v>5</v>
      </c>
      <c r="G1">
        <v>6</v>
      </c>
      <c r="H1">
        <v>7</v>
      </c>
      <c r="I1">
        <v>8</v>
      </c>
      <c r="J1">
        <v>9</v>
      </c>
      <c r="K1">
        <v>10</v>
      </c>
    </row>
    <row r="2" spans="1:16" x14ac:dyDescent="0.3">
      <c r="A2" s="1" t="s">
        <v>113</v>
      </c>
      <c r="L2" t="s">
        <v>168</v>
      </c>
      <c r="M2" s="159">
        <v>0.08</v>
      </c>
      <c r="N2" t="s">
        <v>169</v>
      </c>
    </row>
    <row r="3" spans="1:16" ht="15" thickBot="1" x14ac:dyDescent="0.35">
      <c r="A3" t="s">
        <v>114</v>
      </c>
      <c r="B3" s="57">
        <f>'Quick HELOC Loan Calc'!C15</f>
        <v>16200</v>
      </c>
      <c r="C3" s="57">
        <f>B3*(1+C5)</f>
        <v>16783.2</v>
      </c>
      <c r="D3" s="57">
        <f t="shared" ref="D3:K3" si="0">C3*(1+D5)</f>
        <v>17387.395200000003</v>
      </c>
      <c r="E3" s="57">
        <f t="shared" si="0"/>
        <v>18013.341427200005</v>
      </c>
      <c r="F3" s="57">
        <f t="shared" si="0"/>
        <v>18661.821718579205</v>
      </c>
      <c r="G3" s="57">
        <f t="shared" si="0"/>
        <v>19333.647300448058</v>
      </c>
      <c r="H3" s="57">
        <f t="shared" si="0"/>
        <v>20029.65860326419</v>
      </c>
      <c r="I3" s="57">
        <f t="shared" si="0"/>
        <v>20750.7263129817</v>
      </c>
      <c r="J3" s="57">
        <f t="shared" si="0"/>
        <v>21497.752460249041</v>
      </c>
      <c r="K3" s="57">
        <f t="shared" si="0"/>
        <v>22271.671548818009</v>
      </c>
    </row>
    <row r="4" spans="1:16" ht="15" thickBot="1" x14ac:dyDescent="0.35">
      <c r="A4" t="s">
        <v>144</v>
      </c>
      <c r="B4" s="57">
        <f>B3/12</f>
        <v>1350</v>
      </c>
      <c r="C4" s="57">
        <f>C3/12</f>
        <v>1398.6000000000001</v>
      </c>
      <c r="D4" s="57">
        <f t="shared" ref="D4:K4" si="1">D3/12</f>
        <v>1448.9496000000001</v>
      </c>
      <c r="E4" s="57">
        <f t="shared" si="1"/>
        <v>1501.1117856000003</v>
      </c>
      <c r="F4" s="57">
        <f t="shared" si="1"/>
        <v>1555.1518098816005</v>
      </c>
      <c r="G4" s="57">
        <f t="shared" si="1"/>
        <v>1611.1372750373382</v>
      </c>
      <c r="H4" s="57">
        <f t="shared" si="1"/>
        <v>1669.1382169386825</v>
      </c>
      <c r="I4" s="57">
        <f t="shared" si="1"/>
        <v>1729.2271927484751</v>
      </c>
      <c r="J4" s="57">
        <f t="shared" si="1"/>
        <v>1791.4793716874201</v>
      </c>
      <c r="K4" s="57">
        <f t="shared" si="1"/>
        <v>1855.9726290681674</v>
      </c>
      <c r="M4" s="216" t="s">
        <v>6</v>
      </c>
      <c r="N4" s="217"/>
      <c r="O4" s="218"/>
      <c r="P4" s="74" t="s">
        <v>175</v>
      </c>
    </row>
    <row r="5" spans="1:16" x14ac:dyDescent="0.3">
      <c r="A5" t="s">
        <v>140</v>
      </c>
      <c r="B5" s="157">
        <v>3.5999999999999997E-2</v>
      </c>
      <c r="C5" s="153">
        <f>$B$5</f>
        <v>3.5999999999999997E-2</v>
      </c>
      <c r="D5" s="153">
        <f t="shared" ref="D5:K5" si="2">$B$5</f>
        <v>3.5999999999999997E-2</v>
      </c>
      <c r="E5" s="153">
        <f t="shared" si="2"/>
        <v>3.5999999999999997E-2</v>
      </c>
      <c r="F5" s="153">
        <f t="shared" si="2"/>
        <v>3.5999999999999997E-2</v>
      </c>
      <c r="G5" s="153">
        <f t="shared" si="2"/>
        <v>3.5999999999999997E-2</v>
      </c>
      <c r="H5" s="153">
        <f t="shared" si="2"/>
        <v>3.5999999999999997E-2</v>
      </c>
      <c r="I5" s="153">
        <f t="shared" si="2"/>
        <v>3.5999999999999997E-2</v>
      </c>
      <c r="J5" s="153">
        <f t="shared" si="2"/>
        <v>3.5999999999999997E-2</v>
      </c>
      <c r="K5" s="153">
        <f t="shared" si="2"/>
        <v>3.5999999999999997E-2</v>
      </c>
      <c r="M5" s="175">
        <v>45536</v>
      </c>
      <c r="N5">
        <v>0</v>
      </c>
      <c r="O5" s="176">
        <f>-SUM('Quick HELOC Loan Calc'!B6:B7)</f>
        <v>-55884</v>
      </c>
      <c r="P5" s="182">
        <f>O5</f>
        <v>-55884</v>
      </c>
    </row>
    <row r="6" spans="1:16" x14ac:dyDescent="0.3">
      <c r="A6" t="s">
        <v>139</v>
      </c>
      <c r="B6" s="144">
        <v>0.04</v>
      </c>
      <c r="C6" s="145">
        <f>$B$6</f>
        <v>0.04</v>
      </c>
      <c r="D6" s="145">
        <f t="shared" ref="D6:K6" si="3">$B$6</f>
        <v>0.04</v>
      </c>
      <c r="E6" s="145">
        <f t="shared" si="3"/>
        <v>0.04</v>
      </c>
      <c r="F6" s="145">
        <f t="shared" si="3"/>
        <v>0.04</v>
      </c>
      <c r="G6" s="145">
        <f t="shared" si="3"/>
        <v>0.04</v>
      </c>
      <c r="H6" s="145">
        <f t="shared" si="3"/>
        <v>0.04</v>
      </c>
      <c r="I6" s="145">
        <f t="shared" si="3"/>
        <v>0.04</v>
      </c>
      <c r="J6" s="145">
        <f t="shared" si="3"/>
        <v>0.04</v>
      </c>
      <c r="K6" s="145">
        <f t="shared" si="3"/>
        <v>0.04</v>
      </c>
      <c r="M6" s="175">
        <v>45901</v>
      </c>
      <c r="N6">
        <v>1</v>
      </c>
      <c r="O6" s="177">
        <f>B30</f>
        <v>613.53922248110393</v>
      </c>
      <c r="P6" s="183">
        <f>O6/(1+$M$2)^N6</f>
        <v>568.09187266768879</v>
      </c>
    </row>
    <row r="7" spans="1:16" x14ac:dyDescent="0.3">
      <c r="M7" s="175">
        <v>46266</v>
      </c>
      <c r="N7">
        <v>2</v>
      </c>
      <c r="O7" s="177">
        <f>C30</f>
        <v>1038.9272224811029</v>
      </c>
      <c r="P7" s="183">
        <f t="shared" ref="P7:P15" si="4">O7/(1+$M$2)^N7</f>
        <v>890.71263930135706</v>
      </c>
    </row>
    <row r="8" spans="1:16" x14ac:dyDescent="0.3">
      <c r="A8" s="1" t="s">
        <v>115</v>
      </c>
      <c r="B8" s="57">
        <f>B3*(1-B6)</f>
        <v>15552</v>
      </c>
      <c r="C8" s="57">
        <f>C3*(1-C6)</f>
        <v>16111.871999999999</v>
      </c>
      <c r="D8" s="57">
        <f t="shared" ref="D8:J8" si="5">D3*(1-D6)</f>
        <v>16691.899392000003</v>
      </c>
      <c r="E8" s="57">
        <f t="shared" si="5"/>
        <v>17292.807770112006</v>
      </c>
      <c r="F8" s="57">
        <f t="shared" si="5"/>
        <v>17915.348849836035</v>
      </c>
      <c r="G8" s="57">
        <f t="shared" si="5"/>
        <v>18560.301408430136</v>
      </c>
      <c r="H8" s="57">
        <f t="shared" si="5"/>
        <v>19228.472259133621</v>
      </c>
      <c r="I8" s="57">
        <f t="shared" si="5"/>
        <v>19920.697260462432</v>
      </c>
      <c r="J8" s="57">
        <f t="shared" si="5"/>
        <v>20637.842361839077</v>
      </c>
      <c r="K8" s="57">
        <f>K3*(1-K6)</f>
        <v>21380.804686865289</v>
      </c>
      <c r="M8" s="175">
        <v>46631</v>
      </c>
      <c r="N8">
        <v>3</v>
      </c>
      <c r="O8" s="177">
        <f>D30</f>
        <v>981.75409048110669</v>
      </c>
      <c r="P8" s="183">
        <f t="shared" si="4"/>
        <v>779.34804977733529</v>
      </c>
    </row>
    <row r="9" spans="1:16" x14ac:dyDescent="0.3">
      <c r="B9" s="143"/>
      <c r="C9" s="143"/>
      <c r="D9" s="143"/>
      <c r="E9" s="143"/>
      <c r="F9" s="143"/>
      <c r="G9" s="143"/>
      <c r="H9" s="143"/>
      <c r="I9" s="143"/>
      <c r="J9" s="143"/>
      <c r="K9" s="143"/>
      <c r="M9" s="175">
        <v>46997</v>
      </c>
      <c r="N9">
        <v>4</v>
      </c>
      <c r="O9" s="177">
        <f>E30</f>
        <v>1690.5973648291092</v>
      </c>
      <c r="P9" s="183">
        <f t="shared" si="4"/>
        <v>1242.639532208412</v>
      </c>
    </row>
    <row r="10" spans="1:16" x14ac:dyDescent="0.3">
      <c r="A10" s="1" t="s">
        <v>116</v>
      </c>
      <c r="M10" s="175">
        <v>47362</v>
      </c>
      <c r="N10">
        <v>5</v>
      </c>
      <c r="O10" s="177">
        <f>F30</f>
        <v>1916.1117957401329</v>
      </c>
      <c r="P10" s="183">
        <f t="shared" si="4"/>
        <v>1304.0734918189053</v>
      </c>
    </row>
    <row r="11" spans="1:16" x14ac:dyDescent="0.3">
      <c r="A11" t="s">
        <v>132</v>
      </c>
      <c r="B11" s="144">
        <f>0.08</f>
        <v>0.08</v>
      </c>
      <c r="C11" s="142">
        <f>$B$11</f>
        <v>0.08</v>
      </c>
      <c r="D11" s="142">
        <f t="shared" ref="D11:K11" si="6">$B$11</f>
        <v>0.08</v>
      </c>
      <c r="E11" s="142">
        <f t="shared" si="6"/>
        <v>0.08</v>
      </c>
      <c r="F11" s="142">
        <f t="shared" si="6"/>
        <v>0.08</v>
      </c>
      <c r="G11" s="142">
        <f t="shared" si="6"/>
        <v>0.08</v>
      </c>
      <c r="H11" s="142">
        <f t="shared" si="6"/>
        <v>0.08</v>
      </c>
      <c r="I11" s="142">
        <f t="shared" si="6"/>
        <v>0.08</v>
      </c>
      <c r="J11" s="142">
        <f t="shared" si="6"/>
        <v>0.08</v>
      </c>
      <c r="K11" s="142">
        <f t="shared" si="6"/>
        <v>0.08</v>
      </c>
      <c r="L11" s="142"/>
      <c r="M11" s="175">
        <v>47727</v>
      </c>
      <c r="N11">
        <v>6</v>
      </c>
      <c r="O11" s="177">
        <f>G30</f>
        <v>2908.8935914547601</v>
      </c>
      <c r="P11" s="183">
        <f t="shared" si="4"/>
        <v>1833.0963891697002</v>
      </c>
    </row>
    <row r="12" spans="1:16" x14ac:dyDescent="0.3">
      <c r="A12" t="s">
        <v>40</v>
      </c>
      <c r="B12" s="150">
        <f>IF('Quick HELOC Loan Calc'!$E$22=1,"Waived",'Quick HELOC Loan Calc'!$C$22)</f>
        <v>1296</v>
      </c>
      <c r="C12" s="57">
        <f>C3*C11</f>
        <v>1342.6560000000002</v>
      </c>
      <c r="D12" s="57">
        <f t="shared" ref="D12" si="7">D3*D11</f>
        <v>1390.9916160000002</v>
      </c>
      <c r="E12" s="57">
        <f t="shared" ref="E12" si="8">E3*E11</f>
        <v>1441.0673141760003</v>
      </c>
      <c r="F12" s="57">
        <f t="shared" ref="F12:K12" si="9">F3*F11</f>
        <v>1492.9457374863364</v>
      </c>
      <c r="G12" s="57">
        <f t="shared" si="9"/>
        <v>1546.6917840358446</v>
      </c>
      <c r="H12" s="57">
        <f t="shared" si="9"/>
        <v>1602.3726882611352</v>
      </c>
      <c r="I12" s="57">
        <f t="shared" si="9"/>
        <v>1660.058105038536</v>
      </c>
      <c r="J12" s="57">
        <f t="shared" si="9"/>
        <v>1719.8201968199232</v>
      </c>
      <c r="K12" s="57">
        <f t="shared" si="9"/>
        <v>1781.7337239054407</v>
      </c>
      <c r="M12" s="175">
        <v>48092</v>
      </c>
      <c r="N12">
        <v>7</v>
      </c>
      <c r="O12" s="177">
        <f>H30</f>
        <v>2919.5634460092697</v>
      </c>
      <c r="P12" s="183">
        <f t="shared" si="4"/>
        <v>1703.5372291048263</v>
      </c>
    </row>
    <row r="13" spans="1:16" x14ac:dyDescent="0.3">
      <c r="A13" t="s">
        <v>133</v>
      </c>
      <c r="B13" s="57">
        <f>'Quick HELOC Loan Calc'!C23</f>
        <v>1284</v>
      </c>
      <c r="C13" s="57">
        <f>B36*($B$13/'Quick HELOC Loan Calc'!$B$5)</f>
        <v>1335.36</v>
      </c>
      <c r="D13" s="57">
        <f>C36*($B$13/'Quick HELOC Loan Calc'!$B$5)</f>
        <v>1386.72</v>
      </c>
      <c r="E13" s="57">
        <f>D36*($B$13/'Quick HELOC Loan Calc'!$B$5)</f>
        <v>1440.1343999999999</v>
      </c>
      <c r="F13" s="57">
        <f>E36*($B$13/'Quick HELOC Loan Calc'!$B$5)</f>
        <v>1495.6031999999998</v>
      </c>
      <c r="G13" s="57">
        <f>F36*($B$13/'Quick HELOC Loan Calc'!$B$5)</f>
        <v>1553.2085759999998</v>
      </c>
      <c r="H13" s="57">
        <f>G36*($B$13/'Quick HELOC Loan Calc'!$B$5)</f>
        <v>1613.032704</v>
      </c>
      <c r="I13" s="57">
        <f>H36*($B$13/'Quick HELOC Loan Calc'!$B$5)</f>
        <v>1675.1610470399999</v>
      </c>
      <c r="J13" s="57">
        <f>I36*($B$13/'Quick HELOC Loan Calc'!$B$5)</f>
        <v>1739.6823551999998</v>
      </c>
      <c r="K13" s="57">
        <f>J36*($B$13/'Quick HELOC Loan Calc'!$B$5)</f>
        <v>1806.6887970815999</v>
      </c>
      <c r="M13" s="175">
        <v>48458</v>
      </c>
      <c r="N13">
        <v>8</v>
      </c>
      <c r="O13" s="177">
        <f>I30</f>
        <v>3948.7641346437722</v>
      </c>
      <c r="P13" s="183">
        <f t="shared" si="4"/>
        <v>2133.3943941854004</v>
      </c>
    </row>
    <row r="14" spans="1:16" x14ac:dyDescent="0.3">
      <c r="A14" t="s">
        <v>134</v>
      </c>
      <c r="B14" s="57">
        <f>'Quick HELOC Loan Calc'!C24</f>
        <v>876</v>
      </c>
      <c r="C14" s="57">
        <f>B14+(B14*0.015)</f>
        <v>889.14</v>
      </c>
      <c r="D14" s="57">
        <f t="shared" ref="D14:K14" si="10">C14+(C14*0.015)</f>
        <v>902.47709999999995</v>
      </c>
      <c r="E14" s="57">
        <f t="shared" si="10"/>
        <v>916.01425649999999</v>
      </c>
      <c r="F14" s="57">
        <f t="shared" si="10"/>
        <v>929.75447034749993</v>
      </c>
      <c r="G14" s="57">
        <f t="shared" si="10"/>
        <v>943.70078740271242</v>
      </c>
      <c r="H14" s="57">
        <f t="shared" si="10"/>
        <v>957.85629921375312</v>
      </c>
      <c r="I14" s="57">
        <f t="shared" si="10"/>
        <v>972.22414370195941</v>
      </c>
      <c r="J14" s="57">
        <f t="shared" si="10"/>
        <v>986.80750585748876</v>
      </c>
      <c r="K14" s="57">
        <f t="shared" si="10"/>
        <v>1001.6096184453511</v>
      </c>
      <c r="M14" s="175">
        <v>48823</v>
      </c>
      <c r="N14">
        <v>9</v>
      </c>
      <c r="O14" s="177">
        <f>J30</f>
        <v>3997.1614280328067</v>
      </c>
      <c r="P14" s="183">
        <f t="shared" si="4"/>
        <v>1999.5758758311192</v>
      </c>
    </row>
    <row r="15" spans="1:16" x14ac:dyDescent="0.3">
      <c r="A15" t="s">
        <v>136</v>
      </c>
      <c r="B15" s="149">
        <f>IF('Quick HELOC Loan Calc'!$C$29=0,"Seller Covered",'Quick HELOC Loan Calc'!$C$29)</f>
        <v>648</v>
      </c>
      <c r="C15" s="57">
        <f>C3*0.04</f>
        <v>671.32800000000009</v>
      </c>
      <c r="D15" s="57">
        <f t="shared" ref="D15:K15" si="11">D3*0.04</f>
        <v>695.49580800000012</v>
      </c>
      <c r="E15" s="57">
        <f t="shared" si="11"/>
        <v>720.53365708800015</v>
      </c>
      <c r="F15" s="57">
        <f t="shared" si="11"/>
        <v>746.47286874316819</v>
      </c>
      <c r="G15" s="57">
        <f t="shared" si="11"/>
        <v>773.34589201792232</v>
      </c>
      <c r="H15" s="57">
        <f t="shared" si="11"/>
        <v>801.18634413056759</v>
      </c>
      <c r="I15" s="57">
        <f t="shared" si="11"/>
        <v>830.02905251926802</v>
      </c>
      <c r="J15" s="57">
        <f t="shared" si="11"/>
        <v>859.91009840996162</v>
      </c>
      <c r="K15" s="57">
        <f t="shared" si="11"/>
        <v>890.86686195272034</v>
      </c>
      <c r="M15" s="175">
        <v>49188</v>
      </c>
      <c r="N15">
        <v>10</v>
      </c>
      <c r="O15" s="177">
        <f>K30+K36-('Quick HELOC Loan Calc'!B8-SUM('10 Year'!B38:K38))</f>
        <v>152546.37930161768</v>
      </c>
      <c r="P15" s="183">
        <f t="shared" si="4"/>
        <v>70658.489523405573</v>
      </c>
    </row>
    <row r="16" spans="1:16" ht="15" thickBot="1" x14ac:dyDescent="0.35">
      <c r="A16" t="s">
        <v>117</v>
      </c>
      <c r="B16" s="57">
        <v>0</v>
      </c>
      <c r="C16" s="57">
        <v>0</v>
      </c>
      <c r="D16" s="57">
        <v>250</v>
      </c>
      <c r="E16" s="57">
        <v>0</v>
      </c>
      <c r="F16" s="57">
        <v>250</v>
      </c>
      <c r="G16" s="57">
        <v>0</v>
      </c>
      <c r="H16" s="57">
        <v>250</v>
      </c>
      <c r="I16" s="57">
        <v>0</v>
      </c>
      <c r="J16" s="57">
        <v>250</v>
      </c>
      <c r="K16" s="57">
        <v>0</v>
      </c>
      <c r="M16" s="178"/>
      <c r="N16" s="179"/>
      <c r="O16" s="180">
        <f>XIRR(O5:O15,M5:M15)</f>
        <v>0.12688130736351014</v>
      </c>
      <c r="P16" s="184">
        <f>SUM(P5:P15)</f>
        <v>27228.958997470327</v>
      </c>
    </row>
    <row r="17" spans="1:13" x14ac:dyDescent="0.3">
      <c r="A17" t="s">
        <v>118</v>
      </c>
      <c r="B17" s="57">
        <v>100</v>
      </c>
      <c r="C17" s="57">
        <v>100</v>
      </c>
      <c r="D17" s="57">
        <v>100</v>
      </c>
      <c r="E17" s="57">
        <v>100</v>
      </c>
      <c r="F17" s="57">
        <v>100</v>
      </c>
      <c r="G17" s="57">
        <v>100</v>
      </c>
      <c r="H17" s="57">
        <v>100</v>
      </c>
      <c r="I17" s="57">
        <v>100</v>
      </c>
      <c r="J17" s="57">
        <v>100</v>
      </c>
      <c r="K17" s="57">
        <v>100</v>
      </c>
    </row>
    <row r="18" spans="1:13" x14ac:dyDescent="0.3">
      <c r="A18" t="s">
        <v>119</v>
      </c>
      <c r="B18" s="57"/>
      <c r="C18" s="57"/>
      <c r="D18" s="57">
        <v>250</v>
      </c>
      <c r="E18" s="57">
        <v>250</v>
      </c>
      <c r="F18" s="57">
        <v>250</v>
      </c>
      <c r="H18" s="57">
        <v>250</v>
      </c>
      <c r="I18" s="57"/>
      <c r="J18" s="57">
        <v>250</v>
      </c>
      <c r="K18" s="57">
        <v>250</v>
      </c>
    </row>
    <row r="19" spans="1:13" x14ac:dyDescent="0.3">
      <c r="A19" t="s">
        <v>120</v>
      </c>
      <c r="B19" s="57">
        <v>0</v>
      </c>
      <c r="C19" s="57">
        <v>0</v>
      </c>
      <c r="D19" s="57">
        <v>0</v>
      </c>
      <c r="E19" s="57">
        <v>0</v>
      </c>
      <c r="F19" s="57">
        <v>0</v>
      </c>
      <c r="G19" s="57">
        <v>0</v>
      </c>
      <c r="H19" s="57">
        <v>0</v>
      </c>
      <c r="I19" s="57">
        <v>0</v>
      </c>
      <c r="J19" s="57">
        <v>0</v>
      </c>
      <c r="K19" s="57">
        <v>0</v>
      </c>
    </row>
    <row r="20" spans="1:13" x14ac:dyDescent="0.3">
      <c r="A20" t="s">
        <v>145</v>
      </c>
      <c r="B20" s="57">
        <f>33*12</f>
        <v>396</v>
      </c>
      <c r="C20" s="57">
        <f t="shared" ref="C20:K20" si="12">33*12</f>
        <v>396</v>
      </c>
      <c r="D20" s="57">
        <f t="shared" si="12"/>
        <v>396</v>
      </c>
      <c r="E20" s="57">
        <f t="shared" si="12"/>
        <v>396</v>
      </c>
      <c r="F20" s="57">
        <f t="shared" si="12"/>
        <v>396</v>
      </c>
      <c r="G20" s="57">
        <f t="shared" si="12"/>
        <v>396</v>
      </c>
      <c r="H20" s="57">
        <f t="shared" si="12"/>
        <v>396</v>
      </c>
      <c r="I20" s="57">
        <f t="shared" si="12"/>
        <v>396</v>
      </c>
      <c r="J20" s="57">
        <f t="shared" si="12"/>
        <v>396</v>
      </c>
      <c r="K20" s="57">
        <f t="shared" si="12"/>
        <v>396</v>
      </c>
    </row>
    <row r="22" spans="1:13" x14ac:dyDescent="0.3">
      <c r="A22" s="1" t="s">
        <v>121</v>
      </c>
      <c r="B22" s="57">
        <f>SUM(B12:B20)</f>
        <v>4600</v>
      </c>
      <c r="C22" s="57">
        <f>SUM(C12:C20)</f>
        <v>4734.4840000000004</v>
      </c>
      <c r="D22" s="57">
        <f t="shared" ref="D22:K22" si="13">SUM(D12:D20)</f>
        <v>5371.6845240000002</v>
      </c>
      <c r="E22" s="57">
        <f t="shared" si="13"/>
        <v>5263.7496277640003</v>
      </c>
      <c r="F22" s="57">
        <f t="shared" si="13"/>
        <v>5660.7762765770049</v>
      </c>
      <c r="G22" s="57">
        <f t="shared" si="13"/>
        <v>5312.9470394564796</v>
      </c>
      <c r="H22" s="57">
        <f t="shared" si="13"/>
        <v>5970.4480356054564</v>
      </c>
      <c r="I22" s="57">
        <f t="shared" si="13"/>
        <v>5633.4723482997633</v>
      </c>
      <c r="J22" s="57">
        <f t="shared" si="13"/>
        <v>6302.2201562873734</v>
      </c>
      <c r="K22" s="57">
        <f t="shared" si="13"/>
        <v>6226.8990013851126</v>
      </c>
    </row>
    <row r="24" spans="1:13" x14ac:dyDescent="0.3">
      <c r="A24" s="1" t="s">
        <v>96</v>
      </c>
      <c r="B24" s="57">
        <f>B8-B22</f>
        <v>10952</v>
      </c>
      <c r="C24" s="57">
        <f t="shared" ref="C24:K24" si="14">C8-C22</f>
        <v>11377.387999999999</v>
      </c>
      <c r="D24" s="57">
        <f t="shared" si="14"/>
        <v>11320.214868000003</v>
      </c>
      <c r="E24" s="57">
        <f t="shared" si="14"/>
        <v>12029.058142348005</v>
      </c>
      <c r="F24" s="57">
        <f t="shared" si="14"/>
        <v>12254.572573259029</v>
      </c>
      <c r="G24" s="57">
        <f t="shared" si="14"/>
        <v>13247.354368973656</v>
      </c>
      <c r="H24" s="57">
        <f t="shared" si="14"/>
        <v>13258.024223528166</v>
      </c>
      <c r="I24" s="57">
        <f t="shared" si="14"/>
        <v>14287.224912162668</v>
      </c>
      <c r="J24" s="57">
        <f t="shared" si="14"/>
        <v>14335.622205551703</v>
      </c>
      <c r="K24" s="57">
        <f t="shared" si="14"/>
        <v>15153.905685480177</v>
      </c>
    </row>
    <row r="25" spans="1:13" x14ac:dyDescent="0.3">
      <c r="A25" s="1" t="s">
        <v>122</v>
      </c>
      <c r="B25" s="146">
        <f>B24/'Quick HELOC Loan Calc'!$B$5</f>
        <v>6.1047937569676698E-2</v>
      </c>
      <c r="C25" s="146">
        <f>C24/'Quick HELOC Loan Calc'!$B$5</f>
        <v>6.3419108138238561E-2</v>
      </c>
      <c r="D25" s="146">
        <f>D24/'Quick HELOC Loan Calc'!$B$5</f>
        <v>6.3100417324414737E-2</v>
      </c>
      <c r="E25" s="146">
        <f>E24/'Quick HELOC Loan Calc'!$B$5</f>
        <v>6.7051606144637704E-2</v>
      </c>
      <c r="F25" s="146">
        <f>F24/'Quick HELOC Loan Calc'!$B$5</f>
        <v>6.8308654254509632E-2</v>
      </c>
      <c r="G25" s="146">
        <f>G24/'Quick HELOC Loan Calc'!$B$5</f>
        <v>7.3842555011001426E-2</v>
      </c>
      <c r="H25" s="146">
        <f>H24/'Quick HELOC Loan Calc'!$B$5</f>
        <v>7.3902030231483645E-2</v>
      </c>
      <c r="I25" s="146">
        <f>I24/'Quick HELOC Loan Calc'!$B$5</f>
        <v>7.963893485040506E-2</v>
      </c>
      <c r="J25" s="146">
        <f>J24/'Quick HELOC Loan Calc'!$B$5</f>
        <v>7.9908707946219085E-2</v>
      </c>
      <c r="K25" s="146">
        <f>K24/'Quick HELOC Loan Calc'!$B$5</f>
        <v>8.4469931357191622E-2</v>
      </c>
    </row>
    <row r="27" spans="1:13" x14ac:dyDescent="0.3">
      <c r="A27" s="1" t="s">
        <v>123</v>
      </c>
    </row>
    <row r="28" spans="1:13" x14ac:dyDescent="0.3">
      <c r="A28" t="s">
        <v>124</v>
      </c>
      <c r="B28" s="57">
        <f>PMT('Quick HELOC Loan Calc'!$H$7/12, 'Quick HELOC Loan Calc'!$H$8*12,'Quick HELOC Loan Calc'!$B$8)*12</f>
        <v>-10338.460777518896</v>
      </c>
      <c r="C28" s="57">
        <f>PMT('Quick HELOC Loan Calc'!$H$7/12, 'Quick HELOC Loan Calc'!$H$8*12,'Quick HELOC Loan Calc'!$B$8)*12</f>
        <v>-10338.460777518896</v>
      </c>
      <c r="D28" s="57">
        <f>PMT('Quick HELOC Loan Calc'!$H$7/12, 'Quick HELOC Loan Calc'!$H$8*12,'Quick HELOC Loan Calc'!$B$8)*12</f>
        <v>-10338.460777518896</v>
      </c>
      <c r="E28" s="57">
        <f>PMT('Quick HELOC Loan Calc'!$H$7/12, 'Quick HELOC Loan Calc'!$H$8*12,'Quick HELOC Loan Calc'!$B$8)*12</f>
        <v>-10338.460777518896</v>
      </c>
      <c r="F28" s="57">
        <f>PMT('Quick HELOC Loan Calc'!$H$7/12, 'Quick HELOC Loan Calc'!$H$8*12,'Quick HELOC Loan Calc'!$B$8)*12</f>
        <v>-10338.460777518896</v>
      </c>
      <c r="G28" s="57">
        <f>PMT('Quick HELOC Loan Calc'!$H$7/12, 'Quick HELOC Loan Calc'!$H$8*12,'Quick HELOC Loan Calc'!$B$8)*12</f>
        <v>-10338.460777518896</v>
      </c>
      <c r="H28" s="57">
        <f>PMT('Quick HELOC Loan Calc'!$H$7/12, 'Quick HELOC Loan Calc'!$H$8*12,'Quick HELOC Loan Calc'!$B$8)*12</f>
        <v>-10338.460777518896</v>
      </c>
      <c r="I28" s="57">
        <f>PMT('Quick HELOC Loan Calc'!$H$7/12, 'Quick HELOC Loan Calc'!$H$8*12,'Quick HELOC Loan Calc'!$B$8)*12</f>
        <v>-10338.460777518896</v>
      </c>
      <c r="J28" s="57">
        <f>PMT('Quick HELOC Loan Calc'!$H$7/12, 'Quick HELOC Loan Calc'!$H$8*12,'Quick HELOC Loan Calc'!$B$8)*12</f>
        <v>-10338.460777518896</v>
      </c>
      <c r="K28" s="57">
        <f>PMT('Quick HELOC Loan Calc'!$H$7/12, 'Quick HELOC Loan Calc'!$H$8*12,'Quick HELOC Loan Calc'!$B$8)*12</f>
        <v>-10338.460777518896</v>
      </c>
    </row>
    <row r="29" spans="1:13" x14ac:dyDescent="0.3">
      <c r="A29" t="str">
        <f>"HELOC Payment ($"&amp; SUM('Quick HELOC Loan Calc'!B6,'Quick HELOC Loan Calc'!B7)-('Quick HELOC Loan Calc'!$C$5)&amp;")"</f>
        <v>HELOC Payment ($8858)</v>
      </c>
      <c r="B29" s="57">
        <f>-'Quick HELOC Loan Calc'!$C$36</f>
        <v>0</v>
      </c>
      <c r="C29" s="57"/>
      <c r="D29" s="57"/>
      <c r="E29" s="57"/>
      <c r="F29" s="57"/>
      <c r="G29" s="57"/>
      <c r="H29" s="57"/>
      <c r="I29" s="57"/>
      <c r="J29" s="57"/>
      <c r="K29" s="57"/>
    </row>
    <row r="30" spans="1:13" x14ac:dyDescent="0.3">
      <c r="A30" s="147" t="s">
        <v>125</v>
      </c>
      <c r="B30" s="148">
        <f>B24+B28+B29</f>
        <v>613.53922248110393</v>
      </c>
      <c r="C30" s="148">
        <f>C24+C28+C29</f>
        <v>1038.9272224811029</v>
      </c>
      <c r="D30" s="148">
        <f t="shared" ref="D30:K30" si="15">D24+D28+D29</f>
        <v>981.75409048110669</v>
      </c>
      <c r="E30" s="148">
        <f t="shared" si="15"/>
        <v>1690.5973648291092</v>
      </c>
      <c r="F30" s="148">
        <f t="shared" si="15"/>
        <v>1916.1117957401329</v>
      </c>
      <c r="G30" s="148">
        <f t="shared" si="15"/>
        <v>2908.8935914547601</v>
      </c>
      <c r="H30" s="148">
        <f t="shared" si="15"/>
        <v>2919.5634460092697</v>
      </c>
      <c r="I30" s="148">
        <f t="shared" si="15"/>
        <v>3948.7641346437722</v>
      </c>
      <c r="J30" s="148">
        <f t="shared" si="15"/>
        <v>3997.1614280328067</v>
      </c>
      <c r="K30" s="148">
        <f t="shared" si="15"/>
        <v>4815.4449079612805</v>
      </c>
      <c r="L30" s="57">
        <f>SUM(B30:K30)</f>
        <v>24830.757204114445</v>
      </c>
      <c r="M30" t="s">
        <v>172</v>
      </c>
    </row>
    <row r="31" spans="1:13" x14ac:dyDescent="0.3">
      <c r="A31" t="s">
        <v>110</v>
      </c>
      <c r="B31" s="57">
        <f>B30/12</f>
        <v>51.128268540091995</v>
      </c>
      <c r="C31" s="57">
        <f t="shared" ref="C31:K31" si="16">C30/12</f>
        <v>86.577268540091907</v>
      </c>
      <c r="D31" s="57">
        <f t="shared" si="16"/>
        <v>81.812840873425557</v>
      </c>
      <c r="E31" s="57">
        <f t="shared" si="16"/>
        <v>140.88311373575911</v>
      </c>
      <c r="F31" s="57">
        <f t="shared" si="16"/>
        <v>159.67598297834442</v>
      </c>
      <c r="G31" s="57">
        <f t="shared" si="16"/>
        <v>242.40779928789667</v>
      </c>
      <c r="H31" s="57">
        <f t="shared" si="16"/>
        <v>243.29695383410581</v>
      </c>
      <c r="I31" s="57">
        <f t="shared" si="16"/>
        <v>329.063677886981</v>
      </c>
      <c r="J31" s="57">
        <f t="shared" si="16"/>
        <v>333.09678566940056</v>
      </c>
      <c r="K31" s="57">
        <f t="shared" si="16"/>
        <v>401.28707566344002</v>
      </c>
    </row>
    <row r="32" spans="1:13" x14ac:dyDescent="0.3">
      <c r="A32" t="str">
        <f>"Discounted Cash Flow (DCF) @"&amp;M2&amp;"% return"</f>
        <v>Discounted Cash Flow (DCF) @0.08% return</v>
      </c>
      <c r="B32" s="57">
        <f>B30/(1+$M$2)^B1</f>
        <v>568.09187266768879</v>
      </c>
      <c r="C32" s="57">
        <f t="shared" ref="C32:K32" si="17">C30/(1+$M$2)^C1</f>
        <v>890.71263930135706</v>
      </c>
      <c r="D32" s="57">
        <f t="shared" si="17"/>
        <v>779.34804977733529</v>
      </c>
      <c r="E32" s="57">
        <f t="shared" si="17"/>
        <v>1242.639532208412</v>
      </c>
      <c r="F32" s="57">
        <f t="shared" si="17"/>
        <v>1304.0734918189053</v>
      </c>
      <c r="G32" s="57">
        <f t="shared" si="17"/>
        <v>1833.0963891697002</v>
      </c>
      <c r="H32" s="57">
        <f t="shared" si="17"/>
        <v>1703.5372291048263</v>
      </c>
      <c r="I32" s="57">
        <f t="shared" si="17"/>
        <v>2133.3943941854004</v>
      </c>
      <c r="J32" s="57">
        <f t="shared" si="17"/>
        <v>1999.5758758311192</v>
      </c>
      <c r="K32" s="57">
        <f t="shared" si="17"/>
        <v>2230.482723598217</v>
      </c>
      <c r="L32" s="57">
        <f>SUM(B32:K32)</f>
        <v>14684.952197662962</v>
      </c>
      <c r="M32" t="s">
        <v>171</v>
      </c>
    </row>
    <row r="33" spans="1:13" x14ac:dyDescent="0.3">
      <c r="A33" t="s">
        <v>126</v>
      </c>
      <c r="B33" s="146">
        <f>B30/(SUM('Quick HELOC Loan Calc'!$B$7,'Quick HELOC Loan Calc'!$B$6))</f>
        <v>1.0978799342944384E-2</v>
      </c>
      <c r="C33" s="146">
        <f>C30/(SUM('Quick HELOC Loan Calc'!$B$7,'Quick HELOC Loan Calc'!$B$6))</f>
        <v>1.8590781305581255E-2</v>
      </c>
      <c r="D33" s="146">
        <f>D30/(SUM('Quick HELOC Loan Calc'!$B$7,'Quick HELOC Loan Calc'!$B$6))</f>
        <v>1.7567713307585477E-2</v>
      </c>
      <c r="E33" s="146">
        <f>E30/(SUM('Quick HELOC Loan Calc'!$B$7,'Quick HELOC Loan Calc'!$B$6))</f>
        <v>3.0251903314528473E-2</v>
      </c>
      <c r="F33" s="146">
        <f>F30/(SUM('Quick HELOC Loan Calc'!$B$7,'Quick HELOC Loan Calc'!$B$6))</f>
        <v>3.428730577160069E-2</v>
      </c>
      <c r="G33" s="146">
        <f>G30/(SUM('Quick HELOC Loan Calc'!$B$7,'Quick HELOC Loan Calc'!$B$6))</f>
        <v>5.2052351146209291E-2</v>
      </c>
      <c r="H33" s="146">
        <f>H30/(SUM('Quick HELOC Loan Calc'!$B$7,'Quick HELOC Loan Calc'!$B$6))</f>
        <v>5.2243279758236165E-2</v>
      </c>
      <c r="I33" s="146">
        <f>I30/(SUM('Quick HELOC Loan Calc'!$B$7,'Quick HELOC Loan Calc'!$B$6))</f>
        <v>7.0660012430101143E-2</v>
      </c>
      <c r="J33" s="146">
        <f>J30/(SUM('Quick HELOC Loan Calc'!$B$7,'Quick HELOC Loan Calc'!$B$6))</f>
        <v>7.15260437340349E-2</v>
      </c>
      <c r="K33" s="146">
        <f>K30/(SUM('Quick HELOC Loan Calc'!$B$7,'Quick HELOC Loan Calc'!$B$6))</f>
        <v>8.616857970011596E-2</v>
      </c>
    </row>
    <row r="35" spans="1:13" x14ac:dyDescent="0.3">
      <c r="A35" t="s">
        <v>128</v>
      </c>
      <c r="B35" s="144">
        <v>0.04</v>
      </c>
      <c r="C35" s="145">
        <f>$B$35</f>
        <v>0.04</v>
      </c>
      <c r="D35" s="145">
        <f t="shared" ref="D35:K35" si="18">$B$35</f>
        <v>0.04</v>
      </c>
      <c r="E35" s="145">
        <f t="shared" si="18"/>
        <v>0.04</v>
      </c>
      <c r="F35" s="145">
        <f t="shared" si="18"/>
        <v>0.04</v>
      </c>
      <c r="G35" s="145">
        <f t="shared" si="18"/>
        <v>0.04</v>
      </c>
      <c r="H35" s="145">
        <f t="shared" si="18"/>
        <v>0.04</v>
      </c>
      <c r="I35" s="145">
        <f t="shared" si="18"/>
        <v>0.04</v>
      </c>
      <c r="J35" s="145">
        <f t="shared" si="18"/>
        <v>0.04</v>
      </c>
      <c r="K35" s="145">
        <f t="shared" si="18"/>
        <v>0.04</v>
      </c>
    </row>
    <row r="36" spans="1:13" x14ac:dyDescent="0.3">
      <c r="A36" t="s">
        <v>127</v>
      </c>
      <c r="B36" s="57">
        <f>'Quick HELOC Loan Calc'!$B$5*(1+'10 Year'!B35)</f>
        <v>186576</v>
      </c>
      <c r="C36" s="57">
        <f>B36+B37</f>
        <v>193752</v>
      </c>
      <c r="D36" s="57">
        <f>C36+C37</f>
        <v>201215.04</v>
      </c>
      <c r="E36" s="57">
        <f t="shared" ref="E36:K36" si="19">D36+D37</f>
        <v>208965.12</v>
      </c>
      <c r="F36" s="57">
        <f t="shared" si="19"/>
        <v>217013.72159999999</v>
      </c>
      <c r="G36" s="57">
        <f t="shared" si="19"/>
        <v>225372.32639999999</v>
      </c>
      <c r="H36" s="57">
        <f t="shared" si="19"/>
        <v>234052.875264</v>
      </c>
      <c r="I36" s="57">
        <f t="shared" si="19"/>
        <v>243067.76832</v>
      </c>
      <c r="J36" s="57">
        <f t="shared" si="19"/>
        <v>252429.88333056</v>
      </c>
      <c r="K36" s="57">
        <f t="shared" si="19"/>
        <v>262152.59406336001</v>
      </c>
    </row>
    <row r="37" spans="1:13" x14ac:dyDescent="0.3">
      <c r="A37" t="s">
        <v>128</v>
      </c>
      <c r="B37" s="57">
        <f>'Quick HELOC Loan Calc'!$B$5*B35</f>
        <v>7176</v>
      </c>
      <c r="C37" s="57">
        <f>B36*C35</f>
        <v>7463.04</v>
      </c>
      <c r="D37" s="57">
        <f>C36*D35</f>
        <v>7750.08</v>
      </c>
      <c r="E37" s="57">
        <f t="shared" ref="E37:K37" si="20">D36*E35</f>
        <v>8048.6016000000009</v>
      </c>
      <c r="F37" s="57">
        <f t="shared" si="20"/>
        <v>8358.6047999999992</v>
      </c>
      <c r="G37" s="57">
        <f t="shared" si="20"/>
        <v>8680.5488640000003</v>
      </c>
      <c r="H37" s="57">
        <f t="shared" si="20"/>
        <v>9014.893055999999</v>
      </c>
      <c r="I37" s="57">
        <f t="shared" si="20"/>
        <v>9362.1150105600009</v>
      </c>
      <c r="J37" s="57">
        <f t="shared" si="20"/>
        <v>9722.7107328000002</v>
      </c>
      <c r="K37" s="57">
        <f t="shared" si="20"/>
        <v>10097.1953332224</v>
      </c>
    </row>
    <row r="38" spans="1:13" x14ac:dyDescent="0.3">
      <c r="A38" t="s">
        <v>129</v>
      </c>
      <c r="B38" s="57">
        <f>-CUMPRINC('Quick HELOC Loan Calc'!$H$7/12,'Quick HELOC Loan Calc'!$H$8*12,'Quick HELOC Loan Calc'!$B$8,1,12,0)</f>
        <v>1468.5843223537527</v>
      </c>
      <c r="C38" s="57">
        <f>-CUMPRINC('Quick HELOC Loan Calc'!$H$7/12,'Quick HELOC Loan Calc'!$H$8*12,'Quick HELOC Loan Calc'!$B$8,13,24,0)</f>
        <v>1568.8873650739824</v>
      </c>
      <c r="D38" s="57">
        <f>-CUMPRINC('Quick HELOC Loan Calc'!$H$7/12,'Quick HELOC Loan Calc'!$H$8*12,'Quick HELOC Loan Calc'!$B$8,25,36,0)</f>
        <v>1676.0410191113822</v>
      </c>
      <c r="E38" s="57">
        <f>-CUMPRINC('Quick HELOC Loan Calc'!$H$7/12,'Quick HELOC Loan Calc'!$H$8*12,'Quick HELOC Loan Calc'!$B$8,37,48,0)</f>
        <v>1790.5131753109983</v>
      </c>
      <c r="F38" s="57">
        <f>-CUMPRINC('Quick HELOC Loan Calc'!$H$7/12,'Quick HELOC Loan Calc'!$H$8*12,'Quick HELOC Loan Calc'!$B$8,49,60,0)</f>
        <v>1912.8036810590856</v>
      </c>
      <c r="G38" s="57">
        <f>-CUMPRINC('Quick HELOC Loan Calc'!$H$7/12,'Quick HELOC Loan Calc'!$H$8*12,'Quick HELOC Loan Calc'!$B$8,61,72,0)</f>
        <v>2043.4465228873169</v>
      </c>
      <c r="H38" s="57">
        <f>-CUMPRINC('Quick HELOC Loan Calc'!$H$7/12,'Quick HELOC Loan Calc'!$H$8*12,'Quick HELOC Loan Calc'!$B$8,73,84,0)</f>
        <v>2183.0121581469712</v>
      </c>
      <c r="I38" s="57">
        <f>-CUMPRINC('Quick HELOC Loan Calc'!$H$7/12,'Quick HELOC Loan Calc'!$H$8*12,'Quick HELOC Loan Calc'!$B$8,85,96,0)</f>
        <v>2332.1100059344617</v>
      </c>
      <c r="J38" s="57">
        <f>-CUMPRINC('Quick HELOC Loan Calc'!$H$7/12,'Quick HELOC Loan Calc'!$H$8*12,'Quick HELOC Loan Calc'!$B$8,97,108,0)</f>
        <v>2491.3911081449296</v>
      </c>
      <c r="K38" s="57">
        <f>-CUMPRINC('Quick HELOC Loan Calc'!$H$7/12,'Quick HELOC Loan Calc'!$H$8*12,'Quick HELOC Loan Calc'!$B$8,109,120,0)</f>
        <v>2661.5509722734987</v>
      </c>
    </row>
    <row r="39" spans="1:13" x14ac:dyDescent="0.3">
      <c r="A39" t="s">
        <v>138</v>
      </c>
      <c r="B39" s="57">
        <f>B30*0.25</f>
        <v>153.38480562027598</v>
      </c>
      <c r="C39" s="57">
        <f t="shared" ref="C39:K39" si="21">C30*0.25</f>
        <v>259.73180562027574</v>
      </c>
      <c r="D39" s="57">
        <f t="shared" si="21"/>
        <v>245.43852262027667</v>
      </c>
      <c r="E39" s="57">
        <f t="shared" si="21"/>
        <v>422.6493412072773</v>
      </c>
      <c r="F39" s="57">
        <f t="shared" si="21"/>
        <v>479.02794893503324</v>
      </c>
      <c r="G39" s="57">
        <f t="shared" si="21"/>
        <v>727.22339786369002</v>
      </c>
      <c r="H39" s="57">
        <f t="shared" si="21"/>
        <v>729.89086150231742</v>
      </c>
      <c r="I39" s="57">
        <f t="shared" si="21"/>
        <v>987.19103366094305</v>
      </c>
      <c r="J39" s="57">
        <f t="shared" si="21"/>
        <v>999.29035700820168</v>
      </c>
      <c r="K39" s="57">
        <f t="shared" si="21"/>
        <v>1203.8612269903201</v>
      </c>
    </row>
    <row r="40" spans="1:13" x14ac:dyDescent="0.3">
      <c r="A40" t="s">
        <v>130</v>
      </c>
      <c r="B40" s="146">
        <f>B39/SUM('Quick HELOC Loan Calc'!$B$6:$B$7)</f>
        <v>2.744699835736096E-3</v>
      </c>
      <c r="C40" s="146">
        <f>C39/SUM('Quick HELOC Loan Calc'!$B$6:$B$7)</f>
        <v>4.6476953263953139E-3</v>
      </c>
      <c r="D40" s="146">
        <f>D39/SUM('Quick HELOC Loan Calc'!$B$6:$B$7)</f>
        <v>4.3919283268963692E-3</v>
      </c>
      <c r="E40" s="146">
        <f>E39/SUM('Quick HELOC Loan Calc'!$B$6:$B$7)</f>
        <v>7.5629758286321182E-3</v>
      </c>
      <c r="F40" s="146">
        <f>F39/SUM('Quick HELOC Loan Calc'!$B$6:$B$7)</f>
        <v>8.5718264429001725E-3</v>
      </c>
      <c r="G40" s="146">
        <f>G39/SUM('Quick HELOC Loan Calc'!$B$6:$B$7)</f>
        <v>1.3013087786552323E-2</v>
      </c>
      <c r="H40" s="146">
        <f>H39/SUM('Quick HELOC Loan Calc'!$B$6:$B$7)</f>
        <v>1.3060819939559041E-2</v>
      </c>
      <c r="I40" s="146">
        <f>I39/SUM('Quick HELOC Loan Calc'!$B$6:$B$7)</f>
        <v>1.7665003107525286E-2</v>
      </c>
      <c r="J40" s="146">
        <f>J39/SUM('Quick HELOC Loan Calc'!$B$6:$B$7)</f>
        <v>1.7881510933508725E-2</v>
      </c>
      <c r="K40" s="146">
        <f>K39/SUM('Quick HELOC Loan Calc'!$B$6:$B$7)</f>
        <v>2.154214492502899E-2</v>
      </c>
    </row>
    <row r="41" spans="1:13" x14ac:dyDescent="0.3">
      <c r="A41" t="s">
        <v>170</v>
      </c>
      <c r="B41" s="57">
        <f>SUM(B30,B38,B39)</f>
        <v>2235.5083504551326</v>
      </c>
      <c r="C41" s="57">
        <f t="shared" ref="C41:K41" si="22">SUM(C30,C38,C39)</f>
        <v>2867.5463931753611</v>
      </c>
      <c r="D41" s="57">
        <f t="shared" si="22"/>
        <v>2903.2336322127658</v>
      </c>
      <c r="E41" s="57">
        <f t="shared" si="22"/>
        <v>3903.7598813473846</v>
      </c>
      <c r="F41" s="57">
        <f t="shared" si="22"/>
        <v>4307.9434257342518</v>
      </c>
      <c r="G41" s="57">
        <f t="shared" si="22"/>
        <v>5679.5635122057665</v>
      </c>
      <c r="H41" s="57">
        <f t="shared" si="22"/>
        <v>5832.4664656585583</v>
      </c>
      <c r="I41" s="57">
        <f t="shared" si="22"/>
        <v>7268.0651742391765</v>
      </c>
      <c r="J41" s="57">
        <f t="shared" si="22"/>
        <v>7487.842893185938</v>
      </c>
      <c r="K41" s="57">
        <f t="shared" si="22"/>
        <v>8680.8571072250998</v>
      </c>
    </row>
    <row r="42" spans="1:13" x14ac:dyDescent="0.3">
      <c r="A42" t="s">
        <v>131</v>
      </c>
      <c r="B42" s="153">
        <f>B41/SUM('Quick HELOC Loan Calc'!$B$6:$B$7)</f>
        <v>4.0002654614113745E-2</v>
      </c>
      <c r="C42" s="153">
        <f>C41/SUM('Quick HELOC Loan Calc'!$B$6:$B$7)</f>
        <v>5.1312475720695749E-2</v>
      </c>
      <c r="D42" s="153">
        <f>D41/SUM('Quick HELOC Loan Calc'!$B$6:$B$7)</f>
        <v>5.1951070650146119E-2</v>
      </c>
      <c r="E42" s="153">
        <f>E41/SUM('Quick HELOC Loan Calc'!$B$6:$B$7)</f>
        <v>6.9854696896202578E-2</v>
      </c>
      <c r="F42" s="153">
        <f>F41/SUM('Quick HELOC Loan Calc'!$B$6:$B$7)</f>
        <v>7.7087241889167768E-2</v>
      </c>
      <c r="G42" s="153">
        <f>G41/SUM('Quick HELOC Loan Calc'!$B$6:$B$7)</f>
        <v>0.10163129898013325</v>
      </c>
      <c r="H42" s="153">
        <f>H41/SUM('Quick HELOC Loan Calc'!$B$6:$B$7)</f>
        <v>0.10436737645226823</v>
      </c>
      <c r="I42" s="153">
        <f>I41/SUM('Quick HELOC Loan Calc'!$B$6:$B$7)</f>
        <v>0.13005628040654171</v>
      </c>
      <c r="J42" s="153">
        <f>J41/SUM('Quick HELOC Loan Calc'!$B$6:$B$7)</f>
        <v>0.13398902893826387</v>
      </c>
      <c r="K42" s="153">
        <f>K41/SUM('Quick HELOC Loan Calc'!$B$6:$B$7)</f>
        <v>0.15533707514181339</v>
      </c>
      <c r="L42" s="181">
        <f>SUM(B42:K42)/K1</f>
        <v>9.1558919968934643E-2</v>
      </c>
      <c r="M42" s="1" t="s">
        <v>151</v>
      </c>
    </row>
    <row r="43" spans="1:13" x14ac:dyDescent="0.3">
      <c r="B43" s="4"/>
      <c r="C43" s="4"/>
      <c r="D43" s="4"/>
      <c r="E43" s="4"/>
      <c r="F43" s="4"/>
      <c r="G43" s="4"/>
      <c r="H43" s="4"/>
      <c r="I43" s="4"/>
      <c r="J43" s="4"/>
      <c r="K43" s="4"/>
      <c r="L43" s="181">
        <f>('10 Year'!K36/'Quick HELOC Loan Calc'!B5)^(1/'10 Year'!K1)-1</f>
        <v>3.8659438743523733E-2</v>
      </c>
      <c r="M43" s="1" t="s">
        <v>154</v>
      </c>
    </row>
    <row r="45" spans="1:13" x14ac:dyDescent="0.3">
      <c r="A45" t="s">
        <v>173</v>
      </c>
      <c r="B45" s="10">
        <f>SUM('Quick HELOC Loan Calc'!$B$7,'10 Year'!B38)</f>
        <v>46318.584322353752</v>
      </c>
      <c r="C45" s="10">
        <f>B45+C38</f>
        <v>47887.471687427736</v>
      </c>
      <c r="D45" s="10">
        <f t="shared" ref="D45:K45" si="23">C45+D38</f>
        <v>49563.512706539121</v>
      </c>
      <c r="E45" s="10">
        <f t="shared" si="23"/>
        <v>51354.025881850117</v>
      </c>
      <c r="F45" s="10">
        <f t="shared" si="23"/>
        <v>53266.829562909203</v>
      </c>
      <c r="G45" s="10">
        <f t="shared" si="23"/>
        <v>55310.276085796519</v>
      </c>
      <c r="H45" s="10">
        <f t="shared" si="23"/>
        <v>57493.288243943491</v>
      </c>
      <c r="I45" s="10">
        <f t="shared" si="23"/>
        <v>59825.398249877951</v>
      </c>
      <c r="J45" s="10">
        <f t="shared" si="23"/>
        <v>62316.789358022885</v>
      </c>
      <c r="K45" s="10">
        <f t="shared" si="23"/>
        <v>64978.340330296385</v>
      </c>
    </row>
    <row r="46" spans="1:13" x14ac:dyDescent="0.3">
      <c r="K46" s="159">
        <f>(K45-B45)/B45</f>
        <v>0.40285678590865898</v>
      </c>
      <c r="L46" s="65">
        <f>(K45/B45)^(1/K1)-1</f>
        <v>3.4430539467356969E-2</v>
      </c>
      <c r="M46" t="s">
        <v>174</v>
      </c>
    </row>
  </sheetData>
  <mergeCells count="1">
    <mergeCell ref="M4:O4"/>
  </mergeCells>
  <conditionalFormatting sqref="B12">
    <cfRule type="cellIs" dxfId="0" priority="1" operator="equal">
      <formul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7C3E4-FF1D-4934-A7B2-366D3F9B33F8}">
  <dimension ref="A2:V19"/>
  <sheetViews>
    <sheetView topLeftCell="H1" workbookViewId="0">
      <selection activeCell="N5" sqref="N5"/>
    </sheetView>
  </sheetViews>
  <sheetFormatPr defaultRowHeight="14.4" x14ac:dyDescent="0.3"/>
  <cols>
    <col min="2" max="2" width="12.21875" bestFit="1" customWidth="1"/>
    <col min="8" max="8" width="12.21875" bestFit="1" customWidth="1"/>
    <col min="13" max="13" width="13.88671875" bestFit="1" customWidth="1"/>
    <col min="14" max="14" width="18.88671875" customWidth="1"/>
    <col min="18" max="18" width="10.33203125" bestFit="1" customWidth="1"/>
    <col min="19" max="19" width="14.5546875" bestFit="1" customWidth="1"/>
    <col min="20" max="20" width="14.88671875" bestFit="1" customWidth="1"/>
  </cols>
  <sheetData>
    <row r="2" spans="1:22" x14ac:dyDescent="0.3">
      <c r="I2" s="142"/>
    </row>
    <row r="3" spans="1:22" x14ac:dyDescent="0.3">
      <c r="A3" t="s">
        <v>152</v>
      </c>
      <c r="C3" t="s">
        <v>157</v>
      </c>
      <c r="G3" t="s">
        <v>152</v>
      </c>
      <c r="I3" t="s">
        <v>157</v>
      </c>
      <c r="S3" s="5" t="s">
        <v>6</v>
      </c>
      <c r="T3" s="161">
        <f>XIRR(T4:T10,R4:R10)</f>
        <v>0.21632629036903386</v>
      </c>
    </row>
    <row r="4" spans="1:22" x14ac:dyDescent="0.3">
      <c r="A4">
        <v>0</v>
      </c>
      <c r="B4" s="4">
        <v>100000</v>
      </c>
      <c r="G4">
        <v>0</v>
      </c>
      <c r="H4" s="4">
        <v>100000</v>
      </c>
      <c r="M4" t="s">
        <v>158</v>
      </c>
      <c r="R4" s="160">
        <v>45292</v>
      </c>
      <c r="S4" t="s">
        <v>8</v>
      </c>
      <c r="T4" s="173">
        <v>-8500000</v>
      </c>
      <c r="U4" s="10"/>
    </row>
    <row r="5" spans="1:22" x14ac:dyDescent="0.3">
      <c r="A5">
        <f>A4+1</f>
        <v>1</v>
      </c>
      <c r="B5" s="4">
        <v>110000</v>
      </c>
      <c r="C5" s="142">
        <f>(B5/B4)-1</f>
        <v>0.10000000000000009</v>
      </c>
      <c r="G5">
        <f>G4+1</f>
        <v>1</v>
      </c>
      <c r="H5" s="4">
        <v>110000</v>
      </c>
      <c r="I5" s="142">
        <f>(H5/H4)-1</f>
        <v>0.10000000000000009</v>
      </c>
      <c r="M5" t="s">
        <v>159</v>
      </c>
      <c r="N5" s="142">
        <v>0.08</v>
      </c>
      <c r="R5" s="160">
        <f>R4+365</f>
        <v>45657</v>
      </c>
      <c r="S5" t="s">
        <v>11</v>
      </c>
      <c r="T5" s="155">
        <f>-$T$4*$U$5</f>
        <v>1360000</v>
      </c>
      <c r="U5" s="172">
        <v>0.16</v>
      </c>
      <c r="V5" t="s">
        <v>166</v>
      </c>
    </row>
    <row r="6" spans="1:22" x14ac:dyDescent="0.3">
      <c r="A6">
        <f t="shared" ref="A6:A13" si="0">A5+1</f>
        <v>2</v>
      </c>
      <c r="B6" s="4">
        <v>105000</v>
      </c>
      <c r="C6" s="142">
        <f t="shared" ref="C6:C14" si="1">(B6/B5)-1</f>
        <v>-4.5454545454545414E-2</v>
      </c>
      <c r="G6">
        <f t="shared" ref="G6:G9" si="2">G5+1</f>
        <v>2</v>
      </c>
      <c r="H6" s="4">
        <v>105000</v>
      </c>
      <c r="I6" s="142">
        <f t="shared" ref="I6:I9" si="3">(H6/H5)-1</f>
        <v>-4.5454545454545414E-2</v>
      </c>
      <c r="M6" t="s">
        <v>160</v>
      </c>
      <c r="N6">
        <v>5</v>
      </c>
      <c r="O6">
        <f>N6*12</f>
        <v>60</v>
      </c>
      <c r="R6" s="160">
        <f t="shared" ref="R6:R10" si="4">R5+365</f>
        <v>46022</v>
      </c>
      <c r="S6" t="s">
        <v>15</v>
      </c>
      <c r="T6" s="155">
        <f t="shared" ref="T6:T9" si="5">-$T$4*$U$5</f>
        <v>1360000</v>
      </c>
    </row>
    <row r="7" spans="1:22" x14ac:dyDescent="0.3">
      <c r="A7">
        <f t="shared" si="0"/>
        <v>3</v>
      </c>
      <c r="B7" s="4">
        <v>120000</v>
      </c>
      <c r="C7" s="142">
        <f t="shared" si="1"/>
        <v>0.14285714285714279</v>
      </c>
      <c r="G7">
        <f t="shared" si="2"/>
        <v>3</v>
      </c>
      <c r="H7" s="4">
        <v>120000</v>
      </c>
      <c r="I7" s="142">
        <f t="shared" si="3"/>
        <v>0.14285714285714279</v>
      </c>
      <c r="R7" s="160">
        <f t="shared" si="4"/>
        <v>46387</v>
      </c>
      <c r="S7" t="s">
        <v>18</v>
      </c>
      <c r="T7" s="155">
        <f t="shared" si="5"/>
        <v>1360000</v>
      </c>
    </row>
    <row r="8" spans="1:22" x14ac:dyDescent="0.3">
      <c r="A8">
        <f t="shared" si="0"/>
        <v>4</v>
      </c>
      <c r="B8" s="4">
        <f>B7+5000</f>
        <v>125000</v>
      </c>
      <c r="C8" s="142">
        <f t="shared" si="1"/>
        <v>4.1666666666666741E-2</v>
      </c>
      <c r="G8">
        <f t="shared" si="2"/>
        <v>4</v>
      </c>
      <c r="H8" s="4">
        <f>H7+5000</f>
        <v>125000</v>
      </c>
      <c r="I8" s="142">
        <f t="shared" si="3"/>
        <v>4.1666666666666741E-2</v>
      </c>
      <c r="R8" s="160">
        <f t="shared" si="4"/>
        <v>46752</v>
      </c>
      <c r="S8" t="s">
        <v>20</v>
      </c>
      <c r="T8" s="155">
        <f t="shared" si="5"/>
        <v>1360000</v>
      </c>
    </row>
    <row r="9" spans="1:22" x14ac:dyDescent="0.3">
      <c r="A9">
        <f t="shared" si="0"/>
        <v>5</v>
      </c>
      <c r="B9" s="4">
        <f t="shared" ref="B9:B14" si="6">B8+5000</f>
        <v>130000</v>
      </c>
      <c r="C9" s="142">
        <f t="shared" si="1"/>
        <v>4.0000000000000036E-2</v>
      </c>
      <c r="G9">
        <f t="shared" si="2"/>
        <v>5</v>
      </c>
      <c r="H9" s="4">
        <f t="shared" ref="H9" si="7">H8+5000</f>
        <v>130000</v>
      </c>
      <c r="I9" s="142">
        <f t="shared" si="3"/>
        <v>4.0000000000000036E-2</v>
      </c>
      <c r="R9" s="160">
        <f t="shared" si="4"/>
        <v>47117</v>
      </c>
      <c r="S9" t="s">
        <v>22</v>
      </c>
      <c r="T9" s="155">
        <f t="shared" si="5"/>
        <v>1360000</v>
      </c>
    </row>
    <row r="10" spans="1:22" x14ac:dyDescent="0.3">
      <c r="A10">
        <f t="shared" si="0"/>
        <v>6</v>
      </c>
      <c r="B10" s="4">
        <f t="shared" si="6"/>
        <v>135000</v>
      </c>
      <c r="C10" s="142">
        <f t="shared" si="1"/>
        <v>3.8461538461538547E-2</v>
      </c>
      <c r="H10" s="4"/>
      <c r="I10" s="142"/>
      <c r="R10" s="160">
        <f t="shared" si="4"/>
        <v>47482</v>
      </c>
      <c r="S10" s="24">
        <v>6</v>
      </c>
      <c r="T10" s="4">
        <f>-T4*(1+U10)^S10</f>
        <v>14813534.427942645</v>
      </c>
      <c r="U10" s="172">
        <v>9.7000000000000003E-2</v>
      </c>
      <c r="V10" t="s">
        <v>167</v>
      </c>
    </row>
    <row r="11" spans="1:22" x14ac:dyDescent="0.3">
      <c r="A11">
        <f t="shared" si="0"/>
        <v>7</v>
      </c>
      <c r="B11" s="4">
        <f t="shared" si="6"/>
        <v>140000</v>
      </c>
      <c r="C11" s="142">
        <f t="shared" si="1"/>
        <v>3.7037037037036979E-2</v>
      </c>
      <c r="H11" s="4"/>
      <c r="I11" s="159">
        <f>(H9-H4)/H4</f>
        <v>0.3</v>
      </c>
      <c r="J11" t="s">
        <v>153</v>
      </c>
    </row>
    <row r="12" spans="1:22" ht="15" thickBot="1" x14ac:dyDescent="0.35">
      <c r="A12">
        <f>A11+1</f>
        <v>8</v>
      </c>
      <c r="B12" s="4">
        <f t="shared" si="6"/>
        <v>145000</v>
      </c>
      <c r="C12" s="142">
        <f t="shared" si="1"/>
        <v>3.5714285714285809E-2</v>
      </c>
      <c r="H12" s="4"/>
      <c r="I12" s="65">
        <f>SUM(I5:I9)/COUNT(I5:I9)</f>
        <v>5.581385281385285E-2</v>
      </c>
      <c r="J12" t="s">
        <v>151</v>
      </c>
    </row>
    <row r="13" spans="1:22" x14ac:dyDescent="0.3">
      <c r="A13">
        <f t="shared" si="0"/>
        <v>9</v>
      </c>
      <c r="B13" s="4">
        <f t="shared" si="6"/>
        <v>150000</v>
      </c>
      <c r="C13" s="142">
        <f t="shared" si="1"/>
        <v>3.4482758620689724E-2</v>
      </c>
      <c r="H13" s="4"/>
      <c r="I13" s="65">
        <f>(H9/H4)^(1/COUNT(I4:I9))-1</f>
        <v>5.387395206178347E-2</v>
      </c>
      <c r="J13" t="s">
        <v>154</v>
      </c>
      <c r="M13" s="174">
        <v>0.105</v>
      </c>
      <c r="N13" s="162" t="s">
        <v>161</v>
      </c>
      <c r="O13" s="162"/>
      <c r="P13" s="163"/>
    </row>
    <row r="14" spans="1:22" x14ac:dyDescent="0.3">
      <c r="A14">
        <f>A13+1</f>
        <v>10</v>
      </c>
      <c r="B14" s="4">
        <f t="shared" si="6"/>
        <v>155000</v>
      </c>
      <c r="C14" s="142">
        <f t="shared" si="1"/>
        <v>3.3333333333333437E-2</v>
      </c>
      <c r="H14" s="4"/>
      <c r="I14" s="83">
        <f>H9/H4</f>
        <v>1.3</v>
      </c>
      <c r="J14" t="s">
        <v>156</v>
      </c>
      <c r="M14" s="171">
        <v>8500000</v>
      </c>
      <c r="N14" s="5" t="s">
        <v>162</v>
      </c>
      <c r="O14" s="5"/>
      <c r="P14" s="164"/>
    </row>
    <row r="15" spans="1:22" x14ac:dyDescent="0.3">
      <c r="B15" s="4"/>
      <c r="C15" s="142"/>
      <c r="H15" s="4"/>
      <c r="I15" s="142"/>
      <c r="M15" s="169">
        <f>O15*12</f>
        <v>60</v>
      </c>
      <c r="N15" s="5" t="s">
        <v>163</v>
      </c>
      <c r="O15" s="170">
        <v>5</v>
      </c>
      <c r="P15" s="164"/>
    </row>
    <row r="16" spans="1:22" x14ac:dyDescent="0.3">
      <c r="C16" s="159">
        <f>(B14-B4)/B4</f>
        <v>0.55000000000000004</v>
      </c>
      <c r="D16" t="s">
        <v>153</v>
      </c>
      <c r="M16" s="70"/>
      <c r="N16" s="5"/>
      <c r="O16" s="5"/>
      <c r="P16" s="164"/>
    </row>
    <row r="17" spans="3:16" x14ac:dyDescent="0.3">
      <c r="C17" s="65">
        <f>SUM(C5:C14)/COUNT(C5:C14)</f>
        <v>4.5809821723614877E-2</v>
      </c>
      <c r="D17" t="s">
        <v>151</v>
      </c>
      <c r="M17" s="70" t="s">
        <v>164</v>
      </c>
      <c r="N17" s="36">
        <f>M14*(1+M13/12)^(M15)</f>
        <v>14336125.345715202</v>
      </c>
      <c r="O17" s="41">
        <f>N17/M14</f>
        <v>1.6866029818488473</v>
      </c>
      <c r="P17" s="164" t="s">
        <v>165</v>
      </c>
    </row>
    <row r="18" spans="3:16" ht="15" thickBot="1" x14ac:dyDescent="0.35">
      <c r="C18" s="65">
        <f>(B14/B4)^(1/COUNT(C4:C14))-1</f>
        <v>4.4800014160264245E-2</v>
      </c>
      <c r="D18" t="s">
        <v>154</v>
      </c>
      <c r="M18" s="165" t="s">
        <v>154</v>
      </c>
      <c r="N18" s="166">
        <f>(N17/M14)^(1/(M15))-1</f>
        <v>8.7500000000000355E-3</v>
      </c>
      <c r="O18" s="167"/>
      <c r="P18" s="168"/>
    </row>
    <row r="19" spans="3:16" x14ac:dyDescent="0.3">
      <c r="C19">
        <f>B14/B4</f>
        <v>1.55</v>
      </c>
      <c r="D19" t="s">
        <v>156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Quick HELOC Loan Calc</vt:lpstr>
      <vt:lpstr>7yr IRR Financing</vt:lpstr>
      <vt:lpstr>10 Year</vt:lpstr>
      <vt:lpstr>Calculators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2025-02-03T00:04:58Z</dcterms:modified>
</cp:coreProperties>
</file>