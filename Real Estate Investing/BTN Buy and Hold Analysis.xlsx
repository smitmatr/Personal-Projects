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cot\Dropbox\IMPORTANT INFO\Other Stuff You May Want or Need\Publishing\By The Numbers\Bonus Material\"/>
    </mc:Choice>
  </mc:AlternateContent>
  <xr:revisionPtr revIDLastSave="0" documentId="8_{19B5EF2C-661B-4E60-A3C0-0CFA7E032DBB}" xr6:coauthVersionLast="47" xr6:coauthVersionMax="47" xr10:uidLastSave="{00000000-0000-0000-0000-000000000000}"/>
  <bookViews>
    <workbookView xWindow="-110" yWindow="-110" windowWidth="25820" windowHeight="15500" xr2:uid="{1B0DED1B-50E4-4422-87B8-C845F09319EF}"/>
  </bookViews>
  <sheets>
    <sheet name="Buy &amp; Hol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1" l="1"/>
  <c r="E62" i="1"/>
  <c r="E61" i="1"/>
  <c r="E60" i="1"/>
  <c r="E59" i="1"/>
  <c r="E58" i="1"/>
  <c r="E57" i="1"/>
  <c r="E64" i="1" s="1"/>
  <c r="E65" i="1" s="1"/>
  <c r="G32" i="1"/>
  <c r="F32" i="1"/>
  <c r="F31" i="1"/>
  <c r="F30" i="1"/>
  <c r="F28" i="1"/>
  <c r="F27" i="1"/>
  <c r="G27" i="1" s="1"/>
  <c r="F26" i="1"/>
  <c r="F25" i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F24" i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F23" i="1"/>
  <c r="F18" i="1"/>
  <c r="H18" i="1" s="1"/>
  <c r="J18" i="1" s="1"/>
  <c r="L18" i="1" s="1"/>
  <c r="N18" i="1" s="1"/>
  <c r="P18" i="1" s="1"/>
  <c r="R18" i="1" s="1"/>
  <c r="T18" i="1" s="1"/>
  <c r="V18" i="1" s="1"/>
  <c r="X18" i="1" s="1"/>
  <c r="Z18" i="1" s="1"/>
  <c r="AB18" i="1" s="1"/>
  <c r="AD18" i="1" s="1"/>
  <c r="AF18" i="1" s="1"/>
  <c r="AH18" i="1" s="1"/>
  <c r="E18" i="1"/>
  <c r="G18" i="1" s="1"/>
  <c r="I18" i="1" s="1"/>
  <c r="K18" i="1" s="1"/>
  <c r="M18" i="1" s="1"/>
  <c r="O18" i="1" s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E17" i="1"/>
  <c r="F17" i="1" s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G26" i="1" s="1"/>
  <c r="H26" i="1" s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H9" i="1"/>
  <c r="D9" i="1"/>
  <c r="H4" i="1" s="1"/>
  <c r="P6" i="1"/>
  <c r="P5" i="1"/>
  <c r="H5" i="1"/>
  <c r="D5" i="1"/>
  <c r="D4" i="1"/>
  <c r="H27" i="1" l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G17" i="1"/>
  <c r="F19" i="1"/>
  <c r="F20" i="1"/>
  <c r="G23" i="1"/>
  <c r="AF43" i="1"/>
  <c r="X43" i="1"/>
  <c r="P43" i="1"/>
  <c r="H43" i="1"/>
  <c r="AE43" i="1"/>
  <c r="W43" i="1"/>
  <c r="O43" i="1"/>
  <c r="G43" i="1"/>
  <c r="AD43" i="1"/>
  <c r="V43" i="1"/>
  <c r="N43" i="1"/>
  <c r="F43" i="1"/>
  <c r="AC43" i="1"/>
  <c r="U43" i="1"/>
  <c r="M43" i="1"/>
  <c r="AI43" i="1"/>
  <c r="AA43" i="1"/>
  <c r="S43" i="1"/>
  <c r="K43" i="1"/>
  <c r="Q43" i="1"/>
  <c r="AH43" i="1"/>
  <c r="L43" i="1"/>
  <c r="AG43" i="1"/>
  <c r="J43" i="1"/>
  <c r="R43" i="1"/>
  <c r="AB43" i="1"/>
  <c r="I43" i="1"/>
  <c r="H8" i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Z43" i="1"/>
  <c r="T43" i="1"/>
  <c r="Y43" i="1"/>
  <c r="E19" i="1"/>
  <c r="E20" i="1" s="1"/>
  <c r="G28" i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G30" i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G31" i="1"/>
  <c r="H31" i="1" s="1"/>
  <c r="I31" i="1" s="1"/>
  <c r="J31" i="1" s="1"/>
  <c r="K31" i="1" s="1"/>
  <c r="L31" i="1" s="1"/>
  <c r="M31" i="1" s="1"/>
  <c r="N31" i="1" s="1"/>
  <c r="O31" i="1" s="1"/>
  <c r="P31" i="1" s="1"/>
  <c r="Q31" i="1" s="1"/>
  <c r="R31" i="1" s="1"/>
  <c r="S31" i="1" s="1"/>
  <c r="T31" i="1" s="1"/>
  <c r="U31" i="1" s="1"/>
  <c r="H32" i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V13" i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N44" i="1" l="1"/>
  <c r="Y44" i="1"/>
  <c r="L44" i="1"/>
  <c r="S44" i="1"/>
  <c r="U44" i="1"/>
  <c r="V44" i="1"/>
  <c r="W44" i="1"/>
  <c r="X44" i="1"/>
  <c r="G44" i="1"/>
  <c r="K44" i="1"/>
  <c r="O44" i="1"/>
  <c r="F36" i="1"/>
  <c r="F39" i="1" s="1"/>
  <c r="F29" i="1"/>
  <c r="F33" i="1" s="1"/>
  <c r="F34" i="1" s="1"/>
  <c r="AB44" i="1"/>
  <c r="AA44" i="1"/>
  <c r="AC44" i="1"/>
  <c r="AD44" i="1"/>
  <c r="AE44" i="1"/>
  <c r="AF44" i="1"/>
  <c r="H17" i="1"/>
  <c r="G19" i="1"/>
  <c r="G20" i="1"/>
  <c r="F44" i="1"/>
  <c r="P4" i="1"/>
  <c r="F51" i="1"/>
  <c r="F52" i="1" s="1"/>
  <c r="M44" i="1"/>
  <c r="P44" i="1"/>
  <c r="AH44" i="1"/>
  <c r="AI44" i="1"/>
  <c r="V27" i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G44" i="1"/>
  <c r="T44" i="1"/>
  <c r="R44" i="1"/>
  <c r="Q44" i="1"/>
  <c r="V25" i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H23" i="1"/>
  <c r="I44" i="1"/>
  <c r="V31" i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V26" i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H44" i="1"/>
  <c r="Z44" i="1"/>
  <c r="J44" i="1"/>
  <c r="I23" i="1" l="1"/>
  <c r="H19" i="1"/>
  <c r="H20" i="1"/>
  <c r="I17" i="1"/>
  <c r="F48" i="1"/>
  <c r="E39" i="1"/>
  <c r="E41" i="1" s="1"/>
  <c r="F41" i="1"/>
  <c r="G29" i="1"/>
  <c r="G33" i="1" s="1"/>
  <c r="G34" i="1" s="1"/>
  <c r="G51" i="1"/>
  <c r="F42" i="1" l="1"/>
  <c r="L8" i="1" s="1"/>
  <c r="F45" i="1"/>
  <c r="F46" i="1" s="1"/>
  <c r="L9" i="1" s="1"/>
  <c r="L7" i="1"/>
  <c r="P3" i="1"/>
  <c r="P7" i="1" s="1"/>
  <c r="P8" i="1" s="1"/>
  <c r="I19" i="1"/>
  <c r="I20" i="1"/>
  <c r="J17" i="1"/>
  <c r="H36" i="1"/>
  <c r="H39" i="1" s="1"/>
  <c r="H29" i="1"/>
  <c r="H33" i="1" s="1"/>
  <c r="H34" i="1" s="1"/>
  <c r="G52" i="1"/>
  <c r="H51" i="1"/>
  <c r="J23" i="1"/>
  <c r="G36" i="1"/>
  <c r="G39" i="1" s="1"/>
  <c r="J19" i="1" l="1"/>
  <c r="J20" i="1" s="1"/>
  <c r="K17" i="1"/>
  <c r="H48" i="1"/>
  <c r="H41" i="1"/>
  <c r="G48" i="1"/>
  <c r="G41" i="1"/>
  <c r="H52" i="1"/>
  <c r="I51" i="1"/>
  <c r="K23" i="1"/>
  <c r="I29" i="1"/>
  <c r="I33" i="1" s="1"/>
  <c r="I34" i="1" s="1"/>
  <c r="J29" i="1" l="1"/>
  <c r="J33" i="1" s="1"/>
  <c r="J34" i="1" s="1"/>
  <c r="G45" i="1"/>
  <c r="G46" i="1" s="1"/>
  <c r="G42" i="1"/>
  <c r="H42" i="1"/>
  <c r="H45" i="1"/>
  <c r="H46" i="1" s="1"/>
  <c r="I36" i="1"/>
  <c r="I39" i="1" s="1"/>
  <c r="L23" i="1"/>
  <c r="L17" i="1"/>
  <c r="K19" i="1"/>
  <c r="K20" i="1" s="1"/>
  <c r="I52" i="1"/>
  <c r="J51" i="1"/>
  <c r="K29" i="1" l="1"/>
  <c r="K33" i="1" s="1"/>
  <c r="K34" i="1" s="1"/>
  <c r="K36" i="1"/>
  <c r="K39" i="1" s="1"/>
  <c r="I41" i="1"/>
  <c r="I48" i="1"/>
  <c r="M23" i="1"/>
  <c r="J52" i="1"/>
  <c r="K51" i="1"/>
  <c r="M17" i="1"/>
  <c r="L19" i="1"/>
  <c r="L20" i="1" s="1"/>
  <c r="J36" i="1"/>
  <c r="J39" i="1" s="1"/>
  <c r="L29" i="1" l="1"/>
  <c r="L33" i="1" s="1"/>
  <c r="L34" i="1" s="1"/>
  <c r="N23" i="1"/>
  <c r="J41" i="1"/>
  <c r="J48" i="1"/>
  <c r="I45" i="1"/>
  <c r="I46" i="1" s="1"/>
  <c r="I42" i="1"/>
  <c r="K41" i="1"/>
  <c r="K48" i="1"/>
  <c r="K52" i="1"/>
  <c r="L51" i="1"/>
  <c r="N17" i="1"/>
  <c r="M19" i="1"/>
  <c r="M20" i="1" s="1"/>
  <c r="M29" i="1" l="1"/>
  <c r="M33" i="1" s="1"/>
  <c r="M34" i="1" s="1"/>
  <c r="O17" i="1"/>
  <c r="N19" i="1"/>
  <c r="N20" i="1"/>
  <c r="J45" i="1"/>
  <c r="J46" i="1" s="1"/>
  <c r="J42" i="1"/>
  <c r="L52" i="1"/>
  <c r="M51" i="1"/>
  <c r="O23" i="1"/>
  <c r="L36" i="1"/>
  <c r="L39" i="1" s="1"/>
  <c r="K45" i="1"/>
  <c r="K46" i="1" s="1"/>
  <c r="K42" i="1"/>
  <c r="N29" i="1" l="1"/>
  <c r="N33" i="1" s="1"/>
  <c r="N34" i="1" s="1"/>
  <c r="L41" i="1"/>
  <c r="L48" i="1"/>
  <c r="P23" i="1"/>
  <c r="P17" i="1"/>
  <c r="O19" i="1"/>
  <c r="O20" i="1" s="1"/>
  <c r="M36" i="1"/>
  <c r="M39" i="1" s="1"/>
  <c r="M52" i="1"/>
  <c r="N51" i="1"/>
  <c r="O29" i="1" l="1"/>
  <c r="O33" i="1" s="1"/>
  <c r="O34" i="1" s="1"/>
  <c r="L45" i="1"/>
  <c r="L46" i="1" s="1"/>
  <c r="L42" i="1"/>
  <c r="Q23" i="1"/>
  <c r="M48" i="1"/>
  <c r="M41" i="1"/>
  <c r="P19" i="1"/>
  <c r="P20" i="1" s="1"/>
  <c r="Q17" i="1"/>
  <c r="N52" i="1"/>
  <c r="O51" i="1"/>
  <c r="N36" i="1"/>
  <c r="N39" i="1" s="1"/>
  <c r="P29" i="1" l="1"/>
  <c r="P33" i="1" s="1"/>
  <c r="P34" i="1" s="1"/>
  <c r="M42" i="1"/>
  <c r="M45" i="1"/>
  <c r="M46" i="1" s="1"/>
  <c r="N48" i="1"/>
  <c r="N41" i="1"/>
  <c r="R23" i="1"/>
  <c r="O52" i="1"/>
  <c r="P51" i="1"/>
  <c r="Q19" i="1"/>
  <c r="Q20" i="1"/>
  <c r="R17" i="1"/>
  <c r="O36" i="1"/>
  <c r="O39" i="1" s="1"/>
  <c r="S23" i="1" l="1"/>
  <c r="R19" i="1"/>
  <c r="R20" i="1"/>
  <c r="S17" i="1"/>
  <c r="O48" i="1"/>
  <c r="O41" i="1"/>
  <c r="Q36" i="1"/>
  <c r="Q39" i="1" s="1"/>
  <c r="Q29" i="1"/>
  <c r="Q33" i="1" s="1"/>
  <c r="Q34" i="1" s="1"/>
  <c r="N42" i="1"/>
  <c r="N45" i="1"/>
  <c r="N46" i="1" s="1"/>
  <c r="P52" i="1"/>
  <c r="Q51" i="1"/>
  <c r="P36" i="1"/>
  <c r="P39" i="1" s="1"/>
  <c r="Q41" i="1" l="1"/>
  <c r="Q48" i="1"/>
  <c r="T17" i="1"/>
  <c r="S19" i="1"/>
  <c r="S20" i="1" s="1"/>
  <c r="R29" i="1"/>
  <c r="R33" i="1" s="1"/>
  <c r="R34" i="1" s="1"/>
  <c r="R36" i="1"/>
  <c r="R39" i="1" s="1"/>
  <c r="O45" i="1"/>
  <c r="O46" i="1" s="1"/>
  <c r="O42" i="1"/>
  <c r="T23" i="1"/>
  <c r="P48" i="1"/>
  <c r="P41" i="1"/>
  <c r="Q52" i="1"/>
  <c r="R51" i="1"/>
  <c r="S29" i="1" l="1"/>
  <c r="S33" i="1" s="1"/>
  <c r="S34" i="1" s="1"/>
  <c r="S36" i="1"/>
  <c r="S39" i="1" s="1"/>
  <c r="R52" i="1"/>
  <c r="S51" i="1"/>
  <c r="P45" i="1"/>
  <c r="P46" i="1" s="1"/>
  <c r="P42" i="1"/>
  <c r="R41" i="1"/>
  <c r="R48" i="1"/>
  <c r="T19" i="1"/>
  <c r="U17" i="1"/>
  <c r="T20" i="1"/>
  <c r="U23" i="1"/>
  <c r="Q45" i="1"/>
  <c r="Q46" i="1" s="1"/>
  <c r="Q42" i="1"/>
  <c r="R45" i="1" l="1"/>
  <c r="R46" i="1" s="1"/>
  <c r="R42" i="1"/>
  <c r="V23" i="1"/>
  <c r="S52" i="1"/>
  <c r="T51" i="1"/>
  <c r="T29" i="1"/>
  <c r="T33" i="1" s="1"/>
  <c r="T34" i="1" s="1"/>
  <c r="V17" i="1"/>
  <c r="U19" i="1"/>
  <c r="U20" i="1" s="1"/>
  <c r="S41" i="1"/>
  <c r="S48" i="1"/>
  <c r="U36" i="1" l="1"/>
  <c r="U39" i="1" s="1"/>
  <c r="U29" i="1"/>
  <c r="U33" i="1" s="1"/>
  <c r="U34" i="1" s="1"/>
  <c r="W23" i="1"/>
  <c r="T52" i="1"/>
  <c r="U51" i="1"/>
  <c r="T36" i="1"/>
  <c r="T39" i="1" s="1"/>
  <c r="S45" i="1"/>
  <c r="S46" i="1" s="1"/>
  <c r="S42" i="1"/>
  <c r="W17" i="1"/>
  <c r="V19" i="1"/>
  <c r="V20" i="1" s="1"/>
  <c r="V29" i="1" l="1"/>
  <c r="V33" i="1" s="1"/>
  <c r="V34" i="1" s="1"/>
  <c r="T41" i="1"/>
  <c r="T48" i="1"/>
  <c r="U52" i="1"/>
  <c r="V51" i="1"/>
  <c r="X23" i="1"/>
  <c r="X17" i="1"/>
  <c r="W19" i="1"/>
  <c r="W20" i="1"/>
  <c r="U48" i="1"/>
  <c r="U41" i="1"/>
  <c r="V52" i="1" l="1"/>
  <c r="W51" i="1"/>
  <c r="U42" i="1"/>
  <c r="U45" i="1"/>
  <c r="U46" i="1" s="1"/>
  <c r="W29" i="1"/>
  <c r="W33" i="1" s="1"/>
  <c r="W34" i="1" s="1"/>
  <c r="T45" i="1"/>
  <c r="T46" i="1" s="1"/>
  <c r="T42" i="1"/>
  <c r="Y23" i="1"/>
  <c r="X19" i="1"/>
  <c r="X20" i="1"/>
  <c r="Y17" i="1"/>
  <c r="V36" i="1"/>
  <c r="V39" i="1" s="1"/>
  <c r="Z17" i="1" l="1"/>
  <c r="Y19" i="1"/>
  <c r="Y20" i="1"/>
  <c r="W36" i="1"/>
  <c r="W39" i="1" s="1"/>
  <c r="X29" i="1"/>
  <c r="X33" i="1" s="1"/>
  <c r="X34" i="1" s="1"/>
  <c r="V48" i="1"/>
  <c r="V41" i="1"/>
  <c r="W52" i="1"/>
  <c r="X51" i="1"/>
  <c r="Z23" i="1"/>
  <c r="V42" i="1" l="1"/>
  <c r="V45" i="1"/>
  <c r="V46" i="1" s="1"/>
  <c r="X36" i="1"/>
  <c r="X39" i="1" s="1"/>
  <c r="W48" i="1"/>
  <c r="W41" i="1"/>
  <c r="AA23" i="1"/>
  <c r="Y36" i="1"/>
  <c r="Y39" i="1" s="1"/>
  <c r="Y29" i="1"/>
  <c r="Y33" i="1" s="1"/>
  <c r="Y34" i="1" s="1"/>
  <c r="Z19" i="1"/>
  <c r="Z20" i="1"/>
  <c r="AA17" i="1"/>
  <c r="X52" i="1"/>
  <c r="Y51" i="1"/>
  <c r="W45" i="1" l="1"/>
  <c r="W46" i="1" s="1"/>
  <c r="W42" i="1"/>
  <c r="Z29" i="1"/>
  <c r="Z33" i="1" s="1"/>
  <c r="Z34" i="1" s="1"/>
  <c r="X48" i="1"/>
  <c r="X41" i="1"/>
  <c r="AB23" i="1"/>
  <c r="AB17" i="1"/>
  <c r="AA19" i="1"/>
  <c r="AA20" i="1" s="1"/>
  <c r="Y41" i="1"/>
  <c r="Y48" i="1"/>
  <c r="Y52" i="1"/>
  <c r="Z51" i="1"/>
  <c r="AA29" i="1" l="1"/>
  <c r="AA33" i="1" s="1"/>
  <c r="AA34" i="1" s="1"/>
  <c r="AA36" i="1"/>
  <c r="AA39" i="1" s="1"/>
  <c r="Z52" i="1"/>
  <c r="AA51" i="1"/>
  <c r="X42" i="1"/>
  <c r="X45" i="1"/>
  <c r="X46" i="1" s="1"/>
  <c r="AC23" i="1"/>
  <c r="Y45" i="1"/>
  <c r="Y46" i="1" s="1"/>
  <c r="Y42" i="1"/>
  <c r="Z36" i="1"/>
  <c r="Z39" i="1" s="1"/>
  <c r="AB19" i="1"/>
  <c r="AC17" i="1"/>
  <c r="AB20" i="1"/>
  <c r="AD23" i="1" l="1"/>
  <c r="AB29" i="1"/>
  <c r="AB33" i="1" s="1"/>
  <c r="AB34" i="1" s="1"/>
  <c r="AD17" i="1"/>
  <c r="AC19" i="1"/>
  <c r="AC20" i="1" s="1"/>
  <c r="AA52" i="1"/>
  <c r="AB51" i="1"/>
  <c r="Z41" i="1"/>
  <c r="Z48" i="1"/>
  <c r="AA41" i="1"/>
  <c r="AA48" i="1"/>
  <c r="AC29" i="1" l="1"/>
  <c r="AC33" i="1" s="1"/>
  <c r="AC34" i="1" s="1"/>
  <c r="AC36" i="1"/>
  <c r="AC39" i="1" s="1"/>
  <c r="AA45" i="1"/>
  <c r="AA46" i="1" s="1"/>
  <c r="AA42" i="1"/>
  <c r="AB36" i="1"/>
  <c r="AB39" i="1" s="1"/>
  <c r="AE17" i="1"/>
  <c r="AD19" i="1"/>
  <c r="AD20" i="1"/>
  <c r="Z45" i="1"/>
  <c r="Z46" i="1" s="1"/>
  <c r="Z42" i="1"/>
  <c r="AE23" i="1"/>
  <c r="AB52" i="1"/>
  <c r="AC51" i="1"/>
  <c r="AF17" i="1" l="1"/>
  <c r="AE19" i="1"/>
  <c r="AE20" i="1"/>
  <c r="AF23" i="1"/>
  <c r="AD29" i="1"/>
  <c r="AD33" i="1" s="1"/>
  <c r="AD34" i="1" s="1"/>
  <c r="AC52" i="1"/>
  <c r="AD51" i="1"/>
  <c r="AC48" i="1"/>
  <c r="AC41" i="1"/>
  <c r="AB41" i="1"/>
  <c r="AB48" i="1"/>
  <c r="AG23" i="1" l="1"/>
  <c r="AD36" i="1"/>
  <c r="AD39" i="1" s="1"/>
  <c r="AE29" i="1"/>
  <c r="AE33" i="1" s="1"/>
  <c r="AE34" i="1" s="1"/>
  <c r="AB45" i="1"/>
  <c r="AB46" i="1" s="1"/>
  <c r="AB42" i="1"/>
  <c r="AC42" i="1"/>
  <c r="AC45" i="1"/>
  <c r="AC46" i="1" s="1"/>
  <c r="AD52" i="1"/>
  <c r="AE51" i="1"/>
  <c r="AF19" i="1"/>
  <c r="AF20" i="1"/>
  <c r="AG17" i="1"/>
  <c r="AE36" i="1" l="1"/>
  <c r="AE39" i="1" s="1"/>
  <c r="AG19" i="1"/>
  <c r="AG20" i="1" s="1"/>
  <c r="AH17" i="1"/>
  <c r="AF29" i="1"/>
  <c r="AF33" i="1" s="1"/>
  <c r="AF34" i="1" s="1"/>
  <c r="AE52" i="1"/>
  <c r="AF51" i="1"/>
  <c r="AH23" i="1"/>
  <c r="AD48" i="1"/>
  <c r="AD41" i="1"/>
  <c r="AG29" i="1" l="1"/>
  <c r="AG33" i="1" s="1"/>
  <c r="AG34" i="1" s="1"/>
  <c r="AF52" i="1"/>
  <c r="AG51" i="1"/>
  <c r="AF36" i="1"/>
  <c r="AF39" i="1" s="1"/>
  <c r="AD42" i="1"/>
  <c r="AD45" i="1"/>
  <c r="AD46" i="1" s="1"/>
  <c r="AH19" i="1"/>
  <c r="AH20" i="1" s="1"/>
  <c r="AI17" i="1"/>
  <c r="AI23" i="1"/>
  <c r="AE48" i="1"/>
  <c r="AE41" i="1"/>
  <c r="AH29" i="1" l="1"/>
  <c r="AH33" i="1" s="1"/>
  <c r="AH34" i="1" s="1"/>
  <c r="AF48" i="1"/>
  <c r="AF41" i="1"/>
  <c r="AG52" i="1"/>
  <c r="AH51" i="1"/>
  <c r="AI20" i="1"/>
  <c r="AI19" i="1"/>
  <c r="AE45" i="1"/>
  <c r="AE46" i="1" s="1"/>
  <c r="AE42" i="1"/>
  <c r="AG36" i="1"/>
  <c r="AG39" i="1" s="1"/>
  <c r="AG41" i="1" l="1"/>
  <c r="AG48" i="1"/>
  <c r="AF45" i="1"/>
  <c r="AF46" i="1" s="1"/>
  <c r="AF42" i="1"/>
  <c r="AH52" i="1"/>
  <c r="AI51" i="1"/>
  <c r="AI52" i="1" s="1"/>
  <c r="AH36" i="1"/>
  <c r="AH39" i="1" s="1"/>
  <c r="AI29" i="1"/>
  <c r="AI33" i="1" s="1"/>
  <c r="AI34" i="1" s="1"/>
  <c r="AH41" i="1" l="1"/>
  <c r="AH48" i="1"/>
  <c r="AI36" i="1"/>
  <c r="AI39" i="1" s="1"/>
  <c r="AG45" i="1"/>
  <c r="AG46" i="1" s="1"/>
  <c r="AG42" i="1"/>
  <c r="AI41" i="1" l="1"/>
  <c r="AI48" i="1"/>
  <c r="AH45" i="1"/>
  <c r="AH46" i="1" s="1"/>
  <c r="AH42" i="1"/>
  <c r="AI45" i="1" l="1"/>
  <c r="AI46" i="1" s="1"/>
  <c r="AI42" i="1"/>
</calcChain>
</file>

<file path=xl/sharedStrings.xml><?xml version="1.0" encoding="utf-8"?>
<sst xmlns="http://schemas.openxmlformats.org/spreadsheetml/2006/main" count="148" uniqueCount="106">
  <si>
    <t>Cost Assumptions</t>
  </si>
  <si>
    <t>Financing Assumptions</t>
  </si>
  <si>
    <t>Revenue Assumptions</t>
  </si>
  <si>
    <t>Total Benefit (Year 1)</t>
  </si>
  <si>
    <t>Purchase Price</t>
  </si>
  <si>
    <t>Downpayment</t>
  </si>
  <si>
    <t>Monthly Rent</t>
  </si>
  <si>
    <t>Cash Flow</t>
  </si>
  <si>
    <t>Land Value (25%)</t>
  </si>
  <si>
    <t>Finance Amt</t>
  </si>
  <si>
    <t>Vacancy Rate</t>
  </si>
  <si>
    <t>Equity Accrued</t>
  </si>
  <si>
    <t>Building Value (75%)</t>
  </si>
  <si>
    <t>Downpayment Amt</t>
  </si>
  <si>
    <t>Tax Benefits (Depreciation)</t>
  </si>
  <si>
    <t>Improvements</t>
  </si>
  <si>
    <t>Interest Rate</t>
  </si>
  <si>
    <t>Cashflow &amp; Returns (Year 1)</t>
  </si>
  <si>
    <t>Appreciation</t>
  </si>
  <si>
    <t>Closing Costs</t>
  </si>
  <si>
    <t>Mortgage (Years)</t>
  </si>
  <si>
    <t>Annual Cash Flow</t>
  </si>
  <si>
    <t xml:space="preserve">Total Benefit  </t>
  </si>
  <si>
    <t>Reserves</t>
  </si>
  <si>
    <t>Mortgage Payment</t>
  </si>
  <si>
    <t>Cash-On-Cash Return</t>
  </si>
  <si>
    <t>Total Benefit Return</t>
  </si>
  <si>
    <t xml:space="preserve">Total Cost </t>
  </si>
  <si>
    <t>Cash Outlay</t>
  </si>
  <si>
    <t>Total Return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</si>
  <si>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</si>
  <si>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</si>
  <si>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</si>
  <si>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</si>
  <si>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</si>
  <si>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</si>
  <si>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</si>
  <si>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</si>
  <si>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</si>
  <si>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</si>
  <si>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</si>
  <si>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</si>
  <si>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</si>
  <si>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</si>
  <si>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</si>
  <si>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</si>
  <si>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</si>
  <si>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</si>
  <si>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</si>
  <si>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</si>
  <si>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</si>
  <si>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</si>
  <si>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</si>
  <si>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</si>
  <si>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</si>
  <si>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</si>
  <si>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</si>
  <si>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</si>
  <si>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</si>
  <si>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</si>
  <si>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Annual Revenue Increase</t>
  </si>
  <si>
    <t>Annual Operating Expense Increase</t>
  </si>
  <si>
    <t>Monthly</t>
  </si>
  <si>
    <t>Revenues</t>
  </si>
  <si>
    <t>Rental Income</t>
  </si>
  <si>
    <t>Vacancy/Loss Rate</t>
  </si>
  <si>
    <t>Vacancy/Loss Value</t>
  </si>
  <si>
    <t>Gross Income</t>
  </si>
  <si>
    <t>Expenses</t>
  </si>
  <si>
    <t>Property Taxes</t>
  </si>
  <si>
    <t>Annual</t>
  </si>
  <si>
    <t>Insurance</t>
  </si>
  <si>
    <t>Maintenance &amp; Repairs</t>
  </si>
  <si>
    <t>Utilities</t>
  </si>
  <si>
    <t>Turnover</t>
  </si>
  <si>
    <t>Pool Maintenance</t>
  </si>
  <si>
    <t>Property Management</t>
  </si>
  <si>
    <t>(% Income)</t>
  </si>
  <si>
    <t>Other Annual Costs</t>
  </si>
  <si>
    <t>Other Monthly Costs</t>
  </si>
  <si>
    <t>Capital Costs</t>
  </si>
  <si>
    <t>Total Expenses</t>
  </si>
  <si>
    <t>Expenses as % of Gross Income</t>
  </si>
  <si>
    <t>Net Operating Income (NOI)</t>
  </si>
  <si>
    <t>NOI (Cash Available)</t>
  </si>
  <si>
    <t>Mortgage</t>
  </si>
  <si>
    <t>Cash-on-Cash Return</t>
  </si>
  <si>
    <t>Equity-on-Cash Return</t>
  </si>
  <si>
    <t>Cash Flow + Equity</t>
  </si>
  <si>
    <t>Debt Service Coverage Ratio (DSCR)</t>
  </si>
  <si>
    <t>Total Equity Accrued</t>
  </si>
  <si>
    <t>Loan Payoff Amount</t>
  </si>
  <si>
    <t>Capital Expenses</t>
  </si>
  <si>
    <t>Component</t>
  </si>
  <si>
    <t>Lifespan</t>
  </si>
  <si>
    <t>Replacement</t>
  </si>
  <si>
    <t>Annual Cost</t>
  </si>
  <si>
    <t>Roof</t>
  </si>
  <si>
    <t xml:space="preserve">HVAC </t>
  </si>
  <si>
    <t>H2O Heater</t>
  </si>
  <si>
    <t>Electric</t>
  </si>
  <si>
    <t>Plumbing</t>
  </si>
  <si>
    <t>Appliances</t>
  </si>
  <si>
    <t>Siding</t>
  </si>
  <si>
    <t>Annual Average Cost</t>
  </si>
  <si>
    <t>Monthly Average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</si>
</sst>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  <numFmt numFmtId="166" formatCode="0.000%"/>
    <numFmt numFmtId="167" formatCode="&quot;$&quot;#,##0.00"/>
    <numFmt numFmtId="168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8"/>
      <color indexed="9"/>
      <name val="Arial"/>
      <family val="2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8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0" fontId="5" fillId="0" borderId="4" xfId="0" applyFont="1" applyBorder="1"/>
    <xf numFmtId="0" fontId="5" fillId="0" borderId="0" xfId="0" applyFont="1"/>
    <xf numFmtId="6" fontId="6" fillId="0" borderId="5" xfId="0" applyNumberFormat="1" applyFont="1" applyBorder="1"/>
    <xf numFmtId="0" fontId="5" fillId="0" borderId="4" xfId="0" applyFont="1" applyBorder="1"/>
    <xf numFmtId="0" fontId="5" fillId="0" borderId="0" xfId="0" applyFont="1"/>
    <xf numFmtId="9" fontId="6" fillId="0" borderId="5" xfId="0" applyNumberFormat="1" applyFont="1" applyBorder="1"/>
    <xf numFmtId="165" fontId="6" fillId="0" borderId="5" xfId="0" applyNumberFormat="1" applyFont="1" applyBorder="1"/>
    <xf numFmtId="5" fontId="5" fillId="0" borderId="6" xfId="0" applyNumberFormat="1" applyFont="1" applyBorder="1"/>
    <xf numFmtId="9" fontId="5" fillId="0" borderId="0" xfId="2" applyFont="1" applyFill="1" applyBorder="1" applyAlignment="1">
      <alignment horizontal="center"/>
    </xf>
    <xf numFmtId="10" fontId="0" fillId="0" borderId="0" xfId="2" applyNumberFormat="1" applyFont="1" applyBorder="1"/>
    <xf numFmtId="164" fontId="0" fillId="0" borderId="0" xfId="1" applyNumberFormat="1" applyFont="1" applyBorder="1"/>
    <xf numFmtId="0" fontId="5" fillId="0" borderId="4" xfId="0" applyFont="1" applyBorder="1" applyAlignment="1">
      <alignment horizontal="left" indent="1"/>
    </xf>
    <xf numFmtId="0" fontId="5" fillId="0" borderId="0" xfId="0" applyFont="1" applyAlignment="1">
      <alignment horizontal="left" indent="1"/>
    </xf>
    <xf numFmtId="6" fontId="5" fillId="0" borderId="5" xfId="0" applyNumberFormat="1" applyFont="1" applyBorder="1"/>
    <xf numFmtId="165" fontId="5" fillId="0" borderId="5" xfId="0" applyNumberFormat="1" applyFont="1" applyBorder="1"/>
    <xf numFmtId="0" fontId="5" fillId="0" borderId="7" xfId="0" applyFont="1" applyBorder="1"/>
    <xf numFmtId="0" fontId="5" fillId="0" borderId="8" xfId="0" applyFont="1" applyBorder="1"/>
    <xf numFmtId="9" fontId="6" fillId="0" borderId="9" xfId="0" applyNumberFormat="1" applyFont="1" applyBorder="1"/>
    <xf numFmtId="5" fontId="5" fillId="0" borderId="10" xfId="0" applyNumberFormat="1" applyFont="1" applyBorder="1"/>
    <xf numFmtId="164" fontId="5" fillId="0" borderId="0" xfId="1" applyNumberFormat="1" applyFont="1" applyFill="1" applyBorder="1" applyAlignment="1">
      <alignment horizontal="center"/>
    </xf>
    <xf numFmtId="10" fontId="0" fillId="0" borderId="0" xfId="2" applyNumberFormat="1" applyFont="1"/>
    <xf numFmtId="44" fontId="0" fillId="0" borderId="0" xfId="1" applyFont="1" applyBorder="1"/>
    <xf numFmtId="44" fontId="0" fillId="0" borderId="0" xfId="1" applyFont="1"/>
    <xf numFmtId="0" fontId="5" fillId="0" borderId="11" xfId="0" applyFont="1" applyBorder="1"/>
    <xf numFmtId="9" fontId="6" fillId="0" borderId="11" xfId="0" applyNumberFormat="1" applyFont="1" applyBorder="1"/>
    <xf numFmtId="9" fontId="7" fillId="0" borderId="6" xfId="0" applyNumberFormat="1" applyFont="1" applyBorder="1" applyAlignment="1">
      <alignment horizontal="left" indent="1"/>
    </xf>
    <xf numFmtId="44" fontId="0" fillId="0" borderId="0" xfId="0" applyNumberFormat="1"/>
    <xf numFmtId="0" fontId="2" fillId="0" borderId="0" xfId="0" applyFont="1"/>
    <xf numFmtId="164" fontId="2" fillId="0" borderId="0" xfId="0" applyNumberFormat="1" applyFont="1"/>
    <xf numFmtId="166" fontId="6" fillId="0" borderId="5" xfId="0" applyNumberFormat="1" applyFont="1" applyBorder="1"/>
    <xf numFmtId="5" fontId="5" fillId="0" borderId="12" xfId="0" applyNumberFormat="1" applyFont="1" applyBorder="1"/>
    <xf numFmtId="9" fontId="7" fillId="0" borderId="12" xfId="0" applyNumberFormat="1" applyFont="1" applyBorder="1" applyAlignment="1">
      <alignment horizontal="left" indent="1"/>
    </xf>
    <xf numFmtId="44" fontId="2" fillId="0" borderId="0" xfId="1" applyFont="1" applyBorder="1"/>
    <xf numFmtId="10" fontId="2" fillId="0" borderId="0" xfId="2" applyNumberFormat="1" applyFont="1" applyBorder="1"/>
    <xf numFmtId="6" fontId="7" fillId="0" borderId="5" xfId="0" applyNumberFormat="1" applyFont="1" applyBorder="1"/>
    <xf numFmtId="1" fontId="6" fillId="0" borderId="5" xfId="0" applyNumberFormat="1" applyFont="1" applyBorder="1"/>
    <xf numFmtId="0" fontId="3" fillId="0" borderId="4" xfId="0" applyFont="1" applyBorder="1"/>
    <xf numFmtId="0" fontId="3" fillId="0" borderId="0" xfId="0" applyFont="1"/>
    <xf numFmtId="5" fontId="3" fillId="3" borderId="6" xfId="0" applyNumberFormat="1" applyFont="1" applyFill="1" applyBorder="1"/>
    <xf numFmtId="0" fontId="3" fillId="0" borderId="1" xfId="0" applyFont="1" applyBorder="1"/>
    <xf numFmtId="0" fontId="3" fillId="0" borderId="2" xfId="0" applyFont="1" applyBorder="1"/>
    <xf numFmtId="5" fontId="3" fillId="3" borderId="13" xfId="0" applyNumberFormat="1" applyFont="1" applyFill="1" applyBorder="1"/>
    <xf numFmtId="167" fontId="0" fillId="0" borderId="0" xfId="0" applyNumberFormat="1"/>
    <xf numFmtId="167" fontId="5" fillId="0" borderId="5" xfId="0" applyNumberFormat="1" applyFont="1" applyBorder="1"/>
    <xf numFmtId="10" fontId="3" fillId="3" borderId="10" xfId="0" applyNumberFormat="1" applyFont="1" applyFill="1" applyBorder="1"/>
    <xf numFmtId="0" fontId="3" fillId="0" borderId="7" xfId="0" applyFont="1" applyBorder="1"/>
    <xf numFmtId="0" fontId="3" fillId="0" borderId="8" xfId="0" applyFont="1" applyBorder="1"/>
    <xf numFmtId="10" fontId="3" fillId="3" borderId="12" xfId="0" applyNumberFormat="1" applyFont="1" applyFill="1" applyBorder="1"/>
    <xf numFmtId="0" fontId="3" fillId="0" borderId="14" xfId="0" applyFont="1" applyBorder="1" applyAlignment="1">
      <alignment horizontal="left" indent="1"/>
    </xf>
    <xf numFmtId="0" fontId="3" fillId="0" borderId="11" xfId="0" applyFont="1" applyBorder="1" applyAlignment="1">
      <alignment horizontal="left" indent="1"/>
    </xf>
    <xf numFmtId="6" fontId="3" fillId="0" borderId="15" xfId="0" applyNumberFormat="1" applyFont="1" applyBorder="1"/>
    <xf numFmtId="0" fontId="3" fillId="0" borderId="14" xfId="0" applyFont="1" applyBorder="1" applyAlignment="1">
      <alignment horizontal="left" indent="1"/>
    </xf>
    <xf numFmtId="0" fontId="3" fillId="0" borderId="11" xfId="0" applyFont="1" applyBorder="1" applyAlignment="1">
      <alignment horizontal="left"/>
    </xf>
    <xf numFmtId="5" fontId="3" fillId="0" borderId="15" xfId="0" applyNumberFormat="1" applyFont="1" applyBorder="1"/>
    <xf numFmtId="10" fontId="5" fillId="0" borderId="0" xfId="0" applyNumberFormat="1" applyFont="1"/>
    <xf numFmtId="1" fontId="8" fillId="0" borderId="0" xfId="0" applyNumberFormat="1" applyFont="1"/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17" xfId="0" applyFont="1" applyBorder="1"/>
    <xf numFmtId="0" fontId="5" fillId="0" borderId="18" xfId="0" applyFont="1" applyBorder="1"/>
    <xf numFmtId="9" fontId="6" fillId="0" borderId="18" xfId="0" applyNumberFormat="1" applyFont="1" applyBorder="1"/>
    <xf numFmtId="168" fontId="5" fillId="0" borderId="18" xfId="0" applyNumberFormat="1" applyFont="1" applyBorder="1"/>
    <xf numFmtId="168" fontId="5" fillId="0" borderId="19" xfId="0" applyNumberFormat="1" applyFont="1" applyBorder="1"/>
    <xf numFmtId="168" fontId="5" fillId="0" borderId="20" xfId="0" applyNumberFormat="1" applyFont="1" applyBorder="1"/>
    <xf numFmtId="168" fontId="5" fillId="0" borderId="21" xfId="0" applyNumberFormat="1" applyFont="1" applyBorder="1"/>
    <xf numFmtId="168" fontId="6" fillId="0" borderId="0" xfId="0" applyNumberFormat="1" applyFont="1"/>
    <xf numFmtId="168" fontId="6" fillId="0" borderId="5" xfId="0" applyNumberFormat="1" applyFont="1" applyBorder="1"/>
    <xf numFmtId="0" fontId="3" fillId="4" borderId="21" xfId="0" applyFont="1" applyFill="1" applyBorder="1" applyAlignment="1">
      <alignment horizontal="center"/>
    </xf>
    <xf numFmtId="0" fontId="9" fillId="5" borderId="22" xfId="0" applyFont="1" applyFill="1" applyBorder="1"/>
    <xf numFmtId="0" fontId="5" fillId="5" borderId="23" xfId="0" applyFont="1" applyFill="1" applyBorder="1"/>
    <xf numFmtId="0" fontId="5" fillId="4" borderId="24" xfId="0" applyFont="1" applyFill="1" applyBorder="1"/>
    <xf numFmtId="0" fontId="5" fillId="5" borderId="25" xfId="0" applyFont="1" applyFill="1" applyBorder="1"/>
    <xf numFmtId="0" fontId="0" fillId="5" borderId="23" xfId="0" applyFill="1" applyBorder="1"/>
    <xf numFmtId="0" fontId="0" fillId="5" borderId="25" xfId="0" applyFill="1" applyBorder="1"/>
    <xf numFmtId="0" fontId="0" fillId="5" borderId="26" xfId="0" applyFill="1" applyBorder="1"/>
    <xf numFmtId="0" fontId="5" fillId="0" borderId="27" xfId="0" applyFont="1" applyBorder="1"/>
    <xf numFmtId="37" fontId="5" fillId="0" borderId="0" xfId="0" applyNumberFormat="1" applyFont="1"/>
    <xf numFmtId="37" fontId="5" fillId="4" borderId="28" xfId="0" applyNumberFormat="1" applyFont="1" applyFill="1" applyBorder="1"/>
    <xf numFmtId="37" fontId="5" fillId="0" borderId="5" xfId="0" applyNumberFormat="1" applyFont="1" applyBorder="1"/>
    <xf numFmtId="37" fontId="5" fillId="0" borderId="29" xfId="0" applyNumberFormat="1" applyFont="1" applyBorder="1"/>
    <xf numFmtId="168" fontId="5" fillId="0" borderId="29" xfId="0" applyNumberFormat="1" applyFont="1" applyBorder="1"/>
    <xf numFmtId="168" fontId="5" fillId="4" borderId="28" xfId="0" applyNumberFormat="1" applyFont="1" applyFill="1" applyBorder="1"/>
    <xf numFmtId="168" fontId="5" fillId="0" borderId="0" xfId="0" applyNumberFormat="1" applyFont="1"/>
    <xf numFmtId="168" fontId="5" fillId="0" borderId="5" xfId="0" applyNumberFormat="1" applyFont="1" applyBorder="1"/>
    <xf numFmtId="9" fontId="5" fillId="0" borderId="0" xfId="0" applyNumberFormat="1" applyFont="1"/>
    <xf numFmtId="0" fontId="3" fillId="0" borderId="30" xfId="0" applyFont="1" applyBorder="1" applyAlignment="1">
      <alignment horizontal="left" indent="1"/>
    </xf>
    <xf numFmtId="0" fontId="3" fillId="0" borderId="16" xfId="0" applyFont="1" applyBorder="1"/>
    <xf numFmtId="37" fontId="5" fillId="0" borderId="16" xfId="0" applyNumberFormat="1" applyFont="1" applyBorder="1"/>
    <xf numFmtId="37" fontId="3" fillId="4" borderId="31" xfId="0" applyNumberFormat="1" applyFont="1" applyFill="1" applyBorder="1"/>
    <xf numFmtId="37" fontId="3" fillId="0" borderId="16" xfId="0" applyNumberFormat="1" applyFont="1" applyBorder="1"/>
    <xf numFmtId="37" fontId="3" fillId="0" borderId="32" xfId="0" applyNumberFormat="1" applyFont="1" applyBorder="1"/>
    <xf numFmtId="37" fontId="3" fillId="0" borderId="33" xfId="0" applyNumberFormat="1" applyFont="1" applyBorder="1"/>
    <xf numFmtId="0" fontId="5" fillId="4" borderId="28" xfId="0" applyFont="1" applyFill="1" applyBorder="1"/>
    <xf numFmtId="0" fontId="5" fillId="0" borderId="5" xfId="0" applyFont="1" applyBorder="1"/>
    <xf numFmtId="0" fontId="0" fillId="0" borderId="5" xfId="0" applyBorder="1"/>
    <xf numFmtId="0" fontId="9" fillId="6" borderId="22" xfId="0" applyFont="1" applyFill="1" applyBorder="1"/>
    <xf numFmtId="0" fontId="5" fillId="6" borderId="23" xfId="0" applyFont="1" applyFill="1" applyBorder="1"/>
    <xf numFmtId="0" fontId="5" fillId="6" borderId="25" xfId="0" applyFont="1" applyFill="1" applyBorder="1"/>
    <xf numFmtId="0" fontId="0" fillId="6" borderId="23" xfId="0" applyFill="1" applyBorder="1"/>
    <xf numFmtId="0" fontId="0" fillId="6" borderId="25" xfId="0" applyFill="1" applyBorder="1"/>
    <xf numFmtId="0" fontId="0" fillId="6" borderId="26" xfId="0" applyFill="1" applyBorder="1"/>
    <xf numFmtId="0" fontId="5" fillId="0" borderId="27" xfId="0" applyFont="1" applyBorder="1"/>
    <xf numFmtId="37" fontId="6" fillId="0" borderId="0" xfId="0" applyNumberFormat="1" applyFont="1"/>
    <xf numFmtId="9" fontId="6" fillId="0" borderId="0" xfId="0" applyNumberFormat="1" applyFont="1"/>
    <xf numFmtId="37" fontId="6" fillId="0" borderId="0" xfId="0" quotePrefix="1" applyNumberFormat="1" applyFont="1"/>
    <xf numFmtId="10" fontId="5" fillId="4" borderId="28" xfId="0" applyNumberFormat="1" applyFont="1" applyFill="1" applyBorder="1"/>
    <xf numFmtId="168" fontId="5" fillId="0" borderId="25" xfId="0" applyNumberFormat="1" applyFont="1" applyBorder="1"/>
    <xf numFmtId="0" fontId="0" fillId="0" borderId="32" xfId="0" applyBorder="1"/>
    <xf numFmtId="0" fontId="3" fillId="7" borderId="17" xfId="0" applyFont="1" applyFill="1" applyBorder="1"/>
    <xf numFmtId="0" fontId="5" fillId="7" borderId="18" xfId="0" applyFont="1" applyFill="1" applyBorder="1"/>
    <xf numFmtId="0" fontId="3" fillId="7" borderId="18" xfId="0" applyFont="1" applyFill="1" applyBorder="1"/>
    <xf numFmtId="37" fontId="3" fillId="4" borderId="21" xfId="0" applyNumberFormat="1" applyFont="1" applyFill="1" applyBorder="1"/>
    <xf numFmtId="37" fontId="3" fillId="7" borderId="18" xfId="0" applyNumberFormat="1" applyFont="1" applyFill="1" applyBorder="1"/>
    <xf numFmtId="37" fontId="3" fillId="7" borderId="19" xfId="0" applyNumberFormat="1" applyFont="1" applyFill="1" applyBorder="1"/>
    <xf numFmtId="0" fontId="0" fillId="4" borderId="28" xfId="0" applyFill="1" applyBorder="1"/>
    <xf numFmtId="0" fontId="0" fillId="0" borderId="25" xfId="0" applyBorder="1"/>
    <xf numFmtId="0" fontId="3" fillId="8" borderId="22" xfId="0" applyFont="1" applyFill="1" applyBorder="1"/>
    <xf numFmtId="0" fontId="3" fillId="8" borderId="23" xfId="0" applyFont="1" applyFill="1" applyBorder="1"/>
    <xf numFmtId="0" fontId="5" fillId="8" borderId="23" xfId="0" applyFont="1" applyFill="1" applyBorder="1"/>
    <xf numFmtId="0" fontId="5" fillId="8" borderId="25" xfId="0" applyFont="1" applyFill="1" applyBorder="1"/>
    <xf numFmtId="0" fontId="0" fillId="8" borderId="23" xfId="0" applyFill="1" applyBorder="1"/>
    <xf numFmtId="0" fontId="0" fillId="8" borderId="25" xfId="0" applyFill="1" applyBorder="1"/>
    <xf numFmtId="0" fontId="0" fillId="8" borderId="26" xfId="0" applyFill="1" applyBorder="1"/>
    <xf numFmtId="0" fontId="3" fillId="0" borderId="27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10" fillId="0" borderId="0" xfId="0" applyFont="1"/>
    <xf numFmtId="37" fontId="3" fillId="0" borderId="0" xfId="0" applyNumberFormat="1" applyFont="1"/>
    <xf numFmtId="37" fontId="3" fillId="4" borderId="28" xfId="0" applyNumberFormat="1" applyFont="1" applyFill="1" applyBorder="1"/>
    <xf numFmtId="37" fontId="3" fillId="0" borderId="5" xfId="0" applyNumberFormat="1" applyFont="1" applyBorder="1"/>
    <xf numFmtId="37" fontId="3" fillId="0" borderId="29" xfId="0" applyNumberFormat="1" applyFont="1" applyBorder="1"/>
    <xf numFmtId="0" fontId="3" fillId="0" borderId="27" xfId="0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10" fontId="3" fillId="4" borderId="28" xfId="0" applyNumberFormat="1" applyFont="1" applyFill="1" applyBorder="1"/>
    <xf numFmtId="10" fontId="3" fillId="0" borderId="0" xfId="0" applyNumberFormat="1" applyFont="1"/>
    <xf numFmtId="10" fontId="3" fillId="0" borderId="5" xfId="0" applyNumberFormat="1" applyFont="1" applyBorder="1"/>
    <xf numFmtId="10" fontId="3" fillId="0" borderId="29" xfId="0" applyNumberFormat="1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3" xfId="0" applyFont="1" applyBorder="1" applyAlignment="1">
      <alignment horizontal="center"/>
    </xf>
    <xf numFmtId="37" fontId="5" fillId="0" borderId="23" xfId="0" applyNumberFormat="1" applyFont="1" applyBorder="1" applyAlignment="1">
      <alignment horizontal="center"/>
    </xf>
    <xf numFmtId="3" fontId="5" fillId="4" borderId="24" xfId="0" applyNumberFormat="1" applyFont="1" applyFill="1" applyBorder="1"/>
    <xf numFmtId="3" fontId="5" fillId="0" borderId="23" xfId="0" applyNumberFormat="1" applyFont="1" applyBorder="1"/>
    <xf numFmtId="3" fontId="5" fillId="0" borderId="25" xfId="0" applyNumberFormat="1" applyFont="1" applyBorder="1"/>
    <xf numFmtId="3" fontId="5" fillId="0" borderId="26" xfId="0" applyNumberFormat="1" applyFont="1" applyBorder="1"/>
    <xf numFmtId="0" fontId="3" fillId="0" borderId="16" xfId="0" applyFont="1" applyBorder="1" applyAlignment="1">
      <alignment horizontal="left" indent="1"/>
    </xf>
    <xf numFmtId="0" fontId="10" fillId="0" borderId="16" xfId="0" applyFont="1" applyBorder="1"/>
    <xf numFmtId="10" fontId="3" fillId="4" borderId="31" xfId="0" applyNumberFormat="1" applyFont="1" applyFill="1" applyBorder="1"/>
    <xf numFmtId="10" fontId="3" fillId="0" borderId="16" xfId="0" applyNumberFormat="1" applyFont="1" applyBorder="1"/>
    <xf numFmtId="10" fontId="3" fillId="0" borderId="32" xfId="0" applyNumberFormat="1" applyFont="1" applyBorder="1"/>
    <xf numFmtId="10" fontId="3" fillId="0" borderId="33" xfId="0" applyNumberFormat="1" applyFont="1" applyBorder="1"/>
    <xf numFmtId="37" fontId="0" fillId="0" borderId="0" xfId="0" applyNumberFormat="1"/>
    <xf numFmtId="37" fontId="0" fillId="4" borderId="28" xfId="0" applyNumberFormat="1" applyFill="1" applyBorder="1"/>
    <xf numFmtId="37" fontId="0" fillId="0" borderId="5" xfId="0" applyNumberFormat="1" applyBorder="1"/>
    <xf numFmtId="0" fontId="0" fillId="0" borderId="4" xfId="0" applyBorder="1"/>
    <xf numFmtId="0" fontId="3" fillId="0" borderId="17" xfId="0" applyFont="1" applyBorder="1"/>
    <xf numFmtId="0" fontId="3" fillId="0" borderId="18" xfId="0" applyFont="1" applyBorder="1"/>
    <xf numFmtId="0" fontId="11" fillId="0" borderId="18" xfId="0" applyFont="1" applyBorder="1"/>
    <xf numFmtId="2" fontId="3" fillId="4" borderId="21" xfId="0" applyNumberFormat="1" applyFont="1" applyFill="1" applyBorder="1"/>
    <xf numFmtId="2" fontId="3" fillId="0" borderId="18" xfId="0" applyNumberFormat="1" applyFont="1" applyBorder="1"/>
    <xf numFmtId="2" fontId="3" fillId="0" borderId="19" xfId="0" applyNumberFormat="1" applyFont="1" applyBorder="1"/>
    <xf numFmtId="2" fontId="3" fillId="0" borderId="34" xfId="0" applyNumberFormat="1" applyFont="1" applyBorder="1"/>
    <xf numFmtId="2" fontId="3" fillId="0" borderId="20" xfId="0" applyNumberFormat="1" applyFont="1" applyBorder="1"/>
    <xf numFmtId="3" fontId="5" fillId="0" borderId="0" xfId="0" applyNumberFormat="1" applyFont="1"/>
    <xf numFmtId="165" fontId="5" fillId="0" borderId="0" xfId="0" applyNumberFormat="1" applyFont="1"/>
    <xf numFmtId="0" fontId="3" fillId="2" borderId="14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0" fillId="0" borderId="15" xfId="0" applyBorder="1"/>
    <xf numFmtId="0" fontId="3" fillId="0" borderId="1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2" fillId="0" borderId="1" xfId="0" applyFont="1" applyBorder="1"/>
    <xf numFmtId="0" fontId="12" fillId="0" borderId="2" xfId="0" applyFont="1" applyBorder="1"/>
    <xf numFmtId="44" fontId="12" fillId="0" borderId="2" xfId="1" applyFont="1" applyBorder="1"/>
    <xf numFmtId="44" fontId="12" fillId="0" borderId="3" xfId="1" applyFont="1" applyBorder="1"/>
    <xf numFmtId="0" fontId="12" fillId="0" borderId="0" xfId="0" applyFont="1"/>
    <xf numFmtId="0" fontId="12" fillId="0" borderId="4" xfId="0" applyFont="1" applyBorder="1"/>
    <xf numFmtId="44" fontId="12" fillId="0" borderId="0" xfId="1" applyFont="1" applyBorder="1"/>
    <xf numFmtId="44" fontId="12" fillId="0" borderId="5" xfId="1" applyFont="1" applyBorder="1"/>
    <xf numFmtId="0" fontId="13" fillId="0" borderId="0" xfId="0" applyFont="1"/>
    <xf numFmtId="44" fontId="13" fillId="0" borderId="0" xfId="1" applyFont="1"/>
    <xf numFmtId="0" fontId="14" fillId="0" borderId="1" xfId="0" applyFont="1" applyBorder="1"/>
    <xf numFmtId="0" fontId="14" fillId="0" borderId="2" xfId="0" applyFont="1" applyBorder="1"/>
    <xf numFmtId="44" fontId="14" fillId="0" borderId="2" xfId="1" applyFont="1" applyBorder="1"/>
    <xf numFmtId="44" fontId="14" fillId="0" borderId="3" xfId="1" applyFont="1" applyBorder="1"/>
    <xf numFmtId="0" fontId="14" fillId="0" borderId="7" xfId="0" applyFont="1" applyBorder="1"/>
    <xf numFmtId="0" fontId="14" fillId="0" borderId="8" xfId="0" applyFont="1" applyBorder="1"/>
    <xf numFmtId="44" fontId="14" fillId="0" borderId="8" xfId="1" applyFont="1" applyBorder="1"/>
    <xf numFmtId="44" fontId="14" fillId="0" borderId="9" xfId="1" applyFont="1" applyBorder="1"/>
    <xf numFmtId="0" fontId="2" fillId="0" borderId="0" xfId="0" applyFont="1" applyAlignment="1">
      <alignment horizontal="center"/>
    </xf>
    <xf numFmtId="6" fontId="0" fillId="0" borderId="0" xfId="0" applyNumberFormat="1" applyAlignment="1">
      <alignment horizontal="center"/>
    </xf>
    <xf numFmtId="168" fontId="0" fillId="0" borderId="0" xfId="2" applyNumberFormat="1" applyFont="1" applyBorder="1" applyAlignment="1">
      <alignment horizontal="center"/>
    </xf>
    <xf numFmtId="44" fontId="0" fillId="0" borderId="0" xfId="1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6506-CD0D-4902-B8DB-EB2E5E73FFB2}">
  <dimension ref="A1:AI83"/>
  <sheetViews>
    <sheetView tabSelected="1" zoomScaleNormal="100" workbookViewId="0">
      <selection activeCell="Y57" sqref="Y57"/>
    </sheetView>
  </sheetViews>
  <sheetFormatPr defaultRowHeight="14.5" x14ac:dyDescent="0.35"/>
  <cols>
    <col min="1" max="1" width="1" customWidth="1"/>
    <col min="2" max="9" width="9.7265625" customWidth="1"/>
    <col min="10" max="10" width="10.6328125" customWidth="1"/>
    <col min="11" max="11" width="10.81640625" customWidth="1"/>
    <col min="12" max="15" width="9.7265625" customWidth="1"/>
    <col min="16" max="16" width="11.6328125" customWidth="1"/>
    <col min="17" max="17" width="11" customWidth="1"/>
    <col min="18" max="35" width="9.7265625" customWidth="1"/>
  </cols>
  <sheetData>
    <row r="1" spans="1:35" ht="6" customHeight="1" thickBot="1" x14ac:dyDescent="0.4"/>
    <row r="2" spans="1:35" ht="15" thickBot="1" x14ac:dyDescent="0.4">
      <c r="B2" s="1" t="s">
        <v>0</v>
      </c>
      <c r="C2" s="2"/>
      <c r="D2" s="3"/>
      <c r="F2" s="1" t="s">
        <v>1</v>
      </c>
      <c r="G2" s="2"/>
      <c r="H2" s="3"/>
      <c r="J2" s="1" t="s">
        <v>2</v>
      </c>
      <c r="K2" s="2"/>
      <c r="L2" s="3"/>
      <c r="N2" s="1" t="s">
        <v>3</v>
      </c>
      <c r="O2" s="2"/>
      <c r="P2" s="3"/>
      <c r="X2" s="4"/>
    </row>
    <row r="3" spans="1:35" x14ac:dyDescent="0.35">
      <c r="B3" s="5" t="s">
        <v>4</v>
      </c>
      <c r="C3" s="6"/>
      <c r="D3" s="7">
        <v>133000</v>
      </c>
      <c r="F3" s="8" t="s">
        <v>5</v>
      </c>
      <c r="G3" s="9"/>
      <c r="H3" s="10">
        <v>0.25</v>
      </c>
      <c r="J3" s="5" t="s">
        <v>6</v>
      </c>
      <c r="K3" s="6"/>
      <c r="L3" s="11">
        <v>1575</v>
      </c>
      <c r="N3" s="5" t="s">
        <v>7</v>
      </c>
      <c r="O3" s="6"/>
      <c r="P3" s="12">
        <f>F41</f>
        <v>2135.3155172265124</v>
      </c>
      <c r="Q3" s="13"/>
      <c r="R3" s="13"/>
      <c r="S3" s="13"/>
      <c r="U3" s="14"/>
      <c r="X3" s="15"/>
    </row>
    <row r="4" spans="1:35" ht="15" thickBot="1" x14ac:dyDescent="0.4">
      <c r="B4" s="16" t="s">
        <v>8</v>
      </c>
      <c r="C4" s="17"/>
      <c r="D4" s="18">
        <f>D3*0.25</f>
        <v>33250</v>
      </c>
      <c r="F4" s="8" t="s">
        <v>9</v>
      </c>
      <c r="G4" s="9"/>
      <c r="H4" s="19">
        <f>D9*(1-H3)</f>
        <v>114491.25</v>
      </c>
      <c r="J4" s="20" t="s">
        <v>10</v>
      </c>
      <c r="K4" s="21"/>
      <c r="L4" s="22">
        <v>0.06</v>
      </c>
      <c r="N4" s="5" t="s">
        <v>11</v>
      </c>
      <c r="O4" s="6"/>
      <c r="P4" s="23">
        <f>F43</f>
        <v>2674.5094169576105</v>
      </c>
      <c r="Q4" s="24"/>
      <c r="R4" s="24"/>
      <c r="S4" s="24"/>
      <c r="T4" s="25"/>
      <c r="V4" s="26"/>
      <c r="W4" s="26"/>
      <c r="X4" s="15"/>
      <c r="Y4" s="25"/>
      <c r="Z4" s="27"/>
      <c r="AA4" s="25"/>
      <c r="AB4" s="25"/>
    </row>
    <row r="5" spans="1:35" ht="15" thickBot="1" x14ac:dyDescent="0.4">
      <c r="B5" s="16" t="s">
        <v>12</v>
      </c>
      <c r="C5" s="17"/>
      <c r="D5" s="18">
        <f>D3*0.75</f>
        <v>99750</v>
      </c>
      <c r="F5" s="8" t="s">
        <v>13</v>
      </c>
      <c r="G5" s="9"/>
      <c r="H5" s="19">
        <f>D9*H3</f>
        <v>38163.75</v>
      </c>
      <c r="J5" s="28"/>
      <c r="K5" s="28"/>
      <c r="L5" s="29"/>
      <c r="N5" s="5" t="s">
        <v>14</v>
      </c>
      <c r="O5" s="6"/>
      <c r="P5" s="23">
        <f>D5/27.5*Q5</f>
        <v>870.54545454545462</v>
      </c>
      <c r="Q5" s="30">
        <v>0.24</v>
      </c>
      <c r="S5" s="31"/>
      <c r="V5" s="32"/>
      <c r="W5" s="32"/>
      <c r="X5" s="33"/>
    </row>
    <row r="6" spans="1:35" ht="15" thickBot="1" x14ac:dyDescent="0.4">
      <c r="B6" s="5" t="s">
        <v>15</v>
      </c>
      <c r="C6" s="6"/>
      <c r="D6" s="7">
        <v>15000</v>
      </c>
      <c r="F6" s="8" t="s">
        <v>16</v>
      </c>
      <c r="G6" s="9"/>
      <c r="H6" s="34">
        <v>4.1250000000000002E-2</v>
      </c>
      <c r="J6" s="1" t="s">
        <v>17</v>
      </c>
      <c r="K6" s="2"/>
      <c r="L6" s="3"/>
      <c r="N6" s="5" t="s">
        <v>18</v>
      </c>
      <c r="O6" s="6"/>
      <c r="P6" s="35">
        <f>D3*Q6</f>
        <v>0</v>
      </c>
      <c r="Q6" s="36">
        <v>0</v>
      </c>
      <c r="S6" s="31"/>
      <c r="V6" s="37"/>
      <c r="W6" s="37"/>
      <c r="X6" s="38"/>
    </row>
    <row r="7" spans="1:35" x14ac:dyDescent="0.35">
      <c r="B7" s="5" t="s">
        <v>19</v>
      </c>
      <c r="C7" s="6"/>
      <c r="D7" s="39">
        <v>4655</v>
      </c>
      <c r="F7" s="8" t="s">
        <v>20</v>
      </c>
      <c r="G7" s="9"/>
      <c r="H7" s="40">
        <v>25</v>
      </c>
      <c r="J7" s="41" t="s">
        <v>21</v>
      </c>
      <c r="K7" s="42"/>
      <c r="L7" s="43">
        <f>F41</f>
        <v>2135.3155172265124</v>
      </c>
      <c r="N7" s="44" t="s">
        <v>22</v>
      </c>
      <c r="O7" s="45"/>
      <c r="P7" s="46">
        <f>SUM(P3:P6)</f>
        <v>5680.3703887295778</v>
      </c>
      <c r="S7" s="47"/>
      <c r="V7" s="27"/>
    </row>
    <row r="8" spans="1:35" ht="15" thickBot="1" x14ac:dyDescent="0.4">
      <c r="B8" s="5" t="s">
        <v>23</v>
      </c>
      <c r="C8" s="6"/>
      <c r="D8" s="39">
        <v>0</v>
      </c>
      <c r="F8" s="8" t="s">
        <v>24</v>
      </c>
      <c r="G8" s="9"/>
      <c r="H8" s="48">
        <f>-PMT(H6/12,12*H7, H4)</f>
        <v>612.25704023112394</v>
      </c>
      <c r="J8" s="41" t="s">
        <v>25</v>
      </c>
      <c r="K8" s="42"/>
      <c r="L8" s="49">
        <f>F42</f>
        <v>5.5951407218276829E-2</v>
      </c>
      <c r="N8" s="50" t="s">
        <v>26</v>
      </c>
      <c r="O8" s="51"/>
      <c r="P8" s="52">
        <f>P7/H9</f>
        <v>0.14884203959856088</v>
      </c>
      <c r="S8" s="47"/>
    </row>
    <row r="9" spans="1:35" ht="15" thickBot="1" x14ac:dyDescent="0.4">
      <c r="B9" s="53" t="s">
        <v>27</v>
      </c>
      <c r="C9" s="54"/>
      <c r="D9" s="55">
        <f>D3+D6+D7</f>
        <v>152655</v>
      </c>
      <c r="F9" s="56" t="s">
        <v>28</v>
      </c>
      <c r="G9" s="57"/>
      <c r="H9" s="58">
        <f>H5</f>
        <v>38163.75</v>
      </c>
      <c r="J9" s="50" t="s">
        <v>29</v>
      </c>
      <c r="K9" s="51"/>
      <c r="L9" s="52">
        <f>F46</f>
        <v>0.12603124520478523</v>
      </c>
      <c r="N9" s="6"/>
      <c r="O9" s="6"/>
      <c r="P9" s="59"/>
      <c r="R9" s="9"/>
      <c r="S9" s="9"/>
      <c r="T9" s="60"/>
    </row>
    <row r="10" spans="1:35" ht="15.75" customHeight="1" x14ac:dyDescent="0.35"/>
    <row r="11" spans="1:35" x14ac:dyDescent="0.35">
      <c r="A11" s="9"/>
      <c r="B11" s="61"/>
      <c r="C11" s="61"/>
      <c r="D11" s="61"/>
      <c r="E11" s="61"/>
      <c r="F11" s="62" t="s">
        <v>30</v>
      </c>
      <c r="G11" s="61" t="s">
        <v>31</v>
      </c>
      <c r="H11" s="61" t="s">
        <v>32</v>
      </c>
      <c r="I11" s="61" t="s">
        <v>33</v>
      </c>
      <c r="J11" s="63" t="s">
        <v>34</v>
      </c>
      <c r="K11" s="61" t="s">
        <v>35</v>
      </c>
      <c r="L11" s="61" t="s">
        <v>36</v>
      </c>
      <c r="M11" s="61" t="s">
        <v>37</v>
      </c>
      <c r="N11" s="61" t="s">
        <v>38</v>
      </c>
      <c r="O11" s="61" t="s">
        <v>39</v>
      </c>
      <c r="P11" s="61" t="s">
        <v>40</v>
      </c>
      <c r="Q11" s="61" t="s">
        <v>41</v>
      </c>
      <c r="R11" s="61" t="s">
        <v>42</v>
      </c>
      <c r="S11" s="61" t="s">
        <v>43</v>
      </c>
      <c r="T11" s="63" t="s">
        <v>44</v>
      </c>
      <c r="U11" s="61" t="s">
        <v>45</v>
      </c>
      <c r="V11" s="61" t="s">
        <v>46</v>
      </c>
      <c r="W11" s="61" t="s">
        <v>47</v>
      </c>
      <c r="X11" s="61" t="s">
        <v>48</v>
      </c>
      <c r="Y11" s="61" t="s">
        <v>49</v>
      </c>
      <c r="Z11" s="61" t="s">
        <v>50</v>
      </c>
      <c r="AA11" s="61" t="s">
        <v>51</v>
      </c>
      <c r="AB11" s="61" t="s">
        <v>52</v>
      </c>
      <c r="AC11" s="61" t="s">
        <v>53</v>
      </c>
      <c r="AD11" s="61" t="s">
        <v>54</v>
      </c>
      <c r="AE11" s="61" t="s">
        <v>55</v>
      </c>
      <c r="AF11" s="61" t="s">
        <v>56</v>
      </c>
      <c r="AG11" s="61" t="s">
        <v>57</v>
      </c>
      <c r="AH11" s="61" t="s">
        <v>58</v>
      </c>
      <c r="AI11" s="61" t="s">
        <v>59</v>
      </c>
    </row>
    <row r="12" spans="1:35" x14ac:dyDescent="0.35">
      <c r="B12" s="64" t="s">
        <v>60</v>
      </c>
      <c r="C12" s="65"/>
      <c r="D12" s="65"/>
      <c r="E12" s="66">
        <v>0.02</v>
      </c>
      <c r="F12" s="67">
        <v>0</v>
      </c>
      <c r="G12" s="67">
        <f>E12</f>
        <v>0.02</v>
      </c>
      <c r="H12" s="67">
        <f>E12</f>
        <v>0.02</v>
      </c>
      <c r="I12" s="67">
        <f>E12</f>
        <v>0.02</v>
      </c>
      <c r="J12" s="68">
        <f>E12</f>
        <v>0.02</v>
      </c>
      <c r="K12" s="67">
        <f>E12</f>
        <v>0.02</v>
      </c>
      <c r="L12" s="67">
        <f>E12</f>
        <v>0.02</v>
      </c>
      <c r="M12" s="67">
        <f>E12</f>
        <v>0.02</v>
      </c>
      <c r="N12" s="67">
        <f>E12</f>
        <v>0.02</v>
      </c>
      <c r="O12" s="67">
        <f>E12</f>
        <v>0.02</v>
      </c>
      <c r="P12" s="67">
        <f>E12</f>
        <v>0.02</v>
      </c>
      <c r="Q12" s="67">
        <f>E12</f>
        <v>0.02</v>
      </c>
      <c r="R12" s="67">
        <f>E12</f>
        <v>0.02</v>
      </c>
      <c r="S12" s="67">
        <f>E12</f>
        <v>0.02</v>
      </c>
      <c r="T12" s="68">
        <f>E12</f>
        <v>0.02</v>
      </c>
      <c r="U12" s="67">
        <f>E12</f>
        <v>0.02</v>
      </c>
      <c r="V12" s="69">
        <f>G12</f>
        <v>0.02</v>
      </c>
      <c r="W12" s="67">
        <f>E12</f>
        <v>0.02</v>
      </c>
      <c r="X12" s="69">
        <f>E12</f>
        <v>0.02</v>
      </c>
      <c r="Y12" s="67">
        <f>E12</f>
        <v>0.02</v>
      </c>
      <c r="Z12" s="69">
        <f>E12</f>
        <v>0.02</v>
      </c>
      <c r="AA12" s="67">
        <f>E12</f>
        <v>0.02</v>
      </c>
      <c r="AB12" s="69">
        <f>E12</f>
        <v>0.02</v>
      </c>
      <c r="AC12" s="67">
        <f>E12</f>
        <v>0.02</v>
      </c>
      <c r="AD12" s="69">
        <f>E12</f>
        <v>0.02</v>
      </c>
      <c r="AE12" s="67">
        <f>E12</f>
        <v>0.02</v>
      </c>
      <c r="AF12" s="69">
        <f>E12</f>
        <v>0.02</v>
      </c>
      <c r="AG12" s="67">
        <f>E12</f>
        <v>0.02</v>
      </c>
      <c r="AH12" s="69">
        <f>E12</f>
        <v>0.02</v>
      </c>
      <c r="AI12" s="70">
        <f>E12</f>
        <v>0.02</v>
      </c>
    </row>
    <row r="13" spans="1:35" x14ac:dyDescent="0.35">
      <c r="B13" s="64" t="s">
        <v>61</v>
      </c>
      <c r="C13" s="65"/>
      <c r="D13" s="65"/>
      <c r="E13" s="66">
        <v>0.02</v>
      </c>
      <c r="F13" s="67">
        <v>0</v>
      </c>
      <c r="G13" s="67">
        <f>E13</f>
        <v>0.02</v>
      </c>
      <c r="H13" s="67">
        <f>E13</f>
        <v>0.02</v>
      </c>
      <c r="I13" s="67">
        <f>E13</f>
        <v>0.02</v>
      </c>
      <c r="J13" s="68">
        <f>E13</f>
        <v>0.02</v>
      </c>
      <c r="K13" s="67">
        <f>E13</f>
        <v>0.02</v>
      </c>
      <c r="L13" s="67">
        <f>E13</f>
        <v>0.02</v>
      </c>
      <c r="M13" s="67">
        <f>E13</f>
        <v>0.02</v>
      </c>
      <c r="N13" s="67">
        <f>E13</f>
        <v>0.02</v>
      </c>
      <c r="O13" s="67">
        <f>E13</f>
        <v>0.02</v>
      </c>
      <c r="P13" s="67">
        <f>E13</f>
        <v>0.02</v>
      </c>
      <c r="Q13" s="67">
        <f>E13</f>
        <v>0.02</v>
      </c>
      <c r="R13" s="67">
        <f>E13</f>
        <v>0.02</v>
      </c>
      <c r="S13" s="67">
        <f>E13</f>
        <v>0.02</v>
      </c>
      <c r="T13" s="68">
        <f>E13</f>
        <v>0.02</v>
      </c>
      <c r="U13" s="67">
        <f>E13</f>
        <v>0.02</v>
      </c>
      <c r="V13" s="69">
        <f>G13</f>
        <v>0.02</v>
      </c>
      <c r="W13" s="67">
        <f>E13</f>
        <v>0.02</v>
      </c>
      <c r="X13" s="69">
        <f>E13</f>
        <v>0.02</v>
      </c>
      <c r="Y13" s="67">
        <f>E13</f>
        <v>0.02</v>
      </c>
      <c r="Z13" s="69">
        <f>E13</f>
        <v>0.02</v>
      </c>
      <c r="AA13" s="67">
        <f>E13</f>
        <v>0.02</v>
      </c>
      <c r="AB13" s="69">
        <f>E13</f>
        <v>0.02</v>
      </c>
      <c r="AC13" s="67">
        <f>E13</f>
        <v>0.02</v>
      </c>
      <c r="AD13" s="69">
        <f>E13</f>
        <v>0.02</v>
      </c>
      <c r="AE13" s="67">
        <f>E13</f>
        <v>0.02</v>
      </c>
      <c r="AF13" s="69">
        <f>E13</f>
        <v>0.02</v>
      </c>
      <c r="AG13" s="67">
        <f>E13</f>
        <v>0.02</v>
      </c>
      <c r="AH13" s="69">
        <f>E13</f>
        <v>0.02</v>
      </c>
      <c r="AI13" s="70">
        <f>E13</f>
        <v>0.02</v>
      </c>
    </row>
    <row r="14" spans="1:35" x14ac:dyDescent="0.35">
      <c r="A14" s="9"/>
      <c r="B14" s="9"/>
      <c r="C14" s="9"/>
      <c r="D14" s="9"/>
      <c r="E14" s="71"/>
      <c r="F14" s="71"/>
      <c r="G14" s="71"/>
      <c r="H14" s="71"/>
      <c r="I14" s="71"/>
      <c r="J14" s="72"/>
      <c r="K14" s="71"/>
      <c r="L14" s="71"/>
      <c r="M14" s="71"/>
      <c r="N14" s="71"/>
      <c r="O14" s="71"/>
      <c r="P14" s="71"/>
      <c r="Q14" s="71"/>
      <c r="R14" s="71"/>
      <c r="S14" s="71"/>
      <c r="T14" s="72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</row>
    <row r="15" spans="1:35" x14ac:dyDescent="0.35">
      <c r="A15" s="9"/>
      <c r="B15" s="61"/>
      <c r="C15" s="61"/>
      <c r="D15" s="61"/>
      <c r="E15" s="61" t="s">
        <v>62</v>
      </c>
      <c r="F15" s="73" t="s">
        <v>30</v>
      </c>
      <c r="G15" s="61" t="s">
        <v>31</v>
      </c>
      <c r="H15" s="61" t="s">
        <v>32</v>
      </c>
      <c r="I15" s="61" t="s">
        <v>33</v>
      </c>
      <c r="J15" s="63" t="s">
        <v>34</v>
      </c>
      <c r="K15" s="61" t="s">
        <v>35</v>
      </c>
      <c r="L15" s="61" t="s">
        <v>36</v>
      </c>
      <c r="M15" s="61" t="s">
        <v>37</v>
      </c>
      <c r="N15" s="61" t="s">
        <v>38</v>
      </c>
      <c r="O15" s="61" t="s">
        <v>39</v>
      </c>
      <c r="P15" s="61" t="s">
        <v>40</v>
      </c>
      <c r="Q15" s="61" t="s">
        <v>41</v>
      </c>
      <c r="R15" s="61" t="s">
        <v>42</v>
      </c>
      <c r="S15" s="61" t="s">
        <v>43</v>
      </c>
      <c r="T15" s="63" t="s">
        <v>44</v>
      </c>
      <c r="U15" s="61" t="s">
        <v>45</v>
      </c>
      <c r="V15" s="61" t="s">
        <v>46</v>
      </c>
      <c r="W15" s="61" t="s">
        <v>47</v>
      </c>
      <c r="X15" s="61" t="s">
        <v>48</v>
      </c>
      <c r="Y15" s="61" t="s">
        <v>49</v>
      </c>
      <c r="Z15" s="61" t="s">
        <v>50</v>
      </c>
      <c r="AA15" s="61" t="s">
        <v>51</v>
      </c>
      <c r="AB15" s="61" t="s">
        <v>52</v>
      </c>
      <c r="AC15" s="61" t="s">
        <v>53</v>
      </c>
      <c r="AD15" s="61" t="s">
        <v>54</v>
      </c>
      <c r="AE15" s="61" t="s">
        <v>55</v>
      </c>
      <c r="AF15" s="61" t="s">
        <v>56</v>
      </c>
      <c r="AG15" s="61" t="s">
        <v>57</v>
      </c>
      <c r="AH15" s="61" t="s">
        <v>58</v>
      </c>
      <c r="AI15" s="61" t="s">
        <v>59</v>
      </c>
    </row>
    <row r="16" spans="1:35" x14ac:dyDescent="0.35">
      <c r="B16" s="74" t="s">
        <v>63</v>
      </c>
      <c r="C16" s="75"/>
      <c r="D16" s="75"/>
      <c r="E16" s="75"/>
      <c r="F16" s="76"/>
      <c r="G16" s="75"/>
      <c r="H16" s="75"/>
      <c r="I16" s="75"/>
      <c r="J16" s="77"/>
      <c r="K16" s="75"/>
      <c r="L16" s="75"/>
      <c r="M16" s="78"/>
      <c r="N16" s="78"/>
      <c r="O16" s="78"/>
      <c r="P16" s="78"/>
      <c r="Q16" s="78"/>
      <c r="R16" s="78"/>
      <c r="S16" s="78"/>
      <c r="T16" s="79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80"/>
    </row>
    <row r="17" spans="1:35" x14ac:dyDescent="0.35">
      <c r="B17" s="81" t="s">
        <v>64</v>
      </c>
      <c r="C17" s="9"/>
      <c r="D17" s="82"/>
      <c r="E17" s="82">
        <f>L3</f>
        <v>1575</v>
      </c>
      <c r="F17" s="83">
        <f>E17*12</f>
        <v>18900</v>
      </c>
      <c r="G17" s="82">
        <f t="shared" ref="G17:AI17" si="0">F17+(G12*F17)</f>
        <v>19278</v>
      </c>
      <c r="H17" s="82">
        <f t="shared" si="0"/>
        <v>19663.560000000001</v>
      </c>
      <c r="I17" s="82">
        <f t="shared" si="0"/>
        <v>20056.831200000001</v>
      </c>
      <c r="J17" s="84">
        <f t="shared" si="0"/>
        <v>20457.967823999999</v>
      </c>
      <c r="K17" s="82">
        <f t="shared" si="0"/>
        <v>20867.127180479998</v>
      </c>
      <c r="L17" s="82">
        <f t="shared" si="0"/>
        <v>21284.469724089598</v>
      </c>
      <c r="M17" s="82">
        <f t="shared" si="0"/>
        <v>21710.159118571391</v>
      </c>
      <c r="N17" s="82">
        <f t="shared" si="0"/>
        <v>22144.362300942819</v>
      </c>
      <c r="O17" s="82">
        <f t="shared" si="0"/>
        <v>22587.249546961677</v>
      </c>
      <c r="P17" s="82">
        <f t="shared" si="0"/>
        <v>23038.994537900911</v>
      </c>
      <c r="Q17" s="82">
        <f t="shared" si="0"/>
        <v>23499.77442865893</v>
      </c>
      <c r="R17" s="82">
        <f t="shared" si="0"/>
        <v>23969.769917232108</v>
      </c>
      <c r="S17" s="82">
        <f>R17+(S12*R17)</f>
        <v>24449.165315576749</v>
      </c>
      <c r="T17" s="84">
        <f>S17+(T12*S17)</f>
        <v>24938.148621888286</v>
      </c>
      <c r="U17" s="82">
        <f t="shared" si="0"/>
        <v>25436.911594326051</v>
      </c>
      <c r="V17" s="82">
        <f t="shared" si="0"/>
        <v>25945.649826212571</v>
      </c>
      <c r="W17" s="82">
        <f t="shared" si="0"/>
        <v>26464.562822736822</v>
      </c>
      <c r="X17" s="82">
        <f t="shared" si="0"/>
        <v>26993.854079191558</v>
      </c>
      <c r="Y17" s="82">
        <f t="shared" si="0"/>
        <v>27533.731160775391</v>
      </c>
      <c r="Z17" s="82">
        <f t="shared" si="0"/>
        <v>28084.4057839909</v>
      </c>
      <c r="AA17" s="82">
        <f t="shared" si="0"/>
        <v>28646.093899670719</v>
      </c>
      <c r="AB17" s="82">
        <f t="shared" si="0"/>
        <v>29219.015777664132</v>
      </c>
      <c r="AC17" s="82">
        <f t="shared" si="0"/>
        <v>29803.396093217416</v>
      </c>
      <c r="AD17" s="82">
        <f t="shared" si="0"/>
        <v>30399.464015081765</v>
      </c>
      <c r="AE17" s="82">
        <f t="shared" si="0"/>
        <v>31007.453295383399</v>
      </c>
      <c r="AF17" s="82">
        <f t="shared" si="0"/>
        <v>31627.602361291065</v>
      </c>
      <c r="AG17" s="82">
        <f t="shared" si="0"/>
        <v>32260.154408516886</v>
      </c>
      <c r="AH17" s="82">
        <f t="shared" si="0"/>
        <v>32905.357496687226</v>
      </c>
      <c r="AI17" s="85">
        <f t="shared" si="0"/>
        <v>33563.464646620967</v>
      </c>
    </row>
    <row r="18" spans="1:35" x14ac:dyDescent="0.35">
      <c r="B18" s="81" t="s">
        <v>65</v>
      </c>
      <c r="C18" s="9"/>
      <c r="D18" s="82"/>
      <c r="E18" s="86">
        <f>L4</f>
        <v>0.06</v>
      </c>
      <c r="F18" s="87">
        <f>L4</f>
        <v>0.06</v>
      </c>
      <c r="G18" s="88">
        <f>E$18</f>
        <v>0.06</v>
      </c>
      <c r="H18" s="88">
        <f t="shared" ref="H18:AI18" si="1">F$18</f>
        <v>0.06</v>
      </c>
      <c r="I18" s="88">
        <f t="shared" si="1"/>
        <v>0.06</v>
      </c>
      <c r="J18" s="89">
        <f t="shared" si="1"/>
        <v>0.06</v>
      </c>
      <c r="K18" s="88">
        <f t="shared" si="1"/>
        <v>0.06</v>
      </c>
      <c r="L18" s="88">
        <f t="shared" si="1"/>
        <v>0.06</v>
      </c>
      <c r="M18" s="88">
        <f t="shared" si="1"/>
        <v>0.06</v>
      </c>
      <c r="N18" s="88">
        <f t="shared" si="1"/>
        <v>0.06</v>
      </c>
      <c r="O18" s="88">
        <f t="shared" si="1"/>
        <v>0.06</v>
      </c>
      <c r="P18" s="88">
        <f t="shared" si="1"/>
        <v>0.06</v>
      </c>
      <c r="Q18" s="88">
        <f t="shared" si="1"/>
        <v>0.06</v>
      </c>
      <c r="R18" s="88">
        <f t="shared" si="1"/>
        <v>0.06</v>
      </c>
      <c r="S18" s="88">
        <f t="shared" si="1"/>
        <v>0.06</v>
      </c>
      <c r="T18" s="89">
        <f t="shared" si="1"/>
        <v>0.06</v>
      </c>
      <c r="U18" s="88">
        <f t="shared" si="1"/>
        <v>0.06</v>
      </c>
      <c r="V18" s="88">
        <f t="shared" si="1"/>
        <v>0.06</v>
      </c>
      <c r="W18" s="88">
        <f t="shared" si="1"/>
        <v>0.06</v>
      </c>
      <c r="X18" s="88">
        <f t="shared" si="1"/>
        <v>0.06</v>
      </c>
      <c r="Y18" s="88">
        <f t="shared" si="1"/>
        <v>0.06</v>
      </c>
      <c r="Z18" s="88">
        <f t="shared" si="1"/>
        <v>0.06</v>
      </c>
      <c r="AA18" s="88">
        <f t="shared" si="1"/>
        <v>0.06</v>
      </c>
      <c r="AB18" s="88">
        <f t="shared" si="1"/>
        <v>0.06</v>
      </c>
      <c r="AC18" s="88">
        <f t="shared" si="1"/>
        <v>0.06</v>
      </c>
      <c r="AD18" s="88">
        <f t="shared" si="1"/>
        <v>0.06</v>
      </c>
      <c r="AE18" s="88">
        <f t="shared" si="1"/>
        <v>0.06</v>
      </c>
      <c r="AF18" s="88">
        <f t="shared" si="1"/>
        <v>0.06</v>
      </c>
      <c r="AG18" s="88">
        <f t="shared" si="1"/>
        <v>0.06</v>
      </c>
      <c r="AH18" s="88">
        <f t="shared" si="1"/>
        <v>0.06</v>
      </c>
      <c r="AI18" s="89">
        <f t="shared" si="1"/>
        <v>0.06</v>
      </c>
    </row>
    <row r="19" spans="1:35" x14ac:dyDescent="0.35">
      <c r="B19" s="81" t="s">
        <v>66</v>
      </c>
      <c r="C19" s="90"/>
      <c r="D19" s="88"/>
      <c r="E19" s="82">
        <f t="shared" ref="E19:AI19" si="2">-(E17*E18)</f>
        <v>-94.5</v>
      </c>
      <c r="F19" s="83">
        <f t="shared" si="2"/>
        <v>-1134</v>
      </c>
      <c r="G19" s="82">
        <f t="shared" si="2"/>
        <v>-1156.68</v>
      </c>
      <c r="H19" s="82">
        <f t="shared" si="2"/>
        <v>-1179.8136</v>
      </c>
      <c r="I19" s="82">
        <f t="shared" si="2"/>
        <v>-1203.409872</v>
      </c>
      <c r="J19" s="84">
        <f t="shared" si="2"/>
        <v>-1227.4780694399999</v>
      </c>
      <c r="K19" s="82">
        <f t="shared" si="2"/>
        <v>-1252.0276308287998</v>
      </c>
      <c r="L19" s="82">
        <f t="shared" si="2"/>
        <v>-1277.0681834453758</v>
      </c>
      <c r="M19" s="82">
        <f t="shared" si="2"/>
        <v>-1302.6095471142835</v>
      </c>
      <c r="N19" s="82">
        <f t="shared" si="2"/>
        <v>-1328.6617380565692</v>
      </c>
      <c r="O19" s="82">
        <f t="shared" si="2"/>
        <v>-1355.2349728177005</v>
      </c>
      <c r="P19" s="82">
        <f t="shared" si="2"/>
        <v>-1382.3396722740547</v>
      </c>
      <c r="Q19" s="82">
        <f t="shared" si="2"/>
        <v>-1409.9864657195358</v>
      </c>
      <c r="R19" s="82">
        <f t="shared" si="2"/>
        <v>-1438.1861950339264</v>
      </c>
      <c r="S19" s="82">
        <f t="shared" si="2"/>
        <v>-1466.949918934605</v>
      </c>
      <c r="T19" s="84">
        <f t="shared" si="2"/>
        <v>-1496.2889173132971</v>
      </c>
      <c r="U19" s="82">
        <f t="shared" si="2"/>
        <v>-1526.2146956595629</v>
      </c>
      <c r="V19" s="82">
        <f t="shared" si="2"/>
        <v>-1556.7389895727542</v>
      </c>
      <c r="W19" s="82">
        <f t="shared" si="2"/>
        <v>-1587.8737693642092</v>
      </c>
      <c r="X19" s="82">
        <f t="shared" si="2"/>
        <v>-1619.6312447514933</v>
      </c>
      <c r="Y19" s="82">
        <f t="shared" si="2"/>
        <v>-1652.0238696465233</v>
      </c>
      <c r="Z19" s="82">
        <f t="shared" si="2"/>
        <v>-1685.0643470394539</v>
      </c>
      <c r="AA19" s="82">
        <f t="shared" si="2"/>
        <v>-1718.7656339802431</v>
      </c>
      <c r="AB19" s="82">
        <f t="shared" si="2"/>
        <v>-1753.1409466598479</v>
      </c>
      <c r="AC19" s="82">
        <f t="shared" si="2"/>
        <v>-1788.2037655930449</v>
      </c>
      <c r="AD19" s="82">
        <f t="shared" si="2"/>
        <v>-1823.9678409049059</v>
      </c>
      <c r="AE19" s="82">
        <f t="shared" si="2"/>
        <v>-1860.4471977230039</v>
      </c>
      <c r="AF19" s="82">
        <f t="shared" si="2"/>
        <v>-1897.6561416774639</v>
      </c>
      <c r="AG19" s="82">
        <f t="shared" si="2"/>
        <v>-1935.6092645110132</v>
      </c>
      <c r="AH19" s="82">
        <f t="shared" si="2"/>
        <v>-1974.3214498012335</v>
      </c>
      <c r="AI19" s="85">
        <f t="shared" si="2"/>
        <v>-2013.8078787972579</v>
      </c>
    </row>
    <row r="20" spans="1:35" x14ac:dyDescent="0.35">
      <c r="B20" s="91" t="s">
        <v>67</v>
      </c>
      <c r="C20" s="92"/>
      <c r="D20" s="93"/>
      <c r="E20" s="93">
        <f t="shared" ref="E20:AI20" si="3">E17+E19</f>
        <v>1480.5</v>
      </c>
      <c r="F20" s="94">
        <f t="shared" si="3"/>
        <v>17766</v>
      </c>
      <c r="G20" s="95">
        <f t="shared" si="3"/>
        <v>18121.32</v>
      </c>
      <c r="H20" s="95">
        <f t="shared" si="3"/>
        <v>18483.7464</v>
      </c>
      <c r="I20" s="95">
        <f t="shared" si="3"/>
        <v>18853.421328</v>
      </c>
      <c r="J20" s="96">
        <f t="shared" si="3"/>
        <v>19230.48975456</v>
      </c>
      <c r="K20" s="95">
        <f t="shared" si="3"/>
        <v>19615.099549651197</v>
      </c>
      <c r="L20" s="95">
        <f t="shared" si="3"/>
        <v>20007.401540644223</v>
      </c>
      <c r="M20" s="95">
        <f t="shared" si="3"/>
        <v>20407.549571457108</v>
      </c>
      <c r="N20" s="95">
        <f t="shared" si="3"/>
        <v>20815.70056288625</v>
      </c>
      <c r="O20" s="95">
        <f t="shared" si="3"/>
        <v>21232.014574143977</v>
      </c>
      <c r="P20" s="95">
        <f t="shared" si="3"/>
        <v>21656.654865626857</v>
      </c>
      <c r="Q20" s="95">
        <f t="shared" si="3"/>
        <v>22089.787962939394</v>
      </c>
      <c r="R20" s="95">
        <f t="shared" si="3"/>
        <v>22531.583722198182</v>
      </c>
      <c r="S20" s="95">
        <f t="shared" si="3"/>
        <v>22982.215396642143</v>
      </c>
      <c r="T20" s="96">
        <f t="shared" si="3"/>
        <v>23441.859704574988</v>
      </c>
      <c r="U20" s="95">
        <f t="shared" si="3"/>
        <v>23910.696898666487</v>
      </c>
      <c r="V20" s="95">
        <f t="shared" si="3"/>
        <v>24388.910836639818</v>
      </c>
      <c r="W20" s="95">
        <f t="shared" si="3"/>
        <v>24876.689053372611</v>
      </c>
      <c r="X20" s="95">
        <f t="shared" si="3"/>
        <v>25374.222834440065</v>
      </c>
      <c r="Y20" s="95">
        <f t="shared" si="3"/>
        <v>25881.707291128867</v>
      </c>
      <c r="Z20" s="95">
        <f t="shared" si="3"/>
        <v>26399.341436951447</v>
      </c>
      <c r="AA20" s="95">
        <f t="shared" si="3"/>
        <v>26927.328265690478</v>
      </c>
      <c r="AB20" s="95">
        <f t="shared" si="3"/>
        <v>27465.874831004283</v>
      </c>
      <c r="AC20" s="95">
        <f t="shared" si="3"/>
        <v>28015.192327624372</v>
      </c>
      <c r="AD20" s="95">
        <f t="shared" si="3"/>
        <v>28575.49617417686</v>
      </c>
      <c r="AE20" s="95">
        <f t="shared" si="3"/>
        <v>29147.006097660396</v>
      </c>
      <c r="AF20" s="95">
        <f t="shared" si="3"/>
        <v>29729.946219613601</v>
      </c>
      <c r="AG20" s="95">
        <f t="shared" si="3"/>
        <v>30324.545144005871</v>
      </c>
      <c r="AH20" s="95">
        <f t="shared" si="3"/>
        <v>30931.036046885991</v>
      </c>
      <c r="AI20" s="97">
        <f t="shared" si="3"/>
        <v>31549.656767823708</v>
      </c>
    </row>
    <row r="21" spans="1:35" x14ac:dyDescent="0.35">
      <c r="A21" s="9"/>
      <c r="B21" s="9"/>
      <c r="C21" s="9"/>
      <c r="D21" s="9"/>
      <c r="E21" s="9"/>
      <c r="F21" s="98"/>
      <c r="G21" s="9"/>
      <c r="H21" s="9"/>
      <c r="I21" s="9"/>
      <c r="J21" s="99"/>
      <c r="K21" s="9"/>
      <c r="L21" s="9"/>
      <c r="T21" s="100"/>
    </row>
    <row r="22" spans="1:35" x14ac:dyDescent="0.35">
      <c r="B22" s="101" t="s">
        <v>68</v>
      </c>
      <c r="C22" s="102"/>
      <c r="D22" s="102"/>
      <c r="E22" s="102"/>
      <c r="F22" s="76"/>
      <c r="G22" s="102"/>
      <c r="H22" s="102"/>
      <c r="I22" s="102"/>
      <c r="J22" s="103"/>
      <c r="K22" s="102"/>
      <c r="L22" s="102"/>
      <c r="M22" s="104"/>
      <c r="N22" s="104"/>
      <c r="O22" s="104"/>
      <c r="P22" s="104"/>
      <c r="Q22" s="104"/>
      <c r="R22" s="104"/>
      <c r="S22" s="104"/>
      <c r="T22" s="105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6"/>
    </row>
    <row r="23" spans="1:35" x14ac:dyDescent="0.35">
      <c r="B23" s="107" t="s">
        <v>69</v>
      </c>
      <c r="C23" s="6"/>
      <c r="D23" s="9" t="s">
        <v>70</v>
      </c>
      <c r="E23" s="108">
        <v>1700</v>
      </c>
      <c r="F23" s="83">
        <f t="shared" ref="F23:F30" si="4">E23</f>
        <v>1700</v>
      </c>
      <c r="G23" s="82">
        <f t="shared" ref="G23:AI23" si="5">F23+(G13*F23)</f>
        <v>1734</v>
      </c>
      <c r="H23" s="82">
        <f t="shared" si="5"/>
        <v>1768.68</v>
      </c>
      <c r="I23" s="82">
        <f t="shared" si="5"/>
        <v>1804.0536</v>
      </c>
      <c r="J23" s="84">
        <f t="shared" si="5"/>
        <v>1840.1346719999999</v>
      </c>
      <c r="K23" s="82">
        <f t="shared" si="5"/>
        <v>1876.9373654399999</v>
      </c>
      <c r="L23" s="82">
        <f t="shared" si="5"/>
        <v>1914.4761127488</v>
      </c>
      <c r="M23" s="82">
        <f t="shared" si="5"/>
        <v>1952.765635003776</v>
      </c>
      <c r="N23" s="82">
        <f t="shared" si="5"/>
        <v>1991.8209477038515</v>
      </c>
      <c r="O23" s="82">
        <f t="shared" si="5"/>
        <v>2031.6573666579286</v>
      </c>
      <c r="P23" s="82">
        <f t="shared" si="5"/>
        <v>2072.2905139910872</v>
      </c>
      <c r="Q23" s="82">
        <f t="shared" si="5"/>
        <v>2113.7363242709089</v>
      </c>
      <c r="R23" s="82">
        <f t="shared" si="5"/>
        <v>2156.0110507563272</v>
      </c>
      <c r="S23" s="82">
        <f>R23+(S13*R23)</f>
        <v>2199.1312717714536</v>
      </c>
      <c r="T23" s="84">
        <f>S23+(T13*S23)</f>
        <v>2243.1138972068825</v>
      </c>
      <c r="U23" s="82">
        <f t="shared" si="5"/>
        <v>2287.97617515102</v>
      </c>
      <c r="V23" s="82">
        <f t="shared" si="5"/>
        <v>2333.7356986540403</v>
      </c>
      <c r="W23" s="82">
        <f t="shared" si="5"/>
        <v>2380.4104126271213</v>
      </c>
      <c r="X23" s="82">
        <f t="shared" si="5"/>
        <v>2428.0186208796636</v>
      </c>
      <c r="Y23" s="82">
        <f t="shared" si="5"/>
        <v>2476.5789932972566</v>
      </c>
      <c r="Z23" s="82">
        <f t="shared" si="5"/>
        <v>2526.1105731632019</v>
      </c>
      <c r="AA23" s="82">
        <f t="shared" si="5"/>
        <v>2576.6327846264658</v>
      </c>
      <c r="AB23" s="82">
        <f t="shared" si="5"/>
        <v>2628.165440318995</v>
      </c>
      <c r="AC23" s="82">
        <f t="shared" si="5"/>
        <v>2680.7287491253751</v>
      </c>
      <c r="AD23" s="82">
        <f t="shared" si="5"/>
        <v>2734.3433241078824</v>
      </c>
      <c r="AE23" s="82">
        <f t="shared" si="5"/>
        <v>2789.0301905900401</v>
      </c>
      <c r="AF23" s="82">
        <f t="shared" si="5"/>
        <v>2844.8107944018411</v>
      </c>
      <c r="AG23" s="82">
        <f t="shared" si="5"/>
        <v>2901.7070102898779</v>
      </c>
      <c r="AH23" s="82">
        <f t="shared" si="5"/>
        <v>2959.7411504956754</v>
      </c>
      <c r="AI23" s="85">
        <f t="shared" si="5"/>
        <v>3018.9359735055887</v>
      </c>
    </row>
    <row r="24" spans="1:35" x14ac:dyDescent="0.35">
      <c r="B24" s="107" t="s">
        <v>71</v>
      </c>
      <c r="C24" s="6"/>
      <c r="D24" s="9" t="s">
        <v>70</v>
      </c>
      <c r="E24" s="108">
        <v>987</v>
      </c>
      <c r="F24" s="83">
        <f t="shared" si="4"/>
        <v>987</v>
      </c>
      <c r="G24" s="82">
        <f t="shared" ref="G24:AI24" si="6">F24+(G13*F24)</f>
        <v>1006.74</v>
      </c>
      <c r="H24" s="82">
        <f t="shared" si="6"/>
        <v>1026.8748000000001</v>
      </c>
      <c r="I24" s="82">
        <f t="shared" si="6"/>
        <v>1047.412296</v>
      </c>
      <c r="J24" s="84">
        <f t="shared" si="6"/>
        <v>1068.3605419200001</v>
      </c>
      <c r="K24" s="82">
        <f t="shared" si="6"/>
        <v>1089.7277527584001</v>
      </c>
      <c r="L24" s="82">
        <f t="shared" si="6"/>
        <v>1111.5223078135682</v>
      </c>
      <c r="M24" s="82">
        <f t="shared" si="6"/>
        <v>1133.7527539698397</v>
      </c>
      <c r="N24" s="82">
        <f t="shared" si="6"/>
        <v>1156.4278090492364</v>
      </c>
      <c r="O24" s="82">
        <f t="shared" si="6"/>
        <v>1179.5563652302212</v>
      </c>
      <c r="P24" s="82">
        <f t="shared" si="6"/>
        <v>1203.1474925348257</v>
      </c>
      <c r="Q24" s="82">
        <f t="shared" si="6"/>
        <v>1227.2104423855221</v>
      </c>
      <c r="R24" s="82">
        <f t="shared" si="6"/>
        <v>1251.7546512332326</v>
      </c>
      <c r="S24" s="82">
        <f>R24+(S13*R24)</f>
        <v>1276.7897442578972</v>
      </c>
      <c r="T24" s="84">
        <f>S24+(T13*S24)</f>
        <v>1302.325539143055</v>
      </c>
      <c r="U24" s="82">
        <f t="shared" si="6"/>
        <v>1328.3720499259161</v>
      </c>
      <c r="V24" s="82">
        <f t="shared" si="6"/>
        <v>1354.9394909244345</v>
      </c>
      <c r="W24" s="82">
        <f t="shared" si="6"/>
        <v>1382.0382807429232</v>
      </c>
      <c r="X24" s="82">
        <f t="shared" si="6"/>
        <v>1409.6790463577818</v>
      </c>
      <c r="Y24" s="82">
        <f t="shared" si="6"/>
        <v>1437.8726272849374</v>
      </c>
      <c r="Z24" s="82">
        <f t="shared" si="6"/>
        <v>1466.6300798306361</v>
      </c>
      <c r="AA24" s="82">
        <f t="shared" si="6"/>
        <v>1495.9626814272488</v>
      </c>
      <c r="AB24" s="82">
        <f t="shared" si="6"/>
        <v>1525.8819350557937</v>
      </c>
      <c r="AC24" s="82">
        <f t="shared" si="6"/>
        <v>1556.3995737569096</v>
      </c>
      <c r="AD24" s="82">
        <f t="shared" si="6"/>
        <v>1587.5275652320479</v>
      </c>
      <c r="AE24" s="82">
        <f t="shared" si="6"/>
        <v>1619.2781165366889</v>
      </c>
      <c r="AF24" s="82">
        <f t="shared" si="6"/>
        <v>1651.6636788674227</v>
      </c>
      <c r="AG24" s="82">
        <f t="shared" si="6"/>
        <v>1684.6969524447711</v>
      </c>
      <c r="AH24" s="82">
        <f t="shared" si="6"/>
        <v>1718.3908914936665</v>
      </c>
      <c r="AI24" s="85">
        <f t="shared" si="6"/>
        <v>1752.7587093235397</v>
      </c>
    </row>
    <row r="25" spans="1:35" x14ac:dyDescent="0.35">
      <c r="B25" s="107" t="s">
        <v>72</v>
      </c>
      <c r="C25" s="6"/>
      <c r="D25" s="9" t="s">
        <v>70</v>
      </c>
      <c r="E25" s="108">
        <v>600</v>
      </c>
      <c r="F25" s="83">
        <f t="shared" si="4"/>
        <v>600</v>
      </c>
      <c r="G25" s="82">
        <f t="shared" ref="G25:AI25" si="7">F25+(G13*F25)</f>
        <v>612</v>
      </c>
      <c r="H25" s="82">
        <f t="shared" si="7"/>
        <v>624.24</v>
      </c>
      <c r="I25" s="82">
        <f t="shared" si="7"/>
        <v>636.72479999999996</v>
      </c>
      <c r="J25" s="84">
        <f t="shared" si="7"/>
        <v>649.45929599999999</v>
      </c>
      <c r="K25" s="82">
        <f t="shared" si="7"/>
        <v>662.44848191999995</v>
      </c>
      <c r="L25" s="82">
        <f t="shared" si="7"/>
        <v>675.69745155839996</v>
      </c>
      <c r="M25" s="82">
        <f t="shared" si="7"/>
        <v>689.21140058956792</v>
      </c>
      <c r="N25" s="82">
        <f t="shared" si="7"/>
        <v>702.99562860135927</v>
      </c>
      <c r="O25" s="82">
        <f t="shared" si="7"/>
        <v>717.05554117338647</v>
      </c>
      <c r="P25" s="82">
        <f t="shared" si="7"/>
        <v>731.39665199685419</v>
      </c>
      <c r="Q25" s="82">
        <f t="shared" si="7"/>
        <v>746.02458503679122</v>
      </c>
      <c r="R25" s="82">
        <f t="shared" si="7"/>
        <v>760.94507673752707</v>
      </c>
      <c r="S25" s="82">
        <f>R25+(S13*R25)</f>
        <v>776.16397827227763</v>
      </c>
      <c r="T25" s="84">
        <f>S25+(T13*S25)</f>
        <v>791.68725783772322</v>
      </c>
      <c r="U25" s="82">
        <f t="shared" si="7"/>
        <v>807.52100299447773</v>
      </c>
      <c r="V25" s="82">
        <f t="shared" si="7"/>
        <v>823.67142305436732</v>
      </c>
      <c r="W25" s="82">
        <f t="shared" si="7"/>
        <v>840.14485151545466</v>
      </c>
      <c r="X25" s="82">
        <f t="shared" si="7"/>
        <v>856.94774854576372</v>
      </c>
      <c r="Y25" s="82">
        <f t="shared" si="7"/>
        <v>874.08670351667899</v>
      </c>
      <c r="Z25" s="82">
        <f t="shared" si="7"/>
        <v>891.56843758701257</v>
      </c>
      <c r="AA25" s="82">
        <f t="shared" si="7"/>
        <v>909.3998063387528</v>
      </c>
      <c r="AB25" s="82">
        <f t="shared" si="7"/>
        <v>927.58780246552783</v>
      </c>
      <c r="AC25" s="82">
        <f t="shared" si="7"/>
        <v>946.13955851483843</v>
      </c>
      <c r="AD25" s="82">
        <f t="shared" si="7"/>
        <v>965.06234968513525</v>
      </c>
      <c r="AE25" s="82">
        <f t="shared" si="7"/>
        <v>984.36359667883789</v>
      </c>
      <c r="AF25" s="82">
        <f t="shared" si="7"/>
        <v>1004.0508686124147</v>
      </c>
      <c r="AG25" s="82">
        <f t="shared" si="7"/>
        <v>1024.1318859846629</v>
      </c>
      <c r="AH25" s="82">
        <f t="shared" si="7"/>
        <v>1044.6145237043561</v>
      </c>
      <c r="AI25" s="85">
        <f t="shared" si="7"/>
        <v>1065.5068141784432</v>
      </c>
    </row>
    <row r="26" spans="1:35" x14ac:dyDescent="0.35">
      <c r="B26" s="107" t="s">
        <v>73</v>
      </c>
      <c r="C26" s="6"/>
      <c r="D26" s="9" t="s">
        <v>70</v>
      </c>
      <c r="E26" s="108">
        <v>200</v>
      </c>
      <c r="F26" s="83">
        <f t="shared" si="4"/>
        <v>200</v>
      </c>
      <c r="G26" s="82">
        <f t="shared" ref="G26:AI26" si="8">F26+(G13*F26)</f>
        <v>204</v>
      </c>
      <c r="H26" s="82">
        <f t="shared" si="8"/>
        <v>208.08</v>
      </c>
      <c r="I26" s="82">
        <f t="shared" si="8"/>
        <v>212.24160000000001</v>
      </c>
      <c r="J26" s="84">
        <f t="shared" si="8"/>
        <v>216.48643200000001</v>
      </c>
      <c r="K26" s="82">
        <f t="shared" si="8"/>
        <v>220.81616064000002</v>
      </c>
      <c r="L26" s="82">
        <f t="shared" si="8"/>
        <v>225.23248385280002</v>
      </c>
      <c r="M26" s="82">
        <f t="shared" si="8"/>
        <v>229.73713352985601</v>
      </c>
      <c r="N26" s="82">
        <f t="shared" si="8"/>
        <v>234.33187620045314</v>
      </c>
      <c r="O26" s="82">
        <f t="shared" si="8"/>
        <v>239.0185137244622</v>
      </c>
      <c r="P26" s="82">
        <f t="shared" si="8"/>
        <v>243.79888399895145</v>
      </c>
      <c r="Q26" s="82">
        <f t="shared" si="8"/>
        <v>248.67486167893048</v>
      </c>
      <c r="R26" s="82">
        <f t="shared" si="8"/>
        <v>253.64835891250908</v>
      </c>
      <c r="S26" s="82">
        <f>R26+(S13*R26)</f>
        <v>258.72132609075925</v>
      </c>
      <c r="T26" s="84">
        <f>S26+(T13*S26)</f>
        <v>263.89575261257443</v>
      </c>
      <c r="U26" s="82">
        <f t="shared" si="8"/>
        <v>269.17366766482593</v>
      </c>
      <c r="V26" s="82">
        <f t="shared" si="8"/>
        <v>274.55714101812242</v>
      </c>
      <c r="W26" s="82">
        <f t="shared" si="8"/>
        <v>280.04828383848485</v>
      </c>
      <c r="X26" s="82">
        <f t="shared" si="8"/>
        <v>285.64924951525455</v>
      </c>
      <c r="Y26" s="82">
        <f t="shared" si="8"/>
        <v>291.36223450555963</v>
      </c>
      <c r="Z26" s="82">
        <f t="shared" si="8"/>
        <v>297.1894791956708</v>
      </c>
      <c r="AA26" s="82">
        <f t="shared" si="8"/>
        <v>303.13326877958423</v>
      </c>
      <c r="AB26" s="82">
        <f t="shared" si="8"/>
        <v>309.19593415517591</v>
      </c>
      <c r="AC26" s="82">
        <f t="shared" si="8"/>
        <v>315.37985283827942</v>
      </c>
      <c r="AD26" s="82">
        <f t="shared" si="8"/>
        <v>321.68744989504501</v>
      </c>
      <c r="AE26" s="82">
        <f t="shared" si="8"/>
        <v>328.12119889294593</v>
      </c>
      <c r="AF26" s="82">
        <f t="shared" si="8"/>
        <v>334.68362287080487</v>
      </c>
      <c r="AG26" s="82">
        <f t="shared" si="8"/>
        <v>341.37729532822095</v>
      </c>
      <c r="AH26" s="82">
        <f t="shared" si="8"/>
        <v>348.20484123478536</v>
      </c>
      <c r="AI26" s="85">
        <f t="shared" si="8"/>
        <v>355.16893805948109</v>
      </c>
    </row>
    <row r="27" spans="1:35" x14ac:dyDescent="0.35">
      <c r="B27" s="107" t="s">
        <v>74</v>
      </c>
      <c r="C27" s="6"/>
      <c r="D27" s="9" t="s">
        <v>70</v>
      </c>
      <c r="E27" s="108">
        <v>800</v>
      </c>
      <c r="F27" s="83">
        <f t="shared" si="4"/>
        <v>800</v>
      </c>
      <c r="G27" s="82">
        <f t="shared" ref="G27:AI27" si="9">F27+(G13*F27)</f>
        <v>816</v>
      </c>
      <c r="H27" s="82">
        <f t="shared" si="9"/>
        <v>832.32</v>
      </c>
      <c r="I27" s="82">
        <f t="shared" si="9"/>
        <v>848.96640000000002</v>
      </c>
      <c r="J27" s="84">
        <f t="shared" si="9"/>
        <v>865.94572800000003</v>
      </c>
      <c r="K27" s="82">
        <f t="shared" si="9"/>
        <v>883.26464256000008</v>
      </c>
      <c r="L27" s="82">
        <f t="shared" si="9"/>
        <v>900.92993541120006</v>
      </c>
      <c r="M27" s="82">
        <f t="shared" si="9"/>
        <v>918.94853411942404</v>
      </c>
      <c r="N27" s="82">
        <f t="shared" si="9"/>
        <v>937.32750480181255</v>
      </c>
      <c r="O27" s="82">
        <f t="shared" si="9"/>
        <v>956.07405489784878</v>
      </c>
      <c r="P27" s="82">
        <f t="shared" si="9"/>
        <v>975.19553599580581</v>
      </c>
      <c r="Q27" s="82">
        <f t="shared" si="9"/>
        <v>994.69944671572193</v>
      </c>
      <c r="R27" s="82">
        <f t="shared" si="9"/>
        <v>1014.5934356500363</v>
      </c>
      <c r="S27" s="82">
        <f>R27+(S13*R27)</f>
        <v>1034.885304363037</v>
      </c>
      <c r="T27" s="84">
        <f>S27+(T13*S27)</f>
        <v>1055.5830104502977</v>
      </c>
      <c r="U27" s="82">
        <f t="shared" si="9"/>
        <v>1076.6946706593037</v>
      </c>
      <c r="V27" s="82">
        <f t="shared" si="9"/>
        <v>1098.2285640724897</v>
      </c>
      <c r="W27" s="82">
        <f t="shared" si="9"/>
        <v>1120.1931353539394</v>
      </c>
      <c r="X27" s="82">
        <f t="shared" si="9"/>
        <v>1142.5969980610182</v>
      </c>
      <c r="Y27" s="82">
        <f t="shared" si="9"/>
        <v>1165.4489380222385</v>
      </c>
      <c r="Z27" s="82">
        <f t="shared" si="9"/>
        <v>1188.7579167826832</v>
      </c>
      <c r="AA27" s="82">
        <f t="shared" si="9"/>
        <v>1212.5330751183369</v>
      </c>
      <c r="AB27" s="82">
        <f t="shared" si="9"/>
        <v>1236.7837366207036</v>
      </c>
      <c r="AC27" s="82">
        <f t="shared" si="9"/>
        <v>1261.5194113531177</v>
      </c>
      <c r="AD27" s="82">
        <f t="shared" si="9"/>
        <v>1286.74979958018</v>
      </c>
      <c r="AE27" s="82">
        <f t="shared" si="9"/>
        <v>1312.4847955717837</v>
      </c>
      <c r="AF27" s="82">
        <f t="shared" si="9"/>
        <v>1338.7344914832195</v>
      </c>
      <c r="AG27" s="82">
        <f t="shared" si="9"/>
        <v>1365.5091813128838</v>
      </c>
      <c r="AH27" s="82">
        <f t="shared" si="9"/>
        <v>1392.8193649391415</v>
      </c>
      <c r="AI27" s="85">
        <f t="shared" si="9"/>
        <v>1420.6757522379244</v>
      </c>
    </row>
    <row r="28" spans="1:35" x14ac:dyDescent="0.35">
      <c r="B28" s="107" t="s">
        <v>75</v>
      </c>
      <c r="C28" s="6"/>
      <c r="D28" s="9" t="s">
        <v>70</v>
      </c>
      <c r="E28" s="108">
        <v>900</v>
      </c>
      <c r="F28" s="83">
        <f t="shared" si="4"/>
        <v>900</v>
      </c>
      <c r="G28" s="82">
        <f t="shared" ref="G28:AI28" si="10">F28+(G13*F28)</f>
        <v>918</v>
      </c>
      <c r="H28" s="82">
        <f t="shared" si="10"/>
        <v>936.36</v>
      </c>
      <c r="I28" s="82">
        <f t="shared" si="10"/>
        <v>955.08720000000005</v>
      </c>
      <c r="J28" s="84">
        <f t="shared" si="10"/>
        <v>974.18894400000011</v>
      </c>
      <c r="K28" s="82">
        <f t="shared" si="10"/>
        <v>993.67272288000015</v>
      </c>
      <c r="L28" s="82">
        <f t="shared" si="10"/>
        <v>1013.5461773376002</v>
      </c>
      <c r="M28" s="82">
        <f t="shared" si="10"/>
        <v>1033.8171008843522</v>
      </c>
      <c r="N28" s="82">
        <f t="shared" si="10"/>
        <v>1054.4934429020393</v>
      </c>
      <c r="O28" s="82">
        <f t="shared" si="10"/>
        <v>1075.5833117600801</v>
      </c>
      <c r="P28" s="82">
        <f t="shared" si="10"/>
        <v>1097.0949779952816</v>
      </c>
      <c r="Q28" s="82">
        <f t="shared" si="10"/>
        <v>1119.0368775551872</v>
      </c>
      <c r="R28" s="82">
        <f t="shared" si="10"/>
        <v>1141.4176151062909</v>
      </c>
      <c r="S28" s="82">
        <f>R28+(S13*R28)</f>
        <v>1164.2459674084166</v>
      </c>
      <c r="T28" s="84">
        <f>S28+(T13*S28)</f>
        <v>1187.530886756585</v>
      </c>
      <c r="U28" s="82">
        <f t="shared" si="10"/>
        <v>1211.2815044917168</v>
      </c>
      <c r="V28" s="82">
        <f t="shared" si="10"/>
        <v>1235.5071345815511</v>
      </c>
      <c r="W28" s="82">
        <f t="shared" si="10"/>
        <v>1260.2172772731822</v>
      </c>
      <c r="X28" s="82">
        <f t="shared" si="10"/>
        <v>1285.4216228186458</v>
      </c>
      <c r="Y28" s="82">
        <f t="shared" si="10"/>
        <v>1311.1300552750188</v>
      </c>
      <c r="Z28" s="82">
        <f t="shared" si="10"/>
        <v>1337.3526563805192</v>
      </c>
      <c r="AA28" s="82">
        <f t="shared" si="10"/>
        <v>1364.0997095081295</v>
      </c>
      <c r="AB28" s="82">
        <f t="shared" si="10"/>
        <v>1391.3817036982921</v>
      </c>
      <c r="AC28" s="82">
        <f t="shared" si="10"/>
        <v>1419.2093377722579</v>
      </c>
      <c r="AD28" s="82">
        <f t="shared" si="10"/>
        <v>1447.593524527703</v>
      </c>
      <c r="AE28" s="82">
        <f t="shared" si="10"/>
        <v>1476.5453950182571</v>
      </c>
      <c r="AF28" s="82">
        <f t="shared" si="10"/>
        <v>1506.0763029186221</v>
      </c>
      <c r="AG28" s="82">
        <f t="shared" si="10"/>
        <v>1536.1978289769945</v>
      </c>
      <c r="AH28" s="82">
        <f t="shared" si="10"/>
        <v>1566.9217855565344</v>
      </c>
      <c r="AI28" s="85">
        <f t="shared" si="10"/>
        <v>1598.260221267665</v>
      </c>
    </row>
    <row r="29" spans="1:35" x14ac:dyDescent="0.35">
      <c r="B29" s="107" t="s">
        <v>76</v>
      </c>
      <c r="C29" s="6"/>
      <c r="D29" s="9" t="s">
        <v>77</v>
      </c>
      <c r="E29" s="109">
        <v>0.1</v>
      </c>
      <c r="F29" s="83">
        <f>E29*F20</f>
        <v>1776.6000000000001</v>
      </c>
      <c r="G29" s="82">
        <f t="shared" ref="G29:AI29" si="11">$E29*G20</f>
        <v>1812.1320000000001</v>
      </c>
      <c r="H29" s="82">
        <f t="shared" si="11"/>
        <v>1848.37464</v>
      </c>
      <c r="I29" s="82">
        <f t="shared" si="11"/>
        <v>1885.3421328000002</v>
      </c>
      <c r="J29" s="84">
        <f t="shared" si="11"/>
        <v>1923.0489754560001</v>
      </c>
      <c r="K29" s="82">
        <f t="shared" si="11"/>
        <v>1961.5099549651197</v>
      </c>
      <c r="L29" s="82">
        <f t="shared" si="11"/>
        <v>2000.7401540644223</v>
      </c>
      <c r="M29" s="82">
        <f t="shared" si="11"/>
        <v>2040.7549571457109</v>
      </c>
      <c r="N29" s="82">
        <f t="shared" si="11"/>
        <v>2081.570056288625</v>
      </c>
      <c r="O29" s="82">
        <f t="shared" si="11"/>
        <v>2123.2014574143977</v>
      </c>
      <c r="P29" s="82">
        <f t="shared" si="11"/>
        <v>2165.6654865626856</v>
      </c>
      <c r="Q29" s="82">
        <f t="shared" si="11"/>
        <v>2208.9787962939395</v>
      </c>
      <c r="R29" s="82">
        <f t="shared" si="11"/>
        <v>2253.1583722198184</v>
      </c>
      <c r="S29" s="82">
        <f>$E29*S20</f>
        <v>2298.2215396642146</v>
      </c>
      <c r="T29" s="84">
        <f t="shared" si="11"/>
        <v>2344.185970457499</v>
      </c>
      <c r="U29" s="82">
        <f t="shared" si="11"/>
        <v>2391.0696898666488</v>
      </c>
      <c r="V29" s="82">
        <f t="shared" si="11"/>
        <v>2438.891083663982</v>
      </c>
      <c r="W29" s="82">
        <f t="shared" si="11"/>
        <v>2487.6689053372611</v>
      </c>
      <c r="X29" s="82">
        <f t="shared" si="11"/>
        <v>2537.4222834440066</v>
      </c>
      <c r="Y29" s="82">
        <f t="shared" si="11"/>
        <v>2588.1707291128869</v>
      </c>
      <c r="Z29" s="82">
        <f t="shared" si="11"/>
        <v>2639.9341436951449</v>
      </c>
      <c r="AA29" s="82">
        <f t="shared" si="11"/>
        <v>2692.732826569048</v>
      </c>
      <c r="AB29" s="82">
        <f t="shared" si="11"/>
        <v>2746.5874831004285</v>
      </c>
      <c r="AC29" s="82">
        <f t="shared" si="11"/>
        <v>2801.5192327624372</v>
      </c>
      <c r="AD29" s="82">
        <f t="shared" si="11"/>
        <v>2857.549617417686</v>
      </c>
      <c r="AE29" s="82">
        <f t="shared" si="11"/>
        <v>2914.7006097660396</v>
      </c>
      <c r="AF29" s="82">
        <f t="shared" si="11"/>
        <v>2972.9946219613603</v>
      </c>
      <c r="AG29" s="82">
        <f t="shared" si="11"/>
        <v>3032.4545144005874</v>
      </c>
      <c r="AH29" s="82">
        <f t="shared" si="11"/>
        <v>3093.1036046885993</v>
      </c>
      <c r="AI29" s="85">
        <f t="shared" si="11"/>
        <v>3154.9656767823708</v>
      </c>
    </row>
    <row r="30" spans="1:35" x14ac:dyDescent="0.35">
      <c r="B30" s="107" t="s">
        <v>78</v>
      </c>
      <c r="C30" s="6"/>
      <c r="D30" s="9" t="s">
        <v>70</v>
      </c>
      <c r="E30" s="110">
        <v>0</v>
      </c>
      <c r="F30" s="83">
        <f t="shared" si="4"/>
        <v>0</v>
      </c>
      <c r="G30" s="82">
        <f t="shared" ref="G30:AI30" si="12">F30+(G13*F30)</f>
        <v>0</v>
      </c>
      <c r="H30" s="82">
        <f t="shared" si="12"/>
        <v>0</v>
      </c>
      <c r="I30" s="82">
        <f t="shared" si="12"/>
        <v>0</v>
      </c>
      <c r="J30" s="84">
        <f t="shared" si="12"/>
        <v>0</v>
      </c>
      <c r="K30" s="82">
        <f t="shared" si="12"/>
        <v>0</v>
      </c>
      <c r="L30" s="82">
        <f t="shared" si="12"/>
        <v>0</v>
      </c>
      <c r="M30" s="82">
        <f t="shared" si="12"/>
        <v>0</v>
      </c>
      <c r="N30" s="82">
        <f t="shared" si="12"/>
        <v>0</v>
      </c>
      <c r="O30" s="82">
        <f t="shared" si="12"/>
        <v>0</v>
      </c>
      <c r="P30" s="82">
        <f t="shared" si="12"/>
        <v>0</v>
      </c>
      <c r="Q30" s="82">
        <f t="shared" si="12"/>
        <v>0</v>
      </c>
      <c r="R30" s="82">
        <f t="shared" si="12"/>
        <v>0</v>
      </c>
      <c r="S30" s="82">
        <f>R30+(S13*R30)</f>
        <v>0</v>
      </c>
      <c r="T30" s="84">
        <f>S30+(T13*S30)</f>
        <v>0</v>
      </c>
      <c r="U30" s="82">
        <f t="shared" si="12"/>
        <v>0</v>
      </c>
      <c r="V30" s="82">
        <f t="shared" si="12"/>
        <v>0</v>
      </c>
      <c r="W30" s="82">
        <f t="shared" si="12"/>
        <v>0</v>
      </c>
      <c r="X30" s="82">
        <f t="shared" si="12"/>
        <v>0</v>
      </c>
      <c r="Y30" s="82">
        <f t="shared" si="12"/>
        <v>0</v>
      </c>
      <c r="Z30" s="82">
        <f t="shared" si="12"/>
        <v>0</v>
      </c>
      <c r="AA30" s="82">
        <f t="shared" si="12"/>
        <v>0</v>
      </c>
      <c r="AB30" s="82">
        <f t="shared" si="12"/>
        <v>0</v>
      </c>
      <c r="AC30" s="82">
        <f t="shared" si="12"/>
        <v>0</v>
      </c>
      <c r="AD30" s="82">
        <f t="shared" si="12"/>
        <v>0</v>
      </c>
      <c r="AE30" s="82">
        <f t="shared" si="12"/>
        <v>0</v>
      </c>
      <c r="AF30" s="82">
        <f t="shared" si="12"/>
        <v>0</v>
      </c>
      <c r="AG30" s="82">
        <f t="shared" si="12"/>
        <v>0</v>
      </c>
      <c r="AH30" s="82">
        <f t="shared" si="12"/>
        <v>0</v>
      </c>
      <c r="AI30" s="85">
        <f t="shared" si="12"/>
        <v>0</v>
      </c>
    </row>
    <row r="31" spans="1:35" x14ac:dyDescent="0.35">
      <c r="B31" s="107" t="s">
        <v>79</v>
      </c>
      <c r="C31" s="6"/>
      <c r="D31" s="9" t="s">
        <v>62</v>
      </c>
      <c r="E31" s="108">
        <v>0</v>
      </c>
      <c r="F31" s="83">
        <f>12*E31</f>
        <v>0</v>
      </c>
      <c r="G31" s="82">
        <f t="shared" ref="G31:AI31" si="13">F31+(G13*F31)</f>
        <v>0</v>
      </c>
      <c r="H31" s="82">
        <f t="shared" si="13"/>
        <v>0</v>
      </c>
      <c r="I31" s="82">
        <f t="shared" si="13"/>
        <v>0</v>
      </c>
      <c r="J31" s="84">
        <f t="shared" si="13"/>
        <v>0</v>
      </c>
      <c r="K31" s="82">
        <f t="shared" si="13"/>
        <v>0</v>
      </c>
      <c r="L31" s="82">
        <f t="shared" si="13"/>
        <v>0</v>
      </c>
      <c r="M31" s="82">
        <f t="shared" si="13"/>
        <v>0</v>
      </c>
      <c r="N31" s="82">
        <f t="shared" si="13"/>
        <v>0</v>
      </c>
      <c r="O31" s="82">
        <f t="shared" si="13"/>
        <v>0</v>
      </c>
      <c r="P31" s="82">
        <f t="shared" si="13"/>
        <v>0</v>
      </c>
      <c r="Q31" s="82">
        <f t="shared" si="13"/>
        <v>0</v>
      </c>
      <c r="R31" s="82">
        <f t="shared" si="13"/>
        <v>0</v>
      </c>
      <c r="S31" s="82">
        <f>R31+(S13*R31)</f>
        <v>0</v>
      </c>
      <c r="T31" s="84">
        <f>S31+(T13*S31)</f>
        <v>0</v>
      </c>
      <c r="U31" s="82">
        <f t="shared" si="13"/>
        <v>0</v>
      </c>
      <c r="V31" s="82">
        <f t="shared" si="13"/>
        <v>0</v>
      </c>
      <c r="W31" s="82">
        <f t="shared" si="13"/>
        <v>0</v>
      </c>
      <c r="X31" s="82">
        <f t="shared" si="13"/>
        <v>0</v>
      </c>
      <c r="Y31" s="82">
        <f t="shared" si="13"/>
        <v>0</v>
      </c>
      <c r="Z31" s="82">
        <f t="shared" si="13"/>
        <v>0</v>
      </c>
      <c r="AA31" s="82">
        <f t="shared" si="13"/>
        <v>0</v>
      </c>
      <c r="AB31" s="82">
        <f t="shared" si="13"/>
        <v>0</v>
      </c>
      <c r="AC31" s="82">
        <f t="shared" si="13"/>
        <v>0</v>
      </c>
      <c r="AD31" s="82">
        <f t="shared" si="13"/>
        <v>0</v>
      </c>
      <c r="AE31" s="82">
        <f t="shared" si="13"/>
        <v>0</v>
      </c>
      <c r="AF31" s="82">
        <f t="shared" si="13"/>
        <v>0</v>
      </c>
      <c r="AG31" s="82">
        <f t="shared" si="13"/>
        <v>0</v>
      </c>
      <c r="AH31" s="82">
        <f t="shared" si="13"/>
        <v>0</v>
      </c>
      <c r="AI31" s="85">
        <f t="shared" si="13"/>
        <v>0</v>
      </c>
    </row>
    <row r="32" spans="1:35" x14ac:dyDescent="0.35">
      <c r="B32" s="107" t="s">
        <v>80</v>
      </c>
      <c r="C32" s="6"/>
      <c r="D32" s="9" t="s">
        <v>62</v>
      </c>
      <c r="E32" s="108">
        <v>110</v>
      </c>
      <c r="F32" s="83">
        <f>E32*12</f>
        <v>1320</v>
      </c>
      <c r="G32" s="82">
        <f t="shared" ref="G32:AI32" si="14">F32+(G13*F32)</f>
        <v>1346.4</v>
      </c>
      <c r="H32" s="82">
        <f t="shared" si="14"/>
        <v>1373.3280000000002</v>
      </c>
      <c r="I32" s="82">
        <f t="shared" si="14"/>
        <v>1400.7945600000003</v>
      </c>
      <c r="J32" s="84">
        <f t="shared" si="14"/>
        <v>1428.8104512000002</v>
      </c>
      <c r="K32" s="82">
        <f t="shared" si="14"/>
        <v>1457.3866602240003</v>
      </c>
      <c r="L32" s="82">
        <f t="shared" si="14"/>
        <v>1486.5343934284801</v>
      </c>
      <c r="M32" s="82">
        <f t="shared" si="14"/>
        <v>1516.2650812970498</v>
      </c>
      <c r="N32" s="82">
        <f t="shared" si="14"/>
        <v>1546.5903829229908</v>
      </c>
      <c r="O32" s="82">
        <f t="shared" si="14"/>
        <v>1577.5221905814506</v>
      </c>
      <c r="P32" s="82">
        <f t="shared" si="14"/>
        <v>1609.0726343930796</v>
      </c>
      <c r="Q32" s="82">
        <f t="shared" si="14"/>
        <v>1641.2540870809412</v>
      </c>
      <c r="R32" s="82">
        <f t="shared" si="14"/>
        <v>1674.07916882256</v>
      </c>
      <c r="S32" s="82">
        <f>R32+(S13*R32)</f>
        <v>1707.5607521990112</v>
      </c>
      <c r="T32" s="84">
        <f>S32+(T13*S32)</f>
        <v>1741.7119672429915</v>
      </c>
      <c r="U32" s="82">
        <f t="shared" si="14"/>
        <v>1776.5462065878512</v>
      </c>
      <c r="V32" s="82">
        <f t="shared" si="14"/>
        <v>1812.0771307196082</v>
      </c>
      <c r="W32" s="82">
        <f t="shared" si="14"/>
        <v>1848.3186733340003</v>
      </c>
      <c r="X32" s="82">
        <f t="shared" si="14"/>
        <v>1885.2850468006802</v>
      </c>
      <c r="Y32" s="82">
        <f t="shared" si="14"/>
        <v>1922.9907477366937</v>
      </c>
      <c r="Z32" s="82">
        <f t="shared" si="14"/>
        <v>1961.4505626914276</v>
      </c>
      <c r="AA32" s="82">
        <f t="shared" si="14"/>
        <v>2000.6795739452562</v>
      </c>
      <c r="AB32" s="82">
        <f t="shared" si="14"/>
        <v>2040.6931654241612</v>
      </c>
      <c r="AC32" s="82">
        <f t="shared" si="14"/>
        <v>2081.5070287326444</v>
      </c>
      <c r="AD32" s="82">
        <f t="shared" si="14"/>
        <v>2123.1371693072974</v>
      </c>
      <c r="AE32" s="82">
        <f t="shared" si="14"/>
        <v>2165.5999126934435</v>
      </c>
      <c r="AF32" s="82">
        <f t="shared" si="14"/>
        <v>2208.9119109473122</v>
      </c>
      <c r="AG32" s="82">
        <f t="shared" si="14"/>
        <v>2253.0901491662585</v>
      </c>
      <c r="AH32" s="82">
        <f t="shared" si="14"/>
        <v>2298.1519521495838</v>
      </c>
      <c r="AI32" s="85">
        <f t="shared" si="14"/>
        <v>2344.1149911925754</v>
      </c>
    </row>
    <row r="33" spans="2:35" x14ac:dyDescent="0.35">
      <c r="B33" s="91" t="s">
        <v>81</v>
      </c>
      <c r="C33" s="92"/>
      <c r="D33" s="95"/>
      <c r="E33" s="95"/>
      <c r="F33" s="94">
        <f t="shared" ref="F33:AI33" si="15">SUM(F23:F32)</f>
        <v>8283.6</v>
      </c>
      <c r="G33" s="95">
        <f t="shared" si="15"/>
        <v>8449.271999999999</v>
      </c>
      <c r="H33" s="95">
        <f t="shared" si="15"/>
        <v>8618.2574399999994</v>
      </c>
      <c r="I33" s="95">
        <f t="shared" si="15"/>
        <v>8790.6225888000008</v>
      </c>
      <c r="J33" s="96">
        <f t="shared" si="15"/>
        <v>8966.4350405760015</v>
      </c>
      <c r="K33" s="95">
        <f t="shared" si="15"/>
        <v>9145.7637413875182</v>
      </c>
      <c r="L33" s="95">
        <f t="shared" si="15"/>
        <v>9328.679016215272</v>
      </c>
      <c r="M33" s="95">
        <f t="shared" si="15"/>
        <v>9515.2525965395762</v>
      </c>
      <c r="N33" s="95">
        <f t="shared" si="15"/>
        <v>9705.5576484703688</v>
      </c>
      <c r="O33" s="95">
        <f t="shared" si="15"/>
        <v>9899.6688014397751</v>
      </c>
      <c r="P33" s="95">
        <f t="shared" si="15"/>
        <v>10097.662177468572</v>
      </c>
      <c r="Q33" s="95">
        <f t="shared" si="15"/>
        <v>10299.615421017941</v>
      </c>
      <c r="R33" s="95">
        <f t="shared" si="15"/>
        <v>10505.607729438301</v>
      </c>
      <c r="S33" s="95">
        <f t="shared" si="15"/>
        <v>10715.719884027067</v>
      </c>
      <c r="T33" s="96">
        <f t="shared" si="15"/>
        <v>10930.034281707609</v>
      </c>
      <c r="U33" s="95">
        <f t="shared" si="15"/>
        <v>11148.634967341761</v>
      </c>
      <c r="V33" s="95">
        <f t="shared" si="15"/>
        <v>11371.607666688597</v>
      </c>
      <c r="W33" s="95">
        <f t="shared" si="15"/>
        <v>11599.039820022368</v>
      </c>
      <c r="X33" s="95">
        <f t="shared" si="15"/>
        <v>11831.020616422813</v>
      </c>
      <c r="Y33" s="95">
        <f t="shared" si="15"/>
        <v>12067.641028751272</v>
      </c>
      <c r="Z33" s="95">
        <f t="shared" si="15"/>
        <v>12308.993849326296</v>
      </c>
      <c r="AA33" s="95">
        <f t="shared" si="15"/>
        <v>12555.173726312822</v>
      </c>
      <c r="AB33" s="95">
        <f t="shared" si="15"/>
        <v>12806.277200839077</v>
      </c>
      <c r="AC33" s="95">
        <f t="shared" si="15"/>
        <v>13062.402744855859</v>
      </c>
      <c r="AD33" s="95">
        <f t="shared" si="15"/>
        <v>13323.650799752977</v>
      </c>
      <c r="AE33" s="95">
        <f t="shared" si="15"/>
        <v>13590.123815748037</v>
      </c>
      <c r="AF33" s="95">
        <f t="shared" si="15"/>
        <v>13861.926292062997</v>
      </c>
      <c r="AG33" s="95">
        <f t="shared" si="15"/>
        <v>14139.164817904257</v>
      </c>
      <c r="AH33" s="95">
        <f t="shared" si="15"/>
        <v>14421.948114262341</v>
      </c>
      <c r="AI33" s="95">
        <f t="shared" si="15"/>
        <v>14710.387076547588</v>
      </c>
    </row>
    <row r="34" spans="2:35" x14ac:dyDescent="0.35">
      <c r="B34" s="9" t="s">
        <v>82</v>
      </c>
      <c r="C34" s="9"/>
      <c r="D34" s="9"/>
      <c r="E34" s="9"/>
      <c r="F34" s="111">
        <f t="shared" ref="F34:AI34" si="16">(F33-F19)/F17</f>
        <v>0.49828571428571433</v>
      </c>
      <c r="G34" s="88">
        <f t="shared" si="16"/>
        <v>0.49828571428571428</v>
      </c>
      <c r="H34" s="88">
        <f t="shared" si="16"/>
        <v>0.49828571428571422</v>
      </c>
      <c r="I34" s="88">
        <f t="shared" si="16"/>
        <v>0.49828571428571433</v>
      </c>
      <c r="J34" s="112">
        <f t="shared" si="16"/>
        <v>0.49828571428571433</v>
      </c>
      <c r="K34" s="88">
        <f t="shared" si="16"/>
        <v>0.49828571428571422</v>
      </c>
      <c r="L34" s="88">
        <f t="shared" si="16"/>
        <v>0.49828571428571439</v>
      </c>
      <c r="M34" s="88">
        <f t="shared" si="16"/>
        <v>0.49828571428571433</v>
      </c>
      <c r="N34" s="88">
        <f t="shared" si="16"/>
        <v>0.49828571428571439</v>
      </c>
      <c r="O34" s="88">
        <f t="shared" si="16"/>
        <v>0.49828571428571433</v>
      </c>
      <c r="P34" s="88">
        <f t="shared" si="16"/>
        <v>0.49828571428571433</v>
      </c>
      <c r="Q34" s="88">
        <f t="shared" si="16"/>
        <v>0.49828571428571422</v>
      </c>
      <c r="R34" s="88">
        <f t="shared" si="16"/>
        <v>0.49828571428571428</v>
      </c>
      <c r="S34" s="88">
        <f t="shared" si="16"/>
        <v>0.49828571428571428</v>
      </c>
      <c r="T34" s="112">
        <f t="shared" si="16"/>
        <v>0.49828571428571428</v>
      </c>
      <c r="U34" s="88">
        <f t="shared" si="16"/>
        <v>0.49828571428571428</v>
      </c>
      <c r="V34" s="88">
        <f t="shared" si="16"/>
        <v>0.49828571428571428</v>
      </c>
      <c r="W34" s="88">
        <f t="shared" si="16"/>
        <v>0.49828571428571433</v>
      </c>
      <c r="X34" s="88">
        <f t="shared" si="16"/>
        <v>0.49828571428571422</v>
      </c>
      <c r="Y34" s="88">
        <f t="shared" si="16"/>
        <v>0.49828571428571433</v>
      </c>
      <c r="Z34" s="88">
        <f t="shared" si="16"/>
        <v>0.49828571428571422</v>
      </c>
      <c r="AA34" s="88">
        <f t="shared" si="16"/>
        <v>0.49828571428571422</v>
      </c>
      <c r="AB34" s="88">
        <f t="shared" si="16"/>
        <v>0.49828571428571417</v>
      </c>
      <c r="AC34" s="88">
        <f t="shared" si="16"/>
        <v>0.49828571428571422</v>
      </c>
      <c r="AD34" s="88">
        <f t="shared" si="16"/>
        <v>0.49828571428571422</v>
      </c>
      <c r="AE34" s="88">
        <f t="shared" si="16"/>
        <v>0.49828571428571422</v>
      </c>
      <c r="AF34" s="88">
        <f t="shared" si="16"/>
        <v>0.49828571428571428</v>
      </c>
      <c r="AG34" s="88">
        <f t="shared" si="16"/>
        <v>0.49828571428571422</v>
      </c>
      <c r="AH34" s="88">
        <f t="shared" si="16"/>
        <v>0.49828571428571422</v>
      </c>
      <c r="AI34" s="88">
        <f t="shared" si="16"/>
        <v>0.49828571428571428</v>
      </c>
    </row>
    <row r="35" spans="2:35" x14ac:dyDescent="0.35">
      <c r="B35" s="9"/>
      <c r="C35" s="9"/>
      <c r="D35" s="9"/>
      <c r="E35" s="9"/>
      <c r="F35" s="98"/>
      <c r="G35" s="9"/>
      <c r="H35" s="9"/>
      <c r="I35" s="9"/>
      <c r="J35" s="99"/>
      <c r="K35" s="9"/>
      <c r="L35" s="9"/>
      <c r="T35" s="113"/>
    </row>
    <row r="36" spans="2:35" x14ac:dyDescent="0.35">
      <c r="B36" s="114" t="s">
        <v>83</v>
      </c>
      <c r="C36" s="115"/>
      <c r="D36" s="116"/>
      <c r="E36" s="116"/>
      <c r="F36" s="117">
        <f t="shared" ref="F36:AI36" si="17">F20-F33</f>
        <v>9482.4</v>
      </c>
      <c r="G36" s="118">
        <f t="shared" si="17"/>
        <v>9672.0480000000007</v>
      </c>
      <c r="H36" s="118">
        <f t="shared" si="17"/>
        <v>9865.4889600000006</v>
      </c>
      <c r="I36" s="118">
        <f t="shared" si="17"/>
        <v>10062.7987392</v>
      </c>
      <c r="J36" s="119">
        <f t="shared" si="17"/>
        <v>10264.054713983998</v>
      </c>
      <c r="K36" s="118">
        <f t="shared" si="17"/>
        <v>10469.335808263679</v>
      </c>
      <c r="L36" s="118">
        <f t="shared" si="17"/>
        <v>10678.722524428951</v>
      </c>
      <c r="M36" s="118">
        <f t="shared" si="17"/>
        <v>10892.296974917532</v>
      </c>
      <c r="N36" s="118">
        <f t="shared" si="17"/>
        <v>11110.142914415881</v>
      </c>
      <c r="O36" s="118">
        <f t="shared" si="17"/>
        <v>11332.345772704202</v>
      </c>
      <c r="P36" s="118">
        <f t="shared" si="17"/>
        <v>11558.992688158285</v>
      </c>
      <c r="Q36" s="118">
        <f t="shared" si="17"/>
        <v>11790.172541921453</v>
      </c>
      <c r="R36" s="118">
        <f t="shared" si="17"/>
        <v>12025.975992759881</v>
      </c>
      <c r="S36" s="118">
        <f t="shared" si="17"/>
        <v>12266.495512615076</v>
      </c>
      <c r="T36" s="119">
        <f t="shared" si="17"/>
        <v>12511.82542286738</v>
      </c>
      <c r="U36" s="118">
        <f t="shared" si="17"/>
        <v>12762.061931324726</v>
      </c>
      <c r="V36" s="118">
        <f t="shared" si="17"/>
        <v>13017.303169951221</v>
      </c>
      <c r="W36" s="118">
        <f t="shared" si="17"/>
        <v>13277.649233350243</v>
      </c>
      <c r="X36" s="118">
        <f t="shared" si="17"/>
        <v>13543.202218017252</v>
      </c>
      <c r="Y36" s="118">
        <f t="shared" si="17"/>
        <v>13814.066262377595</v>
      </c>
      <c r="Z36" s="118">
        <f t="shared" si="17"/>
        <v>14090.34758762515</v>
      </c>
      <c r="AA36" s="118">
        <f t="shared" si="17"/>
        <v>14372.154539377656</v>
      </c>
      <c r="AB36" s="118">
        <f t="shared" si="17"/>
        <v>14659.597630165206</v>
      </c>
      <c r="AC36" s="118">
        <f t="shared" si="17"/>
        <v>14952.789582768513</v>
      </c>
      <c r="AD36" s="118">
        <f t="shared" si="17"/>
        <v>15251.845374423883</v>
      </c>
      <c r="AE36" s="118">
        <f t="shared" si="17"/>
        <v>15556.88228191236</v>
      </c>
      <c r="AF36" s="118">
        <f t="shared" si="17"/>
        <v>15868.019927550604</v>
      </c>
      <c r="AG36" s="118">
        <f t="shared" si="17"/>
        <v>16185.380326101615</v>
      </c>
      <c r="AH36" s="118">
        <f t="shared" si="17"/>
        <v>16509.08793262365</v>
      </c>
      <c r="AI36" s="118">
        <f t="shared" si="17"/>
        <v>16839.26969127612</v>
      </c>
    </row>
    <row r="37" spans="2:35" x14ac:dyDescent="0.35">
      <c r="F37" s="120"/>
      <c r="J37" s="100"/>
      <c r="T37" s="121"/>
    </row>
    <row r="38" spans="2:35" x14ac:dyDescent="0.35">
      <c r="B38" s="122" t="s">
        <v>7</v>
      </c>
      <c r="C38" s="123"/>
      <c r="D38" s="124"/>
      <c r="E38" s="124"/>
      <c r="F38" s="76"/>
      <c r="G38" s="124"/>
      <c r="H38" s="124"/>
      <c r="I38" s="124"/>
      <c r="J38" s="125"/>
      <c r="K38" s="124"/>
      <c r="L38" s="124"/>
      <c r="M38" s="126"/>
      <c r="N38" s="126"/>
      <c r="O38" s="126"/>
      <c r="P38" s="126"/>
      <c r="Q38" s="126"/>
      <c r="R38" s="126"/>
      <c r="S38" s="126"/>
      <c r="T38" s="127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8"/>
    </row>
    <row r="39" spans="2:35" x14ac:dyDescent="0.35">
      <c r="B39" s="107" t="s">
        <v>84</v>
      </c>
      <c r="C39" s="6"/>
      <c r="D39" s="9"/>
      <c r="E39" s="82">
        <f>F39/12</f>
        <v>790.19999999999993</v>
      </c>
      <c r="F39" s="83">
        <f t="shared" ref="F39:AI39" si="18">F36</f>
        <v>9482.4</v>
      </c>
      <c r="G39" s="82">
        <f t="shared" si="18"/>
        <v>9672.0480000000007</v>
      </c>
      <c r="H39" s="82">
        <f t="shared" si="18"/>
        <v>9865.4889600000006</v>
      </c>
      <c r="I39" s="82">
        <f t="shared" si="18"/>
        <v>10062.7987392</v>
      </c>
      <c r="J39" s="84">
        <f t="shared" si="18"/>
        <v>10264.054713983998</v>
      </c>
      <c r="K39" s="82">
        <f t="shared" si="18"/>
        <v>10469.335808263679</v>
      </c>
      <c r="L39" s="82">
        <f t="shared" si="18"/>
        <v>10678.722524428951</v>
      </c>
      <c r="M39" s="82">
        <f t="shared" si="18"/>
        <v>10892.296974917532</v>
      </c>
      <c r="N39" s="82">
        <f t="shared" si="18"/>
        <v>11110.142914415881</v>
      </c>
      <c r="O39" s="82">
        <f t="shared" si="18"/>
        <v>11332.345772704202</v>
      </c>
      <c r="P39" s="82">
        <f t="shared" si="18"/>
        <v>11558.992688158285</v>
      </c>
      <c r="Q39" s="82">
        <f t="shared" si="18"/>
        <v>11790.172541921453</v>
      </c>
      <c r="R39" s="82">
        <f t="shared" si="18"/>
        <v>12025.975992759881</v>
      </c>
      <c r="S39" s="82">
        <f t="shared" si="18"/>
        <v>12266.495512615076</v>
      </c>
      <c r="T39" s="84">
        <f t="shared" si="18"/>
        <v>12511.82542286738</v>
      </c>
      <c r="U39" s="82">
        <f t="shared" si="18"/>
        <v>12762.061931324726</v>
      </c>
      <c r="V39" s="82">
        <f t="shared" si="18"/>
        <v>13017.303169951221</v>
      </c>
      <c r="W39" s="82">
        <f t="shared" si="18"/>
        <v>13277.649233350243</v>
      </c>
      <c r="X39" s="82">
        <f t="shared" si="18"/>
        <v>13543.202218017252</v>
      </c>
      <c r="Y39" s="82">
        <f t="shared" si="18"/>
        <v>13814.066262377595</v>
      </c>
      <c r="Z39" s="82">
        <f t="shared" si="18"/>
        <v>14090.34758762515</v>
      </c>
      <c r="AA39" s="82">
        <f t="shared" si="18"/>
        <v>14372.154539377656</v>
      </c>
      <c r="AB39" s="82">
        <f t="shared" si="18"/>
        <v>14659.597630165206</v>
      </c>
      <c r="AC39" s="82">
        <f t="shared" si="18"/>
        <v>14952.789582768513</v>
      </c>
      <c r="AD39" s="82">
        <f t="shared" si="18"/>
        <v>15251.845374423883</v>
      </c>
      <c r="AE39" s="82">
        <f t="shared" si="18"/>
        <v>15556.88228191236</v>
      </c>
      <c r="AF39" s="82">
        <f t="shared" si="18"/>
        <v>15868.019927550604</v>
      </c>
      <c r="AG39" s="82">
        <f t="shared" si="18"/>
        <v>16185.380326101615</v>
      </c>
      <c r="AH39" s="82">
        <f t="shared" si="18"/>
        <v>16509.08793262365</v>
      </c>
      <c r="AI39" s="85">
        <f t="shared" si="18"/>
        <v>16839.26969127612</v>
      </c>
    </row>
    <row r="40" spans="2:35" x14ac:dyDescent="0.35">
      <c r="B40" s="107" t="s">
        <v>85</v>
      </c>
      <c r="C40" s="6"/>
      <c r="E40" s="82">
        <f>H8</f>
        <v>612.25704023112394</v>
      </c>
      <c r="F40" s="83">
        <f>E40*12</f>
        <v>7347.0844827734873</v>
      </c>
      <c r="G40" s="82">
        <f t="shared" ref="G40:AI40" si="19">F40</f>
        <v>7347.0844827734873</v>
      </c>
      <c r="H40" s="82">
        <f t="shared" si="19"/>
        <v>7347.0844827734873</v>
      </c>
      <c r="I40" s="82">
        <f t="shared" si="19"/>
        <v>7347.0844827734873</v>
      </c>
      <c r="J40" s="84">
        <f t="shared" si="19"/>
        <v>7347.0844827734873</v>
      </c>
      <c r="K40" s="82">
        <f t="shared" si="19"/>
        <v>7347.0844827734873</v>
      </c>
      <c r="L40" s="82">
        <f t="shared" si="19"/>
        <v>7347.0844827734873</v>
      </c>
      <c r="M40" s="82">
        <f t="shared" si="19"/>
        <v>7347.0844827734873</v>
      </c>
      <c r="N40" s="82">
        <f t="shared" si="19"/>
        <v>7347.0844827734873</v>
      </c>
      <c r="O40" s="82">
        <f t="shared" si="19"/>
        <v>7347.0844827734873</v>
      </c>
      <c r="P40" s="82">
        <f t="shared" si="19"/>
        <v>7347.0844827734873</v>
      </c>
      <c r="Q40" s="82">
        <f t="shared" si="19"/>
        <v>7347.0844827734873</v>
      </c>
      <c r="R40" s="82">
        <f t="shared" si="19"/>
        <v>7347.0844827734873</v>
      </c>
      <c r="S40" s="82">
        <f>R40</f>
        <v>7347.0844827734873</v>
      </c>
      <c r="T40" s="84">
        <f>S40</f>
        <v>7347.0844827734873</v>
      </c>
      <c r="U40" s="82">
        <f t="shared" si="19"/>
        <v>7347.0844827734873</v>
      </c>
      <c r="V40" s="82">
        <f t="shared" si="19"/>
        <v>7347.0844827734873</v>
      </c>
      <c r="W40" s="82">
        <f t="shared" si="19"/>
        <v>7347.0844827734873</v>
      </c>
      <c r="X40" s="82">
        <f t="shared" si="19"/>
        <v>7347.0844827734873</v>
      </c>
      <c r="Y40" s="82">
        <f t="shared" si="19"/>
        <v>7347.0844827734873</v>
      </c>
      <c r="Z40" s="82">
        <f t="shared" si="19"/>
        <v>7347.0844827734873</v>
      </c>
      <c r="AA40" s="82">
        <f t="shared" si="19"/>
        <v>7347.0844827734873</v>
      </c>
      <c r="AB40" s="82">
        <f t="shared" si="19"/>
        <v>7347.0844827734873</v>
      </c>
      <c r="AC40" s="82">
        <f t="shared" si="19"/>
        <v>7347.0844827734873</v>
      </c>
      <c r="AD40" s="82">
        <f t="shared" si="19"/>
        <v>7347.0844827734873</v>
      </c>
      <c r="AE40" s="82">
        <f t="shared" si="19"/>
        <v>7347.0844827734873</v>
      </c>
      <c r="AF40" s="82">
        <f t="shared" si="19"/>
        <v>7347.0844827734873</v>
      </c>
      <c r="AG40" s="82">
        <f t="shared" si="19"/>
        <v>7347.0844827734873</v>
      </c>
      <c r="AH40" s="82">
        <f t="shared" si="19"/>
        <v>7347.0844827734873</v>
      </c>
      <c r="AI40" s="85">
        <f t="shared" si="19"/>
        <v>7347.0844827734873</v>
      </c>
    </row>
    <row r="41" spans="2:35" x14ac:dyDescent="0.35">
      <c r="B41" s="129" t="s">
        <v>7</v>
      </c>
      <c r="C41" s="130"/>
      <c r="D41" s="131"/>
      <c r="E41" s="132">
        <f t="shared" ref="E41:AI41" si="20">E39-E40</f>
        <v>177.94295976887599</v>
      </c>
      <c r="F41" s="133">
        <f t="shared" si="20"/>
        <v>2135.3155172265124</v>
      </c>
      <c r="G41" s="132">
        <f t="shared" si="20"/>
        <v>2324.9635172265134</v>
      </c>
      <c r="H41" s="132">
        <f t="shared" si="20"/>
        <v>2518.4044772265133</v>
      </c>
      <c r="I41" s="132">
        <f t="shared" si="20"/>
        <v>2715.7142564265123</v>
      </c>
      <c r="J41" s="134">
        <f t="shared" si="20"/>
        <v>2916.970231210511</v>
      </c>
      <c r="K41" s="132">
        <f t="shared" si="20"/>
        <v>3122.2513254901914</v>
      </c>
      <c r="L41" s="132">
        <f t="shared" si="20"/>
        <v>3331.6380416554639</v>
      </c>
      <c r="M41" s="132">
        <f t="shared" si="20"/>
        <v>3545.2124921440445</v>
      </c>
      <c r="N41" s="132">
        <f t="shared" si="20"/>
        <v>3763.0584316423938</v>
      </c>
      <c r="O41" s="132">
        <f t="shared" si="20"/>
        <v>3985.2612899307151</v>
      </c>
      <c r="P41" s="132">
        <f t="shared" si="20"/>
        <v>4211.9082053847978</v>
      </c>
      <c r="Q41" s="132">
        <f t="shared" si="20"/>
        <v>4443.0880591479654</v>
      </c>
      <c r="R41" s="132">
        <f t="shared" si="20"/>
        <v>4678.8915099863934</v>
      </c>
      <c r="S41" s="132">
        <f t="shared" si="20"/>
        <v>4919.411029841589</v>
      </c>
      <c r="T41" s="134">
        <f t="shared" si="20"/>
        <v>5164.7409400938923</v>
      </c>
      <c r="U41" s="132">
        <f t="shared" si="20"/>
        <v>5414.9774485512389</v>
      </c>
      <c r="V41" s="132">
        <f t="shared" si="20"/>
        <v>5670.218687177734</v>
      </c>
      <c r="W41" s="132">
        <f t="shared" si="20"/>
        <v>5930.5647505767556</v>
      </c>
      <c r="X41" s="132">
        <f t="shared" si="20"/>
        <v>6196.1177352437644</v>
      </c>
      <c r="Y41" s="132">
        <f t="shared" si="20"/>
        <v>6466.9817796041079</v>
      </c>
      <c r="Z41" s="132">
        <f t="shared" si="20"/>
        <v>6743.2631048516632</v>
      </c>
      <c r="AA41" s="132">
        <f t="shared" si="20"/>
        <v>7025.0700566041687</v>
      </c>
      <c r="AB41" s="132">
        <f t="shared" si="20"/>
        <v>7312.513147391719</v>
      </c>
      <c r="AC41" s="132">
        <f t="shared" si="20"/>
        <v>7605.7050999950261</v>
      </c>
      <c r="AD41" s="132">
        <f t="shared" si="20"/>
        <v>7904.7608916503959</v>
      </c>
      <c r="AE41" s="132">
        <f t="shared" si="20"/>
        <v>8209.7977991388725</v>
      </c>
      <c r="AF41" s="132">
        <f t="shared" si="20"/>
        <v>8520.9354447771166</v>
      </c>
      <c r="AG41" s="132">
        <f t="shared" si="20"/>
        <v>8838.2958433281274</v>
      </c>
      <c r="AH41" s="132">
        <f t="shared" si="20"/>
        <v>9162.0034498501627</v>
      </c>
      <c r="AI41" s="135">
        <f t="shared" si="20"/>
        <v>9492.185208502633</v>
      </c>
    </row>
    <row r="42" spans="2:35" x14ac:dyDescent="0.35">
      <c r="B42" s="136" t="s">
        <v>86</v>
      </c>
      <c r="C42" s="137"/>
      <c r="D42" s="131"/>
      <c r="E42" s="132"/>
      <c r="F42" s="138">
        <f>F41/H9</f>
        <v>5.5951407218276829E-2</v>
      </c>
      <c r="G42" s="139">
        <f>G41/H9</f>
        <v>6.0920730201474267E-2</v>
      </c>
      <c r="H42" s="139">
        <f>H41/H9</f>
        <v>6.598943964433561E-2</v>
      </c>
      <c r="I42" s="139">
        <f>I41/H9</f>
        <v>7.1159523276054168E-2</v>
      </c>
      <c r="J42" s="140">
        <f>J41/H9</f>
        <v>7.6433008580407094E-2</v>
      </c>
      <c r="K42" s="139">
        <f>K41/H9</f>
        <v>8.1811963590847109E-2</v>
      </c>
      <c r="L42" s="139">
        <f>L41/H9</f>
        <v>8.7298497701495892E-2</v>
      </c>
      <c r="M42" s="139">
        <f>M41/H9</f>
        <v>9.2894762494357727E-2</v>
      </c>
      <c r="N42" s="139">
        <f>N41/H9</f>
        <v>9.8602952583076706E-2</v>
      </c>
      <c r="O42" s="139">
        <f>O41/H9</f>
        <v>0.10442530647357021</v>
      </c>
      <c r="P42" s="139">
        <f>P41/H9</f>
        <v>0.11036410744187344</v>
      </c>
      <c r="Q42" s="139">
        <f>Q41/H9</f>
        <v>0.11642168442954283</v>
      </c>
      <c r="R42" s="139">
        <f>R41/H9</f>
        <v>0.12260041295696554</v>
      </c>
      <c r="S42" s="139">
        <f>S41/H9</f>
        <v>0.12890271605493667</v>
      </c>
      <c r="T42" s="140">
        <f>T41/H9</f>
        <v>0.13533106521486732</v>
      </c>
      <c r="U42" s="139">
        <f>U41/H9</f>
        <v>0.14188798135799649</v>
      </c>
      <c r="V42" s="139">
        <f>V41/H9</f>
        <v>0.14857603582398832</v>
      </c>
      <c r="W42" s="139">
        <f>W41/H9</f>
        <v>0.15539785137929987</v>
      </c>
      <c r="X42" s="139">
        <f>X41/H9</f>
        <v>0.16235610324571784</v>
      </c>
      <c r="Y42" s="139">
        <f>Y41/H9</f>
        <v>0.16945352014946402</v>
      </c>
      <c r="Z42" s="139">
        <f>Z41/H9</f>
        <v>0.17669288539128528</v>
      </c>
      <c r="AA42" s="139">
        <f>AA41/H9</f>
        <v>0.18407703793794292</v>
      </c>
      <c r="AB42" s="139">
        <f>AB41/H9</f>
        <v>0.19160887353553357</v>
      </c>
      <c r="AC42" s="139">
        <f>AC41/H9</f>
        <v>0.19929134584507618</v>
      </c>
      <c r="AD42" s="139">
        <f>AD41/H9</f>
        <v>0.20712746760080955</v>
      </c>
      <c r="AE42" s="139">
        <f>AE41/H9</f>
        <v>0.21512031179165758</v>
      </c>
      <c r="AF42" s="139">
        <f>AF41/H9</f>
        <v>0.22327301286632253</v>
      </c>
      <c r="AG42" s="139">
        <f>AG41/H9</f>
        <v>0.23158876796248082</v>
      </c>
      <c r="AH42" s="139">
        <f>AH41/H9</f>
        <v>0.24007083816056238</v>
      </c>
      <c r="AI42" s="141">
        <f>AI41/H9</f>
        <v>0.24872254976260544</v>
      </c>
    </row>
    <row r="43" spans="2:35" x14ac:dyDescent="0.35">
      <c r="B43" s="142" t="s">
        <v>11</v>
      </c>
      <c r="C43" s="143"/>
      <c r="D43" s="144"/>
      <c r="E43" s="145"/>
      <c r="F43" s="146">
        <f>-CUMPRINC(H6/12,12*H7, H4, 1, 12, 0)</f>
        <v>2674.5094169576105</v>
      </c>
      <c r="G43" s="147">
        <f>-CUMPRINC(H6/12,12*H7, H4, 13, 24, 0)</f>
        <v>2786.9428200409848</v>
      </c>
      <c r="H43" s="147">
        <f>-CUMPRINC(H6/12,12*H7, H4, 25, 36, 0)</f>
        <v>2904.1027984165457</v>
      </c>
      <c r="I43" s="147">
        <f>-CUMPRINC(H6/12,12*H7, H4, 37, 48, 0)</f>
        <v>3026.1880520558302</v>
      </c>
      <c r="J43" s="148">
        <f>-CUMPRINC(H6/12,12*H7, H4, 49, 60, 0)</f>
        <v>3153.4056340563193</v>
      </c>
      <c r="K43" s="147">
        <f>-CUMPRINC(H6/12,12*H7, H4, 61, 72, 0)</f>
        <v>3285.9713017975669</v>
      </c>
      <c r="L43" s="147">
        <f>-CUMPRINC(H6/12,12*H7, H4, 73, 84, 0)</f>
        <v>3424.1098828595395</v>
      </c>
      <c r="M43" s="147">
        <f>-CUMPRINC(H6/12,12*H7, H4, 85, 96, 0)</f>
        <v>3568.0556563237642</v>
      </c>
      <c r="N43" s="147">
        <f>-CUMPRINC(H6/12,12*H7, H4, 97, 108, 0)</f>
        <v>3718.0527501039446</v>
      </c>
      <c r="O43" s="147">
        <f>-CUMPRINC(H6/12,12*H7, H4, 109, 120, 0)</f>
        <v>3874.3555549799207</v>
      </c>
      <c r="P43" s="147">
        <f>-CUMPRINC(H6/12,12*H7, H4, 121, 132, 0)</f>
        <v>4037.229156037155</v>
      </c>
      <c r="Q43" s="147">
        <f>-CUMPRINC(H6/12,12*H7, H4, 133, 144, 0)</f>
        <v>4206.9497822434505</v>
      </c>
      <c r="R43" s="147">
        <f>-CUMPRINC(H6/12,12*H7, H4, 145, 156, 0)</f>
        <v>4383.8052749253793</v>
      </c>
      <c r="S43" s="147">
        <f>-CUMPRINC(H6/12,12*H7, H4, 157, 168, 0)</f>
        <v>4568.0955759389362</v>
      </c>
      <c r="T43" s="148">
        <f>-CUMPRINC(H6/12,12*H7, H4, 169, 180, 0)</f>
        <v>4760.1332363623487</v>
      </c>
      <c r="U43" s="147">
        <f>-CUMPRINC(H6/12,12*H7, H4, 181, 192, 0)</f>
        <v>4960.2439465737616</v>
      </c>
      <c r="V43" s="147">
        <f>-CUMPRINC(H6/12,12*H7, H4, 193, 204, 0)</f>
        <v>5168.7670886127999</v>
      </c>
      <c r="W43" s="147">
        <f>-CUMPRINC(H6/12,12*H7, H4, 205, 216, 0)</f>
        <v>5386.0563117628035</v>
      </c>
      <c r="X43" s="147">
        <f>-CUMPRINC(H6/12,12*H7, H4, 217, 228, 0)</f>
        <v>5612.4801323298852</v>
      </c>
      <c r="Y43" s="147">
        <f>-CUMPRINC(H6/12,12*H7, H4, 229, 240, 0)</f>
        <v>5848.4225586360553</v>
      </c>
      <c r="Z43" s="147">
        <f>-CUMPRINC(H6/12,12*H7, H4, 241, 252, 0)</f>
        <v>6094.2837422863404</v>
      </c>
      <c r="AA43" s="147">
        <f>-CUMPRINC(H6/12,12*H7, H4, 253, 264, 0)</f>
        <v>6350.4806568144604</v>
      </c>
      <c r="AB43" s="147">
        <f>-CUMPRINC(H6/12,12*H7, H4, 265, 276, 0)</f>
        <v>6617.4478048580122</v>
      </c>
      <c r="AC43" s="147">
        <f>-CUMPRINC(H6/12,12*H7, H4, 277, 288, 0)</f>
        <v>6895.6379550625161</v>
      </c>
      <c r="AD43" s="147">
        <f>-CUMPRINC(H6/12,12*H7, H4, 289, 300, 0)</f>
        <v>7185.5229099640783</v>
      </c>
      <c r="AE43" s="147" t="e">
        <f>-CUMPRINC(H6/12,12*H7, H4, 301, 312, 0)</f>
        <v>#NUM!</v>
      </c>
      <c r="AF43" s="147" t="e">
        <f>-CUMPRINC(H6/12,12*H7, H4, 313, 324, 0)</f>
        <v>#NUM!</v>
      </c>
      <c r="AG43" s="147" t="e">
        <f>-CUMPRINC(H6/12,12*H7, H4, 325, 336, 0)</f>
        <v>#NUM!</v>
      </c>
      <c r="AH43" s="147" t="e">
        <f>-CUMPRINC(H6/12,12*H7, H4, 337, 348, 0)</f>
        <v>#NUM!</v>
      </c>
      <c r="AI43" s="149" t="e">
        <f>-CUMPRINC(H6/12,12*H7, H4, 349, 360, 0)</f>
        <v>#NUM!</v>
      </c>
    </row>
    <row r="44" spans="2:35" x14ac:dyDescent="0.35">
      <c r="B44" s="136" t="s">
        <v>87</v>
      </c>
      <c r="C44" s="137"/>
      <c r="D44" s="131"/>
      <c r="E44" s="132"/>
      <c r="F44" s="138">
        <f>F43/H9</f>
        <v>7.0079837986508409E-2</v>
      </c>
      <c r="G44" s="139">
        <f>G43/$H$9</f>
        <v>7.3025916479407413E-2</v>
      </c>
      <c r="H44" s="139">
        <f t="shared" ref="H44:AI44" si="21">H43/$H$9</f>
        <v>7.6095844837484411E-2</v>
      </c>
      <c r="I44" s="139">
        <f t="shared" si="21"/>
        <v>7.929482957140821E-2</v>
      </c>
      <c r="J44" s="140">
        <f t="shared" si="21"/>
        <v>8.2628296067769003E-2</v>
      </c>
      <c r="K44" s="139">
        <f t="shared" si="21"/>
        <v>8.6101897790378745E-2</v>
      </c>
      <c r="L44" s="139">
        <f t="shared" si="21"/>
        <v>8.9721525868383986E-2</v>
      </c>
      <c r="M44" s="139">
        <f t="shared" si="21"/>
        <v>9.3493319087452467E-2</v>
      </c>
      <c r="N44" s="139">
        <f t="shared" si="21"/>
        <v>9.7423674300977883E-2</v>
      </c>
      <c r="O44" s="139">
        <f t="shared" si="21"/>
        <v>0.10151925727896029</v>
      </c>
      <c r="P44" s="139">
        <f t="shared" si="21"/>
        <v>0.10578701401296138</v>
      </c>
      <c r="Q44" s="139">
        <f t="shared" si="21"/>
        <v>0.11023418249630737</v>
      </c>
      <c r="R44" s="139">
        <f t="shared" si="21"/>
        <v>0.11486830499951864</v>
      </c>
      <c r="S44" s="139">
        <f t="shared" si="21"/>
        <v>0.11969724086178471</v>
      </c>
      <c r="T44" s="140">
        <f t="shared" si="21"/>
        <v>0.1247291798201788</v>
      </c>
      <c r="U44" s="139">
        <f t="shared" si="21"/>
        <v>0.1299726558992175</v>
      </c>
      <c r="V44" s="139">
        <f t="shared" si="21"/>
        <v>0.13543656188432215</v>
      </c>
      <c r="W44" s="139">
        <f t="shared" si="21"/>
        <v>0.14113016440372875</v>
      </c>
      <c r="X44" s="139">
        <f t="shared" si="21"/>
        <v>0.14706311964442398</v>
      </c>
      <c r="Y44" s="139">
        <f t="shared" si="21"/>
        <v>0.15324548972876237</v>
      </c>
      <c r="Z44" s="139">
        <f t="shared" si="21"/>
        <v>0.15968775977953792</v>
      </c>
      <c r="AA44" s="139">
        <f t="shared" si="21"/>
        <v>0.16640085570245219</v>
      </c>
      <c r="AB44" s="139">
        <f t="shared" si="21"/>
        <v>0.173396162716138</v>
      </c>
      <c r="AC44" s="139">
        <f t="shared" si="21"/>
        <v>0.18068554466116449</v>
      </c>
      <c r="AD44" s="139">
        <f t="shared" si="21"/>
        <v>0.18828136412077109</v>
      </c>
      <c r="AE44" s="139" t="e">
        <f t="shared" si="21"/>
        <v>#NUM!</v>
      </c>
      <c r="AF44" s="139" t="e">
        <f t="shared" si="21"/>
        <v>#NUM!</v>
      </c>
      <c r="AG44" s="139" t="e">
        <f t="shared" si="21"/>
        <v>#NUM!</v>
      </c>
      <c r="AH44" s="139" t="e">
        <f t="shared" si="21"/>
        <v>#NUM!</v>
      </c>
      <c r="AI44" s="140" t="e">
        <f t="shared" si="21"/>
        <v>#NUM!</v>
      </c>
    </row>
    <row r="45" spans="2:35" x14ac:dyDescent="0.35">
      <c r="B45" s="129" t="s">
        <v>88</v>
      </c>
      <c r="C45" s="130"/>
      <c r="D45" s="131"/>
      <c r="E45" s="132"/>
      <c r="F45" s="133">
        <f t="shared" ref="F45:AI45" si="22">F41+F43</f>
        <v>4809.8249341841229</v>
      </c>
      <c r="G45" s="132">
        <f t="shared" si="22"/>
        <v>5111.9063372674982</v>
      </c>
      <c r="H45" s="132">
        <f t="shared" si="22"/>
        <v>5422.5072756430591</v>
      </c>
      <c r="I45" s="132">
        <f t="shared" si="22"/>
        <v>5741.9023084823421</v>
      </c>
      <c r="J45" s="134">
        <f t="shared" si="22"/>
        <v>6070.3758652668303</v>
      </c>
      <c r="K45" s="132">
        <f t="shared" si="22"/>
        <v>6408.2226272877579</v>
      </c>
      <c r="L45" s="132">
        <f t="shared" si="22"/>
        <v>6755.7479245150034</v>
      </c>
      <c r="M45" s="132">
        <f t="shared" si="22"/>
        <v>7113.2681484678087</v>
      </c>
      <c r="N45" s="132">
        <f t="shared" si="22"/>
        <v>7481.1111817463388</v>
      </c>
      <c r="O45" s="132">
        <f t="shared" si="22"/>
        <v>7859.6168449106353</v>
      </c>
      <c r="P45" s="132">
        <f t="shared" si="22"/>
        <v>8249.1373614219519</v>
      </c>
      <c r="Q45" s="132">
        <f t="shared" si="22"/>
        <v>8650.037841391415</v>
      </c>
      <c r="R45" s="132">
        <f t="shared" si="22"/>
        <v>9062.6967849117718</v>
      </c>
      <c r="S45" s="132">
        <f t="shared" si="22"/>
        <v>9487.5066057805252</v>
      </c>
      <c r="T45" s="134">
        <f t="shared" si="22"/>
        <v>9924.8741764562401</v>
      </c>
      <c r="U45" s="132">
        <f t="shared" si="22"/>
        <v>10375.221395125001</v>
      </c>
      <c r="V45" s="132">
        <f t="shared" si="22"/>
        <v>10838.985775790534</v>
      </c>
      <c r="W45" s="132">
        <f t="shared" si="22"/>
        <v>11316.62106233956</v>
      </c>
      <c r="X45" s="132">
        <f t="shared" si="22"/>
        <v>11808.59786757365</v>
      </c>
      <c r="Y45" s="132">
        <f t="shared" si="22"/>
        <v>12315.404338240163</v>
      </c>
      <c r="Z45" s="132">
        <f t="shared" si="22"/>
        <v>12837.546847138005</v>
      </c>
      <c r="AA45" s="132">
        <f t="shared" si="22"/>
        <v>13375.55071341863</v>
      </c>
      <c r="AB45" s="132">
        <f t="shared" si="22"/>
        <v>13929.96095224973</v>
      </c>
      <c r="AC45" s="132">
        <f t="shared" si="22"/>
        <v>14501.343055057543</v>
      </c>
      <c r="AD45" s="132">
        <f t="shared" si="22"/>
        <v>15090.283801614474</v>
      </c>
      <c r="AE45" s="132" t="e">
        <f t="shared" si="22"/>
        <v>#NUM!</v>
      </c>
      <c r="AF45" s="132" t="e">
        <f t="shared" si="22"/>
        <v>#NUM!</v>
      </c>
      <c r="AG45" s="132" t="e">
        <f t="shared" si="22"/>
        <v>#NUM!</v>
      </c>
      <c r="AH45" s="132" t="e">
        <f t="shared" si="22"/>
        <v>#NUM!</v>
      </c>
      <c r="AI45" s="135" t="e">
        <f t="shared" si="22"/>
        <v>#NUM!</v>
      </c>
    </row>
    <row r="46" spans="2:35" x14ac:dyDescent="0.35">
      <c r="B46" s="91" t="s">
        <v>29</v>
      </c>
      <c r="C46" s="150"/>
      <c r="D46" s="151"/>
      <c r="E46" s="95"/>
      <c r="F46" s="152">
        <f>F45/H9</f>
        <v>0.12603124520478523</v>
      </c>
      <c r="G46" s="153">
        <f>G45/H9</f>
        <v>0.13394664668088169</v>
      </c>
      <c r="H46" s="153">
        <f>H45/H9</f>
        <v>0.14208528448182003</v>
      </c>
      <c r="I46" s="153">
        <f>I45/H9</f>
        <v>0.15045435284746236</v>
      </c>
      <c r="J46" s="154">
        <f>J45/H9</f>
        <v>0.15906130464817608</v>
      </c>
      <c r="K46" s="153">
        <f>K45/H9</f>
        <v>0.16791386138122585</v>
      </c>
      <c r="L46" s="153">
        <f>L45/H9</f>
        <v>0.17702002356987989</v>
      </c>
      <c r="M46" s="153">
        <f>M45/H9</f>
        <v>0.18638808158181019</v>
      </c>
      <c r="N46" s="153">
        <f>N45/H9</f>
        <v>0.19602662688405459</v>
      </c>
      <c r="O46" s="153">
        <f>O45/H9</f>
        <v>0.20594456375253048</v>
      </c>
      <c r="P46" s="153">
        <f>P45/H9</f>
        <v>0.21615112145483481</v>
      </c>
      <c r="Q46" s="153">
        <f>Q45/H9</f>
        <v>0.22665586692585019</v>
      </c>
      <c r="R46" s="153">
        <f>R45/H9</f>
        <v>0.23746871795648414</v>
      </c>
      <c r="S46" s="153">
        <f>S45/H9</f>
        <v>0.24859995691672138</v>
      </c>
      <c r="T46" s="154">
        <f>T45/H9</f>
        <v>0.2600602450350461</v>
      </c>
      <c r="U46" s="153">
        <f>U45/H9</f>
        <v>0.27186063725721404</v>
      </c>
      <c r="V46" s="153">
        <f>V45/H9</f>
        <v>0.2840125977083105</v>
      </c>
      <c r="W46" s="153">
        <f>W45/H9</f>
        <v>0.29652801578302868</v>
      </c>
      <c r="X46" s="153">
        <f>X45/H9</f>
        <v>0.30941922289014179</v>
      </c>
      <c r="Y46" s="153">
        <f>Y45/H9</f>
        <v>0.32269900987822642</v>
      </c>
      <c r="Z46" s="153">
        <f>Z45/H9</f>
        <v>0.33638064517082322</v>
      </c>
      <c r="AA46" s="153">
        <f>AA45/H9</f>
        <v>0.35047789364039517</v>
      </c>
      <c r="AB46" s="153">
        <f>AB45/H9</f>
        <v>0.36500503625167158</v>
      </c>
      <c r="AC46" s="153">
        <f>AC45/H9</f>
        <v>0.37997689050624067</v>
      </c>
      <c r="AD46" s="153">
        <f>AD45/H9</f>
        <v>0.39540883172158064</v>
      </c>
      <c r="AE46" s="153" t="e">
        <f>AE45/H9</f>
        <v>#NUM!</v>
      </c>
      <c r="AF46" s="153" t="e">
        <f>AF45/H9</f>
        <v>#NUM!</v>
      </c>
      <c r="AG46" s="153" t="e">
        <f>AG45/H9</f>
        <v>#NUM!</v>
      </c>
      <c r="AH46" s="153" t="e">
        <f>AH45/H9</f>
        <v>#NUM!</v>
      </c>
      <c r="AI46" s="155" t="e">
        <f>AI45/H9</f>
        <v>#NUM!</v>
      </c>
    </row>
    <row r="47" spans="2:35" x14ac:dyDescent="0.35">
      <c r="E47" s="156"/>
      <c r="F47" s="157"/>
      <c r="G47" s="156"/>
      <c r="H47" s="156"/>
      <c r="I47" s="156"/>
      <c r="J47" s="158"/>
      <c r="K47" s="156"/>
      <c r="L47" s="156"/>
      <c r="M47" s="156"/>
      <c r="N47" s="156"/>
      <c r="O47" s="156"/>
      <c r="U47" s="159"/>
    </row>
    <row r="48" spans="2:35" x14ac:dyDescent="0.35">
      <c r="B48" s="160" t="s">
        <v>89</v>
      </c>
      <c r="C48" s="161"/>
      <c r="D48" s="162"/>
      <c r="E48" s="162"/>
      <c r="F48" s="163">
        <f>F39/F40</f>
        <v>1.2906344036512891</v>
      </c>
      <c r="G48" s="164">
        <f t="shared" ref="G48:AJ48" si="23">G39/G40</f>
        <v>1.316447091724315</v>
      </c>
      <c r="H48" s="164">
        <f t="shared" si="23"/>
        <v>1.3427760335588013</v>
      </c>
      <c r="I48" s="164">
        <f t="shared" si="23"/>
        <v>1.3696315542299773</v>
      </c>
      <c r="J48" s="165">
        <f t="shared" si="23"/>
        <v>1.3970241853145766</v>
      </c>
      <c r="K48" s="164">
        <f t="shared" si="23"/>
        <v>1.4249646690208682</v>
      </c>
      <c r="L48" s="164">
        <f t="shared" si="23"/>
        <v>1.4534639624012853</v>
      </c>
      <c r="M48" s="164">
        <f t="shared" si="23"/>
        <v>1.4825332416493113</v>
      </c>
      <c r="N48" s="164">
        <f t="shared" si="23"/>
        <v>1.5121839064822973</v>
      </c>
      <c r="O48" s="164">
        <f t="shared" si="23"/>
        <v>1.5424275846119437</v>
      </c>
      <c r="P48" s="164">
        <f t="shared" si="23"/>
        <v>1.5732761363041825</v>
      </c>
      <c r="Q48" s="164">
        <f t="shared" si="23"/>
        <v>1.6047416590302663</v>
      </c>
      <c r="R48" s="164">
        <f t="shared" si="23"/>
        <v>1.6368364922108716</v>
      </c>
      <c r="S48" s="164">
        <f t="shared" si="23"/>
        <v>1.6695732220550887</v>
      </c>
      <c r="T48" s="165">
        <f t="shared" si="23"/>
        <v>1.7029646864961907</v>
      </c>
      <c r="U48" s="166">
        <f t="shared" si="23"/>
        <v>1.7370239802261145</v>
      </c>
      <c r="V48" s="164">
        <f t="shared" si="23"/>
        <v>1.7717644598306368</v>
      </c>
      <c r="W48" s="164">
        <f t="shared" si="23"/>
        <v>1.8071997490272491</v>
      </c>
      <c r="X48" s="164">
        <f t="shared" si="23"/>
        <v>1.8433437440077947</v>
      </c>
      <c r="Y48" s="164">
        <f t="shared" si="23"/>
        <v>1.8802106188879504</v>
      </c>
      <c r="Z48" s="164">
        <f t="shared" si="23"/>
        <v>1.9178148312657097</v>
      </c>
      <c r="AA48" s="164">
        <f t="shared" si="23"/>
        <v>1.9561711278910243</v>
      </c>
      <c r="AB48" s="164">
        <f t="shared" si="23"/>
        <v>1.9952945504488444</v>
      </c>
      <c r="AC48" s="164">
        <f t="shared" si="23"/>
        <v>2.035200441457822</v>
      </c>
      <c r="AD48" s="164">
        <f t="shared" si="23"/>
        <v>2.0759044502869783</v>
      </c>
      <c r="AE48" s="164">
        <f t="shared" si="23"/>
        <v>2.1174225392927175</v>
      </c>
      <c r="AF48" s="164">
        <f t="shared" si="23"/>
        <v>2.1597709900785715</v>
      </c>
      <c r="AG48" s="164">
        <f t="shared" si="23"/>
        <v>2.2029664098801427</v>
      </c>
      <c r="AH48" s="164">
        <f t="shared" si="23"/>
        <v>2.2470257380777459</v>
      </c>
      <c r="AI48" s="167">
        <f t="shared" si="23"/>
        <v>2.2919662528393006</v>
      </c>
    </row>
    <row r="49" spans="2:35" x14ac:dyDescent="0.35">
      <c r="B49" s="6"/>
      <c r="C49" s="6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2:35" x14ac:dyDescent="0.35">
      <c r="B50" s="9"/>
    </row>
    <row r="51" spans="2:35" x14ac:dyDescent="0.35">
      <c r="B51" s="9" t="s">
        <v>90</v>
      </c>
      <c r="F51" s="168">
        <f>F43</f>
        <v>2674.5094169576105</v>
      </c>
      <c r="G51" s="168">
        <f t="shared" ref="G51:AI51" si="24">G43+F51</f>
        <v>5461.4522369985953</v>
      </c>
      <c r="H51" s="168">
        <f t="shared" si="24"/>
        <v>8365.5550354151419</v>
      </c>
      <c r="I51" s="168">
        <f t="shared" si="24"/>
        <v>11391.743087470972</v>
      </c>
      <c r="J51" s="168">
        <f t="shared" si="24"/>
        <v>14545.14872152729</v>
      </c>
      <c r="K51" s="168">
        <f t="shared" si="24"/>
        <v>17831.120023324856</v>
      </c>
      <c r="L51" s="168">
        <f t="shared" si="24"/>
        <v>21255.229906184395</v>
      </c>
      <c r="M51" s="168">
        <f t="shared" si="24"/>
        <v>24823.285562508157</v>
      </c>
      <c r="N51" s="168">
        <f t="shared" si="24"/>
        <v>28541.338312612101</v>
      </c>
      <c r="O51" s="168">
        <f t="shared" si="24"/>
        <v>32415.693867592021</v>
      </c>
      <c r="P51" s="168">
        <f t="shared" si="24"/>
        <v>36452.923023629177</v>
      </c>
      <c r="Q51" s="168">
        <f t="shared" si="24"/>
        <v>40659.872805872626</v>
      </c>
      <c r="R51" s="168">
        <f t="shared" si="24"/>
        <v>45043.678080798003</v>
      </c>
      <c r="S51" s="168">
        <f>S43+R51</f>
        <v>49611.773656736943</v>
      </c>
      <c r="T51" s="168">
        <f>T43+S51</f>
        <v>54371.906893099294</v>
      </c>
      <c r="U51" s="168">
        <f t="shared" si="24"/>
        <v>59332.150839673057</v>
      </c>
      <c r="V51" s="168">
        <f t="shared" si="24"/>
        <v>64500.917928285853</v>
      </c>
      <c r="W51" s="168">
        <f t="shared" si="24"/>
        <v>69886.974240048658</v>
      </c>
      <c r="X51" s="168">
        <f t="shared" si="24"/>
        <v>75499.454372378546</v>
      </c>
      <c r="Y51" s="168">
        <f t="shared" si="24"/>
        <v>81347.876931014602</v>
      </c>
      <c r="Z51" s="168">
        <f t="shared" si="24"/>
        <v>87442.160673300939</v>
      </c>
      <c r="AA51" s="168">
        <f t="shared" si="24"/>
        <v>93792.641330115395</v>
      </c>
      <c r="AB51" s="168">
        <f t="shared" si="24"/>
        <v>100410.0891349734</v>
      </c>
      <c r="AC51" s="168">
        <f t="shared" si="24"/>
        <v>107305.72709003591</v>
      </c>
      <c r="AD51" s="168">
        <f t="shared" si="24"/>
        <v>114491.25</v>
      </c>
      <c r="AE51" s="168" t="e">
        <f t="shared" si="24"/>
        <v>#NUM!</v>
      </c>
      <c r="AF51" s="168" t="e">
        <f t="shared" si="24"/>
        <v>#NUM!</v>
      </c>
      <c r="AG51" s="168" t="e">
        <f t="shared" si="24"/>
        <v>#NUM!</v>
      </c>
      <c r="AH51" s="168" t="e">
        <f t="shared" si="24"/>
        <v>#NUM!</v>
      </c>
      <c r="AI51" s="168" t="e">
        <f t="shared" si="24"/>
        <v>#NUM!</v>
      </c>
    </row>
    <row r="52" spans="2:35" x14ac:dyDescent="0.35">
      <c r="B52" s="9" t="s">
        <v>91</v>
      </c>
      <c r="F52" s="169">
        <f>H4-F51</f>
        <v>111816.7405830424</v>
      </c>
      <c r="G52" s="169">
        <f>H4-G51</f>
        <v>109029.79776300141</v>
      </c>
      <c r="H52" s="169">
        <f>H4-H51</f>
        <v>106125.69496458487</v>
      </c>
      <c r="I52" s="169">
        <f>H4-I51</f>
        <v>103099.50691252903</v>
      </c>
      <c r="J52" s="169">
        <f>H4-J51</f>
        <v>99946.101278472706</v>
      </c>
      <c r="K52" s="169">
        <f>H4-K51</f>
        <v>96660.129976675147</v>
      </c>
      <c r="L52" s="169">
        <f>H4-L51</f>
        <v>93236.020093815605</v>
      </c>
      <c r="M52" s="169">
        <f>H4-M51</f>
        <v>89667.964437491843</v>
      </c>
      <c r="N52" s="169">
        <f>H4-N51</f>
        <v>85949.911687387896</v>
      </c>
      <c r="O52" s="169">
        <f>H4-O51</f>
        <v>82075.556132407975</v>
      </c>
      <c r="P52" s="169">
        <f>H4-P51</f>
        <v>78038.326976370823</v>
      </c>
      <c r="Q52" s="169">
        <f>H4-Q51</f>
        <v>73831.377194127374</v>
      </c>
      <c r="R52" s="169">
        <f>H4-R51</f>
        <v>69447.57191920199</v>
      </c>
      <c r="S52" s="169">
        <f>H4-S51</f>
        <v>64879.476343263057</v>
      </c>
      <c r="T52" s="169">
        <f>H4-T51</f>
        <v>60119.343106900706</v>
      </c>
      <c r="U52" s="169">
        <f>H4-U51</f>
        <v>55159.099160326943</v>
      </c>
      <c r="V52" s="169">
        <f>H4-V51</f>
        <v>49990.332071714147</v>
      </c>
      <c r="W52" s="169">
        <f>H4-W51</f>
        <v>44604.275759951342</v>
      </c>
      <c r="X52" s="169">
        <f>H4-X51</f>
        <v>38991.795627621454</v>
      </c>
      <c r="Y52" s="169">
        <f>H4-Y51</f>
        <v>33143.373068985398</v>
      </c>
      <c r="Z52" s="169">
        <f>H4-Z51</f>
        <v>27049.089326699061</v>
      </c>
      <c r="AA52" s="169">
        <f>H4-AA51</f>
        <v>20698.608669884605</v>
      </c>
      <c r="AB52" s="169">
        <f>H4-AB51</f>
        <v>14081.160865026599</v>
      </c>
      <c r="AC52" s="169">
        <f>H4-AC51</f>
        <v>7185.5229099640856</v>
      </c>
      <c r="AD52" s="169">
        <f>H4-AD51</f>
        <v>0</v>
      </c>
      <c r="AE52" s="169" t="e">
        <f>H4-AE51</f>
        <v>#NUM!</v>
      </c>
      <c r="AF52" s="169" t="e">
        <f>H4-AF51</f>
        <v>#NUM!</v>
      </c>
      <c r="AG52" s="169" t="e">
        <f>H4-AG51</f>
        <v>#NUM!</v>
      </c>
      <c r="AH52" s="169" t="e">
        <f>H4-AH51</f>
        <v>#NUM!</v>
      </c>
      <c r="AI52" s="169" t="e">
        <f>H4-AI51</f>
        <v>#NUM!</v>
      </c>
    </row>
    <row r="54" spans="2:35" ht="15" thickBot="1" x14ac:dyDescent="0.4"/>
    <row r="55" spans="2:35" ht="15" thickBot="1" x14ac:dyDescent="0.4">
      <c r="B55" s="170" t="s">
        <v>92</v>
      </c>
      <c r="C55" s="171"/>
      <c r="D55" s="171"/>
      <c r="E55" s="172"/>
    </row>
    <row r="56" spans="2:35" ht="15" thickBot="1" x14ac:dyDescent="0.4">
      <c r="B56" s="173" t="s">
        <v>93</v>
      </c>
      <c r="C56" s="174" t="s">
        <v>94</v>
      </c>
      <c r="D56" s="174" t="s">
        <v>95</v>
      </c>
      <c r="E56" s="175" t="s">
        <v>96</v>
      </c>
    </row>
    <row r="57" spans="2:35" x14ac:dyDescent="0.35">
      <c r="B57" s="176" t="s">
        <v>97</v>
      </c>
      <c r="C57" s="177">
        <v>25</v>
      </c>
      <c r="D57" s="178">
        <v>8000</v>
      </c>
      <c r="E57" s="179">
        <f>D57/C57</f>
        <v>320</v>
      </c>
      <c r="F57" s="180"/>
    </row>
    <row r="58" spans="2:35" x14ac:dyDescent="0.35">
      <c r="B58" s="181" t="s">
        <v>98</v>
      </c>
      <c r="C58" s="180">
        <v>20</v>
      </c>
      <c r="D58" s="182">
        <v>5000</v>
      </c>
      <c r="E58" s="183">
        <f t="shared" ref="E58:E63" si="25">D58/C58</f>
        <v>250</v>
      </c>
      <c r="F58" s="180"/>
      <c r="U58" s="184"/>
      <c r="V58" s="184"/>
      <c r="W58" s="184"/>
      <c r="X58" s="185"/>
    </row>
    <row r="59" spans="2:35" x14ac:dyDescent="0.35">
      <c r="B59" s="181" t="s">
        <v>99</v>
      </c>
      <c r="C59" s="180">
        <v>10</v>
      </c>
      <c r="D59" s="182">
        <v>1000</v>
      </c>
      <c r="E59" s="183">
        <f t="shared" si="25"/>
        <v>100</v>
      </c>
      <c r="F59" s="180"/>
      <c r="U59" s="184"/>
      <c r="V59" s="184"/>
      <c r="W59" s="184"/>
      <c r="X59" s="185"/>
    </row>
    <row r="60" spans="2:35" x14ac:dyDescent="0.35">
      <c r="B60" s="181" t="s">
        <v>100</v>
      </c>
      <c r="C60" s="180">
        <v>40</v>
      </c>
      <c r="D60" s="182">
        <v>5000</v>
      </c>
      <c r="E60" s="183">
        <f t="shared" si="25"/>
        <v>125</v>
      </c>
      <c r="F60" s="180"/>
      <c r="U60" s="184"/>
      <c r="V60" s="184"/>
      <c r="W60" s="184"/>
      <c r="X60" s="185"/>
    </row>
    <row r="61" spans="2:35" x14ac:dyDescent="0.35">
      <c r="B61" s="181" t="s">
        <v>101</v>
      </c>
      <c r="C61" s="180">
        <v>40</v>
      </c>
      <c r="D61" s="182">
        <v>5000</v>
      </c>
      <c r="E61" s="183">
        <f t="shared" si="25"/>
        <v>125</v>
      </c>
      <c r="F61" s="180"/>
      <c r="U61" s="184"/>
      <c r="V61" s="184"/>
      <c r="W61" s="184"/>
      <c r="X61" s="185"/>
    </row>
    <row r="62" spans="2:35" x14ac:dyDescent="0.35">
      <c r="B62" s="181" t="s">
        <v>102</v>
      </c>
      <c r="C62" s="180">
        <v>6</v>
      </c>
      <c r="D62" s="182">
        <v>2000</v>
      </c>
      <c r="E62" s="183">
        <f t="shared" si="25"/>
        <v>333.33333333333331</v>
      </c>
      <c r="F62" s="180"/>
      <c r="U62" s="184"/>
      <c r="V62" s="184"/>
      <c r="W62" s="184"/>
      <c r="X62" s="184"/>
    </row>
    <row r="63" spans="2:35" ht="15" thickBot="1" x14ac:dyDescent="0.4">
      <c r="B63" s="181" t="s">
        <v>103</v>
      </c>
      <c r="C63" s="180">
        <v>30</v>
      </c>
      <c r="D63" s="182">
        <v>2000</v>
      </c>
      <c r="E63" s="183">
        <f t="shared" si="25"/>
        <v>66.666666666666671</v>
      </c>
      <c r="F63" s="180"/>
      <c r="U63" s="184"/>
      <c r="V63" s="184"/>
      <c r="W63" s="184"/>
      <c r="X63" s="184"/>
    </row>
    <row r="64" spans="2:35" x14ac:dyDescent="0.35">
      <c r="B64" s="186" t="s">
        <v>104</v>
      </c>
      <c r="C64" s="187"/>
      <c r="D64" s="188"/>
      <c r="E64" s="189">
        <f>SUM(E57:E63)</f>
        <v>1320</v>
      </c>
      <c r="F64" s="180"/>
      <c r="U64" s="184"/>
      <c r="V64" s="184"/>
      <c r="W64" s="184"/>
      <c r="X64" s="184"/>
    </row>
    <row r="65" spans="2:18" ht="15" thickBot="1" x14ac:dyDescent="0.4">
      <c r="B65" s="190" t="s">
        <v>105</v>
      </c>
      <c r="C65" s="191"/>
      <c r="D65" s="192"/>
      <c r="E65" s="193">
        <f>E64/12</f>
        <v>110</v>
      </c>
      <c r="F65" s="180"/>
    </row>
    <row r="70" spans="2:18" x14ac:dyDescent="0.35">
      <c r="P70" s="194"/>
      <c r="Q70" s="194"/>
      <c r="R70" s="194"/>
    </row>
    <row r="71" spans="2:18" x14ac:dyDescent="0.35">
      <c r="P71" s="195"/>
      <c r="Q71" s="195"/>
      <c r="R71" s="196"/>
    </row>
    <row r="73" spans="2:18" x14ac:dyDescent="0.35">
      <c r="P73" s="194"/>
      <c r="Q73" s="194"/>
      <c r="R73" s="194"/>
    </row>
    <row r="74" spans="2:18" x14ac:dyDescent="0.35">
      <c r="P74" s="195"/>
      <c r="Q74" s="195"/>
      <c r="R74" s="196"/>
    </row>
    <row r="76" spans="2:18" x14ac:dyDescent="0.35">
      <c r="P76" s="194"/>
      <c r="Q76" s="194"/>
      <c r="R76" s="194"/>
    </row>
    <row r="77" spans="2:18" x14ac:dyDescent="0.35">
      <c r="P77" s="195"/>
      <c r="Q77" s="195"/>
      <c r="R77" s="196"/>
    </row>
    <row r="79" spans="2:18" x14ac:dyDescent="0.35">
      <c r="P79" s="194"/>
      <c r="Q79" s="194"/>
      <c r="R79" s="194"/>
    </row>
    <row r="80" spans="2:18" x14ac:dyDescent="0.35">
      <c r="P80" s="195"/>
      <c r="Q80" s="195"/>
      <c r="R80" s="197"/>
    </row>
    <row r="82" spans="16:18" x14ac:dyDescent="0.35">
      <c r="P82" s="194"/>
      <c r="Q82" s="194"/>
      <c r="R82" s="194"/>
    </row>
    <row r="83" spans="16:18" x14ac:dyDescent="0.35">
      <c r="P83" s="195"/>
      <c r="Q83" s="195"/>
      <c r="R83" s="196"/>
    </row>
  </sheetData>
  <mergeCells count="44">
    <mergeCell ref="B41:C41"/>
    <mergeCell ref="B43:C43"/>
    <mergeCell ref="B45:C45"/>
    <mergeCell ref="B49:C49"/>
    <mergeCell ref="B55:E55"/>
    <mergeCell ref="B30:C30"/>
    <mergeCell ref="B31:C31"/>
    <mergeCell ref="B32:C32"/>
    <mergeCell ref="B38:C38"/>
    <mergeCell ref="B39:C39"/>
    <mergeCell ref="B40:C40"/>
    <mergeCell ref="B24:C24"/>
    <mergeCell ref="B25:C25"/>
    <mergeCell ref="B26:C26"/>
    <mergeCell ref="B27:C27"/>
    <mergeCell ref="B28:C28"/>
    <mergeCell ref="B29:C29"/>
    <mergeCell ref="B9:C9"/>
    <mergeCell ref="J9:K9"/>
    <mergeCell ref="N9:O9"/>
    <mergeCell ref="B12:D12"/>
    <mergeCell ref="B13:D13"/>
    <mergeCell ref="B23:C23"/>
    <mergeCell ref="B7:C7"/>
    <mergeCell ref="J7:K7"/>
    <mergeCell ref="N7:O7"/>
    <mergeCell ref="B8:C8"/>
    <mergeCell ref="J8:K8"/>
    <mergeCell ref="N8:O8"/>
    <mergeCell ref="B4:C4"/>
    <mergeCell ref="J4:K4"/>
    <mergeCell ref="N4:O4"/>
    <mergeCell ref="B5:C5"/>
    <mergeCell ref="N5:O5"/>
    <mergeCell ref="B6:C6"/>
    <mergeCell ref="J6:L6"/>
    <mergeCell ref="N6:O6"/>
    <mergeCell ref="B2:D2"/>
    <mergeCell ref="F2:H2"/>
    <mergeCell ref="J2:L2"/>
    <mergeCell ref="N2:P2"/>
    <mergeCell ref="B3:C3"/>
    <mergeCell ref="J3:K3"/>
    <mergeCell ref="N3:O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Buy &amp; 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Scott</dc:creator>
  <cp:lastModifiedBy>J Scott</cp:lastModifiedBy>
  <dcterms:created xsi:type="dcterms:W3CDTF">2022-10-10T14:12:35Z</dcterms:created>
  <dcterms:modified xsi:type="dcterms:W3CDTF">2022-10-10T14:13:08Z</dcterms:modified>
</cp:coreProperties>
</file>