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8_{C7DB3A3E-4732-4536-BD86-C8E76C44F3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 HERE Instructions" sheetId="1" r:id="rId1"/>
    <sheet name="Summary" sheetId="2" r:id="rId2"/>
    <sheet name="Input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AH13" i="3"/>
  <c r="AH12" i="3"/>
  <c r="D43" i="2" s="1"/>
  <c r="AF10" i="3"/>
  <c r="AD10" i="3"/>
  <c r="AB10" i="3"/>
  <c r="Z10" i="3"/>
  <c r="X10" i="3"/>
  <c r="V10" i="3"/>
  <c r="T10" i="3"/>
  <c r="R10" i="3"/>
  <c r="P10" i="3"/>
  <c r="N10" i="3"/>
  <c r="L10" i="3"/>
  <c r="J10" i="3"/>
  <c r="H10" i="3"/>
  <c r="F10" i="3"/>
  <c r="D10" i="3"/>
  <c r="B10" i="3"/>
  <c r="D9" i="3"/>
  <c r="AH9" i="3" s="1"/>
  <c r="D41" i="2" s="1"/>
  <c r="AH8" i="3"/>
  <c r="D40" i="2" s="1"/>
  <c r="D42" i="2" s="1"/>
  <c r="AF6" i="3"/>
  <c r="AF15" i="3" s="1"/>
  <c r="AD6" i="3"/>
  <c r="AD15" i="3" s="1"/>
  <c r="AB6" i="3"/>
  <c r="AB15" i="3" s="1"/>
  <c r="Z6" i="3"/>
  <c r="Z15" i="3" s="1"/>
  <c r="X6" i="3"/>
  <c r="X15" i="3" s="1"/>
  <c r="V6" i="3"/>
  <c r="V15" i="3" s="1"/>
  <c r="T6" i="3"/>
  <c r="T15" i="3" s="1"/>
  <c r="R6" i="3"/>
  <c r="R15" i="3" s="1"/>
  <c r="P6" i="3"/>
  <c r="P15" i="3" s="1"/>
  <c r="N6" i="3"/>
  <c r="N15" i="3" s="1"/>
  <c r="L6" i="3"/>
  <c r="L15" i="3" s="1"/>
  <c r="J6" i="3"/>
  <c r="J15" i="3" s="1"/>
  <c r="H6" i="3"/>
  <c r="H15" i="3" s="1"/>
  <c r="F6" i="3"/>
  <c r="F15" i="3" s="1"/>
  <c r="D6" i="3"/>
  <c r="D15" i="3" s="1"/>
  <c r="B6" i="3"/>
  <c r="AH5" i="3"/>
  <c r="AH4" i="3"/>
  <c r="AH6" i="3" s="1"/>
  <c r="D44" i="2"/>
  <c r="D31" i="2"/>
  <c r="E33" i="2" s="1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E27" i="2" s="1"/>
  <c r="C10" i="2"/>
  <c r="E35" i="2" l="1"/>
  <c r="E47" i="2" s="1"/>
  <c r="E49" i="2" s="1"/>
  <c r="AH10" i="3"/>
  <c r="AH15" i="3" s="1"/>
</calcChain>
</file>

<file path=xl/sharedStrings.xml><?xml version="1.0" encoding="utf-8"?>
<sst xmlns="http://schemas.openxmlformats.org/spreadsheetml/2006/main" count="33" uniqueCount="33">
  <si>
    <t>*Please make a COPY of this Google Sheet in order to edit</t>
  </si>
  <si>
    <t xml:space="preserve">Questions? A team member from REI Nation is a phone call away! </t>
  </si>
  <si>
    <t>PORTFOLIO OF</t>
  </si>
  <si>
    <t xml:space="preserve">INVESTMENT SUMMARY </t>
  </si>
  <si>
    <t>REVENUE</t>
  </si>
  <si>
    <t>TOTAL REVENUE</t>
  </si>
  <si>
    <t>EXPENSES</t>
  </si>
  <si>
    <t>Management Fees &amp; Maintenance Improvements</t>
  </si>
  <si>
    <t>TOTAL EXPENSES</t>
  </si>
  <si>
    <t>NET OPERATING INCOME</t>
  </si>
  <si>
    <t>PORTFOLIO INVESTMENT DETAILS</t>
  </si>
  <si>
    <t>Initial Investment at Purchase</t>
  </si>
  <si>
    <t>Additional Capital Contributions</t>
  </si>
  <si>
    <t>Total Investment</t>
  </si>
  <si>
    <t>Property Appreciation</t>
  </si>
  <si>
    <t>Average Months Owned</t>
  </si>
  <si>
    <t>TOTAL RETURN ON INVESTMENT</t>
  </si>
  <si>
    <t>ANNUALIZED RETURN ON INVESTMENT</t>
  </si>
  <si>
    <t>This analysis is performed based on information available to us.  Factors such as leverage, insurance deductibles, and other costs incurred by choice of the investor can affect these results.</t>
  </si>
  <si>
    <t>Portfolio Analysis of [YOUR NAME]</t>
  </si>
  <si>
    <t>As of [DATE]</t>
  </si>
  <si>
    <t>Example Property 1</t>
  </si>
  <si>
    <t>Example Property 2</t>
  </si>
  <si>
    <t>Totals</t>
  </si>
  <si>
    <t>Gross Revenue</t>
  </si>
  <si>
    <t>Repairs/Mgmt Fees</t>
  </si>
  <si>
    <t>Net Income</t>
  </si>
  <si>
    <t>Purchase Price</t>
  </si>
  <si>
    <t>Capital Contributions</t>
  </si>
  <si>
    <t>TOTAL INVESTMENT</t>
  </si>
  <si>
    <t>Current Property Value</t>
  </si>
  <si>
    <t>Months owned</t>
  </si>
  <si>
    <t>Annualized ROI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</si>
</sst>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"/>
  </numFmts>
  <fonts count="22" x14ac:knownFonts="1">
    <font>
      <sz val="10"/>
      <color rgb="FF000000"/>
      <name val="Arial"/>
      <scheme val="minor"/>
    </font>
    <font>
      <u/>
      <sz val="14"/>
      <color rgb="FF5A5A5A"/>
      <name val="Calibri"/>
      <family val="2"/>
    </font>
    <font>
      <b/>
      <u/>
      <sz val="14"/>
      <color rgb="FF5A5A5A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24"/>
      <color rgb="FF17365D"/>
      <name val="Arial"/>
      <family val="2"/>
    </font>
    <font>
      <sz val="24"/>
      <color rgb="FF17365D"/>
      <name val="Arial"/>
      <family val="2"/>
    </font>
    <font>
      <sz val="20"/>
      <color rgb="FF000000"/>
      <name val="Arial"/>
      <family val="2"/>
    </font>
    <font>
      <b/>
      <sz val="20"/>
      <color rgb="FF000000"/>
      <name val="Arial"/>
      <family val="2"/>
    </font>
    <font>
      <sz val="20"/>
      <color theme="1"/>
      <name val="Arial"/>
      <family val="2"/>
    </font>
    <font>
      <sz val="20"/>
      <color theme="1"/>
      <name val="Inconsolata"/>
    </font>
    <font>
      <sz val="18"/>
      <color rgb="FF000000"/>
      <name val="Arial"/>
      <family val="2"/>
    </font>
    <font>
      <sz val="15"/>
      <color rgb="FF0000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4"/>
      <color rgb="FF0000FF"/>
      <name val="Impact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4" fillId="2" borderId="0" xfId="0" applyFont="1" applyFill="1"/>
    <xf numFmtId="0" fontId="7" fillId="3" borderId="0" xfId="0" applyFont="1" applyFill="1"/>
    <xf numFmtId="0" fontId="7" fillId="0" borderId="0" xfId="0" applyFont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165" fontId="7" fillId="4" borderId="0" xfId="0" applyNumberFormat="1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right"/>
    </xf>
    <xf numFmtId="165" fontId="8" fillId="4" borderId="0" xfId="0" applyNumberFormat="1" applyFont="1" applyFill="1"/>
    <xf numFmtId="165" fontId="7" fillId="4" borderId="1" xfId="0" applyNumberFormat="1" applyFont="1" applyFill="1" applyBorder="1"/>
    <xf numFmtId="165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10" fontId="8" fillId="4" borderId="0" xfId="0" applyNumberFormat="1" applyFont="1" applyFill="1" applyAlignment="1">
      <alignment horizontal="right"/>
    </xf>
    <xf numFmtId="0" fontId="14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5" xfId="0" applyFont="1" applyBorder="1"/>
    <xf numFmtId="165" fontId="15" fillId="0" borderId="0" xfId="0" applyNumberFormat="1" applyFont="1" applyAlignment="1">
      <alignment horizontal="right"/>
    </xf>
    <xf numFmtId="165" fontId="14" fillId="0" borderId="5" xfId="0" applyNumberFormat="1" applyFont="1" applyBorder="1"/>
    <xf numFmtId="165" fontId="14" fillId="0" borderId="5" xfId="0" applyNumberFormat="1" applyFont="1" applyBorder="1" applyAlignment="1">
      <alignment horizontal="right"/>
    </xf>
    <xf numFmtId="165" fontId="14" fillId="0" borderId="9" xfId="0" applyNumberFormat="1" applyFont="1" applyBorder="1"/>
    <xf numFmtId="165" fontId="14" fillId="0" borderId="10" xfId="0" applyNumberFormat="1" applyFont="1" applyBorder="1"/>
    <xf numFmtId="165" fontId="14" fillId="0" borderId="10" xfId="0" applyNumberFormat="1" applyFont="1" applyBorder="1" applyAlignment="1">
      <alignment horizontal="right"/>
    </xf>
    <xf numFmtId="0" fontId="16" fillId="0" borderId="2" xfId="0" applyFont="1" applyBorder="1"/>
    <xf numFmtId="165" fontId="17" fillId="0" borderId="0" xfId="0" applyNumberFormat="1" applyFont="1" applyAlignment="1">
      <alignment horizontal="right"/>
    </xf>
    <xf numFmtId="165" fontId="16" fillId="0" borderId="0" xfId="0" applyNumberFormat="1" applyFont="1"/>
    <xf numFmtId="165" fontId="16" fillId="0" borderId="0" xfId="0" applyNumberFormat="1" applyFont="1" applyAlignment="1">
      <alignment horizontal="right"/>
    </xf>
    <xf numFmtId="0" fontId="18" fillId="0" borderId="0" xfId="0" applyFont="1"/>
    <xf numFmtId="0" fontId="14" fillId="0" borderId="11" xfId="0" applyFont="1" applyBorder="1"/>
    <xf numFmtId="0" fontId="16" fillId="0" borderId="0" xfId="0" applyFont="1"/>
    <xf numFmtId="165" fontId="16" fillId="0" borderId="5" xfId="0" applyNumberFormat="1" applyFont="1" applyBorder="1"/>
    <xf numFmtId="165" fontId="16" fillId="0" borderId="5" xfId="0" applyNumberFormat="1" applyFont="1" applyBorder="1" applyAlignment="1">
      <alignment horizontal="right"/>
    </xf>
    <xf numFmtId="0" fontId="19" fillId="0" borderId="0" xfId="0" applyFont="1"/>
    <xf numFmtId="0" fontId="14" fillId="0" borderId="5" xfId="0" applyFont="1" applyBorder="1" applyAlignment="1">
      <alignment horizontal="right"/>
    </xf>
    <xf numFmtId="0" fontId="16" fillId="0" borderId="5" xfId="0" applyFont="1" applyBorder="1"/>
    <xf numFmtId="0" fontId="15" fillId="0" borderId="0" xfId="0" applyFont="1" applyAlignment="1">
      <alignment horizontal="right"/>
    </xf>
    <xf numFmtId="10" fontId="14" fillId="0" borderId="5" xfId="0" applyNumberFormat="1" applyFont="1" applyBorder="1" applyAlignment="1">
      <alignment horizontal="right"/>
    </xf>
    <xf numFmtId="0" fontId="20" fillId="0" borderId="5" xfId="0" applyFont="1" applyBorder="1"/>
    <xf numFmtId="0" fontId="21" fillId="0" borderId="0" xfId="0" applyFont="1" applyAlignment="1">
      <alignment horizontal="center" vertical="center"/>
    </xf>
    <xf numFmtId="0" fontId="0" fillId="0" borderId="0" xfId="0"/>
    <xf numFmtId="0" fontId="11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0" fontId="4" fillId="2" borderId="0" xfId="0" applyFont="1" applyFill="1"/>
    <xf numFmtId="0" fontId="6" fillId="3" borderId="0" xfId="0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0" borderId="0" xfId="0" applyFont="1"/>
    <xf numFmtId="0" fontId="8" fillId="4" borderId="0" xfId="0" applyFont="1" applyFill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</xdr:row>
      <xdr:rowOff>-85725</xdr:rowOff>
    </xdr:from>
    <xdr:ext cx="8210550" cy="106299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1247775</xdr:colOff>
      <xdr:row>0</xdr:row>
      <xdr:rowOff>152400</xdr:rowOff>
    </xdr:from>
    <xdr:ext cx="2286000" cy="1219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fo.reination.com/portfolio-analysis-tool-help-reque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2"/>
  <sheetViews>
    <sheetView topLeftCell="A31" workbookViewId="0">
      <selection activeCell="B51" sqref="B51:H52"/>
    </sheetView>
  </sheetViews>
  <sheetFormatPr defaultColWidth="12.6640625" defaultRowHeight="15.75" customHeight="1" x14ac:dyDescent="0.25"/>
  <sheetData>
    <row r="1" spans="1:26" ht="18" x14ac:dyDescent="0.25">
      <c r="A1" s="1"/>
      <c r="B1" s="1"/>
      <c r="C1" s="1"/>
      <c r="D1" s="1"/>
      <c r="E1" s="1"/>
      <c r="F1" s="1"/>
      <c r="G1" s="1"/>
      <c r="H1" s="1"/>
    </row>
    <row r="2" spans="1:26" ht="18" x14ac:dyDescent="0.25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x14ac:dyDescent="0.25">
      <c r="A3" s="1"/>
      <c r="B3" s="1"/>
      <c r="C3" s="1"/>
      <c r="D3" s="1"/>
      <c r="E3" s="1"/>
      <c r="F3" s="1"/>
      <c r="G3" s="1"/>
      <c r="H3" s="1"/>
    </row>
    <row r="4" spans="1:26" ht="18" x14ac:dyDescent="0.25">
      <c r="A4" s="1"/>
      <c r="B4" s="1"/>
      <c r="C4" s="1"/>
      <c r="D4" s="1"/>
      <c r="E4" s="1"/>
      <c r="F4" s="1"/>
      <c r="G4" s="1"/>
      <c r="H4" s="1"/>
    </row>
    <row r="5" spans="1:26" ht="18" x14ac:dyDescent="0.25">
      <c r="A5" s="1"/>
      <c r="B5" s="1"/>
      <c r="C5" s="1"/>
      <c r="D5" s="1"/>
      <c r="E5" s="1"/>
      <c r="F5" s="1"/>
      <c r="G5" s="1"/>
      <c r="H5" s="1"/>
    </row>
    <row r="6" spans="1:26" ht="18" x14ac:dyDescent="0.25">
      <c r="A6" s="1"/>
      <c r="B6" s="1"/>
      <c r="C6" s="1"/>
      <c r="D6" s="1"/>
      <c r="E6" s="1"/>
      <c r="F6" s="1"/>
      <c r="G6" s="1"/>
      <c r="H6" s="1"/>
    </row>
    <row r="7" spans="1:26" ht="18" x14ac:dyDescent="0.25">
      <c r="A7" s="1"/>
      <c r="B7" s="1"/>
      <c r="C7" s="1"/>
      <c r="D7" s="1"/>
      <c r="E7" s="1"/>
      <c r="F7" s="1"/>
      <c r="G7" s="1"/>
      <c r="H7" s="1"/>
    </row>
    <row r="8" spans="1:26" ht="18" x14ac:dyDescent="0.25">
      <c r="A8" s="1"/>
      <c r="B8" s="1"/>
      <c r="C8" s="1"/>
      <c r="D8" s="1"/>
      <c r="E8" s="1"/>
      <c r="F8" s="1"/>
      <c r="G8" s="1"/>
      <c r="H8" s="1"/>
    </row>
    <row r="9" spans="1:26" ht="18" x14ac:dyDescent="0.25">
      <c r="A9" s="1"/>
      <c r="B9" s="1"/>
      <c r="C9" s="1"/>
      <c r="D9" s="1"/>
      <c r="E9" s="1"/>
      <c r="F9" s="1"/>
      <c r="G9" s="1"/>
      <c r="H9" s="1"/>
    </row>
    <row r="10" spans="1:26" ht="18" x14ac:dyDescent="0.25">
      <c r="A10" s="1"/>
      <c r="B10" s="1"/>
      <c r="C10" s="1"/>
      <c r="D10" s="1"/>
      <c r="E10" s="1"/>
      <c r="F10" s="1"/>
      <c r="G10" s="1"/>
      <c r="H10" s="1"/>
    </row>
    <row r="11" spans="1:26" ht="18" x14ac:dyDescent="0.25">
      <c r="A11" s="1"/>
      <c r="B11" s="1"/>
      <c r="C11" s="1"/>
      <c r="D11" s="1"/>
      <c r="E11" s="1"/>
      <c r="F11" s="1"/>
      <c r="G11" s="1"/>
      <c r="H11" s="1"/>
    </row>
    <row r="12" spans="1:26" ht="18" x14ac:dyDescent="0.25">
      <c r="A12" s="1"/>
      <c r="B12" s="1"/>
      <c r="C12" s="1"/>
      <c r="D12" s="1"/>
      <c r="E12" s="1"/>
      <c r="F12" s="1"/>
      <c r="G12" s="1"/>
      <c r="H12" s="1"/>
    </row>
    <row r="13" spans="1:26" ht="18" x14ac:dyDescent="0.25">
      <c r="A13" s="1"/>
      <c r="B13" s="1"/>
      <c r="C13" s="1"/>
      <c r="D13" s="1"/>
      <c r="E13" s="1"/>
      <c r="F13" s="1"/>
      <c r="G13" s="1"/>
      <c r="H13" s="1"/>
    </row>
    <row r="14" spans="1:26" ht="18" x14ac:dyDescent="0.25">
      <c r="A14" s="1"/>
      <c r="B14" s="1"/>
      <c r="C14" s="1"/>
      <c r="D14" s="1"/>
      <c r="E14" s="1"/>
      <c r="F14" s="1"/>
      <c r="G14" s="1"/>
      <c r="H14" s="1"/>
    </row>
    <row r="15" spans="1:26" ht="18" x14ac:dyDescent="0.25">
      <c r="A15" s="1"/>
      <c r="B15" s="1"/>
      <c r="C15" s="1"/>
      <c r="D15" s="1"/>
      <c r="E15" s="1"/>
      <c r="F15" s="1"/>
      <c r="G15" s="1"/>
      <c r="H15" s="1"/>
    </row>
    <row r="16" spans="1:26" ht="18" x14ac:dyDescent="0.25">
      <c r="A16" s="1"/>
      <c r="B16" s="1"/>
      <c r="C16" s="1"/>
      <c r="D16" s="1"/>
      <c r="E16" s="1"/>
      <c r="F16" s="1"/>
      <c r="G16" s="1"/>
      <c r="H16" s="1"/>
    </row>
    <row r="17" spans="1:8" ht="18" x14ac:dyDescent="0.25">
      <c r="A17" s="1"/>
      <c r="B17" s="1"/>
      <c r="C17" s="1"/>
      <c r="D17" s="1"/>
      <c r="E17" s="1"/>
      <c r="F17" s="1"/>
      <c r="G17" s="1"/>
      <c r="H17" s="1"/>
    </row>
    <row r="18" spans="1:8" ht="18" x14ac:dyDescent="0.25">
      <c r="A18" s="1"/>
      <c r="B18" s="1"/>
      <c r="C18" s="1"/>
      <c r="D18" s="1"/>
      <c r="E18" s="1"/>
      <c r="F18" s="1"/>
      <c r="G18" s="1"/>
      <c r="H18" s="1"/>
    </row>
    <row r="19" spans="1:8" ht="18" x14ac:dyDescent="0.25">
      <c r="A19" s="1"/>
      <c r="B19" s="1"/>
      <c r="C19" s="1"/>
      <c r="D19" s="1"/>
      <c r="E19" s="1"/>
      <c r="F19" s="1"/>
      <c r="G19" s="1"/>
      <c r="H19" s="1"/>
    </row>
    <row r="20" spans="1:8" ht="18" x14ac:dyDescent="0.25">
      <c r="A20" s="1"/>
      <c r="B20" s="1"/>
      <c r="C20" s="1"/>
      <c r="D20" s="1"/>
      <c r="E20" s="1"/>
      <c r="F20" s="1"/>
      <c r="G20" s="1"/>
      <c r="H20" s="1"/>
    </row>
    <row r="21" spans="1:8" ht="18" x14ac:dyDescent="0.25">
      <c r="A21" s="1"/>
      <c r="B21" s="1"/>
      <c r="C21" s="1"/>
      <c r="D21" s="1"/>
      <c r="E21" s="1"/>
      <c r="F21" s="1"/>
      <c r="G21" s="1"/>
      <c r="H21" s="1"/>
    </row>
    <row r="22" spans="1:8" ht="18" x14ac:dyDescent="0.25">
      <c r="A22" s="1"/>
      <c r="B22" s="1"/>
      <c r="C22" s="1"/>
      <c r="D22" s="1"/>
      <c r="E22" s="1"/>
      <c r="F22" s="1"/>
      <c r="G22" s="1"/>
      <c r="H22" s="1"/>
    </row>
    <row r="23" spans="1:8" ht="18" x14ac:dyDescent="0.25">
      <c r="A23" s="1"/>
      <c r="B23" s="1"/>
      <c r="C23" s="1"/>
      <c r="D23" s="1"/>
      <c r="E23" s="1"/>
      <c r="F23" s="1"/>
      <c r="G23" s="1"/>
      <c r="H23" s="1"/>
    </row>
    <row r="24" spans="1:8" ht="18" x14ac:dyDescent="0.25">
      <c r="A24" s="1"/>
      <c r="B24" s="1"/>
      <c r="C24" s="1"/>
      <c r="D24" s="1"/>
      <c r="E24" s="1"/>
      <c r="F24" s="1"/>
      <c r="G24" s="1"/>
      <c r="H24" s="1"/>
    </row>
    <row r="25" spans="1:8" ht="18" x14ac:dyDescent="0.25">
      <c r="A25" s="1"/>
      <c r="B25" s="1"/>
      <c r="C25" s="1"/>
      <c r="D25" s="1"/>
      <c r="E25" s="1"/>
      <c r="F25" s="1"/>
      <c r="G25" s="1"/>
      <c r="H25" s="1"/>
    </row>
    <row r="26" spans="1:8" ht="18" x14ac:dyDescent="0.25">
      <c r="A26" s="1"/>
      <c r="B26" s="1"/>
      <c r="C26" s="1"/>
      <c r="D26" s="1"/>
      <c r="E26" s="1"/>
      <c r="F26" s="1"/>
      <c r="G26" s="1"/>
      <c r="H26" s="1"/>
    </row>
    <row r="27" spans="1:8" ht="18" x14ac:dyDescent="0.25">
      <c r="A27" s="1"/>
      <c r="B27" s="1"/>
      <c r="C27" s="1"/>
      <c r="D27" s="1"/>
      <c r="E27" s="1"/>
      <c r="F27" s="1"/>
      <c r="G27" s="1"/>
      <c r="H27" s="1"/>
    </row>
    <row r="28" spans="1:8" ht="18" x14ac:dyDescent="0.25">
      <c r="A28" s="1"/>
      <c r="B28" s="1"/>
      <c r="C28" s="1"/>
      <c r="D28" s="1"/>
      <c r="E28" s="1"/>
      <c r="F28" s="1"/>
      <c r="G28" s="1"/>
      <c r="H28" s="1"/>
    </row>
    <row r="29" spans="1:8" ht="18" x14ac:dyDescent="0.25">
      <c r="A29" s="1"/>
      <c r="B29" s="1"/>
      <c r="C29" s="1"/>
      <c r="D29" s="1"/>
      <c r="E29" s="1"/>
      <c r="F29" s="1"/>
      <c r="G29" s="1"/>
      <c r="H29" s="1"/>
    </row>
    <row r="30" spans="1:8" ht="18" x14ac:dyDescent="0.25">
      <c r="A30" s="1"/>
      <c r="B30" s="1"/>
      <c r="C30" s="1"/>
      <c r="D30" s="1"/>
      <c r="E30" s="1"/>
      <c r="F30" s="1"/>
      <c r="G30" s="1"/>
      <c r="H30" s="1"/>
    </row>
    <row r="31" spans="1:8" ht="18" x14ac:dyDescent="0.25">
      <c r="A31" s="1"/>
      <c r="B31" s="1"/>
      <c r="C31" s="1"/>
      <c r="D31" s="1"/>
      <c r="E31" s="1"/>
      <c r="F31" s="1"/>
      <c r="G31" s="1"/>
      <c r="H31" s="1"/>
    </row>
    <row r="32" spans="1:8" ht="18" x14ac:dyDescent="0.25">
      <c r="A32" s="1"/>
      <c r="B32" s="1"/>
      <c r="C32" s="1"/>
      <c r="D32" s="1"/>
      <c r="E32" s="1"/>
      <c r="F32" s="1"/>
      <c r="G32" s="1"/>
      <c r="H32" s="1"/>
    </row>
    <row r="33" spans="1:8" ht="18" x14ac:dyDescent="0.25">
      <c r="A33" s="1"/>
      <c r="B33" s="1"/>
      <c r="C33" s="1"/>
      <c r="D33" s="1"/>
      <c r="E33" s="1"/>
      <c r="F33" s="1"/>
      <c r="G33" s="1"/>
      <c r="H33" s="1"/>
    </row>
    <row r="34" spans="1:8" ht="18" x14ac:dyDescent="0.25">
      <c r="A34" s="1"/>
      <c r="B34" s="1"/>
      <c r="C34" s="1"/>
      <c r="D34" s="1"/>
      <c r="E34" s="1"/>
      <c r="F34" s="1"/>
      <c r="G34" s="1"/>
      <c r="H34" s="1"/>
    </row>
    <row r="35" spans="1:8" ht="18" x14ac:dyDescent="0.25">
      <c r="A35" s="1"/>
      <c r="B35" s="1"/>
      <c r="C35" s="1"/>
      <c r="D35" s="1"/>
      <c r="E35" s="1"/>
      <c r="F35" s="1"/>
      <c r="G35" s="1"/>
      <c r="H35" s="1"/>
    </row>
    <row r="51" spans="2:8" ht="39" customHeight="1" x14ac:dyDescent="0.25">
      <c r="B51" s="45" t="s">
        <v>1</v>
      </c>
      <c r="C51" s="46"/>
      <c r="D51" s="46"/>
      <c r="E51" s="46"/>
      <c r="F51" s="46"/>
      <c r="G51" s="46"/>
      <c r="H51" s="46"/>
    </row>
    <row r="52" spans="2:8" ht="15.75" customHeight="1" x14ac:dyDescent="0.25">
      <c r="B52" s="46"/>
      <c r="C52" s="46"/>
      <c r="D52" s="46"/>
      <c r="E52" s="46"/>
      <c r="F52" s="46"/>
      <c r="G52" s="46"/>
      <c r="H52" s="46"/>
    </row>
  </sheetData>
  <mergeCells count="1">
    <mergeCell ref="B51:H52"/>
  </mergeCells>
  <hyperlinks>
    <hyperlink ref="B5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54"/>
  <sheetViews>
    <sheetView showGridLines="0" tabSelected="1" topLeftCell="A19" workbookViewId="0">
      <selection activeCell="B49" sqref="B49:D49"/>
    </sheetView>
  </sheetViews>
  <sheetFormatPr defaultColWidth="12.6640625" defaultRowHeight="15.75" customHeight="1" x14ac:dyDescent="0.25"/>
  <cols>
    <col min="1" max="1" width="3.109375" customWidth="1"/>
    <col min="2" max="2" width="9.6640625" customWidth="1"/>
    <col min="3" max="3" width="75.109375" customWidth="1"/>
    <col min="4" max="4" width="24" customWidth="1"/>
    <col min="5" max="5" width="25.109375" customWidth="1"/>
    <col min="6" max="6" width="3.109375" customWidth="1"/>
  </cols>
  <sheetData>
    <row r="1" spans="1:6" ht="13.2" x14ac:dyDescent="0.25">
      <c r="A1" s="4"/>
      <c r="B1" s="4"/>
      <c r="C1" s="4"/>
      <c r="D1" s="4"/>
      <c r="E1" s="4"/>
      <c r="F1" s="4"/>
    </row>
    <row r="2" spans="1:6" ht="13.2" x14ac:dyDescent="0.25">
      <c r="A2" s="4"/>
      <c r="B2" s="4"/>
      <c r="C2" s="4"/>
      <c r="D2" s="4"/>
      <c r="E2" s="4"/>
      <c r="F2" s="4"/>
    </row>
    <row r="3" spans="1:6" ht="30" x14ac:dyDescent="0.5">
      <c r="A3" s="4"/>
      <c r="B3" s="48" t="s">
        <v>2</v>
      </c>
      <c r="C3" s="46"/>
      <c r="D3" s="46"/>
      <c r="E3" s="49"/>
      <c r="F3" s="4"/>
    </row>
    <row r="4" spans="1:6" ht="30" x14ac:dyDescent="0.5">
      <c r="A4" s="4"/>
      <c r="B4" s="50" t="s">
        <v>3</v>
      </c>
      <c r="C4" s="46"/>
      <c r="D4" s="5"/>
      <c r="E4" s="46"/>
      <c r="F4" s="4"/>
    </row>
    <row r="5" spans="1:6" ht="30" x14ac:dyDescent="0.5">
      <c r="A5" s="4"/>
      <c r="B5" s="51"/>
      <c r="C5" s="46"/>
      <c r="D5" s="5"/>
      <c r="E5" s="46"/>
      <c r="F5" s="4"/>
    </row>
    <row r="6" spans="1:6" ht="13.2" x14ac:dyDescent="0.25">
      <c r="A6" s="4"/>
      <c r="B6" s="4"/>
      <c r="C6" s="4"/>
      <c r="D6" s="4"/>
      <c r="E6" s="4"/>
      <c r="F6" s="4"/>
    </row>
    <row r="7" spans="1:6" ht="13.2" x14ac:dyDescent="0.25">
      <c r="A7" s="4"/>
      <c r="B7" s="4"/>
      <c r="C7" s="4"/>
      <c r="D7" s="4"/>
      <c r="E7" s="4"/>
      <c r="F7" s="4"/>
    </row>
    <row r="8" spans="1:6" ht="24.6" x14ac:dyDescent="0.4">
      <c r="A8" s="4"/>
      <c r="B8" s="52" t="s">
        <v>4</v>
      </c>
      <c r="C8" s="46"/>
      <c r="D8" s="6"/>
      <c r="E8" s="6"/>
      <c r="F8" s="4"/>
    </row>
    <row r="9" spans="1:6" ht="24.6" x14ac:dyDescent="0.4">
      <c r="A9" s="4"/>
      <c r="B9" s="6"/>
      <c r="C9" s="6"/>
      <c r="D9" s="6"/>
      <c r="E9" s="6"/>
      <c r="F9" s="4"/>
    </row>
    <row r="10" spans="1:6" ht="24.6" x14ac:dyDescent="0.4">
      <c r="A10" s="4"/>
      <c r="B10" s="7"/>
      <c r="C10" s="8" t="str">
        <f>'Input sheet'!B3</f>
        <v>Example Property 1</v>
      </c>
      <c r="D10" s="9">
        <f>'Input sheet'!B4</f>
        <v>14920</v>
      </c>
      <c r="E10" s="7"/>
      <c r="F10" s="4"/>
    </row>
    <row r="11" spans="1:6" ht="24.6" x14ac:dyDescent="0.4">
      <c r="A11" s="4"/>
      <c r="B11" s="7"/>
      <c r="C11" s="8" t="str">
        <f>'Input sheet'!D3</f>
        <v>Example Property 2</v>
      </c>
      <c r="D11" s="9">
        <f>'Input sheet'!D4</f>
        <v>14945</v>
      </c>
      <c r="E11" s="7"/>
      <c r="F11" s="4"/>
    </row>
    <row r="12" spans="1:6" ht="24.6" x14ac:dyDescent="0.4">
      <c r="A12" s="4"/>
      <c r="B12" s="7"/>
      <c r="C12" s="8">
        <f>'Input sheet'!F3</f>
        <v>0</v>
      </c>
      <c r="D12" s="9">
        <f>'Input sheet'!F4</f>
        <v>0</v>
      </c>
      <c r="E12" s="7"/>
      <c r="F12" s="4"/>
    </row>
    <row r="13" spans="1:6" ht="24.6" x14ac:dyDescent="0.4">
      <c r="A13" s="4"/>
      <c r="B13" s="7"/>
      <c r="C13" s="8">
        <f>'Input sheet'!H3</f>
        <v>0</v>
      </c>
      <c r="D13" s="9">
        <f>'Input sheet'!H4</f>
        <v>0</v>
      </c>
      <c r="E13" s="7"/>
      <c r="F13" s="4"/>
    </row>
    <row r="14" spans="1:6" ht="24.6" x14ac:dyDescent="0.4">
      <c r="A14" s="4"/>
      <c r="B14" s="7"/>
      <c r="C14" s="8">
        <f>'Input sheet'!J3</f>
        <v>0</v>
      </c>
      <c r="D14" s="9">
        <f>'Input sheet'!J4</f>
        <v>0</v>
      </c>
      <c r="E14" s="7"/>
      <c r="F14" s="4"/>
    </row>
    <row r="15" spans="1:6" ht="24.6" x14ac:dyDescent="0.4">
      <c r="A15" s="4"/>
      <c r="B15" s="7"/>
      <c r="C15" s="10">
        <f>'Input sheet'!L3</f>
        <v>0</v>
      </c>
      <c r="D15" s="9">
        <f>'Input sheet'!L4</f>
        <v>0</v>
      </c>
      <c r="E15" s="7"/>
      <c r="F15" s="4"/>
    </row>
    <row r="16" spans="1:6" ht="24.6" x14ac:dyDescent="0.4">
      <c r="A16" s="4"/>
      <c r="B16" s="7"/>
      <c r="C16" s="10">
        <f>'Input sheet'!N3</f>
        <v>0</v>
      </c>
      <c r="D16" s="9">
        <f>'Input sheet'!N4</f>
        <v>0</v>
      </c>
      <c r="E16" s="7"/>
      <c r="F16" s="4"/>
    </row>
    <row r="17" spans="1:6" ht="24.6" x14ac:dyDescent="0.4">
      <c r="A17" s="4"/>
      <c r="B17" s="7"/>
      <c r="C17" s="10">
        <f>'Input sheet'!P3</f>
        <v>0</v>
      </c>
      <c r="D17" s="9">
        <f>'Input sheet'!P4</f>
        <v>0</v>
      </c>
      <c r="E17" s="7"/>
      <c r="F17" s="4"/>
    </row>
    <row r="18" spans="1:6" ht="24.6" x14ac:dyDescent="0.4">
      <c r="A18" s="4"/>
      <c r="B18" s="7"/>
      <c r="C18" s="10">
        <f>'Input sheet'!R3</f>
        <v>0</v>
      </c>
      <c r="D18" s="9">
        <f>'Input sheet'!R4</f>
        <v>0</v>
      </c>
      <c r="E18" s="7"/>
      <c r="F18" s="4"/>
    </row>
    <row r="19" spans="1:6" ht="24.6" x14ac:dyDescent="0.4">
      <c r="A19" s="4"/>
      <c r="B19" s="7"/>
      <c r="C19" s="10">
        <f>'Input sheet'!T3</f>
        <v>0</v>
      </c>
      <c r="D19" s="9">
        <f>'Input sheet'!T4</f>
        <v>0</v>
      </c>
      <c r="E19" s="7"/>
      <c r="F19" s="4"/>
    </row>
    <row r="20" spans="1:6" ht="24.6" x14ac:dyDescent="0.4">
      <c r="A20" s="4"/>
      <c r="B20" s="7"/>
      <c r="C20" s="10">
        <f>'Input sheet'!V3</f>
        <v>0</v>
      </c>
      <c r="D20" s="9">
        <f>'Input sheet'!V4</f>
        <v>0</v>
      </c>
      <c r="E20" s="7"/>
      <c r="F20" s="4"/>
    </row>
    <row r="21" spans="1:6" ht="24.6" x14ac:dyDescent="0.4">
      <c r="A21" s="4"/>
      <c r="B21" s="7"/>
      <c r="C21" s="10">
        <f>'Input sheet'!X3</f>
        <v>0</v>
      </c>
      <c r="D21" s="9">
        <f>'Input sheet'!X4</f>
        <v>0</v>
      </c>
      <c r="E21" s="7"/>
      <c r="F21" s="4"/>
    </row>
    <row r="22" spans="1:6" ht="24.6" hidden="1" x14ac:dyDescent="0.4">
      <c r="A22" s="4"/>
      <c r="B22" s="7"/>
      <c r="C22" s="11">
        <f>'Input sheet'!Z3</f>
        <v>0</v>
      </c>
      <c r="D22" s="9">
        <f>'Input sheet'!Z4</f>
        <v>0</v>
      </c>
      <c r="E22" s="7"/>
      <c r="F22" s="4"/>
    </row>
    <row r="23" spans="1:6" ht="24.6" hidden="1" x14ac:dyDescent="0.4">
      <c r="A23" s="4"/>
      <c r="B23" s="7"/>
      <c r="C23" s="11">
        <f>'Input sheet'!AB3</f>
        <v>0</v>
      </c>
      <c r="D23" s="9">
        <f>'Input sheet'!AB4</f>
        <v>0</v>
      </c>
      <c r="E23" s="7"/>
      <c r="F23" s="4"/>
    </row>
    <row r="24" spans="1:6" ht="24.6" hidden="1" x14ac:dyDescent="0.4">
      <c r="A24" s="4"/>
      <c r="B24" s="7"/>
      <c r="C24" s="11">
        <f>'Input sheet'!AD3</f>
        <v>0</v>
      </c>
      <c r="D24" s="9">
        <f>'Input sheet'!AD4</f>
        <v>0</v>
      </c>
      <c r="E24" s="7"/>
      <c r="F24" s="4"/>
    </row>
    <row r="25" spans="1:6" ht="24.6" hidden="1" x14ac:dyDescent="0.4">
      <c r="A25" s="4"/>
      <c r="B25" s="7"/>
      <c r="C25" s="11">
        <f>'Input sheet'!AF3</f>
        <v>0</v>
      </c>
      <c r="D25" s="9">
        <f>'Input sheet'!AF4</f>
        <v>0</v>
      </c>
      <c r="E25" s="7"/>
      <c r="F25" s="4"/>
    </row>
    <row r="26" spans="1:6" ht="24.6" x14ac:dyDescent="0.4">
      <c r="A26" s="4"/>
      <c r="B26" s="7"/>
      <c r="C26" s="7"/>
      <c r="D26" s="7"/>
      <c r="E26" s="7"/>
      <c r="F26" s="4"/>
    </row>
    <row r="27" spans="1:6" ht="24.6" x14ac:dyDescent="0.4">
      <c r="A27" s="4"/>
      <c r="B27" s="53" t="s">
        <v>5</v>
      </c>
      <c r="C27" s="46"/>
      <c r="D27" s="46"/>
      <c r="E27" s="12">
        <f>SUM(D10:D25)</f>
        <v>29865</v>
      </c>
      <c r="F27" s="4"/>
    </row>
    <row r="28" spans="1:6" ht="13.2" x14ac:dyDescent="0.25">
      <c r="A28" s="4"/>
      <c r="B28" s="4"/>
      <c r="C28" s="4"/>
      <c r="D28" s="4"/>
      <c r="E28" s="4"/>
      <c r="F28" s="4"/>
    </row>
    <row r="29" spans="1:6" ht="24.6" x14ac:dyDescent="0.4">
      <c r="A29" s="4"/>
      <c r="B29" s="53" t="s">
        <v>6</v>
      </c>
      <c r="C29" s="46"/>
      <c r="D29" s="46"/>
      <c r="E29" s="7"/>
      <c r="F29" s="4"/>
    </row>
    <row r="30" spans="1:6" ht="24.6" x14ac:dyDescent="0.4">
      <c r="A30" s="4"/>
      <c r="B30" s="7"/>
      <c r="C30" s="7"/>
      <c r="D30" s="7"/>
      <c r="E30" s="7"/>
      <c r="F30" s="4"/>
    </row>
    <row r="31" spans="1:6" ht="24.6" x14ac:dyDescent="0.4">
      <c r="A31" s="4"/>
      <c r="B31" s="7"/>
      <c r="C31" s="7" t="s">
        <v>7</v>
      </c>
      <c r="D31" s="9">
        <f>'Input sheet'!AH5</f>
        <v>9030.67</v>
      </c>
      <c r="E31" s="7"/>
      <c r="F31" s="4"/>
    </row>
    <row r="32" spans="1:6" ht="24.6" x14ac:dyDescent="0.4">
      <c r="A32" s="4"/>
      <c r="B32" s="7"/>
      <c r="C32" s="7"/>
      <c r="D32" s="7"/>
      <c r="E32" s="7"/>
      <c r="F32" s="4"/>
    </row>
    <row r="33" spans="1:6" ht="24.6" x14ac:dyDescent="0.4">
      <c r="A33" s="4"/>
      <c r="B33" s="53" t="s">
        <v>8</v>
      </c>
      <c r="C33" s="46"/>
      <c r="D33" s="46"/>
      <c r="E33" s="12">
        <f>D31</f>
        <v>9030.67</v>
      </c>
      <c r="F33" s="4"/>
    </row>
    <row r="34" spans="1:6" ht="24.6" x14ac:dyDescent="0.4">
      <c r="A34" s="4"/>
      <c r="B34" s="5"/>
      <c r="C34" s="5"/>
      <c r="D34" s="5"/>
      <c r="E34" s="5"/>
      <c r="F34" s="4"/>
    </row>
    <row r="35" spans="1:6" ht="24.6" x14ac:dyDescent="0.4">
      <c r="A35" s="4"/>
      <c r="B35" s="53" t="s">
        <v>9</v>
      </c>
      <c r="C35" s="46"/>
      <c r="D35" s="46"/>
      <c r="E35" s="12">
        <f>E27-E33</f>
        <v>20834.330000000002</v>
      </c>
      <c r="F35" s="4"/>
    </row>
    <row r="36" spans="1:6" ht="24.6" x14ac:dyDescent="0.4">
      <c r="A36" s="4"/>
      <c r="B36" s="5"/>
      <c r="C36" s="5"/>
      <c r="D36" s="5"/>
      <c r="E36" s="5"/>
      <c r="F36" s="4"/>
    </row>
    <row r="37" spans="1:6" ht="24.6" x14ac:dyDescent="0.4">
      <c r="A37" s="4"/>
      <c r="B37" s="5"/>
      <c r="C37" s="5"/>
      <c r="D37" s="5"/>
      <c r="E37" s="5"/>
      <c r="F37" s="4"/>
    </row>
    <row r="38" spans="1:6" ht="24.6" x14ac:dyDescent="0.4">
      <c r="A38" s="4"/>
      <c r="B38" s="53" t="s">
        <v>10</v>
      </c>
      <c r="C38" s="46"/>
      <c r="D38" s="46"/>
      <c r="E38" s="7"/>
      <c r="F38" s="4"/>
    </row>
    <row r="39" spans="1:6" ht="24.6" x14ac:dyDescent="0.4">
      <c r="A39" s="4"/>
      <c r="B39" s="7"/>
      <c r="C39" s="7"/>
      <c r="D39" s="7"/>
      <c r="E39" s="7"/>
      <c r="F39" s="4"/>
    </row>
    <row r="40" spans="1:6" ht="24.6" x14ac:dyDescent="0.4">
      <c r="A40" s="4"/>
      <c r="B40" s="7"/>
      <c r="C40" s="7" t="s">
        <v>11</v>
      </c>
      <c r="D40" s="9">
        <f>'Input sheet'!AH8</f>
        <v>211000</v>
      </c>
      <c r="E40" s="7"/>
      <c r="F40" s="4"/>
    </row>
    <row r="41" spans="1:6" ht="24.6" x14ac:dyDescent="0.4">
      <c r="A41" s="4"/>
      <c r="B41" s="7"/>
      <c r="C41" s="7" t="s">
        <v>12</v>
      </c>
      <c r="D41" s="13">
        <f>'Input sheet'!AH9</f>
        <v>1021.23</v>
      </c>
      <c r="E41" s="7"/>
      <c r="F41" s="4"/>
    </row>
    <row r="42" spans="1:6" ht="24.6" x14ac:dyDescent="0.4">
      <c r="A42" s="4"/>
      <c r="B42" s="7"/>
      <c r="C42" s="7" t="s">
        <v>13</v>
      </c>
      <c r="D42" s="9">
        <f>D40+D41</f>
        <v>212021.23</v>
      </c>
      <c r="E42" s="7"/>
      <c r="F42" s="4"/>
    </row>
    <row r="43" spans="1:6" ht="24.6" x14ac:dyDescent="0.4">
      <c r="A43" s="4"/>
      <c r="B43" s="7"/>
      <c r="C43" s="7" t="s">
        <v>14</v>
      </c>
      <c r="D43" s="14">
        <f>'Input sheet'!AH12-'Input sheet'!AH8</f>
        <v>19000</v>
      </c>
      <c r="E43" s="7"/>
      <c r="F43" s="4"/>
    </row>
    <row r="44" spans="1:6" ht="24.6" x14ac:dyDescent="0.4">
      <c r="A44" s="4"/>
      <c r="B44" s="7"/>
      <c r="C44" s="7" t="s">
        <v>15</v>
      </c>
      <c r="D44" s="15">
        <f>'Input sheet'!AH13</f>
        <v>16</v>
      </c>
      <c r="E44" s="7"/>
      <c r="F44" s="4"/>
    </row>
    <row r="45" spans="1:6" ht="24.6" x14ac:dyDescent="0.4">
      <c r="A45" s="4"/>
      <c r="B45" s="7"/>
      <c r="C45" s="7"/>
      <c r="D45" s="7"/>
      <c r="E45" s="7"/>
      <c r="F45" s="4"/>
    </row>
    <row r="46" spans="1:6" ht="24.6" x14ac:dyDescent="0.4">
      <c r="A46" s="4"/>
      <c r="B46" s="5"/>
      <c r="C46" s="5"/>
      <c r="D46" s="5"/>
      <c r="E46" s="5"/>
      <c r="F46" s="4"/>
    </row>
    <row r="47" spans="1:6" ht="24.6" x14ac:dyDescent="0.4">
      <c r="A47" s="4"/>
      <c r="B47" s="53" t="s">
        <v>16</v>
      </c>
      <c r="C47" s="46"/>
      <c r="D47" s="46"/>
      <c r="E47" s="16">
        <f>(E35+D43)/D42</f>
        <v>0.1878789685353679</v>
      </c>
      <c r="F47" s="4"/>
    </row>
    <row r="48" spans="1:6" ht="24.6" x14ac:dyDescent="0.4">
      <c r="A48" s="4"/>
      <c r="B48" s="5"/>
      <c r="C48" s="5"/>
      <c r="D48" s="5"/>
      <c r="E48" s="5"/>
      <c r="F48" s="4"/>
    </row>
    <row r="49" spans="1:6" ht="24.6" x14ac:dyDescent="0.4">
      <c r="A49" s="4"/>
      <c r="B49" s="53" t="s">
        <v>17</v>
      </c>
      <c r="C49" s="46"/>
      <c r="D49" s="46"/>
      <c r="E49" s="16">
        <f>E47/D44*12</f>
        <v>0.14090922640152592</v>
      </c>
      <c r="F49" s="4"/>
    </row>
    <row r="50" spans="1:6" ht="24.6" x14ac:dyDescent="0.4">
      <c r="A50" s="4"/>
      <c r="B50" s="5"/>
      <c r="C50" s="5"/>
      <c r="D50" s="5"/>
      <c r="E50" s="5"/>
      <c r="F50" s="4"/>
    </row>
    <row r="51" spans="1:6" ht="35.25" customHeight="1" x14ac:dyDescent="0.25">
      <c r="A51" s="4"/>
      <c r="B51" s="47" t="s">
        <v>18</v>
      </c>
      <c r="C51" s="46"/>
      <c r="D51" s="46"/>
      <c r="E51" s="46"/>
      <c r="F51" s="4"/>
    </row>
    <row r="52" spans="1:6" ht="13.2" x14ac:dyDescent="0.25">
      <c r="A52" s="4"/>
      <c r="B52" s="46"/>
      <c r="C52" s="46"/>
      <c r="D52" s="46"/>
      <c r="E52" s="46"/>
      <c r="F52" s="4"/>
    </row>
    <row r="53" spans="1:6" ht="13.2" x14ac:dyDescent="0.25">
      <c r="A53" s="4"/>
      <c r="B53" s="46"/>
      <c r="C53" s="46"/>
      <c r="D53" s="46"/>
      <c r="E53" s="46"/>
      <c r="F53" s="4"/>
    </row>
    <row r="54" spans="1:6" ht="13.2" x14ac:dyDescent="0.25">
      <c r="A54" s="4"/>
      <c r="B54" s="4"/>
      <c r="C54" s="4"/>
      <c r="D54" s="4"/>
      <c r="E54" s="4"/>
      <c r="F54" s="4"/>
    </row>
  </sheetData>
  <mergeCells count="13">
    <mergeCell ref="B51:E53"/>
    <mergeCell ref="B3:D3"/>
    <mergeCell ref="E3:E5"/>
    <mergeCell ref="B4:C4"/>
    <mergeCell ref="B5:C5"/>
    <mergeCell ref="B8:C8"/>
    <mergeCell ref="B27:D27"/>
    <mergeCell ref="B29:D29"/>
    <mergeCell ref="B33:D33"/>
    <mergeCell ref="B35:D35"/>
    <mergeCell ref="B38:D38"/>
    <mergeCell ref="B47:D47"/>
    <mergeCell ref="B49:D49"/>
  </mergeCells>
  <printOptions horizontalCentered="1" verticalCentered="1" gridLines="1"/>
  <pageMargins left="0.25" right="0.25" top="0.75" bottom="0.75" header="0" footer="0"/>
  <pageSetup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H16"/>
  <sheetViews>
    <sheetView workbookViewId="0">
      <selection activeCell="B26" sqref="B26"/>
    </sheetView>
  </sheetViews>
  <sheetFormatPr defaultColWidth="12.6640625" defaultRowHeight="15.75" customHeight="1" x14ac:dyDescent="0.25"/>
  <cols>
    <col min="1" max="1" width="36.6640625" customWidth="1"/>
    <col min="2" max="2" width="16.6640625" customWidth="1"/>
    <col min="3" max="3" width="3.109375" customWidth="1"/>
    <col min="4" max="4" width="16" customWidth="1"/>
    <col min="5" max="5" width="3.109375" customWidth="1"/>
    <col min="6" max="6" width="14.109375" customWidth="1"/>
    <col min="7" max="7" width="3.109375" customWidth="1"/>
    <col min="8" max="8" width="16.6640625" customWidth="1"/>
    <col min="9" max="9" width="3.109375" customWidth="1"/>
    <col min="10" max="10" width="14.33203125" customWidth="1"/>
    <col min="11" max="11" width="3.109375" customWidth="1"/>
    <col min="12" max="12" width="14.6640625" customWidth="1"/>
    <col min="13" max="13" width="3.109375" customWidth="1"/>
    <col min="14" max="14" width="14.33203125" customWidth="1"/>
    <col min="15" max="15" width="3.109375" customWidth="1"/>
    <col min="16" max="16" width="12.6640625" customWidth="1"/>
    <col min="17" max="17" width="3.109375" customWidth="1"/>
    <col min="18" max="18" width="12.77734375" customWidth="1"/>
    <col min="19" max="19" width="3.109375" customWidth="1"/>
    <col min="20" max="20" width="11.6640625" customWidth="1"/>
    <col min="21" max="21" width="3.109375" customWidth="1"/>
    <col min="22" max="22" width="10.77734375" customWidth="1"/>
    <col min="23" max="23" width="3.109375" customWidth="1"/>
    <col min="24" max="24" width="11.6640625" customWidth="1"/>
    <col min="25" max="25" width="3.109375" customWidth="1"/>
    <col min="27" max="27" width="3.109375" customWidth="1"/>
    <col min="29" max="29" width="3.109375" customWidth="1"/>
    <col min="31" max="31" width="3.109375" customWidth="1"/>
    <col min="33" max="33" width="3.109375" customWidth="1"/>
    <col min="34" max="34" width="12.33203125" customWidth="1"/>
  </cols>
  <sheetData>
    <row r="1" spans="1:34" ht="15.75" customHeight="1" x14ac:dyDescent="0.4">
      <c r="A1" s="54" t="s">
        <v>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6"/>
    </row>
    <row r="2" spans="1:34" ht="15.75" customHeight="1" x14ac:dyDescent="0.4">
      <c r="A2" s="54" t="s">
        <v>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6"/>
    </row>
    <row r="3" spans="1:34" ht="15.6" x14ac:dyDescent="0.3">
      <c r="A3" s="17"/>
      <c r="B3" s="18" t="s">
        <v>21</v>
      </c>
      <c r="C3" s="17"/>
      <c r="D3" s="18" t="s">
        <v>22</v>
      </c>
      <c r="E3" s="19"/>
      <c r="F3" s="20"/>
      <c r="G3" s="19"/>
      <c r="H3" s="20"/>
      <c r="I3" s="19"/>
      <c r="J3" s="20"/>
      <c r="K3" s="19"/>
      <c r="L3" s="20"/>
      <c r="M3" s="19"/>
      <c r="N3" s="20"/>
      <c r="O3" s="19"/>
      <c r="P3" s="20"/>
      <c r="Q3" s="17"/>
      <c r="R3" s="20"/>
      <c r="S3" s="19"/>
      <c r="T3" s="20"/>
      <c r="U3" s="19"/>
      <c r="V3" s="20"/>
      <c r="W3" s="19"/>
      <c r="X3" s="20"/>
      <c r="Y3" s="19"/>
      <c r="Z3" s="20"/>
      <c r="AA3" s="19"/>
      <c r="AB3" s="20"/>
      <c r="AC3" s="19"/>
      <c r="AD3" s="20"/>
      <c r="AE3" s="21"/>
      <c r="AF3" s="20"/>
      <c r="AG3" s="19"/>
      <c r="AH3" s="22" t="s">
        <v>23</v>
      </c>
    </row>
    <row r="4" spans="1:34" ht="15.6" x14ac:dyDescent="0.3">
      <c r="A4" s="23" t="s">
        <v>24</v>
      </c>
      <c r="B4" s="24">
        <v>14920</v>
      </c>
      <c r="C4" s="25"/>
      <c r="D4" s="24">
        <v>14945</v>
      </c>
      <c r="E4" s="25"/>
      <c r="F4" s="26"/>
      <c r="G4" s="25"/>
      <c r="H4" s="26"/>
      <c r="I4" s="25"/>
      <c r="J4" s="26"/>
      <c r="K4" s="25"/>
      <c r="L4" s="26"/>
      <c r="M4" s="25"/>
      <c r="N4" s="26"/>
      <c r="O4" s="25"/>
      <c r="P4" s="26"/>
      <c r="Q4" s="25"/>
      <c r="R4" s="26"/>
      <c r="S4" s="25"/>
      <c r="T4" s="26"/>
      <c r="U4" s="25"/>
      <c r="V4" s="26"/>
      <c r="W4" s="25"/>
      <c r="X4" s="26"/>
      <c r="Y4" s="25"/>
      <c r="Z4" s="26"/>
      <c r="AA4" s="25"/>
      <c r="AB4" s="26"/>
      <c r="AC4" s="25"/>
      <c r="AD4" s="26"/>
      <c r="AE4" s="27"/>
      <c r="AF4" s="26"/>
      <c r="AG4" s="27"/>
      <c r="AH4" s="26">
        <f t="shared" ref="AH4:AH5" si="0">SUM(A4:AF4)</f>
        <v>29865</v>
      </c>
    </row>
    <row r="5" spans="1:34" ht="15.6" x14ac:dyDescent="0.3">
      <c r="A5" s="23" t="s">
        <v>25</v>
      </c>
      <c r="B5" s="24">
        <v>1942</v>
      </c>
      <c r="C5" s="28"/>
      <c r="D5" s="24">
        <v>7088.67</v>
      </c>
      <c r="E5" s="28"/>
      <c r="F5" s="29"/>
      <c r="G5" s="28"/>
      <c r="H5" s="29"/>
      <c r="I5" s="28"/>
      <c r="J5" s="29"/>
      <c r="K5" s="28"/>
      <c r="L5" s="29"/>
      <c r="M5" s="28"/>
      <c r="N5" s="29"/>
      <c r="O5" s="28"/>
      <c r="P5" s="29"/>
      <c r="Q5" s="28"/>
      <c r="R5" s="29"/>
      <c r="S5" s="28"/>
      <c r="T5" s="29"/>
      <c r="U5" s="28"/>
      <c r="V5" s="29"/>
      <c r="W5" s="28"/>
      <c r="X5" s="29"/>
      <c r="Y5" s="28"/>
      <c r="Z5" s="29"/>
      <c r="AA5" s="28"/>
      <c r="AB5" s="29"/>
      <c r="AC5" s="28"/>
      <c r="AD5" s="29"/>
      <c r="AE5" s="28"/>
      <c r="AF5" s="29"/>
      <c r="AG5" s="28"/>
      <c r="AH5" s="26">
        <f t="shared" si="0"/>
        <v>9030.67</v>
      </c>
    </row>
    <row r="6" spans="1:34" ht="15.6" x14ac:dyDescent="0.3">
      <c r="A6" s="30" t="s">
        <v>26</v>
      </c>
      <c r="B6" s="31">
        <f>B4-B5</f>
        <v>12978</v>
      </c>
      <c r="C6" s="32"/>
      <c r="D6" s="31">
        <f>D4-D5</f>
        <v>7856.33</v>
      </c>
      <c r="E6" s="32"/>
      <c r="F6" s="33">
        <f>F4-F5</f>
        <v>0</v>
      </c>
      <c r="G6" s="32"/>
      <c r="H6" s="33">
        <f>H4-H5</f>
        <v>0</v>
      </c>
      <c r="I6" s="32"/>
      <c r="J6" s="33">
        <f>J4-J5</f>
        <v>0</v>
      </c>
      <c r="K6" s="32"/>
      <c r="L6" s="33">
        <f>L4-L5</f>
        <v>0</v>
      </c>
      <c r="M6" s="32"/>
      <c r="N6" s="33">
        <f>N4-N5</f>
        <v>0</v>
      </c>
      <c r="O6" s="32"/>
      <c r="P6" s="33">
        <f>P4-P5</f>
        <v>0</v>
      </c>
      <c r="Q6" s="32"/>
      <c r="R6" s="33">
        <f>R4-R5</f>
        <v>0</v>
      </c>
      <c r="S6" s="32"/>
      <c r="T6" s="33">
        <f>T4-T5</f>
        <v>0</v>
      </c>
      <c r="U6" s="32"/>
      <c r="V6" s="33">
        <f>V4-V5</f>
        <v>0</v>
      </c>
      <c r="W6" s="32"/>
      <c r="X6" s="33">
        <f>X4-X5</f>
        <v>0</v>
      </c>
      <c r="Y6" s="32"/>
      <c r="Z6" s="33">
        <f>Z4-Z5</f>
        <v>0</v>
      </c>
      <c r="AA6" s="32"/>
      <c r="AB6" s="33">
        <f>AB4-AB5</f>
        <v>0</v>
      </c>
      <c r="AC6" s="32"/>
      <c r="AD6" s="33">
        <f>AD4-AD5</f>
        <v>0</v>
      </c>
      <c r="AE6" s="33"/>
      <c r="AF6" s="33">
        <f>AF4-AF5</f>
        <v>0</v>
      </c>
      <c r="AG6" s="32"/>
      <c r="AH6" s="33">
        <f>AH4-AH5</f>
        <v>20834.330000000002</v>
      </c>
    </row>
    <row r="7" spans="1:34" ht="15.6" x14ac:dyDescent="0.3">
      <c r="A7" s="23"/>
      <c r="B7" s="34"/>
      <c r="C7" s="35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spans="1:34" ht="15.6" x14ac:dyDescent="0.3">
      <c r="A8" s="23" t="s">
        <v>27</v>
      </c>
      <c r="B8" s="24">
        <v>109000</v>
      </c>
      <c r="C8" s="25"/>
      <c r="D8" s="24">
        <v>102000</v>
      </c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  <c r="P8" s="26"/>
      <c r="Q8" s="25"/>
      <c r="R8" s="26"/>
      <c r="S8" s="25"/>
      <c r="T8" s="26"/>
      <c r="U8" s="25"/>
      <c r="V8" s="26"/>
      <c r="W8" s="25"/>
      <c r="X8" s="26"/>
      <c r="Y8" s="25"/>
      <c r="Z8" s="26"/>
      <c r="AA8" s="25"/>
      <c r="AB8" s="26"/>
      <c r="AC8" s="25"/>
      <c r="AD8" s="26"/>
      <c r="AE8" s="25"/>
      <c r="AF8" s="26"/>
      <c r="AG8" s="25"/>
      <c r="AH8" s="26">
        <f t="shared" ref="AH8:AH9" si="1">SUM(A8:AF8)</f>
        <v>211000</v>
      </c>
    </row>
    <row r="9" spans="1:34" ht="15.6" x14ac:dyDescent="0.3">
      <c r="A9" s="23" t="s">
        <v>28</v>
      </c>
      <c r="B9" s="24">
        <v>0</v>
      </c>
      <c r="C9" s="25"/>
      <c r="D9" s="24">
        <f>1021.23</f>
        <v>1021.23</v>
      </c>
      <c r="E9" s="25"/>
      <c r="F9" s="26">
        <v>0</v>
      </c>
      <c r="G9" s="25"/>
      <c r="H9" s="26">
        <v>0</v>
      </c>
      <c r="I9" s="25"/>
      <c r="J9" s="26">
        <v>0</v>
      </c>
      <c r="K9" s="25"/>
      <c r="L9" s="26">
        <v>0</v>
      </c>
      <c r="M9" s="25"/>
      <c r="N9" s="26">
        <v>0</v>
      </c>
      <c r="O9" s="25"/>
      <c r="P9" s="26">
        <v>0</v>
      </c>
      <c r="Q9" s="25"/>
      <c r="R9" s="26">
        <v>0</v>
      </c>
      <c r="S9" s="25"/>
      <c r="T9" s="26">
        <v>0</v>
      </c>
      <c r="U9" s="25"/>
      <c r="V9" s="26">
        <v>0</v>
      </c>
      <c r="W9" s="25"/>
      <c r="X9" s="26">
        <v>0</v>
      </c>
      <c r="Y9" s="25"/>
      <c r="Z9" s="26">
        <v>0</v>
      </c>
      <c r="AA9" s="25"/>
      <c r="AB9" s="26">
        <v>0</v>
      </c>
      <c r="AC9" s="25"/>
      <c r="AD9" s="26">
        <v>0</v>
      </c>
      <c r="AE9" s="25"/>
      <c r="AF9" s="26">
        <v>0</v>
      </c>
      <c r="AG9" s="25"/>
      <c r="AH9" s="26">
        <f t="shared" si="1"/>
        <v>1021.23</v>
      </c>
    </row>
    <row r="10" spans="1:34" ht="15.6" x14ac:dyDescent="0.3">
      <c r="A10" s="36" t="s">
        <v>29</v>
      </c>
      <c r="B10" s="31">
        <f>SUM(B8:B9)</f>
        <v>109000</v>
      </c>
      <c r="C10" s="37"/>
      <c r="D10" s="31">
        <f>SUM(D8:D9)</f>
        <v>103021.23</v>
      </c>
      <c r="E10" s="37"/>
      <c r="F10" s="38">
        <f>SUM(F8:F9)</f>
        <v>0</v>
      </c>
      <c r="G10" s="37"/>
      <c r="H10" s="38">
        <f>SUM(H8:H9)</f>
        <v>0</v>
      </c>
      <c r="I10" s="37"/>
      <c r="J10" s="38">
        <f>SUM(J8:J9)</f>
        <v>0</v>
      </c>
      <c r="K10" s="37"/>
      <c r="L10" s="38">
        <f>SUM(L8:L9)</f>
        <v>0</v>
      </c>
      <c r="M10" s="37"/>
      <c r="N10" s="38">
        <f>SUM(N8:N9)</f>
        <v>0</v>
      </c>
      <c r="O10" s="37"/>
      <c r="P10" s="38">
        <f>SUM(P8:P9)</f>
        <v>0</v>
      </c>
      <c r="Q10" s="37"/>
      <c r="R10" s="38">
        <f>SUM(R8:R9)</f>
        <v>0</v>
      </c>
      <c r="S10" s="37"/>
      <c r="T10" s="38">
        <f>SUM(T8:T9)</f>
        <v>0</v>
      </c>
      <c r="U10" s="37"/>
      <c r="V10" s="38">
        <f>SUM(V8:V9)</f>
        <v>0</v>
      </c>
      <c r="W10" s="37"/>
      <c r="X10" s="38">
        <f>SUM(X8:X9)</f>
        <v>0</v>
      </c>
      <c r="Y10" s="37"/>
      <c r="Z10" s="38">
        <f>SUM(Z8:Z9)</f>
        <v>0</v>
      </c>
      <c r="AA10" s="37"/>
      <c r="AB10" s="38">
        <f>SUM(AB8:AB9)</f>
        <v>0</v>
      </c>
      <c r="AC10" s="37"/>
      <c r="AD10" s="38">
        <f>SUM(AD8:AD9)</f>
        <v>0</v>
      </c>
      <c r="AE10" s="37"/>
      <c r="AF10" s="38">
        <f>SUM(AF8:AF9)</f>
        <v>0</v>
      </c>
      <c r="AG10" s="37"/>
      <c r="AH10" s="38">
        <f>SUM(AH8:AH9)</f>
        <v>212021.23</v>
      </c>
    </row>
    <row r="11" spans="1:34" ht="15.6" x14ac:dyDescent="0.3">
      <c r="A11" s="39"/>
      <c r="B11" s="34"/>
      <c r="C11" s="40"/>
      <c r="D11" s="34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ht="15.6" x14ac:dyDescent="0.3">
      <c r="A12" s="41" t="s">
        <v>30</v>
      </c>
      <c r="B12" s="31">
        <v>120000</v>
      </c>
      <c r="C12" s="37"/>
      <c r="D12" s="31">
        <v>110000</v>
      </c>
      <c r="E12" s="25"/>
      <c r="F12" s="38"/>
      <c r="G12" s="37"/>
      <c r="H12" s="38"/>
      <c r="I12" s="37"/>
      <c r="J12" s="38"/>
      <c r="K12" s="37"/>
      <c r="L12" s="38"/>
      <c r="M12" s="37"/>
      <c r="N12" s="38"/>
      <c r="O12" s="37"/>
      <c r="P12" s="38"/>
      <c r="Q12" s="37"/>
      <c r="R12" s="38"/>
      <c r="S12" s="37"/>
      <c r="T12" s="38"/>
      <c r="U12" s="37"/>
      <c r="V12" s="38"/>
      <c r="W12" s="37"/>
      <c r="X12" s="38"/>
      <c r="Y12" s="37"/>
      <c r="Z12" s="38"/>
      <c r="AA12" s="37"/>
      <c r="AB12" s="38"/>
      <c r="AC12" s="37"/>
      <c r="AD12" s="38"/>
      <c r="AE12" s="37"/>
      <c r="AF12" s="38"/>
      <c r="AG12" s="37"/>
      <c r="AH12" s="38">
        <f>SUM(A12:AF12)</f>
        <v>230000</v>
      </c>
    </row>
    <row r="13" spans="1:34" ht="15.6" x14ac:dyDescent="0.3">
      <c r="A13" s="23" t="s">
        <v>31</v>
      </c>
      <c r="B13" s="42">
        <v>16</v>
      </c>
      <c r="C13" s="40"/>
      <c r="D13" s="42">
        <v>17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>
        <f>ROUNDDOWN(AVERAGE(B13:AF13),0)</f>
        <v>16</v>
      </c>
    </row>
    <row r="14" spans="1:34" ht="15.6" x14ac:dyDescent="0.3">
      <c r="A14" s="23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ht="15.6" x14ac:dyDescent="0.3">
      <c r="A15" s="23" t="s">
        <v>32</v>
      </c>
      <c r="B15" s="43">
        <f>((B6+(B12-B8))/B10)/B13*12</f>
        <v>0.16498623853211009</v>
      </c>
      <c r="C15" s="43"/>
      <c r="D15" s="43">
        <f>((D6+(D12-D8))/D10)/D13*12</f>
        <v>0.10864463110576106</v>
      </c>
      <c r="E15" s="43"/>
      <c r="F15" s="43" t="e">
        <f>((F6+(F12-F8))/F10)/F13*12</f>
        <v>#DIV/0!</v>
      </c>
      <c r="G15" s="43"/>
      <c r="H15" s="43" t="e">
        <f>((H6+(H12-H8))/H10)/H13*12</f>
        <v>#DIV/0!</v>
      </c>
      <c r="I15" s="43"/>
      <c r="J15" s="43" t="e">
        <f>((J6+(J12-J8))/J10)/J13*12</f>
        <v>#DIV/0!</v>
      </c>
      <c r="K15" s="43"/>
      <c r="L15" s="43" t="e">
        <f>((L6+(L12-L8))/L10)/L13*12</f>
        <v>#DIV/0!</v>
      </c>
      <c r="M15" s="43"/>
      <c r="N15" s="43" t="e">
        <f>((N6+(N12-N8))/N10)/N13*12</f>
        <v>#DIV/0!</v>
      </c>
      <c r="O15" s="43"/>
      <c r="P15" s="43" t="e">
        <f>((P6+(P12-P8))/P10)/P13*12</f>
        <v>#DIV/0!</v>
      </c>
      <c r="Q15" s="43"/>
      <c r="R15" s="43" t="e">
        <f>((R6+(R12-R8))/R10)/R13*12</f>
        <v>#DIV/0!</v>
      </c>
      <c r="S15" s="43"/>
      <c r="T15" s="43" t="e">
        <f>((T6+(T12-T8))/T10)/T13*12</f>
        <v>#DIV/0!</v>
      </c>
      <c r="U15" s="43"/>
      <c r="V15" s="43" t="e">
        <f>((V6+(V12-V8))/V10)/V13*12</f>
        <v>#DIV/0!</v>
      </c>
      <c r="W15" s="43"/>
      <c r="X15" s="43" t="e">
        <f>((X6+(X12-X8))/X10)/X13*12</f>
        <v>#DIV/0!</v>
      </c>
      <c r="Y15" s="43"/>
      <c r="Z15" s="43" t="e">
        <f>((Z6+(Z12-Z8))/Z10)/Z13*12</f>
        <v>#DIV/0!</v>
      </c>
      <c r="AA15" s="43"/>
      <c r="AB15" s="43" t="e">
        <f>((AB6+(AB12-AB8))/AB10)/AB13*12</f>
        <v>#DIV/0!</v>
      </c>
      <c r="AC15" s="43"/>
      <c r="AD15" s="43" t="e">
        <f>((AD6+(AD12-AD8))/AD10)/AD13*12</f>
        <v>#DIV/0!</v>
      </c>
      <c r="AE15" s="43"/>
      <c r="AF15" s="43" t="e">
        <f>((AF6+(AF12-AF8))/AF10)/AF13*12</f>
        <v>#DIV/0!</v>
      </c>
      <c r="AG15" s="43"/>
      <c r="AH15" s="43">
        <f>((AH6+(AH12-AH8))/AH10)/AH13*12</f>
        <v>0.14090922640152592</v>
      </c>
    </row>
    <row r="16" spans="1:34" ht="15.75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</sheetData>
  <mergeCells count="2">
    <mergeCell ref="A1:AH1"/>
    <mergeCell ref="A2:AH2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 Instructions</vt:lpstr>
      <vt:lpstr>Summary</vt:lpstr>
      <vt:lpstr>Input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2022-10-25T21:05:13Z</dcterms:created>
  <dcterms:modified xsi:type="dcterms:W3CDTF">2023-01-17T02:58:00Z</dcterms:modified>
</cp:coreProperties>
</file>